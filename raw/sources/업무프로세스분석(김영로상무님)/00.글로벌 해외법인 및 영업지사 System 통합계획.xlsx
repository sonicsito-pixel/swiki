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05" windowWidth="27840" windowHeight="13695"/>
  </bookViews>
  <sheets>
    <sheet name="관리회계손익산출" sheetId="13" r:id="rId1"/>
    <sheet name="운영현황" sheetId="12" r:id="rId2"/>
    <sheet name="참고 글로벌Accounting - BS" sheetId="4" r:id="rId3"/>
    <sheet name="참고 글로벌Accounting - PL" sheetId="5" r:id="rId4"/>
    <sheet name="19-20년도 시스템 개발일정" sheetId="11" r:id="rId5"/>
    <sheet name="PMS-Process" sheetId="1" r:id="rId6"/>
    <sheet name="PMS-Master" sheetId="2" r:id="rId7"/>
    <sheet name="PMS-수기집계양식(현재)" sheetId="3" r:id="rId8"/>
    <sheet name="PMS-예제)본공장손익" sheetId="6" r:id="rId9"/>
    <sheet name="PMS-예제)본공장운영" sheetId="7" r:id="rId10"/>
    <sheet name="PMS-예제)생산성지표" sheetId="8" r:id="rId11"/>
    <sheet name="PMS-예제)비용효율지표" sheetId="9" r:id="rId12"/>
    <sheet name="통합계획" sheetId="10" r:id="rId13"/>
  </sheets>
  <definedNames>
    <definedName name="_xlnm.Print_Area" localSheetId="4">'19-20년도 시스템 개발일정'!$C$2:$AK$98</definedName>
    <definedName name="_xlnm.Print_Area" localSheetId="6">'PMS-Master'!$E$3:$BB$102</definedName>
    <definedName name="_xlnm.Print_Area" localSheetId="5">'PMS-Process'!$C$3:$EY$32</definedName>
    <definedName name="_xlnm.Print_Area" localSheetId="7">'PMS-수기집계양식(현재)'!$C$2:$T$100</definedName>
    <definedName name="_xlnm.Print_Area" localSheetId="8">'PMS-예제)본공장손익'!$B$2:$AG$38</definedName>
    <definedName name="_xlnm.Print_Area" localSheetId="9">'PMS-예제)본공장운영'!$B$2:$X$60</definedName>
    <definedName name="_xlnm.Print_Area" localSheetId="11">'PMS-예제)비용효율지표'!$B$2:$X$63</definedName>
    <definedName name="_xlnm.Print_Area" localSheetId="10">'PMS-예제)생산성지표'!$B$2:$X$36</definedName>
    <definedName name="_xlnm.Print_Area" localSheetId="0">관리회계손익산출!$C$3:$R$31</definedName>
    <definedName name="_xlnm.Print_Area" localSheetId="1">운영현황!$E$3:$M$19</definedName>
    <definedName name="_xlnm.Print_Area" localSheetId="12">통합계획!$B$4:$AC$49</definedName>
    <definedName name="_xlnm.Print_Titles" localSheetId="4">'19-20년도 시스템 개발일정'!$4:$5</definedName>
    <definedName name="_xlnm.Print_Titles" localSheetId="7">'PMS-수기집계양식(현재)'!$4:$5</definedName>
    <definedName name="_xlnm.Print_Titles" localSheetId="11">'PMS-예제)비용효율지표'!$3:$7</definedName>
  </definedNames>
  <calcPr calcId="145621"/>
</workbook>
</file>

<file path=xl/calcChain.xml><?xml version="1.0" encoding="utf-8"?>
<calcChain xmlns="http://schemas.openxmlformats.org/spreadsheetml/2006/main">
  <c r="Y342" i="5" l="1"/>
  <c r="X342" i="5"/>
  <c r="W342" i="5"/>
  <c r="V342" i="5"/>
  <c r="U342" i="5"/>
  <c r="T342" i="5"/>
  <c r="S342" i="5"/>
  <c r="R342" i="5"/>
  <c r="Q342" i="5"/>
  <c r="Y341" i="5"/>
  <c r="X341" i="5"/>
  <c r="W341" i="5"/>
  <c r="V341" i="5"/>
  <c r="U341" i="5"/>
  <c r="T341" i="5"/>
  <c r="S341" i="5"/>
  <c r="R341" i="5"/>
  <c r="Q341" i="5"/>
  <c r="Y340" i="5"/>
  <c r="X340" i="5"/>
  <c r="W340" i="5"/>
  <c r="V340" i="5"/>
  <c r="U340" i="5"/>
  <c r="T340" i="5"/>
  <c r="S340" i="5"/>
  <c r="R340" i="5"/>
  <c r="Q340" i="5"/>
  <c r="Y339" i="5"/>
  <c r="X339" i="5"/>
  <c r="W339" i="5"/>
  <c r="V339" i="5"/>
  <c r="U339" i="5"/>
  <c r="T339" i="5"/>
  <c r="S339" i="5"/>
  <c r="R339" i="5"/>
  <c r="Q339" i="5"/>
  <c r="Y338" i="5"/>
  <c r="X338" i="5"/>
  <c r="W338" i="5"/>
  <c r="V338" i="5"/>
  <c r="U338" i="5"/>
  <c r="T338" i="5"/>
  <c r="S338" i="5"/>
  <c r="R338" i="5"/>
  <c r="Q338" i="5"/>
  <c r="Y337" i="5"/>
  <c r="X337" i="5"/>
  <c r="W337" i="5"/>
  <c r="V337" i="5"/>
  <c r="U337" i="5"/>
  <c r="T337" i="5"/>
  <c r="S337" i="5"/>
  <c r="R337" i="5"/>
  <c r="Q337" i="5"/>
  <c r="Y336" i="5"/>
  <c r="X336" i="5"/>
  <c r="W336" i="5"/>
  <c r="V336" i="5"/>
  <c r="U336" i="5"/>
  <c r="T336" i="5"/>
  <c r="S336" i="5"/>
  <c r="R336" i="5"/>
  <c r="Q336" i="5"/>
  <c r="Y335" i="5"/>
  <c r="X335" i="5"/>
  <c r="W335" i="5"/>
  <c r="V335" i="5"/>
  <c r="U335" i="5"/>
  <c r="T335" i="5"/>
  <c r="S335" i="5"/>
  <c r="R335" i="5"/>
  <c r="Q335" i="5"/>
  <c r="Y334" i="5"/>
  <c r="X334" i="5"/>
  <c r="W334" i="5"/>
  <c r="V334" i="5"/>
  <c r="U334" i="5"/>
  <c r="T334" i="5"/>
  <c r="S334" i="5"/>
  <c r="R334" i="5"/>
  <c r="Q334" i="5"/>
  <c r="Y333" i="5"/>
  <c r="X333" i="5"/>
  <c r="W333" i="5"/>
  <c r="V333" i="5"/>
  <c r="U333" i="5"/>
  <c r="T333" i="5"/>
  <c r="S333" i="5"/>
  <c r="R333" i="5"/>
  <c r="Q333" i="5"/>
  <c r="Y332" i="5"/>
  <c r="X332" i="5"/>
  <c r="W332" i="5"/>
  <c r="V332" i="5"/>
  <c r="U332" i="5"/>
  <c r="T332" i="5"/>
  <c r="S332" i="5"/>
  <c r="R332" i="5"/>
  <c r="Q332" i="5"/>
  <c r="Y331" i="5"/>
  <c r="X331" i="5"/>
  <c r="W331" i="5"/>
  <c r="V331" i="5"/>
  <c r="U331" i="5"/>
  <c r="T331" i="5"/>
  <c r="S331" i="5"/>
  <c r="R331" i="5"/>
  <c r="Q331" i="5"/>
  <c r="Y330" i="5"/>
  <c r="X330" i="5"/>
  <c r="W330" i="5"/>
  <c r="V330" i="5"/>
  <c r="U330" i="5"/>
  <c r="T330" i="5"/>
  <c r="S330" i="5"/>
  <c r="R330" i="5"/>
  <c r="Q330" i="5"/>
  <c r="Y329" i="5"/>
  <c r="X329" i="5"/>
  <c r="W329" i="5"/>
  <c r="V329" i="5"/>
  <c r="U329" i="5"/>
  <c r="T329" i="5"/>
  <c r="S329" i="5"/>
  <c r="R329" i="5"/>
  <c r="Q329" i="5"/>
  <c r="Y328" i="5"/>
  <c r="X328" i="5"/>
  <c r="W328" i="5"/>
  <c r="V328" i="5"/>
  <c r="U328" i="5"/>
  <c r="T328" i="5"/>
  <c r="S328" i="5"/>
  <c r="R328" i="5"/>
  <c r="Q328" i="5"/>
  <c r="Y327" i="5"/>
  <c r="X327" i="5"/>
  <c r="W327" i="5"/>
  <c r="V327" i="5"/>
  <c r="U327" i="5"/>
  <c r="T327" i="5"/>
  <c r="S327" i="5"/>
  <c r="R327" i="5"/>
  <c r="Q327" i="5"/>
  <c r="Y326" i="5"/>
  <c r="X326" i="5"/>
  <c r="W326" i="5"/>
  <c r="V326" i="5"/>
  <c r="U326" i="5"/>
  <c r="T326" i="5"/>
  <c r="S326" i="5"/>
  <c r="R326" i="5"/>
  <c r="Q326" i="5"/>
  <c r="Y325" i="5"/>
  <c r="X325" i="5"/>
  <c r="W325" i="5"/>
  <c r="V325" i="5"/>
  <c r="U325" i="5"/>
  <c r="T325" i="5"/>
  <c r="S325" i="5"/>
  <c r="R325" i="5"/>
  <c r="Q325" i="5"/>
  <c r="Y324" i="5"/>
  <c r="X324" i="5"/>
  <c r="W324" i="5"/>
  <c r="V324" i="5"/>
  <c r="U324" i="5"/>
  <c r="T324" i="5"/>
  <c r="S324" i="5"/>
  <c r="R324" i="5"/>
  <c r="Q324" i="5"/>
  <c r="Y323" i="5"/>
  <c r="X323" i="5"/>
  <c r="W323" i="5"/>
  <c r="V323" i="5"/>
  <c r="U323" i="5"/>
  <c r="T323" i="5"/>
  <c r="S323" i="5"/>
  <c r="R323" i="5"/>
  <c r="Q323" i="5"/>
  <c r="Y322" i="5"/>
  <c r="X322" i="5"/>
  <c r="W322" i="5"/>
  <c r="V322" i="5"/>
  <c r="U322" i="5"/>
  <c r="T322" i="5"/>
  <c r="S322" i="5"/>
  <c r="R322" i="5"/>
  <c r="Q322" i="5"/>
  <c r="Y321" i="5"/>
  <c r="X321" i="5"/>
  <c r="W321" i="5"/>
  <c r="V321" i="5"/>
  <c r="U321" i="5"/>
  <c r="T321" i="5"/>
  <c r="S321" i="5"/>
  <c r="R321" i="5"/>
  <c r="Q321" i="5"/>
  <c r="Y320" i="5"/>
  <c r="X320" i="5"/>
  <c r="W320" i="5"/>
  <c r="V320" i="5"/>
  <c r="U320" i="5"/>
  <c r="T320" i="5"/>
  <c r="S320" i="5"/>
  <c r="R320" i="5"/>
  <c r="Q320" i="5"/>
  <c r="Y319" i="5"/>
  <c r="X319" i="5"/>
  <c r="W319" i="5"/>
  <c r="V319" i="5"/>
  <c r="U319" i="5"/>
  <c r="T319" i="5"/>
  <c r="S319" i="5"/>
  <c r="R319" i="5"/>
  <c r="Q319" i="5"/>
  <c r="Y318" i="5"/>
  <c r="X318" i="5"/>
  <c r="W318" i="5"/>
  <c r="V318" i="5"/>
  <c r="U318" i="5"/>
  <c r="T318" i="5"/>
  <c r="S318" i="5"/>
  <c r="R318" i="5"/>
  <c r="Q318" i="5"/>
  <c r="Y317" i="5"/>
  <c r="X317" i="5"/>
  <c r="W317" i="5"/>
  <c r="V317" i="5"/>
  <c r="U317" i="5"/>
  <c r="T317" i="5"/>
  <c r="S317" i="5"/>
  <c r="R317" i="5"/>
  <c r="Q317" i="5"/>
  <c r="Y316" i="5"/>
  <c r="X316" i="5"/>
  <c r="W316" i="5"/>
  <c r="V316" i="5"/>
  <c r="U316" i="5"/>
  <c r="T316" i="5"/>
  <c r="S316" i="5"/>
  <c r="R316" i="5"/>
  <c r="Q316" i="5"/>
  <c r="Y315" i="5"/>
  <c r="X315" i="5"/>
  <c r="W315" i="5"/>
  <c r="V315" i="5"/>
  <c r="U315" i="5"/>
  <c r="T315" i="5"/>
  <c r="S315" i="5"/>
  <c r="R315" i="5"/>
  <c r="Q315" i="5"/>
  <c r="Y314" i="5"/>
  <c r="X314" i="5"/>
  <c r="W314" i="5"/>
  <c r="V314" i="5"/>
  <c r="U314" i="5"/>
  <c r="T314" i="5"/>
  <c r="S314" i="5"/>
  <c r="R314" i="5"/>
  <c r="Q314" i="5"/>
  <c r="Y313" i="5"/>
  <c r="X313" i="5"/>
  <c r="W313" i="5"/>
  <c r="V313" i="5"/>
  <c r="U313" i="5"/>
  <c r="T313" i="5"/>
  <c r="S313" i="5"/>
  <c r="R313" i="5"/>
  <c r="Q313" i="5"/>
  <c r="Y312" i="5"/>
  <c r="X312" i="5"/>
  <c r="W312" i="5"/>
  <c r="V312" i="5"/>
  <c r="U312" i="5"/>
  <c r="T312" i="5"/>
  <c r="S312" i="5"/>
  <c r="R312" i="5"/>
  <c r="Q312" i="5"/>
  <c r="Y311" i="5"/>
  <c r="X311" i="5"/>
  <c r="W311" i="5"/>
  <c r="V311" i="5"/>
  <c r="U311" i="5"/>
  <c r="T311" i="5"/>
  <c r="S311" i="5"/>
  <c r="R311" i="5"/>
  <c r="Q311" i="5"/>
  <c r="Y310" i="5"/>
  <c r="X310" i="5"/>
  <c r="W310" i="5"/>
  <c r="V310" i="5"/>
  <c r="U310" i="5"/>
  <c r="T310" i="5"/>
  <c r="S310" i="5"/>
  <c r="R310" i="5"/>
  <c r="Q310" i="5"/>
  <c r="Y309" i="5"/>
  <c r="X309" i="5"/>
  <c r="W309" i="5"/>
  <c r="V309" i="5"/>
  <c r="U309" i="5"/>
  <c r="T309" i="5"/>
  <c r="S309" i="5"/>
  <c r="R309" i="5"/>
  <c r="Q309" i="5"/>
  <c r="Y308" i="5"/>
  <c r="X308" i="5"/>
  <c r="W308" i="5"/>
  <c r="V308" i="5"/>
  <c r="U308" i="5"/>
  <c r="T308" i="5"/>
  <c r="S308" i="5"/>
  <c r="R308" i="5"/>
  <c r="Q308" i="5"/>
  <c r="Y307" i="5"/>
  <c r="X307" i="5"/>
  <c r="W307" i="5"/>
  <c r="V307" i="5"/>
  <c r="U307" i="5"/>
  <c r="T307" i="5"/>
  <c r="S307" i="5"/>
  <c r="R307" i="5"/>
  <c r="Q307" i="5"/>
  <c r="Y306" i="5"/>
  <c r="X306" i="5"/>
  <c r="W306" i="5"/>
  <c r="V306" i="5"/>
  <c r="U306" i="5"/>
  <c r="T306" i="5"/>
  <c r="S306" i="5"/>
  <c r="R306" i="5"/>
  <c r="Q306" i="5"/>
  <c r="Y305" i="5"/>
  <c r="X305" i="5"/>
  <c r="W305" i="5"/>
  <c r="V305" i="5"/>
  <c r="U305" i="5"/>
  <c r="T305" i="5"/>
  <c r="S305" i="5"/>
  <c r="R305" i="5"/>
  <c r="Q305" i="5"/>
  <c r="Y304" i="5"/>
  <c r="X304" i="5"/>
  <c r="W304" i="5"/>
  <c r="V304" i="5"/>
  <c r="U304" i="5"/>
  <c r="T304" i="5"/>
  <c r="S304" i="5"/>
  <c r="R304" i="5"/>
  <c r="Q304" i="5"/>
  <c r="Y303" i="5"/>
  <c r="X303" i="5"/>
  <c r="W303" i="5"/>
  <c r="V303" i="5"/>
  <c r="U303" i="5"/>
  <c r="T303" i="5"/>
  <c r="S303" i="5"/>
  <c r="R303" i="5"/>
  <c r="Q303" i="5"/>
  <c r="Y302" i="5"/>
  <c r="X302" i="5"/>
  <c r="W302" i="5"/>
  <c r="V302" i="5"/>
  <c r="U302" i="5"/>
  <c r="T302" i="5"/>
  <c r="S302" i="5"/>
  <c r="R302" i="5"/>
  <c r="Q302" i="5"/>
  <c r="Y301" i="5"/>
  <c r="X301" i="5"/>
  <c r="W301" i="5"/>
  <c r="V301" i="5"/>
  <c r="U301" i="5"/>
  <c r="T301" i="5"/>
  <c r="S301" i="5"/>
  <c r="R301" i="5"/>
  <c r="Q301" i="5"/>
  <c r="Y300" i="5"/>
  <c r="X300" i="5"/>
  <c r="W300" i="5"/>
  <c r="V300" i="5"/>
  <c r="U300" i="5"/>
  <c r="T300" i="5"/>
  <c r="S300" i="5"/>
  <c r="R300" i="5"/>
  <c r="Q300" i="5"/>
  <c r="Y299" i="5"/>
  <c r="X299" i="5"/>
  <c r="W299" i="5"/>
  <c r="V299" i="5"/>
  <c r="U299" i="5"/>
  <c r="T299" i="5"/>
  <c r="S299" i="5"/>
  <c r="R299" i="5"/>
  <c r="Q299" i="5"/>
  <c r="Y298" i="5"/>
  <c r="X298" i="5"/>
  <c r="W298" i="5"/>
  <c r="V298" i="5"/>
  <c r="U298" i="5"/>
  <c r="T298" i="5"/>
  <c r="S298" i="5"/>
  <c r="R298" i="5"/>
  <c r="Q298" i="5"/>
  <c r="Y297" i="5"/>
  <c r="X297" i="5"/>
  <c r="W297" i="5"/>
  <c r="V297" i="5"/>
  <c r="U297" i="5"/>
  <c r="T297" i="5"/>
  <c r="S297" i="5"/>
  <c r="R297" i="5"/>
  <c r="Q297" i="5"/>
  <c r="Y296" i="5"/>
  <c r="X296" i="5"/>
  <c r="W296" i="5"/>
  <c r="V296" i="5"/>
  <c r="U296" i="5"/>
  <c r="T296" i="5"/>
  <c r="S296" i="5"/>
  <c r="R296" i="5"/>
  <c r="Q296" i="5"/>
  <c r="Y295" i="5"/>
  <c r="X295" i="5"/>
  <c r="W295" i="5"/>
  <c r="V295" i="5"/>
  <c r="U295" i="5"/>
  <c r="T295" i="5"/>
  <c r="S295" i="5"/>
  <c r="R295" i="5"/>
  <c r="Q295" i="5"/>
  <c r="Y294" i="5"/>
  <c r="X294" i="5"/>
  <c r="W294" i="5"/>
  <c r="V294" i="5"/>
  <c r="U294" i="5"/>
  <c r="T294" i="5"/>
  <c r="S294" i="5"/>
  <c r="R294" i="5"/>
  <c r="Q294" i="5"/>
  <c r="Y293" i="5"/>
  <c r="X293" i="5"/>
  <c r="W293" i="5"/>
  <c r="V293" i="5"/>
  <c r="U293" i="5"/>
  <c r="T293" i="5"/>
  <c r="S293" i="5"/>
  <c r="R293" i="5"/>
  <c r="Q293" i="5"/>
  <c r="Y292" i="5"/>
  <c r="X292" i="5"/>
  <c r="W292" i="5"/>
  <c r="V292" i="5"/>
  <c r="U292" i="5"/>
  <c r="T292" i="5"/>
  <c r="S292" i="5"/>
  <c r="R292" i="5"/>
  <c r="Q292" i="5"/>
  <c r="Y291" i="5"/>
  <c r="X291" i="5"/>
  <c r="W291" i="5"/>
  <c r="V291" i="5"/>
  <c r="U291" i="5"/>
  <c r="T291" i="5"/>
  <c r="S291" i="5"/>
  <c r="R291" i="5"/>
  <c r="Q291" i="5"/>
  <c r="Y290" i="5"/>
  <c r="X290" i="5"/>
  <c r="W290" i="5"/>
  <c r="V290" i="5"/>
  <c r="U290" i="5"/>
  <c r="T290" i="5"/>
  <c r="S290" i="5"/>
  <c r="R290" i="5"/>
  <c r="Q290" i="5"/>
  <c r="Y289" i="5"/>
  <c r="X289" i="5"/>
  <c r="W289" i="5"/>
  <c r="V289" i="5"/>
  <c r="U289" i="5"/>
  <c r="T289" i="5"/>
  <c r="S289" i="5"/>
  <c r="R289" i="5"/>
  <c r="Q289" i="5"/>
  <c r="Y288" i="5"/>
  <c r="X288" i="5"/>
  <c r="W288" i="5"/>
  <c r="V288" i="5"/>
  <c r="U288" i="5"/>
  <c r="T288" i="5"/>
  <c r="S288" i="5"/>
  <c r="R288" i="5"/>
  <c r="Q288" i="5"/>
  <c r="Y287" i="5"/>
  <c r="X287" i="5"/>
  <c r="W287" i="5"/>
  <c r="V287" i="5"/>
  <c r="U287" i="5"/>
  <c r="T287" i="5"/>
  <c r="S287" i="5"/>
  <c r="R287" i="5"/>
  <c r="Q287" i="5"/>
  <c r="Y286" i="5"/>
  <c r="X286" i="5"/>
  <c r="W286" i="5"/>
  <c r="V286" i="5"/>
  <c r="U286" i="5"/>
  <c r="T286" i="5"/>
  <c r="S286" i="5"/>
  <c r="R286" i="5"/>
  <c r="Q286" i="5"/>
  <c r="Y285" i="5"/>
  <c r="X285" i="5"/>
  <c r="W285" i="5"/>
  <c r="V285" i="5"/>
  <c r="U285" i="5"/>
  <c r="T285" i="5"/>
  <c r="S285" i="5"/>
  <c r="R285" i="5"/>
  <c r="Q285" i="5"/>
  <c r="Y284" i="5"/>
  <c r="X284" i="5"/>
  <c r="W284" i="5"/>
  <c r="V284" i="5"/>
  <c r="U284" i="5"/>
  <c r="T284" i="5"/>
  <c r="S284" i="5"/>
  <c r="R284" i="5"/>
  <c r="Q284" i="5"/>
  <c r="Y283" i="5"/>
  <c r="X283" i="5"/>
  <c r="W283" i="5"/>
  <c r="V283" i="5"/>
  <c r="U283" i="5"/>
  <c r="T283" i="5"/>
  <c r="S283" i="5"/>
  <c r="R283" i="5"/>
  <c r="Q283" i="5"/>
  <c r="Y282" i="5"/>
  <c r="X282" i="5"/>
  <c r="W282" i="5"/>
  <c r="V282" i="5"/>
  <c r="U282" i="5"/>
  <c r="T282" i="5"/>
  <c r="S282" i="5"/>
  <c r="R282" i="5"/>
  <c r="Q282" i="5"/>
  <c r="Y281" i="5"/>
  <c r="X281" i="5"/>
  <c r="W281" i="5"/>
  <c r="V281" i="5"/>
  <c r="U281" i="5"/>
  <c r="T281" i="5"/>
  <c r="S281" i="5"/>
  <c r="R281" i="5"/>
  <c r="Q281" i="5"/>
  <c r="Y280" i="5"/>
  <c r="X280" i="5"/>
  <c r="W280" i="5"/>
  <c r="V280" i="5"/>
  <c r="U280" i="5"/>
  <c r="T280" i="5"/>
  <c r="S280" i="5"/>
  <c r="R280" i="5"/>
  <c r="Q280" i="5"/>
  <c r="Y279" i="5"/>
  <c r="X279" i="5"/>
  <c r="W279" i="5"/>
  <c r="V279" i="5"/>
  <c r="U279" i="5"/>
  <c r="T279" i="5"/>
  <c r="S279" i="5"/>
  <c r="R279" i="5"/>
  <c r="Q279" i="5"/>
  <c r="Y278" i="5"/>
  <c r="X278" i="5"/>
  <c r="W278" i="5"/>
  <c r="V278" i="5"/>
  <c r="U278" i="5"/>
  <c r="T278" i="5"/>
  <c r="S278" i="5"/>
  <c r="R278" i="5"/>
  <c r="Q278" i="5"/>
  <c r="Y277" i="5"/>
  <c r="X277" i="5"/>
  <c r="W277" i="5"/>
  <c r="V277" i="5"/>
  <c r="U277" i="5"/>
  <c r="T277" i="5"/>
  <c r="S277" i="5"/>
  <c r="R277" i="5"/>
  <c r="Q277" i="5"/>
  <c r="Y276" i="5"/>
  <c r="X276" i="5"/>
  <c r="W276" i="5"/>
  <c r="V276" i="5"/>
  <c r="U276" i="5"/>
  <c r="T276" i="5"/>
  <c r="S276" i="5"/>
  <c r="R276" i="5"/>
  <c r="Q276" i="5"/>
  <c r="Y275" i="5"/>
  <c r="X275" i="5"/>
  <c r="W275" i="5"/>
  <c r="V275" i="5"/>
  <c r="U275" i="5"/>
  <c r="T275" i="5"/>
  <c r="S275" i="5"/>
  <c r="R275" i="5"/>
  <c r="Q275" i="5"/>
  <c r="Y274" i="5"/>
  <c r="X274" i="5"/>
  <c r="W274" i="5"/>
  <c r="V274" i="5"/>
  <c r="U274" i="5"/>
  <c r="T274" i="5"/>
  <c r="S274" i="5"/>
  <c r="R274" i="5"/>
  <c r="Q274" i="5"/>
  <c r="Y273" i="5"/>
  <c r="X273" i="5"/>
  <c r="W273" i="5"/>
  <c r="V273" i="5"/>
  <c r="U273" i="5"/>
  <c r="T273" i="5"/>
  <c r="S273" i="5"/>
  <c r="R273" i="5"/>
  <c r="Q273" i="5"/>
  <c r="Y272" i="5"/>
  <c r="X272" i="5"/>
  <c r="W272" i="5"/>
  <c r="V272" i="5"/>
  <c r="U272" i="5"/>
  <c r="T272" i="5"/>
  <c r="S272" i="5"/>
  <c r="R272" i="5"/>
  <c r="Q272" i="5"/>
  <c r="Y271" i="5"/>
  <c r="X271" i="5"/>
  <c r="W271" i="5"/>
  <c r="V271" i="5"/>
  <c r="U271" i="5"/>
  <c r="T271" i="5"/>
  <c r="S271" i="5"/>
  <c r="R271" i="5"/>
  <c r="Q271" i="5"/>
  <c r="Y270" i="5"/>
  <c r="X270" i="5"/>
  <c r="W270" i="5"/>
  <c r="V270" i="5"/>
  <c r="U270" i="5"/>
  <c r="T270" i="5"/>
  <c r="S270" i="5"/>
  <c r="R270" i="5"/>
  <c r="Q270" i="5"/>
  <c r="Y269" i="5"/>
  <c r="X269" i="5"/>
  <c r="W269" i="5"/>
  <c r="V269" i="5"/>
  <c r="U269" i="5"/>
  <c r="T269" i="5"/>
  <c r="S269" i="5"/>
  <c r="R269" i="5"/>
  <c r="Q269" i="5"/>
  <c r="Y268" i="5"/>
  <c r="X268" i="5"/>
  <c r="W268" i="5"/>
  <c r="V268" i="5"/>
  <c r="U268" i="5"/>
  <c r="T268" i="5"/>
  <c r="S268" i="5"/>
  <c r="R268" i="5"/>
  <c r="Q268" i="5"/>
  <c r="Y267" i="5"/>
  <c r="X267" i="5"/>
  <c r="W267" i="5"/>
  <c r="V267" i="5"/>
  <c r="U267" i="5"/>
  <c r="T267" i="5"/>
  <c r="S267" i="5"/>
  <c r="R267" i="5"/>
  <c r="Q267" i="5"/>
  <c r="Y266" i="5"/>
  <c r="X266" i="5"/>
  <c r="W266" i="5"/>
  <c r="V266" i="5"/>
  <c r="U266" i="5"/>
  <c r="T266" i="5"/>
  <c r="S266" i="5"/>
  <c r="R266" i="5"/>
  <c r="Q266" i="5"/>
  <c r="Y265" i="5"/>
  <c r="X265" i="5"/>
  <c r="W265" i="5"/>
  <c r="V265" i="5"/>
  <c r="U265" i="5"/>
  <c r="T265" i="5"/>
  <c r="S265" i="5"/>
  <c r="R265" i="5"/>
  <c r="Q265" i="5"/>
  <c r="Y264" i="5"/>
  <c r="X264" i="5"/>
  <c r="W264" i="5"/>
  <c r="V264" i="5"/>
  <c r="U264" i="5"/>
  <c r="T264" i="5"/>
  <c r="S264" i="5"/>
  <c r="R264" i="5"/>
  <c r="Q264" i="5"/>
  <c r="Y263" i="5"/>
  <c r="X263" i="5"/>
  <c r="W263" i="5"/>
  <c r="V263" i="5"/>
  <c r="U263" i="5"/>
  <c r="T263" i="5"/>
  <c r="S263" i="5"/>
  <c r="R263" i="5"/>
  <c r="Q263" i="5"/>
  <c r="Y262" i="5"/>
  <c r="X262" i="5"/>
  <c r="W262" i="5"/>
  <c r="V262" i="5"/>
  <c r="U262" i="5"/>
  <c r="T262" i="5"/>
  <c r="S262" i="5"/>
  <c r="R262" i="5"/>
  <c r="Q262" i="5"/>
  <c r="Y261" i="5"/>
  <c r="X261" i="5"/>
  <c r="W261" i="5"/>
  <c r="V261" i="5"/>
  <c r="U261" i="5"/>
  <c r="T261" i="5"/>
  <c r="S261" i="5"/>
  <c r="R261" i="5"/>
  <c r="Q261" i="5"/>
  <c r="Y260" i="5"/>
  <c r="X260" i="5"/>
  <c r="W260" i="5"/>
  <c r="V260" i="5"/>
  <c r="U260" i="5"/>
  <c r="T260" i="5"/>
  <c r="S260" i="5"/>
  <c r="R260" i="5"/>
  <c r="Q260" i="5"/>
  <c r="Y259" i="5"/>
  <c r="X259" i="5"/>
  <c r="W259" i="5"/>
  <c r="V259" i="5"/>
  <c r="U259" i="5"/>
  <c r="T259" i="5"/>
  <c r="S259" i="5"/>
  <c r="R259" i="5"/>
  <c r="Q259" i="5"/>
  <c r="Y258" i="5"/>
  <c r="X258" i="5"/>
  <c r="W258" i="5"/>
  <c r="V258" i="5"/>
  <c r="U258" i="5"/>
  <c r="T258" i="5"/>
  <c r="S258" i="5"/>
  <c r="R258" i="5"/>
  <c r="Q258" i="5"/>
  <c r="Y257" i="5"/>
  <c r="X257" i="5"/>
  <c r="W257" i="5"/>
  <c r="V257" i="5"/>
  <c r="U257" i="5"/>
  <c r="T257" i="5"/>
  <c r="S257" i="5"/>
  <c r="R257" i="5"/>
  <c r="Q257" i="5"/>
  <c r="Y256" i="5"/>
  <c r="X256" i="5"/>
  <c r="W256" i="5"/>
  <c r="V256" i="5"/>
  <c r="U256" i="5"/>
  <c r="T256" i="5"/>
  <c r="S256" i="5"/>
  <c r="R256" i="5"/>
  <c r="Q256" i="5"/>
  <c r="Y255" i="5"/>
  <c r="X255" i="5"/>
  <c r="W255" i="5"/>
  <c r="V255" i="5"/>
  <c r="U255" i="5"/>
  <c r="T255" i="5"/>
  <c r="S255" i="5"/>
  <c r="R255" i="5"/>
  <c r="Q255" i="5"/>
  <c r="Y254" i="5"/>
  <c r="X254" i="5"/>
  <c r="W254" i="5"/>
  <c r="V254" i="5"/>
  <c r="U254" i="5"/>
  <c r="T254" i="5"/>
  <c r="S254" i="5"/>
  <c r="R254" i="5"/>
  <c r="Q254" i="5"/>
  <c r="Y253" i="5"/>
  <c r="X253" i="5"/>
  <c r="W253" i="5"/>
  <c r="V253" i="5"/>
  <c r="U253" i="5"/>
  <c r="T253" i="5"/>
  <c r="S253" i="5"/>
  <c r="R253" i="5"/>
  <c r="Q253" i="5"/>
  <c r="Y252" i="5"/>
  <c r="X252" i="5"/>
  <c r="W252" i="5"/>
  <c r="V252" i="5"/>
  <c r="U252" i="5"/>
  <c r="T252" i="5"/>
  <c r="S252" i="5"/>
  <c r="R252" i="5"/>
  <c r="Q252" i="5"/>
  <c r="Y251" i="5"/>
  <c r="X251" i="5"/>
  <c r="W251" i="5"/>
  <c r="V251" i="5"/>
  <c r="U251" i="5"/>
  <c r="T251" i="5"/>
  <c r="S251" i="5"/>
  <c r="R251" i="5"/>
  <c r="Q251" i="5"/>
  <c r="Y250" i="5"/>
  <c r="X250" i="5"/>
  <c r="W250" i="5"/>
  <c r="V250" i="5"/>
  <c r="U250" i="5"/>
  <c r="T250" i="5"/>
  <c r="S250" i="5"/>
  <c r="R250" i="5"/>
  <c r="Q250" i="5"/>
  <c r="Y249" i="5"/>
  <c r="X249" i="5"/>
  <c r="W249" i="5"/>
  <c r="V249" i="5"/>
  <c r="U249" i="5"/>
  <c r="T249" i="5"/>
  <c r="S249" i="5"/>
  <c r="R249" i="5"/>
  <c r="Q249" i="5"/>
  <c r="Y248" i="5"/>
  <c r="X248" i="5"/>
  <c r="W248" i="5"/>
  <c r="V248" i="5"/>
  <c r="U248" i="5"/>
  <c r="T248" i="5"/>
  <c r="S248" i="5"/>
  <c r="R248" i="5"/>
  <c r="Q248" i="5"/>
  <c r="Y247" i="5"/>
  <c r="X247" i="5"/>
  <c r="W247" i="5"/>
  <c r="V247" i="5"/>
  <c r="U247" i="5"/>
  <c r="T247" i="5"/>
  <c r="S247" i="5"/>
  <c r="R247" i="5"/>
  <c r="Q247" i="5"/>
  <c r="Y246" i="5"/>
  <c r="X246" i="5"/>
  <c r="W246" i="5"/>
  <c r="V246" i="5"/>
  <c r="U246" i="5"/>
  <c r="T246" i="5"/>
  <c r="S246" i="5"/>
  <c r="R246" i="5"/>
  <c r="Q246" i="5"/>
  <c r="Y245" i="5"/>
  <c r="X245" i="5"/>
  <c r="W245" i="5"/>
  <c r="V245" i="5"/>
  <c r="U245" i="5"/>
  <c r="T245" i="5"/>
  <c r="S245" i="5"/>
  <c r="R245" i="5"/>
  <c r="Q245" i="5"/>
  <c r="Y244" i="5"/>
  <c r="X244" i="5"/>
  <c r="W244" i="5"/>
  <c r="V244" i="5"/>
  <c r="U244" i="5"/>
  <c r="T244" i="5"/>
  <c r="S244" i="5"/>
  <c r="R244" i="5"/>
  <c r="Q244" i="5"/>
  <c r="Y243" i="5"/>
  <c r="X243" i="5"/>
  <c r="W243" i="5"/>
  <c r="V243" i="5"/>
  <c r="U243" i="5"/>
  <c r="T243" i="5"/>
  <c r="S243" i="5"/>
  <c r="R243" i="5"/>
  <c r="Q243" i="5"/>
  <c r="Y242" i="5"/>
  <c r="X242" i="5"/>
  <c r="W242" i="5"/>
  <c r="V242" i="5"/>
  <c r="U242" i="5"/>
  <c r="T242" i="5"/>
  <c r="S242" i="5"/>
  <c r="R242" i="5"/>
  <c r="Q242" i="5"/>
  <c r="Y241" i="5"/>
  <c r="X241" i="5"/>
  <c r="W241" i="5"/>
  <c r="V241" i="5"/>
  <c r="U241" i="5"/>
  <c r="T241" i="5"/>
  <c r="S241" i="5"/>
  <c r="R241" i="5"/>
  <c r="Q241" i="5"/>
  <c r="Y240" i="5"/>
  <c r="X240" i="5"/>
  <c r="W240" i="5"/>
  <c r="V240" i="5"/>
  <c r="U240" i="5"/>
  <c r="T240" i="5"/>
  <c r="S240" i="5"/>
  <c r="R240" i="5"/>
  <c r="Q240" i="5"/>
  <c r="Y239" i="5"/>
  <c r="X239" i="5"/>
  <c r="W239" i="5"/>
  <c r="V239" i="5"/>
  <c r="U239" i="5"/>
  <c r="T239" i="5"/>
  <c r="S239" i="5"/>
  <c r="R239" i="5"/>
  <c r="Q239" i="5"/>
  <c r="Y238" i="5"/>
  <c r="X238" i="5"/>
  <c r="W238" i="5"/>
  <c r="V238" i="5"/>
  <c r="U238" i="5"/>
  <c r="T238" i="5"/>
  <c r="S238" i="5"/>
  <c r="R238" i="5"/>
  <c r="Q238" i="5"/>
  <c r="Y237" i="5"/>
  <c r="X237" i="5"/>
  <c r="W237" i="5"/>
  <c r="V237" i="5"/>
  <c r="U237" i="5"/>
  <c r="T237" i="5"/>
  <c r="S237" i="5"/>
  <c r="R237" i="5"/>
  <c r="Q237" i="5"/>
  <c r="Y236" i="5"/>
  <c r="X236" i="5"/>
  <c r="W236" i="5"/>
  <c r="V236" i="5"/>
  <c r="U236" i="5"/>
  <c r="T236" i="5"/>
  <c r="S236" i="5"/>
  <c r="R236" i="5"/>
  <c r="Q236" i="5"/>
  <c r="Y235" i="5"/>
  <c r="X235" i="5"/>
  <c r="W235" i="5"/>
  <c r="V235" i="5"/>
  <c r="U235" i="5"/>
  <c r="T235" i="5"/>
  <c r="S235" i="5"/>
  <c r="R235" i="5"/>
  <c r="Q235" i="5"/>
  <c r="Y234" i="5"/>
  <c r="X234" i="5"/>
  <c r="W234" i="5"/>
  <c r="V234" i="5"/>
  <c r="U234" i="5"/>
  <c r="T234" i="5"/>
  <c r="S234" i="5"/>
  <c r="R234" i="5"/>
  <c r="Q234" i="5"/>
  <c r="Y233" i="5"/>
  <c r="X233" i="5"/>
  <c r="W233" i="5"/>
  <c r="V233" i="5"/>
  <c r="U233" i="5"/>
  <c r="T233" i="5"/>
  <c r="S233" i="5"/>
  <c r="R233" i="5"/>
  <c r="Q233" i="5"/>
  <c r="Y232" i="5"/>
  <c r="X232" i="5"/>
  <c r="W232" i="5"/>
  <c r="V232" i="5"/>
  <c r="U232" i="5"/>
  <c r="T232" i="5"/>
  <c r="S232" i="5"/>
  <c r="R232" i="5"/>
  <c r="Q232" i="5"/>
  <c r="Y231" i="5"/>
  <c r="X231" i="5"/>
  <c r="W231" i="5"/>
  <c r="V231" i="5"/>
  <c r="U231" i="5"/>
  <c r="T231" i="5"/>
  <c r="S231" i="5"/>
  <c r="R231" i="5"/>
  <c r="Q231" i="5"/>
  <c r="Y230" i="5"/>
  <c r="X230" i="5"/>
  <c r="W230" i="5"/>
  <c r="V230" i="5"/>
  <c r="U230" i="5"/>
  <c r="T230" i="5"/>
  <c r="S230" i="5"/>
  <c r="R230" i="5"/>
  <c r="Q230" i="5"/>
  <c r="Y229" i="5"/>
  <c r="X229" i="5"/>
  <c r="W229" i="5"/>
  <c r="V229" i="5"/>
  <c r="U229" i="5"/>
  <c r="T229" i="5"/>
  <c r="S229" i="5"/>
  <c r="R229" i="5"/>
  <c r="Q229" i="5"/>
  <c r="Y228" i="5"/>
  <c r="X228" i="5"/>
  <c r="W228" i="5"/>
  <c r="V228" i="5"/>
  <c r="U228" i="5"/>
  <c r="T228" i="5"/>
  <c r="S228" i="5"/>
  <c r="R228" i="5"/>
  <c r="Q228" i="5"/>
  <c r="Y227" i="5"/>
  <c r="X227" i="5"/>
  <c r="W227" i="5"/>
  <c r="V227" i="5"/>
  <c r="U227" i="5"/>
  <c r="T227" i="5"/>
  <c r="S227" i="5"/>
  <c r="R227" i="5"/>
  <c r="Q227" i="5"/>
  <c r="Y226" i="5"/>
  <c r="X226" i="5"/>
  <c r="W226" i="5"/>
  <c r="V226" i="5"/>
  <c r="U226" i="5"/>
  <c r="T226" i="5"/>
  <c r="S226" i="5"/>
  <c r="R226" i="5"/>
  <c r="Q226" i="5"/>
  <c r="Y225" i="5"/>
  <c r="X225" i="5"/>
  <c r="W225" i="5"/>
  <c r="V225" i="5"/>
  <c r="U225" i="5"/>
  <c r="T225" i="5"/>
  <c r="S225" i="5"/>
  <c r="R225" i="5"/>
  <c r="Q225" i="5"/>
  <c r="Y224" i="5"/>
  <c r="X224" i="5"/>
  <c r="W224" i="5"/>
  <c r="V224" i="5"/>
  <c r="U224" i="5"/>
  <c r="T224" i="5"/>
  <c r="S224" i="5"/>
  <c r="R224" i="5"/>
  <c r="Q224" i="5"/>
  <c r="Y223" i="5"/>
  <c r="X223" i="5"/>
  <c r="W223" i="5"/>
  <c r="V223" i="5"/>
  <c r="U223" i="5"/>
  <c r="T223" i="5"/>
  <c r="S223" i="5"/>
  <c r="R223" i="5"/>
  <c r="Q223" i="5"/>
  <c r="Y222" i="5"/>
  <c r="X222" i="5"/>
  <c r="W222" i="5"/>
  <c r="V222" i="5"/>
  <c r="U222" i="5"/>
  <c r="T222" i="5"/>
  <c r="S222" i="5"/>
  <c r="R222" i="5"/>
  <c r="Q222" i="5"/>
  <c r="Y221" i="5"/>
  <c r="X221" i="5"/>
  <c r="W221" i="5"/>
  <c r="V221" i="5"/>
  <c r="U221" i="5"/>
  <c r="T221" i="5"/>
  <c r="S221" i="5"/>
  <c r="R221" i="5"/>
  <c r="Q221" i="5"/>
  <c r="Y220" i="5"/>
  <c r="X220" i="5"/>
  <c r="W220" i="5"/>
  <c r="V220" i="5"/>
  <c r="U220" i="5"/>
  <c r="T220" i="5"/>
  <c r="S220" i="5"/>
  <c r="R220" i="5"/>
  <c r="Q220" i="5"/>
  <c r="Y219" i="5"/>
  <c r="X219" i="5"/>
  <c r="W219" i="5"/>
  <c r="V219" i="5"/>
  <c r="U219" i="5"/>
  <c r="T219" i="5"/>
  <c r="S219" i="5"/>
  <c r="R219" i="5"/>
  <c r="Q219" i="5"/>
  <c r="Y218" i="5"/>
  <c r="X218" i="5"/>
  <c r="W218" i="5"/>
  <c r="V218" i="5"/>
  <c r="U218" i="5"/>
  <c r="T218" i="5"/>
  <c r="S218" i="5"/>
  <c r="R218" i="5"/>
  <c r="Q218" i="5"/>
  <c r="Y217" i="5"/>
  <c r="X217" i="5"/>
  <c r="W217" i="5"/>
  <c r="V217" i="5"/>
  <c r="U217" i="5"/>
  <c r="T217" i="5"/>
  <c r="S217" i="5"/>
  <c r="R217" i="5"/>
  <c r="Q217" i="5"/>
  <c r="Y216" i="5"/>
  <c r="X216" i="5"/>
  <c r="W216" i="5"/>
  <c r="V216" i="5"/>
  <c r="U216" i="5"/>
  <c r="T216" i="5"/>
  <c r="S216" i="5"/>
  <c r="R216" i="5"/>
  <c r="Q216" i="5"/>
  <c r="Y215" i="5"/>
  <c r="X215" i="5"/>
  <c r="W215" i="5"/>
  <c r="V215" i="5"/>
  <c r="U215" i="5"/>
  <c r="T215" i="5"/>
  <c r="S215" i="5"/>
  <c r="R215" i="5"/>
  <c r="Q215" i="5"/>
  <c r="Y214" i="5"/>
  <c r="X214" i="5"/>
  <c r="W214" i="5"/>
  <c r="V214" i="5"/>
  <c r="U214" i="5"/>
  <c r="T214" i="5"/>
  <c r="S214" i="5"/>
  <c r="R214" i="5"/>
  <c r="Q214" i="5"/>
  <c r="Y213" i="5"/>
  <c r="X213" i="5"/>
  <c r="W213" i="5"/>
  <c r="V213" i="5"/>
  <c r="U213" i="5"/>
  <c r="T213" i="5"/>
  <c r="S213" i="5"/>
  <c r="R213" i="5"/>
  <c r="Q213" i="5"/>
  <c r="Y212" i="5"/>
  <c r="X212" i="5"/>
  <c r="W212" i="5"/>
  <c r="V212" i="5"/>
  <c r="U212" i="5"/>
  <c r="T212" i="5"/>
  <c r="S212" i="5"/>
  <c r="R212" i="5"/>
  <c r="Q212" i="5"/>
  <c r="Y211" i="5"/>
  <c r="X211" i="5"/>
  <c r="W211" i="5"/>
  <c r="V211" i="5"/>
  <c r="U211" i="5"/>
  <c r="T211" i="5"/>
  <c r="S211" i="5"/>
  <c r="R211" i="5"/>
  <c r="Q211" i="5"/>
  <c r="Y210" i="5"/>
  <c r="X210" i="5"/>
  <c r="W210" i="5"/>
  <c r="V210" i="5"/>
  <c r="U210" i="5"/>
  <c r="T210" i="5"/>
  <c r="S210" i="5"/>
  <c r="R210" i="5"/>
  <c r="Q210" i="5"/>
  <c r="Y209" i="5"/>
  <c r="X209" i="5"/>
  <c r="W209" i="5"/>
  <c r="V209" i="5"/>
  <c r="U209" i="5"/>
  <c r="T209" i="5"/>
  <c r="S209" i="5"/>
  <c r="R209" i="5"/>
  <c r="Q209" i="5"/>
  <c r="Y208" i="5"/>
  <c r="X208" i="5"/>
  <c r="W208" i="5"/>
  <c r="V208" i="5"/>
  <c r="U208" i="5"/>
  <c r="T208" i="5"/>
  <c r="S208" i="5"/>
  <c r="R208" i="5"/>
  <c r="Q208" i="5"/>
  <c r="Y207" i="5"/>
  <c r="X207" i="5"/>
  <c r="W207" i="5"/>
  <c r="V207" i="5"/>
  <c r="U207" i="5"/>
  <c r="T207" i="5"/>
  <c r="S207" i="5"/>
  <c r="R207" i="5"/>
  <c r="Q207" i="5"/>
  <c r="Y206" i="5"/>
  <c r="X206" i="5"/>
  <c r="W206" i="5"/>
  <c r="V206" i="5"/>
  <c r="U206" i="5"/>
  <c r="T206" i="5"/>
  <c r="S206" i="5"/>
  <c r="R206" i="5"/>
  <c r="Q206" i="5"/>
  <c r="Y205" i="5"/>
  <c r="X205" i="5"/>
  <c r="W205" i="5"/>
  <c r="V205" i="5"/>
  <c r="U205" i="5"/>
  <c r="T205" i="5"/>
  <c r="S205" i="5"/>
  <c r="R205" i="5"/>
  <c r="Q205" i="5"/>
  <c r="Y204" i="5"/>
  <c r="X204" i="5"/>
  <c r="W204" i="5"/>
  <c r="V204" i="5"/>
  <c r="U204" i="5"/>
  <c r="T204" i="5"/>
  <c r="S204" i="5"/>
  <c r="R204" i="5"/>
  <c r="Q204" i="5"/>
  <c r="Y203" i="5"/>
  <c r="X203" i="5"/>
  <c r="W203" i="5"/>
  <c r="V203" i="5"/>
  <c r="U203" i="5"/>
  <c r="T203" i="5"/>
  <c r="S203" i="5"/>
  <c r="R203" i="5"/>
  <c r="Q203" i="5"/>
  <c r="Y202" i="5"/>
  <c r="X202" i="5"/>
  <c r="W202" i="5"/>
  <c r="V202" i="5"/>
  <c r="U202" i="5"/>
  <c r="T202" i="5"/>
  <c r="S202" i="5"/>
  <c r="R202" i="5"/>
  <c r="Q202" i="5"/>
  <c r="Y201" i="5"/>
  <c r="X201" i="5"/>
  <c r="W201" i="5"/>
  <c r="V201" i="5"/>
  <c r="U201" i="5"/>
  <c r="T201" i="5"/>
  <c r="S201" i="5"/>
  <c r="R201" i="5"/>
  <c r="Q201" i="5"/>
  <c r="Y200" i="5"/>
  <c r="X200" i="5"/>
  <c r="W200" i="5"/>
  <c r="V200" i="5"/>
  <c r="U200" i="5"/>
  <c r="T200" i="5"/>
  <c r="S200" i="5"/>
  <c r="R200" i="5"/>
  <c r="Q200" i="5"/>
  <c r="Y199" i="5"/>
  <c r="X199" i="5"/>
  <c r="W199" i="5"/>
  <c r="V199" i="5"/>
  <c r="U199" i="5"/>
  <c r="T199" i="5"/>
  <c r="S199" i="5"/>
  <c r="R199" i="5"/>
  <c r="Q199" i="5"/>
  <c r="Y198" i="5"/>
  <c r="X198" i="5"/>
  <c r="W198" i="5"/>
  <c r="V198" i="5"/>
  <c r="U198" i="5"/>
  <c r="T198" i="5"/>
  <c r="S198" i="5"/>
  <c r="R198" i="5"/>
  <c r="Q198" i="5"/>
  <c r="Y197" i="5"/>
  <c r="X197" i="5"/>
  <c r="W197" i="5"/>
  <c r="V197" i="5"/>
  <c r="U197" i="5"/>
  <c r="T197" i="5"/>
  <c r="S197" i="5"/>
  <c r="R197" i="5"/>
  <c r="Q197" i="5"/>
  <c r="Y196" i="5"/>
  <c r="X196" i="5"/>
  <c r="W196" i="5"/>
  <c r="V196" i="5"/>
  <c r="U196" i="5"/>
  <c r="T196" i="5"/>
  <c r="S196" i="5"/>
  <c r="R196" i="5"/>
  <c r="Q196" i="5"/>
  <c r="Y195" i="5"/>
  <c r="X195" i="5"/>
  <c r="W195" i="5"/>
  <c r="V195" i="5"/>
  <c r="U195" i="5"/>
  <c r="T195" i="5"/>
  <c r="S195" i="5"/>
  <c r="R195" i="5"/>
  <c r="Q195" i="5"/>
  <c r="Y194" i="5"/>
  <c r="X194" i="5"/>
  <c r="W194" i="5"/>
  <c r="V194" i="5"/>
  <c r="U194" i="5"/>
  <c r="T194" i="5"/>
  <c r="S194" i="5"/>
  <c r="R194" i="5"/>
  <c r="Q194" i="5"/>
  <c r="Y193" i="5"/>
  <c r="X193" i="5"/>
  <c r="W193" i="5"/>
  <c r="V193" i="5"/>
  <c r="U193" i="5"/>
  <c r="T193" i="5"/>
  <c r="S193" i="5"/>
  <c r="R193" i="5"/>
  <c r="Q193" i="5"/>
  <c r="Y192" i="5"/>
  <c r="X192" i="5"/>
  <c r="W192" i="5"/>
  <c r="V192" i="5"/>
  <c r="U192" i="5"/>
  <c r="T192" i="5"/>
  <c r="S192" i="5"/>
  <c r="R192" i="5"/>
  <c r="Q192" i="5"/>
  <c r="Y191" i="5"/>
  <c r="X191" i="5"/>
  <c r="W191" i="5"/>
  <c r="V191" i="5"/>
  <c r="U191" i="5"/>
  <c r="T191" i="5"/>
  <c r="S191" i="5"/>
  <c r="R191" i="5"/>
  <c r="Q191" i="5"/>
  <c r="Y190" i="5"/>
  <c r="X190" i="5"/>
  <c r="W190" i="5"/>
  <c r="V190" i="5"/>
  <c r="U190" i="5"/>
  <c r="T190" i="5"/>
  <c r="S190" i="5"/>
  <c r="R190" i="5"/>
  <c r="Q190" i="5"/>
  <c r="Y189" i="5"/>
  <c r="X189" i="5"/>
  <c r="W189" i="5"/>
  <c r="V189" i="5"/>
  <c r="U189" i="5"/>
  <c r="T189" i="5"/>
  <c r="S189" i="5"/>
  <c r="R189" i="5"/>
  <c r="Q189" i="5"/>
  <c r="Y188" i="5"/>
  <c r="X188" i="5"/>
  <c r="W188" i="5"/>
  <c r="V188" i="5"/>
  <c r="U188" i="5"/>
  <c r="T188" i="5"/>
  <c r="S188" i="5"/>
  <c r="R188" i="5"/>
  <c r="Q188" i="5"/>
  <c r="Y187" i="5"/>
  <c r="X187" i="5"/>
  <c r="W187" i="5"/>
  <c r="V187" i="5"/>
  <c r="U187" i="5"/>
  <c r="T187" i="5"/>
  <c r="S187" i="5"/>
  <c r="R187" i="5"/>
  <c r="Q187" i="5"/>
  <c r="Y186" i="5"/>
  <c r="X186" i="5"/>
  <c r="W186" i="5"/>
  <c r="V186" i="5"/>
  <c r="U186" i="5"/>
  <c r="T186" i="5"/>
  <c r="S186" i="5"/>
  <c r="R186" i="5"/>
  <c r="Q186" i="5"/>
  <c r="Y185" i="5"/>
  <c r="X185" i="5"/>
  <c r="W185" i="5"/>
  <c r="V185" i="5"/>
  <c r="U185" i="5"/>
  <c r="T185" i="5"/>
  <c r="S185" i="5"/>
  <c r="R185" i="5"/>
  <c r="Q185" i="5"/>
  <c r="Y184" i="5"/>
  <c r="X184" i="5"/>
  <c r="W184" i="5"/>
  <c r="V184" i="5"/>
  <c r="U184" i="5"/>
  <c r="T184" i="5"/>
  <c r="S184" i="5"/>
  <c r="R184" i="5"/>
  <c r="Q184" i="5"/>
  <c r="Y183" i="5"/>
  <c r="X183" i="5"/>
  <c r="W183" i="5"/>
  <c r="V183" i="5"/>
  <c r="U183" i="5"/>
  <c r="T183" i="5"/>
  <c r="S183" i="5"/>
  <c r="R183" i="5"/>
  <c r="Q183" i="5"/>
  <c r="Y182" i="5"/>
  <c r="X182" i="5"/>
  <c r="W182" i="5"/>
  <c r="V182" i="5"/>
  <c r="U182" i="5"/>
  <c r="T182" i="5"/>
  <c r="S182" i="5"/>
  <c r="R182" i="5"/>
  <c r="Q182" i="5"/>
  <c r="Y181" i="5"/>
  <c r="X181" i="5"/>
  <c r="W181" i="5"/>
  <c r="V181" i="5"/>
  <c r="U181" i="5"/>
  <c r="T181" i="5"/>
  <c r="S181" i="5"/>
  <c r="R181" i="5"/>
  <c r="Q181" i="5"/>
  <c r="Y180" i="5"/>
  <c r="X180" i="5"/>
  <c r="W180" i="5"/>
  <c r="V180" i="5"/>
  <c r="U180" i="5"/>
  <c r="T180" i="5"/>
  <c r="S180" i="5"/>
  <c r="R180" i="5"/>
  <c r="Q180" i="5"/>
  <c r="Y179" i="5"/>
  <c r="X179" i="5"/>
  <c r="W179" i="5"/>
  <c r="V179" i="5"/>
  <c r="U179" i="5"/>
  <c r="T179" i="5"/>
  <c r="S179" i="5"/>
  <c r="R179" i="5"/>
  <c r="Q179" i="5"/>
  <c r="Y178" i="5"/>
  <c r="X178" i="5"/>
  <c r="W178" i="5"/>
  <c r="V178" i="5"/>
  <c r="U178" i="5"/>
  <c r="T178" i="5"/>
  <c r="S178" i="5"/>
  <c r="R178" i="5"/>
  <c r="Q178" i="5"/>
  <c r="Y177" i="5"/>
  <c r="X177" i="5"/>
  <c r="W177" i="5"/>
  <c r="V177" i="5"/>
  <c r="U177" i="5"/>
  <c r="T177" i="5"/>
  <c r="S177" i="5"/>
  <c r="R177" i="5"/>
  <c r="Q177" i="5"/>
  <c r="Y176" i="5"/>
  <c r="X176" i="5"/>
  <c r="W176" i="5"/>
  <c r="V176" i="5"/>
  <c r="U176" i="5"/>
  <c r="T176" i="5"/>
  <c r="S176" i="5"/>
  <c r="R176" i="5"/>
  <c r="Q176" i="5"/>
  <c r="Y175" i="5"/>
  <c r="X175" i="5"/>
  <c r="W175" i="5"/>
  <c r="V175" i="5"/>
  <c r="U175" i="5"/>
  <c r="T175" i="5"/>
  <c r="S175" i="5"/>
  <c r="R175" i="5"/>
  <c r="Q175" i="5"/>
  <c r="Y174" i="5"/>
  <c r="X174" i="5"/>
  <c r="W174" i="5"/>
  <c r="V174" i="5"/>
  <c r="U174" i="5"/>
  <c r="T174" i="5"/>
  <c r="S174" i="5"/>
  <c r="R174" i="5"/>
  <c r="Q174" i="5"/>
  <c r="Y173" i="5"/>
  <c r="X173" i="5"/>
  <c r="W173" i="5"/>
  <c r="V173" i="5"/>
  <c r="U173" i="5"/>
  <c r="T173" i="5"/>
  <c r="S173" i="5"/>
  <c r="R173" i="5"/>
  <c r="Q173" i="5"/>
  <c r="Y172" i="5"/>
  <c r="X172" i="5"/>
  <c r="W172" i="5"/>
  <c r="V172" i="5"/>
  <c r="U172" i="5"/>
  <c r="T172" i="5"/>
  <c r="S172" i="5"/>
  <c r="R172" i="5"/>
  <c r="Q172" i="5"/>
  <c r="Y171" i="5"/>
  <c r="X171" i="5"/>
  <c r="W171" i="5"/>
  <c r="V171" i="5"/>
  <c r="U171" i="5"/>
  <c r="T171" i="5"/>
  <c r="S171" i="5"/>
  <c r="R171" i="5"/>
  <c r="Q171" i="5"/>
  <c r="Y170" i="5"/>
  <c r="X170" i="5"/>
  <c r="W170" i="5"/>
  <c r="V170" i="5"/>
  <c r="U170" i="5"/>
  <c r="T170" i="5"/>
  <c r="S170" i="5"/>
  <c r="R170" i="5"/>
  <c r="Q170" i="5"/>
  <c r="Y169" i="5"/>
  <c r="X169" i="5"/>
  <c r="W169" i="5"/>
  <c r="V169" i="5"/>
  <c r="U169" i="5"/>
  <c r="T169" i="5"/>
  <c r="S169" i="5"/>
  <c r="R169" i="5"/>
  <c r="Q169" i="5"/>
  <c r="Y168" i="5"/>
  <c r="X168" i="5"/>
  <c r="W168" i="5"/>
  <c r="V168" i="5"/>
  <c r="U168" i="5"/>
  <c r="T168" i="5"/>
  <c r="S168" i="5"/>
  <c r="R168" i="5"/>
  <c r="Q168" i="5"/>
  <c r="Y167" i="5"/>
  <c r="X167" i="5"/>
  <c r="W167" i="5"/>
  <c r="V167" i="5"/>
  <c r="U167" i="5"/>
  <c r="T167" i="5"/>
  <c r="S167" i="5"/>
  <c r="R167" i="5"/>
  <c r="Q167" i="5"/>
  <c r="Y166" i="5"/>
  <c r="X166" i="5"/>
  <c r="W166" i="5"/>
  <c r="V166" i="5"/>
  <c r="U166" i="5"/>
  <c r="T166" i="5"/>
  <c r="S166" i="5"/>
  <c r="R166" i="5"/>
  <c r="Q166" i="5"/>
  <c r="Y165" i="5"/>
  <c r="X165" i="5"/>
  <c r="W165" i="5"/>
  <c r="V165" i="5"/>
  <c r="U165" i="5"/>
  <c r="T165" i="5"/>
  <c r="S165" i="5"/>
  <c r="R165" i="5"/>
  <c r="Q165" i="5"/>
  <c r="Y164" i="5"/>
  <c r="X164" i="5"/>
  <c r="W164" i="5"/>
  <c r="V164" i="5"/>
  <c r="U164" i="5"/>
  <c r="T164" i="5"/>
  <c r="S164" i="5"/>
  <c r="R164" i="5"/>
  <c r="Q164" i="5"/>
  <c r="Y163" i="5"/>
  <c r="X163" i="5"/>
  <c r="W163" i="5"/>
  <c r="V163" i="5"/>
  <c r="U163" i="5"/>
  <c r="T163" i="5"/>
  <c r="S163" i="5"/>
  <c r="R163" i="5"/>
  <c r="Q163" i="5"/>
  <c r="Y162" i="5"/>
  <c r="X162" i="5"/>
  <c r="W162" i="5"/>
  <c r="V162" i="5"/>
  <c r="U162" i="5"/>
  <c r="T162" i="5"/>
  <c r="S162" i="5"/>
  <c r="R162" i="5"/>
  <c r="Q162" i="5"/>
  <c r="Y161" i="5"/>
  <c r="X161" i="5"/>
  <c r="W161" i="5"/>
  <c r="V161" i="5"/>
  <c r="U161" i="5"/>
  <c r="T161" i="5"/>
  <c r="S161" i="5"/>
  <c r="R161" i="5"/>
  <c r="Q161" i="5"/>
  <c r="Y160" i="5"/>
  <c r="X160" i="5"/>
  <c r="W160" i="5"/>
  <c r="V160" i="5"/>
  <c r="U160" i="5"/>
  <c r="T160" i="5"/>
  <c r="S160" i="5"/>
  <c r="R160" i="5"/>
  <c r="Q160" i="5"/>
  <c r="Y159" i="5"/>
  <c r="X159" i="5"/>
  <c r="W159" i="5"/>
  <c r="V159" i="5"/>
  <c r="U159" i="5"/>
  <c r="T159" i="5"/>
  <c r="S159" i="5"/>
  <c r="R159" i="5"/>
  <c r="Q159" i="5"/>
  <c r="Y158" i="5"/>
  <c r="X158" i="5"/>
  <c r="W158" i="5"/>
  <c r="V158" i="5"/>
  <c r="U158" i="5"/>
  <c r="T158" i="5"/>
  <c r="S158" i="5"/>
  <c r="R158" i="5"/>
  <c r="Q158" i="5"/>
  <c r="Y157" i="5"/>
  <c r="X157" i="5"/>
  <c r="W157" i="5"/>
  <c r="V157" i="5"/>
  <c r="U157" i="5"/>
  <c r="T157" i="5"/>
  <c r="S157" i="5"/>
  <c r="R157" i="5"/>
  <c r="Q157" i="5"/>
  <c r="Y156" i="5"/>
  <c r="X156" i="5"/>
  <c r="W156" i="5"/>
  <c r="V156" i="5"/>
  <c r="U156" i="5"/>
  <c r="T156" i="5"/>
  <c r="S156" i="5"/>
  <c r="R156" i="5"/>
  <c r="Q156" i="5"/>
  <c r="Y155" i="5"/>
  <c r="X155" i="5"/>
  <c r="W155" i="5"/>
  <c r="V155" i="5"/>
  <c r="U155" i="5"/>
  <c r="T155" i="5"/>
  <c r="S155" i="5"/>
  <c r="R155" i="5"/>
  <c r="Q155" i="5"/>
  <c r="Y154" i="5"/>
  <c r="X154" i="5"/>
  <c r="W154" i="5"/>
  <c r="V154" i="5"/>
  <c r="U154" i="5"/>
  <c r="T154" i="5"/>
  <c r="S154" i="5"/>
  <c r="R154" i="5"/>
  <c r="Q154" i="5"/>
  <c r="Y153" i="5"/>
  <c r="X153" i="5"/>
  <c r="W153" i="5"/>
  <c r="V153" i="5"/>
  <c r="U153" i="5"/>
  <c r="T153" i="5"/>
  <c r="S153" i="5"/>
  <c r="R153" i="5"/>
  <c r="Q153" i="5"/>
  <c r="Y152" i="5"/>
  <c r="X152" i="5"/>
  <c r="W152" i="5"/>
  <c r="V152" i="5"/>
  <c r="U152" i="5"/>
  <c r="T152" i="5"/>
  <c r="S152" i="5"/>
  <c r="R152" i="5"/>
  <c r="Q152" i="5"/>
  <c r="Y151" i="5"/>
  <c r="X151" i="5"/>
  <c r="W151" i="5"/>
  <c r="V151" i="5"/>
  <c r="U151" i="5"/>
  <c r="T151" i="5"/>
  <c r="S151" i="5"/>
  <c r="R151" i="5"/>
  <c r="Q151" i="5"/>
  <c r="Y150" i="5"/>
  <c r="X150" i="5"/>
  <c r="W150" i="5"/>
  <c r="V150" i="5"/>
  <c r="U150" i="5"/>
  <c r="T150" i="5"/>
  <c r="S150" i="5"/>
  <c r="R150" i="5"/>
  <c r="Q150" i="5"/>
  <c r="Y149" i="5"/>
  <c r="X149" i="5"/>
  <c r="W149" i="5"/>
  <c r="V149" i="5"/>
  <c r="U149" i="5"/>
  <c r="T149" i="5"/>
  <c r="S149" i="5"/>
  <c r="R149" i="5"/>
  <c r="Q149" i="5"/>
  <c r="Y148" i="5"/>
  <c r="X148" i="5"/>
  <c r="W148" i="5"/>
  <c r="V148" i="5"/>
  <c r="U148" i="5"/>
  <c r="T148" i="5"/>
  <c r="S148" i="5"/>
  <c r="R148" i="5"/>
  <c r="Q148" i="5"/>
  <c r="Y147" i="5"/>
  <c r="X147" i="5"/>
  <c r="W147" i="5"/>
  <c r="V147" i="5"/>
  <c r="U147" i="5"/>
  <c r="T147" i="5"/>
  <c r="S147" i="5"/>
  <c r="R147" i="5"/>
  <c r="Q147" i="5"/>
  <c r="Y146" i="5"/>
  <c r="X146" i="5"/>
  <c r="W146" i="5"/>
  <c r="V146" i="5"/>
  <c r="U146" i="5"/>
  <c r="T146" i="5"/>
  <c r="S146" i="5"/>
  <c r="R146" i="5"/>
  <c r="Q146" i="5"/>
  <c r="Y145" i="5"/>
  <c r="X145" i="5"/>
  <c r="W145" i="5"/>
  <c r="V145" i="5"/>
  <c r="U145" i="5"/>
  <c r="T145" i="5"/>
  <c r="S145" i="5"/>
  <c r="R145" i="5"/>
  <c r="Q145" i="5"/>
  <c r="Y144" i="5"/>
  <c r="X144" i="5"/>
  <c r="W144" i="5"/>
  <c r="V144" i="5"/>
  <c r="U144" i="5"/>
  <c r="T144" i="5"/>
  <c r="S144" i="5"/>
  <c r="R144" i="5"/>
  <c r="Q144" i="5"/>
  <c r="Y143" i="5"/>
  <c r="X143" i="5"/>
  <c r="W143" i="5"/>
  <c r="V143" i="5"/>
  <c r="U143" i="5"/>
  <c r="T143" i="5"/>
  <c r="S143" i="5"/>
  <c r="R143" i="5"/>
  <c r="Q143" i="5"/>
  <c r="Y142" i="5"/>
  <c r="X142" i="5"/>
  <c r="W142" i="5"/>
  <c r="V142" i="5"/>
  <c r="U142" i="5"/>
  <c r="T142" i="5"/>
  <c r="S142" i="5"/>
  <c r="R142" i="5"/>
  <c r="Q142" i="5"/>
  <c r="Y141" i="5"/>
  <c r="X141" i="5"/>
  <c r="W141" i="5"/>
  <c r="V141" i="5"/>
  <c r="U141" i="5"/>
  <c r="T141" i="5"/>
  <c r="S141" i="5"/>
  <c r="R141" i="5"/>
  <c r="Q141" i="5"/>
  <c r="Y140" i="5"/>
  <c r="X140" i="5"/>
  <c r="W140" i="5"/>
  <c r="V140" i="5"/>
  <c r="U140" i="5"/>
  <c r="T140" i="5"/>
  <c r="S140" i="5"/>
  <c r="R140" i="5"/>
  <c r="Q140" i="5"/>
  <c r="Y139" i="5"/>
  <c r="X139" i="5"/>
  <c r="W139" i="5"/>
  <c r="V139" i="5"/>
  <c r="U139" i="5"/>
  <c r="T139" i="5"/>
  <c r="S139" i="5"/>
  <c r="R139" i="5"/>
  <c r="Q139" i="5"/>
  <c r="Y138" i="5"/>
  <c r="X138" i="5"/>
  <c r="W138" i="5"/>
  <c r="V138" i="5"/>
  <c r="U138" i="5"/>
  <c r="T138" i="5"/>
  <c r="S138" i="5"/>
  <c r="R138" i="5"/>
  <c r="Q138" i="5"/>
  <c r="Y137" i="5"/>
  <c r="X137" i="5"/>
  <c r="W137" i="5"/>
  <c r="V137" i="5"/>
  <c r="U137" i="5"/>
  <c r="T137" i="5"/>
  <c r="S137" i="5"/>
  <c r="R137" i="5"/>
  <c r="Q137" i="5"/>
  <c r="Y136" i="5"/>
  <c r="X136" i="5"/>
  <c r="W136" i="5"/>
  <c r="V136" i="5"/>
  <c r="U136" i="5"/>
  <c r="T136" i="5"/>
  <c r="S136" i="5"/>
  <c r="R136" i="5"/>
  <c r="Q136" i="5"/>
  <c r="Y135" i="5"/>
  <c r="X135" i="5"/>
  <c r="W135" i="5"/>
  <c r="V135" i="5"/>
  <c r="U135" i="5"/>
  <c r="T135" i="5"/>
  <c r="S135" i="5"/>
  <c r="R135" i="5"/>
  <c r="Q135" i="5"/>
  <c r="Y134" i="5"/>
  <c r="X134" i="5"/>
  <c r="W134" i="5"/>
  <c r="V134" i="5"/>
  <c r="U134" i="5"/>
  <c r="T134" i="5"/>
  <c r="S134" i="5"/>
  <c r="R134" i="5"/>
  <c r="Q134" i="5"/>
  <c r="Y133" i="5"/>
  <c r="X133" i="5"/>
  <c r="W133" i="5"/>
  <c r="V133" i="5"/>
  <c r="U133" i="5"/>
  <c r="T133" i="5"/>
  <c r="S133" i="5"/>
  <c r="R133" i="5"/>
  <c r="Q133" i="5"/>
  <c r="Y132" i="5"/>
  <c r="X132" i="5"/>
  <c r="W132" i="5"/>
  <c r="V132" i="5"/>
  <c r="U132" i="5"/>
  <c r="T132" i="5"/>
  <c r="S132" i="5"/>
  <c r="R132" i="5"/>
  <c r="Q132" i="5"/>
  <c r="Y131" i="5"/>
  <c r="X131" i="5"/>
  <c r="W131" i="5"/>
  <c r="V131" i="5"/>
  <c r="U131" i="5"/>
  <c r="T131" i="5"/>
  <c r="S131" i="5"/>
  <c r="R131" i="5"/>
  <c r="Q131" i="5"/>
  <c r="Y130" i="5"/>
  <c r="X130" i="5"/>
  <c r="W130" i="5"/>
  <c r="V130" i="5"/>
  <c r="U130" i="5"/>
  <c r="T130" i="5"/>
  <c r="S130" i="5"/>
  <c r="R130" i="5"/>
  <c r="Q130" i="5"/>
  <c r="Y129" i="5"/>
  <c r="X129" i="5"/>
  <c r="W129" i="5"/>
  <c r="V129" i="5"/>
  <c r="U129" i="5"/>
  <c r="T129" i="5"/>
  <c r="S129" i="5"/>
  <c r="R129" i="5"/>
  <c r="Q129" i="5"/>
  <c r="Y128" i="5"/>
  <c r="X128" i="5"/>
  <c r="W128" i="5"/>
  <c r="V128" i="5"/>
  <c r="U128" i="5"/>
  <c r="T128" i="5"/>
  <c r="S128" i="5"/>
  <c r="R128" i="5"/>
  <c r="Q128" i="5"/>
  <c r="Y127" i="5"/>
  <c r="X127" i="5"/>
  <c r="W127" i="5"/>
  <c r="V127" i="5"/>
  <c r="U127" i="5"/>
  <c r="T127" i="5"/>
  <c r="S127" i="5"/>
  <c r="R127" i="5"/>
  <c r="Q127" i="5"/>
  <c r="Y126" i="5"/>
  <c r="X126" i="5"/>
  <c r="W126" i="5"/>
  <c r="V126" i="5"/>
  <c r="U126" i="5"/>
  <c r="T126" i="5"/>
  <c r="S126" i="5"/>
  <c r="R126" i="5"/>
  <c r="Q126" i="5"/>
  <c r="Y125" i="5"/>
  <c r="X125" i="5"/>
  <c r="W125" i="5"/>
  <c r="V125" i="5"/>
  <c r="U125" i="5"/>
  <c r="T125" i="5"/>
  <c r="S125" i="5"/>
  <c r="R125" i="5"/>
  <c r="Q125" i="5"/>
  <c r="Y124" i="5"/>
  <c r="X124" i="5"/>
  <c r="W124" i="5"/>
  <c r="V124" i="5"/>
  <c r="U124" i="5"/>
  <c r="T124" i="5"/>
  <c r="S124" i="5"/>
  <c r="R124" i="5"/>
  <c r="Q124" i="5"/>
  <c r="Y123" i="5"/>
  <c r="X123" i="5"/>
  <c r="W123" i="5"/>
  <c r="V123" i="5"/>
  <c r="U123" i="5"/>
  <c r="T123" i="5"/>
  <c r="S123" i="5"/>
  <c r="R123" i="5"/>
  <c r="Q123" i="5"/>
  <c r="Y122" i="5"/>
  <c r="X122" i="5"/>
  <c r="W122" i="5"/>
  <c r="V122" i="5"/>
  <c r="U122" i="5"/>
  <c r="T122" i="5"/>
  <c r="S122" i="5"/>
  <c r="R122" i="5"/>
  <c r="Q122" i="5"/>
  <c r="Y121" i="5"/>
  <c r="X121" i="5"/>
  <c r="W121" i="5"/>
  <c r="V121" i="5"/>
  <c r="U121" i="5"/>
  <c r="T121" i="5"/>
  <c r="S121" i="5"/>
  <c r="R121" i="5"/>
  <c r="Q121" i="5"/>
  <c r="Y120" i="5"/>
  <c r="X120" i="5"/>
  <c r="W120" i="5"/>
  <c r="V120" i="5"/>
  <c r="U120" i="5"/>
  <c r="T120" i="5"/>
  <c r="S120" i="5"/>
  <c r="R120" i="5"/>
  <c r="Q120" i="5"/>
  <c r="Y119" i="5"/>
  <c r="X119" i="5"/>
  <c r="W119" i="5"/>
  <c r="V119" i="5"/>
  <c r="U119" i="5"/>
  <c r="T119" i="5"/>
  <c r="S119" i="5"/>
  <c r="R119" i="5"/>
  <c r="Q119" i="5"/>
  <c r="Y118" i="5"/>
  <c r="X118" i="5"/>
  <c r="W118" i="5"/>
  <c r="V118" i="5"/>
  <c r="U118" i="5"/>
  <c r="T118" i="5"/>
  <c r="S118" i="5"/>
  <c r="R118" i="5"/>
  <c r="Q118" i="5"/>
  <c r="Y117" i="5"/>
  <c r="X117" i="5"/>
  <c r="W117" i="5"/>
  <c r="V117" i="5"/>
  <c r="U117" i="5"/>
  <c r="T117" i="5"/>
  <c r="S117" i="5"/>
  <c r="R117" i="5"/>
  <c r="Q117" i="5"/>
  <c r="Y116" i="5"/>
  <c r="X116" i="5"/>
  <c r="W116" i="5"/>
  <c r="V116" i="5"/>
  <c r="U116" i="5"/>
  <c r="T116" i="5"/>
  <c r="S116" i="5"/>
  <c r="R116" i="5"/>
  <c r="Q116" i="5"/>
  <c r="Y115" i="5"/>
  <c r="X115" i="5"/>
  <c r="W115" i="5"/>
  <c r="V115" i="5"/>
  <c r="U115" i="5"/>
  <c r="T115" i="5"/>
  <c r="S115" i="5"/>
  <c r="R115" i="5"/>
  <c r="Q115" i="5"/>
  <c r="Y114" i="5"/>
  <c r="X114" i="5"/>
  <c r="W114" i="5"/>
  <c r="V114" i="5"/>
  <c r="U114" i="5"/>
  <c r="T114" i="5"/>
  <c r="S114" i="5"/>
  <c r="R114" i="5"/>
  <c r="Q114" i="5"/>
  <c r="Y113" i="5"/>
  <c r="X113" i="5"/>
  <c r="W113" i="5"/>
  <c r="V113" i="5"/>
  <c r="U113" i="5"/>
  <c r="T113" i="5"/>
  <c r="S113" i="5"/>
  <c r="R113" i="5"/>
  <c r="Q113" i="5"/>
  <c r="Y112" i="5"/>
  <c r="X112" i="5"/>
  <c r="W112" i="5"/>
  <c r="V112" i="5"/>
  <c r="U112" i="5"/>
  <c r="T112" i="5"/>
  <c r="S112" i="5"/>
  <c r="R112" i="5"/>
  <c r="Q112" i="5"/>
  <c r="Y111" i="5"/>
  <c r="X111" i="5"/>
  <c r="W111" i="5"/>
  <c r="V111" i="5"/>
  <c r="U111" i="5"/>
  <c r="T111" i="5"/>
  <c r="S111" i="5"/>
  <c r="R111" i="5"/>
  <c r="Q111" i="5"/>
  <c r="Y110" i="5"/>
  <c r="X110" i="5"/>
  <c r="W110" i="5"/>
  <c r="V110" i="5"/>
  <c r="U110" i="5"/>
  <c r="T110" i="5"/>
  <c r="S110" i="5"/>
  <c r="R110" i="5"/>
  <c r="Q110" i="5"/>
  <c r="Y109" i="5"/>
  <c r="X109" i="5"/>
  <c r="W109" i="5"/>
  <c r="V109" i="5"/>
  <c r="U109" i="5"/>
  <c r="T109" i="5"/>
  <c r="S109" i="5"/>
  <c r="R109" i="5"/>
  <c r="Q109" i="5"/>
  <c r="Y108" i="5"/>
  <c r="X108" i="5"/>
  <c r="W108" i="5"/>
  <c r="V108" i="5"/>
  <c r="U108" i="5"/>
  <c r="T108" i="5"/>
  <c r="S108" i="5"/>
  <c r="R108" i="5"/>
  <c r="Q108" i="5"/>
  <c r="Y107" i="5"/>
  <c r="X107" i="5"/>
  <c r="W107" i="5"/>
  <c r="V107" i="5"/>
  <c r="U107" i="5"/>
  <c r="T107" i="5"/>
  <c r="S107" i="5"/>
  <c r="R107" i="5"/>
  <c r="Q107" i="5"/>
  <c r="Y106" i="5"/>
  <c r="X106" i="5"/>
  <c r="W106" i="5"/>
  <c r="V106" i="5"/>
  <c r="U106" i="5"/>
  <c r="T106" i="5"/>
  <c r="S106" i="5"/>
  <c r="R106" i="5"/>
  <c r="Q106" i="5"/>
  <c r="Y105" i="5"/>
  <c r="X105" i="5"/>
  <c r="W105" i="5"/>
  <c r="V105" i="5"/>
  <c r="U105" i="5"/>
  <c r="T105" i="5"/>
  <c r="S105" i="5"/>
  <c r="R105" i="5"/>
  <c r="Q105" i="5"/>
  <c r="Y104" i="5"/>
  <c r="X104" i="5"/>
  <c r="W104" i="5"/>
  <c r="V104" i="5"/>
  <c r="U104" i="5"/>
  <c r="T104" i="5"/>
  <c r="S104" i="5"/>
  <c r="R104" i="5"/>
  <c r="Q104" i="5"/>
  <c r="Y103" i="5"/>
  <c r="X103" i="5"/>
  <c r="W103" i="5"/>
  <c r="V103" i="5"/>
  <c r="U103" i="5"/>
  <c r="T103" i="5"/>
  <c r="S103" i="5"/>
  <c r="R103" i="5"/>
  <c r="Q103" i="5"/>
  <c r="Y102" i="5"/>
  <c r="X102" i="5"/>
  <c r="W102" i="5"/>
  <c r="V102" i="5"/>
  <c r="U102" i="5"/>
  <c r="T102" i="5"/>
  <c r="S102" i="5"/>
  <c r="R102" i="5"/>
  <c r="Q102" i="5"/>
  <c r="Y101" i="5"/>
  <c r="X101" i="5"/>
  <c r="W101" i="5"/>
  <c r="V101" i="5"/>
  <c r="U101" i="5"/>
  <c r="T101" i="5"/>
  <c r="S101" i="5"/>
  <c r="R101" i="5"/>
  <c r="Q101" i="5"/>
  <c r="Y100" i="5"/>
  <c r="X100" i="5"/>
  <c r="W100" i="5"/>
  <c r="V100" i="5"/>
  <c r="U100" i="5"/>
  <c r="T100" i="5"/>
  <c r="S100" i="5"/>
  <c r="R100" i="5"/>
  <c r="Q100" i="5"/>
  <c r="Y99" i="5"/>
  <c r="X99" i="5"/>
  <c r="W99" i="5"/>
  <c r="V99" i="5"/>
  <c r="U99" i="5"/>
  <c r="T99" i="5"/>
  <c r="S99" i="5"/>
  <c r="R99" i="5"/>
  <c r="Q99" i="5"/>
  <c r="Y98" i="5"/>
  <c r="X98" i="5"/>
  <c r="W98" i="5"/>
  <c r="V98" i="5"/>
  <c r="U98" i="5"/>
  <c r="T98" i="5"/>
  <c r="S98" i="5"/>
  <c r="R98" i="5"/>
  <c r="Q98" i="5"/>
  <c r="Y97" i="5"/>
  <c r="X97" i="5"/>
  <c r="W97" i="5"/>
  <c r="V97" i="5"/>
  <c r="U97" i="5"/>
  <c r="T97" i="5"/>
  <c r="S97" i="5"/>
  <c r="R97" i="5"/>
  <c r="Q97" i="5"/>
  <c r="Y96" i="5"/>
  <c r="X96" i="5"/>
  <c r="W96" i="5"/>
  <c r="V96" i="5"/>
  <c r="U96" i="5"/>
  <c r="T96" i="5"/>
  <c r="S96" i="5"/>
  <c r="R96" i="5"/>
  <c r="Q96" i="5"/>
  <c r="Y95" i="5"/>
  <c r="X95" i="5"/>
  <c r="W95" i="5"/>
  <c r="V95" i="5"/>
  <c r="U95" i="5"/>
  <c r="T95" i="5"/>
  <c r="S95" i="5"/>
  <c r="R95" i="5"/>
  <c r="Q95" i="5"/>
  <c r="Y94" i="5"/>
  <c r="X94" i="5"/>
  <c r="W94" i="5"/>
  <c r="V94" i="5"/>
  <c r="U94" i="5"/>
  <c r="T94" i="5"/>
  <c r="S94" i="5"/>
  <c r="R94" i="5"/>
  <c r="Q94" i="5"/>
  <c r="Y93" i="5"/>
  <c r="X93" i="5"/>
  <c r="W93" i="5"/>
  <c r="V93" i="5"/>
  <c r="U93" i="5"/>
  <c r="T93" i="5"/>
  <c r="S93" i="5"/>
  <c r="R93" i="5"/>
  <c r="Q93" i="5"/>
  <c r="Y92" i="5"/>
  <c r="X92" i="5"/>
  <c r="W92" i="5"/>
  <c r="V92" i="5"/>
  <c r="U92" i="5"/>
  <c r="T92" i="5"/>
  <c r="S92" i="5"/>
  <c r="R92" i="5"/>
  <c r="Q92" i="5"/>
  <c r="Y91" i="5"/>
  <c r="X91" i="5"/>
  <c r="W91" i="5"/>
  <c r="V91" i="5"/>
  <c r="U91" i="5"/>
  <c r="T91" i="5"/>
  <c r="S91" i="5"/>
  <c r="R91" i="5"/>
  <c r="Q91" i="5"/>
  <c r="Y90" i="5"/>
  <c r="X90" i="5"/>
  <c r="W90" i="5"/>
  <c r="V90" i="5"/>
  <c r="U90" i="5"/>
  <c r="T90" i="5"/>
  <c r="S90" i="5"/>
  <c r="R90" i="5"/>
  <c r="Q90" i="5"/>
  <c r="Y89" i="5"/>
  <c r="X89" i="5"/>
  <c r="W89" i="5"/>
  <c r="V89" i="5"/>
  <c r="U89" i="5"/>
  <c r="T89" i="5"/>
  <c r="S89" i="5"/>
  <c r="R89" i="5"/>
  <c r="Q89" i="5"/>
  <c r="Y88" i="5"/>
  <c r="X88" i="5"/>
  <c r="W88" i="5"/>
  <c r="V88" i="5"/>
  <c r="U88" i="5"/>
  <c r="T88" i="5"/>
  <c r="S88" i="5"/>
  <c r="R88" i="5"/>
  <c r="Q88" i="5"/>
  <c r="Y87" i="5"/>
  <c r="X87" i="5"/>
  <c r="W87" i="5"/>
  <c r="V87" i="5"/>
  <c r="U87" i="5"/>
  <c r="T87" i="5"/>
  <c r="S87" i="5"/>
  <c r="R87" i="5"/>
  <c r="Q87" i="5"/>
  <c r="Y86" i="5"/>
  <c r="X86" i="5"/>
  <c r="W86" i="5"/>
  <c r="V86" i="5"/>
  <c r="U86" i="5"/>
  <c r="T86" i="5"/>
  <c r="S86" i="5"/>
  <c r="R86" i="5"/>
  <c r="Q86" i="5"/>
  <c r="Y85" i="5"/>
  <c r="X85" i="5"/>
  <c r="W85" i="5"/>
  <c r="V85" i="5"/>
  <c r="U85" i="5"/>
  <c r="T85" i="5"/>
  <c r="S85" i="5"/>
  <c r="R85" i="5"/>
  <c r="Q85" i="5"/>
  <c r="Y84" i="5"/>
  <c r="X84" i="5"/>
  <c r="W84" i="5"/>
  <c r="V84" i="5"/>
  <c r="U84" i="5"/>
  <c r="T84" i="5"/>
  <c r="S84" i="5"/>
  <c r="R84" i="5"/>
  <c r="Q84" i="5"/>
  <c r="Y83" i="5"/>
  <c r="X83" i="5"/>
  <c r="W83" i="5"/>
  <c r="V83" i="5"/>
  <c r="U83" i="5"/>
  <c r="T83" i="5"/>
  <c r="S83" i="5"/>
  <c r="R83" i="5"/>
  <c r="Q83" i="5"/>
  <c r="Y82" i="5"/>
  <c r="X82" i="5"/>
  <c r="W82" i="5"/>
  <c r="V82" i="5"/>
  <c r="U82" i="5"/>
  <c r="T82" i="5"/>
  <c r="S82" i="5"/>
  <c r="R82" i="5"/>
  <c r="Q82" i="5"/>
  <c r="Y81" i="5"/>
  <c r="X81" i="5"/>
  <c r="W81" i="5"/>
  <c r="V81" i="5"/>
  <c r="U81" i="5"/>
  <c r="T81" i="5"/>
  <c r="S81" i="5"/>
  <c r="R81" i="5"/>
  <c r="Q81" i="5"/>
  <c r="Y80" i="5"/>
  <c r="X80" i="5"/>
  <c r="W80" i="5"/>
  <c r="V80" i="5"/>
  <c r="U80" i="5"/>
  <c r="T80" i="5"/>
  <c r="S80" i="5"/>
  <c r="R80" i="5"/>
  <c r="Q80" i="5"/>
  <c r="Y79" i="5"/>
  <c r="X79" i="5"/>
  <c r="W79" i="5"/>
  <c r="V79" i="5"/>
  <c r="U79" i="5"/>
  <c r="T79" i="5"/>
  <c r="S79" i="5"/>
  <c r="R79" i="5"/>
  <c r="Q79" i="5"/>
  <c r="Y78" i="5"/>
  <c r="X78" i="5"/>
  <c r="W78" i="5"/>
  <c r="V78" i="5"/>
  <c r="U78" i="5"/>
  <c r="T78" i="5"/>
  <c r="S78" i="5"/>
  <c r="R78" i="5"/>
  <c r="Q78" i="5"/>
  <c r="Y77" i="5"/>
  <c r="X77" i="5"/>
  <c r="W77" i="5"/>
  <c r="V77" i="5"/>
  <c r="U77" i="5"/>
  <c r="T77" i="5"/>
  <c r="S77" i="5"/>
  <c r="R77" i="5"/>
  <c r="Q77" i="5"/>
  <c r="Y76" i="5"/>
  <c r="X76" i="5"/>
  <c r="W76" i="5"/>
  <c r="V76" i="5"/>
  <c r="U76" i="5"/>
  <c r="T76" i="5"/>
  <c r="S76" i="5"/>
  <c r="R76" i="5"/>
  <c r="Q76" i="5"/>
  <c r="Y75" i="5"/>
  <c r="X75" i="5"/>
  <c r="W75" i="5"/>
  <c r="V75" i="5"/>
  <c r="U75" i="5"/>
  <c r="T75" i="5"/>
  <c r="S75" i="5"/>
  <c r="R75" i="5"/>
  <c r="Q75" i="5"/>
  <c r="Y74" i="5"/>
  <c r="X74" i="5"/>
  <c r="W74" i="5"/>
  <c r="V74" i="5"/>
  <c r="U74" i="5"/>
  <c r="T74" i="5"/>
  <c r="S74" i="5"/>
  <c r="R74" i="5"/>
  <c r="Q74" i="5"/>
  <c r="Y73" i="5"/>
  <c r="X73" i="5"/>
  <c r="W73" i="5"/>
  <c r="V73" i="5"/>
  <c r="U73" i="5"/>
  <c r="T73" i="5"/>
  <c r="S73" i="5"/>
  <c r="R73" i="5"/>
  <c r="Q73" i="5"/>
  <c r="Y72" i="5"/>
  <c r="X72" i="5"/>
  <c r="W72" i="5"/>
  <c r="V72" i="5"/>
  <c r="U72" i="5"/>
  <c r="T72" i="5"/>
  <c r="S72" i="5"/>
  <c r="R72" i="5"/>
  <c r="Q72" i="5"/>
  <c r="Y71" i="5"/>
  <c r="X71" i="5"/>
  <c r="W71" i="5"/>
  <c r="V71" i="5"/>
  <c r="U71" i="5"/>
  <c r="T71" i="5"/>
  <c r="S71" i="5"/>
  <c r="R71" i="5"/>
  <c r="Q71" i="5"/>
  <c r="Y70" i="5"/>
  <c r="X70" i="5"/>
  <c r="W70" i="5"/>
  <c r="V70" i="5"/>
  <c r="U70" i="5"/>
  <c r="T70" i="5"/>
  <c r="S70" i="5"/>
  <c r="R70" i="5"/>
  <c r="Q70" i="5"/>
  <c r="Y69" i="5"/>
  <c r="X69" i="5"/>
  <c r="W69" i="5"/>
  <c r="V69" i="5"/>
  <c r="U69" i="5"/>
  <c r="T69" i="5"/>
  <c r="S69" i="5"/>
  <c r="R69" i="5"/>
  <c r="Q69" i="5"/>
  <c r="Y68" i="5"/>
  <c r="X68" i="5"/>
  <c r="W68" i="5"/>
  <c r="V68" i="5"/>
  <c r="U68" i="5"/>
  <c r="T68" i="5"/>
  <c r="S68" i="5"/>
  <c r="R68" i="5"/>
  <c r="Q68" i="5"/>
  <c r="Y67" i="5"/>
  <c r="X67" i="5"/>
  <c r="W67" i="5"/>
  <c r="V67" i="5"/>
  <c r="U67" i="5"/>
  <c r="T67" i="5"/>
  <c r="S67" i="5"/>
  <c r="R67" i="5"/>
  <c r="Q67" i="5"/>
  <c r="Y66" i="5"/>
  <c r="X66" i="5"/>
  <c r="W66" i="5"/>
  <c r="V66" i="5"/>
  <c r="U66" i="5"/>
  <c r="T66" i="5"/>
  <c r="S66" i="5"/>
  <c r="R66" i="5"/>
  <c r="Q66" i="5"/>
  <c r="Y65" i="5"/>
  <c r="X65" i="5"/>
  <c r="W65" i="5"/>
  <c r="V65" i="5"/>
  <c r="U65" i="5"/>
  <c r="T65" i="5"/>
  <c r="S65" i="5"/>
  <c r="R65" i="5"/>
  <c r="Q65" i="5"/>
  <c r="Y64" i="5"/>
  <c r="X64" i="5"/>
  <c r="W64" i="5"/>
  <c r="V64" i="5"/>
  <c r="U64" i="5"/>
  <c r="T64" i="5"/>
  <c r="S64" i="5"/>
  <c r="R64" i="5"/>
  <c r="Q64" i="5"/>
  <c r="Y63" i="5"/>
  <c r="X63" i="5"/>
  <c r="W63" i="5"/>
  <c r="V63" i="5"/>
  <c r="U63" i="5"/>
  <c r="T63" i="5"/>
  <c r="S63" i="5"/>
  <c r="R63" i="5"/>
  <c r="Q63" i="5"/>
  <c r="Y62" i="5"/>
  <c r="X62" i="5"/>
  <c r="W62" i="5"/>
  <c r="V62" i="5"/>
  <c r="U62" i="5"/>
  <c r="T62" i="5"/>
  <c r="S62" i="5"/>
  <c r="R62" i="5"/>
  <c r="Q62" i="5"/>
  <c r="Y61" i="5"/>
  <c r="X61" i="5"/>
  <c r="W61" i="5"/>
  <c r="V61" i="5"/>
  <c r="U61" i="5"/>
  <c r="T61" i="5"/>
  <c r="S61" i="5"/>
  <c r="R61" i="5"/>
  <c r="Q61" i="5"/>
  <c r="Y60" i="5"/>
  <c r="X60" i="5"/>
  <c r="W60" i="5"/>
  <c r="V60" i="5"/>
  <c r="U60" i="5"/>
  <c r="T60" i="5"/>
  <c r="S60" i="5"/>
  <c r="R60" i="5"/>
  <c r="Q60" i="5"/>
  <c r="Y59" i="5"/>
  <c r="X59" i="5"/>
  <c r="W59" i="5"/>
  <c r="V59" i="5"/>
  <c r="U59" i="5"/>
  <c r="T59" i="5"/>
  <c r="S59" i="5"/>
  <c r="R59" i="5"/>
  <c r="Q59" i="5"/>
  <c r="Y58" i="5"/>
  <c r="X58" i="5"/>
  <c r="W58" i="5"/>
  <c r="V58" i="5"/>
  <c r="U58" i="5"/>
  <c r="T58" i="5"/>
  <c r="S58" i="5"/>
  <c r="R58" i="5"/>
  <c r="Q58" i="5"/>
  <c r="Y57" i="5"/>
  <c r="X57" i="5"/>
  <c r="W57" i="5"/>
  <c r="V57" i="5"/>
  <c r="U57" i="5"/>
  <c r="T57" i="5"/>
  <c r="S57" i="5"/>
  <c r="R57" i="5"/>
  <c r="Q57" i="5"/>
  <c r="Y56" i="5"/>
  <c r="X56" i="5"/>
  <c r="W56" i="5"/>
  <c r="V56" i="5"/>
  <c r="U56" i="5"/>
  <c r="T56" i="5"/>
  <c r="S56" i="5"/>
  <c r="R56" i="5"/>
  <c r="Q56" i="5"/>
  <c r="Y55" i="5"/>
  <c r="X55" i="5"/>
  <c r="W55" i="5"/>
  <c r="V55" i="5"/>
  <c r="U55" i="5"/>
  <c r="T55" i="5"/>
  <c r="S55" i="5"/>
  <c r="R55" i="5"/>
  <c r="Q55" i="5"/>
  <c r="Y54" i="5"/>
  <c r="X54" i="5"/>
  <c r="W54" i="5"/>
  <c r="V54" i="5"/>
  <c r="U54" i="5"/>
  <c r="T54" i="5"/>
  <c r="S54" i="5"/>
  <c r="R54" i="5"/>
  <c r="Q54" i="5"/>
  <c r="Y53" i="5"/>
  <c r="X53" i="5"/>
  <c r="W53" i="5"/>
  <c r="V53" i="5"/>
  <c r="U53" i="5"/>
  <c r="T53" i="5"/>
  <c r="S53" i="5"/>
  <c r="R53" i="5"/>
  <c r="Q53" i="5"/>
  <c r="Y52" i="5"/>
  <c r="X52" i="5"/>
  <c r="W52" i="5"/>
  <c r="V52" i="5"/>
  <c r="U52" i="5"/>
  <c r="T52" i="5"/>
  <c r="S52" i="5"/>
  <c r="R52" i="5"/>
  <c r="Q52" i="5"/>
  <c r="Y51" i="5"/>
  <c r="X51" i="5"/>
  <c r="W51" i="5"/>
  <c r="V51" i="5"/>
  <c r="U51" i="5"/>
  <c r="T51" i="5"/>
  <c r="S51" i="5"/>
  <c r="R51" i="5"/>
  <c r="Q51" i="5"/>
  <c r="Y50" i="5"/>
  <c r="X50" i="5"/>
  <c r="W50" i="5"/>
  <c r="V50" i="5"/>
  <c r="U50" i="5"/>
  <c r="T50" i="5"/>
  <c r="S50" i="5"/>
  <c r="R50" i="5"/>
  <c r="Q50" i="5"/>
  <c r="Y49" i="5"/>
  <c r="X49" i="5"/>
  <c r="W49" i="5"/>
  <c r="V49" i="5"/>
  <c r="U49" i="5"/>
  <c r="T49" i="5"/>
  <c r="S49" i="5"/>
  <c r="R49" i="5"/>
  <c r="Q49" i="5"/>
  <c r="Y48" i="5"/>
  <c r="X48" i="5"/>
  <c r="W48" i="5"/>
  <c r="V48" i="5"/>
  <c r="U48" i="5"/>
  <c r="T48" i="5"/>
  <c r="S48" i="5"/>
  <c r="R48" i="5"/>
  <c r="Q48" i="5"/>
  <c r="Y47" i="5"/>
  <c r="X47" i="5"/>
  <c r="W47" i="5"/>
  <c r="V47" i="5"/>
  <c r="U47" i="5"/>
  <c r="T47" i="5"/>
  <c r="S47" i="5"/>
  <c r="R47" i="5"/>
  <c r="Q47" i="5"/>
  <c r="Y46" i="5"/>
  <c r="X46" i="5"/>
  <c r="W46" i="5"/>
  <c r="V46" i="5"/>
  <c r="U46" i="5"/>
  <c r="T46" i="5"/>
  <c r="S46" i="5"/>
  <c r="R46" i="5"/>
  <c r="Q46" i="5"/>
  <c r="Y45" i="5"/>
  <c r="X45" i="5"/>
  <c r="W45" i="5"/>
  <c r="V45" i="5"/>
  <c r="U45" i="5"/>
  <c r="T45" i="5"/>
  <c r="S45" i="5"/>
  <c r="R45" i="5"/>
  <c r="Q45" i="5"/>
  <c r="Y44" i="5"/>
  <c r="X44" i="5"/>
  <c r="W44" i="5"/>
  <c r="V44" i="5"/>
  <c r="U44" i="5"/>
  <c r="T44" i="5"/>
  <c r="S44" i="5"/>
  <c r="R44" i="5"/>
  <c r="Q44" i="5"/>
  <c r="Y43" i="5"/>
  <c r="X43" i="5"/>
  <c r="W43" i="5"/>
  <c r="V43" i="5"/>
  <c r="U43" i="5"/>
  <c r="T43" i="5"/>
  <c r="S43" i="5"/>
  <c r="R43" i="5"/>
  <c r="Q43" i="5"/>
  <c r="Y42" i="5"/>
  <c r="X42" i="5"/>
  <c r="W42" i="5"/>
  <c r="V42" i="5"/>
  <c r="U42" i="5"/>
  <c r="T42" i="5"/>
  <c r="S42" i="5"/>
  <c r="R42" i="5"/>
  <c r="Q42" i="5"/>
  <c r="Y41" i="5"/>
  <c r="X41" i="5"/>
  <c r="W41" i="5"/>
  <c r="V41" i="5"/>
  <c r="U41" i="5"/>
  <c r="T41" i="5"/>
  <c r="S41" i="5"/>
  <c r="R41" i="5"/>
  <c r="Q41" i="5"/>
  <c r="Y40" i="5"/>
  <c r="X40" i="5"/>
  <c r="W40" i="5"/>
  <c r="V40" i="5"/>
  <c r="U40" i="5"/>
  <c r="T40" i="5"/>
  <c r="S40" i="5"/>
  <c r="R40" i="5"/>
  <c r="Q40" i="5"/>
  <c r="Y39" i="5"/>
  <c r="X39" i="5"/>
  <c r="W39" i="5"/>
  <c r="V39" i="5"/>
  <c r="U39" i="5"/>
  <c r="T39" i="5"/>
  <c r="S39" i="5"/>
  <c r="R39" i="5"/>
  <c r="Q39" i="5"/>
  <c r="Y38" i="5"/>
  <c r="X38" i="5"/>
  <c r="W38" i="5"/>
  <c r="V38" i="5"/>
  <c r="U38" i="5"/>
  <c r="T38" i="5"/>
  <c r="S38" i="5"/>
  <c r="R38" i="5"/>
  <c r="Q38" i="5"/>
  <c r="Y37" i="5"/>
  <c r="X37" i="5"/>
  <c r="W37" i="5"/>
  <c r="V37" i="5"/>
  <c r="U37" i="5"/>
  <c r="T37" i="5"/>
  <c r="S37" i="5"/>
  <c r="R37" i="5"/>
  <c r="Q37" i="5"/>
  <c r="Y36" i="5"/>
  <c r="X36" i="5"/>
  <c r="W36" i="5"/>
  <c r="V36" i="5"/>
  <c r="U36" i="5"/>
  <c r="T36" i="5"/>
  <c r="S36" i="5"/>
  <c r="R36" i="5"/>
  <c r="Q36" i="5"/>
  <c r="Y35" i="5"/>
  <c r="X35" i="5"/>
  <c r="W35" i="5"/>
  <c r="V35" i="5"/>
  <c r="U35" i="5"/>
  <c r="T35" i="5"/>
  <c r="S35" i="5"/>
  <c r="R35" i="5"/>
  <c r="Q35" i="5"/>
  <c r="Y34" i="5"/>
  <c r="X34" i="5"/>
  <c r="W34" i="5"/>
  <c r="V34" i="5"/>
  <c r="U34" i="5"/>
  <c r="T34" i="5"/>
  <c r="S34" i="5"/>
  <c r="R34" i="5"/>
  <c r="Q34" i="5"/>
  <c r="Y33" i="5"/>
  <c r="X33" i="5"/>
  <c r="W33" i="5"/>
  <c r="V33" i="5"/>
  <c r="U33" i="5"/>
  <c r="T33" i="5"/>
  <c r="S33" i="5"/>
  <c r="R33" i="5"/>
  <c r="Q33" i="5"/>
  <c r="Y32" i="5"/>
  <c r="X32" i="5"/>
  <c r="W32" i="5"/>
  <c r="V32" i="5"/>
  <c r="U32" i="5"/>
  <c r="T32" i="5"/>
  <c r="S32" i="5"/>
  <c r="R32" i="5"/>
  <c r="Q32" i="5"/>
  <c r="Y31" i="5"/>
  <c r="X31" i="5"/>
  <c r="W31" i="5"/>
  <c r="V31" i="5"/>
  <c r="U31" i="5"/>
  <c r="T31" i="5"/>
  <c r="S31" i="5"/>
  <c r="R31" i="5"/>
  <c r="Q31" i="5"/>
  <c r="Y30" i="5"/>
  <c r="X30" i="5"/>
  <c r="W30" i="5"/>
  <c r="V30" i="5"/>
  <c r="U30" i="5"/>
  <c r="T30" i="5"/>
  <c r="S30" i="5"/>
  <c r="R30" i="5"/>
  <c r="Q30" i="5"/>
  <c r="Y29" i="5"/>
  <c r="X29" i="5"/>
  <c r="W29" i="5"/>
  <c r="V29" i="5"/>
  <c r="U29" i="5"/>
  <c r="T29" i="5"/>
  <c r="S29" i="5"/>
  <c r="R29" i="5"/>
  <c r="Q29" i="5"/>
  <c r="Y28" i="5"/>
  <c r="X28" i="5"/>
  <c r="W28" i="5"/>
  <c r="V28" i="5"/>
  <c r="U28" i="5"/>
  <c r="T28" i="5"/>
  <c r="S28" i="5"/>
  <c r="R28" i="5"/>
  <c r="Q28" i="5"/>
  <c r="Y27" i="5"/>
  <c r="X27" i="5"/>
  <c r="W27" i="5"/>
  <c r="V27" i="5"/>
  <c r="U27" i="5"/>
  <c r="T27" i="5"/>
  <c r="S27" i="5"/>
  <c r="R27" i="5"/>
  <c r="Q27" i="5"/>
  <c r="Y26" i="5"/>
  <c r="X26" i="5"/>
  <c r="W26" i="5"/>
  <c r="V26" i="5"/>
  <c r="U26" i="5"/>
  <c r="T26" i="5"/>
  <c r="S26" i="5"/>
  <c r="R26" i="5"/>
  <c r="Q26" i="5"/>
  <c r="Y25" i="5"/>
  <c r="X25" i="5"/>
  <c r="W25" i="5"/>
  <c r="V25" i="5"/>
  <c r="U25" i="5"/>
  <c r="T25" i="5"/>
  <c r="S25" i="5"/>
  <c r="R25" i="5"/>
  <c r="Q25" i="5"/>
  <c r="Y24" i="5"/>
  <c r="X24" i="5"/>
  <c r="W24" i="5"/>
  <c r="V24" i="5"/>
  <c r="U24" i="5"/>
  <c r="T24" i="5"/>
  <c r="S24" i="5"/>
  <c r="R24" i="5"/>
  <c r="Q24" i="5"/>
  <c r="Y23" i="5"/>
  <c r="X23" i="5"/>
  <c r="W23" i="5"/>
  <c r="V23" i="5"/>
  <c r="U23" i="5"/>
  <c r="T23" i="5"/>
  <c r="S23" i="5"/>
  <c r="R23" i="5"/>
  <c r="Q23" i="5"/>
  <c r="Y22" i="5"/>
  <c r="X22" i="5"/>
  <c r="W22" i="5"/>
  <c r="V22" i="5"/>
  <c r="U22" i="5"/>
  <c r="T22" i="5"/>
  <c r="S22" i="5"/>
  <c r="R22" i="5"/>
  <c r="Q22" i="5"/>
  <c r="Y21" i="5"/>
  <c r="X21" i="5"/>
  <c r="W21" i="5"/>
  <c r="V21" i="5"/>
  <c r="U21" i="5"/>
  <c r="T21" i="5"/>
  <c r="S21" i="5"/>
  <c r="R21" i="5"/>
  <c r="Q21" i="5"/>
  <c r="Y20" i="5"/>
  <c r="X20" i="5"/>
  <c r="W20" i="5"/>
  <c r="V20" i="5"/>
  <c r="U20" i="5"/>
  <c r="T20" i="5"/>
  <c r="S20" i="5"/>
  <c r="R20" i="5"/>
  <c r="Q20" i="5"/>
  <c r="Y19" i="5"/>
  <c r="X19" i="5"/>
  <c r="W19" i="5"/>
  <c r="V19" i="5"/>
  <c r="U19" i="5"/>
  <c r="T19" i="5"/>
  <c r="S19" i="5"/>
  <c r="R19" i="5"/>
  <c r="Q19" i="5"/>
  <c r="Y18" i="5"/>
  <c r="X18" i="5"/>
  <c r="W18" i="5"/>
  <c r="V18" i="5"/>
  <c r="U18" i="5"/>
  <c r="T18" i="5"/>
  <c r="S18" i="5"/>
  <c r="R18" i="5"/>
  <c r="Q18" i="5"/>
  <c r="Y17" i="5"/>
  <c r="X17" i="5"/>
  <c r="W17" i="5"/>
  <c r="V17" i="5"/>
  <c r="U17" i="5"/>
  <c r="T17" i="5"/>
  <c r="S17" i="5"/>
  <c r="R17" i="5"/>
  <c r="Q17" i="5"/>
  <c r="Y16" i="5"/>
  <c r="X16" i="5"/>
  <c r="W16" i="5"/>
  <c r="V16" i="5"/>
  <c r="U16" i="5"/>
  <c r="T16" i="5"/>
  <c r="S16" i="5"/>
  <c r="R16" i="5"/>
  <c r="Q16" i="5"/>
  <c r="Y15" i="5"/>
  <c r="X15" i="5"/>
  <c r="W15" i="5"/>
  <c r="V15" i="5"/>
  <c r="U15" i="5"/>
  <c r="T15" i="5"/>
  <c r="S15" i="5"/>
  <c r="R15" i="5"/>
  <c r="Q15" i="5"/>
  <c r="Y14" i="5"/>
  <c r="X14" i="5"/>
  <c r="W14" i="5"/>
  <c r="V14" i="5"/>
  <c r="U14" i="5"/>
  <c r="T14" i="5"/>
  <c r="S14" i="5"/>
  <c r="R14" i="5"/>
  <c r="Q14" i="5"/>
  <c r="Y13" i="5"/>
  <c r="X13" i="5"/>
  <c r="W13" i="5"/>
  <c r="V13" i="5"/>
  <c r="U13" i="5"/>
  <c r="T13" i="5"/>
  <c r="S13" i="5"/>
  <c r="R13" i="5"/>
  <c r="Q13" i="5"/>
  <c r="Y12" i="5"/>
  <c r="X12" i="5"/>
  <c r="W12" i="5"/>
  <c r="V12" i="5"/>
  <c r="U12" i="5"/>
  <c r="T12" i="5"/>
  <c r="S12" i="5"/>
  <c r="R12" i="5"/>
  <c r="Q12" i="5"/>
  <c r="Y11" i="5"/>
  <c r="X11" i="5"/>
  <c r="W11" i="5"/>
  <c r="V11" i="5"/>
  <c r="U11" i="5"/>
  <c r="T11" i="5"/>
  <c r="S11" i="5"/>
  <c r="R11" i="5"/>
  <c r="Q11" i="5"/>
  <c r="Y10" i="5"/>
  <c r="X10" i="5"/>
  <c r="W10" i="5"/>
  <c r="V10" i="5"/>
  <c r="U10" i="5"/>
  <c r="T10" i="5"/>
  <c r="S10" i="5"/>
  <c r="R10" i="5"/>
  <c r="Q10" i="5"/>
  <c r="Y9" i="5"/>
  <c r="X9" i="5"/>
  <c r="W9" i="5"/>
  <c r="V9" i="5"/>
  <c r="U9" i="5"/>
  <c r="T9" i="5"/>
  <c r="S9" i="5"/>
  <c r="R9" i="5"/>
  <c r="Q9" i="5"/>
  <c r="Y8" i="5"/>
  <c r="X8" i="5"/>
  <c r="W8" i="5"/>
  <c r="V8" i="5"/>
  <c r="U8" i="5"/>
  <c r="T8" i="5"/>
  <c r="S8" i="5"/>
  <c r="R8" i="5"/>
  <c r="Q8" i="5"/>
  <c r="Y7" i="5"/>
  <c r="X7" i="5"/>
  <c r="W7" i="5"/>
  <c r="V7" i="5"/>
  <c r="U7" i="5"/>
  <c r="T7" i="5"/>
  <c r="S7" i="5"/>
  <c r="R7" i="5"/>
  <c r="Q7" i="5"/>
  <c r="Y6" i="5"/>
  <c r="X6" i="5"/>
  <c r="W6" i="5"/>
  <c r="V6" i="5"/>
  <c r="U6" i="5"/>
  <c r="T6" i="5"/>
  <c r="S6" i="5"/>
  <c r="R6" i="5"/>
  <c r="Q6" i="5"/>
  <c r="V344" i="4"/>
  <c r="U344" i="4"/>
  <c r="T344" i="4"/>
  <c r="S344" i="4"/>
  <c r="R344" i="4"/>
  <c r="Q344" i="4"/>
  <c r="V343" i="4"/>
  <c r="U343" i="4"/>
  <c r="T343" i="4"/>
  <c r="S343" i="4"/>
  <c r="R343" i="4"/>
  <c r="Q343" i="4"/>
  <c r="V342" i="4"/>
  <c r="U342" i="4"/>
  <c r="T342" i="4"/>
  <c r="S342" i="4"/>
  <c r="R342" i="4"/>
  <c r="Q342" i="4"/>
  <c r="V341" i="4"/>
  <c r="U341" i="4"/>
  <c r="T341" i="4"/>
  <c r="S341" i="4"/>
  <c r="R341" i="4"/>
  <c r="Q341" i="4"/>
  <c r="V340" i="4"/>
  <c r="U340" i="4"/>
  <c r="T340" i="4"/>
  <c r="S340" i="4"/>
  <c r="R340" i="4"/>
  <c r="Q340" i="4"/>
  <c r="V339" i="4"/>
  <c r="U339" i="4"/>
  <c r="T339" i="4"/>
  <c r="S339" i="4"/>
  <c r="R339" i="4"/>
  <c r="Q339" i="4"/>
  <c r="V338" i="4"/>
  <c r="U338" i="4"/>
  <c r="T338" i="4"/>
  <c r="S338" i="4"/>
  <c r="R338" i="4"/>
  <c r="Q338" i="4"/>
  <c r="V337" i="4"/>
  <c r="U337" i="4"/>
  <c r="T337" i="4"/>
  <c r="S337" i="4"/>
  <c r="R337" i="4"/>
  <c r="Q337" i="4"/>
  <c r="V336" i="4"/>
  <c r="U336" i="4"/>
  <c r="T336" i="4"/>
  <c r="S336" i="4"/>
  <c r="R336" i="4"/>
  <c r="Q336" i="4"/>
  <c r="V335" i="4"/>
  <c r="U335" i="4"/>
  <c r="T335" i="4"/>
  <c r="S335" i="4"/>
  <c r="R335" i="4"/>
  <c r="Q335" i="4"/>
  <c r="V334" i="4"/>
  <c r="U334" i="4"/>
  <c r="T334" i="4"/>
  <c r="S334" i="4"/>
  <c r="R334" i="4"/>
  <c r="Q334" i="4"/>
  <c r="V333" i="4"/>
  <c r="U333" i="4"/>
  <c r="T333" i="4"/>
  <c r="S333" i="4"/>
  <c r="R333" i="4"/>
  <c r="Q333" i="4"/>
  <c r="V332" i="4"/>
  <c r="U332" i="4"/>
  <c r="T332" i="4"/>
  <c r="S332" i="4"/>
  <c r="R332" i="4"/>
  <c r="Q332" i="4"/>
  <c r="V331" i="4"/>
  <c r="U331" i="4"/>
  <c r="T331" i="4"/>
  <c r="S331" i="4"/>
  <c r="R331" i="4"/>
  <c r="Q331" i="4"/>
  <c r="V330" i="4"/>
  <c r="U330" i="4"/>
  <c r="T330" i="4"/>
  <c r="S330" i="4"/>
  <c r="R330" i="4"/>
  <c r="Q330" i="4"/>
  <c r="V329" i="4"/>
  <c r="U329" i="4"/>
  <c r="T329" i="4"/>
  <c r="S329" i="4"/>
  <c r="R329" i="4"/>
  <c r="Q329" i="4"/>
  <c r="V328" i="4"/>
  <c r="U328" i="4"/>
  <c r="T328" i="4"/>
  <c r="S328" i="4"/>
  <c r="R328" i="4"/>
  <c r="Q328" i="4"/>
  <c r="V327" i="4"/>
  <c r="U327" i="4"/>
  <c r="T327" i="4"/>
  <c r="S327" i="4"/>
  <c r="R327" i="4"/>
  <c r="Q327" i="4"/>
  <c r="V326" i="4"/>
  <c r="U326" i="4"/>
  <c r="T326" i="4"/>
  <c r="S326" i="4"/>
  <c r="R326" i="4"/>
  <c r="Q326" i="4"/>
  <c r="V325" i="4"/>
  <c r="U325" i="4"/>
  <c r="T325" i="4"/>
  <c r="S325" i="4"/>
  <c r="R325" i="4"/>
  <c r="Q325" i="4"/>
  <c r="V324" i="4"/>
  <c r="U324" i="4"/>
  <c r="T324" i="4"/>
  <c r="S324" i="4"/>
  <c r="R324" i="4"/>
  <c r="Q324" i="4"/>
  <c r="V323" i="4"/>
  <c r="U323" i="4"/>
  <c r="T323" i="4"/>
  <c r="S323" i="4"/>
  <c r="R323" i="4"/>
  <c r="Q323" i="4"/>
  <c r="V322" i="4"/>
  <c r="U322" i="4"/>
  <c r="T322" i="4"/>
  <c r="S322" i="4"/>
  <c r="R322" i="4"/>
  <c r="Q322" i="4"/>
  <c r="V321" i="4"/>
  <c r="U321" i="4"/>
  <c r="T321" i="4"/>
  <c r="S321" i="4"/>
  <c r="R321" i="4"/>
  <c r="Q321" i="4"/>
  <c r="V320" i="4"/>
  <c r="U320" i="4"/>
  <c r="T320" i="4"/>
  <c r="S320" i="4"/>
  <c r="R320" i="4"/>
  <c r="Q320" i="4"/>
  <c r="V319" i="4"/>
  <c r="U319" i="4"/>
  <c r="T319" i="4"/>
  <c r="S319" i="4"/>
  <c r="R319" i="4"/>
  <c r="Q319" i="4"/>
  <c r="V318" i="4"/>
  <c r="U318" i="4"/>
  <c r="T318" i="4"/>
  <c r="S318" i="4"/>
  <c r="R318" i="4"/>
  <c r="Q318" i="4"/>
  <c r="V317" i="4"/>
  <c r="U317" i="4"/>
  <c r="T317" i="4"/>
  <c r="S317" i="4"/>
  <c r="R317" i="4"/>
  <c r="Q317" i="4"/>
  <c r="V316" i="4"/>
  <c r="U316" i="4"/>
  <c r="T316" i="4"/>
  <c r="S316" i="4"/>
  <c r="R316" i="4"/>
  <c r="Q316" i="4"/>
  <c r="V315" i="4"/>
  <c r="U315" i="4"/>
  <c r="T315" i="4"/>
  <c r="S315" i="4"/>
  <c r="R315" i="4"/>
  <c r="Q315" i="4"/>
  <c r="V314" i="4"/>
  <c r="U314" i="4"/>
  <c r="T314" i="4"/>
  <c r="S314" i="4"/>
  <c r="R314" i="4"/>
  <c r="Q314" i="4"/>
  <c r="V313" i="4"/>
  <c r="U313" i="4"/>
  <c r="T313" i="4"/>
  <c r="S313" i="4"/>
  <c r="R313" i="4"/>
  <c r="Q313" i="4"/>
  <c r="V312" i="4"/>
  <c r="U312" i="4"/>
  <c r="T312" i="4"/>
  <c r="S312" i="4"/>
  <c r="R312" i="4"/>
  <c r="Q312" i="4"/>
  <c r="V311" i="4"/>
  <c r="U311" i="4"/>
  <c r="T311" i="4"/>
  <c r="S311" i="4"/>
  <c r="R311" i="4"/>
  <c r="Q311" i="4"/>
  <c r="V310" i="4"/>
  <c r="U310" i="4"/>
  <c r="T310" i="4"/>
  <c r="S310" i="4"/>
  <c r="R310" i="4"/>
  <c r="Q310" i="4"/>
  <c r="V309" i="4"/>
  <c r="U309" i="4"/>
  <c r="T309" i="4"/>
  <c r="S309" i="4"/>
  <c r="R309" i="4"/>
  <c r="Q309" i="4"/>
  <c r="V308" i="4"/>
  <c r="U308" i="4"/>
  <c r="T308" i="4"/>
  <c r="S308" i="4"/>
  <c r="R308" i="4"/>
  <c r="Q308" i="4"/>
  <c r="V307" i="4"/>
  <c r="U307" i="4"/>
  <c r="T307" i="4"/>
  <c r="S307" i="4"/>
  <c r="R307" i="4"/>
  <c r="Q307" i="4"/>
  <c r="V306" i="4"/>
  <c r="U306" i="4"/>
  <c r="T306" i="4"/>
  <c r="S306" i="4"/>
  <c r="R306" i="4"/>
  <c r="Q306" i="4"/>
  <c r="V305" i="4"/>
  <c r="U305" i="4"/>
  <c r="T305" i="4"/>
  <c r="S305" i="4"/>
  <c r="R305" i="4"/>
  <c r="Q305" i="4"/>
  <c r="V304" i="4"/>
  <c r="U304" i="4"/>
  <c r="T304" i="4"/>
  <c r="S304" i="4"/>
  <c r="R304" i="4"/>
  <c r="Q304" i="4"/>
  <c r="V303" i="4"/>
  <c r="U303" i="4"/>
  <c r="T303" i="4"/>
  <c r="S303" i="4"/>
  <c r="R303" i="4"/>
  <c r="Q303" i="4"/>
  <c r="V302" i="4"/>
  <c r="U302" i="4"/>
  <c r="T302" i="4"/>
  <c r="S302" i="4"/>
  <c r="R302" i="4"/>
  <c r="Q302" i="4"/>
  <c r="V301" i="4"/>
  <c r="U301" i="4"/>
  <c r="T301" i="4"/>
  <c r="S301" i="4"/>
  <c r="R301" i="4"/>
  <c r="Q301" i="4"/>
  <c r="V300" i="4"/>
  <c r="U300" i="4"/>
  <c r="T300" i="4"/>
  <c r="S300" i="4"/>
  <c r="R300" i="4"/>
  <c r="Q300" i="4"/>
  <c r="V299" i="4"/>
  <c r="U299" i="4"/>
  <c r="T299" i="4"/>
  <c r="S299" i="4"/>
  <c r="R299" i="4"/>
  <c r="Q299" i="4"/>
  <c r="V298" i="4"/>
  <c r="U298" i="4"/>
  <c r="T298" i="4"/>
  <c r="S298" i="4"/>
  <c r="R298" i="4"/>
  <c r="Q298" i="4"/>
  <c r="V297" i="4"/>
  <c r="U297" i="4"/>
  <c r="T297" i="4"/>
  <c r="S297" i="4"/>
  <c r="R297" i="4"/>
  <c r="Q297" i="4"/>
  <c r="V296" i="4"/>
  <c r="U296" i="4"/>
  <c r="T296" i="4"/>
  <c r="S296" i="4"/>
  <c r="R296" i="4"/>
  <c r="Q296" i="4"/>
  <c r="V295" i="4"/>
  <c r="U295" i="4"/>
  <c r="T295" i="4"/>
  <c r="S295" i="4"/>
  <c r="R295" i="4"/>
  <c r="Q295" i="4"/>
  <c r="V294" i="4"/>
  <c r="U294" i="4"/>
  <c r="T294" i="4"/>
  <c r="S294" i="4"/>
  <c r="R294" i="4"/>
  <c r="Q294" i="4"/>
  <c r="V293" i="4"/>
  <c r="U293" i="4"/>
  <c r="T293" i="4"/>
  <c r="S293" i="4"/>
  <c r="R293" i="4"/>
  <c r="Q293" i="4"/>
  <c r="V292" i="4"/>
  <c r="U292" i="4"/>
  <c r="T292" i="4"/>
  <c r="S292" i="4"/>
  <c r="R292" i="4"/>
  <c r="Q292" i="4"/>
  <c r="V291" i="4"/>
  <c r="U291" i="4"/>
  <c r="T291" i="4"/>
  <c r="S291" i="4"/>
  <c r="R291" i="4"/>
  <c r="Q291" i="4"/>
  <c r="V290" i="4"/>
  <c r="U290" i="4"/>
  <c r="T290" i="4"/>
  <c r="S290" i="4"/>
  <c r="R290" i="4"/>
  <c r="Q290" i="4"/>
  <c r="V289" i="4"/>
  <c r="U289" i="4"/>
  <c r="T289" i="4"/>
  <c r="S289" i="4"/>
  <c r="R289" i="4"/>
  <c r="Q289" i="4"/>
  <c r="V288" i="4"/>
  <c r="U288" i="4"/>
  <c r="T288" i="4"/>
  <c r="S288" i="4"/>
  <c r="R288" i="4"/>
  <c r="Q288" i="4"/>
  <c r="V287" i="4"/>
  <c r="U287" i="4"/>
  <c r="T287" i="4"/>
  <c r="S287" i="4"/>
  <c r="R287" i="4"/>
  <c r="Q287" i="4"/>
  <c r="V286" i="4"/>
  <c r="U286" i="4"/>
  <c r="T286" i="4"/>
  <c r="S286" i="4"/>
  <c r="R286" i="4"/>
  <c r="Q286" i="4"/>
  <c r="V285" i="4"/>
  <c r="U285" i="4"/>
  <c r="T285" i="4"/>
  <c r="S285" i="4"/>
  <c r="R285" i="4"/>
  <c r="Q285" i="4"/>
  <c r="V284" i="4"/>
  <c r="U284" i="4"/>
  <c r="T284" i="4"/>
  <c r="S284" i="4"/>
  <c r="R284" i="4"/>
  <c r="Q284" i="4"/>
  <c r="V283" i="4"/>
  <c r="U283" i="4"/>
  <c r="T283" i="4"/>
  <c r="S283" i="4"/>
  <c r="R283" i="4"/>
  <c r="Q283" i="4"/>
  <c r="V282" i="4"/>
  <c r="U282" i="4"/>
  <c r="T282" i="4"/>
  <c r="S282" i="4"/>
  <c r="R282" i="4"/>
  <c r="Q282" i="4"/>
  <c r="V281" i="4"/>
  <c r="U281" i="4"/>
  <c r="T281" i="4"/>
  <c r="S281" i="4"/>
  <c r="R281" i="4"/>
  <c r="Q281" i="4"/>
  <c r="V280" i="4"/>
  <c r="U280" i="4"/>
  <c r="T280" i="4"/>
  <c r="S280" i="4"/>
  <c r="R280" i="4"/>
  <c r="Q280" i="4"/>
  <c r="V279" i="4"/>
  <c r="U279" i="4"/>
  <c r="T279" i="4"/>
  <c r="S279" i="4"/>
  <c r="R279" i="4"/>
  <c r="Q279" i="4"/>
  <c r="V278" i="4"/>
  <c r="U278" i="4"/>
  <c r="T278" i="4"/>
  <c r="S278" i="4"/>
  <c r="R278" i="4"/>
  <c r="Q278" i="4"/>
  <c r="V277" i="4"/>
  <c r="U277" i="4"/>
  <c r="T277" i="4"/>
  <c r="S277" i="4"/>
  <c r="R277" i="4"/>
  <c r="Q277" i="4"/>
  <c r="V276" i="4"/>
  <c r="U276" i="4"/>
  <c r="T276" i="4"/>
  <c r="S276" i="4"/>
  <c r="R276" i="4"/>
  <c r="Q276" i="4"/>
  <c r="V275" i="4"/>
  <c r="U275" i="4"/>
  <c r="T275" i="4"/>
  <c r="S275" i="4"/>
  <c r="R275" i="4"/>
  <c r="Q275" i="4"/>
  <c r="V274" i="4"/>
  <c r="U274" i="4"/>
  <c r="T274" i="4"/>
  <c r="S274" i="4"/>
  <c r="R274" i="4"/>
  <c r="Q274" i="4"/>
  <c r="V273" i="4"/>
  <c r="U273" i="4"/>
  <c r="T273" i="4"/>
  <c r="S273" i="4"/>
  <c r="R273" i="4"/>
  <c r="Q273" i="4"/>
  <c r="V272" i="4"/>
  <c r="U272" i="4"/>
  <c r="T272" i="4"/>
  <c r="S272" i="4"/>
  <c r="R272" i="4"/>
  <c r="Q272" i="4"/>
  <c r="V271" i="4"/>
  <c r="U271" i="4"/>
  <c r="T271" i="4"/>
  <c r="S271" i="4"/>
  <c r="R271" i="4"/>
  <c r="Q271" i="4"/>
  <c r="V270" i="4"/>
  <c r="U270" i="4"/>
  <c r="T270" i="4"/>
  <c r="S270" i="4"/>
  <c r="R270" i="4"/>
  <c r="Q270" i="4"/>
  <c r="V269" i="4"/>
  <c r="U269" i="4"/>
  <c r="T269" i="4"/>
  <c r="S269" i="4"/>
  <c r="R269" i="4"/>
  <c r="Q269" i="4"/>
  <c r="V268" i="4"/>
  <c r="U268" i="4"/>
  <c r="T268" i="4"/>
  <c r="S268" i="4"/>
  <c r="R268" i="4"/>
  <c r="Q268" i="4"/>
  <c r="V267" i="4"/>
  <c r="U267" i="4"/>
  <c r="T267" i="4"/>
  <c r="S267" i="4"/>
  <c r="R267" i="4"/>
  <c r="Q267" i="4"/>
  <c r="V266" i="4"/>
  <c r="U266" i="4"/>
  <c r="T266" i="4"/>
  <c r="S266" i="4"/>
  <c r="R266" i="4"/>
  <c r="Q266" i="4"/>
  <c r="V265" i="4"/>
  <c r="U265" i="4"/>
  <c r="T265" i="4"/>
  <c r="S265" i="4"/>
  <c r="R265" i="4"/>
  <c r="Q265" i="4"/>
  <c r="V264" i="4"/>
  <c r="U264" i="4"/>
  <c r="T264" i="4"/>
  <c r="S264" i="4"/>
  <c r="R264" i="4"/>
  <c r="Q264" i="4"/>
  <c r="V263" i="4"/>
  <c r="U263" i="4"/>
  <c r="T263" i="4"/>
  <c r="S263" i="4"/>
  <c r="R263" i="4"/>
  <c r="Q263" i="4"/>
  <c r="V262" i="4"/>
  <c r="U262" i="4"/>
  <c r="T262" i="4"/>
  <c r="S262" i="4"/>
  <c r="R262" i="4"/>
  <c r="Q262" i="4"/>
  <c r="V261" i="4"/>
  <c r="U261" i="4"/>
  <c r="T261" i="4"/>
  <c r="S261" i="4"/>
  <c r="R261" i="4"/>
  <c r="Q261" i="4"/>
  <c r="V260" i="4"/>
  <c r="U260" i="4"/>
  <c r="T260" i="4"/>
  <c r="S260" i="4"/>
  <c r="R260" i="4"/>
  <c r="Q260" i="4"/>
  <c r="V259" i="4"/>
  <c r="U259" i="4"/>
  <c r="T259" i="4"/>
  <c r="S259" i="4"/>
  <c r="R259" i="4"/>
  <c r="Q259" i="4"/>
  <c r="V258" i="4"/>
  <c r="U258" i="4"/>
  <c r="T258" i="4"/>
  <c r="S258" i="4"/>
  <c r="R258" i="4"/>
  <c r="Q258" i="4"/>
  <c r="V257" i="4"/>
  <c r="U257" i="4"/>
  <c r="T257" i="4"/>
  <c r="S257" i="4"/>
  <c r="R257" i="4"/>
  <c r="Q257" i="4"/>
  <c r="V256" i="4"/>
  <c r="U256" i="4"/>
  <c r="T256" i="4"/>
  <c r="S256" i="4"/>
  <c r="R256" i="4"/>
  <c r="Q256" i="4"/>
  <c r="V255" i="4"/>
  <c r="U255" i="4"/>
  <c r="T255" i="4"/>
  <c r="S255" i="4"/>
  <c r="R255" i="4"/>
  <c r="Q255" i="4"/>
  <c r="V254" i="4"/>
  <c r="U254" i="4"/>
  <c r="T254" i="4"/>
  <c r="S254" i="4"/>
  <c r="R254" i="4"/>
  <c r="Q254" i="4"/>
  <c r="V253" i="4"/>
  <c r="U253" i="4"/>
  <c r="T253" i="4"/>
  <c r="S253" i="4"/>
  <c r="R253" i="4"/>
  <c r="Q253" i="4"/>
  <c r="V252" i="4"/>
  <c r="U252" i="4"/>
  <c r="T252" i="4"/>
  <c r="S252" i="4"/>
  <c r="R252" i="4"/>
  <c r="Q252" i="4"/>
  <c r="V251" i="4"/>
  <c r="U251" i="4"/>
  <c r="T251" i="4"/>
  <c r="S251" i="4"/>
  <c r="R251" i="4"/>
  <c r="Q251" i="4"/>
  <c r="V250" i="4"/>
  <c r="U250" i="4"/>
  <c r="T250" i="4"/>
  <c r="S250" i="4"/>
  <c r="R250" i="4"/>
  <c r="Q250" i="4"/>
  <c r="V249" i="4"/>
  <c r="U249" i="4"/>
  <c r="T249" i="4"/>
  <c r="S249" i="4"/>
  <c r="R249" i="4"/>
  <c r="Q249" i="4"/>
  <c r="V248" i="4"/>
  <c r="U248" i="4"/>
  <c r="T248" i="4"/>
  <c r="S248" i="4"/>
  <c r="R248" i="4"/>
  <c r="Q248" i="4"/>
  <c r="V247" i="4"/>
  <c r="U247" i="4"/>
  <c r="T247" i="4"/>
  <c r="S247" i="4"/>
  <c r="R247" i="4"/>
  <c r="Q247" i="4"/>
  <c r="V246" i="4"/>
  <c r="U246" i="4"/>
  <c r="T246" i="4"/>
  <c r="S246" i="4"/>
  <c r="R246" i="4"/>
  <c r="Q246" i="4"/>
  <c r="V245" i="4"/>
  <c r="U245" i="4"/>
  <c r="T245" i="4"/>
  <c r="S245" i="4"/>
  <c r="R245" i="4"/>
  <c r="Q245" i="4"/>
  <c r="V244" i="4"/>
  <c r="U244" i="4"/>
  <c r="T244" i="4"/>
  <c r="S244" i="4"/>
  <c r="R244" i="4"/>
  <c r="Q244" i="4"/>
  <c r="V243" i="4"/>
  <c r="U243" i="4"/>
  <c r="T243" i="4"/>
  <c r="S243" i="4"/>
  <c r="R243" i="4"/>
  <c r="Q243" i="4"/>
  <c r="V242" i="4"/>
  <c r="U242" i="4"/>
  <c r="T242" i="4"/>
  <c r="S242" i="4"/>
  <c r="R242" i="4"/>
  <c r="Q242" i="4"/>
  <c r="V241" i="4"/>
  <c r="U241" i="4"/>
  <c r="T241" i="4"/>
  <c r="S241" i="4"/>
  <c r="R241" i="4"/>
  <c r="Q241" i="4"/>
  <c r="V240" i="4"/>
  <c r="U240" i="4"/>
  <c r="T240" i="4"/>
  <c r="S240" i="4"/>
  <c r="R240" i="4"/>
  <c r="Q240" i="4"/>
  <c r="V239" i="4"/>
  <c r="U239" i="4"/>
  <c r="T239" i="4"/>
  <c r="S239" i="4"/>
  <c r="R239" i="4"/>
  <c r="Q239" i="4"/>
  <c r="V238" i="4"/>
  <c r="U238" i="4"/>
  <c r="T238" i="4"/>
  <c r="S238" i="4"/>
  <c r="R238" i="4"/>
  <c r="Q238" i="4"/>
  <c r="V237" i="4"/>
  <c r="U237" i="4"/>
  <c r="T237" i="4"/>
  <c r="S237" i="4"/>
  <c r="R237" i="4"/>
  <c r="Q237" i="4"/>
  <c r="V236" i="4"/>
  <c r="U236" i="4"/>
  <c r="T236" i="4"/>
  <c r="S236" i="4"/>
  <c r="R236" i="4"/>
  <c r="Q236" i="4"/>
  <c r="V235" i="4"/>
  <c r="U235" i="4"/>
  <c r="T235" i="4"/>
  <c r="S235" i="4"/>
  <c r="R235" i="4"/>
  <c r="Q235" i="4"/>
  <c r="V234" i="4"/>
  <c r="U234" i="4"/>
  <c r="T234" i="4"/>
  <c r="S234" i="4"/>
  <c r="R234" i="4"/>
  <c r="Q234" i="4"/>
  <c r="V233" i="4"/>
  <c r="U233" i="4"/>
  <c r="T233" i="4"/>
  <c r="S233" i="4"/>
  <c r="R233" i="4"/>
  <c r="Q233" i="4"/>
  <c r="V232" i="4"/>
  <c r="U232" i="4"/>
  <c r="T232" i="4"/>
  <c r="S232" i="4"/>
  <c r="R232" i="4"/>
  <c r="Q232" i="4"/>
  <c r="V231" i="4"/>
  <c r="U231" i="4"/>
  <c r="T231" i="4"/>
  <c r="S231" i="4"/>
  <c r="R231" i="4"/>
  <c r="Q231" i="4"/>
  <c r="V230" i="4"/>
  <c r="U230" i="4"/>
  <c r="T230" i="4"/>
  <c r="S230" i="4"/>
  <c r="R230" i="4"/>
  <c r="Q230" i="4"/>
  <c r="V229" i="4"/>
  <c r="U229" i="4"/>
  <c r="T229" i="4"/>
  <c r="S229" i="4"/>
  <c r="R229" i="4"/>
  <c r="Q229" i="4"/>
  <c r="V228" i="4"/>
  <c r="U228" i="4"/>
  <c r="T228" i="4"/>
  <c r="S228" i="4"/>
  <c r="R228" i="4"/>
  <c r="Q228" i="4"/>
  <c r="V227" i="4"/>
  <c r="U227" i="4"/>
  <c r="T227" i="4"/>
  <c r="S227" i="4"/>
  <c r="R227" i="4"/>
  <c r="Q227" i="4"/>
  <c r="V226" i="4"/>
  <c r="U226" i="4"/>
  <c r="T226" i="4"/>
  <c r="S226" i="4"/>
  <c r="R226" i="4"/>
  <c r="Q226" i="4"/>
  <c r="V225" i="4"/>
  <c r="U225" i="4"/>
  <c r="T225" i="4"/>
  <c r="S225" i="4"/>
  <c r="R225" i="4"/>
  <c r="Q225" i="4"/>
  <c r="V224" i="4"/>
  <c r="U224" i="4"/>
  <c r="T224" i="4"/>
  <c r="S224" i="4"/>
  <c r="R224" i="4"/>
  <c r="Q224" i="4"/>
  <c r="V223" i="4"/>
  <c r="U223" i="4"/>
  <c r="T223" i="4"/>
  <c r="S223" i="4"/>
  <c r="R223" i="4"/>
  <c r="Q223" i="4"/>
  <c r="V222" i="4"/>
  <c r="U222" i="4"/>
  <c r="T222" i="4"/>
  <c r="S222" i="4"/>
  <c r="R222" i="4"/>
  <c r="Q222" i="4"/>
  <c r="V221" i="4"/>
  <c r="U221" i="4"/>
  <c r="T221" i="4"/>
  <c r="S221" i="4"/>
  <c r="R221" i="4"/>
  <c r="Q221" i="4"/>
  <c r="V220" i="4"/>
  <c r="U220" i="4"/>
  <c r="T220" i="4"/>
  <c r="S220" i="4"/>
  <c r="R220" i="4"/>
  <c r="Q220" i="4"/>
  <c r="V219" i="4"/>
  <c r="U219" i="4"/>
  <c r="T219" i="4"/>
  <c r="S219" i="4"/>
  <c r="R219" i="4"/>
  <c r="Q219" i="4"/>
  <c r="V218" i="4"/>
  <c r="U218" i="4"/>
  <c r="T218" i="4"/>
  <c r="S218" i="4"/>
  <c r="R218" i="4"/>
  <c r="Q218" i="4"/>
  <c r="V217" i="4"/>
  <c r="U217" i="4"/>
  <c r="T217" i="4"/>
  <c r="S217" i="4"/>
  <c r="R217" i="4"/>
  <c r="Q217" i="4"/>
  <c r="V216" i="4"/>
  <c r="U216" i="4"/>
  <c r="T216" i="4"/>
  <c r="S216" i="4"/>
  <c r="R216" i="4"/>
  <c r="Q216" i="4"/>
  <c r="V215" i="4"/>
  <c r="U215" i="4"/>
  <c r="T215" i="4"/>
  <c r="S215" i="4"/>
  <c r="R215" i="4"/>
  <c r="Q215" i="4"/>
  <c r="V214" i="4"/>
  <c r="U214" i="4"/>
  <c r="T214" i="4"/>
  <c r="S214" i="4"/>
  <c r="R214" i="4"/>
  <c r="Q214" i="4"/>
  <c r="V213" i="4"/>
  <c r="U213" i="4"/>
  <c r="T213" i="4"/>
  <c r="S213" i="4"/>
  <c r="R213" i="4"/>
  <c r="Q213" i="4"/>
  <c r="V212" i="4"/>
  <c r="U212" i="4"/>
  <c r="T212" i="4"/>
  <c r="S212" i="4"/>
  <c r="R212" i="4"/>
  <c r="Q212" i="4"/>
  <c r="V211" i="4"/>
  <c r="U211" i="4"/>
  <c r="T211" i="4"/>
  <c r="S211" i="4"/>
  <c r="R211" i="4"/>
  <c r="Q211" i="4"/>
  <c r="V210" i="4"/>
  <c r="U210" i="4"/>
  <c r="T210" i="4"/>
  <c r="S210" i="4"/>
  <c r="R210" i="4"/>
  <c r="Q210" i="4"/>
  <c r="V209" i="4"/>
  <c r="U209" i="4"/>
  <c r="T209" i="4"/>
  <c r="S209" i="4"/>
  <c r="R209" i="4"/>
  <c r="Q209" i="4"/>
  <c r="V208" i="4"/>
  <c r="U208" i="4"/>
  <c r="T208" i="4"/>
  <c r="S208" i="4"/>
  <c r="R208" i="4"/>
  <c r="Q208" i="4"/>
  <c r="V207" i="4"/>
  <c r="U207" i="4"/>
  <c r="T207" i="4"/>
  <c r="S207" i="4"/>
  <c r="R207" i="4"/>
  <c r="Q207" i="4"/>
  <c r="V206" i="4"/>
  <c r="U206" i="4"/>
  <c r="T206" i="4"/>
  <c r="S206" i="4"/>
  <c r="R206" i="4"/>
  <c r="Q206" i="4"/>
  <c r="V205" i="4"/>
  <c r="U205" i="4"/>
  <c r="T205" i="4"/>
  <c r="S205" i="4"/>
  <c r="R205" i="4"/>
  <c r="Q205" i="4"/>
  <c r="V204" i="4"/>
  <c r="U204" i="4"/>
  <c r="T204" i="4"/>
  <c r="S204" i="4"/>
  <c r="R204" i="4"/>
  <c r="Q204" i="4"/>
  <c r="V203" i="4"/>
  <c r="U203" i="4"/>
  <c r="T203" i="4"/>
  <c r="S203" i="4"/>
  <c r="R203" i="4"/>
  <c r="Q203" i="4"/>
  <c r="V202" i="4"/>
  <c r="U202" i="4"/>
  <c r="T202" i="4"/>
  <c r="S202" i="4"/>
  <c r="R202" i="4"/>
  <c r="Q202" i="4"/>
  <c r="V201" i="4"/>
  <c r="U201" i="4"/>
  <c r="T201" i="4"/>
  <c r="S201" i="4"/>
  <c r="R201" i="4"/>
  <c r="Q201" i="4"/>
  <c r="V200" i="4"/>
  <c r="U200" i="4"/>
  <c r="T200" i="4"/>
  <c r="S200" i="4"/>
  <c r="R200" i="4"/>
  <c r="Q200" i="4"/>
  <c r="V199" i="4"/>
  <c r="U199" i="4"/>
  <c r="T199" i="4"/>
  <c r="S199" i="4"/>
  <c r="R199" i="4"/>
  <c r="Q199" i="4"/>
  <c r="V198" i="4"/>
  <c r="U198" i="4"/>
  <c r="T198" i="4"/>
  <c r="S198" i="4"/>
  <c r="R198" i="4"/>
  <c r="Q198" i="4"/>
  <c r="V197" i="4"/>
  <c r="U197" i="4"/>
  <c r="T197" i="4"/>
  <c r="S197" i="4"/>
  <c r="R197" i="4"/>
  <c r="Q197" i="4"/>
  <c r="V196" i="4"/>
  <c r="U196" i="4"/>
  <c r="T196" i="4"/>
  <c r="S196" i="4"/>
  <c r="R196" i="4"/>
  <c r="Q196" i="4"/>
  <c r="V195" i="4"/>
  <c r="U195" i="4"/>
  <c r="T195" i="4"/>
  <c r="S195" i="4"/>
  <c r="R195" i="4"/>
  <c r="Q195" i="4"/>
  <c r="V194" i="4"/>
  <c r="U194" i="4"/>
  <c r="T194" i="4"/>
  <c r="S194" i="4"/>
  <c r="R194" i="4"/>
  <c r="Q194" i="4"/>
  <c r="V193" i="4"/>
  <c r="U193" i="4"/>
  <c r="T193" i="4"/>
  <c r="S193" i="4"/>
  <c r="R193" i="4"/>
  <c r="Q193" i="4"/>
  <c r="V192" i="4"/>
  <c r="U192" i="4"/>
  <c r="T192" i="4"/>
  <c r="S192" i="4"/>
  <c r="R192" i="4"/>
  <c r="Q192" i="4"/>
  <c r="V191" i="4"/>
  <c r="U191" i="4"/>
  <c r="T191" i="4"/>
  <c r="S191" i="4"/>
  <c r="R191" i="4"/>
  <c r="Q191" i="4"/>
  <c r="V190" i="4"/>
  <c r="U190" i="4"/>
  <c r="T190" i="4"/>
  <c r="S190" i="4"/>
  <c r="R190" i="4"/>
  <c r="Q190" i="4"/>
  <c r="V189" i="4"/>
  <c r="U189" i="4"/>
  <c r="T189" i="4"/>
  <c r="S189" i="4"/>
  <c r="R189" i="4"/>
  <c r="Q189" i="4"/>
  <c r="V188" i="4"/>
  <c r="U188" i="4"/>
  <c r="T188" i="4"/>
  <c r="S188" i="4"/>
  <c r="R188" i="4"/>
  <c r="Q188" i="4"/>
  <c r="V187" i="4"/>
  <c r="U187" i="4"/>
  <c r="T187" i="4"/>
  <c r="S187" i="4"/>
  <c r="R187" i="4"/>
  <c r="Q187" i="4"/>
  <c r="V186" i="4"/>
  <c r="U186" i="4"/>
  <c r="T186" i="4"/>
  <c r="S186" i="4"/>
  <c r="R186" i="4"/>
  <c r="Q186" i="4"/>
  <c r="V185" i="4"/>
  <c r="U185" i="4"/>
  <c r="T185" i="4"/>
  <c r="S185" i="4"/>
  <c r="R185" i="4"/>
  <c r="Q185" i="4"/>
  <c r="V184" i="4"/>
  <c r="U184" i="4"/>
  <c r="T184" i="4"/>
  <c r="S184" i="4"/>
  <c r="R184" i="4"/>
  <c r="Q184" i="4"/>
  <c r="V183" i="4"/>
  <c r="U183" i="4"/>
  <c r="T183" i="4"/>
  <c r="S183" i="4"/>
  <c r="R183" i="4"/>
  <c r="Q183" i="4"/>
  <c r="V182" i="4"/>
  <c r="U182" i="4"/>
  <c r="T182" i="4"/>
  <c r="S182" i="4"/>
  <c r="R182" i="4"/>
  <c r="Q182" i="4"/>
  <c r="V181" i="4"/>
  <c r="U181" i="4"/>
  <c r="T181" i="4"/>
  <c r="S181" i="4"/>
  <c r="R181" i="4"/>
  <c r="Q181" i="4"/>
  <c r="V180" i="4"/>
  <c r="U180" i="4"/>
  <c r="T180" i="4"/>
  <c r="S180" i="4"/>
  <c r="R180" i="4"/>
  <c r="Q180" i="4"/>
  <c r="V179" i="4"/>
  <c r="U179" i="4"/>
  <c r="T179" i="4"/>
  <c r="S179" i="4"/>
  <c r="R179" i="4"/>
  <c r="Q179" i="4"/>
  <c r="V178" i="4"/>
  <c r="U178" i="4"/>
  <c r="T178" i="4"/>
  <c r="S178" i="4"/>
  <c r="R178" i="4"/>
  <c r="Q178" i="4"/>
  <c r="V177" i="4"/>
  <c r="U177" i="4"/>
  <c r="T177" i="4"/>
  <c r="S177" i="4"/>
  <c r="R177" i="4"/>
  <c r="Q177" i="4"/>
  <c r="V176" i="4"/>
  <c r="U176" i="4"/>
  <c r="T176" i="4"/>
  <c r="S176" i="4"/>
  <c r="R176" i="4"/>
  <c r="Q176" i="4"/>
  <c r="V175" i="4"/>
  <c r="U175" i="4"/>
  <c r="T175" i="4"/>
  <c r="S175" i="4"/>
  <c r="R175" i="4"/>
  <c r="Q175" i="4"/>
  <c r="V174" i="4"/>
  <c r="U174" i="4"/>
  <c r="T174" i="4"/>
  <c r="S174" i="4"/>
  <c r="R174" i="4"/>
  <c r="Q174" i="4"/>
  <c r="V173" i="4"/>
  <c r="U173" i="4"/>
  <c r="T173" i="4"/>
  <c r="S173" i="4"/>
  <c r="R173" i="4"/>
  <c r="Q173" i="4"/>
  <c r="V172" i="4"/>
  <c r="U172" i="4"/>
  <c r="T172" i="4"/>
  <c r="S172" i="4"/>
  <c r="R172" i="4"/>
  <c r="Q172" i="4"/>
  <c r="V171" i="4"/>
  <c r="U171" i="4"/>
  <c r="T171" i="4"/>
  <c r="S171" i="4"/>
  <c r="R171" i="4"/>
  <c r="Q171" i="4"/>
  <c r="V170" i="4"/>
  <c r="U170" i="4"/>
  <c r="T170" i="4"/>
  <c r="S170" i="4"/>
  <c r="R170" i="4"/>
  <c r="Q170" i="4"/>
  <c r="V169" i="4"/>
  <c r="U169" i="4"/>
  <c r="T169" i="4"/>
  <c r="S169" i="4"/>
  <c r="R169" i="4"/>
  <c r="Q169" i="4"/>
  <c r="V168" i="4"/>
  <c r="U168" i="4"/>
  <c r="T168" i="4"/>
  <c r="S168" i="4"/>
  <c r="R168" i="4"/>
  <c r="Q168" i="4"/>
  <c r="V167" i="4"/>
  <c r="U167" i="4"/>
  <c r="T167" i="4"/>
  <c r="S167" i="4"/>
  <c r="R167" i="4"/>
  <c r="Q167" i="4"/>
  <c r="V166" i="4"/>
  <c r="U166" i="4"/>
  <c r="T166" i="4"/>
  <c r="S166" i="4"/>
  <c r="R166" i="4"/>
  <c r="Q166" i="4"/>
  <c r="V165" i="4"/>
  <c r="U165" i="4"/>
  <c r="T165" i="4"/>
  <c r="S165" i="4"/>
  <c r="R165" i="4"/>
  <c r="Q165" i="4"/>
  <c r="V164" i="4"/>
  <c r="U164" i="4"/>
  <c r="T164" i="4"/>
  <c r="S164" i="4"/>
  <c r="R164" i="4"/>
  <c r="Q164" i="4"/>
  <c r="V163" i="4"/>
  <c r="U163" i="4"/>
  <c r="T163" i="4"/>
  <c r="S163" i="4"/>
  <c r="R163" i="4"/>
  <c r="Q163" i="4"/>
  <c r="V162" i="4"/>
  <c r="U162" i="4"/>
  <c r="T162" i="4"/>
  <c r="S162" i="4"/>
  <c r="R162" i="4"/>
  <c r="Q162" i="4"/>
  <c r="V161" i="4"/>
  <c r="U161" i="4"/>
  <c r="T161" i="4"/>
  <c r="S161" i="4"/>
  <c r="R161" i="4"/>
  <c r="Q161" i="4"/>
  <c r="V160" i="4"/>
  <c r="U160" i="4"/>
  <c r="T160" i="4"/>
  <c r="S160" i="4"/>
  <c r="R160" i="4"/>
  <c r="Q160" i="4"/>
  <c r="V159" i="4"/>
  <c r="U159" i="4"/>
  <c r="T159" i="4"/>
  <c r="S159" i="4"/>
  <c r="R159" i="4"/>
  <c r="Q159" i="4"/>
  <c r="V158" i="4"/>
  <c r="U158" i="4"/>
  <c r="T158" i="4"/>
  <c r="S158" i="4"/>
  <c r="R158" i="4"/>
  <c r="Q158" i="4"/>
  <c r="V157" i="4"/>
  <c r="U157" i="4"/>
  <c r="T157" i="4"/>
  <c r="S157" i="4"/>
  <c r="R157" i="4"/>
  <c r="Q157" i="4"/>
  <c r="V156" i="4"/>
  <c r="U156" i="4"/>
  <c r="T156" i="4"/>
  <c r="S156" i="4"/>
  <c r="R156" i="4"/>
  <c r="Q156" i="4"/>
  <c r="V155" i="4"/>
  <c r="U155" i="4"/>
  <c r="T155" i="4"/>
  <c r="S155" i="4"/>
  <c r="R155" i="4"/>
  <c r="Q155" i="4"/>
  <c r="V154" i="4"/>
  <c r="U154" i="4"/>
  <c r="T154" i="4"/>
  <c r="S154" i="4"/>
  <c r="R154" i="4"/>
  <c r="Q154" i="4"/>
  <c r="V153" i="4"/>
  <c r="U153" i="4"/>
  <c r="T153" i="4"/>
  <c r="S153" i="4"/>
  <c r="R153" i="4"/>
  <c r="Q153" i="4"/>
  <c r="V152" i="4"/>
  <c r="U152" i="4"/>
  <c r="T152" i="4"/>
  <c r="S152" i="4"/>
  <c r="R152" i="4"/>
  <c r="Q152" i="4"/>
  <c r="V151" i="4"/>
  <c r="U151" i="4"/>
  <c r="T151" i="4"/>
  <c r="S151" i="4"/>
  <c r="R151" i="4"/>
  <c r="Q151" i="4"/>
  <c r="V150" i="4"/>
  <c r="U150" i="4"/>
  <c r="T150" i="4"/>
  <c r="S150" i="4"/>
  <c r="R150" i="4"/>
  <c r="Q150" i="4"/>
  <c r="V149" i="4"/>
  <c r="U149" i="4"/>
  <c r="T149" i="4"/>
  <c r="S149" i="4"/>
  <c r="R149" i="4"/>
  <c r="Q149" i="4"/>
  <c r="V148" i="4"/>
  <c r="U148" i="4"/>
  <c r="T148" i="4"/>
  <c r="S148" i="4"/>
  <c r="R148" i="4"/>
  <c r="Q148" i="4"/>
  <c r="V147" i="4"/>
  <c r="U147" i="4"/>
  <c r="T147" i="4"/>
  <c r="S147" i="4"/>
  <c r="R147" i="4"/>
  <c r="Q147" i="4"/>
  <c r="V146" i="4"/>
  <c r="U146" i="4"/>
  <c r="T146" i="4"/>
  <c r="S146" i="4"/>
  <c r="R146" i="4"/>
  <c r="Q146" i="4"/>
  <c r="V145" i="4"/>
  <c r="U145" i="4"/>
  <c r="T145" i="4"/>
  <c r="S145" i="4"/>
  <c r="R145" i="4"/>
  <c r="Q145" i="4"/>
  <c r="V144" i="4"/>
  <c r="U144" i="4"/>
  <c r="T144" i="4"/>
  <c r="S144" i="4"/>
  <c r="R144" i="4"/>
  <c r="Q144" i="4"/>
  <c r="V143" i="4"/>
  <c r="U143" i="4"/>
  <c r="T143" i="4"/>
  <c r="S143" i="4"/>
  <c r="R143" i="4"/>
  <c r="Q143" i="4"/>
  <c r="V142" i="4"/>
  <c r="U142" i="4"/>
  <c r="T142" i="4"/>
  <c r="S142" i="4"/>
  <c r="R142" i="4"/>
  <c r="Q142" i="4"/>
  <c r="V141" i="4"/>
  <c r="U141" i="4"/>
  <c r="T141" i="4"/>
  <c r="S141" i="4"/>
  <c r="R141" i="4"/>
  <c r="Q141" i="4"/>
  <c r="V140" i="4"/>
  <c r="U140" i="4"/>
  <c r="T140" i="4"/>
  <c r="S140" i="4"/>
  <c r="R140" i="4"/>
  <c r="Q140" i="4"/>
  <c r="V139" i="4"/>
  <c r="U139" i="4"/>
  <c r="T139" i="4"/>
  <c r="S139" i="4"/>
  <c r="R139" i="4"/>
  <c r="Q139" i="4"/>
  <c r="V138" i="4"/>
  <c r="U138" i="4"/>
  <c r="T138" i="4"/>
  <c r="S138" i="4"/>
  <c r="R138" i="4"/>
  <c r="Q138" i="4"/>
  <c r="V137" i="4"/>
  <c r="U137" i="4"/>
  <c r="T137" i="4"/>
  <c r="S137" i="4"/>
  <c r="R137" i="4"/>
  <c r="Q137" i="4"/>
  <c r="V136" i="4"/>
  <c r="U136" i="4"/>
  <c r="T136" i="4"/>
  <c r="S136" i="4"/>
  <c r="R136" i="4"/>
  <c r="Q136" i="4"/>
  <c r="V135" i="4"/>
  <c r="U135" i="4"/>
  <c r="T135" i="4"/>
  <c r="S135" i="4"/>
  <c r="R135" i="4"/>
  <c r="Q135" i="4"/>
  <c r="V134" i="4"/>
  <c r="U134" i="4"/>
  <c r="T134" i="4"/>
  <c r="S134" i="4"/>
  <c r="R134" i="4"/>
  <c r="Q134" i="4"/>
  <c r="V133" i="4"/>
  <c r="U133" i="4"/>
  <c r="T133" i="4"/>
  <c r="S133" i="4"/>
  <c r="R133" i="4"/>
  <c r="Q133" i="4"/>
  <c r="V132" i="4"/>
  <c r="U132" i="4"/>
  <c r="T132" i="4"/>
  <c r="S132" i="4"/>
  <c r="R132" i="4"/>
  <c r="Q132" i="4"/>
  <c r="V131" i="4"/>
  <c r="U131" i="4"/>
  <c r="T131" i="4"/>
  <c r="S131" i="4"/>
  <c r="R131" i="4"/>
  <c r="Q131" i="4"/>
  <c r="V130" i="4"/>
  <c r="U130" i="4"/>
  <c r="T130" i="4"/>
  <c r="S130" i="4"/>
  <c r="R130" i="4"/>
  <c r="Q130" i="4"/>
  <c r="V129" i="4"/>
  <c r="U129" i="4"/>
  <c r="T129" i="4"/>
  <c r="S129" i="4"/>
  <c r="R129" i="4"/>
  <c r="Q129" i="4"/>
  <c r="V128" i="4"/>
  <c r="U128" i="4"/>
  <c r="T128" i="4"/>
  <c r="S128" i="4"/>
  <c r="R128" i="4"/>
  <c r="Q128" i="4"/>
  <c r="V127" i="4"/>
  <c r="U127" i="4"/>
  <c r="T127" i="4"/>
  <c r="S127" i="4"/>
  <c r="R127" i="4"/>
  <c r="Q127" i="4"/>
  <c r="V126" i="4"/>
  <c r="U126" i="4"/>
  <c r="T126" i="4"/>
  <c r="S126" i="4"/>
  <c r="R126" i="4"/>
  <c r="Q126" i="4"/>
  <c r="V125" i="4"/>
  <c r="U125" i="4"/>
  <c r="T125" i="4"/>
  <c r="S125" i="4"/>
  <c r="R125" i="4"/>
  <c r="Q125" i="4"/>
  <c r="V124" i="4"/>
  <c r="U124" i="4"/>
  <c r="T124" i="4"/>
  <c r="S124" i="4"/>
  <c r="R124" i="4"/>
  <c r="Q124" i="4"/>
  <c r="V123" i="4"/>
  <c r="U123" i="4"/>
  <c r="T123" i="4"/>
  <c r="S123" i="4"/>
  <c r="R123" i="4"/>
  <c r="Q123" i="4"/>
  <c r="V122" i="4"/>
  <c r="U122" i="4"/>
  <c r="T122" i="4"/>
  <c r="S122" i="4"/>
  <c r="R122" i="4"/>
  <c r="Q122" i="4"/>
  <c r="V121" i="4"/>
  <c r="U121" i="4"/>
  <c r="T121" i="4"/>
  <c r="S121" i="4"/>
  <c r="R121" i="4"/>
  <c r="Q121" i="4"/>
  <c r="V120" i="4"/>
  <c r="U120" i="4"/>
  <c r="T120" i="4"/>
  <c r="S120" i="4"/>
  <c r="R120" i="4"/>
  <c r="Q120" i="4"/>
  <c r="V119" i="4"/>
  <c r="U119" i="4"/>
  <c r="T119" i="4"/>
  <c r="S119" i="4"/>
  <c r="R119" i="4"/>
  <c r="Q119" i="4"/>
  <c r="V118" i="4"/>
  <c r="U118" i="4"/>
  <c r="T118" i="4"/>
  <c r="S118" i="4"/>
  <c r="R118" i="4"/>
  <c r="Q118" i="4"/>
  <c r="V117" i="4"/>
  <c r="U117" i="4"/>
  <c r="T117" i="4"/>
  <c r="S117" i="4"/>
  <c r="R117" i="4"/>
  <c r="Q117" i="4"/>
  <c r="V116" i="4"/>
  <c r="U116" i="4"/>
  <c r="T116" i="4"/>
  <c r="S116" i="4"/>
  <c r="R116" i="4"/>
  <c r="Q116" i="4"/>
  <c r="V115" i="4"/>
  <c r="U115" i="4"/>
  <c r="T115" i="4"/>
  <c r="S115" i="4"/>
  <c r="R115" i="4"/>
  <c r="Q115" i="4"/>
  <c r="V114" i="4"/>
  <c r="U114" i="4"/>
  <c r="T114" i="4"/>
  <c r="S114" i="4"/>
  <c r="R114" i="4"/>
  <c r="Q114" i="4"/>
  <c r="Y113" i="4"/>
  <c r="X113" i="4"/>
  <c r="W113" i="4"/>
  <c r="V113" i="4"/>
  <c r="U113" i="4"/>
  <c r="T113" i="4"/>
  <c r="S113" i="4"/>
  <c r="R113" i="4"/>
  <c r="Q113" i="4"/>
  <c r="Y112" i="4"/>
  <c r="X112" i="4"/>
  <c r="W112" i="4"/>
  <c r="V112" i="4"/>
  <c r="U112" i="4"/>
  <c r="T112" i="4"/>
  <c r="S112" i="4"/>
  <c r="R112" i="4"/>
  <c r="Q112" i="4"/>
  <c r="Y111" i="4"/>
  <c r="X111" i="4"/>
  <c r="W111" i="4"/>
  <c r="V111" i="4"/>
  <c r="U111" i="4"/>
  <c r="T111" i="4"/>
  <c r="S111" i="4"/>
  <c r="R111" i="4"/>
  <c r="Q111" i="4"/>
  <c r="Y110" i="4"/>
  <c r="X110" i="4"/>
  <c r="W110" i="4"/>
  <c r="V110" i="4"/>
  <c r="U110" i="4"/>
  <c r="T110" i="4"/>
  <c r="S110" i="4"/>
  <c r="R110" i="4"/>
  <c r="Q110" i="4"/>
  <c r="Y109" i="4"/>
  <c r="X109" i="4"/>
  <c r="W109" i="4"/>
  <c r="V109" i="4"/>
  <c r="U109" i="4"/>
  <c r="T109" i="4"/>
  <c r="S109" i="4"/>
  <c r="R109" i="4"/>
  <c r="Q109" i="4"/>
  <c r="Y108" i="4"/>
  <c r="X108" i="4"/>
  <c r="W108" i="4"/>
  <c r="V108" i="4"/>
  <c r="U108" i="4"/>
  <c r="T108" i="4"/>
  <c r="S108" i="4"/>
  <c r="R108" i="4"/>
  <c r="Q108" i="4"/>
  <c r="Y107" i="4"/>
  <c r="X107" i="4"/>
  <c r="W107" i="4"/>
  <c r="V107" i="4"/>
  <c r="U107" i="4"/>
  <c r="T107" i="4"/>
  <c r="S107" i="4"/>
  <c r="R107" i="4"/>
  <c r="Q107" i="4"/>
  <c r="Y106" i="4"/>
  <c r="X106" i="4"/>
  <c r="W106" i="4"/>
  <c r="V106" i="4"/>
  <c r="U106" i="4"/>
  <c r="T106" i="4"/>
  <c r="S106" i="4"/>
  <c r="R106" i="4"/>
  <c r="Q106" i="4"/>
  <c r="Y105" i="4"/>
  <c r="X105" i="4"/>
  <c r="W105" i="4"/>
  <c r="V105" i="4"/>
  <c r="U105" i="4"/>
  <c r="T105" i="4"/>
  <c r="S105" i="4"/>
  <c r="R105" i="4"/>
  <c r="Q105" i="4"/>
  <c r="Y104" i="4"/>
  <c r="X104" i="4"/>
  <c r="W104" i="4"/>
  <c r="V104" i="4"/>
  <c r="U104" i="4"/>
  <c r="T104" i="4"/>
  <c r="S104" i="4"/>
  <c r="R104" i="4"/>
  <c r="Q104" i="4"/>
  <c r="Y103" i="4"/>
  <c r="X103" i="4"/>
  <c r="W103" i="4"/>
  <c r="V103" i="4"/>
  <c r="U103" i="4"/>
  <c r="T103" i="4"/>
  <c r="S103" i="4"/>
  <c r="R103" i="4"/>
  <c r="Q103" i="4"/>
  <c r="Y102" i="4"/>
  <c r="X102" i="4"/>
  <c r="W102" i="4"/>
  <c r="V102" i="4"/>
  <c r="U102" i="4"/>
  <c r="T102" i="4"/>
  <c r="S102" i="4"/>
  <c r="R102" i="4"/>
  <c r="Q102" i="4"/>
  <c r="Y101" i="4"/>
  <c r="X101" i="4"/>
  <c r="W101" i="4"/>
  <c r="V101" i="4"/>
  <c r="U101" i="4"/>
  <c r="T101" i="4"/>
  <c r="S101" i="4"/>
  <c r="R101" i="4"/>
  <c r="Q101" i="4"/>
  <c r="Y100" i="4"/>
  <c r="X100" i="4"/>
  <c r="W100" i="4"/>
  <c r="V100" i="4"/>
  <c r="U100" i="4"/>
  <c r="T100" i="4"/>
  <c r="S100" i="4"/>
  <c r="R100" i="4"/>
  <c r="Q100" i="4"/>
  <c r="Y99" i="4"/>
  <c r="X99" i="4"/>
  <c r="W99" i="4"/>
  <c r="V99" i="4"/>
  <c r="U99" i="4"/>
  <c r="T99" i="4"/>
  <c r="S99" i="4"/>
  <c r="R99" i="4"/>
  <c r="Q99" i="4"/>
  <c r="Y98" i="4"/>
  <c r="X98" i="4"/>
  <c r="W98" i="4"/>
  <c r="V98" i="4"/>
  <c r="U98" i="4"/>
  <c r="T98" i="4"/>
  <c r="S98" i="4"/>
  <c r="R98" i="4"/>
  <c r="Q98" i="4"/>
  <c r="Y97" i="4"/>
  <c r="X97" i="4"/>
  <c r="W97" i="4"/>
  <c r="V97" i="4"/>
  <c r="U97" i="4"/>
  <c r="T97" i="4"/>
  <c r="S97" i="4"/>
  <c r="R97" i="4"/>
  <c r="Q97" i="4"/>
  <c r="Y96" i="4"/>
  <c r="X96" i="4"/>
  <c r="W96" i="4"/>
  <c r="V96" i="4"/>
  <c r="U96" i="4"/>
  <c r="T96" i="4"/>
  <c r="S96" i="4"/>
  <c r="R96" i="4"/>
  <c r="Q96" i="4"/>
  <c r="Y95" i="4"/>
  <c r="X95" i="4"/>
  <c r="W95" i="4"/>
  <c r="V95" i="4"/>
  <c r="U95" i="4"/>
  <c r="T95" i="4"/>
  <c r="S95" i="4"/>
  <c r="R95" i="4"/>
  <c r="Q95" i="4"/>
  <c r="Y94" i="4"/>
  <c r="X94" i="4"/>
  <c r="W94" i="4"/>
  <c r="V94" i="4"/>
  <c r="U94" i="4"/>
  <c r="T94" i="4"/>
  <c r="S94" i="4"/>
  <c r="R94" i="4"/>
  <c r="Q94" i="4"/>
  <c r="Y93" i="4"/>
  <c r="X93" i="4"/>
  <c r="W93" i="4"/>
  <c r="V93" i="4"/>
  <c r="U93" i="4"/>
  <c r="T93" i="4"/>
  <c r="S93" i="4"/>
  <c r="R93" i="4"/>
  <c r="Q93" i="4"/>
  <c r="Y92" i="4"/>
  <c r="X92" i="4"/>
  <c r="W92" i="4"/>
  <c r="V92" i="4"/>
  <c r="U92" i="4"/>
  <c r="T92" i="4"/>
  <c r="S92" i="4"/>
  <c r="R92" i="4"/>
  <c r="Q92" i="4"/>
  <c r="Y91" i="4"/>
  <c r="X91" i="4"/>
  <c r="W91" i="4"/>
  <c r="V91" i="4"/>
  <c r="U91" i="4"/>
  <c r="T91" i="4"/>
  <c r="S91" i="4"/>
  <c r="R91" i="4"/>
  <c r="Q91" i="4"/>
  <c r="Y90" i="4"/>
  <c r="X90" i="4"/>
  <c r="W90" i="4"/>
  <c r="V90" i="4"/>
  <c r="U90" i="4"/>
  <c r="T90" i="4"/>
  <c r="S90" i="4"/>
  <c r="R90" i="4"/>
  <c r="Q90" i="4"/>
  <c r="Y89" i="4"/>
  <c r="X89" i="4"/>
  <c r="W89" i="4"/>
  <c r="V89" i="4"/>
  <c r="U89" i="4"/>
  <c r="T89" i="4"/>
  <c r="S89" i="4"/>
  <c r="R89" i="4"/>
  <c r="Q89" i="4"/>
  <c r="Y88" i="4"/>
  <c r="X88" i="4"/>
  <c r="W88" i="4"/>
  <c r="V88" i="4"/>
  <c r="U88" i="4"/>
  <c r="T88" i="4"/>
  <c r="S88" i="4"/>
  <c r="R88" i="4"/>
  <c r="Q88" i="4"/>
  <c r="Y87" i="4"/>
  <c r="X87" i="4"/>
  <c r="W87" i="4"/>
  <c r="V87" i="4"/>
  <c r="U87" i="4"/>
  <c r="T87" i="4"/>
  <c r="S87" i="4"/>
  <c r="R87" i="4"/>
  <c r="Q87" i="4"/>
  <c r="Y86" i="4"/>
  <c r="X86" i="4"/>
  <c r="W86" i="4"/>
  <c r="V86" i="4"/>
  <c r="U86" i="4"/>
  <c r="T86" i="4"/>
  <c r="S86" i="4"/>
  <c r="R86" i="4"/>
  <c r="Q86" i="4"/>
  <c r="Y85" i="4"/>
  <c r="X85" i="4"/>
  <c r="W85" i="4"/>
  <c r="V85" i="4"/>
  <c r="U85" i="4"/>
  <c r="T85" i="4"/>
  <c r="S85" i="4"/>
  <c r="R85" i="4"/>
  <c r="Q85" i="4"/>
  <c r="Y84" i="4"/>
  <c r="X84" i="4"/>
  <c r="W84" i="4"/>
  <c r="V84" i="4"/>
  <c r="U84" i="4"/>
  <c r="T84" i="4"/>
  <c r="S84" i="4"/>
  <c r="R84" i="4"/>
  <c r="Q84" i="4"/>
  <c r="Y83" i="4"/>
  <c r="X83" i="4"/>
  <c r="W83" i="4"/>
  <c r="V83" i="4"/>
  <c r="U83" i="4"/>
  <c r="T83" i="4"/>
  <c r="S83" i="4"/>
  <c r="R83" i="4"/>
  <c r="Q83" i="4"/>
  <c r="Y82" i="4"/>
  <c r="X82" i="4"/>
  <c r="W82" i="4"/>
  <c r="V82" i="4"/>
  <c r="U82" i="4"/>
  <c r="T82" i="4"/>
  <c r="S82" i="4"/>
  <c r="R82" i="4"/>
  <c r="Q82" i="4"/>
  <c r="Y81" i="4"/>
  <c r="X81" i="4"/>
  <c r="W81" i="4"/>
  <c r="V81" i="4"/>
  <c r="U81" i="4"/>
  <c r="T81" i="4"/>
  <c r="S81" i="4"/>
  <c r="R81" i="4"/>
  <c r="Q81" i="4"/>
  <c r="Y80" i="4"/>
  <c r="X80" i="4"/>
  <c r="W80" i="4"/>
  <c r="V80" i="4"/>
  <c r="U80" i="4"/>
  <c r="T80" i="4"/>
  <c r="S80" i="4"/>
  <c r="R80" i="4"/>
  <c r="Q80" i="4"/>
  <c r="Y79" i="4"/>
  <c r="X79" i="4"/>
  <c r="W79" i="4"/>
  <c r="V79" i="4"/>
  <c r="U79" i="4"/>
  <c r="T79" i="4"/>
  <c r="S79" i="4"/>
  <c r="R79" i="4"/>
  <c r="Q79" i="4"/>
  <c r="Y78" i="4"/>
  <c r="X78" i="4"/>
  <c r="W78" i="4"/>
  <c r="V78" i="4"/>
  <c r="U78" i="4"/>
  <c r="T78" i="4"/>
  <c r="S78" i="4"/>
  <c r="R78" i="4"/>
  <c r="Q78" i="4"/>
  <c r="Y77" i="4"/>
  <c r="X77" i="4"/>
  <c r="W77" i="4"/>
  <c r="V77" i="4"/>
  <c r="U77" i="4"/>
  <c r="T77" i="4"/>
  <c r="S77" i="4"/>
  <c r="R77" i="4"/>
  <c r="Q77" i="4"/>
  <c r="Y76" i="4"/>
  <c r="X76" i="4"/>
  <c r="W76" i="4"/>
  <c r="V76" i="4"/>
  <c r="U76" i="4"/>
  <c r="T76" i="4"/>
  <c r="S76" i="4"/>
  <c r="R76" i="4"/>
  <c r="Q76" i="4"/>
  <c r="Y75" i="4"/>
  <c r="X75" i="4"/>
  <c r="W75" i="4"/>
  <c r="V75" i="4"/>
  <c r="U75" i="4"/>
  <c r="T75" i="4"/>
  <c r="S75" i="4"/>
  <c r="R75" i="4"/>
  <c r="Q75" i="4"/>
  <c r="Y74" i="4"/>
  <c r="X74" i="4"/>
  <c r="W74" i="4"/>
  <c r="V74" i="4"/>
  <c r="U74" i="4"/>
  <c r="T74" i="4"/>
  <c r="S74" i="4"/>
  <c r="R74" i="4"/>
  <c r="Q74" i="4"/>
  <c r="Y73" i="4"/>
  <c r="X73" i="4"/>
  <c r="W73" i="4"/>
  <c r="V73" i="4"/>
  <c r="U73" i="4"/>
  <c r="T73" i="4"/>
  <c r="S73" i="4"/>
  <c r="R73" i="4"/>
  <c r="Q73" i="4"/>
  <c r="Y72" i="4"/>
  <c r="X72" i="4"/>
  <c r="W72" i="4"/>
  <c r="V72" i="4"/>
  <c r="U72" i="4"/>
  <c r="T72" i="4"/>
  <c r="S72" i="4"/>
  <c r="R72" i="4"/>
  <c r="Q72" i="4"/>
  <c r="Y71" i="4"/>
  <c r="X71" i="4"/>
  <c r="W71" i="4"/>
  <c r="V71" i="4"/>
  <c r="U71" i="4"/>
  <c r="T71" i="4"/>
  <c r="S71" i="4"/>
  <c r="R71" i="4"/>
  <c r="Q71" i="4"/>
  <c r="Y70" i="4"/>
  <c r="X70" i="4"/>
  <c r="W70" i="4"/>
  <c r="V70" i="4"/>
  <c r="U70" i="4"/>
  <c r="T70" i="4"/>
  <c r="S70" i="4"/>
  <c r="R70" i="4"/>
  <c r="Q70" i="4"/>
  <c r="Y69" i="4"/>
  <c r="X69" i="4"/>
  <c r="W69" i="4"/>
  <c r="V69" i="4"/>
  <c r="U69" i="4"/>
  <c r="T69" i="4"/>
  <c r="S69" i="4"/>
  <c r="R69" i="4"/>
  <c r="Q69" i="4"/>
  <c r="Y68" i="4"/>
  <c r="X68" i="4"/>
  <c r="W68" i="4"/>
  <c r="V68" i="4"/>
  <c r="U68" i="4"/>
  <c r="T68" i="4"/>
  <c r="S68" i="4"/>
  <c r="R68" i="4"/>
  <c r="Q68" i="4"/>
  <c r="Y67" i="4"/>
  <c r="X67" i="4"/>
  <c r="W67" i="4"/>
  <c r="V67" i="4"/>
  <c r="U67" i="4"/>
  <c r="T67" i="4"/>
  <c r="S67" i="4"/>
  <c r="R67" i="4"/>
  <c r="Q67" i="4"/>
  <c r="Y66" i="4"/>
  <c r="X66" i="4"/>
  <c r="W66" i="4"/>
  <c r="V66" i="4"/>
  <c r="U66" i="4"/>
  <c r="T66" i="4"/>
  <c r="S66" i="4"/>
  <c r="R66" i="4"/>
  <c r="Q66" i="4"/>
  <c r="Y65" i="4"/>
  <c r="X65" i="4"/>
  <c r="W65" i="4"/>
  <c r="V65" i="4"/>
  <c r="U65" i="4"/>
  <c r="T65" i="4"/>
  <c r="S65" i="4"/>
  <c r="R65" i="4"/>
  <c r="Q65" i="4"/>
  <c r="Y64" i="4"/>
  <c r="X64" i="4"/>
  <c r="W64" i="4"/>
  <c r="V64" i="4"/>
  <c r="U64" i="4"/>
  <c r="T64" i="4"/>
  <c r="S64" i="4"/>
  <c r="R64" i="4"/>
  <c r="Q64" i="4"/>
  <c r="Y63" i="4"/>
  <c r="X63" i="4"/>
  <c r="W63" i="4"/>
  <c r="V63" i="4"/>
  <c r="U63" i="4"/>
  <c r="T63" i="4"/>
  <c r="S63" i="4"/>
  <c r="R63" i="4"/>
  <c r="Q63" i="4"/>
  <c r="Y62" i="4"/>
  <c r="X62" i="4"/>
  <c r="W62" i="4"/>
  <c r="V62" i="4"/>
  <c r="U62" i="4"/>
  <c r="T62" i="4"/>
  <c r="S62" i="4"/>
  <c r="R62" i="4"/>
  <c r="Q62" i="4"/>
  <c r="Y61" i="4"/>
  <c r="X61" i="4"/>
  <c r="W61" i="4"/>
  <c r="V61" i="4"/>
  <c r="U61" i="4"/>
  <c r="T61" i="4"/>
  <c r="S61" i="4"/>
  <c r="R61" i="4"/>
  <c r="Q61" i="4"/>
  <c r="Y60" i="4"/>
  <c r="X60" i="4"/>
  <c r="W60" i="4"/>
  <c r="V60" i="4"/>
  <c r="U60" i="4"/>
  <c r="T60" i="4"/>
  <c r="S60" i="4"/>
  <c r="R60" i="4"/>
  <c r="Q60" i="4"/>
  <c r="Y59" i="4"/>
  <c r="X59" i="4"/>
  <c r="W59" i="4"/>
  <c r="V59" i="4"/>
  <c r="U59" i="4"/>
  <c r="T59" i="4"/>
  <c r="S59" i="4"/>
  <c r="R59" i="4"/>
  <c r="Q59" i="4"/>
  <c r="Y58" i="4"/>
  <c r="X58" i="4"/>
  <c r="W58" i="4"/>
  <c r="V58" i="4"/>
  <c r="U58" i="4"/>
  <c r="T58" i="4"/>
  <c r="S58" i="4"/>
  <c r="R58" i="4"/>
  <c r="Q58" i="4"/>
  <c r="Y57" i="4"/>
  <c r="X57" i="4"/>
  <c r="W57" i="4"/>
  <c r="V57" i="4"/>
  <c r="U57" i="4"/>
  <c r="T57" i="4"/>
  <c r="S57" i="4"/>
  <c r="R57" i="4"/>
  <c r="Q57" i="4"/>
  <c r="Y56" i="4"/>
  <c r="X56" i="4"/>
  <c r="W56" i="4"/>
  <c r="V56" i="4"/>
  <c r="U56" i="4"/>
  <c r="T56" i="4"/>
  <c r="S56" i="4"/>
  <c r="R56" i="4"/>
  <c r="Q56" i="4"/>
  <c r="Y55" i="4"/>
  <c r="X55" i="4"/>
  <c r="W55" i="4"/>
  <c r="V55" i="4"/>
  <c r="U55" i="4"/>
  <c r="T55" i="4"/>
  <c r="S55" i="4"/>
  <c r="R55" i="4"/>
  <c r="Q55" i="4"/>
  <c r="Y54" i="4"/>
  <c r="X54" i="4"/>
  <c r="W54" i="4"/>
  <c r="V54" i="4"/>
  <c r="U54" i="4"/>
  <c r="T54" i="4"/>
  <c r="S54" i="4"/>
  <c r="R54" i="4"/>
  <c r="Q54" i="4"/>
  <c r="Y53" i="4"/>
  <c r="X53" i="4"/>
  <c r="W53" i="4"/>
  <c r="V53" i="4"/>
  <c r="U53" i="4"/>
  <c r="T53" i="4"/>
  <c r="S53" i="4"/>
  <c r="R53" i="4"/>
  <c r="Q53" i="4"/>
  <c r="Y52" i="4"/>
  <c r="X52" i="4"/>
  <c r="W52" i="4"/>
  <c r="V52" i="4"/>
  <c r="U52" i="4"/>
  <c r="T52" i="4"/>
  <c r="S52" i="4"/>
  <c r="R52" i="4"/>
  <c r="Q52" i="4"/>
  <c r="Y51" i="4"/>
  <c r="X51" i="4"/>
  <c r="W51" i="4"/>
  <c r="V51" i="4"/>
  <c r="U51" i="4"/>
  <c r="T51" i="4"/>
  <c r="S51" i="4"/>
  <c r="R51" i="4"/>
  <c r="Q51" i="4"/>
  <c r="Y50" i="4"/>
  <c r="X50" i="4"/>
  <c r="W50" i="4"/>
  <c r="V50" i="4"/>
  <c r="U50" i="4"/>
  <c r="T50" i="4"/>
  <c r="S50" i="4"/>
  <c r="R50" i="4"/>
  <c r="Q50" i="4"/>
  <c r="Y49" i="4"/>
  <c r="X49" i="4"/>
  <c r="W49" i="4"/>
  <c r="V49" i="4"/>
  <c r="U49" i="4"/>
  <c r="T49" i="4"/>
  <c r="S49" i="4"/>
  <c r="R49" i="4"/>
  <c r="Q49" i="4"/>
  <c r="Y48" i="4"/>
  <c r="X48" i="4"/>
  <c r="W48" i="4"/>
  <c r="V48" i="4"/>
  <c r="U48" i="4"/>
  <c r="T48" i="4"/>
  <c r="S48" i="4"/>
  <c r="R48" i="4"/>
  <c r="Q48" i="4"/>
  <c r="Y47" i="4"/>
  <c r="X47" i="4"/>
  <c r="W47" i="4"/>
  <c r="V47" i="4"/>
  <c r="U47" i="4"/>
  <c r="T47" i="4"/>
  <c r="S47" i="4"/>
  <c r="R47" i="4"/>
  <c r="Q47" i="4"/>
  <c r="Y46" i="4"/>
  <c r="X46" i="4"/>
  <c r="W46" i="4"/>
  <c r="V46" i="4"/>
  <c r="U46" i="4"/>
  <c r="T46" i="4"/>
  <c r="S46" i="4"/>
  <c r="R46" i="4"/>
  <c r="Q46" i="4"/>
  <c r="Y45" i="4"/>
  <c r="X45" i="4"/>
  <c r="W45" i="4"/>
  <c r="V45" i="4"/>
  <c r="U45" i="4"/>
  <c r="T45" i="4"/>
  <c r="S45" i="4"/>
  <c r="R45" i="4"/>
  <c r="Q45" i="4"/>
  <c r="Y44" i="4"/>
  <c r="X44" i="4"/>
  <c r="W44" i="4"/>
  <c r="V44" i="4"/>
  <c r="U44" i="4"/>
  <c r="T44" i="4"/>
  <c r="S44" i="4"/>
  <c r="R44" i="4"/>
  <c r="Q44" i="4"/>
  <c r="Y43" i="4"/>
  <c r="X43" i="4"/>
  <c r="W43" i="4"/>
  <c r="V43" i="4"/>
  <c r="U43" i="4"/>
  <c r="T43" i="4"/>
  <c r="S43" i="4"/>
  <c r="R43" i="4"/>
  <c r="Q43" i="4"/>
  <c r="Y42" i="4"/>
  <c r="X42" i="4"/>
  <c r="W42" i="4"/>
  <c r="V42" i="4"/>
  <c r="U42" i="4"/>
  <c r="T42" i="4"/>
  <c r="S42" i="4"/>
  <c r="R42" i="4"/>
  <c r="Q42" i="4"/>
  <c r="Y41" i="4"/>
  <c r="X41" i="4"/>
  <c r="W41" i="4"/>
  <c r="V41" i="4"/>
  <c r="U41" i="4"/>
  <c r="T41" i="4"/>
  <c r="S41" i="4"/>
  <c r="R41" i="4"/>
  <c r="Q41" i="4"/>
  <c r="Y40" i="4"/>
  <c r="X40" i="4"/>
  <c r="W40" i="4"/>
  <c r="V40" i="4"/>
  <c r="U40" i="4"/>
  <c r="T40" i="4"/>
  <c r="S40" i="4"/>
  <c r="R40" i="4"/>
  <c r="Q40" i="4"/>
  <c r="Y39" i="4"/>
  <c r="X39" i="4"/>
  <c r="W39" i="4"/>
  <c r="V39" i="4"/>
  <c r="U39" i="4"/>
  <c r="T39" i="4"/>
  <c r="S39" i="4"/>
  <c r="R39" i="4"/>
  <c r="Q39" i="4"/>
  <c r="Y38" i="4"/>
  <c r="X38" i="4"/>
  <c r="W38" i="4"/>
  <c r="V38" i="4"/>
  <c r="U38" i="4"/>
  <c r="T38" i="4"/>
  <c r="S38" i="4"/>
  <c r="R38" i="4"/>
  <c r="Q38" i="4"/>
  <c r="Y37" i="4"/>
  <c r="X37" i="4"/>
  <c r="W37" i="4"/>
  <c r="V37" i="4"/>
  <c r="U37" i="4"/>
  <c r="T37" i="4"/>
  <c r="S37" i="4"/>
  <c r="R37" i="4"/>
  <c r="Q37" i="4"/>
  <c r="Y36" i="4"/>
  <c r="X36" i="4"/>
  <c r="W36" i="4"/>
  <c r="V36" i="4"/>
  <c r="U36" i="4"/>
  <c r="T36" i="4"/>
  <c r="S36" i="4"/>
  <c r="R36" i="4"/>
  <c r="Q36" i="4"/>
  <c r="Y35" i="4"/>
  <c r="X35" i="4"/>
  <c r="W35" i="4"/>
  <c r="V35" i="4"/>
  <c r="U35" i="4"/>
  <c r="T35" i="4"/>
  <c r="S35" i="4"/>
  <c r="R35" i="4"/>
  <c r="Q35" i="4"/>
  <c r="Y34" i="4"/>
  <c r="X34" i="4"/>
  <c r="W34" i="4"/>
  <c r="V34" i="4"/>
  <c r="U34" i="4"/>
  <c r="T34" i="4"/>
  <c r="S34" i="4"/>
  <c r="R34" i="4"/>
  <c r="Q34" i="4"/>
  <c r="Y33" i="4"/>
  <c r="X33" i="4"/>
  <c r="W33" i="4"/>
  <c r="V33" i="4"/>
  <c r="U33" i="4"/>
  <c r="T33" i="4"/>
  <c r="S33" i="4"/>
  <c r="R33" i="4"/>
  <c r="Q33" i="4"/>
  <c r="Y32" i="4"/>
  <c r="X32" i="4"/>
  <c r="W32" i="4"/>
  <c r="V32" i="4"/>
  <c r="U32" i="4"/>
  <c r="T32" i="4"/>
  <c r="S32" i="4"/>
  <c r="R32" i="4"/>
  <c r="Q32" i="4"/>
  <c r="Y31" i="4"/>
  <c r="X31" i="4"/>
  <c r="W31" i="4"/>
  <c r="V31" i="4"/>
  <c r="U31" i="4"/>
  <c r="T31" i="4"/>
  <c r="S31" i="4"/>
  <c r="R31" i="4"/>
  <c r="Q31" i="4"/>
  <c r="Y30" i="4"/>
  <c r="X30" i="4"/>
  <c r="W30" i="4"/>
  <c r="V30" i="4"/>
  <c r="U30" i="4"/>
  <c r="T30" i="4"/>
  <c r="S30" i="4"/>
  <c r="R30" i="4"/>
  <c r="Q30" i="4"/>
  <c r="Y29" i="4"/>
  <c r="X29" i="4"/>
  <c r="W29" i="4"/>
  <c r="V29" i="4"/>
  <c r="U29" i="4"/>
  <c r="T29" i="4"/>
  <c r="S29" i="4"/>
  <c r="R29" i="4"/>
  <c r="Q29" i="4"/>
  <c r="Y28" i="4"/>
  <c r="X28" i="4"/>
  <c r="W28" i="4"/>
  <c r="V28" i="4"/>
  <c r="U28" i="4"/>
  <c r="T28" i="4"/>
  <c r="S28" i="4"/>
  <c r="R28" i="4"/>
  <c r="Q28" i="4"/>
  <c r="Y27" i="4"/>
  <c r="X27" i="4"/>
  <c r="W27" i="4"/>
  <c r="V27" i="4"/>
  <c r="U27" i="4"/>
  <c r="T27" i="4"/>
  <c r="S27" i="4"/>
  <c r="R27" i="4"/>
  <c r="Q27" i="4"/>
  <c r="Y26" i="4"/>
  <c r="X26" i="4"/>
  <c r="W26" i="4"/>
  <c r="V26" i="4"/>
  <c r="U26" i="4"/>
  <c r="T26" i="4"/>
  <c r="S26" i="4"/>
  <c r="R26" i="4"/>
  <c r="Q26" i="4"/>
  <c r="Y25" i="4"/>
  <c r="X25" i="4"/>
  <c r="W25" i="4"/>
  <c r="V25" i="4"/>
  <c r="U25" i="4"/>
  <c r="T25" i="4"/>
  <c r="S25" i="4"/>
  <c r="R25" i="4"/>
  <c r="Q25" i="4"/>
  <c r="Y24" i="4"/>
  <c r="X24" i="4"/>
  <c r="W24" i="4"/>
  <c r="V24" i="4"/>
  <c r="U24" i="4"/>
  <c r="T24" i="4"/>
  <c r="S24" i="4"/>
  <c r="R24" i="4"/>
  <c r="Q24" i="4"/>
  <c r="Y23" i="4"/>
  <c r="X23" i="4"/>
  <c r="W23" i="4"/>
  <c r="V23" i="4"/>
  <c r="U23" i="4"/>
  <c r="T23" i="4"/>
  <c r="S23" i="4"/>
  <c r="R23" i="4"/>
  <c r="Q23" i="4"/>
  <c r="Y22" i="4"/>
  <c r="X22" i="4"/>
  <c r="W22" i="4"/>
  <c r="V22" i="4"/>
  <c r="U22" i="4"/>
  <c r="T22" i="4"/>
  <c r="S22" i="4"/>
  <c r="R22" i="4"/>
  <c r="Q22" i="4"/>
  <c r="Y21" i="4"/>
  <c r="X21" i="4"/>
  <c r="W21" i="4"/>
  <c r="V21" i="4"/>
  <c r="U21" i="4"/>
  <c r="T21" i="4"/>
  <c r="S21" i="4"/>
  <c r="R21" i="4"/>
  <c r="Q21" i="4"/>
  <c r="Y20" i="4"/>
  <c r="X20" i="4"/>
  <c r="W20" i="4"/>
  <c r="V20" i="4"/>
  <c r="U20" i="4"/>
  <c r="T20" i="4"/>
  <c r="S20" i="4"/>
  <c r="R20" i="4"/>
  <c r="Q20" i="4"/>
  <c r="Y19" i="4"/>
  <c r="X19" i="4"/>
  <c r="W19" i="4"/>
  <c r="V19" i="4"/>
  <c r="U19" i="4"/>
  <c r="T19" i="4"/>
  <c r="S19" i="4"/>
  <c r="R19" i="4"/>
  <c r="Q19" i="4"/>
  <c r="Y18" i="4"/>
  <c r="X18" i="4"/>
  <c r="W18" i="4"/>
  <c r="V18" i="4"/>
  <c r="U18" i="4"/>
  <c r="T18" i="4"/>
  <c r="S18" i="4"/>
  <c r="R18" i="4"/>
  <c r="Q18" i="4"/>
  <c r="Y17" i="4"/>
  <c r="X17" i="4"/>
  <c r="W17" i="4"/>
  <c r="V17" i="4"/>
  <c r="U17" i="4"/>
  <c r="T17" i="4"/>
  <c r="S17" i="4"/>
  <c r="R17" i="4"/>
  <c r="Q17" i="4"/>
  <c r="Y16" i="4"/>
  <c r="X16" i="4"/>
  <c r="W16" i="4"/>
  <c r="V16" i="4"/>
  <c r="U16" i="4"/>
  <c r="T16" i="4"/>
  <c r="S16" i="4"/>
  <c r="R16" i="4"/>
  <c r="Q16" i="4"/>
  <c r="Y15" i="4"/>
  <c r="X15" i="4"/>
  <c r="W15" i="4"/>
  <c r="V15" i="4"/>
  <c r="U15" i="4"/>
  <c r="T15" i="4"/>
  <c r="S15" i="4"/>
  <c r="R15" i="4"/>
  <c r="Q15" i="4"/>
  <c r="Y14" i="4"/>
  <c r="X14" i="4"/>
  <c r="W14" i="4"/>
  <c r="V14" i="4"/>
  <c r="U14" i="4"/>
  <c r="T14" i="4"/>
  <c r="S14" i="4"/>
  <c r="R14" i="4"/>
  <c r="Q14" i="4"/>
  <c r="Y13" i="4"/>
  <c r="X13" i="4"/>
  <c r="W13" i="4"/>
  <c r="V13" i="4"/>
  <c r="U13" i="4"/>
  <c r="T13" i="4"/>
  <c r="S13" i="4"/>
  <c r="R13" i="4"/>
  <c r="Q13" i="4"/>
  <c r="Y12" i="4"/>
  <c r="X12" i="4"/>
  <c r="W12" i="4"/>
  <c r="V12" i="4"/>
  <c r="U12" i="4"/>
  <c r="T12" i="4"/>
  <c r="S12" i="4"/>
  <c r="R12" i="4"/>
  <c r="Q12" i="4"/>
  <c r="Y11" i="4"/>
  <c r="X11" i="4"/>
  <c r="W11" i="4"/>
  <c r="V11" i="4"/>
  <c r="U11" i="4"/>
  <c r="T11" i="4"/>
  <c r="S11" i="4"/>
  <c r="R11" i="4"/>
  <c r="Q11" i="4"/>
  <c r="Y10" i="4"/>
  <c r="X10" i="4"/>
  <c r="W10" i="4"/>
  <c r="V10" i="4"/>
  <c r="U10" i="4"/>
  <c r="T10" i="4"/>
  <c r="S10" i="4"/>
  <c r="R10" i="4"/>
  <c r="Q10" i="4"/>
  <c r="Y9" i="4"/>
  <c r="X9" i="4"/>
  <c r="W9" i="4"/>
  <c r="V9" i="4"/>
  <c r="U9" i="4"/>
  <c r="T9" i="4"/>
  <c r="S9" i="4"/>
  <c r="R9" i="4"/>
  <c r="Q9" i="4"/>
  <c r="Y8" i="4"/>
  <c r="X8" i="4"/>
  <c r="W8" i="4"/>
  <c r="V8" i="4"/>
  <c r="U8" i="4"/>
  <c r="T8" i="4"/>
  <c r="S8" i="4"/>
  <c r="R8" i="4"/>
  <c r="Q8" i="4"/>
  <c r="Y7" i="4"/>
  <c r="X7" i="4"/>
  <c r="W7" i="4"/>
  <c r="V7" i="4"/>
  <c r="U7" i="4"/>
  <c r="T7" i="4"/>
  <c r="S7" i="4"/>
  <c r="R7" i="4"/>
  <c r="Q7" i="4"/>
  <c r="Y6" i="4"/>
  <c r="X6" i="4"/>
  <c r="W6" i="4"/>
  <c r="V6" i="4"/>
  <c r="U6" i="4"/>
  <c r="T6" i="4"/>
  <c r="S6" i="4"/>
  <c r="R6" i="4"/>
  <c r="Q6" i="4"/>
  <c r="M100" i="3" l="1"/>
  <c r="M99" i="3"/>
  <c r="L98" i="3"/>
  <c r="K98" i="3"/>
  <c r="J98" i="3"/>
  <c r="I98" i="3"/>
  <c r="M97" i="3"/>
  <c r="M96" i="3"/>
  <c r="M95" i="3"/>
  <c r="L94" i="3"/>
  <c r="M94" i="3" s="1"/>
  <c r="K94" i="3"/>
  <c r="J94" i="3"/>
  <c r="I94" i="3"/>
  <c r="M93" i="3"/>
  <c r="M91" i="3"/>
  <c r="M90" i="3"/>
  <c r="M89" i="3"/>
  <c r="M88" i="3"/>
  <c r="M87" i="3"/>
  <c r="M86" i="3"/>
  <c r="M85" i="3"/>
  <c r="M84" i="3"/>
  <c r="M83" i="3"/>
  <c r="M82" i="3"/>
  <c r="M81" i="3"/>
  <c r="M80" i="3"/>
  <c r="L79" i="3"/>
  <c r="K79" i="3"/>
  <c r="J79" i="3"/>
  <c r="I79" i="3"/>
  <c r="M78" i="3"/>
  <c r="M77" i="3"/>
  <c r="M76" i="3"/>
  <c r="M75" i="3"/>
  <c r="M74" i="3"/>
  <c r="M73" i="3"/>
  <c r="M72" i="3"/>
  <c r="M71" i="3"/>
  <c r="M70" i="3"/>
  <c r="M69" i="3"/>
  <c r="M68" i="3"/>
  <c r="M67" i="3"/>
  <c r="L66" i="3"/>
  <c r="K66" i="3"/>
  <c r="J66" i="3"/>
  <c r="I66" i="3"/>
  <c r="M65" i="3"/>
  <c r="M64" i="3"/>
  <c r="M63" i="3"/>
  <c r="M62" i="3"/>
  <c r="M61" i="3"/>
  <c r="M60" i="3"/>
  <c r="M59" i="3"/>
  <c r="M58" i="3"/>
  <c r="M57" i="3"/>
  <c r="M56" i="3"/>
  <c r="M55" i="3"/>
  <c r="M54" i="3"/>
  <c r="L53" i="3"/>
  <c r="K53" i="3"/>
  <c r="J53" i="3"/>
  <c r="J52" i="3" s="1"/>
  <c r="I53" i="3"/>
  <c r="M50" i="3"/>
  <c r="M49" i="3"/>
  <c r="M48" i="3"/>
  <c r="M47" i="3"/>
  <c r="M46" i="3"/>
  <c r="M45" i="3"/>
  <c r="M44" i="3"/>
  <c r="M43" i="3"/>
  <c r="M42" i="3"/>
  <c r="M41" i="3"/>
  <c r="M40" i="3"/>
  <c r="M39" i="3"/>
  <c r="L38" i="3"/>
  <c r="K38" i="3"/>
  <c r="J38" i="3"/>
  <c r="I38" i="3"/>
  <c r="M37" i="3"/>
  <c r="M36" i="3"/>
  <c r="M35" i="3"/>
  <c r="M34" i="3"/>
  <c r="M33" i="3"/>
  <c r="M32" i="3"/>
  <c r="M31" i="3"/>
  <c r="M30" i="3"/>
  <c r="M29" i="3"/>
  <c r="M28" i="3"/>
  <c r="M27" i="3"/>
  <c r="M26" i="3"/>
  <c r="L25" i="3"/>
  <c r="L24" i="3" s="1"/>
  <c r="K25" i="3"/>
  <c r="K24" i="3" s="1"/>
  <c r="J25" i="3"/>
  <c r="I25" i="3"/>
  <c r="J24" i="3"/>
  <c r="M22" i="3"/>
  <c r="M21" i="3"/>
  <c r="M20" i="3"/>
  <c r="M19" i="3"/>
  <c r="M18" i="3"/>
  <c r="M17" i="3"/>
  <c r="M16" i="3"/>
  <c r="M15" i="3"/>
  <c r="M14" i="3"/>
  <c r="M13" i="3"/>
  <c r="M12" i="3"/>
  <c r="M11" i="3"/>
  <c r="L10" i="3"/>
  <c r="K10" i="3"/>
  <c r="J10" i="3"/>
  <c r="I10" i="3"/>
  <c r="M10" i="3" s="1"/>
  <c r="M8" i="3"/>
  <c r="M7" i="3"/>
  <c r="M25" i="3" l="1"/>
  <c r="M38" i="3"/>
  <c r="M53" i="3"/>
  <c r="M66" i="3"/>
  <c r="M79" i="3"/>
  <c r="M98" i="3"/>
  <c r="K52" i="3"/>
  <c r="L52" i="3"/>
  <c r="I52" i="3"/>
  <c r="I24" i="3"/>
  <c r="M24" i="3" s="1"/>
  <c r="M52" i="3" l="1"/>
</calcChain>
</file>

<file path=xl/sharedStrings.xml><?xml version="1.0" encoding="utf-8"?>
<sst xmlns="http://schemas.openxmlformats.org/spreadsheetml/2006/main" count="1986" uniqueCount="1380">
  <si>
    <t>■ PMS (Production Management System) Process MAP</t>
    <phoneticPr fontId="4" type="noConversion"/>
  </si>
  <si>
    <t>Material Warehouse</t>
    <phoneticPr fontId="4" type="noConversion"/>
  </si>
  <si>
    <t>Cutting</t>
    <phoneticPr fontId="4" type="noConversion"/>
  </si>
  <si>
    <t>Sewing</t>
    <phoneticPr fontId="4" type="noConversion"/>
  </si>
  <si>
    <t>Garment Stock Warehouse</t>
    <phoneticPr fontId="4" type="noConversion"/>
  </si>
  <si>
    <t>EXIM</t>
    <phoneticPr fontId="4" type="noConversion"/>
  </si>
  <si>
    <t xml:space="preserve"> </t>
    <phoneticPr fontId="4" type="noConversion"/>
  </si>
  <si>
    <r>
      <t xml:space="preserve">Depot
</t>
    </r>
    <r>
      <rPr>
        <sz val="9"/>
        <color theme="1"/>
        <rFont val="맑은 고딕"/>
        <family val="3"/>
        <charset val="129"/>
      </rPr>
      <t>(수불거점)</t>
    </r>
    <phoneticPr fontId="4" type="noConversion"/>
  </si>
  <si>
    <t>Menu
&amp;
Process</t>
    <phoneticPr fontId="4" type="noConversion"/>
  </si>
  <si>
    <t>INDEX</t>
    <phoneticPr fontId="4" type="noConversion"/>
  </si>
  <si>
    <t>* 공통 기초자료  :  생산지표 산정기준 Function별 인원현황, 근무시간, 급여지급내역</t>
    <phoneticPr fontId="4" type="noConversion"/>
  </si>
  <si>
    <t>* 기초자료  :  Line별 생산현황, 공장별 공정별 입출고현황, Defect현황</t>
    <phoneticPr fontId="4" type="noConversion"/>
  </si>
  <si>
    <t>* 기초자료  :  제품별 출고현황</t>
    <phoneticPr fontId="4" type="noConversion"/>
  </si>
  <si>
    <t>1. Organization of Accounting Standards (ISTMO 예시)</t>
    <phoneticPr fontId="4" type="noConversion"/>
  </si>
  <si>
    <t>2. IN-OUT Depot &amp; Transaction</t>
    <phoneticPr fontId="4" type="noConversion"/>
  </si>
  <si>
    <t>IN-OUT Type</t>
    <phoneticPr fontId="4" type="noConversion"/>
  </si>
  <si>
    <t>Class1</t>
    <phoneticPr fontId="4" type="noConversion"/>
  </si>
  <si>
    <t>Class2</t>
    <phoneticPr fontId="4" type="noConversion"/>
  </si>
  <si>
    <t>Class3</t>
    <phoneticPr fontId="4" type="noConversion"/>
  </si>
  <si>
    <t>Depot / Transaction</t>
    <phoneticPr fontId="4" type="noConversion"/>
  </si>
  <si>
    <t>발생여부</t>
    <phoneticPr fontId="4" type="noConversion"/>
  </si>
  <si>
    <t>Transfer</t>
    <phoneticPr fontId="4" type="noConversion"/>
  </si>
  <si>
    <t>In-bound</t>
    <phoneticPr fontId="4" type="noConversion"/>
  </si>
  <si>
    <t>Material W/H</t>
    <phoneticPr fontId="4" type="noConversion"/>
  </si>
  <si>
    <t>(N/A)</t>
    <phoneticPr fontId="4" type="noConversion"/>
  </si>
  <si>
    <t>:  Material Warehouse</t>
    <phoneticPr fontId="4" type="noConversion"/>
  </si>
  <si>
    <t>IN-OUT</t>
    <phoneticPr fontId="4" type="noConversion"/>
  </si>
  <si>
    <t>Cutting</t>
    <phoneticPr fontId="4" type="noConversion"/>
  </si>
  <si>
    <t>(N/A-통합재단)</t>
    <phoneticPr fontId="4" type="noConversion"/>
  </si>
  <si>
    <t>C.Fabric W/H</t>
    <phoneticPr fontId="4" type="noConversion"/>
  </si>
  <si>
    <t>:  Cutting Fabric Warehouse</t>
    <phoneticPr fontId="4" type="noConversion"/>
  </si>
  <si>
    <t>Spreading &amp; Cutting</t>
    <phoneticPr fontId="4" type="noConversion"/>
  </si>
  <si>
    <t>C.Bundle W/H</t>
    <phoneticPr fontId="4" type="noConversion"/>
  </si>
  <si>
    <t>:  Cutting Bundle Warehouse</t>
    <phoneticPr fontId="4" type="noConversion"/>
  </si>
  <si>
    <t>:</t>
    <phoneticPr fontId="4" type="noConversion"/>
  </si>
  <si>
    <t>Factory 1</t>
    <phoneticPr fontId="4" type="noConversion"/>
  </si>
  <si>
    <t>Fac1-C.Fabric W/H</t>
    <phoneticPr fontId="4" type="noConversion"/>
  </si>
  <si>
    <t>(공장별 재단)</t>
    <phoneticPr fontId="4" type="noConversion"/>
  </si>
  <si>
    <t>Fac1-Spreading &amp; Cutting</t>
    <phoneticPr fontId="4" type="noConversion"/>
  </si>
  <si>
    <t>Fac1-C.Bundle W/H</t>
    <phoneticPr fontId="4" type="noConversion"/>
  </si>
  <si>
    <t>Sewing</t>
    <phoneticPr fontId="4" type="noConversion"/>
  </si>
  <si>
    <t>(N/A-단일공장)</t>
    <phoneticPr fontId="4" type="noConversion"/>
  </si>
  <si>
    <t>S.Bundle W/H</t>
    <phoneticPr fontId="4" type="noConversion"/>
  </si>
  <si>
    <t>:  Sewing Bundle Warehouse</t>
    <phoneticPr fontId="4" type="noConversion"/>
  </si>
  <si>
    <t>Sewing Line</t>
    <phoneticPr fontId="4" type="noConversion"/>
  </si>
  <si>
    <t>Garment Stock W/H</t>
    <phoneticPr fontId="4" type="noConversion"/>
  </si>
  <si>
    <t>:  Garment Stock Warehouse</t>
    <phoneticPr fontId="4" type="noConversion"/>
  </si>
  <si>
    <t>Fac1-S.Bundle W/H</t>
    <phoneticPr fontId="4" type="noConversion"/>
  </si>
  <si>
    <t>Fac1-Sewing Line</t>
    <phoneticPr fontId="4" type="noConversion"/>
  </si>
  <si>
    <t>Fac1-Garment Stock W/H</t>
    <phoneticPr fontId="4" type="noConversion"/>
  </si>
  <si>
    <t>Out-bound</t>
    <phoneticPr fontId="4" type="noConversion"/>
  </si>
  <si>
    <t>Sub-contract</t>
    <phoneticPr fontId="4" type="noConversion"/>
  </si>
  <si>
    <t>(외주봉제업체)</t>
    <phoneticPr fontId="4" type="noConversion"/>
  </si>
  <si>
    <t>* 업체별 개별등록</t>
    <phoneticPr fontId="4" type="noConversion"/>
  </si>
  <si>
    <t>Sub-processing</t>
    <phoneticPr fontId="4" type="noConversion"/>
  </si>
  <si>
    <t>(부속가공업체)</t>
    <phoneticPr fontId="4" type="noConversion"/>
  </si>
  <si>
    <t>Managing</t>
    <phoneticPr fontId="4" type="noConversion"/>
  </si>
  <si>
    <t>Net-IN</t>
    <phoneticPr fontId="4" type="noConversion"/>
  </si>
  <si>
    <t>* Material W/H 입고 전용 Transaction</t>
    <phoneticPr fontId="4" type="noConversion"/>
  </si>
  <si>
    <t>IN</t>
    <phoneticPr fontId="4" type="noConversion"/>
  </si>
  <si>
    <t>Sales</t>
    <phoneticPr fontId="4" type="noConversion"/>
  </si>
  <si>
    <t>* 자재 및 제품 판매</t>
    <phoneticPr fontId="4" type="noConversion"/>
  </si>
  <si>
    <t>OUT</t>
    <phoneticPr fontId="4" type="noConversion"/>
  </si>
  <si>
    <t>Disposal</t>
    <phoneticPr fontId="4" type="noConversion"/>
  </si>
  <si>
    <t>* 폐기</t>
    <phoneticPr fontId="4" type="noConversion"/>
  </si>
  <si>
    <t>Loss</t>
    <phoneticPr fontId="4" type="noConversion"/>
  </si>
  <si>
    <t>* 분실/도난 등</t>
    <phoneticPr fontId="4" type="noConversion"/>
  </si>
  <si>
    <t>Trans SPEC</t>
    <phoneticPr fontId="4" type="noConversion"/>
  </si>
  <si>
    <t>* 자재 SPEC (File/Style 변경) 변경</t>
    <phoneticPr fontId="4" type="noConversion"/>
  </si>
  <si>
    <t>Trans Location</t>
    <phoneticPr fontId="4" type="noConversion"/>
  </si>
  <si>
    <t>* 자재 Location 변경</t>
    <phoneticPr fontId="4" type="noConversion"/>
  </si>
  <si>
    <t>-</t>
    <phoneticPr fontId="4" type="noConversion"/>
  </si>
  <si>
    <t>Sample</t>
    <phoneticPr fontId="4" type="noConversion"/>
  </si>
  <si>
    <t>* 샘플사용</t>
    <phoneticPr fontId="4" type="noConversion"/>
  </si>
  <si>
    <t>Split</t>
    <phoneticPr fontId="4" type="noConversion"/>
  </si>
  <si>
    <t>* 하나의 Roll 원단을 2개 이상의 Roll 로 분할</t>
    <phoneticPr fontId="4" type="noConversion"/>
  </si>
  <si>
    <t>Adjusted</t>
    <phoneticPr fontId="4" type="noConversion"/>
  </si>
  <si>
    <t>* 기타 재고조정</t>
    <phoneticPr fontId="4" type="noConversion"/>
  </si>
  <si>
    <t>3. 생산관리 INDEX 기초Data 집계용 Function Master</t>
    <phoneticPr fontId="4" type="noConversion"/>
  </si>
  <si>
    <t>:  HR 자료와 생산실적 Data 연계 집계 필요</t>
    <phoneticPr fontId="4" type="noConversion"/>
  </si>
  <si>
    <t>Class1</t>
    <phoneticPr fontId="4" type="noConversion"/>
  </si>
  <si>
    <t>Class2</t>
    <phoneticPr fontId="4" type="noConversion"/>
  </si>
  <si>
    <t>Function</t>
    <phoneticPr fontId="4" type="noConversion"/>
  </si>
  <si>
    <t>Remark</t>
    <phoneticPr fontId="4" type="noConversion"/>
  </si>
  <si>
    <t>Sewing Factory</t>
    <phoneticPr fontId="4" type="noConversion"/>
  </si>
  <si>
    <t>Sewing Line</t>
  </si>
  <si>
    <t>Line Manager</t>
    <phoneticPr fontId="4" type="noConversion"/>
  </si>
  <si>
    <t>* Sewing Line</t>
    <phoneticPr fontId="4" type="noConversion"/>
  </si>
  <si>
    <t>(봉제공장)</t>
    <phoneticPr fontId="4" type="noConversion"/>
  </si>
  <si>
    <t>(생산라인)</t>
    <phoneticPr fontId="4" type="noConversion"/>
  </si>
  <si>
    <t>Technician</t>
    <phoneticPr fontId="4" type="noConversion"/>
  </si>
  <si>
    <t xml:space="preserve">  :  순수 Line / 법인내 공장별 생산성 측정을 위한 기준</t>
  </si>
  <si>
    <t>Odd-job</t>
    <phoneticPr fontId="4" type="noConversion"/>
  </si>
  <si>
    <t>Prod. Support</t>
    <phoneticPr fontId="4" type="noConversion"/>
  </si>
  <si>
    <t>Material W/H</t>
  </si>
  <si>
    <t>* Production Support</t>
    <phoneticPr fontId="4" type="noConversion"/>
  </si>
  <si>
    <t>(생산지원)</t>
    <phoneticPr fontId="4" type="noConversion"/>
  </si>
  <si>
    <t>Cutting</t>
  </si>
  <si>
    <t xml:space="preserve">  -  법인별 공장운영 특성에 따라 통합체계 상이함 원인, 공장별 생산성 측정 Data 로 부적합</t>
    <phoneticPr fontId="4" type="noConversion"/>
  </si>
  <si>
    <t>Finishing</t>
  </si>
  <si>
    <t xml:space="preserve">     Prod. Support 기초Data 는 각 법인 전체를 기준으로 생산성지표 관리해야 함</t>
    <phoneticPr fontId="4" type="noConversion"/>
  </si>
  <si>
    <t>Mechanic</t>
  </si>
  <si>
    <t xml:space="preserve">     Ex. 통합재단, 통합완성반, 통합공무 등</t>
    <phoneticPr fontId="4" type="noConversion"/>
  </si>
  <si>
    <t>QA/QC</t>
  </si>
  <si>
    <t xml:space="preserve">  -  특정 법인 생산지원 조직의 경우, Main Office 소속 불구, 본사 생산관리Data 는 생산지원 별도 분류&amp;집계</t>
    <phoneticPr fontId="4" type="noConversion"/>
  </si>
  <si>
    <t>Factory Office</t>
  </si>
  <si>
    <t>Main Office</t>
    <phoneticPr fontId="4" type="noConversion"/>
  </si>
  <si>
    <t>Personnel / General Affair</t>
  </si>
  <si>
    <t>* Main Office 내 구성Function 외 추가 Function 필요시, 마스터 추가 등록 진행</t>
    <phoneticPr fontId="4" type="noConversion"/>
  </si>
  <si>
    <t>(법인공통)</t>
    <phoneticPr fontId="4" type="noConversion"/>
  </si>
  <si>
    <t>Accounting</t>
  </si>
  <si>
    <t>EXIM</t>
  </si>
  <si>
    <t>Sample</t>
  </si>
  <si>
    <t>영업지사 분류필요</t>
    <phoneticPr fontId="4" type="noConversion"/>
  </si>
  <si>
    <t>* Roll 분할 처리시, 기존 바코드외 분리된 신규 Roll 구분 바코드 생성 필요 -- 사전에 분리하는 작업이 필요함</t>
    <phoneticPr fontId="4" type="noConversion"/>
  </si>
  <si>
    <t>■ PMS Master 체계</t>
    <phoneticPr fontId="4" type="noConversion"/>
  </si>
  <si>
    <t>■ Monthly Production status (Jun.19)</t>
    <phoneticPr fontId="4" type="noConversion"/>
  </si>
  <si>
    <t>* 자재창고/재단/공무/샘플실/QA/수출입 등 공장별 구분없이 통합운영시, Main Office 열에 Data 입력 (단, Sewing 조직의 경우 반드시 공장별 구분등록 必)</t>
    <phoneticPr fontId="4" type="noConversion"/>
  </si>
  <si>
    <t>구          분</t>
    <phoneticPr fontId="4" type="noConversion"/>
  </si>
  <si>
    <t>ISTMO</t>
    <phoneticPr fontId="4" type="noConversion"/>
  </si>
  <si>
    <t>Remark</t>
    <phoneticPr fontId="4" type="noConversion"/>
  </si>
  <si>
    <t>Fac 1</t>
  </si>
  <si>
    <t>Fac 2</t>
    <phoneticPr fontId="4" type="noConversion"/>
  </si>
  <si>
    <t>Fac 3</t>
    <phoneticPr fontId="4" type="noConversion"/>
  </si>
  <si>
    <t>Main Office</t>
    <phoneticPr fontId="4" type="noConversion"/>
  </si>
  <si>
    <t>Total</t>
    <phoneticPr fontId="4" type="noConversion"/>
  </si>
  <si>
    <t>Working Day (조업일)</t>
    <phoneticPr fontId="4" type="noConversion"/>
  </si>
  <si>
    <t>* 월간 공장 조업일수</t>
    <phoneticPr fontId="4" type="noConversion"/>
  </si>
  <si>
    <t>Lines (조업라인수)</t>
    <phoneticPr fontId="4" type="noConversion"/>
  </si>
  <si>
    <t>* 공장별 일별 운영Line 합계 (이틀간 11개, 10개 Line 운영시, 21개 표기)</t>
    <phoneticPr fontId="4" type="noConversion"/>
  </si>
  <si>
    <t>Machine (투입기계)</t>
    <phoneticPr fontId="4" type="noConversion"/>
  </si>
  <si>
    <t>* 공장별 일별 투입기계 합계 (이틀간 100대, 120대 투입시, 220대 표기)</t>
    <phoneticPr fontId="4" type="noConversion"/>
  </si>
  <si>
    <t>Worker (Local)</t>
    <phoneticPr fontId="4" type="noConversion"/>
  </si>
  <si>
    <t>* 작업인원 산정기준 (현지인)</t>
    <phoneticPr fontId="4" type="noConversion"/>
  </si>
  <si>
    <t xml:space="preserve">  : 조직/기능별 일일 출근인원 합계 (이틀간 1,000명, 1,200명 출근시 2,200명 표기)</t>
    <phoneticPr fontId="4" type="noConversion"/>
  </si>
  <si>
    <t>Cutting/Spreading</t>
  </si>
  <si>
    <t>Sewing</t>
    <phoneticPr fontId="4" type="noConversion"/>
  </si>
  <si>
    <t>* 미싱사 + 시다</t>
    <phoneticPr fontId="4" type="noConversion"/>
  </si>
  <si>
    <t>Finishing</t>
    <phoneticPr fontId="4" type="noConversion"/>
  </si>
  <si>
    <t>* 아이롱의 경우, 완성반 포함</t>
    <phoneticPr fontId="4" type="noConversion"/>
  </si>
  <si>
    <t>Line Manager</t>
    <phoneticPr fontId="4" type="noConversion"/>
  </si>
  <si>
    <t>* Line반장, 총반장 별도표기</t>
    <phoneticPr fontId="4" type="noConversion"/>
  </si>
  <si>
    <t>EXIM</t>
    <phoneticPr fontId="4" type="noConversion"/>
  </si>
  <si>
    <t>Sample</t>
    <phoneticPr fontId="4" type="noConversion"/>
  </si>
  <si>
    <t>Men Hours (Local)</t>
    <phoneticPr fontId="4" type="noConversion"/>
  </si>
  <si>
    <t>* Men Hour (조업시간) 산정기준 (현지인)</t>
    <phoneticPr fontId="4" type="noConversion"/>
  </si>
  <si>
    <t>Normal</t>
    <phoneticPr fontId="4" type="noConversion"/>
  </si>
  <si>
    <t xml:space="preserve">   ① 정상근무시간 , 초과근무시간(OT) 구분 집계</t>
    <phoneticPr fontId="4" type="noConversion"/>
  </si>
  <si>
    <t xml:space="preserve">   ② 조직/기능별 일일 출근인원별 근무시간 합계</t>
    <phoneticPr fontId="4" type="noConversion"/>
  </si>
  <si>
    <t xml:space="preserve">        Ex. Sewing : Normal - '직원A' 1일, 8H, 2일 8H 근무시, 16H 표기</t>
    <phoneticPr fontId="4" type="noConversion"/>
  </si>
  <si>
    <t xml:space="preserve">                         Overtime - '직원A' 1일, 2H, 2일 1H 근무시, 3H 표기</t>
    <phoneticPr fontId="4" type="noConversion"/>
  </si>
  <si>
    <t xml:space="preserve">             → 직원별 일일 정상근무시간(or OT) 총합계를 조직/기능별 합계 표기</t>
    <phoneticPr fontId="4" type="noConversion"/>
  </si>
  <si>
    <t>Overtime</t>
    <phoneticPr fontId="4" type="noConversion"/>
  </si>
  <si>
    <t>Labor cost (Local)</t>
    <phoneticPr fontId="4" type="noConversion"/>
  </si>
  <si>
    <t>* Labor cost 산정기준 (현지인)</t>
    <phoneticPr fontId="4" type="noConversion"/>
  </si>
  <si>
    <t>Basic Salary</t>
    <phoneticPr fontId="4" type="noConversion"/>
  </si>
  <si>
    <t>* 기본급, 인센티브, 보너스, 휴가비, 제수당, 퇴직급여, 교통비, 종교상여 등</t>
    <phoneticPr fontId="4" type="noConversion"/>
  </si>
  <si>
    <t>* OT수당</t>
    <phoneticPr fontId="4" type="noConversion"/>
  </si>
  <si>
    <t>Others</t>
    <phoneticPr fontId="4" type="noConversion"/>
  </si>
  <si>
    <t>* 4대보험, 출퇴근버스 운용비, 주택보조비</t>
    <phoneticPr fontId="4" type="noConversion"/>
  </si>
  <si>
    <t xml:space="preserve">  ; 법인통합 운영비용의 경우, Main Office 로 표기 요망</t>
    <phoneticPr fontId="4" type="noConversion"/>
  </si>
  <si>
    <t>Korean
(주재원)</t>
    <phoneticPr fontId="4" type="noConversion"/>
  </si>
  <si>
    <t>Worker(명)</t>
    <phoneticPr fontId="4" type="noConversion"/>
  </si>
  <si>
    <t>Labor cost</t>
    <phoneticPr fontId="4" type="noConversion"/>
  </si>
  <si>
    <t>* 4대보험, 주택보조비, 세금지원 등</t>
    <phoneticPr fontId="4" type="noConversion"/>
  </si>
  <si>
    <t>Foreigner
(제3국인)</t>
    <phoneticPr fontId="4" type="noConversion"/>
  </si>
  <si>
    <t>Master Level</t>
    <phoneticPr fontId="4" type="noConversion"/>
  </si>
  <si>
    <t>Report Title</t>
    <phoneticPr fontId="4" type="noConversion"/>
  </si>
  <si>
    <t>CODE</t>
    <phoneticPr fontId="4" type="noConversion"/>
  </si>
  <si>
    <t>ACCOUNTS</t>
    <phoneticPr fontId="4" type="noConversion"/>
  </si>
  <si>
    <t>L1</t>
    <phoneticPr fontId="4" type="noConversion"/>
  </si>
  <si>
    <t>L2</t>
    <phoneticPr fontId="4" type="noConversion"/>
  </si>
  <si>
    <t>L3</t>
    <phoneticPr fontId="4" type="noConversion"/>
  </si>
  <si>
    <t>L4</t>
    <phoneticPr fontId="4" type="noConversion"/>
  </si>
  <si>
    <t>L5</t>
    <phoneticPr fontId="4" type="noConversion"/>
  </si>
  <si>
    <t>L6</t>
    <phoneticPr fontId="4" type="noConversion"/>
  </si>
  <si>
    <t xml:space="preserve"> </t>
    <phoneticPr fontId="4" type="noConversion"/>
  </si>
  <si>
    <t>Assets</t>
    <phoneticPr fontId="4" type="noConversion"/>
  </si>
  <si>
    <t>Ⅰ. Current Assets</t>
    <phoneticPr fontId="4" type="noConversion"/>
  </si>
  <si>
    <t>(1) Quick Assets</t>
    <phoneticPr fontId="4" type="noConversion"/>
  </si>
  <si>
    <t>Cash and cash equivalents</t>
  </si>
  <si>
    <t>Cash</t>
    <phoneticPr fontId="4" type="noConversion"/>
  </si>
  <si>
    <t>1101101</t>
  </si>
  <si>
    <t>Cash on hand</t>
    <phoneticPr fontId="4" type="noConversion"/>
  </si>
  <si>
    <t>1105101</t>
  </si>
  <si>
    <t>Advanced money</t>
    <phoneticPr fontId="4" type="noConversion"/>
  </si>
  <si>
    <t>Deposit</t>
    <phoneticPr fontId="4" type="noConversion"/>
  </si>
  <si>
    <t>1103101</t>
  </si>
  <si>
    <t>Accounts Receivable</t>
  </si>
  <si>
    <t>1131101</t>
  </si>
  <si>
    <t>Accounts Receivable</t>
    <phoneticPr fontId="4" type="noConversion"/>
  </si>
  <si>
    <t xml:space="preserve"> (Allowance for bad debt)</t>
    <phoneticPr fontId="4" type="noConversion"/>
  </si>
  <si>
    <t>1131606</t>
  </si>
  <si>
    <t>Allowance for bad debt</t>
    <phoneticPr fontId="4" type="noConversion"/>
  </si>
  <si>
    <t>Other current financial assets</t>
  </si>
  <si>
    <t>Short-Term Investment</t>
    <phoneticPr fontId="4" type="noConversion"/>
  </si>
  <si>
    <t>Fixed deposit</t>
    <phoneticPr fontId="4" type="noConversion"/>
  </si>
  <si>
    <t>1211101</t>
  </si>
  <si>
    <t>Short-term Loans</t>
    <phoneticPr fontId="4" type="noConversion"/>
  </si>
  <si>
    <t>Short-term Loans</t>
  </si>
  <si>
    <t>1217101</t>
  </si>
  <si>
    <t>Loans to Affiliate</t>
    <phoneticPr fontId="4" type="noConversion"/>
  </si>
  <si>
    <t>1217301</t>
  </si>
  <si>
    <t>Loans to Affiliate</t>
  </si>
  <si>
    <t>Loans to Employee</t>
    <phoneticPr fontId="4" type="noConversion"/>
  </si>
  <si>
    <t>1217501</t>
  </si>
  <si>
    <t>Loans to Employee</t>
  </si>
  <si>
    <t>Suspense Payment</t>
    <phoneticPr fontId="4" type="noConversion"/>
  </si>
  <si>
    <t>1217601</t>
  </si>
  <si>
    <t>Suspense Payment</t>
  </si>
  <si>
    <t>Other current assets</t>
  </si>
  <si>
    <t>Other Receivable</t>
  </si>
  <si>
    <t>1251101</t>
  </si>
  <si>
    <t>Other Receivable - MMK</t>
  </si>
  <si>
    <t>Advanced Payments</t>
  </si>
  <si>
    <t>1253101</t>
  </si>
  <si>
    <t>Advanced Payments - MMK</t>
  </si>
  <si>
    <t>Prepaid Tax</t>
    <phoneticPr fontId="4" type="noConversion"/>
  </si>
  <si>
    <t>Prepaid income Tax</t>
  </si>
  <si>
    <t>1255101</t>
  </si>
  <si>
    <t>Prepaid income Tax - MMK</t>
  </si>
  <si>
    <t>Prepaid Tax</t>
  </si>
  <si>
    <t>1255300</t>
  </si>
  <si>
    <t>Prepaid VAT</t>
  </si>
  <si>
    <t>1255500</t>
  </si>
  <si>
    <t>Accrued Income</t>
    <phoneticPr fontId="4" type="noConversion"/>
  </si>
  <si>
    <t>1256101</t>
  </si>
  <si>
    <t>Accrued Income - MMK</t>
  </si>
  <si>
    <t>Prepaid expense</t>
    <phoneticPr fontId="4" type="noConversion"/>
  </si>
  <si>
    <t>1257101</t>
  </si>
  <si>
    <t>Prepaid expense - MMK</t>
  </si>
  <si>
    <t>Investment assets</t>
    <phoneticPr fontId="4" type="noConversion"/>
  </si>
  <si>
    <t>Equity Investments in affiliated companies</t>
  </si>
  <si>
    <t>1311101</t>
  </si>
  <si>
    <t>(2) Inventories</t>
    <phoneticPr fontId="4" type="noConversion"/>
  </si>
  <si>
    <t>Finished goods</t>
    <phoneticPr fontId="4" type="noConversion"/>
  </si>
  <si>
    <t>Materials</t>
    <phoneticPr fontId="4" type="noConversion"/>
  </si>
  <si>
    <t>Fabric</t>
    <phoneticPr fontId="4" type="noConversion"/>
  </si>
  <si>
    <t>1401101</t>
  </si>
  <si>
    <t>Inv./ Yarn</t>
  </si>
  <si>
    <t>1401102</t>
  </si>
  <si>
    <t>Inv./ Fabric</t>
  </si>
  <si>
    <t>Accessory</t>
    <phoneticPr fontId="4" type="noConversion"/>
  </si>
  <si>
    <t>1401200</t>
  </si>
  <si>
    <t>Inv./ Acc&amp;Packing</t>
  </si>
  <si>
    <t>Sub-processing</t>
    <phoneticPr fontId="4" type="noConversion"/>
  </si>
  <si>
    <t>1401600</t>
  </si>
  <si>
    <t>Inv./ Print</t>
  </si>
  <si>
    <t>1401700</t>
  </si>
  <si>
    <t>Inv./ EMB</t>
  </si>
  <si>
    <t>1401800</t>
  </si>
  <si>
    <t>Inv./ Washing</t>
  </si>
  <si>
    <t>Other materials</t>
    <phoneticPr fontId="4" type="noConversion"/>
  </si>
  <si>
    <t>1401900</t>
  </si>
  <si>
    <t>Inv./ Others</t>
  </si>
  <si>
    <t>Work in process</t>
  </si>
  <si>
    <t>1405100</t>
  </si>
  <si>
    <t>Semi-finished product</t>
  </si>
  <si>
    <t>1403100</t>
  </si>
  <si>
    <t>Goods to arrive</t>
    <phoneticPr fontId="4" type="noConversion"/>
  </si>
  <si>
    <t>1408111</t>
  </si>
  <si>
    <t>Goods to arrive (Fabric)</t>
  </si>
  <si>
    <t>1408121</t>
  </si>
  <si>
    <t>Goods to arrive (Acc&amp;Packing)</t>
  </si>
  <si>
    <t>1408210</t>
  </si>
  <si>
    <t>Goods to arrive (Print)</t>
  </si>
  <si>
    <t>1408220</t>
  </si>
  <si>
    <t>Goods to arrive (EMB)</t>
  </si>
  <si>
    <t>1408230</t>
  </si>
  <si>
    <t>Goods to arrive (Washing)</t>
  </si>
  <si>
    <t>Furniture &amp; Fixtures</t>
    <phoneticPr fontId="4" type="noConversion"/>
  </si>
  <si>
    <t>1408310</t>
  </si>
  <si>
    <t>Goods to arrive (Furniture)</t>
  </si>
  <si>
    <t>Machinery</t>
    <phoneticPr fontId="4" type="noConversion"/>
  </si>
  <si>
    <t>1408410</t>
  </si>
  <si>
    <t>Goods to arrive (Machinery)</t>
  </si>
  <si>
    <t>Ⅱ. Non-Current Assets</t>
    <phoneticPr fontId="4" type="noConversion"/>
  </si>
  <si>
    <t>(1) Investments</t>
    <phoneticPr fontId="4" type="noConversion"/>
  </si>
  <si>
    <t>(2) Tangible Assets</t>
    <phoneticPr fontId="4" type="noConversion"/>
  </si>
  <si>
    <t>Land</t>
    <phoneticPr fontId="4" type="noConversion"/>
  </si>
  <si>
    <t>1700101</t>
  </si>
  <si>
    <t>Land (Cost)</t>
  </si>
  <si>
    <t>Building</t>
    <phoneticPr fontId="4" type="noConversion"/>
  </si>
  <si>
    <t>Building</t>
  </si>
  <si>
    <t>1701101</t>
  </si>
  <si>
    <t>Building (Cost)</t>
  </si>
  <si>
    <t xml:space="preserve"> (Accumulated Depreciation)</t>
    <phoneticPr fontId="4" type="noConversion"/>
  </si>
  <si>
    <t>1701105</t>
  </si>
  <si>
    <t>Accu.Dep - Building</t>
  </si>
  <si>
    <t>Construction</t>
    <phoneticPr fontId="4" type="noConversion"/>
  </si>
  <si>
    <t>Construction</t>
  </si>
  <si>
    <t>1702101</t>
  </si>
  <si>
    <t>Construction (Cost)</t>
  </si>
  <si>
    <t>1702105</t>
  </si>
  <si>
    <t>Accu.Dep - Construction</t>
  </si>
  <si>
    <t>Machinery</t>
  </si>
  <si>
    <t>1703101</t>
  </si>
  <si>
    <t>Machinery (Cost)</t>
  </si>
  <si>
    <t>1703105</t>
  </si>
  <si>
    <t>Accu.Dep - Machinery</t>
  </si>
  <si>
    <t>Delivery vehicles</t>
    <phoneticPr fontId="4" type="noConversion"/>
  </si>
  <si>
    <t>Delivery vehicles</t>
  </si>
  <si>
    <t>1704101</t>
  </si>
  <si>
    <t>Delivery vehicles (Cost)</t>
  </si>
  <si>
    <t>1704105</t>
  </si>
  <si>
    <t>Accu.Dep - Delivery vehicles</t>
  </si>
  <si>
    <t>Tools and equipment</t>
    <phoneticPr fontId="4" type="noConversion"/>
  </si>
  <si>
    <t>Tools and equipment</t>
  </si>
  <si>
    <t>1705101</t>
  </si>
  <si>
    <t>Tools and equipment (Cost)</t>
  </si>
  <si>
    <t>1705105</t>
  </si>
  <si>
    <t>Accu.Dep - Tools and equipment</t>
  </si>
  <si>
    <t>Furniture &amp; Fixtures</t>
  </si>
  <si>
    <t>1706101</t>
  </si>
  <si>
    <t>Furniture &amp; Fixtures (Cost)</t>
  </si>
  <si>
    <t>1706105</t>
  </si>
  <si>
    <t>Accu.Dep - Furniture &amp; Fix.</t>
  </si>
  <si>
    <t>Office Equipment</t>
    <phoneticPr fontId="4" type="noConversion"/>
  </si>
  <si>
    <t>1706811</t>
  </si>
  <si>
    <t>Office Equipment (Cost)</t>
  </si>
  <si>
    <t>1706815</t>
  </si>
  <si>
    <t>Accu.Dep - Office Equipment</t>
  </si>
  <si>
    <t>Audio Equipment</t>
    <phoneticPr fontId="4" type="noConversion"/>
  </si>
  <si>
    <t>1706821</t>
  </si>
  <si>
    <t>Audio Equipment (Cost)</t>
  </si>
  <si>
    <t>1706825</t>
  </si>
  <si>
    <t>Accu.Dep - Audio Equipment</t>
  </si>
  <si>
    <t>Other Tangible Assets</t>
    <phoneticPr fontId="4" type="noConversion"/>
  </si>
  <si>
    <t>Preliminary</t>
    <phoneticPr fontId="4" type="noConversion"/>
  </si>
  <si>
    <t>1707101</t>
  </si>
  <si>
    <t>Preliminary (Cost)</t>
  </si>
  <si>
    <t>1707105</t>
  </si>
  <si>
    <t>Accu.Dep - Preliminary</t>
  </si>
  <si>
    <t>Construction in process</t>
    <phoneticPr fontId="4" type="noConversion"/>
  </si>
  <si>
    <t>1708101</t>
  </si>
  <si>
    <t>Construction in process (Cost)</t>
  </si>
  <si>
    <t>(3) Other non-current assets</t>
    <phoneticPr fontId="4" type="noConversion"/>
  </si>
  <si>
    <t>Long-term Loans</t>
    <phoneticPr fontId="4" type="noConversion"/>
  </si>
  <si>
    <t>1611101</t>
  </si>
  <si>
    <t>Long-term Loans - MMK</t>
  </si>
  <si>
    <t>Security Deposits</t>
    <phoneticPr fontId="4" type="noConversion"/>
  </si>
  <si>
    <t>1811101</t>
  </si>
  <si>
    <t>Security Deposits - MMK</t>
  </si>
  <si>
    <t>Liabilities</t>
    <phoneticPr fontId="4" type="noConversion"/>
  </si>
  <si>
    <t>Ⅰ. Current Liabilities</t>
    <phoneticPr fontId="4" type="noConversion"/>
  </si>
  <si>
    <t>Accounts Payable</t>
    <phoneticPr fontId="4" type="noConversion"/>
  </si>
  <si>
    <t>2131101</t>
  </si>
  <si>
    <t>Accounts Payable - MMK</t>
  </si>
  <si>
    <t>Short-term Borrowings</t>
    <phoneticPr fontId="4" type="noConversion"/>
  </si>
  <si>
    <t>2211101</t>
  </si>
  <si>
    <t>Short-term Borrowings - MMK</t>
  </si>
  <si>
    <t>Other Payable</t>
    <phoneticPr fontId="4" type="noConversion"/>
  </si>
  <si>
    <t>2251101</t>
  </si>
  <si>
    <t>Other Payable - MMK</t>
  </si>
  <si>
    <t>Salary Payable</t>
    <phoneticPr fontId="4" type="noConversion"/>
  </si>
  <si>
    <t>2251501</t>
  </si>
  <si>
    <t>Salary Payable - MMK</t>
  </si>
  <si>
    <t>Advance Received</t>
    <phoneticPr fontId="4" type="noConversion"/>
  </si>
  <si>
    <t>2252101</t>
  </si>
  <si>
    <t>Advance Received - MMK</t>
  </si>
  <si>
    <t>Withholdings</t>
    <phoneticPr fontId="4" type="noConversion"/>
  </si>
  <si>
    <t>Withholding tax</t>
    <phoneticPr fontId="4" type="noConversion"/>
  </si>
  <si>
    <t>2253501</t>
  </si>
  <si>
    <t>DR./ Withholding tax - MMK</t>
  </si>
  <si>
    <t>VAT - payable</t>
  </si>
  <si>
    <t>2253600</t>
  </si>
  <si>
    <t>Taxes Payable</t>
  </si>
  <si>
    <t>2253700</t>
  </si>
  <si>
    <t>Accrued expenses</t>
    <phoneticPr fontId="4" type="noConversion"/>
  </si>
  <si>
    <t>2256101</t>
  </si>
  <si>
    <t>Accrued expenses - MMK</t>
  </si>
  <si>
    <t>Ⅱ. Non-Current Liabilities</t>
    <phoneticPr fontId="4" type="noConversion"/>
  </si>
  <si>
    <t>Long-term Borrowings</t>
    <phoneticPr fontId="4" type="noConversion"/>
  </si>
  <si>
    <t>2611101</t>
  </si>
  <si>
    <t>Long-term Borrowings - MMK</t>
  </si>
  <si>
    <t>Borrowings from Affiliate</t>
    <phoneticPr fontId="4" type="noConversion"/>
  </si>
  <si>
    <t>2611301</t>
  </si>
  <si>
    <t>Borrowings from Affiliate - MMK</t>
  </si>
  <si>
    <t>Severance allowance</t>
  </si>
  <si>
    <t>2815100</t>
  </si>
  <si>
    <t>Capital</t>
    <phoneticPr fontId="4" type="noConversion"/>
  </si>
  <si>
    <t>Capital Stock</t>
    <phoneticPr fontId="4" type="noConversion"/>
  </si>
  <si>
    <t>3101100</t>
  </si>
  <si>
    <t>Capital Stock</t>
  </si>
  <si>
    <t>Capital Surplus</t>
    <phoneticPr fontId="4" type="noConversion"/>
  </si>
  <si>
    <t>3301100</t>
  </si>
  <si>
    <t>Additional paid-in capital</t>
  </si>
  <si>
    <t>Retained Earnings</t>
    <phoneticPr fontId="4" type="noConversion"/>
  </si>
  <si>
    <t>Acc.Retained earnings (by Prior FY)</t>
    <phoneticPr fontId="4" type="noConversion"/>
  </si>
  <si>
    <t>3501101</t>
  </si>
  <si>
    <t>Acc.Retained earnings (by Prior FY)</t>
  </si>
  <si>
    <t>Net Income</t>
  </si>
  <si>
    <t>3501900</t>
  </si>
  <si>
    <t>Sales</t>
    <phoneticPr fontId="4" type="noConversion"/>
  </si>
  <si>
    <t>Export</t>
    <phoneticPr fontId="4" type="noConversion"/>
  </si>
  <si>
    <t>5000101</t>
  </si>
  <si>
    <t>Export</t>
  </si>
  <si>
    <t>Domestic</t>
    <phoneticPr fontId="4" type="noConversion"/>
  </si>
  <si>
    <t>5000501</t>
  </si>
  <si>
    <t>Domestic Sales</t>
  </si>
  <si>
    <t>Others</t>
    <phoneticPr fontId="4" type="noConversion"/>
  </si>
  <si>
    <t>5000901</t>
  </si>
  <si>
    <t>Other Sales</t>
  </si>
  <si>
    <t>Cost of Goods Sold</t>
    <phoneticPr fontId="4" type="noConversion"/>
  </si>
  <si>
    <t>Materials</t>
    <phoneticPr fontId="4" type="noConversion"/>
  </si>
  <si>
    <t>Fabric</t>
  </si>
  <si>
    <t>4110100</t>
  </si>
  <si>
    <t>Materials / Fab</t>
  </si>
  <si>
    <t>Accessory</t>
  </si>
  <si>
    <t>4110200</t>
  </si>
  <si>
    <t>Materials / Acc</t>
  </si>
  <si>
    <t>Materials / Package</t>
  </si>
  <si>
    <t>Sub-processing</t>
  </si>
  <si>
    <t>4110600</t>
  </si>
  <si>
    <t>Materials / Print</t>
  </si>
  <si>
    <t>4110700</t>
  </si>
  <si>
    <t>Materials / EMB</t>
  </si>
  <si>
    <t>4110800</t>
  </si>
  <si>
    <t>Materials / Washing</t>
  </si>
  <si>
    <t>Other materials</t>
  </si>
  <si>
    <t>4110900</t>
  </si>
  <si>
    <t>Materials / Others</t>
  </si>
  <si>
    <t>Outsourced processing expense</t>
  </si>
  <si>
    <t>4160100</t>
  </si>
  <si>
    <t>Outsourcing./ Sewing</t>
  </si>
  <si>
    <t>4160501</t>
  </si>
  <si>
    <t>Outsourcing./ Print</t>
  </si>
  <si>
    <t>4160503</t>
  </si>
  <si>
    <t>Outsourcing./ EMB</t>
  </si>
  <si>
    <t>4160505</t>
  </si>
  <si>
    <t>Outsourcing./ Washing</t>
  </si>
  <si>
    <t>Others</t>
    <phoneticPr fontId="4" type="noConversion"/>
  </si>
  <si>
    <t>4160900</t>
  </si>
  <si>
    <t>Outsourcing./ Others</t>
  </si>
  <si>
    <t>Water, Electric and Fuel</t>
  </si>
  <si>
    <t>Water</t>
    <phoneticPr fontId="4" type="noConversion"/>
  </si>
  <si>
    <t>4180500</t>
  </si>
  <si>
    <t>C.Water</t>
  </si>
  <si>
    <t>Electric</t>
    <phoneticPr fontId="4" type="noConversion"/>
  </si>
  <si>
    <t>4180300</t>
  </si>
  <si>
    <t>C.Electric</t>
  </si>
  <si>
    <t>Fuel</t>
    <phoneticPr fontId="4" type="noConversion"/>
  </si>
  <si>
    <t>4180100</t>
  </si>
  <si>
    <t>C.Fuel</t>
  </si>
  <si>
    <t>Personnel expense</t>
  </si>
  <si>
    <t>Salary</t>
    <phoneticPr fontId="4" type="noConversion"/>
  </si>
  <si>
    <t>Basic Salary</t>
    <phoneticPr fontId="4" type="noConversion"/>
  </si>
  <si>
    <t>4311101</t>
  </si>
  <si>
    <t>C.Basic Salary / Korean</t>
  </si>
  <si>
    <t>4311102</t>
  </si>
  <si>
    <t>C.Basic Salary / Foreigner</t>
  </si>
  <si>
    <t>4311103</t>
  </si>
  <si>
    <t>C.Basic Salary / Local</t>
  </si>
  <si>
    <t>Overtime</t>
    <phoneticPr fontId="4" type="noConversion"/>
  </si>
  <si>
    <t>4311151</t>
  </si>
  <si>
    <t>C.Overtime / Korean</t>
  </si>
  <si>
    <t>4311152</t>
  </si>
  <si>
    <t>C.Overtime / Foreigner</t>
  </si>
  <si>
    <t>4311153</t>
  </si>
  <si>
    <t>C.Overtime / Local</t>
  </si>
  <si>
    <t>Incentive</t>
    <phoneticPr fontId="4" type="noConversion"/>
  </si>
  <si>
    <t>4311201</t>
  </si>
  <si>
    <t>C.Incentive / Korean</t>
  </si>
  <si>
    <t>4311202</t>
  </si>
  <si>
    <t>C.Incentive / Foreigner</t>
  </si>
  <si>
    <t>4311203</t>
  </si>
  <si>
    <t>C.Incentive / Local</t>
  </si>
  <si>
    <t>Bonus</t>
    <phoneticPr fontId="4" type="noConversion"/>
  </si>
  <si>
    <t>4311251</t>
  </si>
  <si>
    <t>C.Bonus / Korean</t>
  </si>
  <si>
    <t>4311252</t>
  </si>
  <si>
    <t>C.Bonus / Foreigner</t>
  </si>
  <si>
    <t>4311253</t>
  </si>
  <si>
    <t>C.Bonus / Local</t>
  </si>
  <si>
    <t>Annual Leave</t>
    <phoneticPr fontId="4" type="noConversion"/>
  </si>
  <si>
    <t>4311301</t>
  </si>
  <si>
    <t>C.Annual Leave / Korean</t>
  </si>
  <si>
    <t>4311302</t>
  </si>
  <si>
    <t>C.Annual Leave / Foreigner</t>
  </si>
  <si>
    <t>4311303</t>
  </si>
  <si>
    <t>C.Annual Leave / Local</t>
  </si>
  <si>
    <t>Other Salaries</t>
    <phoneticPr fontId="4" type="noConversion"/>
  </si>
  <si>
    <t>4311351</t>
  </si>
  <si>
    <t>C.Other salaries / Korean</t>
  </si>
  <si>
    <t>4311352</t>
  </si>
  <si>
    <t>C.Other salaries / Foreigner</t>
  </si>
  <si>
    <t>4311353</t>
  </si>
  <si>
    <t>C.Other salaries / Local</t>
  </si>
  <si>
    <t>Retirement Salary</t>
    <phoneticPr fontId="4" type="noConversion"/>
  </si>
  <si>
    <t>4318101</t>
  </si>
  <si>
    <t>C.Retirement Salary / Korean</t>
  </si>
  <si>
    <t>4318102</t>
  </si>
  <si>
    <t>C.Retirement Salary / Foreigner</t>
  </si>
  <si>
    <t>4318103</t>
  </si>
  <si>
    <t>C.Retirement Salary / Local</t>
  </si>
  <si>
    <t>Welfare</t>
  </si>
  <si>
    <t>Personnel</t>
    <phoneticPr fontId="4" type="noConversion"/>
  </si>
  <si>
    <t>Social-insurance</t>
    <phoneticPr fontId="4" type="noConversion"/>
  </si>
  <si>
    <t>4331111</t>
  </si>
  <si>
    <t>C.Social-insur./ Korean</t>
  </si>
  <si>
    <t>4331112</t>
  </si>
  <si>
    <t>C.Social-insur./ Foreigner</t>
  </si>
  <si>
    <t>4331113</t>
  </si>
  <si>
    <t>C.Social-insur./ Local</t>
  </si>
  <si>
    <t>Medical-insurance</t>
    <phoneticPr fontId="4" type="noConversion"/>
  </si>
  <si>
    <t>4331131</t>
  </si>
  <si>
    <t>C.Medical-insur./ Korean</t>
  </si>
  <si>
    <t>4331132</t>
  </si>
  <si>
    <t>C.Medical-insur./ Foreigner</t>
  </si>
  <si>
    <t>4331133</t>
  </si>
  <si>
    <t>C.Medical-insur./ Local</t>
  </si>
  <si>
    <t>Unemployment-insurance</t>
    <phoneticPr fontId="4" type="noConversion"/>
  </si>
  <si>
    <t>4331151</t>
  </si>
  <si>
    <t>C.Unemployment-insur./ Korean</t>
  </si>
  <si>
    <t>4331152</t>
  </si>
  <si>
    <t>C.Unemployment-insur./ Foreigner</t>
  </si>
  <si>
    <t>4331153</t>
  </si>
  <si>
    <t>C.Unemployment-insur./ Local</t>
  </si>
  <si>
    <t>Occupational-insurance</t>
    <phoneticPr fontId="4" type="noConversion"/>
  </si>
  <si>
    <t>4331171</t>
  </si>
  <si>
    <t>C.Occupational./ Korean</t>
  </si>
  <si>
    <t>4331172</t>
  </si>
  <si>
    <t>C.Occupational./ Foreigner</t>
  </si>
  <si>
    <t>4331173</t>
  </si>
  <si>
    <t>C.Occupational./ Local</t>
  </si>
  <si>
    <t>Housing support</t>
    <phoneticPr fontId="4" type="noConversion"/>
  </si>
  <si>
    <t>4331211</t>
  </si>
  <si>
    <t>C.Housing support / Korean</t>
  </si>
  <si>
    <t>4331212</t>
  </si>
  <si>
    <t>C.Housing support / Foreigner</t>
  </si>
  <si>
    <t>4331213</t>
  </si>
  <si>
    <t>C.Housing support / Local</t>
  </si>
  <si>
    <t>Other Welfare</t>
    <phoneticPr fontId="4" type="noConversion"/>
  </si>
  <si>
    <t>Meal (Canteen)</t>
    <phoneticPr fontId="4" type="noConversion"/>
  </si>
  <si>
    <t>4338111</t>
  </si>
  <si>
    <t>C.Meal (Canteen) / Korean</t>
  </si>
  <si>
    <t>4338112</t>
  </si>
  <si>
    <t>C.Meal (Canteen) / Foreigner</t>
  </si>
  <si>
    <t>4338113</t>
  </si>
  <si>
    <t>C.Meal (Canteen) / Local</t>
  </si>
  <si>
    <t>Dormitory</t>
    <phoneticPr fontId="4" type="noConversion"/>
  </si>
  <si>
    <t>4338131</t>
  </si>
  <si>
    <t>C.Dormitory / Korean</t>
  </si>
  <si>
    <t>4338132</t>
  </si>
  <si>
    <t>C.Dormitory / Foreigner</t>
  </si>
  <si>
    <t>4338133</t>
  </si>
  <si>
    <t>C.Dormitory / Local</t>
  </si>
  <si>
    <t>Get-together</t>
    <phoneticPr fontId="4" type="noConversion"/>
  </si>
  <si>
    <t>4338151</t>
  </si>
  <si>
    <t>C.Get-together / Korean</t>
  </si>
  <si>
    <t>4338152</t>
  </si>
  <si>
    <t>C.Get-together / Foreigner</t>
  </si>
  <si>
    <t>4338153</t>
  </si>
  <si>
    <t>C.Get-together / Local</t>
  </si>
  <si>
    <t>Beverage</t>
    <phoneticPr fontId="4" type="noConversion"/>
  </si>
  <si>
    <t>4338171</t>
  </si>
  <si>
    <t>C.Beverage / Korean</t>
  </si>
  <si>
    <t>4338172</t>
  </si>
  <si>
    <t>C.Beverage / Foreigner</t>
  </si>
  <si>
    <t>4338173</t>
  </si>
  <si>
    <t>C.Beverage / Local</t>
  </si>
  <si>
    <t>Congratulations &amp; condolences</t>
    <phoneticPr fontId="4" type="noConversion"/>
  </si>
  <si>
    <t>4338190</t>
  </si>
  <si>
    <t>C.Congratulations &amp; condolences</t>
  </si>
  <si>
    <t>Medical service</t>
    <phoneticPr fontId="4" type="noConversion"/>
  </si>
  <si>
    <t>4338211</t>
  </si>
  <si>
    <t>C.Medical service / Korean</t>
  </si>
  <si>
    <t>4338212</t>
  </si>
  <si>
    <t>C.Medical service / Foreigner</t>
  </si>
  <si>
    <t>4338213</t>
  </si>
  <si>
    <t>C.Medical service / Local</t>
  </si>
  <si>
    <t>Trade union fee</t>
    <phoneticPr fontId="4" type="noConversion"/>
  </si>
  <si>
    <t>4338231</t>
  </si>
  <si>
    <t>C.Trade union fee</t>
  </si>
  <si>
    <t>Trade union support</t>
    <phoneticPr fontId="4" type="noConversion"/>
  </si>
  <si>
    <t>4338232</t>
  </si>
  <si>
    <t>C.Trade union support</t>
  </si>
  <si>
    <t>Other Welfares</t>
    <phoneticPr fontId="4" type="noConversion"/>
  </si>
  <si>
    <t>4338900</t>
  </si>
  <si>
    <t>C.Welfare / Others</t>
  </si>
  <si>
    <t>Travel expense</t>
  </si>
  <si>
    <t>Overseas</t>
    <phoneticPr fontId="4" type="noConversion"/>
  </si>
  <si>
    <t>4350101</t>
  </si>
  <si>
    <t xml:space="preserve">C.Overseas / Air ticket </t>
  </si>
  <si>
    <t>4350103</t>
  </si>
  <si>
    <t>C.Overseas / Biz trip exp.</t>
  </si>
  <si>
    <t>4350104</t>
  </si>
  <si>
    <t>C.Overseas / Room charge</t>
  </si>
  <si>
    <t>Domestic</t>
    <phoneticPr fontId="4" type="noConversion"/>
  </si>
  <si>
    <t>4350203</t>
  </si>
  <si>
    <t>C.Local / Public Transportation</t>
  </si>
  <si>
    <t>4350204</t>
  </si>
  <si>
    <t>C.Local / Room charge</t>
  </si>
  <si>
    <t>Other Travel expense</t>
    <phoneticPr fontId="4" type="noConversion"/>
  </si>
  <si>
    <t>4350900</t>
  </si>
  <si>
    <t>C.Traveling / Others</t>
  </si>
  <si>
    <t>Taxes &amp; Dues</t>
  </si>
  <si>
    <t>4370000</t>
  </si>
  <si>
    <t>C.Taxes &amp; Dues</t>
  </si>
  <si>
    <t>Communication expense</t>
  </si>
  <si>
    <t>Telephone</t>
    <phoneticPr fontId="4" type="noConversion"/>
  </si>
  <si>
    <t>4390101</t>
  </si>
  <si>
    <t>C../ Telephone / Domestic</t>
  </si>
  <si>
    <t>4390103</t>
  </si>
  <si>
    <t>C../ Telephone / International</t>
  </si>
  <si>
    <t>Mobile</t>
    <phoneticPr fontId="4" type="noConversion"/>
  </si>
  <si>
    <t>4390200</t>
  </si>
  <si>
    <t>C.Communication / Mobile Phone</t>
  </si>
  <si>
    <t>Internet</t>
    <phoneticPr fontId="4" type="noConversion"/>
  </si>
  <si>
    <t>4390300</t>
  </si>
  <si>
    <t>C.Communication / Internet</t>
  </si>
  <si>
    <t>Postage &amp; Delivery</t>
    <phoneticPr fontId="4" type="noConversion"/>
  </si>
  <si>
    <t>4390400</t>
  </si>
  <si>
    <t>C.Communication / Postage &amp; Delivery</t>
  </si>
  <si>
    <t>Other Communication expense</t>
    <phoneticPr fontId="4" type="noConversion"/>
  </si>
  <si>
    <t>4390900</t>
  </si>
  <si>
    <t>C.Communication / Others</t>
  </si>
  <si>
    <t>Rent</t>
    <phoneticPr fontId="4" type="noConversion"/>
  </si>
  <si>
    <t>4410100</t>
  </si>
  <si>
    <t>C.Rent / Building</t>
  </si>
  <si>
    <t>4410200</t>
  </si>
  <si>
    <t>C.Rent / Land</t>
  </si>
  <si>
    <t>Domitory</t>
    <phoneticPr fontId="4" type="noConversion"/>
  </si>
  <si>
    <t>4410301</t>
  </si>
  <si>
    <t>C.Rent / Domitory / Korean</t>
  </si>
  <si>
    <t>4410303</t>
  </si>
  <si>
    <t>C.Rent / Domitory / Local</t>
  </si>
  <si>
    <t>Car</t>
    <phoneticPr fontId="4" type="noConversion"/>
  </si>
  <si>
    <t>4410401</t>
  </si>
  <si>
    <t>C.Rent / Car / Korean</t>
  </si>
  <si>
    <t>4410403</t>
  </si>
  <si>
    <t>C.Rent / Car / Local</t>
  </si>
  <si>
    <t>Container</t>
    <phoneticPr fontId="4" type="noConversion"/>
  </si>
  <si>
    <t>4410510</t>
  </si>
  <si>
    <t>C.Rent / Container</t>
  </si>
  <si>
    <t>Machinary</t>
    <phoneticPr fontId="4" type="noConversion"/>
  </si>
  <si>
    <t>4410530</t>
  </si>
  <si>
    <t>C.Rent / Sewing Machine</t>
  </si>
  <si>
    <t>Office Machine</t>
    <phoneticPr fontId="4" type="noConversion"/>
  </si>
  <si>
    <t>4410550</t>
  </si>
  <si>
    <t>C.Rent / Photocopier</t>
  </si>
  <si>
    <t>Other Rent</t>
    <phoneticPr fontId="4" type="noConversion"/>
  </si>
  <si>
    <t>4410901</t>
  </si>
  <si>
    <t>C.Rent / Others</t>
  </si>
  <si>
    <t>Depreciation</t>
    <phoneticPr fontId="4" type="noConversion"/>
  </si>
  <si>
    <t>4431000</t>
  </si>
  <si>
    <t>C.Dep./ Building</t>
  </si>
  <si>
    <t>4432000</t>
  </si>
  <si>
    <t>C.Dep./ Construction</t>
  </si>
  <si>
    <t>4433000</t>
  </si>
  <si>
    <t>C.Dep./ Machinery</t>
  </si>
  <si>
    <t>Delivery equipment</t>
    <phoneticPr fontId="4" type="noConversion"/>
  </si>
  <si>
    <t>4434000</t>
  </si>
  <si>
    <t>C.Dep./ Delivery equipment</t>
  </si>
  <si>
    <t>Tools &amp; equipments</t>
    <phoneticPr fontId="4" type="noConversion"/>
  </si>
  <si>
    <t>4435000</t>
  </si>
  <si>
    <t>C.Dep./ Tools &amp; equipments</t>
  </si>
  <si>
    <t>4436001</t>
  </si>
  <si>
    <t>C.Dep./ Furniture &amp; Fixtures</t>
  </si>
  <si>
    <t>4436002</t>
  </si>
  <si>
    <t>C.Dep./ Furniture &amp; Fixtures for Res.</t>
  </si>
  <si>
    <t>4436810</t>
  </si>
  <si>
    <t>C.Dep./ Office equipment</t>
  </si>
  <si>
    <t>4436820</t>
  </si>
  <si>
    <t>C.Dep./ Audio equipment</t>
  </si>
  <si>
    <t>Other Tangible Assets</t>
  </si>
  <si>
    <t>4437100</t>
  </si>
  <si>
    <t>C.Dep./ Preliminary</t>
  </si>
  <si>
    <t>Repairing expense</t>
  </si>
  <si>
    <t>4450001</t>
  </si>
  <si>
    <t>C.Repair./ Building</t>
  </si>
  <si>
    <t>4450002</t>
  </si>
  <si>
    <t>C.Repair./ Machinery</t>
  </si>
  <si>
    <t>Delivery equipment</t>
  </si>
  <si>
    <t>4450003</t>
  </si>
  <si>
    <t>C.Repair./ Delivery equipment</t>
  </si>
  <si>
    <t>Equipments</t>
    <phoneticPr fontId="4" type="noConversion"/>
  </si>
  <si>
    <t>4450004</t>
  </si>
  <si>
    <t>C.Repair./ Equipment</t>
  </si>
  <si>
    <t>4450005</t>
  </si>
  <si>
    <t>C.Repair./ Construction</t>
  </si>
  <si>
    <t>4450006</t>
  </si>
  <si>
    <t>C.Repair./ Tools &amp; equipment</t>
  </si>
  <si>
    <t>Other Repairing expense</t>
    <phoneticPr fontId="4" type="noConversion"/>
  </si>
  <si>
    <t>4450009</t>
  </si>
  <si>
    <t>C.Repair./ Others</t>
  </si>
  <si>
    <t>Insurance</t>
    <phoneticPr fontId="4" type="noConversion"/>
  </si>
  <si>
    <t>Fire</t>
    <phoneticPr fontId="4" type="noConversion"/>
  </si>
  <si>
    <t>4470001</t>
  </si>
  <si>
    <t>C.Insurance / Fire</t>
  </si>
  <si>
    <t>4470002</t>
  </si>
  <si>
    <t>C.Insurance / Car</t>
  </si>
  <si>
    <t>Export</t>
    <phoneticPr fontId="4" type="noConversion"/>
  </si>
  <si>
    <t>4470003</t>
  </si>
  <si>
    <t>C.Insurance / Export</t>
  </si>
  <si>
    <t>Other Insurance</t>
    <phoneticPr fontId="4" type="noConversion"/>
  </si>
  <si>
    <t>4470009</t>
  </si>
  <si>
    <t>C.Insurance / Others</t>
  </si>
  <si>
    <t>Entertainment</t>
    <phoneticPr fontId="4" type="noConversion"/>
  </si>
  <si>
    <t>4490000</t>
  </si>
  <si>
    <t>C.Entertainment</t>
  </si>
  <si>
    <t>Advertising expense</t>
    <phoneticPr fontId="4" type="noConversion"/>
  </si>
  <si>
    <t>Recruit</t>
    <phoneticPr fontId="4" type="noConversion"/>
  </si>
  <si>
    <t>4510001</t>
  </si>
  <si>
    <t>C.Advertising / Recruit</t>
  </si>
  <si>
    <t>Other Advertising expense</t>
    <phoneticPr fontId="4" type="noConversion"/>
  </si>
  <si>
    <t>4510009</t>
  </si>
  <si>
    <t>C.Advertising / Others</t>
  </si>
  <si>
    <t>Development expense</t>
    <phoneticPr fontId="4" type="noConversion"/>
  </si>
  <si>
    <t>4530000</t>
  </si>
  <si>
    <t>C.Development exp.</t>
  </si>
  <si>
    <t>Samples expense</t>
    <phoneticPr fontId="4" type="noConversion"/>
  </si>
  <si>
    <t>4550000</t>
  </si>
  <si>
    <t>C.Samples exp.</t>
  </si>
  <si>
    <t>Freight charge</t>
  </si>
  <si>
    <t>Air</t>
    <phoneticPr fontId="4" type="noConversion"/>
  </si>
  <si>
    <t>4570001</t>
  </si>
  <si>
    <t>C.Freight chg./ Air</t>
  </si>
  <si>
    <t>Vesssel</t>
    <phoneticPr fontId="4" type="noConversion"/>
  </si>
  <si>
    <t>4570003</t>
  </si>
  <si>
    <t>C.Freight chg./ Vessel</t>
  </si>
  <si>
    <t>Trucking</t>
    <phoneticPr fontId="4" type="noConversion"/>
  </si>
  <si>
    <t>4570005</t>
  </si>
  <si>
    <t>C.Freight chg./ Trucking</t>
  </si>
  <si>
    <t>Commission</t>
    <phoneticPr fontId="4" type="noConversion"/>
  </si>
  <si>
    <t>Import &amp; export expense</t>
    <phoneticPr fontId="4" type="noConversion"/>
  </si>
  <si>
    <t>4590101</t>
  </si>
  <si>
    <t>C.Import &amp; export exp./ Import</t>
  </si>
  <si>
    <t>4590105</t>
  </si>
  <si>
    <t>C.Import &amp; export exp./ Export</t>
  </si>
  <si>
    <t>4590109</t>
  </si>
  <si>
    <t>C.Import &amp; export exp./ Others</t>
  </si>
  <si>
    <t>Bank fee</t>
    <phoneticPr fontId="4" type="noConversion"/>
  </si>
  <si>
    <t>4590201</t>
  </si>
  <si>
    <t>C.Commission / Bank fee</t>
  </si>
  <si>
    <t>Service charges</t>
    <phoneticPr fontId="4" type="noConversion"/>
  </si>
  <si>
    <t>4590301</t>
  </si>
  <si>
    <t>C.Commission / Service Charges</t>
  </si>
  <si>
    <t>Visa fee</t>
    <phoneticPr fontId="4" type="noConversion"/>
  </si>
  <si>
    <t>4590303</t>
  </si>
  <si>
    <t>C.Commission / Visa fee</t>
  </si>
  <si>
    <t>Other Commissions</t>
    <phoneticPr fontId="4" type="noConversion"/>
  </si>
  <si>
    <t>4590901</t>
  </si>
  <si>
    <t>C.Commission / Others</t>
  </si>
  <si>
    <t>Consumable supplies</t>
    <phoneticPr fontId="4" type="noConversion"/>
  </si>
  <si>
    <t>Sewing</t>
  </si>
  <si>
    <t>4610101</t>
  </si>
  <si>
    <t>C.Consumable./ Sewing</t>
  </si>
  <si>
    <t>4610103</t>
  </si>
  <si>
    <t>C.Consumable./ Cutting</t>
  </si>
  <si>
    <t>Packing</t>
  </si>
  <si>
    <t>4610105</t>
  </si>
  <si>
    <t>C.Consumable./ Packing</t>
  </si>
  <si>
    <t>Stationery</t>
  </si>
  <si>
    <t>4610501</t>
  </si>
  <si>
    <t>C.Consumable./ Stationery</t>
  </si>
  <si>
    <t>Computer</t>
  </si>
  <si>
    <t>4610503</t>
  </si>
  <si>
    <t>C.Consumable./ Computer</t>
  </si>
  <si>
    <t>Others</t>
  </si>
  <si>
    <t>4610900</t>
  </si>
  <si>
    <t>C.Consumable./ Others</t>
  </si>
  <si>
    <t>Vehicle maintenance expense</t>
    <phoneticPr fontId="4" type="noConversion"/>
  </si>
  <si>
    <t>Gas</t>
    <phoneticPr fontId="4" type="noConversion"/>
  </si>
  <si>
    <t>4630001</t>
  </si>
  <si>
    <t>C.V.maintenance / Fuel</t>
  </si>
  <si>
    <t>Toll fee</t>
    <phoneticPr fontId="4" type="noConversion"/>
  </si>
  <si>
    <t>4630003</t>
  </si>
  <si>
    <t>C.V.maintenance / Toll fee</t>
  </si>
  <si>
    <t>Maintenance</t>
    <phoneticPr fontId="4" type="noConversion"/>
  </si>
  <si>
    <t>4630005</t>
  </si>
  <si>
    <t>C.V.maintenance / Maintenance</t>
  </si>
  <si>
    <t>Other Vehicle maintenance exp.</t>
    <phoneticPr fontId="4" type="noConversion"/>
  </si>
  <si>
    <t>4630009</t>
  </si>
  <si>
    <t>C.V.maintenance / Others</t>
  </si>
  <si>
    <t>Book &amp; Printing expense</t>
  </si>
  <si>
    <t>4650000</t>
  </si>
  <si>
    <t>C.Book &amp; Printing exp.</t>
  </si>
  <si>
    <t>Training expense</t>
  </si>
  <si>
    <t>4670000</t>
  </si>
  <si>
    <t>C.Training exp.</t>
  </si>
  <si>
    <t>Bad debt expense</t>
  </si>
  <si>
    <t>4710000</t>
  </si>
  <si>
    <t>C.Bad debt expense</t>
  </si>
  <si>
    <t>Other COGM</t>
    <phoneticPr fontId="4" type="noConversion"/>
  </si>
  <si>
    <t>4770000</t>
  </si>
  <si>
    <t>COGM / Others</t>
  </si>
  <si>
    <t>Gross Profit</t>
    <phoneticPr fontId="4" type="noConversion"/>
  </si>
  <si>
    <t>Administrative expense</t>
    <phoneticPr fontId="4" type="noConversion"/>
  </si>
  <si>
    <t>8311101</t>
  </si>
  <si>
    <t>Basic Salary / Korean</t>
  </si>
  <si>
    <t>8311102</t>
  </si>
  <si>
    <t>Basic Salary / Foreigner</t>
  </si>
  <si>
    <t>8311103</t>
  </si>
  <si>
    <t>Basic Salary / Local</t>
  </si>
  <si>
    <t>8311151</t>
  </si>
  <si>
    <t>Overtime / Korean</t>
  </si>
  <si>
    <t>8311152</t>
  </si>
  <si>
    <t>Overtime / Foreigner</t>
  </si>
  <si>
    <t>8311153</t>
  </si>
  <si>
    <t>Overtime / Local</t>
  </si>
  <si>
    <t>8311201</t>
  </si>
  <si>
    <t>Incentive / Korean</t>
  </si>
  <si>
    <t>8311202</t>
  </si>
  <si>
    <t>Incentive / Foreigner</t>
  </si>
  <si>
    <t>8311203</t>
  </si>
  <si>
    <t>Incentive / Local</t>
  </si>
  <si>
    <t>8311251</t>
  </si>
  <si>
    <t>Bonus / Korean</t>
  </si>
  <si>
    <t>8311252</t>
  </si>
  <si>
    <t>Bonus / Foreigner</t>
  </si>
  <si>
    <t>8311253</t>
  </si>
  <si>
    <t>Bonus / Local</t>
  </si>
  <si>
    <t>8311301</t>
  </si>
  <si>
    <t>Annual Leave / Korean</t>
  </si>
  <si>
    <t>8311302</t>
  </si>
  <si>
    <t>Annual Leave / Foreigner</t>
  </si>
  <si>
    <t>8311303</t>
  </si>
  <si>
    <t>Annual Leave / Local</t>
  </si>
  <si>
    <t>8311351</t>
  </si>
  <si>
    <t>Other salaries / Korean</t>
  </si>
  <si>
    <t>8311352</t>
  </si>
  <si>
    <t>Other salaries / Foreigner</t>
  </si>
  <si>
    <t>8311353</t>
  </si>
  <si>
    <t>Other salaries / Local</t>
  </si>
  <si>
    <t>8318101</t>
  </si>
  <si>
    <t>Retirement Salary / Korean</t>
  </si>
  <si>
    <t>8318102</t>
  </si>
  <si>
    <t>Retirement Salary / Foreigner</t>
  </si>
  <si>
    <t>8318103</t>
  </si>
  <si>
    <t>Retirement Salary / Local</t>
  </si>
  <si>
    <t>8331111</t>
  </si>
  <si>
    <t>Social-insur./ Korean</t>
  </si>
  <si>
    <t>8331112</t>
  </si>
  <si>
    <t>Social-insur./ Foreigner</t>
  </si>
  <si>
    <t>8331113</t>
  </si>
  <si>
    <t>Social-insur./ Local</t>
  </si>
  <si>
    <t>8331131</t>
  </si>
  <si>
    <t>Medical-insur./ Korean</t>
  </si>
  <si>
    <t>8331132</t>
  </si>
  <si>
    <t>Medical-insur./ Foreigner</t>
  </si>
  <si>
    <t>8331133</t>
  </si>
  <si>
    <t>Medical-insur./ Local</t>
  </si>
  <si>
    <t>8331151</t>
  </si>
  <si>
    <t>Unemployment-insur./ Korean</t>
  </si>
  <si>
    <t>8331152</t>
  </si>
  <si>
    <t>Unemployment-insur./ Foreigner</t>
  </si>
  <si>
    <t>8331153</t>
  </si>
  <si>
    <t>Unemployment-insur./ Local</t>
  </si>
  <si>
    <t>8331171</t>
  </si>
  <si>
    <t>Occupational./ Korean</t>
  </si>
  <si>
    <t>8331172</t>
  </si>
  <si>
    <t>Occupational./ Foreigner</t>
  </si>
  <si>
    <t>8331173</t>
  </si>
  <si>
    <t>Occupational./ Local</t>
  </si>
  <si>
    <t>8331211</t>
  </si>
  <si>
    <t>Housing support / Korean</t>
  </si>
  <si>
    <t>8331212</t>
  </si>
  <si>
    <t>Housing support / Foreigner</t>
  </si>
  <si>
    <t>8331213</t>
  </si>
  <si>
    <t>Housing support / Local</t>
  </si>
  <si>
    <t>8338111</t>
  </si>
  <si>
    <t>Meal (Canteen) / Korean</t>
  </si>
  <si>
    <t>8338112</t>
  </si>
  <si>
    <t>Meal (Canteen) / Foreigner</t>
  </si>
  <si>
    <t>8338113</t>
  </si>
  <si>
    <t>Meal (Canteen) / Local</t>
  </si>
  <si>
    <t>8338131</t>
  </si>
  <si>
    <t>Dormitory / Korean</t>
  </si>
  <si>
    <t>8338132</t>
  </si>
  <si>
    <t>Dormitory / Foreigner</t>
  </si>
  <si>
    <t>8338133</t>
  </si>
  <si>
    <t>Dormitory / Local</t>
  </si>
  <si>
    <t>8338151</t>
  </si>
  <si>
    <t>Get-together / Korean</t>
  </si>
  <si>
    <t>8338152</t>
  </si>
  <si>
    <t>Get-together / Foreigner</t>
  </si>
  <si>
    <t>8338153</t>
  </si>
  <si>
    <t>Get-together / Local</t>
  </si>
  <si>
    <t>8338171</t>
  </si>
  <si>
    <t>Beverage / Korean</t>
  </si>
  <si>
    <t>8338172</t>
  </si>
  <si>
    <t>Beverage / Foreigner</t>
  </si>
  <si>
    <t>8338173</t>
  </si>
  <si>
    <t>Beverage / Local</t>
  </si>
  <si>
    <t>8338190</t>
  </si>
  <si>
    <t>Congratulations &amp; condolences</t>
  </si>
  <si>
    <t>8338211</t>
  </si>
  <si>
    <t>Medical service / Korean</t>
  </si>
  <si>
    <t>8338212</t>
  </si>
  <si>
    <t>Medical service / Foreigner</t>
  </si>
  <si>
    <t>8338213</t>
  </si>
  <si>
    <t>Medical service / Local</t>
  </si>
  <si>
    <t>8338231</t>
  </si>
  <si>
    <t>Trade union fee</t>
  </si>
  <si>
    <t>8338232</t>
  </si>
  <si>
    <t>Trade union support</t>
  </si>
  <si>
    <t>8338900</t>
  </si>
  <si>
    <t>Welfare / Others</t>
  </si>
  <si>
    <t>8350101</t>
  </si>
  <si>
    <t xml:space="preserve">Overseas / Air ticket </t>
  </si>
  <si>
    <t>8350103</t>
  </si>
  <si>
    <t>Overseas / Biz trip exp.</t>
  </si>
  <si>
    <t>8350104</t>
  </si>
  <si>
    <t>Overseas / Room charge</t>
  </si>
  <si>
    <t>8350203</t>
  </si>
  <si>
    <t>Local / Public Transportation</t>
  </si>
  <si>
    <t>8350204</t>
  </si>
  <si>
    <t>Local / Room charge</t>
  </si>
  <si>
    <t>8350900</t>
  </si>
  <si>
    <t>Traveling / Others</t>
  </si>
  <si>
    <t>8370000</t>
  </si>
  <si>
    <t>8390101</t>
  </si>
  <si>
    <t>Telephone / Domestic</t>
  </si>
  <si>
    <t>8390103</t>
  </si>
  <si>
    <t>Telephone / International</t>
  </si>
  <si>
    <t>8390200</t>
  </si>
  <si>
    <t>Communication / Mobile Phone</t>
  </si>
  <si>
    <t>8390300</t>
  </si>
  <si>
    <t>Communication / Internet</t>
  </si>
  <si>
    <t>8390400</t>
  </si>
  <si>
    <t>Communication / Postage &amp; Delivery</t>
  </si>
  <si>
    <t>8390900</t>
  </si>
  <si>
    <t>Communication / Others</t>
  </si>
  <si>
    <t>8410100</t>
  </si>
  <si>
    <t>Rent / Building</t>
  </si>
  <si>
    <t>8410200</t>
  </si>
  <si>
    <t>Rent / Land</t>
  </si>
  <si>
    <t>8410301</t>
  </si>
  <si>
    <t>Rent / Domitory / Korean</t>
  </si>
  <si>
    <t>8410303</t>
  </si>
  <si>
    <t>Rent / Domitory / Local</t>
  </si>
  <si>
    <t>8410401</t>
  </si>
  <si>
    <t>Rent / Car / Korean</t>
  </si>
  <si>
    <t>8410403</t>
  </si>
  <si>
    <t>Rent / Car / Local</t>
  </si>
  <si>
    <t>8410510</t>
  </si>
  <si>
    <t>Rent / Container</t>
  </si>
  <si>
    <t>8410530</t>
  </si>
  <si>
    <t>Rent / Sewing Machine</t>
  </si>
  <si>
    <t>8410550</t>
  </si>
  <si>
    <t>Rent / Photocopier</t>
  </si>
  <si>
    <t>8410901</t>
  </si>
  <si>
    <t>Rent / Others</t>
  </si>
  <si>
    <t>8431000</t>
  </si>
  <si>
    <t>Dep./ Building</t>
  </si>
  <si>
    <t>8432000</t>
  </si>
  <si>
    <t>Dep./ Construction</t>
  </si>
  <si>
    <t>8433000</t>
  </si>
  <si>
    <t>Dep./ Machinery</t>
  </si>
  <si>
    <t>8434000</t>
  </si>
  <si>
    <t>Dep./ Delivery equipment</t>
  </si>
  <si>
    <t>8435000</t>
  </si>
  <si>
    <t>Dep./ Tools &amp; equipments</t>
  </si>
  <si>
    <t>8436001</t>
  </si>
  <si>
    <t>Dep./ Furniture &amp; Fixtures</t>
  </si>
  <si>
    <t>8436002</t>
  </si>
  <si>
    <t>Dep./ Furniture &amp; Fixtures for Res.</t>
  </si>
  <si>
    <t>8436810</t>
  </si>
  <si>
    <t>Dep./ Office equipment</t>
  </si>
  <si>
    <t>8436820</t>
  </si>
  <si>
    <t>Dep./ Audio equipment</t>
  </si>
  <si>
    <t>8437100</t>
  </si>
  <si>
    <t>Dep./ Preliminary</t>
  </si>
  <si>
    <t>8450001</t>
  </si>
  <si>
    <t>Repair./ Building</t>
  </si>
  <si>
    <t>8450002</t>
  </si>
  <si>
    <t>Repair./ Machinery</t>
  </si>
  <si>
    <t>8450003</t>
  </si>
  <si>
    <t>Repair./ Delivery equipment</t>
  </si>
  <si>
    <t>8450004</t>
  </si>
  <si>
    <t>Repair./ Equipment</t>
  </si>
  <si>
    <t>8450005</t>
  </si>
  <si>
    <t>Repair./ Construction</t>
  </si>
  <si>
    <t>8450006</t>
  </si>
  <si>
    <t>Repair./ Tools &amp; equipments</t>
  </si>
  <si>
    <t>8450009</t>
  </si>
  <si>
    <t>Repair./ Others</t>
  </si>
  <si>
    <t>Fire</t>
    <phoneticPr fontId="4" type="noConversion"/>
  </si>
  <si>
    <t>8470001</t>
  </si>
  <si>
    <t>Insurance / Fire</t>
  </si>
  <si>
    <t>Car</t>
    <phoneticPr fontId="4" type="noConversion"/>
  </si>
  <si>
    <t>8470002</t>
  </si>
  <si>
    <t>Insurance / Car</t>
  </si>
  <si>
    <t>Export</t>
    <phoneticPr fontId="4" type="noConversion"/>
  </si>
  <si>
    <t>8470003</t>
  </si>
  <si>
    <t>Insurance / Export</t>
  </si>
  <si>
    <t>Other Insurance</t>
    <phoneticPr fontId="4" type="noConversion"/>
  </si>
  <si>
    <t>8470009</t>
  </si>
  <si>
    <t>Insurance / Others</t>
  </si>
  <si>
    <t>Entertainment</t>
    <phoneticPr fontId="4" type="noConversion"/>
  </si>
  <si>
    <t>8490000</t>
  </si>
  <si>
    <t>Entertainment</t>
  </si>
  <si>
    <t>Advertising expense</t>
    <phoneticPr fontId="4" type="noConversion"/>
  </si>
  <si>
    <t>Recruit</t>
    <phoneticPr fontId="4" type="noConversion"/>
  </si>
  <si>
    <t>8510001</t>
  </si>
  <si>
    <t>Advertising / Recruit</t>
  </si>
  <si>
    <t>Other Advertising expense</t>
    <phoneticPr fontId="4" type="noConversion"/>
  </si>
  <si>
    <t>8510009</t>
  </si>
  <si>
    <t>Advertising / Others</t>
  </si>
  <si>
    <t>Development expense</t>
    <phoneticPr fontId="4" type="noConversion"/>
  </si>
  <si>
    <t>8530000</t>
  </si>
  <si>
    <t>Development exp.</t>
  </si>
  <si>
    <t>Samples expense</t>
    <phoneticPr fontId="4" type="noConversion"/>
  </si>
  <si>
    <t>8550000</t>
  </si>
  <si>
    <t>Samples exp.</t>
  </si>
  <si>
    <t>Air</t>
    <phoneticPr fontId="4" type="noConversion"/>
  </si>
  <si>
    <t>8570001</t>
  </si>
  <si>
    <t>Freight chg./ Air</t>
  </si>
  <si>
    <t>Vesssel</t>
    <phoneticPr fontId="4" type="noConversion"/>
  </si>
  <si>
    <t>8570003</t>
  </si>
  <si>
    <t>Freight chg./ Vessel</t>
  </si>
  <si>
    <t>Trucking</t>
    <phoneticPr fontId="4" type="noConversion"/>
  </si>
  <si>
    <t>8570005</t>
  </si>
  <si>
    <t>Freight chg./ Trucking</t>
  </si>
  <si>
    <t>Commission</t>
    <phoneticPr fontId="4" type="noConversion"/>
  </si>
  <si>
    <t>Import &amp; export expense</t>
    <phoneticPr fontId="4" type="noConversion"/>
  </si>
  <si>
    <t>8590101</t>
  </si>
  <si>
    <t>Import &amp; export exp./ Import</t>
  </si>
  <si>
    <t>8590105</t>
  </si>
  <si>
    <t>Import &amp; export exp./ Export</t>
  </si>
  <si>
    <t>8590109</t>
  </si>
  <si>
    <t>Import &amp; export exp./ Others</t>
  </si>
  <si>
    <t>Bank fee</t>
    <phoneticPr fontId="4" type="noConversion"/>
  </si>
  <si>
    <t>8590201</t>
  </si>
  <si>
    <t>Commission / Bank fee</t>
  </si>
  <si>
    <t>Service charges</t>
    <phoneticPr fontId="4" type="noConversion"/>
  </si>
  <si>
    <t>8590301</t>
  </si>
  <si>
    <t>Commission / Service Charges</t>
  </si>
  <si>
    <t>8590305</t>
  </si>
  <si>
    <t>Commission / Accounting fee</t>
  </si>
  <si>
    <t>8590306</t>
  </si>
  <si>
    <t>Commission / Legal service fee</t>
  </si>
  <si>
    <t>Visa fee</t>
    <phoneticPr fontId="4" type="noConversion"/>
  </si>
  <si>
    <t>8590303</t>
  </si>
  <si>
    <t>Commission / Visa fee</t>
  </si>
  <si>
    <t>Other Commissions</t>
    <phoneticPr fontId="4" type="noConversion"/>
  </si>
  <si>
    <t>8590901</t>
  </si>
  <si>
    <t>Commission / Others</t>
  </si>
  <si>
    <t>Consumable supplies</t>
    <phoneticPr fontId="4" type="noConversion"/>
  </si>
  <si>
    <t>8610001</t>
  </si>
  <si>
    <t>Office Supplies / Stationery</t>
  </si>
  <si>
    <t>8610003</t>
  </si>
  <si>
    <t>Office Supplies / Computer</t>
  </si>
  <si>
    <t>8610009</t>
  </si>
  <si>
    <t>Office Supplies / Others</t>
  </si>
  <si>
    <t>Vehicle maintenance expense</t>
    <phoneticPr fontId="4" type="noConversion"/>
  </si>
  <si>
    <t>Gas</t>
    <phoneticPr fontId="4" type="noConversion"/>
  </si>
  <si>
    <t>8630001</t>
  </si>
  <si>
    <t>V.maintenance / Fuel</t>
  </si>
  <si>
    <t>Toll fee</t>
    <phoneticPr fontId="4" type="noConversion"/>
  </si>
  <si>
    <t>8630003</t>
  </si>
  <si>
    <t>V.maintenance / Toll fee</t>
  </si>
  <si>
    <t>Maintenance</t>
    <phoneticPr fontId="4" type="noConversion"/>
  </si>
  <si>
    <t>8630005</t>
  </si>
  <si>
    <t>V.maintenance / Maintenance</t>
  </si>
  <si>
    <t>Other Vehicle maintenance exp.</t>
    <phoneticPr fontId="4" type="noConversion"/>
  </si>
  <si>
    <t>8630009</t>
  </si>
  <si>
    <t>V.maintenance / Others</t>
  </si>
  <si>
    <t>8650000</t>
  </si>
  <si>
    <t>Book &amp; Printing exp.</t>
  </si>
  <si>
    <t>8670000</t>
  </si>
  <si>
    <t>Training exp.</t>
  </si>
  <si>
    <t>Fuel</t>
  </si>
  <si>
    <t>8730100</t>
  </si>
  <si>
    <t>Electric</t>
  </si>
  <si>
    <t>8730300</t>
  </si>
  <si>
    <t>Water</t>
  </si>
  <si>
    <t>8730500</t>
  </si>
  <si>
    <t>8710000</t>
  </si>
  <si>
    <t>Other Administrative expense</t>
    <phoneticPr fontId="4" type="noConversion"/>
  </si>
  <si>
    <t>8750000</t>
  </si>
  <si>
    <t>G&amp;A / Others</t>
  </si>
  <si>
    <t>Operating Income</t>
    <phoneticPr fontId="4" type="noConversion"/>
  </si>
  <si>
    <t>Non-Operating Income</t>
  </si>
  <si>
    <t>Interest income</t>
  </si>
  <si>
    <t>9101100</t>
  </si>
  <si>
    <t>Gain on foreign currency valuation</t>
  </si>
  <si>
    <t>9101210</t>
  </si>
  <si>
    <t>Foreign exchange gain</t>
  </si>
  <si>
    <t>9101250</t>
  </si>
  <si>
    <t>Gain on disposal of F.assets</t>
  </si>
  <si>
    <t>9105100</t>
  </si>
  <si>
    <t>Other Income</t>
    <phoneticPr fontId="4" type="noConversion"/>
  </si>
  <si>
    <t>9105300</t>
  </si>
  <si>
    <t>Miscellaneous income</t>
  </si>
  <si>
    <t>9105811</t>
  </si>
  <si>
    <t>Exchange income</t>
  </si>
  <si>
    <t>9105900</t>
  </si>
  <si>
    <t>Other income / Others</t>
  </si>
  <si>
    <t>Non-Operating Expenses</t>
    <phoneticPr fontId="4" type="noConversion"/>
  </si>
  <si>
    <t>Interest expense</t>
  </si>
  <si>
    <t>9501100</t>
  </si>
  <si>
    <t>Losses on foreign currency valuation</t>
  </si>
  <si>
    <t>9501210</t>
  </si>
  <si>
    <t>Foreign exchange loss</t>
  </si>
  <si>
    <t>9501250</t>
  </si>
  <si>
    <t>Loss on disposal of F.assets</t>
  </si>
  <si>
    <t>9505100</t>
  </si>
  <si>
    <t>Donation</t>
  </si>
  <si>
    <t>9505200</t>
  </si>
  <si>
    <t>Other Expenses</t>
    <phoneticPr fontId="4" type="noConversion"/>
  </si>
  <si>
    <t>9505300</t>
  </si>
  <si>
    <t>Miscellaneous loss</t>
  </si>
  <si>
    <t>9505811</t>
  </si>
  <si>
    <t>Exchange cost</t>
  </si>
  <si>
    <t>9505900</t>
  </si>
  <si>
    <t>Other Exp./ Others</t>
  </si>
  <si>
    <t>Ordinary Income</t>
    <phoneticPr fontId="4" type="noConversion"/>
  </si>
  <si>
    <t>Corporate income tax</t>
    <phoneticPr fontId="4" type="noConversion"/>
  </si>
  <si>
    <t>9805000</t>
  </si>
  <si>
    <t>Corporate income tax</t>
  </si>
  <si>
    <t>Net Income</t>
    <phoneticPr fontId="4" type="noConversion"/>
  </si>
  <si>
    <t>Chart of Accounts</t>
    <phoneticPr fontId="4" type="noConversion"/>
  </si>
  <si>
    <t>■ Glabal Accounting Management System - COA Master (BS)</t>
    <phoneticPr fontId="4" type="noConversion"/>
  </si>
  <si>
    <t>■ Glabal Accounting Management System - COA Master (PL)</t>
    <phoneticPr fontId="4" type="noConversion"/>
  </si>
  <si>
    <t>Ⅴ. 해외법인 현황</t>
    <phoneticPr fontId="4" type="noConversion"/>
  </si>
  <si>
    <t>5-1. 본공장 손익현황 (생산손익/선적손익)</t>
    <phoneticPr fontId="4" type="noConversion"/>
  </si>
  <si>
    <t>(unit : USD)</t>
    <phoneticPr fontId="4" type="noConversion"/>
  </si>
  <si>
    <t>구     분</t>
    <phoneticPr fontId="4" type="noConversion"/>
  </si>
  <si>
    <t>당    월</t>
    <phoneticPr fontId="4" type="noConversion"/>
  </si>
  <si>
    <t>연누계</t>
    <phoneticPr fontId="4" type="noConversion"/>
  </si>
  <si>
    <t>총  계</t>
    <phoneticPr fontId="4" type="noConversion"/>
  </si>
  <si>
    <t>니카라과</t>
    <phoneticPr fontId="4" type="noConversion"/>
  </si>
  <si>
    <t>베트남</t>
    <phoneticPr fontId="4" type="noConversion"/>
  </si>
  <si>
    <t>미얀마</t>
    <phoneticPr fontId="4" type="noConversion"/>
  </si>
  <si>
    <t>ISTMO</t>
    <phoneticPr fontId="4" type="noConversion"/>
  </si>
  <si>
    <t>TEXNICA</t>
    <phoneticPr fontId="4" type="noConversion"/>
  </si>
  <si>
    <t>SSVN</t>
    <phoneticPr fontId="4" type="noConversion"/>
  </si>
  <si>
    <t>SSTSVN</t>
    <phoneticPr fontId="4" type="noConversion"/>
  </si>
  <si>
    <t>%</t>
    <phoneticPr fontId="4" type="noConversion"/>
  </si>
  <si>
    <t>* 생산 FOB</t>
    <phoneticPr fontId="4" type="noConversion"/>
  </si>
  <si>
    <t>* 생산 Q'ty (PCS)</t>
    <phoneticPr fontId="4" type="noConversion"/>
  </si>
  <si>
    <t>생산액 (CMPAS)</t>
    <phoneticPr fontId="4" type="noConversion"/>
  </si>
  <si>
    <t>Net CM</t>
    <phoneticPr fontId="4" type="noConversion"/>
  </si>
  <si>
    <t>COGM</t>
    <phoneticPr fontId="4" type="noConversion"/>
  </si>
  <si>
    <t>재료+부속가공</t>
    <phoneticPr fontId="4" type="noConversion"/>
  </si>
  <si>
    <t>외주가공비</t>
    <phoneticPr fontId="4" type="noConversion"/>
  </si>
  <si>
    <t>인건비</t>
    <phoneticPr fontId="4" type="noConversion"/>
  </si>
  <si>
    <t>(순)인건비</t>
    <phoneticPr fontId="4" type="noConversion"/>
  </si>
  <si>
    <t>인건비성 경비</t>
    <phoneticPr fontId="4" type="noConversion"/>
  </si>
  <si>
    <t>기타 제조경비</t>
    <phoneticPr fontId="4" type="noConversion"/>
  </si>
  <si>
    <t>G&amp;A</t>
    <phoneticPr fontId="4" type="noConversion"/>
  </si>
  <si>
    <t>기타</t>
    <phoneticPr fontId="4" type="noConversion"/>
  </si>
  <si>
    <t>생산손익</t>
    <phoneticPr fontId="4" type="noConversion"/>
  </si>
  <si>
    <t>* 선적 FOB</t>
    <phoneticPr fontId="4" type="noConversion"/>
  </si>
  <si>
    <t>선적액 (CMPAS)</t>
    <phoneticPr fontId="4" type="noConversion"/>
  </si>
  <si>
    <t>Net CM (FOB대비%)</t>
    <phoneticPr fontId="4" type="noConversion"/>
  </si>
  <si>
    <t>COGS</t>
    <phoneticPr fontId="4" type="noConversion"/>
  </si>
  <si>
    <t>과생산분 정산</t>
    <phoneticPr fontId="4" type="noConversion"/>
  </si>
  <si>
    <t>영업외수익</t>
    <phoneticPr fontId="4" type="noConversion"/>
  </si>
  <si>
    <t>H.C</t>
    <phoneticPr fontId="4" type="noConversion"/>
  </si>
  <si>
    <t>영업외비용</t>
    <phoneticPr fontId="4" type="noConversion"/>
  </si>
  <si>
    <t>경상이익</t>
    <phoneticPr fontId="4" type="noConversion"/>
  </si>
  <si>
    <t>경상이익 (H.C제외)</t>
    <phoneticPr fontId="4" type="noConversion"/>
  </si>
  <si>
    <t>5-2. 본공장 생산운영 현황</t>
    <phoneticPr fontId="4" type="noConversion"/>
  </si>
  <si>
    <t>[조업일수 미고려 Raw Data]</t>
    <phoneticPr fontId="4" type="noConversion"/>
  </si>
  <si>
    <t>Line수 (조업일당 평균)</t>
    <phoneticPr fontId="4" type="noConversion"/>
  </si>
  <si>
    <t>총 조업일수(Day)</t>
    <phoneticPr fontId="4" type="noConversion"/>
  </si>
  <si>
    <t>총 조업시간(Hour) - Factory 기준</t>
    <phoneticPr fontId="4" type="noConversion"/>
  </si>
  <si>
    <t>생산라인 조업시간</t>
    <phoneticPr fontId="4" type="noConversion"/>
  </si>
  <si>
    <t>정상</t>
  </si>
  <si>
    <t>자재창고</t>
    <phoneticPr fontId="4" type="noConversion"/>
  </si>
  <si>
    <t>재단</t>
    <phoneticPr fontId="4" type="noConversion"/>
  </si>
  <si>
    <t>생산라인</t>
    <phoneticPr fontId="4" type="noConversion"/>
  </si>
  <si>
    <t>미싱사+시다</t>
    <phoneticPr fontId="4" type="noConversion"/>
  </si>
  <si>
    <t>매니저</t>
    <phoneticPr fontId="4" type="noConversion"/>
  </si>
  <si>
    <t>완성반</t>
  </si>
  <si>
    <t>공무</t>
  </si>
  <si>
    <t>기타</t>
  </si>
  <si>
    <t>OT</t>
  </si>
  <si>
    <t>총 투입기계 (조업일당 평균)</t>
    <phoneticPr fontId="4" type="noConversion"/>
  </si>
  <si>
    <t>총인원(명)</t>
    <phoneticPr fontId="4" type="noConversion"/>
  </si>
  <si>
    <t>Factory</t>
    <phoneticPr fontId="4" type="noConversion"/>
  </si>
  <si>
    <t>주재원</t>
    <phoneticPr fontId="4" type="noConversion"/>
  </si>
  <si>
    <t>제3국인</t>
    <phoneticPr fontId="4" type="noConversion"/>
  </si>
  <si>
    <t>현지인</t>
    <phoneticPr fontId="4" type="noConversion"/>
  </si>
  <si>
    <t>완성반</t>
    <phoneticPr fontId="4" type="noConversion"/>
  </si>
  <si>
    <t>공무</t>
    <phoneticPr fontId="4" type="noConversion"/>
  </si>
  <si>
    <t>Factory Office</t>
    <phoneticPr fontId="4" type="noConversion"/>
  </si>
  <si>
    <t>Main Office</t>
  </si>
  <si>
    <t>인사/총무</t>
    <phoneticPr fontId="4" type="noConversion"/>
  </si>
  <si>
    <t>회계</t>
    <phoneticPr fontId="4" type="noConversion"/>
  </si>
  <si>
    <t>수출입</t>
    <phoneticPr fontId="4" type="noConversion"/>
  </si>
  <si>
    <t>US대비 환율</t>
    <phoneticPr fontId="4" type="noConversion"/>
  </si>
  <si>
    <t>법정최저임금</t>
    <phoneticPr fontId="4" type="noConversion"/>
  </si>
  <si>
    <t>5-3. 본공장 관리지표 현황 - 생산성 지표</t>
    <phoneticPr fontId="4" type="noConversion"/>
  </si>
  <si>
    <t>■ (선적)FOB대비 요율</t>
    <phoneticPr fontId="4" type="noConversion"/>
  </si>
  <si>
    <t>(선적)FOB대비 공임(CM+HC)%</t>
    <phoneticPr fontId="4" type="noConversion"/>
  </si>
  <si>
    <t>(선적)FOB대비 Net CM%</t>
    <phoneticPr fontId="4" type="noConversion"/>
  </si>
  <si>
    <t>■ Capa (Net CM기준)</t>
    <phoneticPr fontId="4" type="noConversion"/>
  </si>
  <si>
    <t>* Max Capa (3년내 Max 월 생산Net CM)</t>
    <phoneticPr fontId="4" type="noConversion"/>
  </si>
  <si>
    <t>Max Capa 대비 조업율</t>
    <phoneticPr fontId="4" type="noConversion"/>
  </si>
  <si>
    <t>■ 생산성 지표</t>
  </si>
  <si>
    <t>MH당 Net CM (①x②) (라인인원 기준)</t>
    <phoneticPr fontId="4" type="noConversion"/>
  </si>
  <si>
    <t>① PCS당 Net CM</t>
    <phoneticPr fontId="4" type="noConversion"/>
  </si>
  <si>
    <t>② MH당 PCS</t>
    <phoneticPr fontId="4" type="noConversion"/>
  </si>
  <si>
    <t>Line 관련지표</t>
    <phoneticPr fontId="4" type="noConversion"/>
  </si>
  <si>
    <t>Line당 평균 투입기계</t>
    <phoneticPr fontId="4" type="noConversion"/>
  </si>
  <si>
    <t>투입기계당 (생산) 월 Net CM (USD)</t>
    <phoneticPr fontId="4" type="noConversion"/>
  </si>
  <si>
    <t>투입기계당 총인원 (법인 총현지인)</t>
    <phoneticPr fontId="4" type="noConversion"/>
  </si>
  <si>
    <t>투입기계당 생산라인 인원</t>
    <phoneticPr fontId="4" type="noConversion"/>
  </si>
  <si>
    <t>인원 관련지표(Ⅰ) 공장-현지인</t>
    <phoneticPr fontId="4" type="noConversion"/>
  </si>
  <si>
    <t>인당 평균 (생산) 월 Net CM (USD)</t>
    <phoneticPr fontId="4" type="noConversion"/>
  </si>
  <si>
    <t>인당 평균 조업시간 (Hour)</t>
    <phoneticPr fontId="4" type="noConversion"/>
  </si>
  <si>
    <t>* 일평균 조업시간 (Hour)</t>
    <phoneticPr fontId="4" type="noConversion"/>
  </si>
  <si>
    <t>정상</t>
    <phoneticPr fontId="4" type="noConversion"/>
  </si>
  <si>
    <t>OT</t>
    <phoneticPr fontId="4" type="noConversion"/>
  </si>
  <si>
    <t>인원 관련지표(Ⅱ) 생산라인-현지인</t>
    <phoneticPr fontId="4" type="noConversion"/>
  </si>
  <si>
    <t>5-4. 본공장 관리지표 현황 - 비용효율 지표</t>
    <phoneticPr fontId="4" type="noConversion"/>
  </si>
  <si>
    <t>■ 인당 인건비</t>
    <phoneticPr fontId="4" type="noConversion"/>
  </si>
  <si>
    <t>공장-현지인</t>
    <phoneticPr fontId="4" type="noConversion"/>
  </si>
  <si>
    <t>(순)인건비-일반</t>
    <phoneticPr fontId="4" type="noConversion"/>
  </si>
  <si>
    <t>(순)인건비-OT</t>
    <phoneticPr fontId="4" type="noConversion"/>
  </si>
  <si>
    <t>인건비성 경비</t>
  </si>
  <si>
    <t>자재창고-현지인</t>
    <phoneticPr fontId="4" type="noConversion"/>
  </si>
  <si>
    <t>재단-현지인</t>
    <phoneticPr fontId="4" type="noConversion"/>
  </si>
  <si>
    <t>생산라인-현지인</t>
    <phoneticPr fontId="4" type="noConversion"/>
  </si>
  <si>
    <t>완성반-현지인</t>
    <phoneticPr fontId="4" type="noConversion"/>
  </si>
  <si>
    <t>■ MH당 인건비(Ⅰ)</t>
    <phoneticPr fontId="4" type="noConversion"/>
  </si>
  <si>
    <t>■ MH당 인건비(Ⅱ) - OT제외</t>
    <phoneticPr fontId="4" type="noConversion"/>
  </si>
  <si>
    <t>■ Net CM 대비 기타 제조경비%</t>
    <phoneticPr fontId="4" type="noConversion"/>
  </si>
  <si>
    <t>업무지표</t>
    <phoneticPr fontId="4" type="noConversion"/>
  </si>
  <si>
    <t>Biz</t>
    <phoneticPr fontId="82" type="noConversion"/>
  </si>
  <si>
    <t>중점 추진 과제</t>
    <phoneticPr fontId="4" type="noConversion"/>
  </si>
  <si>
    <t>담당자</t>
    <phoneticPr fontId="82" type="noConversion"/>
  </si>
  <si>
    <t>2019년</t>
    <phoneticPr fontId="82" type="noConversion"/>
  </si>
  <si>
    <t>2020년</t>
    <phoneticPr fontId="82" type="noConversion"/>
  </si>
  <si>
    <t>비     고</t>
    <phoneticPr fontId="4" type="noConversion"/>
  </si>
  <si>
    <t>R</t>
    <phoneticPr fontId="82" type="noConversion"/>
  </si>
  <si>
    <t>S</t>
    <phoneticPr fontId="82" type="noConversion"/>
  </si>
  <si>
    <t>1월</t>
    <phoneticPr fontId="4" type="noConversion"/>
  </si>
  <si>
    <t>2월</t>
    <phoneticPr fontId="4" type="noConversion"/>
  </si>
  <si>
    <t>3월</t>
    <phoneticPr fontId="4" type="noConversion"/>
  </si>
  <si>
    <t>4월</t>
    <phoneticPr fontId="4" type="noConversion"/>
  </si>
  <si>
    <t>5월</t>
    <phoneticPr fontId="4" type="noConversion"/>
  </si>
  <si>
    <t>6월</t>
    <phoneticPr fontId="4" type="noConversion"/>
  </si>
  <si>
    <t>7월</t>
    <phoneticPr fontId="4" type="noConversion"/>
  </si>
  <si>
    <t>8월</t>
    <phoneticPr fontId="4" type="noConversion"/>
  </si>
  <si>
    <t>9월</t>
    <phoneticPr fontId="4" type="noConversion"/>
  </si>
  <si>
    <t>10월</t>
    <phoneticPr fontId="4" type="noConversion"/>
  </si>
  <si>
    <t>11월</t>
    <phoneticPr fontId="4" type="noConversion"/>
  </si>
  <si>
    <t>12월</t>
    <phoneticPr fontId="4" type="noConversion"/>
  </si>
  <si>
    <t>1월</t>
    <phoneticPr fontId="4" type="noConversion"/>
  </si>
  <si>
    <t>2월</t>
    <phoneticPr fontId="4" type="noConversion"/>
  </si>
  <si>
    <t>3월</t>
    <phoneticPr fontId="4" type="noConversion"/>
  </si>
  <si>
    <t>4월</t>
    <phoneticPr fontId="4" type="noConversion"/>
  </si>
  <si>
    <t>5월</t>
    <phoneticPr fontId="4" type="noConversion"/>
  </si>
  <si>
    <t>소싱</t>
    <phoneticPr fontId="82" type="noConversion"/>
  </si>
  <si>
    <t>■</t>
    <phoneticPr fontId="4" type="noConversion"/>
  </si>
  <si>
    <t>소싱 RECAP 전산화 1단계</t>
    <phoneticPr fontId="82" type="noConversion"/>
  </si>
  <si>
    <r>
      <t>김 영로
유</t>
    </r>
    <r>
      <rPr>
        <sz val="9"/>
        <color theme="1"/>
        <rFont val="맑은 고딕"/>
        <family val="2"/>
        <charset val="129"/>
      </rPr>
      <t xml:space="preserve"> 홍민</t>
    </r>
    <phoneticPr fontId="82" type="noConversion"/>
  </si>
  <si>
    <t>윤 승우</t>
    <phoneticPr fontId="82" type="noConversion"/>
  </si>
  <si>
    <t>완료</t>
    <phoneticPr fontId="82" type="noConversion"/>
  </si>
  <si>
    <t>;  소싱 Style별 진행현황 및 실적정보 전산화</t>
    <phoneticPr fontId="4" type="noConversion"/>
  </si>
  <si>
    <t xml:space="preserve">  (2단계 대쉬보드 개발은 만 1년 운영후, 축적Data 기반 개발계획)</t>
    <phoneticPr fontId="4" type="noConversion"/>
  </si>
  <si>
    <t>소싱 RECAP 전산화 2단계</t>
    <phoneticPr fontId="82" type="noConversion"/>
  </si>
  <si>
    <r>
      <t>* 해외법인</t>
    </r>
    <r>
      <rPr>
        <sz val="9"/>
        <color theme="1"/>
        <rFont val="맑은 고딕"/>
        <family val="2"/>
        <charset val="129"/>
      </rPr>
      <t xml:space="preserve"> 본공장 생산&amp;선적실적 연동</t>
    </r>
    <phoneticPr fontId="82" type="noConversion"/>
  </si>
  <si>
    <t>■</t>
    <phoneticPr fontId="4" type="noConversion"/>
  </si>
  <si>
    <t>구매 발주/선적관리 시스템</t>
    <phoneticPr fontId="4" type="noConversion"/>
  </si>
  <si>
    <t>김 영로</t>
    <phoneticPr fontId="82" type="noConversion"/>
  </si>
  <si>
    <t>윤 승우</t>
    <phoneticPr fontId="82" type="noConversion"/>
  </si>
  <si>
    <t>BPR</t>
    <phoneticPr fontId="82" type="noConversion"/>
  </si>
  <si>
    <t>완료예정</t>
    <phoneticPr fontId="82" type="noConversion"/>
  </si>
  <si>
    <t>-  소싱 RECAP PJ 연동한 구매 관련 Data 등록화면 개발</t>
    <phoneticPr fontId="4" type="noConversion"/>
  </si>
  <si>
    <t>-  旣개발완료한 원부자재 송출현황 Data 연동 고려</t>
    <phoneticPr fontId="4" type="noConversion"/>
  </si>
  <si>
    <t>구매</t>
    <phoneticPr fontId="82" type="noConversion"/>
  </si>
  <si>
    <t>원단송출현황 전산화</t>
    <phoneticPr fontId="4" type="noConversion"/>
  </si>
  <si>
    <t>김 형태</t>
    <phoneticPr fontId="82" type="noConversion"/>
  </si>
  <si>
    <r>
      <t>(구매팀)
(수출입)
(</t>
    </r>
    <r>
      <rPr>
        <sz val="9"/>
        <color theme="1"/>
        <rFont val="맑은 고딕"/>
        <family val="2"/>
        <charset val="129"/>
      </rPr>
      <t>경영관리</t>
    </r>
    <r>
      <rPr>
        <sz val="9"/>
        <color theme="1"/>
        <rFont val="맑은 고딕"/>
        <family val="2"/>
        <charset val="129"/>
      </rPr>
      <t>)</t>
    </r>
    <phoneticPr fontId="82" type="noConversion"/>
  </si>
  <si>
    <r>
      <t>* 제품개발실</t>
    </r>
    <r>
      <rPr>
        <sz val="9"/>
        <color theme="1"/>
        <rFont val="맑은 고딕"/>
        <family val="2"/>
        <charset val="129"/>
      </rPr>
      <t xml:space="preserve"> 폐지 및 수출영업현지화 따른</t>
    </r>
    <phoneticPr fontId="82" type="noConversion"/>
  </si>
  <si>
    <t>미착수</t>
    <phoneticPr fontId="82" type="noConversion"/>
  </si>
  <si>
    <t>-  예상사전원가-생산사전원가 통합</t>
    <phoneticPr fontId="4" type="noConversion"/>
  </si>
  <si>
    <t xml:space="preserve">   Process 변경 필요</t>
    <phoneticPr fontId="82" type="noConversion"/>
  </si>
  <si>
    <t>-  요척의뢰등록-제품소요량 등록 → 'Fabric 공정등록' 통합</t>
    <phoneticPr fontId="4" type="noConversion"/>
  </si>
  <si>
    <t xml:space="preserve">   ; ESP2 및 S-one Logic 통합&amp;개선 필수</t>
    <phoneticPr fontId="82" type="noConversion"/>
  </si>
  <si>
    <t>-  (오프라인)선발주 전산화 및 해외원단 선적등록 주체 선정</t>
    <phoneticPr fontId="4" type="noConversion"/>
  </si>
  <si>
    <r>
      <t xml:space="preserve">그룹웨어
</t>
    </r>
    <r>
      <rPr>
        <sz val="10"/>
        <color theme="1"/>
        <rFont val="맑은 고딕"/>
        <family val="3"/>
        <charset val="129"/>
      </rPr>
      <t>(추가과제)</t>
    </r>
    <phoneticPr fontId="82" type="noConversion"/>
  </si>
  <si>
    <t>■</t>
    <phoneticPr fontId="4" type="noConversion"/>
  </si>
  <si>
    <t>그룹웨어 시스템 신규 도입&amp;구축</t>
    <phoneticPr fontId="4" type="noConversion"/>
  </si>
  <si>
    <r>
      <t>김</t>
    </r>
    <r>
      <rPr>
        <sz val="9"/>
        <color theme="1"/>
        <rFont val="맑은 고딕"/>
        <family val="2"/>
        <charset val="129"/>
      </rPr>
      <t xml:space="preserve"> 형태
유 홍민</t>
    </r>
    <phoneticPr fontId="82" type="noConversion"/>
  </si>
  <si>
    <t>김 영로</t>
    <phoneticPr fontId="82" type="noConversion"/>
  </si>
  <si>
    <t>완료예정</t>
    <phoneticPr fontId="82" type="noConversion"/>
  </si>
  <si>
    <t>-  E-mail 시스템 : 서버이중화, 자사몰 전용 메일서버 별도 구축</t>
    <phoneticPr fontId="4" type="noConversion"/>
  </si>
  <si>
    <t>- 전자결재 시스템</t>
    <phoneticPr fontId="4" type="noConversion"/>
  </si>
  <si>
    <t>- Legacy 연동 시스템 자체 개발</t>
    <phoneticPr fontId="4" type="noConversion"/>
  </si>
  <si>
    <t>해외법인</t>
    <phoneticPr fontId="82" type="noConversion"/>
  </si>
  <si>
    <t>해외법인 회계관리 시스템 통합</t>
    <phoneticPr fontId="4" type="noConversion"/>
  </si>
  <si>
    <t>김 영로
김 형태</t>
    <phoneticPr fontId="82" type="noConversion"/>
  </si>
  <si>
    <t>유 홍민</t>
    <phoneticPr fontId="82" type="noConversion"/>
  </si>
  <si>
    <t>* 미얀마 Set-up 이후는 Set-up 시기만 출장 진행</t>
  </si>
  <si>
    <t>-  미얀마 신성Int'l + YIML</t>
    <phoneticPr fontId="4" type="noConversion"/>
  </si>
  <si>
    <t>완료</t>
    <phoneticPr fontId="82" type="noConversion"/>
  </si>
  <si>
    <t>-  인도네시아 영업법인</t>
    <phoneticPr fontId="4" type="noConversion"/>
  </si>
  <si>
    <t>미정</t>
    <phoneticPr fontId="82" type="noConversion"/>
  </si>
  <si>
    <t>-  니카라과 법인</t>
    <phoneticPr fontId="4" type="noConversion"/>
  </si>
  <si>
    <t>니카</t>
    <phoneticPr fontId="82" type="noConversion"/>
  </si>
  <si>
    <t>-  베트남 법인</t>
    <phoneticPr fontId="4" type="noConversion"/>
  </si>
  <si>
    <t>베트남</t>
    <phoneticPr fontId="82" type="noConversion"/>
  </si>
  <si>
    <t>해외법인 통합 생산관리시스템 개발</t>
    <phoneticPr fontId="4" type="noConversion"/>
  </si>
  <si>
    <t xml:space="preserve"> </t>
    <phoneticPr fontId="82" type="noConversion"/>
  </si>
  <si>
    <t>BPR</t>
    <phoneticPr fontId="82" type="noConversion"/>
  </si>
  <si>
    <t>미얀마</t>
    <phoneticPr fontId="82" type="noConversion"/>
  </si>
  <si>
    <r>
      <t>* 개발범위</t>
    </r>
    <r>
      <rPr>
        <sz val="9"/>
        <color theme="1"/>
        <rFont val="맑은 고딕"/>
        <family val="2"/>
        <charset val="129"/>
      </rPr>
      <t xml:space="preserve"> 확대</t>
    </r>
    <phoneticPr fontId="82" type="noConversion"/>
  </si>
  <si>
    <t>베트남/미얀마</t>
    <phoneticPr fontId="82" type="noConversion"/>
  </si>
  <si>
    <t>-  라인생산계획-생산-선적 Data 시스템화</t>
    <phoneticPr fontId="4" type="noConversion"/>
  </si>
  <si>
    <t>-  주요Function별 (창고,재단,봉제,선적) Data 정규화</t>
    <phoneticPr fontId="4" type="noConversion"/>
  </si>
  <si>
    <t>-  미얀마 내수법인 적용 (소싱 RECAP 전산화 연동)</t>
    <phoneticPr fontId="4" type="noConversion"/>
  </si>
  <si>
    <t>해외법인 통합 생산실적 및 지표운영</t>
    <phoneticPr fontId="4" type="noConversion"/>
  </si>
  <si>
    <t>정 지원</t>
    <phoneticPr fontId="82" type="noConversion"/>
  </si>
  <si>
    <t>인사급여</t>
    <phoneticPr fontId="82" type="noConversion"/>
  </si>
  <si>
    <t>인사급여 시스템 재개발</t>
    <phoneticPr fontId="4" type="noConversion"/>
  </si>
  <si>
    <t>엄 세준
(우 명제)</t>
    <phoneticPr fontId="82" type="noConversion"/>
  </si>
  <si>
    <t>(인사팀)</t>
    <phoneticPr fontId="82" type="noConversion"/>
  </si>
  <si>
    <t>(분석)</t>
    <phoneticPr fontId="82" type="noConversion"/>
  </si>
  <si>
    <t>(개발)</t>
    <phoneticPr fontId="82" type="noConversion"/>
  </si>
  <si>
    <t>(병행)</t>
    <phoneticPr fontId="82" type="noConversion"/>
  </si>
  <si>
    <t>- Web HRMS, AceERP(인사), S-인사 통합 재개발</t>
    <phoneticPr fontId="4" type="noConversion"/>
  </si>
  <si>
    <t>- 해외 및 도급인원 관리</t>
    <phoneticPr fontId="4" type="noConversion"/>
  </si>
  <si>
    <t>- '19 귀속 연말정산 (R&amp;R변경 : 패션IT → 수출IT)</t>
    <phoneticPr fontId="4" type="noConversion"/>
  </si>
  <si>
    <r>
      <t xml:space="preserve">에이션
</t>
    </r>
    <r>
      <rPr>
        <sz val="10"/>
        <color theme="1"/>
        <rFont val="맑은 고딕"/>
        <family val="3"/>
        <charset val="129"/>
      </rPr>
      <t>(추가과제)</t>
    </r>
    <phoneticPr fontId="82" type="noConversion"/>
  </si>
  <si>
    <t>에이션패션 K-one 회계관리시스템 통합</t>
    <phoneticPr fontId="4" type="noConversion"/>
  </si>
  <si>
    <t>김 형태
김 영로
('20년)</t>
    <phoneticPr fontId="82" type="noConversion"/>
  </si>
  <si>
    <t>미착수</t>
    <phoneticPr fontId="82" type="noConversion"/>
  </si>
  <si>
    <t>-  거래유형 분석 및 시스템 운영기준 공유</t>
    <phoneticPr fontId="4" type="noConversion"/>
  </si>
  <si>
    <t>-  시스템 Set-up 및 유지보수</t>
    <phoneticPr fontId="4" type="noConversion"/>
  </si>
  <si>
    <t>■ 전략기획본부 '19-20년도 시스템 개발일정 (경영관리팀 + 수출IT팀)</t>
    <phoneticPr fontId="4" type="noConversion"/>
  </si>
  <si>
    <t>구       분</t>
    <phoneticPr fontId="96" type="noConversion"/>
  </si>
  <si>
    <t>시스템</t>
    <phoneticPr fontId="96" type="noConversion"/>
  </si>
  <si>
    <t>결산주체</t>
    <phoneticPr fontId="96" type="noConversion"/>
  </si>
  <si>
    <t>비          고</t>
    <phoneticPr fontId="96" type="noConversion"/>
  </si>
  <si>
    <t>베트남</t>
    <phoneticPr fontId="96" type="noConversion"/>
  </si>
  <si>
    <t>생산법인</t>
    <phoneticPr fontId="96" type="noConversion"/>
  </si>
  <si>
    <t>Local 회계관리 시스템</t>
    <phoneticPr fontId="96" type="noConversion"/>
  </si>
  <si>
    <t>Local</t>
    <phoneticPr fontId="96" type="noConversion"/>
  </si>
  <si>
    <t>영업지사</t>
    <phoneticPr fontId="96" type="noConversion"/>
  </si>
  <si>
    <t>본사</t>
    <phoneticPr fontId="96" type="noConversion"/>
  </si>
  <si>
    <t>인도네시아</t>
    <phoneticPr fontId="96" type="noConversion"/>
  </si>
  <si>
    <t>영업법인</t>
    <phoneticPr fontId="96" type="noConversion"/>
  </si>
  <si>
    <t>(없음)</t>
    <phoneticPr fontId="96" type="noConversion"/>
  </si>
  <si>
    <t>니카라과</t>
    <phoneticPr fontId="96" type="noConversion"/>
  </si>
  <si>
    <t>미얀마</t>
    <phoneticPr fontId="96" type="noConversion"/>
  </si>
  <si>
    <t>신성Int'l</t>
    <phoneticPr fontId="96" type="noConversion"/>
  </si>
  <si>
    <t>YIML</t>
    <phoneticPr fontId="96" type="noConversion"/>
  </si>
  <si>
    <t>중 국</t>
    <phoneticPr fontId="96" type="noConversion"/>
  </si>
  <si>
    <t>상해지사</t>
    <phoneticPr fontId="96" type="noConversion"/>
  </si>
  <si>
    <t>Local</t>
    <phoneticPr fontId="96" type="noConversion"/>
  </si>
  <si>
    <t>미 국</t>
    <phoneticPr fontId="96" type="noConversion"/>
  </si>
  <si>
    <t>뉴욕지사</t>
    <phoneticPr fontId="96" type="noConversion"/>
  </si>
  <si>
    <r>
      <t>Q</t>
    </r>
    <r>
      <rPr>
        <sz val="10"/>
        <color theme="1"/>
        <rFont val="맑은 고딕"/>
        <family val="2"/>
        <charset val="129"/>
      </rPr>
      <t>UICK BOOK</t>
    </r>
    <phoneticPr fontId="96" type="noConversion"/>
  </si>
  <si>
    <t>[Accounting Data 발생]</t>
    <phoneticPr fontId="96" type="noConversion"/>
  </si>
  <si>
    <t xml:space="preserve">  현재 100% 수기반영</t>
    <phoneticPr fontId="96" type="noConversion"/>
  </si>
  <si>
    <t xml:space="preserve">     현재 100% 수기반영</t>
    <phoneticPr fontId="96" type="noConversion"/>
  </si>
  <si>
    <t>[관리회계손익 집계&amp;산출]</t>
    <phoneticPr fontId="96" type="noConversion"/>
  </si>
  <si>
    <t>'18년말</t>
    <phoneticPr fontId="96" type="noConversion"/>
  </si>
  <si>
    <t>↑법인귀속 (일부 잔존)</t>
    <phoneticPr fontId="96" type="noConversion"/>
  </si>
  <si>
    <t>(Closing 예정)</t>
    <phoneticPr fontId="96" type="noConversion"/>
  </si>
  <si>
    <t>Local</t>
    <phoneticPr fontId="4" type="noConversion"/>
  </si>
  <si>
    <t>Local</t>
    <phoneticPr fontId="96" type="noConversion"/>
  </si>
  <si>
    <t>(New) 글로벌 회계관리 시스템</t>
    <phoneticPr fontId="96" type="noConversion"/>
  </si>
  <si>
    <t>* '19.7월 New 글로벌 회계관리 시스템 구축 완료</t>
    <phoneticPr fontId="96" type="noConversion"/>
  </si>
  <si>
    <t>* 현지 회계사무소 기장대행</t>
    <phoneticPr fontId="96" type="noConversion"/>
  </si>
  <si>
    <t>현재 ('19.9월)</t>
    <phoneticPr fontId="96" type="noConversion"/>
  </si>
  <si>
    <t>본사 회계관리 시스템 (K-one)</t>
    <phoneticPr fontId="96" type="noConversion"/>
  </si>
  <si>
    <t>* 2015년 구축 (베트남 현지 Local업체 개발)</t>
    <phoneticPr fontId="96" type="noConversion"/>
  </si>
  <si>
    <t>* US 내 상용 솔루션</t>
    <phoneticPr fontId="4" type="noConversion"/>
  </si>
  <si>
    <t>↑법인귀속</t>
    <phoneticPr fontId="4" type="noConversion"/>
  </si>
  <si>
    <t>* '19.1월 K-one (본사) 신규 회계관리시스템 구축 완료</t>
    <phoneticPr fontId="4" type="noConversion"/>
  </si>
  <si>
    <t>'20년 계획</t>
    <phoneticPr fontId="96" type="noConversion"/>
  </si>
  <si>
    <t>(New) 글로벌 회계관리 시스템</t>
    <phoneticPr fontId="96" type="noConversion"/>
  </si>
  <si>
    <t>-</t>
    <phoneticPr fontId="96" type="noConversion"/>
  </si>
  <si>
    <t>UDN</t>
    <phoneticPr fontId="4" type="noConversion"/>
  </si>
  <si>
    <t>■ 신성그룹 해외법인 및 지사 Accounting System 운영현황 및 Set-up 계획</t>
    <phoneticPr fontId="96" type="noConversion"/>
  </si>
  <si>
    <t>* '19.5월 New 글로벌 회계관리 시스템 구축 완료</t>
    <phoneticPr fontId="96" type="noConversion"/>
  </si>
  <si>
    <t>■ 본사 수출영업팀 및 해외 영업지사 관리회계 손익산출 Process ('18.12월 기준)</t>
    <phoneticPr fontId="96" type="noConversion"/>
  </si>
  <si>
    <t>■ 글로벌 해외법인 및 영업지사 System 통합계획</t>
    <phoneticPr fontId="96" type="noConversion"/>
  </si>
  <si>
    <t>:  글로벌 회계관리시스템 諸구축시, 현재 수기 비용집계 및 배부업무 자동화 처리 可</t>
    <phoneticPr fontId="4" type="noConversion"/>
  </si>
  <si>
    <t>Production Management System</t>
    <phoneticPr fontId="4" type="noConversion"/>
  </si>
  <si>
    <t>Accounting Management System</t>
    <phoneticPr fontId="4" type="noConversion"/>
  </si>
  <si>
    <t>System 프로그래밍</t>
    <phoneticPr fontId="8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</si>
</sst>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6">
    <numFmt numFmtId="41" formatCode="_-* #,##0_-;\-* #,##0_-;_-* &quot;-&quot;_-;_-@_-"/>
    <numFmt numFmtId="43" formatCode="_-* #,##0.00_-;\-* #,##0.00_-;_-* &quot;-&quot;??_-;_-@_-"/>
    <numFmt numFmtId="176" formatCode="_ * #,##0_ ;_ * \-#,##0_ ;_ * &quot;-&quot;_ ;_ @_ "/>
    <numFmt numFmtId="177" formatCode="_ * #,##0.00_ ;_ * \-#,##0.00_ ;_ * &quot;-&quot;??_ ;_ @_ "/>
    <numFmt numFmtId="178" formatCode="#,##0\ \ ;&quot;△&quot;#,##0\ \ \ "/>
    <numFmt numFmtId="179" formatCode="#,##0\ \ ;&quot;△&quot;#,##0\ \ "/>
    <numFmt numFmtId="180" formatCode="_(&quot;₩&quot;* #,##0_);_(&quot;₩&quot;* \(#,##0\);_(&quot;₩&quot;* &quot;-&quot;_);_(@_)"/>
    <numFmt numFmtId="181" formatCode="_-[$$-409]* #,##0.00_ ;_-[$$-409]* \-#,##0.00\ ;_-[$$-409]* &quot;-&quot;??_ ;_-@_ "/>
    <numFmt numFmtId="182" formatCode="&quot;₩&quot;#,##0.00\ ;\(&quot;₩&quot;#,##0.00\)"/>
    <numFmt numFmtId="183" formatCode="&quot;₩&quot;#,##0;&quot;₩&quot;\-#,##0"/>
    <numFmt numFmtId="184" formatCode="#,##0_ "/>
    <numFmt numFmtId="185" formatCode="_-#,##0_-;\-#,##0_-;_-&quot;-&quot;_-;_-@_-"/>
    <numFmt numFmtId="186" formatCode="0.0%"/>
    <numFmt numFmtId="187" formatCode="_-* #,##0.0_-;\-* #,##0.0_-;_-* &quot;-&quot;_-;_-@_-"/>
    <numFmt numFmtId="188" formatCode="_-* #,##0.00_-;\-* #,##0.00_-;_-* &quot;-&quot;_-;_-@_-"/>
    <numFmt numFmtId="189" formatCode="_-* #,##0_-;\-* #,##0_-;_-* &quot;-&quot;??_-;_-@_-"/>
  </numFmts>
  <fonts count="109">
    <font>
      <sz val="10"/>
      <color theme="1"/>
      <name val="맑은 고딕"/>
      <family val="2"/>
      <charset val="129"/>
    </font>
    <font>
      <sz val="9"/>
      <color theme="1"/>
      <name val="맑은 고딕"/>
      <family val="2"/>
      <charset val="129"/>
    </font>
    <font>
      <sz val="9"/>
      <color theme="1"/>
      <name val="맑은 고딕"/>
      <family val="2"/>
      <charset val="129"/>
    </font>
    <font>
      <b/>
      <sz val="16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sz val="11"/>
      <color theme="1"/>
      <name val="맑은 고딕"/>
      <family val="3"/>
      <charset val="129"/>
    </font>
    <font>
      <sz val="11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sz val="12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sz val="9"/>
      <color rgb="FFFF0000"/>
      <name val="맑은 고딕"/>
      <family val="2"/>
      <charset val="129"/>
    </font>
    <font>
      <sz val="10"/>
      <color theme="1"/>
      <name val="맑은 고딕"/>
      <family val="3"/>
      <charset val="129"/>
    </font>
    <font>
      <b/>
      <sz val="9"/>
      <color theme="1"/>
      <name val="맑은 고딕"/>
      <family val="3"/>
      <charset val="129"/>
    </font>
    <font>
      <b/>
      <sz val="9"/>
      <color theme="0"/>
      <name val="맑은 고딕"/>
      <family val="3"/>
      <charset val="129"/>
    </font>
    <font>
      <b/>
      <sz val="9"/>
      <color theme="1" tint="0.499984740745262"/>
      <name val="맑은 고딕"/>
      <family val="3"/>
      <charset val="129"/>
    </font>
    <font>
      <sz val="9"/>
      <color rgb="FF0000FF"/>
      <name val="맑은 고딕"/>
      <family val="3"/>
      <charset val="129"/>
    </font>
    <font>
      <sz val="9"/>
      <color theme="1" tint="0.499984740745262"/>
      <name val="맑은 고딕"/>
      <family val="3"/>
      <charset val="129"/>
    </font>
    <font>
      <sz val="9"/>
      <color theme="1" tint="0.34998626667073579"/>
      <name val="맑은 고딕"/>
      <family val="3"/>
      <charset val="129"/>
    </font>
    <font>
      <sz val="9"/>
      <color theme="0" tint="-0.499984740745262"/>
      <name val="맑은 고딕"/>
      <family val="3"/>
      <charset val="129"/>
    </font>
    <font>
      <sz val="9"/>
      <color rgb="FFFF0000"/>
      <name val="맑은 고딕"/>
      <family val="3"/>
      <charset val="129"/>
    </font>
    <font>
      <sz val="12"/>
      <name val="바탕체"/>
      <family val="1"/>
      <charset val="129"/>
    </font>
    <font>
      <b/>
      <sz val="8"/>
      <name val="Arial"/>
      <family val="2"/>
    </font>
    <font>
      <sz val="10"/>
      <name val="Arial"/>
      <family val="2"/>
    </font>
    <font>
      <sz val="11"/>
      <name val="굴림체"/>
      <family val="3"/>
      <charset val="129"/>
    </font>
    <font>
      <b/>
      <sz val="11"/>
      <color indexed="52"/>
      <name val="돋움"/>
      <family val="3"/>
      <charset val="129"/>
    </font>
    <font>
      <sz val="12"/>
      <color indexed="24"/>
      <name val="바탕체"/>
      <family val="1"/>
      <charset val="129"/>
    </font>
    <font>
      <b/>
      <sz val="18"/>
      <color indexed="24"/>
      <name val="바탕체"/>
      <family val="1"/>
      <charset val="129"/>
    </font>
    <font>
      <b/>
      <sz val="15"/>
      <color indexed="24"/>
      <name val="바탕체"/>
      <family val="1"/>
      <charset val="129"/>
    </font>
    <font>
      <sz val="11"/>
      <name val="돋움"/>
      <family val="3"/>
      <charset val="129"/>
    </font>
    <font>
      <sz val="11"/>
      <color indexed="8"/>
      <name val="맑은 고딕"/>
      <family val="3"/>
      <charset val="129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1"/>
      <color indexed="8"/>
      <name val="돋움"/>
      <family val="3"/>
      <charset val="129"/>
    </font>
    <font>
      <sz val="11"/>
      <color indexed="62"/>
      <name val="돋움"/>
      <family val="3"/>
      <charset val="129"/>
    </font>
    <font>
      <b/>
      <sz val="11"/>
      <color indexed="56"/>
      <name val="돋움"/>
      <family val="3"/>
      <charset val="129"/>
    </font>
    <font>
      <b/>
      <sz val="11"/>
      <color indexed="63"/>
      <name val="돋움"/>
      <family val="3"/>
      <charset val="129"/>
    </font>
    <font>
      <b/>
      <sz val="14"/>
      <color theme="1"/>
      <name val="맑은 고딕"/>
      <family val="3"/>
      <charset val="129"/>
    </font>
    <font>
      <b/>
      <sz val="9"/>
      <color rgb="FFFF0000"/>
      <name val="맑은 고딕"/>
      <family val="3"/>
      <charset val="129"/>
    </font>
    <font>
      <sz val="8"/>
      <color theme="1"/>
      <name val="맑은 고딕"/>
      <family val="3"/>
      <charset val="129"/>
    </font>
    <font>
      <sz val="11"/>
      <color indexed="8"/>
      <name val="돋움"/>
      <family val="3"/>
      <charset val="129"/>
    </font>
    <font>
      <sz val="11"/>
      <color indexed="9"/>
      <name val="맑은 고딕"/>
      <family val="3"/>
      <charset val="129"/>
    </font>
    <font>
      <sz val="11"/>
      <color indexed="9"/>
      <name val="돋움"/>
      <family val="3"/>
      <charset val="129"/>
    </font>
    <font>
      <sz val="11"/>
      <color indexed="20"/>
      <name val="맑은 고딕"/>
      <family val="3"/>
      <charset val="129"/>
    </font>
    <font>
      <b/>
      <sz val="11"/>
      <color indexed="52"/>
      <name val="맑은 고딕"/>
      <family val="3"/>
      <charset val="129"/>
    </font>
    <font>
      <b/>
      <sz val="11"/>
      <color indexed="9"/>
      <name val="맑은 고딕"/>
      <family val="3"/>
      <charset val="129"/>
    </font>
    <font>
      <i/>
      <sz val="11"/>
      <color indexed="23"/>
      <name val="맑은 고딕"/>
      <family val="3"/>
      <charset val="129"/>
    </font>
    <font>
      <sz val="11"/>
      <color indexed="17"/>
      <name val="맑은 고딕"/>
      <family val="3"/>
      <charset val="129"/>
    </font>
    <font>
      <b/>
      <sz val="15"/>
      <color indexed="56"/>
      <name val="맑은 고딕"/>
      <family val="3"/>
      <charset val="129"/>
    </font>
    <font>
      <b/>
      <sz val="13"/>
      <color indexed="56"/>
      <name val="맑은 고딕"/>
      <family val="3"/>
      <charset val="129"/>
    </font>
    <font>
      <b/>
      <sz val="11"/>
      <color indexed="56"/>
      <name val="맑은 고딕"/>
      <family val="3"/>
      <charset val="129"/>
    </font>
    <font>
      <sz val="11"/>
      <color indexed="62"/>
      <name val="맑은 고딕"/>
      <family val="3"/>
      <charset val="129"/>
    </font>
    <font>
      <sz val="11"/>
      <color indexed="52"/>
      <name val="맑은 고딕"/>
      <family val="3"/>
      <charset val="129"/>
    </font>
    <font>
      <sz val="11"/>
      <color indexed="60"/>
      <name val="맑은 고딕"/>
      <family val="3"/>
      <charset val="129"/>
    </font>
    <font>
      <b/>
      <sz val="11"/>
      <color indexed="63"/>
      <name val="맑은 고딕"/>
      <family val="3"/>
      <charset val="129"/>
    </font>
    <font>
      <b/>
      <sz val="18"/>
      <color indexed="56"/>
      <name val="맑은 고딕"/>
      <family val="3"/>
      <charset val="129"/>
    </font>
    <font>
      <b/>
      <sz val="11"/>
      <color indexed="8"/>
      <name val="맑은 고딕"/>
      <family val="3"/>
      <charset val="129"/>
    </font>
    <font>
      <sz val="11"/>
      <color indexed="10"/>
      <name val="맑은 고딕"/>
      <family val="3"/>
      <charset val="129"/>
    </font>
    <font>
      <sz val="11"/>
      <color indexed="10"/>
      <name val="돋움"/>
      <family val="3"/>
      <charset val="129"/>
    </font>
    <font>
      <sz val="11"/>
      <color indexed="20"/>
      <name val="돋움"/>
      <family val="3"/>
      <charset val="129"/>
    </font>
    <font>
      <sz val="11"/>
      <color theme="1"/>
      <name val="맑은 고딕"/>
      <family val="2"/>
      <charset val="129"/>
    </font>
    <font>
      <sz val="11"/>
      <color theme="1"/>
      <name val="맑은 고딕"/>
      <family val="2"/>
      <scheme val="minor"/>
    </font>
    <font>
      <sz val="11"/>
      <color theme="1"/>
      <name val="Arial"/>
      <family val="2"/>
      <charset val="129"/>
    </font>
    <font>
      <sz val="10"/>
      <name val="宋体"/>
      <family val="3"/>
      <charset val="129"/>
    </font>
    <font>
      <sz val="11"/>
      <color indexed="60"/>
      <name val="돋움"/>
      <family val="3"/>
      <charset val="129"/>
    </font>
    <font>
      <sz val="10"/>
      <name val="宋体"/>
      <family val="3"/>
      <charset val="134"/>
    </font>
    <font>
      <i/>
      <sz val="11"/>
      <color indexed="23"/>
      <name val="돋움"/>
      <family val="3"/>
      <charset val="129"/>
    </font>
    <font>
      <b/>
      <sz val="11"/>
      <color indexed="9"/>
      <name val="돋움"/>
      <family val="3"/>
      <charset val="129"/>
    </font>
    <font>
      <sz val="9"/>
      <color theme="1"/>
      <name val="굴림"/>
      <family val="2"/>
      <charset val="129"/>
    </font>
    <font>
      <sz val="9"/>
      <color theme="1"/>
      <name val="굴림"/>
      <family val="3"/>
      <charset val="129"/>
    </font>
    <font>
      <sz val="11"/>
      <color indexed="52"/>
      <name val="돋움"/>
      <family val="3"/>
      <charset val="129"/>
    </font>
    <font>
      <b/>
      <sz val="15"/>
      <color indexed="56"/>
      <name val="돋움"/>
      <family val="3"/>
      <charset val="129"/>
    </font>
    <font>
      <b/>
      <sz val="13"/>
      <color indexed="56"/>
      <name val="돋움"/>
      <family val="3"/>
      <charset val="129"/>
    </font>
    <font>
      <sz val="11"/>
      <color indexed="17"/>
      <name val="돋움"/>
      <family val="3"/>
      <charset val="129"/>
    </font>
    <font>
      <sz val="10"/>
      <color rgb="FFFF0000"/>
      <name val="맑은 고딕"/>
      <family val="2"/>
      <charset val="129"/>
    </font>
    <font>
      <b/>
      <sz val="10"/>
      <color theme="1"/>
      <name val="맑은 고딕"/>
      <family val="2"/>
      <charset val="129"/>
    </font>
    <font>
      <sz val="7"/>
      <color theme="1"/>
      <name val="맑은 고딕"/>
      <family val="2"/>
      <charset val="129"/>
    </font>
    <font>
      <sz val="5"/>
      <color theme="1"/>
      <name val="맑은 고딕"/>
      <family val="2"/>
      <charset val="129"/>
    </font>
    <font>
      <b/>
      <sz val="5"/>
      <color theme="1"/>
      <name val="맑은 고딕"/>
      <family val="3"/>
      <charset val="129"/>
    </font>
    <font>
      <b/>
      <sz val="16"/>
      <color theme="1"/>
      <name val="맑은 고딕"/>
      <family val="3"/>
      <charset val="129"/>
    </font>
    <font>
      <b/>
      <sz val="8"/>
      <color theme="1"/>
      <name val="맑은 고딕"/>
      <family val="3"/>
      <charset val="129"/>
    </font>
    <font>
      <sz val="9"/>
      <color rgb="FF0000FF"/>
      <name val="맑은 고딕"/>
      <family val="2"/>
      <charset val="129"/>
    </font>
    <font>
      <b/>
      <sz val="9"/>
      <color rgb="FF0000FF"/>
      <name val="맑은 고딕"/>
      <family val="3"/>
      <charset val="129"/>
    </font>
    <font>
      <sz val="8"/>
      <name val="맑은 고딕"/>
      <family val="2"/>
      <charset val="129"/>
      <scheme val="minor"/>
    </font>
    <font>
      <b/>
      <sz val="10"/>
      <color rgb="FFFF0000"/>
      <name val="맑은 고딕"/>
      <family val="2"/>
      <charset val="129"/>
    </font>
    <font>
      <sz val="9.5"/>
      <color theme="1"/>
      <name val="맑은 고딕"/>
      <family val="3"/>
      <charset val="129"/>
    </font>
    <font>
      <sz val="6"/>
      <color theme="1"/>
      <name val="맑은 고딕"/>
      <family val="2"/>
      <charset val="129"/>
    </font>
    <font>
      <b/>
      <sz val="9.5"/>
      <color theme="1"/>
      <name val="맑은 고딕"/>
      <family val="3"/>
      <charset val="129"/>
    </font>
    <font>
      <sz val="6"/>
      <color theme="1"/>
      <name val="맑은 고딕"/>
      <family val="3"/>
      <charset val="129"/>
    </font>
    <font>
      <b/>
      <sz val="8"/>
      <color theme="0"/>
      <name val="맑은 고딕"/>
      <family val="3"/>
      <charset val="129"/>
    </font>
    <font>
      <sz val="8"/>
      <color theme="0"/>
      <name val="맑은 고딕"/>
      <family val="2"/>
      <charset val="129"/>
    </font>
    <font>
      <sz val="8"/>
      <color theme="1"/>
      <name val="맑은 고딕"/>
      <family val="2"/>
      <charset val="129"/>
    </font>
    <font>
      <sz val="7.5"/>
      <color theme="1"/>
      <name val="맑은 고딕"/>
      <family val="2"/>
      <charset val="129"/>
    </font>
    <font>
      <sz val="7.5"/>
      <color theme="1"/>
      <name val="맑은 고딕"/>
      <family val="3"/>
      <charset val="129"/>
    </font>
    <font>
      <b/>
      <sz val="8"/>
      <color rgb="FFFF0000"/>
      <name val="맑은 고딕"/>
      <family val="3"/>
      <charset val="129"/>
    </font>
    <font>
      <b/>
      <sz val="8"/>
      <name val="맑은 고딕"/>
      <family val="3"/>
      <charset val="129"/>
    </font>
    <font>
      <b/>
      <sz val="14"/>
      <color theme="1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0"/>
      <color theme="1"/>
      <name val="맑은 고딕"/>
      <family val="2"/>
      <scheme val="minor"/>
    </font>
    <font>
      <sz val="10"/>
      <color theme="1"/>
      <name val="맑은 고딕"/>
      <family val="3"/>
      <charset val="129"/>
      <scheme val="minor"/>
    </font>
    <font>
      <sz val="8"/>
      <color theme="1"/>
      <name val="맑은 고딕"/>
      <family val="3"/>
      <charset val="129"/>
      <scheme val="minor"/>
    </font>
    <font>
      <sz val="8"/>
      <color theme="1"/>
      <name val="맑은 고딕"/>
      <family val="2"/>
      <scheme val="minor"/>
    </font>
    <font>
      <sz val="9"/>
      <color theme="1"/>
      <name val="맑은 고딕"/>
      <family val="2"/>
      <scheme val="minor"/>
    </font>
    <font>
      <sz val="10"/>
      <color theme="0" tint="-0.34998626667073579"/>
      <name val="맑은 고딕"/>
      <family val="2"/>
      <scheme val="minor"/>
    </font>
    <font>
      <sz val="10"/>
      <color theme="0" tint="-0.34998626667073579"/>
      <name val="맑은 고딕"/>
      <family val="3"/>
      <charset val="129"/>
      <scheme val="minor"/>
    </font>
    <font>
      <b/>
      <sz val="10"/>
      <color rgb="FF0000FF"/>
      <name val="맑은 고딕"/>
      <family val="3"/>
      <charset val="129"/>
    </font>
    <font>
      <sz val="10"/>
      <color rgb="FFFF0000"/>
      <name val="맑은 고딕"/>
      <family val="2"/>
      <scheme val="minor"/>
    </font>
    <font>
      <b/>
      <sz val="10"/>
      <color theme="1"/>
      <name val="맑은 고딕"/>
      <family val="3"/>
      <charset val="129"/>
      <scheme val="minor"/>
    </font>
  </fonts>
  <fills count="41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indexed="47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59999389629810485"/>
        <bgColor indexed="64"/>
      </patternFill>
    </fill>
  </fills>
  <borders count="12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double">
        <color indexed="64"/>
      </top>
      <bottom/>
      <diagonal/>
    </border>
    <border>
      <left/>
      <right/>
      <top style="medium">
        <color theme="0" tint="-0.499984740745262"/>
      </top>
      <bottom/>
      <diagonal/>
    </border>
    <border>
      <left/>
      <right style="medium">
        <color theme="0" tint="-0.499984740745262"/>
      </right>
      <top style="medium">
        <color theme="0" tint="-0.499984740745262"/>
      </top>
      <bottom/>
      <diagonal/>
    </border>
    <border>
      <left style="medium">
        <color theme="0" tint="-0.499984740745262"/>
      </left>
      <right/>
      <top style="medium">
        <color theme="0" tint="-0.499984740745262"/>
      </top>
      <bottom/>
      <diagonal/>
    </border>
    <border>
      <left/>
      <right/>
      <top/>
      <bottom style="medium">
        <color theme="0" tint="-0.499984740745262"/>
      </bottom>
      <diagonal/>
    </border>
    <border>
      <left/>
      <right style="medium">
        <color theme="0" tint="-0.499984740745262"/>
      </right>
      <top/>
      <bottom style="medium">
        <color theme="0" tint="-0.499984740745262"/>
      </bottom>
      <diagonal/>
    </border>
    <border>
      <left style="medium">
        <color theme="0" tint="-0.499984740745262"/>
      </left>
      <right/>
      <top style="thin">
        <color theme="0" tint="-0.499984740745262"/>
      </top>
      <bottom style="medium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medium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medium">
        <color theme="0" tint="-0.499984740745262"/>
      </bottom>
      <diagonal/>
    </border>
    <border>
      <left style="thin">
        <color theme="0" tint="-0.499984740745262"/>
      </left>
      <right style="medium">
        <color theme="0" tint="-0.499984740745262"/>
      </right>
      <top/>
      <bottom style="medium">
        <color theme="0" tint="-0.499984740745262"/>
      </bottom>
      <diagonal/>
    </border>
    <border>
      <left style="medium">
        <color theme="0" tint="-0.499984740745262"/>
      </left>
      <right/>
      <top/>
      <bottom style="medium">
        <color theme="0" tint="-0.499984740745262"/>
      </bottom>
      <diagonal/>
    </border>
    <border>
      <left style="thin">
        <color theme="0" tint="-0.499984740745262"/>
      </left>
      <right/>
      <top style="medium">
        <color theme="0" tint="-0.499984740745262"/>
      </top>
      <bottom/>
      <diagonal/>
    </border>
    <border>
      <left style="thin">
        <color theme="0" tint="-0.499984740745262"/>
      </left>
      <right style="medium">
        <color theme="0" tint="-0.499984740745262"/>
      </right>
      <top style="medium">
        <color theme="0" tint="-0.499984740745262"/>
      </top>
      <bottom/>
      <diagonal/>
    </border>
    <border>
      <left style="medium">
        <color theme="0" tint="-0.499984740745262"/>
      </left>
      <right/>
      <top/>
      <bottom/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medium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medium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medium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medium">
        <color theme="0" tint="-0.499984740745262"/>
      </bottom>
      <diagonal/>
    </border>
    <border>
      <left/>
      <right style="medium">
        <color theme="0" tint="-0.499984740745262"/>
      </right>
      <top style="thin">
        <color theme="0" tint="-0.499984740745262"/>
      </top>
      <bottom style="medium">
        <color theme="0" tint="-0.499984740745262"/>
      </bottom>
      <diagonal/>
    </border>
    <border>
      <left style="thin">
        <color theme="0" tint="-0.499984740745262"/>
      </left>
      <right style="medium">
        <color theme="0" tint="-0.499984740745262"/>
      </right>
      <top style="thin">
        <color theme="0" tint="-0.499984740745262"/>
      </top>
      <bottom style="medium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/>
      <right style="medium">
        <color theme="0" tint="-0.499984740745262"/>
      </right>
      <top style="thin">
        <color theme="0" tint="-0.499984740745262"/>
      </top>
      <bottom/>
      <diagonal/>
    </border>
    <border>
      <left style="medium">
        <color theme="0" tint="-0.499984740745262"/>
      </left>
      <right/>
      <top style="thin">
        <color theme="0" tint="-0.499984740745262"/>
      </top>
      <bottom/>
      <diagonal/>
    </border>
    <border>
      <left style="thin">
        <color theme="0" tint="-0.499984740745262"/>
      </left>
      <right style="medium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/>
      <diagonal/>
    </border>
    <border>
      <left/>
      <right style="medium">
        <color theme="0" tint="-0.499984740745262"/>
      </right>
      <top/>
      <bottom/>
      <diagonal/>
    </border>
    <border>
      <left style="thin">
        <color theme="0" tint="-0.499984740745262"/>
      </left>
      <right style="medium">
        <color theme="0" tint="-0.499984740745262"/>
      </right>
      <top/>
      <bottom/>
      <diagonal/>
    </border>
    <border>
      <left style="thin">
        <color theme="0" tint="-0.499984740745262"/>
      </left>
      <right/>
      <top style="hair">
        <color theme="0" tint="-0.499984740745262"/>
      </top>
      <bottom/>
      <diagonal/>
    </border>
    <border>
      <left/>
      <right/>
      <top style="hair">
        <color theme="0" tint="-0.499984740745262"/>
      </top>
      <bottom/>
      <diagonal/>
    </border>
    <border>
      <left/>
      <right style="medium">
        <color theme="0" tint="-0.499984740745262"/>
      </right>
      <top style="hair">
        <color theme="0" tint="-0.499984740745262"/>
      </top>
      <bottom/>
      <diagonal/>
    </border>
    <border>
      <left style="medium">
        <color theme="0" tint="-0.499984740745262"/>
      </left>
      <right/>
      <top style="hair">
        <color theme="0" tint="-0.499984740745262"/>
      </top>
      <bottom/>
      <diagonal/>
    </border>
    <border>
      <left style="thin">
        <color theme="0" tint="-0.499984740745262"/>
      </left>
      <right style="medium">
        <color theme="0" tint="-0.499984740745262"/>
      </right>
      <top style="hair">
        <color theme="0" tint="-0.499984740745262"/>
      </top>
      <bottom/>
      <diagonal/>
    </border>
    <border>
      <left style="thin">
        <color theme="0" tint="-0.499984740745262"/>
      </left>
      <right/>
      <top/>
      <bottom style="medium">
        <color theme="0" tint="-0.499984740745262"/>
      </bottom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/>
      <top/>
      <bottom style="thin">
        <color theme="0" tint="-0.499984740745262"/>
      </bottom>
      <diagonal/>
    </border>
    <border>
      <left/>
      <right style="medium">
        <color theme="0" tint="-0.499984740745262"/>
      </right>
      <top/>
      <bottom style="thin">
        <color theme="0" tint="-0.499984740745262"/>
      </bottom>
      <diagonal/>
    </border>
    <border>
      <left style="medium">
        <color theme="0" tint="-0.499984740745262"/>
      </left>
      <right/>
      <top/>
      <bottom style="thin">
        <color theme="0" tint="-0.499984740745262"/>
      </bottom>
      <diagonal/>
    </border>
    <border>
      <left style="thin">
        <color theme="0" tint="-0.499984740745262"/>
      </left>
      <right style="medium">
        <color theme="0" tint="-0.499984740745262"/>
      </right>
      <top/>
      <bottom style="thin">
        <color theme="0" tint="-0.499984740745262"/>
      </bottom>
      <diagonal/>
    </border>
    <border>
      <left/>
      <right style="thin">
        <color theme="0" tint="-0.499984740745262"/>
      </right>
      <top style="medium">
        <color theme="0" tint="-0.499984740745262"/>
      </top>
      <bottom/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hair">
        <color theme="0" tint="-0.499984740745262"/>
      </left>
      <right/>
      <top style="hair">
        <color theme="0" tint="-0.499984740745262"/>
      </top>
      <bottom style="medium">
        <color theme="0" tint="-0.499984740745262"/>
      </bottom>
      <diagonal/>
    </border>
    <border>
      <left/>
      <right style="thin">
        <color theme="0" tint="-0.499984740745262"/>
      </right>
      <top/>
      <bottom style="medium">
        <color theme="0" tint="-0.499984740745262"/>
      </bottom>
      <diagonal/>
    </border>
    <border>
      <left style="hair">
        <color theme="0" tint="-0.499984740745262"/>
      </left>
      <right style="medium">
        <color theme="0" tint="-0.499984740745262"/>
      </right>
      <top style="hair">
        <color theme="0" tint="-0.499984740745262"/>
      </top>
      <bottom style="medium">
        <color theme="0" tint="-0.499984740745262"/>
      </bottom>
      <diagonal/>
    </border>
    <border>
      <left style="hair">
        <color theme="0" tint="-0.499984740745262"/>
      </left>
      <right/>
      <top style="medium">
        <color theme="0" tint="-0.499984740745262"/>
      </top>
      <bottom/>
      <diagonal/>
    </border>
    <border>
      <left style="hair">
        <color theme="0" tint="-0.499984740745262"/>
      </left>
      <right style="medium">
        <color theme="0" tint="-0.499984740745262"/>
      </right>
      <top style="medium">
        <color theme="0" tint="-0.499984740745262"/>
      </top>
      <bottom/>
      <diagonal/>
    </border>
    <border>
      <left style="hair">
        <color theme="0" tint="-0.499984740745262"/>
      </left>
      <right/>
      <top/>
      <bottom/>
      <diagonal/>
    </border>
    <border>
      <left/>
      <right style="thin">
        <color theme="0" tint="-0.499984740745262"/>
      </right>
      <top/>
      <bottom/>
      <diagonal/>
    </border>
    <border>
      <left style="hair">
        <color theme="0" tint="-0.499984740745262"/>
      </left>
      <right style="medium">
        <color theme="0" tint="-0.499984740745262"/>
      </right>
      <top/>
      <bottom/>
      <diagonal/>
    </border>
    <border>
      <left style="hair">
        <color theme="0" tint="-0.499984740745262"/>
      </left>
      <right/>
      <top style="thin">
        <color theme="0" tint="-0.499984740745262"/>
      </top>
      <bottom style="medium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medium">
        <color theme="0" tint="-0.499984740745262"/>
      </bottom>
      <diagonal/>
    </border>
    <border>
      <left style="hair">
        <color theme="0" tint="-0.499984740745262"/>
      </left>
      <right style="medium">
        <color theme="0" tint="-0.499984740745262"/>
      </right>
      <top style="thin">
        <color theme="0" tint="-0.499984740745262"/>
      </top>
      <bottom style="medium">
        <color theme="0" tint="-0.499984740745262"/>
      </bottom>
      <diagonal/>
    </border>
    <border>
      <left style="hair">
        <color theme="0" tint="-0.499984740745262"/>
      </left>
      <right/>
      <top style="thin">
        <color theme="0" tint="-0.499984740745262"/>
      </top>
      <bottom/>
      <diagonal/>
    </border>
    <border>
      <left style="hair">
        <color theme="0" tint="-0.499984740745262"/>
      </left>
      <right style="medium">
        <color theme="0" tint="-0.499984740745262"/>
      </right>
      <top style="thin">
        <color theme="0" tint="-0.499984740745262"/>
      </top>
      <bottom/>
      <diagonal/>
    </border>
    <border>
      <left style="hair">
        <color theme="0" tint="-0.499984740745262"/>
      </left>
      <right/>
      <top/>
      <bottom style="medium">
        <color theme="0" tint="-0.499984740745262"/>
      </bottom>
      <diagonal/>
    </border>
    <border>
      <left style="hair">
        <color theme="0" tint="-0.499984740745262"/>
      </left>
      <right style="medium">
        <color theme="0" tint="-0.499984740745262"/>
      </right>
      <top/>
      <bottom style="medium">
        <color theme="0" tint="-0.499984740745262"/>
      </bottom>
      <diagonal/>
    </border>
    <border>
      <left style="medium">
        <color theme="0" tint="-0.499984740745262"/>
      </left>
      <right/>
      <top style="medium">
        <color theme="0" tint="-0.499984740745262"/>
      </top>
      <bottom style="thin">
        <color theme="0" tint="-0.499984740745262"/>
      </bottom>
      <diagonal/>
    </border>
    <border>
      <left/>
      <right/>
      <top style="medium">
        <color theme="0" tint="-0.499984740745262"/>
      </top>
      <bottom style="thin">
        <color theme="0" tint="-0.499984740745262"/>
      </bottom>
      <diagonal/>
    </border>
    <border>
      <left/>
      <right style="medium">
        <color theme="0" tint="-0.499984740745262"/>
      </right>
      <top style="medium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medium">
        <color theme="0" tint="-0.499984740745262"/>
      </top>
      <bottom style="medium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medium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/>
      <bottom style="medium">
        <color theme="0" tint="-0.499984740745262"/>
      </bottom>
      <diagonal/>
    </border>
    <border>
      <left/>
      <right style="hair">
        <color theme="0" tint="-0.499984740745262"/>
      </right>
      <top style="thin">
        <color theme="0" tint="-0.499984740745262"/>
      </top>
      <bottom style="medium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/>
      <right style="hair">
        <color theme="0" tint="-0.499984740745262"/>
      </right>
      <top/>
      <bottom/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hair">
        <color theme="0" tint="-0.499984740745262"/>
      </left>
      <right/>
      <top/>
      <bottom style="thin">
        <color theme="0" tint="-0.499984740745262"/>
      </bottom>
      <diagonal/>
    </border>
    <border>
      <left/>
      <right style="hair">
        <color theme="0" tint="-0.499984740745262"/>
      </right>
      <top/>
      <bottom style="thin">
        <color theme="0" tint="-0.499984740745262"/>
      </bottom>
      <diagonal/>
    </border>
    <border>
      <left/>
      <right style="hair">
        <color theme="0" tint="-0.499984740745262"/>
      </right>
      <top style="thin">
        <color theme="0" tint="-0.499984740745262"/>
      </top>
      <bottom/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medium">
        <color theme="0" tint="-0.499984740745262"/>
      </left>
      <right/>
      <top style="hair">
        <color theme="1"/>
      </top>
      <bottom style="hair">
        <color theme="1"/>
      </bottom>
      <diagonal/>
    </border>
    <border>
      <left/>
      <right/>
      <top style="hair">
        <color theme="1"/>
      </top>
      <bottom style="hair">
        <color theme="1"/>
      </bottom>
      <diagonal/>
    </border>
    <border>
      <left/>
      <right style="hair">
        <color theme="1"/>
      </right>
      <top style="hair">
        <color theme="1"/>
      </top>
      <bottom style="hair">
        <color theme="1"/>
      </bottom>
      <diagonal/>
    </border>
    <border>
      <left style="dotted">
        <color auto="1"/>
      </left>
      <right/>
      <top style="dotted">
        <color auto="1"/>
      </top>
      <bottom style="dotted">
        <color auto="1"/>
      </bottom>
      <diagonal/>
    </border>
    <border>
      <left/>
      <right style="dotted">
        <color auto="1"/>
      </right>
      <top style="dotted">
        <color auto="1"/>
      </top>
      <bottom style="dotted">
        <color auto="1"/>
      </bottom>
      <diagonal/>
    </border>
    <border>
      <left style="thin">
        <color theme="0"/>
      </left>
      <right style="hair">
        <color theme="0" tint="-0.499984740745262"/>
      </right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/>
      <right style="thin">
        <color theme="0"/>
      </right>
      <top/>
      <bottom/>
      <diagonal/>
    </border>
    <border>
      <left style="hair">
        <color theme="1"/>
      </left>
      <right/>
      <top style="hair">
        <color theme="1"/>
      </top>
      <bottom style="hair">
        <color theme="1"/>
      </bottom>
      <diagonal/>
    </border>
    <border>
      <left/>
      <right style="hair">
        <color theme="0" tint="-0.499984740745262"/>
      </right>
      <top/>
      <bottom style="medium">
        <color theme="0" tint="-0.499984740745262"/>
      </bottom>
      <diagonal/>
    </border>
    <border>
      <left style="medium">
        <color theme="0" tint="-0.499984740745262"/>
      </left>
      <right style="thin">
        <color theme="0" tint="-0.499984740745262"/>
      </right>
      <top style="medium">
        <color theme="0" tint="-0.499984740745262"/>
      </top>
      <bottom/>
      <diagonal/>
    </border>
    <border>
      <left style="medium">
        <color theme="0" tint="-0.499984740745262"/>
      </left>
      <right style="thin">
        <color theme="0" tint="-0.499984740745262"/>
      </right>
      <top style="thin">
        <color theme="0" tint="-0.499984740745262"/>
      </top>
      <bottom style="medium">
        <color theme="0" tint="-0.499984740745262"/>
      </bottom>
      <diagonal/>
    </border>
    <border>
      <left style="medium">
        <color theme="0" tint="-0.499984740745262"/>
      </left>
      <right style="thin">
        <color theme="0" tint="-0.499984740745262"/>
      </right>
      <top/>
      <bottom/>
      <diagonal/>
    </border>
    <border>
      <left style="medium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medium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medium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medium">
        <color theme="0" tint="-0.499984740745262"/>
      </right>
      <top style="hair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hair">
        <color theme="0" tint="-0.499984740745262"/>
      </top>
      <bottom style="thin">
        <color theme="0" tint="-0.499984740745262"/>
      </bottom>
      <diagonal/>
    </border>
    <border>
      <left style="medium">
        <color theme="0" tint="-0.499984740745262"/>
      </left>
      <right style="thin">
        <color theme="0" tint="-0.499984740745262"/>
      </right>
      <top style="hair">
        <color theme="0" tint="-0.499984740745262"/>
      </top>
      <bottom style="thin">
        <color theme="0" tint="-0.499984740745262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</borders>
  <cellStyleXfs count="1243">
    <xf numFmtId="0" fontId="0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0" fillId="0" borderId="0"/>
    <xf numFmtId="0" fontId="21" fillId="0" borderId="12">
      <alignment horizontal="center"/>
    </xf>
    <xf numFmtId="176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178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2" fillId="0" borderId="0"/>
    <xf numFmtId="0" fontId="24" fillId="12" borderId="13" applyNumberFormat="0" applyAlignment="0" applyProtection="0">
      <alignment vertical="center"/>
    </xf>
    <xf numFmtId="0" fontId="24" fillId="12" borderId="13" applyNumberFormat="0" applyAlignment="0" applyProtection="0">
      <alignment vertical="center"/>
    </xf>
    <xf numFmtId="2" fontId="25" fillId="0" borderId="0" applyFon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8" fillId="13" borderId="14" applyNumberFormat="0" applyFont="0" applyAlignment="0" applyProtection="0">
      <alignment vertical="center"/>
    </xf>
    <xf numFmtId="0" fontId="28" fillId="13" borderId="14" applyNumberFormat="0" applyFont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/>
    <xf numFmtId="9" fontId="29" fillId="0" borderId="0" applyFont="0" applyFill="0" applyBorder="0" applyAlignment="0" applyProtection="0">
      <alignment vertical="center"/>
    </xf>
    <xf numFmtId="9" fontId="30" fillId="0" borderId="0" applyFont="0" applyFill="0" applyBorder="0" applyAlignment="0" applyProtection="0">
      <alignment vertical="center"/>
    </xf>
    <xf numFmtId="9" fontId="30" fillId="0" borderId="0" applyFont="0" applyFill="0" applyBorder="0" applyAlignment="0" applyProtection="0">
      <alignment vertical="center"/>
    </xf>
    <xf numFmtId="9" fontId="30" fillId="0" borderId="0" applyFont="0" applyFill="0" applyBorder="0" applyAlignment="0" applyProtection="0">
      <alignment vertical="center"/>
    </xf>
    <xf numFmtId="9" fontId="30" fillId="0" borderId="0" applyFont="0" applyFill="0" applyBorder="0" applyAlignment="0" applyProtection="0">
      <alignment vertical="center"/>
    </xf>
    <xf numFmtId="9" fontId="31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/>
    <xf numFmtId="41" fontId="22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/>
    <xf numFmtId="0" fontId="32" fillId="0" borderId="15" applyNumberFormat="0" applyFill="0" applyAlignment="0" applyProtection="0">
      <alignment vertical="center"/>
    </xf>
    <xf numFmtId="0" fontId="32" fillId="0" borderId="15" applyNumberFormat="0" applyFill="0" applyAlignment="0" applyProtection="0">
      <alignment vertical="center"/>
    </xf>
    <xf numFmtId="0" fontId="33" fillId="14" borderId="13" applyNumberFormat="0" applyAlignment="0" applyProtection="0">
      <alignment vertical="center"/>
    </xf>
    <xf numFmtId="0" fontId="33" fillId="14" borderId="13" applyNumberFormat="0" applyAlignment="0" applyProtection="0">
      <alignment vertical="center"/>
    </xf>
    <xf numFmtId="4" fontId="25" fillId="0" borderId="0" applyFont="0" applyFill="0" applyBorder="0" applyAlignment="0" applyProtection="0"/>
    <xf numFmtId="3" fontId="25" fillId="0" borderId="0" applyFont="0" applyFill="0" applyBorder="0" applyAlignment="0" applyProtection="0"/>
    <xf numFmtId="0" fontId="34" fillId="0" borderId="16" applyNumberFormat="0" applyFill="0" applyAlignment="0" applyProtection="0">
      <alignment vertical="center"/>
    </xf>
    <xf numFmtId="0" fontId="20" fillId="0" borderId="0"/>
    <xf numFmtId="0" fontId="35" fillId="12" borderId="17" applyNumberFormat="0" applyAlignment="0" applyProtection="0">
      <alignment vertical="center"/>
    </xf>
    <xf numFmtId="0" fontId="35" fillId="12" borderId="17" applyNumberFormat="0" applyAlignment="0" applyProtection="0">
      <alignment vertical="center"/>
    </xf>
    <xf numFmtId="0" fontId="20" fillId="0" borderId="0" applyFont="0" applyFill="0" applyBorder="0" applyAlignment="0" applyProtection="0"/>
    <xf numFmtId="0" fontId="20" fillId="0" borderId="0" applyFont="0" applyFill="0" applyBorder="0" applyAlignment="0" applyProtection="0"/>
    <xf numFmtId="180" fontId="29" fillId="0" borderId="0" applyFont="0" applyFill="0" applyBorder="0" applyAlignment="0" applyProtection="0">
      <alignment vertical="center"/>
    </xf>
    <xf numFmtId="10" fontId="25" fillId="0" borderId="0" applyFont="0" applyFill="0" applyBorder="0" applyAlignment="0" applyProtection="0"/>
    <xf numFmtId="181" fontId="6" fillId="0" borderId="0">
      <alignment vertical="center"/>
    </xf>
    <xf numFmtId="0" fontId="31" fillId="0" borderId="0">
      <alignment vertical="center"/>
    </xf>
    <xf numFmtId="0" fontId="28" fillId="0" borderId="0"/>
    <xf numFmtId="0" fontId="22" fillId="0" borderId="0"/>
    <xf numFmtId="0" fontId="31" fillId="0" borderId="0">
      <alignment vertical="center"/>
    </xf>
    <xf numFmtId="0" fontId="22" fillId="0" borderId="0"/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5" fillId="0" borderId="18" applyNumberFormat="0" applyFont="0" applyFill="0" applyAlignment="0" applyProtection="0"/>
    <xf numFmtId="182" fontId="25" fillId="0" borderId="0" applyFont="0" applyFill="0" applyBorder="0" applyAlignment="0" applyProtection="0"/>
    <xf numFmtId="183" fontId="25" fillId="0" borderId="0" applyFont="0" applyFill="0" applyBorder="0" applyAlignment="0" applyProtection="0"/>
    <xf numFmtId="0" fontId="2" fillId="0" borderId="0">
      <alignment vertical="center"/>
    </xf>
    <xf numFmtId="0" fontId="29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39" fillId="20" borderId="0" applyNumberFormat="0" applyBorder="0" applyAlignment="0" applyProtection="0">
      <alignment vertical="center"/>
    </xf>
    <xf numFmtId="0" fontId="39" fillId="20" borderId="0" applyNumberFormat="0" applyBorder="0" applyAlignment="0" applyProtection="0">
      <alignment vertical="center"/>
    </xf>
    <xf numFmtId="0" fontId="39" fillId="20" borderId="0" applyNumberFormat="0" applyBorder="0" applyAlignment="0" applyProtection="0">
      <alignment vertical="center"/>
    </xf>
    <xf numFmtId="0" fontId="39" fillId="21" borderId="0" applyNumberFormat="0" applyBorder="0" applyAlignment="0" applyProtection="0">
      <alignment vertical="center"/>
    </xf>
    <xf numFmtId="0" fontId="39" fillId="21" borderId="0" applyNumberFormat="0" applyBorder="0" applyAlignment="0" applyProtection="0">
      <alignment vertical="center"/>
    </xf>
    <xf numFmtId="0" fontId="39" fillId="21" borderId="0" applyNumberFormat="0" applyBorder="0" applyAlignment="0" applyProtection="0">
      <alignment vertical="center"/>
    </xf>
    <xf numFmtId="0" fontId="39" fillId="22" borderId="0" applyNumberFormat="0" applyBorder="0" applyAlignment="0" applyProtection="0">
      <alignment vertical="center"/>
    </xf>
    <xf numFmtId="0" fontId="39" fillId="22" borderId="0" applyNumberFormat="0" applyBorder="0" applyAlignment="0" applyProtection="0">
      <alignment vertical="center"/>
    </xf>
    <xf numFmtId="0" fontId="39" fillId="22" borderId="0" applyNumberFormat="0" applyBorder="0" applyAlignment="0" applyProtection="0">
      <alignment vertical="center"/>
    </xf>
    <xf numFmtId="0" fontId="39" fillId="23" borderId="0" applyNumberFormat="0" applyBorder="0" applyAlignment="0" applyProtection="0">
      <alignment vertical="center"/>
    </xf>
    <xf numFmtId="0" fontId="39" fillId="23" borderId="0" applyNumberFormat="0" applyBorder="0" applyAlignment="0" applyProtection="0">
      <alignment vertical="center"/>
    </xf>
    <xf numFmtId="0" fontId="39" fillId="23" borderId="0" applyNumberFormat="0" applyBorder="0" applyAlignment="0" applyProtection="0">
      <alignment vertical="center"/>
    </xf>
    <xf numFmtId="0" fontId="39" fillId="24" borderId="0" applyNumberFormat="0" applyBorder="0" applyAlignment="0" applyProtection="0">
      <alignment vertical="center"/>
    </xf>
    <xf numFmtId="0" fontId="39" fillId="24" borderId="0" applyNumberFormat="0" applyBorder="0" applyAlignment="0" applyProtection="0">
      <alignment vertical="center"/>
    </xf>
    <xf numFmtId="0" fontId="39" fillId="24" borderId="0" applyNumberFormat="0" applyBorder="0" applyAlignment="0" applyProtection="0">
      <alignment vertical="center"/>
    </xf>
    <xf numFmtId="0" fontId="39" fillId="14" borderId="0" applyNumberFormat="0" applyBorder="0" applyAlignment="0" applyProtection="0">
      <alignment vertical="center"/>
    </xf>
    <xf numFmtId="0" fontId="39" fillId="14" borderId="0" applyNumberFormat="0" applyBorder="0" applyAlignment="0" applyProtection="0">
      <alignment vertical="center"/>
    </xf>
    <xf numFmtId="0" fontId="39" fillId="1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39" fillId="25" borderId="0" applyNumberFormat="0" applyBorder="0" applyAlignment="0" applyProtection="0">
      <alignment vertical="center"/>
    </xf>
    <xf numFmtId="0" fontId="39" fillId="25" borderId="0" applyNumberFormat="0" applyBorder="0" applyAlignment="0" applyProtection="0">
      <alignment vertical="center"/>
    </xf>
    <xf numFmtId="0" fontId="39" fillId="25" borderId="0" applyNumberFormat="0" applyBorder="0" applyAlignment="0" applyProtection="0">
      <alignment vertical="center"/>
    </xf>
    <xf numFmtId="0" fontId="39" fillId="26" borderId="0" applyNumberFormat="0" applyBorder="0" applyAlignment="0" applyProtection="0">
      <alignment vertical="center"/>
    </xf>
    <xf numFmtId="0" fontId="39" fillId="26" borderId="0" applyNumberFormat="0" applyBorder="0" applyAlignment="0" applyProtection="0">
      <alignment vertical="center"/>
    </xf>
    <xf numFmtId="0" fontId="39" fillId="26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3" borderId="0" applyNumberFormat="0" applyBorder="0" applyAlignment="0" applyProtection="0">
      <alignment vertical="center"/>
    </xf>
    <xf numFmtId="0" fontId="39" fillId="23" borderId="0" applyNumberFormat="0" applyBorder="0" applyAlignment="0" applyProtection="0">
      <alignment vertical="center"/>
    </xf>
    <xf numFmtId="0" fontId="39" fillId="23" borderId="0" applyNumberFormat="0" applyBorder="0" applyAlignment="0" applyProtection="0">
      <alignment vertical="center"/>
    </xf>
    <xf numFmtId="0" fontId="39" fillId="25" borderId="0" applyNumberFormat="0" applyBorder="0" applyAlignment="0" applyProtection="0">
      <alignment vertical="center"/>
    </xf>
    <xf numFmtId="0" fontId="39" fillId="25" borderId="0" applyNumberFormat="0" applyBorder="0" applyAlignment="0" applyProtection="0">
      <alignment vertical="center"/>
    </xf>
    <xf numFmtId="0" fontId="39" fillId="25" borderId="0" applyNumberFormat="0" applyBorder="0" applyAlignment="0" applyProtection="0">
      <alignment vertical="center"/>
    </xf>
    <xf numFmtId="0" fontId="39" fillId="28" borderId="0" applyNumberFormat="0" applyBorder="0" applyAlignment="0" applyProtection="0">
      <alignment vertical="center"/>
    </xf>
    <xf numFmtId="0" fontId="39" fillId="28" borderId="0" applyNumberFormat="0" applyBorder="0" applyAlignment="0" applyProtection="0">
      <alignment vertical="center"/>
    </xf>
    <xf numFmtId="0" fontId="39" fillId="28" borderId="0" applyNumberFormat="0" applyBorder="0" applyAlignment="0" applyProtection="0">
      <alignment vertical="center"/>
    </xf>
    <xf numFmtId="0" fontId="40" fillId="29" borderId="0" applyNumberFormat="0" applyBorder="0" applyAlignment="0" applyProtection="0">
      <alignment vertical="center"/>
    </xf>
    <xf numFmtId="0" fontId="40" fillId="26" borderId="0" applyNumberFormat="0" applyBorder="0" applyAlignment="0" applyProtection="0">
      <alignment vertical="center"/>
    </xf>
    <xf numFmtId="0" fontId="40" fillId="27" borderId="0" applyNumberFormat="0" applyBorder="0" applyAlignment="0" applyProtection="0">
      <alignment vertical="center"/>
    </xf>
    <xf numFmtId="0" fontId="40" fillId="30" borderId="0" applyNumberFormat="0" applyBorder="0" applyAlignment="0" applyProtection="0">
      <alignment vertical="center"/>
    </xf>
    <xf numFmtId="0" fontId="40" fillId="31" borderId="0" applyNumberFormat="0" applyBorder="0" applyAlignment="0" applyProtection="0">
      <alignment vertical="center"/>
    </xf>
    <xf numFmtId="0" fontId="40" fillId="32" borderId="0" applyNumberFormat="0" applyBorder="0" applyAlignment="0" applyProtection="0">
      <alignment vertical="center"/>
    </xf>
    <xf numFmtId="0" fontId="41" fillId="29" borderId="0" applyNumberFormat="0" applyBorder="0" applyAlignment="0" applyProtection="0">
      <alignment vertical="center"/>
    </xf>
    <xf numFmtId="0" fontId="41" fillId="29" borderId="0" applyNumberFormat="0" applyBorder="0" applyAlignment="0" applyProtection="0">
      <alignment vertical="center"/>
    </xf>
    <xf numFmtId="0" fontId="41" fillId="29" borderId="0" applyNumberFormat="0" applyBorder="0" applyAlignment="0" applyProtection="0">
      <alignment vertical="center"/>
    </xf>
    <xf numFmtId="0" fontId="41" fillId="26" borderId="0" applyNumberFormat="0" applyBorder="0" applyAlignment="0" applyProtection="0">
      <alignment vertical="center"/>
    </xf>
    <xf numFmtId="0" fontId="41" fillId="26" borderId="0" applyNumberFormat="0" applyBorder="0" applyAlignment="0" applyProtection="0">
      <alignment vertical="center"/>
    </xf>
    <xf numFmtId="0" fontId="41" fillId="26" borderId="0" applyNumberFormat="0" applyBorder="0" applyAlignment="0" applyProtection="0">
      <alignment vertical="center"/>
    </xf>
    <xf numFmtId="0" fontId="41" fillId="27" borderId="0" applyNumberFormat="0" applyBorder="0" applyAlignment="0" applyProtection="0">
      <alignment vertical="center"/>
    </xf>
    <xf numFmtId="0" fontId="41" fillId="27" borderId="0" applyNumberFormat="0" applyBorder="0" applyAlignment="0" applyProtection="0">
      <alignment vertical="center"/>
    </xf>
    <xf numFmtId="0" fontId="41" fillId="27" borderId="0" applyNumberFormat="0" applyBorder="0" applyAlignment="0" applyProtection="0">
      <alignment vertical="center"/>
    </xf>
    <xf numFmtId="0" fontId="41" fillId="30" borderId="0" applyNumberFormat="0" applyBorder="0" applyAlignment="0" applyProtection="0">
      <alignment vertical="center"/>
    </xf>
    <xf numFmtId="0" fontId="41" fillId="30" borderId="0" applyNumberFormat="0" applyBorder="0" applyAlignment="0" applyProtection="0">
      <alignment vertical="center"/>
    </xf>
    <xf numFmtId="0" fontId="41" fillId="30" borderId="0" applyNumberFormat="0" applyBorder="0" applyAlignment="0" applyProtection="0">
      <alignment vertical="center"/>
    </xf>
    <xf numFmtId="0" fontId="41" fillId="31" borderId="0" applyNumberFormat="0" applyBorder="0" applyAlignment="0" applyProtection="0">
      <alignment vertical="center"/>
    </xf>
    <xf numFmtId="0" fontId="41" fillId="31" borderId="0" applyNumberFormat="0" applyBorder="0" applyAlignment="0" applyProtection="0">
      <alignment vertical="center"/>
    </xf>
    <xf numFmtId="0" fontId="41" fillId="31" borderId="0" applyNumberFormat="0" applyBorder="0" applyAlignment="0" applyProtection="0">
      <alignment vertical="center"/>
    </xf>
    <xf numFmtId="0" fontId="41" fillId="32" borderId="0" applyNumberFormat="0" applyBorder="0" applyAlignment="0" applyProtection="0">
      <alignment vertical="center"/>
    </xf>
    <xf numFmtId="0" fontId="41" fillId="32" borderId="0" applyNumberFormat="0" applyBorder="0" applyAlignment="0" applyProtection="0">
      <alignment vertical="center"/>
    </xf>
    <xf numFmtId="0" fontId="41" fillId="32" borderId="0" applyNumberFormat="0" applyBorder="0" applyAlignment="0" applyProtection="0">
      <alignment vertical="center"/>
    </xf>
    <xf numFmtId="0" fontId="40" fillId="33" borderId="0" applyNumberFormat="0" applyBorder="0" applyAlignment="0" applyProtection="0">
      <alignment vertical="center"/>
    </xf>
    <xf numFmtId="0" fontId="40" fillId="34" borderId="0" applyNumberFormat="0" applyBorder="0" applyAlignment="0" applyProtection="0">
      <alignment vertical="center"/>
    </xf>
    <xf numFmtId="0" fontId="40" fillId="35" borderId="0" applyNumberFormat="0" applyBorder="0" applyAlignment="0" applyProtection="0">
      <alignment vertical="center"/>
    </xf>
    <xf numFmtId="0" fontId="40" fillId="30" borderId="0" applyNumberFormat="0" applyBorder="0" applyAlignment="0" applyProtection="0">
      <alignment vertical="center"/>
    </xf>
    <xf numFmtId="0" fontId="40" fillId="31" borderId="0" applyNumberFormat="0" applyBorder="0" applyAlignment="0" applyProtection="0">
      <alignment vertical="center"/>
    </xf>
    <xf numFmtId="0" fontId="40" fillId="36" borderId="0" applyNumberFormat="0" applyBorder="0" applyAlignment="0" applyProtection="0">
      <alignment vertical="center"/>
    </xf>
    <xf numFmtId="0" fontId="42" fillId="21" borderId="0" applyNumberFormat="0" applyBorder="0" applyAlignment="0" applyProtection="0">
      <alignment vertical="center"/>
    </xf>
    <xf numFmtId="0" fontId="43" fillId="12" borderId="13" applyNumberFormat="0" applyAlignment="0" applyProtection="0">
      <alignment vertical="center"/>
    </xf>
    <xf numFmtId="0" fontId="43" fillId="12" borderId="13" applyNumberFormat="0" applyAlignment="0" applyProtection="0">
      <alignment vertical="center"/>
    </xf>
    <xf numFmtId="0" fontId="43" fillId="12" borderId="13" applyNumberFormat="0" applyAlignment="0" applyProtection="0">
      <alignment vertical="center"/>
    </xf>
    <xf numFmtId="0" fontId="43" fillId="12" borderId="13" applyNumberFormat="0" applyAlignment="0" applyProtection="0">
      <alignment vertical="center"/>
    </xf>
    <xf numFmtId="0" fontId="43" fillId="12" borderId="13" applyNumberFormat="0" applyAlignment="0" applyProtection="0">
      <alignment vertical="center"/>
    </xf>
    <xf numFmtId="0" fontId="43" fillId="12" borderId="13" applyNumberFormat="0" applyAlignment="0" applyProtection="0">
      <alignment vertical="center"/>
    </xf>
    <xf numFmtId="0" fontId="43" fillId="12" borderId="13" applyNumberFormat="0" applyAlignment="0" applyProtection="0">
      <alignment vertical="center"/>
    </xf>
    <xf numFmtId="0" fontId="43" fillId="12" borderId="13" applyNumberFormat="0" applyAlignment="0" applyProtection="0">
      <alignment vertical="center"/>
    </xf>
    <xf numFmtId="0" fontId="44" fillId="37" borderId="60" applyNumberFormat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6" fillId="22" borderId="0" applyNumberFormat="0" applyBorder="0" applyAlignment="0" applyProtection="0">
      <alignment vertical="center"/>
    </xf>
    <xf numFmtId="0" fontId="47" fillId="0" borderId="61" applyNumberFormat="0" applyFill="0" applyAlignment="0" applyProtection="0">
      <alignment vertical="center"/>
    </xf>
    <xf numFmtId="0" fontId="48" fillId="0" borderId="62" applyNumberFormat="0" applyFill="0" applyAlignment="0" applyProtection="0">
      <alignment vertical="center"/>
    </xf>
    <xf numFmtId="0" fontId="49" fillId="0" borderId="16" applyNumberFormat="0" applyFill="0" applyAlignment="0" applyProtection="0">
      <alignment vertical="center"/>
    </xf>
    <xf numFmtId="0" fontId="49" fillId="0" borderId="16" applyNumberFormat="0" applyFill="0" applyAlignment="0" applyProtection="0">
      <alignment vertical="center"/>
    </xf>
    <xf numFmtId="0" fontId="49" fillId="0" borderId="16" applyNumberFormat="0" applyFill="0" applyAlignment="0" applyProtection="0">
      <alignment vertical="center"/>
    </xf>
    <xf numFmtId="0" fontId="49" fillId="0" borderId="16" applyNumberFormat="0" applyFill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50" fillId="14" borderId="13" applyNumberFormat="0" applyAlignment="0" applyProtection="0">
      <alignment vertical="center"/>
    </xf>
    <xf numFmtId="0" fontId="50" fillId="14" borderId="13" applyNumberFormat="0" applyAlignment="0" applyProtection="0">
      <alignment vertical="center"/>
    </xf>
    <xf numFmtId="0" fontId="50" fillId="14" borderId="13" applyNumberFormat="0" applyAlignment="0" applyProtection="0">
      <alignment vertical="center"/>
    </xf>
    <xf numFmtId="0" fontId="50" fillId="14" borderId="13" applyNumberFormat="0" applyAlignment="0" applyProtection="0">
      <alignment vertical="center"/>
    </xf>
    <xf numFmtId="0" fontId="50" fillId="14" borderId="13" applyNumberFormat="0" applyAlignment="0" applyProtection="0">
      <alignment vertical="center"/>
    </xf>
    <xf numFmtId="0" fontId="50" fillId="14" borderId="13" applyNumberFormat="0" applyAlignment="0" applyProtection="0">
      <alignment vertical="center"/>
    </xf>
    <xf numFmtId="0" fontId="50" fillId="14" borderId="13" applyNumberFormat="0" applyAlignment="0" applyProtection="0">
      <alignment vertical="center"/>
    </xf>
    <xf numFmtId="0" fontId="50" fillId="14" borderId="13" applyNumberFormat="0" applyAlignment="0" applyProtection="0">
      <alignment vertical="center"/>
    </xf>
    <xf numFmtId="0" fontId="51" fillId="0" borderId="63" applyNumberFormat="0" applyFill="0" applyAlignment="0" applyProtection="0">
      <alignment vertical="center"/>
    </xf>
    <xf numFmtId="0" fontId="52" fillId="38" borderId="0" applyNumberFormat="0" applyBorder="0" applyAlignment="0" applyProtection="0">
      <alignment vertical="center"/>
    </xf>
    <xf numFmtId="0" fontId="28" fillId="13" borderId="14" applyNumberFormat="0" applyFont="0" applyAlignment="0" applyProtection="0">
      <alignment vertical="center"/>
    </xf>
    <xf numFmtId="0" fontId="28" fillId="13" borderId="14" applyNumberFormat="0" applyFont="0" applyAlignment="0" applyProtection="0">
      <alignment vertical="center"/>
    </xf>
    <xf numFmtId="0" fontId="28" fillId="13" borderId="14" applyNumberFormat="0" applyFont="0" applyAlignment="0" applyProtection="0">
      <alignment vertical="center"/>
    </xf>
    <xf numFmtId="0" fontId="28" fillId="13" borderId="14" applyNumberFormat="0" applyFont="0" applyAlignment="0" applyProtection="0">
      <alignment vertical="center"/>
    </xf>
    <xf numFmtId="0" fontId="28" fillId="13" borderId="14" applyNumberFormat="0" applyFont="0" applyAlignment="0" applyProtection="0">
      <alignment vertical="center"/>
    </xf>
    <xf numFmtId="0" fontId="28" fillId="13" borderId="14" applyNumberFormat="0" applyFont="0" applyAlignment="0" applyProtection="0">
      <alignment vertical="center"/>
    </xf>
    <xf numFmtId="0" fontId="28" fillId="13" borderId="14" applyNumberFormat="0" applyFont="0" applyAlignment="0" applyProtection="0">
      <alignment vertical="center"/>
    </xf>
    <xf numFmtId="0" fontId="28" fillId="13" borderId="14" applyNumberFormat="0" applyFont="0" applyAlignment="0" applyProtection="0">
      <alignment vertical="center"/>
    </xf>
    <xf numFmtId="0" fontId="53" fillId="12" borderId="17" applyNumberFormat="0" applyAlignment="0" applyProtection="0">
      <alignment vertical="center"/>
    </xf>
    <xf numFmtId="0" fontId="53" fillId="12" borderId="17" applyNumberFormat="0" applyAlignment="0" applyProtection="0">
      <alignment vertical="center"/>
    </xf>
    <xf numFmtId="0" fontId="53" fillId="12" borderId="17" applyNumberFormat="0" applyAlignment="0" applyProtection="0">
      <alignment vertical="center"/>
    </xf>
    <xf numFmtId="0" fontId="53" fillId="12" borderId="17" applyNumberFormat="0" applyAlignment="0" applyProtection="0">
      <alignment vertical="center"/>
    </xf>
    <xf numFmtId="0" fontId="53" fillId="12" borderId="17" applyNumberFormat="0" applyAlignment="0" applyProtection="0">
      <alignment vertical="center"/>
    </xf>
    <xf numFmtId="0" fontId="53" fillId="12" borderId="17" applyNumberFormat="0" applyAlignment="0" applyProtection="0">
      <alignment vertical="center"/>
    </xf>
    <xf numFmtId="0" fontId="53" fillId="12" borderId="17" applyNumberFormat="0" applyAlignment="0" applyProtection="0">
      <alignment vertical="center"/>
    </xf>
    <xf numFmtId="0" fontId="53" fillId="12" borderId="17" applyNumberFormat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5" fillId="0" borderId="15" applyNumberFormat="0" applyFill="0" applyAlignment="0" applyProtection="0">
      <alignment vertical="center"/>
    </xf>
    <xf numFmtId="0" fontId="55" fillId="0" borderId="15" applyNumberFormat="0" applyFill="0" applyAlignment="0" applyProtection="0">
      <alignment vertical="center"/>
    </xf>
    <xf numFmtId="0" fontId="55" fillId="0" borderId="15" applyNumberFormat="0" applyFill="0" applyAlignment="0" applyProtection="0">
      <alignment vertical="center"/>
    </xf>
    <xf numFmtId="0" fontId="55" fillId="0" borderId="15" applyNumberFormat="0" applyFill="0" applyAlignment="0" applyProtection="0">
      <alignment vertical="center"/>
    </xf>
    <xf numFmtId="0" fontId="55" fillId="0" borderId="15" applyNumberFormat="0" applyFill="0" applyAlignment="0" applyProtection="0">
      <alignment vertical="center"/>
    </xf>
    <xf numFmtId="0" fontId="55" fillId="0" borderId="15" applyNumberFormat="0" applyFill="0" applyAlignment="0" applyProtection="0">
      <alignment vertical="center"/>
    </xf>
    <xf numFmtId="0" fontId="55" fillId="0" borderId="15" applyNumberFormat="0" applyFill="0" applyAlignment="0" applyProtection="0">
      <alignment vertical="center"/>
    </xf>
    <xf numFmtId="0" fontId="55" fillId="0" borderId="15" applyNumberFormat="0" applyFill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41" fillId="33" borderId="0" applyNumberFormat="0" applyBorder="0" applyAlignment="0" applyProtection="0">
      <alignment vertical="center"/>
    </xf>
    <xf numFmtId="0" fontId="41" fillId="33" borderId="0" applyNumberFormat="0" applyBorder="0" applyAlignment="0" applyProtection="0">
      <alignment vertical="center"/>
    </xf>
    <xf numFmtId="0" fontId="41" fillId="33" borderId="0" applyNumberFormat="0" applyBorder="0" applyAlignment="0" applyProtection="0">
      <alignment vertical="center"/>
    </xf>
    <xf numFmtId="0" fontId="41" fillId="34" borderId="0" applyNumberFormat="0" applyBorder="0" applyAlignment="0" applyProtection="0">
      <alignment vertical="center"/>
    </xf>
    <xf numFmtId="0" fontId="41" fillId="34" borderId="0" applyNumberFormat="0" applyBorder="0" applyAlignment="0" applyProtection="0">
      <alignment vertical="center"/>
    </xf>
    <xf numFmtId="0" fontId="41" fillId="34" borderId="0" applyNumberFormat="0" applyBorder="0" applyAlignment="0" applyProtection="0">
      <alignment vertical="center"/>
    </xf>
    <xf numFmtId="0" fontId="41" fillId="35" borderId="0" applyNumberFormat="0" applyBorder="0" applyAlignment="0" applyProtection="0">
      <alignment vertical="center"/>
    </xf>
    <xf numFmtId="0" fontId="41" fillId="35" borderId="0" applyNumberFormat="0" applyBorder="0" applyAlignment="0" applyProtection="0">
      <alignment vertical="center"/>
    </xf>
    <xf numFmtId="0" fontId="41" fillId="35" borderId="0" applyNumberFormat="0" applyBorder="0" applyAlignment="0" applyProtection="0">
      <alignment vertical="center"/>
    </xf>
    <xf numFmtId="0" fontId="41" fillId="30" borderId="0" applyNumberFormat="0" applyBorder="0" applyAlignment="0" applyProtection="0">
      <alignment vertical="center"/>
    </xf>
    <xf numFmtId="0" fontId="41" fillId="30" borderId="0" applyNumberFormat="0" applyBorder="0" applyAlignment="0" applyProtection="0">
      <alignment vertical="center"/>
    </xf>
    <xf numFmtId="0" fontId="41" fillId="30" borderId="0" applyNumberFormat="0" applyBorder="0" applyAlignment="0" applyProtection="0">
      <alignment vertical="center"/>
    </xf>
    <xf numFmtId="0" fontId="41" fillId="31" borderId="0" applyNumberFormat="0" applyBorder="0" applyAlignment="0" applyProtection="0">
      <alignment vertical="center"/>
    </xf>
    <xf numFmtId="0" fontId="41" fillId="31" borderId="0" applyNumberFormat="0" applyBorder="0" applyAlignment="0" applyProtection="0">
      <alignment vertical="center"/>
    </xf>
    <xf numFmtId="0" fontId="41" fillId="31" borderId="0" applyNumberFormat="0" applyBorder="0" applyAlignment="0" applyProtection="0">
      <alignment vertical="center"/>
    </xf>
    <xf numFmtId="0" fontId="41" fillId="36" borderId="0" applyNumberFormat="0" applyBorder="0" applyAlignment="0" applyProtection="0">
      <alignment vertical="center"/>
    </xf>
    <xf numFmtId="0" fontId="41" fillId="36" borderId="0" applyNumberFormat="0" applyBorder="0" applyAlignment="0" applyProtection="0">
      <alignment vertical="center"/>
    </xf>
    <xf numFmtId="0" fontId="41" fillId="36" borderId="0" applyNumberFormat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24" fillId="12" borderId="13" applyNumberFormat="0" applyAlignment="0" applyProtection="0">
      <alignment vertical="center"/>
    </xf>
    <xf numFmtId="0" fontId="24" fillId="12" borderId="13" applyNumberFormat="0" applyAlignment="0" applyProtection="0">
      <alignment vertical="center"/>
    </xf>
    <xf numFmtId="0" fontId="24" fillId="12" borderId="13" applyNumberFormat="0" applyAlignment="0" applyProtection="0">
      <alignment vertical="center"/>
    </xf>
    <xf numFmtId="0" fontId="24" fillId="12" borderId="13" applyNumberFormat="0" applyAlignment="0" applyProtection="0">
      <alignment vertical="center"/>
    </xf>
    <xf numFmtId="0" fontId="24" fillId="12" borderId="13" applyNumberFormat="0" applyAlignment="0" applyProtection="0">
      <alignment vertical="center"/>
    </xf>
    <xf numFmtId="0" fontId="24" fillId="12" borderId="13" applyNumberFormat="0" applyAlignment="0" applyProtection="0">
      <alignment vertical="center"/>
    </xf>
    <xf numFmtId="0" fontId="24" fillId="12" borderId="13" applyNumberFormat="0" applyAlignment="0" applyProtection="0">
      <alignment vertical="center"/>
    </xf>
    <xf numFmtId="0" fontId="24" fillId="12" borderId="13" applyNumberFormat="0" applyAlignment="0" applyProtection="0">
      <alignment vertical="center"/>
    </xf>
    <xf numFmtId="0" fontId="24" fillId="12" borderId="13" applyNumberFormat="0" applyAlignment="0" applyProtection="0">
      <alignment vertical="center"/>
    </xf>
    <xf numFmtId="0" fontId="24" fillId="12" borderId="13" applyNumberFormat="0" applyAlignment="0" applyProtection="0">
      <alignment vertical="center"/>
    </xf>
    <xf numFmtId="0" fontId="24" fillId="12" borderId="13" applyNumberFormat="0" applyAlignment="0" applyProtection="0">
      <alignment vertical="center"/>
    </xf>
    <xf numFmtId="0" fontId="24" fillId="12" borderId="13" applyNumberFormat="0" applyAlignment="0" applyProtection="0">
      <alignment vertical="center"/>
    </xf>
    <xf numFmtId="0" fontId="24" fillId="12" borderId="13" applyNumberFormat="0" applyAlignment="0" applyProtection="0">
      <alignment vertical="center"/>
    </xf>
    <xf numFmtId="0" fontId="24" fillId="12" borderId="13" applyNumberFormat="0" applyAlignment="0" applyProtection="0">
      <alignment vertical="center"/>
    </xf>
    <xf numFmtId="0" fontId="24" fillId="12" borderId="13" applyNumberFormat="0" applyAlignment="0" applyProtection="0">
      <alignment vertical="center"/>
    </xf>
    <xf numFmtId="0" fontId="24" fillId="12" borderId="13" applyNumberFormat="0" applyAlignment="0" applyProtection="0">
      <alignment vertical="center"/>
    </xf>
    <xf numFmtId="0" fontId="24" fillId="12" borderId="13" applyNumberFormat="0" applyAlignment="0" applyProtection="0">
      <alignment vertical="center"/>
    </xf>
    <xf numFmtId="0" fontId="24" fillId="12" borderId="13" applyNumberFormat="0" applyAlignment="0" applyProtection="0">
      <alignment vertical="center"/>
    </xf>
    <xf numFmtId="0" fontId="24" fillId="12" borderId="13" applyNumberFormat="0" applyAlignment="0" applyProtection="0">
      <alignment vertical="center"/>
    </xf>
    <xf numFmtId="0" fontId="24" fillId="12" borderId="13" applyNumberFormat="0" applyAlignment="0" applyProtection="0">
      <alignment vertical="center"/>
    </xf>
    <xf numFmtId="0" fontId="24" fillId="12" borderId="13" applyNumberFormat="0" applyAlignment="0" applyProtection="0">
      <alignment vertical="center"/>
    </xf>
    <xf numFmtId="0" fontId="24" fillId="12" borderId="13" applyNumberFormat="0" applyAlignment="0" applyProtection="0">
      <alignment vertical="center"/>
    </xf>
    <xf numFmtId="0" fontId="24" fillId="12" borderId="13" applyNumberFormat="0" applyAlignment="0" applyProtection="0">
      <alignment vertical="center"/>
    </xf>
    <xf numFmtId="0" fontId="24" fillId="12" borderId="13" applyNumberFormat="0" applyAlignment="0" applyProtection="0">
      <alignment vertical="center"/>
    </xf>
    <xf numFmtId="0" fontId="24" fillId="12" borderId="13" applyNumberFormat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28" fillId="13" borderId="14" applyNumberFormat="0" applyFont="0" applyAlignment="0" applyProtection="0">
      <alignment vertical="center"/>
    </xf>
    <xf numFmtId="0" fontId="28" fillId="13" borderId="14" applyNumberFormat="0" applyFont="0" applyAlignment="0" applyProtection="0">
      <alignment vertical="center"/>
    </xf>
    <xf numFmtId="0" fontId="28" fillId="13" borderId="14" applyNumberFormat="0" applyFont="0" applyAlignment="0" applyProtection="0">
      <alignment vertical="center"/>
    </xf>
    <xf numFmtId="0" fontId="28" fillId="13" borderId="14" applyNumberFormat="0" applyFont="0" applyAlignment="0" applyProtection="0">
      <alignment vertical="center"/>
    </xf>
    <xf numFmtId="0" fontId="28" fillId="13" borderId="14" applyNumberFormat="0" applyFont="0" applyAlignment="0" applyProtection="0">
      <alignment vertical="center"/>
    </xf>
    <xf numFmtId="0" fontId="28" fillId="13" borderId="14" applyNumberFormat="0" applyFont="0" applyAlignment="0" applyProtection="0">
      <alignment vertical="center"/>
    </xf>
    <xf numFmtId="0" fontId="28" fillId="13" borderId="14" applyNumberFormat="0" applyFont="0" applyAlignment="0" applyProtection="0">
      <alignment vertical="center"/>
    </xf>
    <xf numFmtId="0" fontId="28" fillId="13" borderId="14" applyNumberFormat="0" applyFont="0" applyAlignment="0" applyProtection="0">
      <alignment vertical="center"/>
    </xf>
    <xf numFmtId="0" fontId="28" fillId="13" borderId="14" applyNumberFormat="0" applyFont="0" applyAlignment="0" applyProtection="0">
      <alignment vertical="center"/>
    </xf>
    <xf numFmtId="0" fontId="28" fillId="13" borderId="14" applyNumberFormat="0" applyFont="0" applyAlignment="0" applyProtection="0">
      <alignment vertical="center"/>
    </xf>
    <xf numFmtId="0" fontId="28" fillId="13" borderId="14" applyNumberFormat="0" applyFont="0" applyAlignment="0" applyProtection="0">
      <alignment vertical="center"/>
    </xf>
    <xf numFmtId="0" fontId="28" fillId="13" borderId="14" applyNumberFormat="0" applyFont="0" applyAlignment="0" applyProtection="0">
      <alignment vertical="center"/>
    </xf>
    <xf numFmtId="0" fontId="28" fillId="13" borderId="14" applyNumberFormat="0" applyFont="0" applyAlignment="0" applyProtection="0">
      <alignment vertical="center"/>
    </xf>
    <xf numFmtId="0" fontId="28" fillId="13" borderId="14" applyNumberFormat="0" applyFont="0" applyAlignment="0" applyProtection="0">
      <alignment vertical="center"/>
    </xf>
    <xf numFmtId="0" fontId="28" fillId="13" borderId="14" applyNumberFormat="0" applyFont="0" applyAlignment="0" applyProtection="0">
      <alignment vertical="center"/>
    </xf>
    <xf numFmtId="0" fontId="28" fillId="13" borderId="14" applyNumberFormat="0" applyFont="0" applyAlignment="0" applyProtection="0">
      <alignment vertical="center"/>
    </xf>
    <xf numFmtId="0" fontId="28" fillId="13" borderId="14" applyNumberFormat="0" applyFont="0" applyAlignment="0" applyProtection="0">
      <alignment vertical="center"/>
    </xf>
    <xf numFmtId="0" fontId="28" fillId="13" borderId="14" applyNumberFormat="0" applyFont="0" applyAlignment="0" applyProtection="0">
      <alignment vertical="center"/>
    </xf>
    <xf numFmtId="0" fontId="28" fillId="13" borderId="14" applyNumberFormat="0" applyFont="0" applyAlignment="0" applyProtection="0">
      <alignment vertical="center"/>
    </xf>
    <xf numFmtId="0" fontId="28" fillId="13" borderId="14" applyNumberFormat="0" applyFont="0" applyAlignment="0" applyProtection="0">
      <alignment vertical="center"/>
    </xf>
    <xf numFmtId="0" fontId="28" fillId="13" borderId="14" applyNumberFormat="0" applyFont="0" applyAlignment="0" applyProtection="0">
      <alignment vertical="center"/>
    </xf>
    <xf numFmtId="0" fontId="28" fillId="13" borderId="14" applyNumberFormat="0" applyFont="0" applyAlignment="0" applyProtection="0">
      <alignment vertical="center"/>
    </xf>
    <xf numFmtId="0" fontId="28" fillId="13" borderId="14" applyNumberFormat="0" applyFont="0" applyAlignment="0" applyProtection="0">
      <alignment vertical="center"/>
    </xf>
    <xf numFmtId="0" fontId="28" fillId="13" borderId="14" applyNumberFormat="0" applyFont="0" applyAlignment="0" applyProtection="0">
      <alignment vertical="center"/>
    </xf>
    <xf numFmtId="0" fontId="28" fillId="13" borderId="14" applyNumberFormat="0" applyFont="0" applyAlignment="0" applyProtection="0">
      <alignment vertical="center"/>
    </xf>
    <xf numFmtId="9" fontId="28" fillId="0" borderId="0" applyFont="0" applyFill="0" applyBorder="0" applyAlignment="0" applyProtection="0"/>
    <xf numFmtId="9" fontId="30" fillId="0" borderId="0" applyFont="0" applyFill="0" applyBorder="0" applyAlignment="0" applyProtection="0">
      <alignment vertical="center"/>
    </xf>
    <xf numFmtId="9" fontId="30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>
      <alignment vertical="center"/>
    </xf>
    <xf numFmtId="9" fontId="59" fillId="0" borderId="0" applyFont="0" applyFill="0" applyBorder="0" applyAlignment="0" applyProtection="0">
      <alignment vertical="center"/>
    </xf>
    <xf numFmtId="9" fontId="60" fillId="0" borderId="0" applyFont="0" applyFill="0" applyBorder="0" applyAlignment="0" applyProtection="0">
      <alignment vertical="center"/>
    </xf>
    <xf numFmtId="9" fontId="31" fillId="0" borderId="0" applyFont="0" applyFill="0" applyBorder="0" applyAlignment="0" applyProtection="0">
      <alignment vertical="center"/>
    </xf>
    <xf numFmtId="9" fontId="30" fillId="0" borderId="0" applyFont="0" applyFill="0" applyBorder="0" applyAlignment="0" applyProtection="0">
      <alignment vertical="center"/>
    </xf>
    <xf numFmtId="9" fontId="30" fillId="0" borderId="0" applyFont="0" applyFill="0" applyBorder="0" applyAlignment="0" applyProtection="0">
      <alignment vertical="center"/>
    </xf>
    <xf numFmtId="9" fontId="30" fillId="0" borderId="0" applyFont="0" applyFill="0" applyBorder="0" applyAlignment="0" applyProtection="0">
      <alignment vertical="center"/>
    </xf>
    <xf numFmtId="9" fontId="30" fillId="0" borderId="0" applyFont="0" applyFill="0" applyBorder="0" applyAlignment="0" applyProtection="0">
      <alignment vertical="center"/>
    </xf>
    <xf numFmtId="9" fontId="30" fillId="0" borderId="0" applyFont="0" applyFill="0" applyBorder="0" applyAlignment="0" applyProtection="0">
      <alignment vertical="center"/>
    </xf>
    <xf numFmtId="9" fontId="30" fillId="0" borderId="0" applyFont="0" applyFill="0" applyBorder="0" applyAlignment="0" applyProtection="0">
      <alignment vertical="center"/>
    </xf>
    <xf numFmtId="9" fontId="30" fillId="0" borderId="0" applyFont="0" applyFill="0" applyBorder="0" applyAlignment="0" applyProtection="0">
      <alignment vertical="center"/>
    </xf>
    <xf numFmtId="9" fontId="30" fillId="0" borderId="0" applyFont="0" applyFill="0" applyBorder="0" applyAlignment="0" applyProtection="0">
      <alignment vertical="center"/>
    </xf>
    <xf numFmtId="9" fontId="30" fillId="0" borderId="0" applyFont="0" applyFill="0" applyBorder="0" applyAlignment="0" applyProtection="0">
      <alignment vertical="center"/>
    </xf>
    <xf numFmtId="9" fontId="30" fillId="0" borderId="0" applyFont="0" applyFill="0" applyBorder="0" applyAlignment="0" applyProtection="0">
      <alignment vertical="center"/>
    </xf>
    <xf numFmtId="9" fontId="61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31" fillId="0" borderId="0" applyFont="0" applyFill="0" applyBorder="0" applyAlignment="0" applyProtection="0">
      <alignment vertical="center"/>
    </xf>
    <xf numFmtId="9" fontId="30" fillId="0" borderId="0" applyFont="0" applyFill="0" applyBorder="0" applyAlignment="0" applyProtection="0">
      <alignment vertical="center"/>
    </xf>
    <xf numFmtId="9" fontId="30" fillId="0" borderId="0" applyFont="0" applyFill="0" applyBorder="0" applyAlignment="0" applyProtection="0">
      <alignment vertical="center"/>
    </xf>
    <xf numFmtId="9" fontId="30" fillId="0" borderId="0" applyFont="0" applyFill="0" applyBorder="0" applyAlignment="0" applyProtection="0">
      <alignment vertical="center"/>
    </xf>
    <xf numFmtId="9" fontId="30" fillId="0" borderId="0" applyFont="0" applyFill="0" applyBorder="0" applyAlignment="0" applyProtection="0">
      <alignment vertical="center"/>
    </xf>
    <xf numFmtId="9" fontId="30" fillId="0" borderId="0" applyFont="0" applyFill="0" applyBorder="0" applyAlignment="0" applyProtection="0">
      <alignment vertical="center"/>
    </xf>
    <xf numFmtId="9" fontId="30" fillId="0" borderId="0" applyFont="0" applyFill="0" applyBorder="0" applyAlignment="0" applyProtection="0">
      <alignment vertical="center"/>
    </xf>
    <xf numFmtId="9" fontId="30" fillId="0" borderId="0" applyFont="0" applyFill="0" applyBorder="0" applyAlignment="0" applyProtection="0">
      <alignment vertical="center"/>
    </xf>
    <xf numFmtId="9" fontId="30" fillId="0" borderId="0" applyFont="0" applyFill="0" applyBorder="0" applyAlignment="0" applyProtection="0">
      <alignment vertical="center"/>
    </xf>
    <xf numFmtId="9" fontId="31" fillId="0" borderId="0" applyFont="0" applyFill="0" applyBorder="0" applyAlignment="0" applyProtection="0">
      <alignment vertical="center"/>
    </xf>
    <xf numFmtId="9" fontId="30" fillId="0" borderId="0" applyFont="0" applyFill="0" applyBorder="0" applyAlignment="0" applyProtection="0">
      <alignment vertical="center"/>
    </xf>
    <xf numFmtId="9" fontId="30" fillId="0" borderId="0" applyFont="0" applyFill="0" applyBorder="0" applyAlignment="0" applyProtection="0">
      <alignment vertical="center"/>
    </xf>
    <xf numFmtId="9" fontId="30" fillId="0" borderId="0" applyFont="0" applyFill="0" applyBorder="0" applyAlignment="0" applyProtection="0">
      <alignment vertical="center"/>
    </xf>
    <xf numFmtId="9" fontId="30" fillId="0" borderId="0" applyFont="0" applyFill="0" applyBorder="0" applyAlignment="0" applyProtection="0">
      <alignment vertical="center"/>
    </xf>
    <xf numFmtId="9" fontId="30" fillId="0" borderId="0" applyFont="0" applyFill="0" applyBorder="0" applyAlignment="0" applyProtection="0">
      <alignment vertical="center"/>
    </xf>
    <xf numFmtId="9" fontId="30" fillId="0" borderId="0" applyFont="0" applyFill="0" applyBorder="0" applyAlignment="0" applyProtection="0">
      <alignment vertical="center"/>
    </xf>
    <xf numFmtId="9" fontId="30" fillId="0" borderId="0" applyFont="0" applyFill="0" applyBorder="0" applyAlignment="0" applyProtection="0">
      <alignment vertical="center"/>
    </xf>
    <xf numFmtId="9" fontId="30" fillId="0" borderId="0" applyFont="0" applyFill="0" applyBorder="0" applyAlignment="0" applyProtection="0">
      <alignment vertical="center"/>
    </xf>
    <xf numFmtId="9" fontId="31" fillId="0" borderId="0" applyFont="0" applyFill="0" applyBorder="0" applyAlignment="0" applyProtection="0">
      <alignment vertical="center"/>
    </xf>
    <xf numFmtId="9" fontId="30" fillId="0" borderId="0" applyFont="0" applyFill="0" applyBorder="0" applyAlignment="0" applyProtection="0">
      <alignment vertical="center"/>
    </xf>
    <xf numFmtId="9" fontId="30" fillId="0" borderId="0" applyFont="0" applyFill="0" applyBorder="0" applyAlignment="0" applyProtection="0">
      <alignment vertical="center"/>
    </xf>
    <xf numFmtId="9" fontId="30" fillId="0" borderId="0" applyFont="0" applyFill="0" applyBorder="0" applyAlignment="0" applyProtection="0">
      <alignment vertical="center"/>
    </xf>
    <xf numFmtId="9" fontId="30" fillId="0" borderId="0" applyFont="0" applyFill="0" applyBorder="0" applyAlignment="0" applyProtection="0">
      <alignment vertical="center"/>
    </xf>
    <xf numFmtId="9" fontId="30" fillId="0" borderId="0" applyFont="0" applyFill="0" applyBorder="0" applyAlignment="0" applyProtection="0">
      <alignment vertical="center"/>
    </xf>
    <xf numFmtId="9" fontId="30" fillId="0" borderId="0" applyFont="0" applyFill="0" applyBorder="0" applyAlignment="0" applyProtection="0">
      <alignment vertical="center"/>
    </xf>
    <xf numFmtId="9" fontId="30" fillId="0" borderId="0" applyFont="0" applyFill="0" applyBorder="0" applyAlignment="0" applyProtection="0">
      <alignment vertical="center"/>
    </xf>
    <xf numFmtId="9" fontId="30" fillId="0" borderId="0" applyFont="0" applyFill="0" applyBorder="0" applyAlignment="0" applyProtection="0">
      <alignment vertical="center"/>
    </xf>
    <xf numFmtId="9" fontId="31" fillId="0" borderId="0" applyFont="0" applyFill="0" applyBorder="0" applyAlignment="0" applyProtection="0">
      <alignment vertical="center"/>
    </xf>
    <xf numFmtId="9" fontId="30" fillId="0" borderId="0" applyFont="0" applyFill="0" applyBorder="0" applyAlignment="0" applyProtection="0">
      <alignment vertical="center"/>
    </xf>
    <xf numFmtId="9" fontId="30" fillId="0" borderId="0" applyFont="0" applyFill="0" applyBorder="0" applyAlignment="0" applyProtection="0">
      <alignment vertical="center"/>
    </xf>
    <xf numFmtId="9" fontId="30" fillId="0" borderId="0" applyFont="0" applyFill="0" applyBorder="0" applyAlignment="0" applyProtection="0">
      <alignment vertical="center"/>
    </xf>
    <xf numFmtId="9" fontId="30" fillId="0" borderId="0" applyFont="0" applyFill="0" applyBorder="0" applyAlignment="0" applyProtection="0">
      <alignment vertical="center"/>
    </xf>
    <xf numFmtId="9" fontId="30" fillId="0" borderId="0" applyFont="0" applyFill="0" applyBorder="0" applyAlignment="0" applyProtection="0">
      <alignment vertical="center"/>
    </xf>
    <xf numFmtId="9" fontId="30" fillId="0" borderId="0" applyFont="0" applyFill="0" applyBorder="0" applyAlignment="0" applyProtection="0">
      <alignment vertical="center"/>
    </xf>
    <xf numFmtId="9" fontId="30" fillId="0" borderId="0" applyFont="0" applyFill="0" applyBorder="0" applyAlignment="0" applyProtection="0">
      <alignment vertical="center"/>
    </xf>
    <xf numFmtId="9" fontId="30" fillId="0" borderId="0" applyFont="0" applyFill="0" applyBorder="0" applyAlignment="0" applyProtection="0">
      <alignment vertical="center"/>
    </xf>
    <xf numFmtId="9" fontId="30" fillId="0" borderId="0" applyFont="0" applyFill="0" applyBorder="0" applyAlignment="0" applyProtection="0">
      <alignment vertical="center"/>
    </xf>
    <xf numFmtId="9" fontId="30" fillId="0" borderId="0" applyFont="0" applyFill="0" applyBorder="0" applyAlignment="0" applyProtection="0">
      <alignment vertical="center"/>
    </xf>
    <xf numFmtId="9" fontId="30" fillId="0" borderId="0" applyFont="0" applyFill="0" applyBorder="0" applyAlignment="0" applyProtection="0">
      <alignment vertical="center"/>
    </xf>
    <xf numFmtId="9" fontId="31" fillId="0" borderId="0" applyFont="0" applyFill="0" applyBorder="0" applyAlignment="0" applyProtection="0">
      <alignment vertical="center"/>
    </xf>
    <xf numFmtId="9" fontId="30" fillId="0" borderId="0" applyFont="0" applyFill="0" applyBorder="0" applyAlignment="0" applyProtection="0">
      <alignment vertical="center"/>
    </xf>
    <xf numFmtId="9" fontId="30" fillId="0" borderId="0" applyFont="0" applyFill="0" applyBorder="0" applyAlignment="0" applyProtection="0">
      <alignment vertical="center"/>
    </xf>
    <xf numFmtId="9" fontId="30" fillId="0" borderId="0" applyFont="0" applyFill="0" applyBorder="0" applyAlignment="0" applyProtection="0">
      <alignment vertical="center"/>
    </xf>
    <xf numFmtId="9" fontId="30" fillId="0" borderId="0" applyFont="0" applyFill="0" applyBorder="0" applyAlignment="0" applyProtection="0">
      <alignment vertical="center"/>
    </xf>
    <xf numFmtId="9" fontId="30" fillId="0" borderId="0" applyFont="0" applyFill="0" applyBorder="0" applyAlignment="0" applyProtection="0">
      <alignment vertical="center"/>
    </xf>
    <xf numFmtId="9" fontId="30" fillId="0" borderId="0" applyFont="0" applyFill="0" applyBorder="0" applyAlignment="0" applyProtection="0">
      <alignment vertical="center"/>
    </xf>
    <xf numFmtId="9" fontId="30" fillId="0" borderId="0" applyFont="0" applyFill="0" applyBorder="0" applyAlignment="0" applyProtection="0">
      <alignment vertical="center"/>
    </xf>
    <xf numFmtId="9" fontId="30" fillId="0" borderId="0" applyFont="0" applyFill="0" applyBorder="0" applyAlignment="0" applyProtection="0">
      <alignment vertical="center"/>
    </xf>
    <xf numFmtId="9" fontId="30" fillId="0" borderId="0" applyFont="0" applyFill="0" applyBorder="0" applyAlignment="0" applyProtection="0">
      <alignment vertical="center"/>
    </xf>
    <xf numFmtId="9" fontId="30" fillId="0" borderId="0" applyFont="0" applyFill="0" applyBorder="0" applyAlignment="0" applyProtection="0">
      <alignment vertical="center"/>
    </xf>
    <xf numFmtId="9" fontId="31" fillId="0" borderId="0" applyFont="0" applyFill="0" applyBorder="0" applyAlignment="0" applyProtection="0">
      <alignment vertical="center"/>
    </xf>
    <xf numFmtId="9" fontId="30" fillId="0" borderId="0" applyFont="0" applyFill="0" applyBorder="0" applyAlignment="0" applyProtection="0">
      <alignment vertical="center"/>
    </xf>
    <xf numFmtId="9" fontId="30" fillId="0" borderId="0" applyFont="0" applyFill="0" applyBorder="0" applyAlignment="0" applyProtection="0">
      <alignment vertical="center"/>
    </xf>
    <xf numFmtId="9" fontId="30" fillId="0" borderId="0" applyFont="0" applyFill="0" applyBorder="0" applyAlignment="0" applyProtection="0">
      <alignment vertical="center"/>
    </xf>
    <xf numFmtId="9" fontId="30" fillId="0" borderId="0" applyFont="0" applyFill="0" applyBorder="0" applyAlignment="0" applyProtection="0">
      <alignment vertical="center"/>
    </xf>
    <xf numFmtId="9" fontId="30" fillId="0" borderId="0" applyFont="0" applyFill="0" applyBorder="0" applyAlignment="0" applyProtection="0">
      <alignment vertical="center"/>
    </xf>
    <xf numFmtId="9" fontId="30" fillId="0" borderId="0" applyFont="0" applyFill="0" applyBorder="0" applyAlignment="0" applyProtection="0">
      <alignment vertical="center"/>
    </xf>
    <xf numFmtId="9" fontId="30" fillId="0" borderId="0" applyFont="0" applyFill="0" applyBorder="0" applyAlignment="0" applyProtection="0">
      <alignment vertical="center"/>
    </xf>
    <xf numFmtId="9" fontId="30" fillId="0" borderId="0" applyFont="0" applyFill="0" applyBorder="0" applyAlignment="0" applyProtection="0">
      <alignment vertical="center"/>
    </xf>
    <xf numFmtId="9" fontId="30" fillId="0" borderId="0" applyFont="0" applyFill="0" applyBorder="0" applyAlignment="0" applyProtection="0">
      <alignment vertical="center"/>
    </xf>
    <xf numFmtId="9" fontId="30" fillId="0" borderId="0" applyFont="0" applyFill="0" applyBorder="0" applyAlignment="0" applyProtection="0">
      <alignment vertical="center"/>
    </xf>
    <xf numFmtId="9" fontId="30" fillId="0" borderId="0" applyFont="0" applyFill="0" applyBorder="0" applyAlignment="0" applyProtection="0">
      <alignment vertical="center"/>
    </xf>
    <xf numFmtId="9" fontId="30" fillId="0" borderId="0" applyFont="0" applyFill="0" applyBorder="0" applyAlignment="0" applyProtection="0">
      <alignment vertical="center"/>
    </xf>
    <xf numFmtId="9" fontId="30" fillId="0" borderId="0" applyFont="0" applyFill="0" applyBorder="0" applyAlignment="0" applyProtection="0">
      <alignment vertical="center"/>
    </xf>
    <xf numFmtId="9" fontId="30" fillId="0" borderId="0" applyFont="0" applyFill="0" applyBorder="0" applyAlignment="0" applyProtection="0">
      <alignment vertical="center"/>
    </xf>
    <xf numFmtId="9" fontId="30" fillId="0" borderId="0" applyFont="0" applyFill="0" applyBorder="0" applyAlignment="0" applyProtection="0">
      <alignment vertical="center"/>
    </xf>
    <xf numFmtId="9" fontId="30" fillId="0" borderId="0" applyFont="0" applyFill="0" applyBorder="0" applyAlignment="0" applyProtection="0">
      <alignment vertical="center"/>
    </xf>
    <xf numFmtId="9" fontId="30" fillId="0" borderId="0" applyFont="0" applyFill="0" applyBorder="0" applyAlignment="0" applyProtection="0">
      <alignment vertical="center"/>
    </xf>
    <xf numFmtId="9" fontId="30" fillId="0" borderId="0" applyFont="0" applyFill="0" applyBorder="0" applyAlignment="0" applyProtection="0">
      <alignment vertical="center"/>
    </xf>
    <xf numFmtId="9" fontId="30" fillId="0" borderId="0" applyFont="0" applyFill="0" applyBorder="0" applyAlignment="0" applyProtection="0">
      <alignment vertical="center"/>
    </xf>
    <xf numFmtId="9" fontId="30" fillId="0" borderId="0" applyFont="0" applyFill="0" applyBorder="0" applyAlignment="0" applyProtection="0">
      <alignment vertical="center"/>
    </xf>
    <xf numFmtId="9" fontId="30" fillId="0" borderId="0" applyFont="0" applyFill="0" applyBorder="0" applyAlignment="0" applyProtection="0">
      <alignment vertical="center"/>
    </xf>
    <xf numFmtId="9" fontId="30" fillId="0" borderId="0" applyFont="0" applyFill="0" applyBorder="0" applyAlignment="0" applyProtection="0">
      <alignment vertical="center"/>
    </xf>
    <xf numFmtId="9" fontId="30" fillId="0" borderId="0" applyFont="0" applyFill="0" applyBorder="0" applyAlignment="0" applyProtection="0">
      <alignment vertical="center"/>
    </xf>
    <xf numFmtId="9" fontId="30" fillId="0" borderId="0" applyFont="0" applyFill="0" applyBorder="0" applyAlignment="0" applyProtection="0">
      <alignment vertical="center"/>
    </xf>
    <xf numFmtId="9" fontId="30" fillId="0" borderId="0" applyFont="0" applyFill="0" applyBorder="0" applyAlignment="0" applyProtection="0">
      <alignment vertical="center"/>
    </xf>
    <xf numFmtId="9" fontId="30" fillId="0" borderId="0" applyFont="0" applyFill="0" applyBorder="0" applyAlignment="0" applyProtection="0">
      <alignment vertical="center"/>
    </xf>
    <xf numFmtId="9" fontId="30" fillId="0" borderId="0" applyFont="0" applyFill="0" applyBorder="0" applyAlignment="0" applyProtection="0">
      <alignment vertical="center"/>
    </xf>
    <xf numFmtId="9" fontId="30" fillId="0" borderId="0" applyFont="0" applyFill="0" applyBorder="0" applyAlignment="0" applyProtection="0">
      <alignment vertical="center"/>
    </xf>
    <xf numFmtId="9" fontId="30" fillId="0" borderId="0" applyFont="0" applyFill="0" applyBorder="0" applyAlignment="0" applyProtection="0">
      <alignment vertical="center"/>
    </xf>
    <xf numFmtId="9" fontId="30" fillId="0" borderId="0" applyFont="0" applyFill="0" applyBorder="0" applyAlignment="0" applyProtection="0">
      <alignment vertical="center"/>
    </xf>
    <xf numFmtId="9" fontId="30" fillId="0" borderId="0" applyFont="0" applyFill="0" applyBorder="0" applyAlignment="0" applyProtection="0">
      <alignment vertical="center"/>
    </xf>
    <xf numFmtId="9" fontId="30" fillId="0" borderId="0" applyFont="0" applyFill="0" applyBorder="0" applyAlignment="0" applyProtection="0">
      <alignment vertical="center"/>
    </xf>
    <xf numFmtId="9" fontId="30" fillId="0" borderId="0" applyFont="0" applyFill="0" applyBorder="0" applyAlignment="0" applyProtection="0">
      <alignment vertical="center"/>
    </xf>
    <xf numFmtId="9" fontId="30" fillId="0" borderId="0" applyFont="0" applyFill="0" applyBorder="0" applyAlignment="0" applyProtection="0">
      <alignment vertical="center"/>
    </xf>
    <xf numFmtId="9" fontId="30" fillId="0" borderId="0" applyFont="0" applyFill="0" applyBorder="0" applyAlignment="0" applyProtection="0">
      <alignment vertical="center"/>
    </xf>
    <xf numFmtId="9" fontId="30" fillId="0" borderId="0" applyFont="0" applyFill="0" applyBorder="0" applyAlignment="0" applyProtection="0">
      <alignment vertical="center"/>
    </xf>
    <xf numFmtId="9" fontId="30" fillId="0" borderId="0" applyFont="0" applyFill="0" applyBorder="0" applyAlignment="0" applyProtection="0">
      <alignment vertical="center"/>
    </xf>
    <xf numFmtId="9" fontId="30" fillId="0" borderId="0" applyFont="0" applyFill="0" applyBorder="0" applyAlignment="0" applyProtection="0">
      <alignment vertical="center"/>
    </xf>
    <xf numFmtId="9" fontId="30" fillId="0" borderId="0" applyFont="0" applyFill="0" applyBorder="0" applyAlignment="0" applyProtection="0">
      <alignment vertical="center"/>
    </xf>
    <xf numFmtId="9" fontId="30" fillId="0" borderId="0" applyFont="0" applyFill="0" applyBorder="0" applyAlignment="0" applyProtection="0">
      <alignment vertical="center"/>
    </xf>
    <xf numFmtId="9" fontId="30" fillId="0" borderId="0" applyFont="0" applyFill="0" applyBorder="0" applyAlignment="0" applyProtection="0">
      <alignment vertical="center"/>
    </xf>
    <xf numFmtId="9" fontId="30" fillId="0" borderId="0" applyFont="0" applyFill="0" applyBorder="0" applyAlignment="0" applyProtection="0">
      <alignment vertical="center"/>
    </xf>
    <xf numFmtId="9" fontId="30" fillId="0" borderId="0" applyFont="0" applyFill="0" applyBorder="0" applyAlignment="0" applyProtection="0">
      <alignment vertical="center"/>
    </xf>
    <xf numFmtId="9" fontId="30" fillId="0" borderId="0" applyFont="0" applyFill="0" applyBorder="0" applyAlignment="0" applyProtection="0">
      <alignment vertical="center"/>
    </xf>
    <xf numFmtId="9" fontId="30" fillId="0" borderId="0" applyFont="0" applyFill="0" applyBorder="0" applyAlignment="0" applyProtection="0">
      <alignment vertical="center"/>
    </xf>
    <xf numFmtId="9" fontId="30" fillId="0" borderId="0" applyFont="0" applyFill="0" applyBorder="0" applyAlignment="0" applyProtection="0">
      <alignment vertical="center"/>
    </xf>
    <xf numFmtId="9" fontId="30" fillId="0" borderId="0" applyFont="0" applyFill="0" applyBorder="0" applyAlignment="0" applyProtection="0">
      <alignment vertical="center"/>
    </xf>
    <xf numFmtId="9" fontId="30" fillId="0" borderId="0" applyFont="0" applyFill="0" applyBorder="0" applyAlignment="0" applyProtection="0">
      <alignment vertical="center"/>
    </xf>
    <xf numFmtId="9" fontId="30" fillId="0" borderId="0" applyFont="0" applyFill="0" applyBorder="0" applyAlignment="0" applyProtection="0">
      <alignment vertical="center"/>
    </xf>
    <xf numFmtId="9" fontId="30" fillId="0" borderId="0" applyFont="0" applyFill="0" applyBorder="0" applyAlignment="0" applyProtection="0">
      <alignment vertical="center"/>
    </xf>
    <xf numFmtId="9" fontId="30" fillId="0" borderId="0" applyFont="0" applyFill="0" applyBorder="0" applyAlignment="0" applyProtection="0">
      <alignment vertical="center"/>
    </xf>
    <xf numFmtId="9" fontId="30" fillId="0" borderId="0" applyFont="0" applyFill="0" applyBorder="0" applyAlignment="0" applyProtection="0">
      <alignment vertical="center"/>
    </xf>
    <xf numFmtId="9" fontId="31" fillId="0" borderId="0" applyFont="0" applyFill="0" applyBorder="0" applyAlignment="0" applyProtection="0">
      <alignment vertical="center"/>
    </xf>
    <xf numFmtId="9" fontId="30" fillId="0" borderId="0" applyFont="0" applyFill="0" applyBorder="0" applyAlignment="0" applyProtection="0">
      <alignment vertical="center"/>
    </xf>
    <xf numFmtId="9" fontId="30" fillId="0" borderId="0" applyFont="0" applyFill="0" applyBorder="0" applyAlignment="0" applyProtection="0">
      <alignment vertical="center"/>
    </xf>
    <xf numFmtId="9" fontId="30" fillId="0" borderId="0" applyFont="0" applyFill="0" applyBorder="0" applyAlignment="0" applyProtection="0">
      <alignment vertical="center"/>
    </xf>
    <xf numFmtId="9" fontId="30" fillId="0" borderId="0" applyFont="0" applyFill="0" applyBorder="0" applyAlignment="0" applyProtection="0">
      <alignment vertical="center"/>
    </xf>
    <xf numFmtId="9" fontId="30" fillId="0" borderId="0" applyFont="0" applyFill="0" applyBorder="0" applyAlignment="0" applyProtection="0">
      <alignment vertical="center"/>
    </xf>
    <xf numFmtId="9" fontId="30" fillId="0" borderId="0" applyFont="0" applyFill="0" applyBorder="0" applyAlignment="0" applyProtection="0">
      <alignment vertical="center"/>
    </xf>
    <xf numFmtId="9" fontId="30" fillId="0" borderId="0" applyFont="0" applyFill="0" applyBorder="0" applyAlignment="0" applyProtection="0">
      <alignment vertical="center"/>
    </xf>
    <xf numFmtId="9" fontId="31" fillId="0" borderId="0" applyFont="0" applyFill="0" applyBorder="0" applyAlignment="0" applyProtection="0">
      <alignment vertical="center"/>
    </xf>
    <xf numFmtId="9" fontId="30" fillId="0" borderId="0" applyFont="0" applyFill="0" applyBorder="0" applyAlignment="0" applyProtection="0">
      <alignment vertical="center"/>
    </xf>
    <xf numFmtId="9" fontId="30" fillId="0" borderId="0" applyFont="0" applyFill="0" applyBorder="0" applyAlignment="0" applyProtection="0">
      <alignment vertical="center"/>
    </xf>
    <xf numFmtId="9" fontId="30" fillId="0" borderId="0" applyFont="0" applyFill="0" applyBorder="0" applyAlignment="0" applyProtection="0">
      <alignment vertical="center"/>
    </xf>
    <xf numFmtId="9" fontId="30" fillId="0" borderId="0" applyFont="0" applyFill="0" applyBorder="0" applyAlignment="0" applyProtection="0">
      <alignment vertical="center"/>
    </xf>
    <xf numFmtId="9" fontId="30" fillId="0" borderId="0" applyFont="0" applyFill="0" applyBorder="0" applyAlignment="0" applyProtection="0">
      <alignment vertical="center"/>
    </xf>
    <xf numFmtId="9" fontId="30" fillId="0" borderId="0" applyFont="0" applyFill="0" applyBorder="0" applyAlignment="0" applyProtection="0">
      <alignment vertical="center"/>
    </xf>
    <xf numFmtId="9" fontId="30" fillId="0" borderId="0" applyFont="0" applyFill="0" applyBorder="0" applyAlignment="0" applyProtection="0">
      <alignment vertical="center"/>
    </xf>
    <xf numFmtId="9" fontId="30" fillId="0" borderId="0" applyFont="0" applyFill="0" applyBorder="0" applyAlignment="0" applyProtection="0">
      <alignment vertical="center"/>
    </xf>
    <xf numFmtId="9" fontId="31" fillId="0" borderId="0" applyFont="0" applyFill="0" applyBorder="0" applyAlignment="0" applyProtection="0">
      <alignment vertical="center"/>
    </xf>
    <xf numFmtId="9" fontId="30" fillId="0" borderId="0" applyFont="0" applyFill="0" applyBorder="0" applyAlignment="0" applyProtection="0">
      <alignment vertical="center"/>
    </xf>
    <xf numFmtId="9" fontId="30" fillId="0" borderId="0" applyFont="0" applyFill="0" applyBorder="0" applyAlignment="0" applyProtection="0">
      <alignment vertical="center"/>
    </xf>
    <xf numFmtId="9" fontId="30" fillId="0" borderId="0" applyFont="0" applyFill="0" applyBorder="0" applyAlignment="0" applyProtection="0">
      <alignment vertical="center"/>
    </xf>
    <xf numFmtId="9" fontId="30" fillId="0" borderId="0" applyFont="0" applyFill="0" applyBorder="0" applyAlignment="0" applyProtection="0">
      <alignment vertical="center"/>
    </xf>
    <xf numFmtId="9" fontId="30" fillId="0" borderId="0" applyFont="0" applyFill="0" applyBorder="0" applyAlignment="0" applyProtection="0">
      <alignment vertical="center"/>
    </xf>
    <xf numFmtId="9" fontId="30" fillId="0" borderId="0" applyFont="0" applyFill="0" applyBorder="0" applyAlignment="0" applyProtection="0">
      <alignment vertical="center"/>
    </xf>
    <xf numFmtId="9" fontId="30" fillId="0" borderId="0" applyFont="0" applyFill="0" applyBorder="0" applyAlignment="0" applyProtection="0">
      <alignment vertical="center"/>
    </xf>
    <xf numFmtId="9" fontId="30" fillId="0" borderId="0" applyFont="0" applyFill="0" applyBorder="0" applyAlignment="0" applyProtection="0">
      <alignment vertical="center"/>
    </xf>
    <xf numFmtId="9" fontId="31" fillId="0" borderId="0" applyFont="0" applyFill="0" applyBorder="0" applyAlignment="0" applyProtection="0">
      <alignment vertical="center"/>
    </xf>
    <xf numFmtId="9" fontId="30" fillId="0" borderId="0" applyFont="0" applyFill="0" applyBorder="0" applyAlignment="0" applyProtection="0">
      <alignment vertical="center"/>
    </xf>
    <xf numFmtId="9" fontId="30" fillId="0" borderId="0" applyFont="0" applyFill="0" applyBorder="0" applyAlignment="0" applyProtection="0">
      <alignment vertical="center"/>
    </xf>
    <xf numFmtId="9" fontId="30" fillId="0" borderId="0" applyFont="0" applyFill="0" applyBorder="0" applyAlignment="0" applyProtection="0">
      <alignment vertical="center"/>
    </xf>
    <xf numFmtId="9" fontId="30" fillId="0" borderId="0" applyFont="0" applyFill="0" applyBorder="0" applyAlignment="0" applyProtection="0">
      <alignment vertical="center"/>
    </xf>
    <xf numFmtId="9" fontId="30" fillId="0" borderId="0" applyFont="0" applyFill="0" applyBorder="0" applyAlignment="0" applyProtection="0">
      <alignment vertical="center"/>
    </xf>
    <xf numFmtId="9" fontId="30" fillId="0" borderId="0" applyFont="0" applyFill="0" applyBorder="0" applyAlignment="0" applyProtection="0">
      <alignment vertical="center"/>
    </xf>
    <xf numFmtId="9" fontId="30" fillId="0" borderId="0" applyFont="0" applyFill="0" applyBorder="0" applyAlignment="0" applyProtection="0">
      <alignment vertical="center"/>
    </xf>
    <xf numFmtId="9" fontId="30" fillId="0" borderId="0" applyFont="0" applyFill="0" applyBorder="0" applyAlignment="0" applyProtection="0">
      <alignment vertical="center"/>
    </xf>
    <xf numFmtId="9" fontId="31" fillId="0" borderId="0" applyFont="0" applyFill="0" applyBorder="0" applyAlignment="0" applyProtection="0">
      <alignment vertical="center"/>
    </xf>
    <xf numFmtId="9" fontId="30" fillId="0" borderId="0" applyFont="0" applyFill="0" applyBorder="0" applyAlignment="0" applyProtection="0">
      <alignment vertical="center"/>
    </xf>
    <xf numFmtId="9" fontId="30" fillId="0" borderId="0" applyFont="0" applyFill="0" applyBorder="0" applyAlignment="0" applyProtection="0">
      <alignment vertical="center"/>
    </xf>
    <xf numFmtId="9" fontId="30" fillId="0" borderId="0" applyFont="0" applyFill="0" applyBorder="0" applyAlignment="0" applyProtection="0">
      <alignment vertical="center"/>
    </xf>
    <xf numFmtId="9" fontId="30" fillId="0" borderId="0" applyFont="0" applyFill="0" applyBorder="0" applyAlignment="0" applyProtection="0">
      <alignment vertical="center"/>
    </xf>
    <xf numFmtId="9" fontId="30" fillId="0" borderId="0" applyFont="0" applyFill="0" applyBorder="0" applyAlignment="0" applyProtection="0">
      <alignment vertical="center"/>
    </xf>
    <xf numFmtId="9" fontId="30" fillId="0" borderId="0" applyFont="0" applyFill="0" applyBorder="0" applyAlignment="0" applyProtection="0">
      <alignment vertical="center"/>
    </xf>
    <xf numFmtId="9" fontId="30" fillId="0" borderId="0" applyFont="0" applyFill="0" applyBorder="0" applyAlignment="0" applyProtection="0">
      <alignment vertical="center"/>
    </xf>
    <xf numFmtId="9" fontId="30" fillId="0" borderId="0" applyFont="0" applyFill="0" applyBorder="0" applyAlignment="0" applyProtection="0">
      <alignment vertical="center"/>
    </xf>
    <xf numFmtId="9" fontId="31" fillId="0" borderId="0" applyFont="0" applyFill="0" applyBorder="0" applyAlignment="0" applyProtection="0">
      <alignment vertical="center"/>
    </xf>
    <xf numFmtId="9" fontId="30" fillId="0" borderId="0" applyFont="0" applyFill="0" applyBorder="0" applyAlignment="0" applyProtection="0">
      <alignment vertical="center"/>
    </xf>
    <xf numFmtId="9" fontId="30" fillId="0" borderId="0" applyFont="0" applyFill="0" applyBorder="0" applyAlignment="0" applyProtection="0">
      <alignment vertical="center"/>
    </xf>
    <xf numFmtId="9" fontId="30" fillId="0" borderId="0" applyFont="0" applyFill="0" applyBorder="0" applyAlignment="0" applyProtection="0">
      <alignment vertical="center"/>
    </xf>
    <xf numFmtId="9" fontId="30" fillId="0" borderId="0" applyFont="0" applyFill="0" applyBorder="0" applyAlignment="0" applyProtection="0">
      <alignment vertical="center"/>
    </xf>
    <xf numFmtId="9" fontId="30" fillId="0" borderId="0" applyFont="0" applyFill="0" applyBorder="0" applyAlignment="0" applyProtection="0">
      <alignment vertical="center"/>
    </xf>
    <xf numFmtId="9" fontId="30" fillId="0" borderId="0" applyFont="0" applyFill="0" applyBorder="0" applyAlignment="0" applyProtection="0">
      <alignment vertical="center"/>
    </xf>
    <xf numFmtId="9" fontId="30" fillId="0" borderId="0" applyFont="0" applyFill="0" applyBorder="0" applyAlignment="0" applyProtection="0">
      <alignment vertical="center"/>
    </xf>
    <xf numFmtId="9" fontId="30" fillId="0" borderId="0" applyFont="0" applyFill="0" applyBorder="0" applyAlignment="0" applyProtection="0">
      <alignment vertical="center"/>
    </xf>
    <xf numFmtId="9" fontId="31" fillId="0" borderId="0" applyFont="0" applyFill="0" applyBorder="0" applyAlignment="0" applyProtection="0">
      <alignment vertical="center"/>
    </xf>
    <xf numFmtId="9" fontId="30" fillId="0" borderId="0" applyFont="0" applyFill="0" applyBorder="0" applyAlignment="0" applyProtection="0">
      <alignment vertical="center"/>
    </xf>
    <xf numFmtId="9" fontId="30" fillId="0" borderId="0" applyFont="0" applyFill="0" applyBorder="0" applyAlignment="0" applyProtection="0">
      <alignment vertical="center"/>
    </xf>
    <xf numFmtId="9" fontId="30" fillId="0" borderId="0" applyFont="0" applyFill="0" applyBorder="0" applyAlignment="0" applyProtection="0">
      <alignment vertical="center"/>
    </xf>
    <xf numFmtId="9" fontId="30" fillId="0" borderId="0" applyFont="0" applyFill="0" applyBorder="0" applyAlignment="0" applyProtection="0">
      <alignment vertical="center"/>
    </xf>
    <xf numFmtId="9" fontId="30" fillId="0" borderId="0" applyFont="0" applyFill="0" applyBorder="0" applyAlignment="0" applyProtection="0">
      <alignment vertical="center"/>
    </xf>
    <xf numFmtId="9" fontId="30" fillId="0" borderId="0" applyFont="0" applyFill="0" applyBorder="0" applyAlignment="0" applyProtection="0">
      <alignment vertical="center"/>
    </xf>
    <xf numFmtId="9" fontId="30" fillId="0" borderId="0" applyFont="0" applyFill="0" applyBorder="0" applyAlignment="0" applyProtection="0">
      <alignment vertical="center"/>
    </xf>
    <xf numFmtId="9" fontId="30" fillId="0" borderId="0" applyFont="0" applyFill="0" applyBorder="0" applyAlignment="0" applyProtection="0">
      <alignment vertical="center"/>
    </xf>
    <xf numFmtId="9" fontId="31" fillId="0" borderId="0" applyFont="0" applyFill="0" applyBorder="0" applyAlignment="0" applyProtection="0">
      <alignment vertical="center"/>
    </xf>
    <xf numFmtId="9" fontId="30" fillId="0" borderId="0" applyFont="0" applyFill="0" applyBorder="0" applyAlignment="0" applyProtection="0">
      <alignment vertical="center"/>
    </xf>
    <xf numFmtId="9" fontId="30" fillId="0" borderId="0" applyFont="0" applyFill="0" applyBorder="0" applyAlignment="0" applyProtection="0">
      <alignment vertical="center"/>
    </xf>
    <xf numFmtId="9" fontId="30" fillId="0" borderId="0" applyFont="0" applyFill="0" applyBorder="0" applyAlignment="0" applyProtection="0">
      <alignment vertical="center"/>
    </xf>
    <xf numFmtId="9" fontId="30" fillId="0" borderId="0" applyFont="0" applyFill="0" applyBorder="0" applyAlignment="0" applyProtection="0">
      <alignment vertical="center"/>
    </xf>
    <xf numFmtId="9" fontId="30" fillId="0" borderId="0" applyFont="0" applyFill="0" applyBorder="0" applyAlignment="0" applyProtection="0">
      <alignment vertical="center"/>
    </xf>
    <xf numFmtId="9" fontId="30" fillId="0" borderId="0" applyFont="0" applyFill="0" applyBorder="0" applyAlignment="0" applyProtection="0">
      <alignment vertical="center"/>
    </xf>
    <xf numFmtId="9" fontId="30" fillId="0" borderId="0" applyFont="0" applyFill="0" applyBorder="0" applyAlignment="0" applyProtection="0">
      <alignment vertical="center"/>
    </xf>
    <xf numFmtId="9" fontId="30" fillId="0" borderId="0" applyFont="0" applyFill="0" applyBorder="0" applyAlignment="0" applyProtection="0">
      <alignment vertical="center"/>
    </xf>
    <xf numFmtId="9" fontId="31" fillId="0" borderId="0" applyFont="0" applyFill="0" applyBorder="0" applyAlignment="0" applyProtection="0">
      <alignment vertical="center"/>
    </xf>
    <xf numFmtId="9" fontId="30" fillId="0" borderId="0" applyFont="0" applyFill="0" applyBorder="0" applyAlignment="0" applyProtection="0">
      <alignment vertical="center"/>
    </xf>
    <xf numFmtId="9" fontId="30" fillId="0" borderId="0" applyFont="0" applyFill="0" applyBorder="0" applyAlignment="0" applyProtection="0">
      <alignment vertical="center"/>
    </xf>
    <xf numFmtId="9" fontId="30" fillId="0" borderId="0" applyFont="0" applyFill="0" applyBorder="0" applyAlignment="0" applyProtection="0">
      <alignment vertical="center"/>
    </xf>
    <xf numFmtId="9" fontId="30" fillId="0" borderId="0" applyFont="0" applyFill="0" applyBorder="0" applyAlignment="0" applyProtection="0">
      <alignment vertical="center"/>
    </xf>
    <xf numFmtId="9" fontId="30" fillId="0" borderId="0" applyFont="0" applyFill="0" applyBorder="0" applyAlignment="0" applyProtection="0">
      <alignment vertical="center"/>
    </xf>
    <xf numFmtId="9" fontId="30" fillId="0" borderId="0" applyFont="0" applyFill="0" applyBorder="0" applyAlignment="0" applyProtection="0">
      <alignment vertical="center"/>
    </xf>
    <xf numFmtId="9" fontId="30" fillId="0" borderId="0" applyFont="0" applyFill="0" applyBorder="0" applyAlignment="0" applyProtection="0">
      <alignment vertical="center"/>
    </xf>
    <xf numFmtId="9" fontId="30" fillId="0" borderId="0" applyFont="0" applyFill="0" applyBorder="0" applyAlignment="0" applyProtection="0">
      <alignment vertical="center"/>
    </xf>
    <xf numFmtId="9" fontId="31" fillId="0" borderId="0" applyFont="0" applyFill="0" applyBorder="0" applyAlignment="0" applyProtection="0">
      <alignment vertical="center"/>
    </xf>
    <xf numFmtId="9" fontId="30" fillId="0" borderId="0" applyFont="0" applyFill="0" applyBorder="0" applyAlignment="0" applyProtection="0">
      <alignment vertical="center"/>
    </xf>
    <xf numFmtId="9" fontId="30" fillId="0" borderId="0" applyFont="0" applyFill="0" applyBorder="0" applyAlignment="0" applyProtection="0">
      <alignment vertical="center"/>
    </xf>
    <xf numFmtId="9" fontId="30" fillId="0" borderId="0" applyFont="0" applyFill="0" applyBorder="0" applyAlignment="0" applyProtection="0">
      <alignment vertical="center"/>
    </xf>
    <xf numFmtId="9" fontId="30" fillId="0" borderId="0" applyFont="0" applyFill="0" applyBorder="0" applyAlignment="0" applyProtection="0">
      <alignment vertical="center"/>
    </xf>
    <xf numFmtId="9" fontId="30" fillId="0" borderId="0" applyFont="0" applyFill="0" applyBorder="0" applyAlignment="0" applyProtection="0">
      <alignment vertical="center"/>
    </xf>
    <xf numFmtId="9" fontId="30" fillId="0" borderId="0" applyFont="0" applyFill="0" applyBorder="0" applyAlignment="0" applyProtection="0">
      <alignment vertical="center"/>
    </xf>
    <xf numFmtId="9" fontId="30" fillId="0" borderId="0" applyFont="0" applyFill="0" applyBorder="0" applyAlignment="0" applyProtection="0">
      <alignment vertical="center"/>
    </xf>
    <xf numFmtId="9" fontId="30" fillId="0" borderId="0" applyFont="0" applyFill="0" applyBorder="0" applyAlignment="0" applyProtection="0">
      <alignment vertical="center"/>
    </xf>
    <xf numFmtId="9" fontId="31" fillId="0" borderId="0" applyFont="0" applyFill="0" applyBorder="0" applyAlignment="0" applyProtection="0">
      <alignment vertical="center"/>
    </xf>
    <xf numFmtId="9" fontId="30" fillId="0" borderId="0" applyFont="0" applyFill="0" applyBorder="0" applyAlignment="0" applyProtection="0">
      <alignment vertical="center"/>
    </xf>
    <xf numFmtId="9" fontId="30" fillId="0" borderId="0" applyFont="0" applyFill="0" applyBorder="0" applyAlignment="0" applyProtection="0">
      <alignment vertical="center"/>
    </xf>
    <xf numFmtId="9" fontId="30" fillId="0" borderId="0" applyFont="0" applyFill="0" applyBorder="0" applyAlignment="0" applyProtection="0">
      <alignment vertical="center"/>
    </xf>
    <xf numFmtId="9" fontId="30" fillId="0" borderId="0" applyFont="0" applyFill="0" applyBorder="0" applyAlignment="0" applyProtection="0">
      <alignment vertical="center"/>
    </xf>
    <xf numFmtId="9" fontId="30" fillId="0" borderId="0" applyFont="0" applyFill="0" applyBorder="0" applyAlignment="0" applyProtection="0">
      <alignment vertical="center"/>
    </xf>
    <xf numFmtId="9" fontId="30" fillId="0" borderId="0" applyFont="0" applyFill="0" applyBorder="0" applyAlignment="0" applyProtection="0">
      <alignment vertical="center"/>
    </xf>
    <xf numFmtId="9" fontId="30" fillId="0" borderId="0" applyFont="0" applyFill="0" applyBorder="0" applyAlignment="0" applyProtection="0">
      <alignment vertical="center"/>
    </xf>
    <xf numFmtId="9" fontId="30" fillId="0" borderId="0" applyFont="0" applyFill="0" applyBorder="0" applyAlignment="0" applyProtection="0">
      <alignment vertical="center"/>
    </xf>
    <xf numFmtId="9" fontId="31" fillId="0" borderId="0" applyFont="0" applyFill="0" applyBorder="0" applyAlignment="0" applyProtection="0">
      <alignment vertical="center"/>
    </xf>
    <xf numFmtId="9" fontId="30" fillId="0" borderId="0" applyFont="0" applyFill="0" applyBorder="0" applyAlignment="0" applyProtection="0">
      <alignment vertical="center"/>
    </xf>
    <xf numFmtId="9" fontId="30" fillId="0" borderId="0" applyFont="0" applyFill="0" applyBorder="0" applyAlignment="0" applyProtection="0">
      <alignment vertical="center"/>
    </xf>
    <xf numFmtId="9" fontId="30" fillId="0" borderId="0" applyFont="0" applyFill="0" applyBorder="0" applyAlignment="0" applyProtection="0">
      <alignment vertical="center"/>
    </xf>
    <xf numFmtId="9" fontId="30" fillId="0" borderId="0" applyFont="0" applyFill="0" applyBorder="0" applyAlignment="0" applyProtection="0">
      <alignment vertical="center"/>
    </xf>
    <xf numFmtId="9" fontId="30" fillId="0" borderId="0" applyFont="0" applyFill="0" applyBorder="0" applyAlignment="0" applyProtection="0">
      <alignment vertical="center"/>
    </xf>
    <xf numFmtId="9" fontId="30" fillId="0" borderId="0" applyFont="0" applyFill="0" applyBorder="0" applyAlignment="0" applyProtection="0">
      <alignment vertical="center"/>
    </xf>
    <xf numFmtId="9" fontId="30" fillId="0" borderId="0" applyFont="0" applyFill="0" applyBorder="0" applyAlignment="0" applyProtection="0">
      <alignment vertical="center"/>
    </xf>
    <xf numFmtId="9" fontId="30" fillId="0" borderId="0" applyFont="0" applyFill="0" applyBorder="0" applyAlignment="0" applyProtection="0">
      <alignment vertical="center"/>
    </xf>
    <xf numFmtId="9" fontId="31" fillId="0" borderId="0" applyFont="0" applyFill="0" applyBorder="0" applyAlignment="0" applyProtection="0">
      <alignment vertical="center"/>
    </xf>
    <xf numFmtId="9" fontId="30" fillId="0" borderId="0" applyFont="0" applyFill="0" applyBorder="0" applyAlignment="0" applyProtection="0">
      <alignment vertical="center"/>
    </xf>
    <xf numFmtId="9" fontId="30" fillId="0" borderId="0" applyFont="0" applyFill="0" applyBorder="0" applyAlignment="0" applyProtection="0">
      <alignment vertical="center"/>
    </xf>
    <xf numFmtId="9" fontId="30" fillId="0" borderId="0" applyFont="0" applyFill="0" applyBorder="0" applyAlignment="0" applyProtection="0">
      <alignment vertical="center"/>
    </xf>
    <xf numFmtId="9" fontId="30" fillId="0" borderId="0" applyFont="0" applyFill="0" applyBorder="0" applyAlignment="0" applyProtection="0">
      <alignment vertical="center"/>
    </xf>
    <xf numFmtId="9" fontId="30" fillId="0" borderId="0" applyFont="0" applyFill="0" applyBorder="0" applyAlignment="0" applyProtection="0">
      <alignment vertical="center"/>
    </xf>
    <xf numFmtId="9" fontId="30" fillId="0" borderId="0" applyFont="0" applyFill="0" applyBorder="0" applyAlignment="0" applyProtection="0">
      <alignment vertical="center"/>
    </xf>
    <xf numFmtId="9" fontId="30" fillId="0" borderId="0" applyFont="0" applyFill="0" applyBorder="0" applyAlignment="0" applyProtection="0">
      <alignment vertical="center"/>
    </xf>
    <xf numFmtId="9" fontId="30" fillId="0" borderId="0" applyFont="0" applyFill="0" applyBorder="0" applyAlignment="0" applyProtection="0">
      <alignment vertical="center"/>
    </xf>
    <xf numFmtId="9" fontId="31" fillId="0" borderId="0" applyFont="0" applyFill="0" applyBorder="0" applyAlignment="0" applyProtection="0">
      <alignment vertical="center"/>
    </xf>
    <xf numFmtId="9" fontId="30" fillId="0" borderId="0" applyFont="0" applyFill="0" applyBorder="0" applyAlignment="0" applyProtection="0">
      <alignment vertical="center"/>
    </xf>
    <xf numFmtId="9" fontId="30" fillId="0" borderId="0" applyFont="0" applyFill="0" applyBorder="0" applyAlignment="0" applyProtection="0">
      <alignment vertical="center"/>
    </xf>
    <xf numFmtId="9" fontId="30" fillId="0" borderId="0" applyFont="0" applyFill="0" applyBorder="0" applyAlignment="0" applyProtection="0">
      <alignment vertical="center"/>
    </xf>
    <xf numFmtId="9" fontId="30" fillId="0" borderId="0" applyFont="0" applyFill="0" applyBorder="0" applyAlignment="0" applyProtection="0">
      <alignment vertical="center"/>
    </xf>
    <xf numFmtId="9" fontId="30" fillId="0" borderId="0" applyFont="0" applyFill="0" applyBorder="0" applyAlignment="0" applyProtection="0">
      <alignment vertical="center"/>
    </xf>
    <xf numFmtId="9" fontId="30" fillId="0" borderId="0" applyFont="0" applyFill="0" applyBorder="0" applyAlignment="0" applyProtection="0">
      <alignment vertical="center"/>
    </xf>
    <xf numFmtId="9" fontId="30" fillId="0" borderId="0" applyFont="0" applyFill="0" applyBorder="0" applyAlignment="0" applyProtection="0">
      <alignment vertical="center"/>
    </xf>
    <xf numFmtId="9" fontId="30" fillId="0" borderId="0" applyFont="0" applyFill="0" applyBorder="0" applyAlignment="0" applyProtection="0">
      <alignment vertical="center"/>
    </xf>
    <xf numFmtId="9" fontId="31" fillId="0" borderId="0" applyFont="0" applyFill="0" applyBorder="0" applyAlignment="0" applyProtection="0">
      <alignment vertical="center"/>
    </xf>
    <xf numFmtId="9" fontId="30" fillId="0" borderId="0" applyFont="0" applyFill="0" applyBorder="0" applyAlignment="0" applyProtection="0">
      <alignment vertical="center"/>
    </xf>
    <xf numFmtId="9" fontId="30" fillId="0" borderId="0" applyFont="0" applyFill="0" applyBorder="0" applyAlignment="0" applyProtection="0">
      <alignment vertical="center"/>
    </xf>
    <xf numFmtId="9" fontId="30" fillId="0" borderId="0" applyFont="0" applyFill="0" applyBorder="0" applyAlignment="0" applyProtection="0">
      <alignment vertical="center"/>
    </xf>
    <xf numFmtId="9" fontId="30" fillId="0" borderId="0" applyFont="0" applyFill="0" applyBorder="0" applyAlignment="0" applyProtection="0">
      <alignment vertical="center"/>
    </xf>
    <xf numFmtId="9" fontId="30" fillId="0" borderId="0" applyFont="0" applyFill="0" applyBorder="0" applyAlignment="0" applyProtection="0">
      <alignment vertical="center"/>
    </xf>
    <xf numFmtId="9" fontId="30" fillId="0" borderId="0" applyFont="0" applyFill="0" applyBorder="0" applyAlignment="0" applyProtection="0">
      <alignment vertical="center"/>
    </xf>
    <xf numFmtId="9" fontId="30" fillId="0" borderId="0" applyFont="0" applyFill="0" applyBorder="0" applyAlignment="0" applyProtection="0">
      <alignment vertical="center"/>
    </xf>
    <xf numFmtId="9" fontId="30" fillId="0" borderId="0" applyFont="0" applyFill="0" applyBorder="0" applyAlignment="0" applyProtection="0">
      <alignment vertical="center"/>
    </xf>
    <xf numFmtId="9" fontId="30" fillId="0" borderId="0" applyFont="0" applyFill="0" applyBorder="0" applyAlignment="0" applyProtection="0">
      <alignment vertical="center"/>
    </xf>
    <xf numFmtId="9" fontId="30" fillId="0" borderId="0" applyFont="0" applyFill="0" applyBorder="0" applyAlignment="0" applyProtection="0">
      <alignment vertical="center"/>
    </xf>
    <xf numFmtId="9" fontId="30" fillId="0" borderId="0" applyFont="0" applyFill="0" applyBorder="0" applyAlignment="0" applyProtection="0">
      <alignment vertical="center"/>
    </xf>
    <xf numFmtId="9" fontId="31" fillId="0" borderId="0" applyFont="0" applyFill="0" applyBorder="0" applyAlignment="0" applyProtection="0">
      <alignment vertical="center"/>
    </xf>
    <xf numFmtId="9" fontId="30" fillId="0" borderId="0" applyFont="0" applyFill="0" applyBorder="0" applyAlignment="0" applyProtection="0">
      <alignment vertical="center"/>
    </xf>
    <xf numFmtId="9" fontId="30" fillId="0" borderId="0" applyFont="0" applyFill="0" applyBorder="0" applyAlignment="0" applyProtection="0">
      <alignment vertical="center"/>
    </xf>
    <xf numFmtId="9" fontId="30" fillId="0" borderId="0" applyFont="0" applyFill="0" applyBorder="0" applyAlignment="0" applyProtection="0">
      <alignment vertical="center"/>
    </xf>
    <xf numFmtId="9" fontId="30" fillId="0" borderId="0" applyFont="0" applyFill="0" applyBorder="0" applyAlignment="0" applyProtection="0">
      <alignment vertical="center"/>
    </xf>
    <xf numFmtId="9" fontId="30" fillId="0" borderId="0" applyFont="0" applyFill="0" applyBorder="0" applyAlignment="0" applyProtection="0">
      <alignment vertical="center"/>
    </xf>
    <xf numFmtId="9" fontId="30" fillId="0" borderId="0" applyFont="0" applyFill="0" applyBorder="0" applyAlignment="0" applyProtection="0">
      <alignment vertical="center"/>
    </xf>
    <xf numFmtId="9" fontId="30" fillId="0" borderId="0" applyFont="0" applyFill="0" applyBorder="0" applyAlignment="0" applyProtection="0">
      <alignment vertical="center"/>
    </xf>
    <xf numFmtId="9" fontId="30" fillId="0" borderId="0" applyFont="0" applyFill="0" applyBorder="0" applyAlignment="0" applyProtection="0">
      <alignment vertical="center"/>
    </xf>
    <xf numFmtId="9" fontId="62" fillId="0" borderId="0" applyFont="0" applyFill="0" applyBorder="0" applyAlignment="0" applyProtection="0">
      <alignment vertical="center"/>
    </xf>
    <xf numFmtId="9" fontId="62" fillId="0" borderId="0" applyFont="0" applyFill="0" applyBorder="0" applyAlignment="0" applyProtection="0">
      <alignment vertical="center"/>
    </xf>
    <xf numFmtId="9" fontId="62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/>
    <xf numFmtId="0" fontId="63" fillId="38" borderId="0" applyNumberFormat="0" applyBorder="0" applyAlignment="0" applyProtection="0">
      <alignment vertical="center"/>
    </xf>
    <xf numFmtId="0" fontId="63" fillId="38" borderId="0" applyNumberFormat="0" applyBorder="0" applyAlignment="0" applyProtection="0">
      <alignment vertical="center"/>
    </xf>
    <xf numFmtId="0" fontId="63" fillId="38" borderId="0" applyNumberFormat="0" applyBorder="0" applyAlignment="0" applyProtection="0">
      <alignment vertical="center"/>
    </xf>
    <xf numFmtId="0" fontId="64" fillId="0" borderId="0"/>
    <xf numFmtId="0" fontId="62" fillId="0" borderId="0"/>
    <xf numFmtId="0" fontId="65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6" fillId="37" borderId="60" applyNumberFormat="0" applyAlignment="0" applyProtection="0">
      <alignment vertical="center"/>
    </xf>
    <xf numFmtId="0" fontId="66" fillId="37" borderId="60" applyNumberFormat="0" applyAlignment="0" applyProtection="0">
      <alignment vertical="center"/>
    </xf>
    <xf numFmtId="0" fontId="66" fillId="37" borderId="60" applyNumberFormat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/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/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/>
    <xf numFmtId="41" fontId="3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176" fontId="62" fillId="0" borderId="0" applyFont="0" applyFill="0" applyBorder="0" applyAlignment="0" applyProtection="0"/>
    <xf numFmtId="41" fontId="22" fillId="0" borderId="0" applyFont="0" applyFill="0" applyBorder="0" applyAlignment="0" applyProtection="0">
      <alignment vertical="center"/>
    </xf>
    <xf numFmtId="41" fontId="67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64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0" fontId="69" fillId="0" borderId="63" applyNumberFormat="0" applyFill="0" applyAlignment="0" applyProtection="0">
      <alignment vertical="center"/>
    </xf>
    <xf numFmtId="0" fontId="69" fillId="0" borderId="63" applyNumberFormat="0" applyFill="0" applyAlignment="0" applyProtection="0">
      <alignment vertical="center"/>
    </xf>
    <xf numFmtId="0" fontId="69" fillId="0" borderId="63" applyNumberFormat="0" applyFill="0" applyAlignment="0" applyProtection="0">
      <alignment vertical="center"/>
    </xf>
    <xf numFmtId="0" fontId="32" fillId="0" borderId="15" applyNumberFormat="0" applyFill="0" applyAlignment="0" applyProtection="0">
      <alignment vertical="center"/>
    </xf>
    <xf numFmtId="0" fontId="32" fillId="0" borderId="15" applyNumberFormat="0" applyFill="0" applyAlignment="0" applyProtection="0">
      <alignment vertical="center"/>
    </xf>
    <xf numFmtId="0" fontId="32" fillId="0" borderId="15" applyNumberFormat="0" applyFill="0" applyAlignment="0" applyProtection="0">
      <alignment vertical="center"/>
    </xf>
    <xf numFmtId="0" fontId="32" fillId="0" borderId="15" applyNumberFormat="0" applyFill="0" applyAlignment="0" applyProtection="0">
      <alignment vertical="center"/>
    </xf>
    <xf numFmtId="0" fontId="32" fillId="0" borderId="15" applyNumberFormat="0" applyFill="0" applyAlignment="0" applyProtection="0">
      <alignment vertical="center"/>
    </xf>
    <xf numFmtId="0" fontId="32" fillId="0" borderId="15" applyNumberFormat="0" applyFill="0" applyAlignment="0" applyProtection="0">
      <alignment vertical="center"/>
    </xf>
    <xf numFmtId="0" fontId="32" fillId="0" borderId="15" applyNumberFormat="0" applyFill="0" applyAlignment="0" applyProtection="0">
      <alignment vertical="center"/>
    </xf>
    <xf numFmtId="0" fontId="32" fillId="0" borderId="15" applyNumberFormat="0" applyFill="0" applyAlignment="0" applyProtection="0">
      <alignment vertical="center"/>
    </xf>
    <xf numFmtId="0" fontId="32" fillId="0" borderId="15" applyNumberFormat="0" applyFill="0" applyAlignment="0" applyProtection="0">
      <alignment vertical="center"/>
    </xf>
    <xf numFmtId="0" fontId="32" fillId="0" borderId="15" applyNumberFormat="0" applyFill="0" applyAlignment="0" applyProtection="0">
      <alignment vertical="center"/>
    </xf>
    <xf numFmtId="0" fontId="32" fillId="0" borderId="15" applyNumberFormat="0" applyFill="0" applyAlignment="0" applyProtection="0">
      <alignment vertical="center"/>
    </xf>
    <xf numFmtId="0" fontId="32" fillId="0" borderId="15" applyNumberFormat="0" applyFill="0" applyAlignment="0" applyProtection="0">
      <alignment vertical="center"/>
    </xf>
    <xf numFmtId="0" fontId="32" fillId="0" borderId="15" applyNumberFormat="0" applyFill="0" applyAlignment="0" applyProtection="0">
      <alignment vertical="center"/>
    </xf>
    <xf numFmtId="0" fontId="32" fillId="0" borderId="15" applyNumberFormat="0" applyFill="0" applyAlignment="0" applyProtection="0">
      <alignment vertical="center"/>
    </xf>
    <xf numFmtId="0" fontId="32" fillId="0" borderId="15" applyNumberFormat="0" applyFill="0" applyAlignment="0" applyProtection="0">
      <alignment vertical="center"/>
    </xf>
    <xf numFmtId="0" fontId="32" fillId="0" borderId="15" applyNumberFormat="0" applyFill="0" applyAlignment="0" applyProtection="0">
      <alignment vertical="center"/>
    </xf>
    <xf numFmtId="0" fontId="32" fillId="0" borderId="15" applyNumberFormat="0" applyFill="0" applyAlignment="0" applyProtection="0">
      <alignment vertical="center"/>
    </xf>
    <xf numFmtId="0" fontId="32" fillId="0" borderId="15" applyNumberFormat="0" applyFill="0" applyAlignment="0" applyProtection="0">
      <alignment vertical="center"/>
    </xf>
    <xf numFmtId="0" fontId="32" fillId="0" borderId="15" applyNumberFormat="0" applyFill="0" applyAlignment="0" applyProtection="0">
      <alignment vertical="center"/>
    </xf>
    <xf numFmtId="0" fontId="32" fillId="0" borderId="15" applyNumberFormat="0" applyFill="0" applyAlignment="0" applyProtection="0">
      <alignment vertical="center"/>
    </xf>
    <xf numFmtId="0" fontId="32" fillId="0" borderId="15" applyNumberFormat="0" applyFill="0" applyAlignment="0" applyProtection="0">
      <alignment vertical="center"/>
    </xf>
    <xf numFmtId="0" fontId="32" fillId="0" borderId="15" applyNumberFormat="0" applyFill="0" applyAlignment="0" applyProtection="0">
      <alignment vertical="center"/>
    </xf>
    <xf numFmtId="0" fontId="32" fillId="0" borderId="15" applyNumberFormat="0" applyFill="0" applyAlignment="0" applyProtection="0">
      <alignment vertical="center"/>
    </xf>
    <xf numFmtId="0" fontId="32" fillId="0" borderId="15" applyNumberFormat="0" applyFill="0" applyAlignment="0" applyProtection="0">
      <alignment vertical="center"/>
    </xf>
    <xf numFmtId="0" fontId="32" fillId="0" borderId="15" applyNumberFormat="0" applyFill="0" applyAlignment="0" applyProtection="0">
      <alignment vertical="center"/>
    </xf>
    <xf numFmtId="0" fontId="33" fillId="14" borderId="13" applyNumberFormat="0" applyAlignment="0" applyProtection="0">
      <alignment vertical="center"/>
    </xf>
    <xf numFmtId="0" fontId="33" fillId="14" borderId="13" applyNumberFormat="0" applyAlignment="0" applyProtection="0">
      <alignment vertical="center"/>
    </xf>
    <xf numFmtId="0" fontId="33" fillId="14" borderId="13" applyNumberFormat="0" applyAlignment="0" applyProtection="0">
      <alignment vertical="center"/>
    </xf>
    <xf numFmtId="0" fontId="33" fillId="14" borderId="13" applyNumberFormat="0" applyAlignment="0" applyProtection="0">
      <alignment vertical="center"/>
    </xf>
    <xf numFmtId="0" fontId="33" fillId="14" borderId="13" applyNumberFormat="0" applyAlignment="0" applyProtection="0">
      <alignment vertical="center"/>
    </xf>
    <xf numFmtId="0" fontId="33" fillId="14" borderId="13" applyNumberFormat="0" applyAlignment="0" applyProtection="0">
      <alignment vertical="center"/>
    </xf>
    <xf numFmtId="0" fontId="33" fillId="14" borderId="13" applyNumberFormat="0" applyAlignment="0" applyProtection="0">
      <alignment vertical="center"/>
    </xf>
    <xf numFmtId="0" fontId="33" fillId="14" borderId="13" applyNumberFormat="0" applyAlignment="0" applyProtection="0">
      <alignment vertical="center"/>
    </xf>
    <xf numFmtId="0" fontId="33" fillId="14" borderId="13" applyNumberFormat="0" applyAlignment="0" applyProtection="0">
      <alignment vertical="center"/>
    </xf>
    <xf numFmtId="0" fontId="33" fillId="14" borderId="13" applyNumberFormat="0" applyAlignment="0" applyProtection="0">
      <alignment vertical="center"/>
    </xf>
    <xf numFmtId="0" fontId="33" fillId="14" borderId="13" applyNumberFormat="0" applyAlignment="0" applyProtection="0">
      <alignment vertical="center"/>
    </xf>
    <xf numFmtId="0" fontId="33" fillId="14" borderId="13" applyNumberFormat="0" applyAlignment="0" applyProtection="0">
      <alignment vertical="center"/>
    </xf>
    <xf numFmtId="0" fontId="33" fillId="14" borderId="13" applyNumberFormat="0" applyAlignment="0" applyProtection="0">
      <alignment vertical="center"/>
    </xf>
    <xf numFmtId="0" fontId="33" fillId="14" borderId="13" applyNumberFormat="0" applyAlignment="0" applyProtection="0">
      <alignment vertical="center"/>
    </xf>
    <xf numFmtId="0" fontId="33" fillId="14" borderId="13" applyNumberFormat="0" applyAlignment="0" applyProtection="0">
      <alignment vertical="center"/>
    </xf>
    <xf numFmtId="0" fontId="33" fillId="14" borderId="13" applyNumberFormat="0" applyAlignment="0" applyProtection="0">
      <alignment vertical="center"/>
    </xf>
    <xf numFmtId="0" fontId="33" fillId="14" borderId="13" applyNumberFormat="0" applyAlignment="0" applyProtection="0">
      <alignment vertical="center"/>
    </xf>
    <xf numFmtId="0" fontId="33" fillId="14" borderId="13" applyNumberFormat="0" applyAlignment="0" applyProtection="0">
      <alignment vertical="center"/>
    </xf>
    <xf numFmtId="0" fontId="33" fillId="14" borderId="13" applyNumberFormat="0" applyAlignment="0" applyProtection="0">
      <alignment vertical="center"/>
    </xf>
    <xf numFmtId="0" fontId="33" fillId="14" borderId="13" applyNumberFormat="0" applyAlignment="0" applyProtection="0">
      <alignment vertical="center"/>
    </xf>
    <xf numFmtId="0" fontId="33" fillId="14" borderId="13" applyNumberFormat="0" applyAlignment="0" applyProtection="0">
      <alignment vertical="center"/>
    </xf>
    <xf numFmtId="0" fontId="33" fillId="14" borderId="13" applyNumberFormat="0" applyAlignment="0" applyProtection="0">
      <alignment vertical="center"/>
    </xf>
    <xf numFmtId="0" fontId="33" fillId="14" borderId="13" applyNumberFormat="0" applyAlignment="0" applyProtection="0">
      <alignment vertical="center"/>
    </xf>
    <xf numFmtId="0" fontId="33" fillId="14" borderId="13" applyNumberFormat="0" applyAlignment="0" applyProtection="0">
      <alignment vertical="center"/>
    </xf>
    <xf numFmtId="0" fontId="33" fillId="14" borderId="13" applyNumberFormat="0" applyAlignment="0" applyProtection="0">
      <alignment vertical="center"/>
    </xf>
    <xf numFmtId="0" fontId="70" fillId="0" borderId="61" applyNumberFormat="0" applyFill="0" applyAlignment="0" applyProtection="0">
      <alignment vertical="center"/>
    </xf>
    <xf numFmtId="0" fontId="70" fillId="0" borderId="61" applyNumberFormat="0" applyFill="0" applyAlignment="0" applyProtection="0">
      <alignment vertical="center"/>
    </xf>
    <xf numFmtId="0" fontId="70" fillId="0" borderId="61" applyNumberFormat="0" applyFill="0" applyAlignment="0" applyProtection="0">
      <alignment vertical="center"/>
    </xf>
    <xf numFmtId="0" fontId="71" fillId="0" borderId="62" applyNumberFormat="0" applyFill="0" applyAlignment="0" applyProtection="0">
      <alignment vertical="center"/>
    </xf>
    <xf numFmtId="0" fontId="71" fillId="0" borderId="62" applyNumberFormat="0" applyFill="0" applyAlignment="0" applyProtection="0">
      <alignment vertical="center"/>
    </xf>
    <xf numFmtId="0" fontId="71" fillId="0" borderId="62" applyNumberFormat="0" applyFill="0" applyAlignment="0" applyProtection="0">
      <alignment vertical="center"/>
    </xf>
    <xf numFmtId="0" fontId="34" fillId="0" borderId="16" applyNumberFormat="0" applyFill="0" applyAlignment="0" applyProtection="0">
      <alignment vertical="center"/>
    </xf>
    <xf numFmtId="0" fontId="34" fillId="0" borderId="16" applyNumberFormat="0" applyFill="0" applyAlignment="0" applyProtection="0">
      <alignment vertical="center"/>
    </xf>
    <xf numFmtId="0" fontId="34" fillId="0" borderId="16" applyNumberFormat="0" applyFill="0" applyAlignment="0" applyProtection="0">
      <alignment vertical="center"/>
    </xf>
    <xf numFmtId="0" fontId="34" fillId="0" borderId="16" applyNumberFormat="0" applyFill="0" applyAlignment="0" applyProtection="0">
      <alignment vertical="center"/>
    </xf>
    <xf numFmtId="0" fontId="34" fillId="0" borderId="16" applyNumberFormat="0" applyFill="0" applyAlignment="0" applyProtection="0">
      <alignment vertical="center"/>
    </xf>
    <xf numFmtId="0" fontId="34" fillId="0" borderId="16" applyNumberFormat="0" applyFill="0" applyAlignment="0" applyProtection="0">
      <alignment vertical="center"/>
    </xf>
    <xf numFmtId="0" fontId="34" fillId="0" borderId="16" applyNumberFormat="0" applyFill="0" applyAlignment="0" applyProtection="0">
      <alignment vertical="center"/>
    </xf>
    <xf numFmtId="0" fontId="34" fillId="0" borderId="16" applyNumberFormat="0" applyFill="0" applyAlignment="0" applyProtection="0">
      <alignment vertical="center"/>
    </xf>
    <xf numFmtId="0" fontId="34" fillId="0" borderId="16" applyNumberFormat="0" applyFill="0" applyAlignment="0" applyProtection="0">
      <alignment vertical="center"/>
    </xf>
    <xf numFmtId="0" fontId="34" fillId="0" borderId="16" applyNumberFormat="0" applyFill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72" fillId="22" borderId="0" applyNumberFormat="0" applyBorder="0" applyAlignment="0" applyProtection="0">
      <alignment vertical="center"/>
    </xf>
    <xf numFmtId="0" fontId="72" fillId="22" borderId="0" applyNumberFormat="0" applyBorder="0" applyAlignment="0" applyProtection="0">
      <alignment vertical="center"/>
    </xf>
    <xf numFmtId="0" fontId="72" fillId="22" borderId="0" applyNumberFormat="0" applyBorder="0" applyAlignment="0" applyProtection="0">
      <alignment vertical="center"/>
    </xf>
    <xf numFmtId="184" fontId="64" fillId="0" borderId="0" applyFont="0" applyFill="0" applyBorder="0" applyAlignment="0" applyProtection="0"/>
    <xf numFmtId="184" fontId="62" fillId="0" borderId="0" applyFont="0" applyFill="0" applyBorder="0" applyAlignment="0" applyProtection="0"/>
    <xf numFmtId="0" fontId="35" fillId="12" borderId="17" applyNumberFormat="0" applyAlignment="0" applyProtection="0">
      <alignment vertical="center"/>
    </xf>
    <xf numFmtId="0" fontId="35" fillId="12" borderId="17" applyNumberFormat="0" applyAlignment="0" applyProtection="0">
      <alignment vertical="center"/>
    </xf>
    <xf numFmtId="0" fontId="35" fillId="12" borderId="17" applyNumberFormat="0" applyAlignment="0" applyProtection="0">
      <alignment vertical="center"/>
    </xf>
    <xf numFmtId="0" fontId="35" fillId="12" borderId="17" applyNumberFormat="0" applyAlignment="0" applyProtection="0">
      <alignment vertical="center"/>
    </xf>
    <xf numFmtId="0" fontId="35" fillId="12" borderId="17" applyNumberFormat="0" applyAlignment="0" applyProtection="0">
      <alignment vertical="center"/>
    </xf>
    <xf numFmtId="0" fontId="35" fillId="12" borderId="17" applyNumberFormat="0" applyAlignment="0" applyProtection="0">
      <alignment vertical="center"/>
    </xf>
    <xf numFmtId="0" fontId="35" fillId="12" borderId="17" applyNumberFormat="0" applyAlignment="0" applyProtection="0">
      <alignment vertical="center"/>
    </xf>
    <xf numFmtId="0" fontId="35" fillId="12" borderId="17" applyNumberFormat="0" applyAlignment="0" applyProtection="0">
      <alignment vertical="center"/>
    </xf>
    <xf numFmtId="0" fontId="35" fillId="12" borderId="17" applyNumberFormat="0" applyAlignment="0" applyProtection="0">
      <alignment vertical="center"/>
    </xf>
    <xf numFmtId="0" fontId="35" fillId="12" borderId="17" applyNumberFormat="0" applyAlignment="0" applyProtection="0">
      <alignment vertical="center"/>
    </xf>
    <xf numFmtId="0" fontId="35" fillId="12" borderId="17" applyNumberFormat="0" applyAlignment="0" applyProtection="0">
      <alignment vertical="center"/>
    </xf>
    <xf numFmtId="0" fontId="35" fillId="12" borderId="17" applyNumberFormat="0" applyAlignment="0" applyProtection="0">
      <alignment vertical="center"/>
    </xf>
    <xf numFmtId="0" fontId="35" fillId="12" borderId="17" applyNumberFormat="0" applyAlignment="0" applyProtection="0">
      <alignment vertical="center"/>
    </xf>
    <xf numFmtId="0" fontId="35" fillId="12" borderId="17" applyNumberFormat="0" applyAlignment="0" applyProtection="0">
      <alignment vertical="center"/>
    </xf>
    <xf numFmtId="0" fontId="35" fillId="12" borderId="17" applyNumberFormat="0" applyAlignment="0" applyProtection="0">
      <alignment vertical="center"/>
    </xf>
    <xf numFmtId="0" fontId="35" fillId="12" borderId="17" applyNumberFormat="0" applyAlignment="0" applyProtection="0">
      <alignment vertical="center"/>
    </xf>
    <xf numFmtId="0" fontId="35" fillId="12" borderId="17" applyNumberFormat="0" applyAlignment="0" applyProtection="0">
      <alignment vertical="center"/>
    </xf>
    <xf numFmtId="0" fontId="35" fillId="12" borderId="17" applyNumberFormat="0" applyAlignment="0" applyProtection="0">
      <alignment vertical="center"/>
    </xf>
    <xf numFmtId="0" fontId="35" fillId="12" borderId="17" applyNumberFormat="0" applyAlignment="0" applyProtection="0">
      <alignment vertical="center"/>
    </xf>
    <xf numFmtId="0" fontId="35" fillId="12" borderId="17" applyNumberFormat="0" applyAlignment="0" applyProtection="0">
      <alignment vertical="center"/>
    </xf>
    <xf numFmtId="0" fontId="35" fillId="12" borderId="17" applyNumberFormat="0" applyAlignment="0" applyProtection="0">
      <alignment vertical="center"/>
    </xf>
    <xf numFmtId="0" fontId="35" fillId="12" borderId="17" applyNumberFormat="0" applyAlignment="0" applyProtection="0">
      <alignment vertical="center"/>
    </xf>
    <xf numFmtId="0" fontId="35" fillId="12" borderId="17" applyNumberFormat="0" applyAlignment="0" applyProtection="0">
      <alignment vertical="center"/>
    </xf>
    <xf numFmtId="0" fontId="35" fillId="12" borderId="17" applyNumberFormat="0" applyAlignment="0" applyProtection="0">
      <alignment vertical="center"/>
    </xf>
    <xf numFmtId="0" fontId="35" fillId="12" borderId="17" applyNumberFormat="0" applyAlignment="0" applyProtection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22" fillId="0" borderId="0"/>
    <xf numFmtId="0" fontId="28" fillId="0" borderId="0"/>
    <xf numFmtId="0" fontId="22" fillId="0" borderId="0"/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22" fillId="0" borderId="0"/>
    <xf numFmtId="0" fontId="28" fillId="0" borderId="0"/>
    <xf numFmtId="0" fontId="22" fillId="0" borderId="0"/>
    <xf numFmtId="0" fontId="30" fillId="0" borderId="0">
      <alignment vertical="center"/>
    </xf>
    <xf numFmtId="0" fontId="30" fillId="0" borderId="0">
      <alignment vertical="center"/>
    </xf>
    <xf numFmtId="0" fontId="22" fillId="0" borderId="0"/>
    <xf numFmtId="0" fontId="28" fillId="0" borderId="0"/>
    <xf numFmtId="0" fontId="22" fillId="0" borderId="0"/>
    <xf numFmtId="0" fontId="30" fillId="0" borderId="0">
      <alignment vertical="center"/>
    </xf>
    <xf numFmtId="0" fontId="30" fillId="0" borderId="0">
      <alignment vertical="center"/>
    </xf>
    <xf numFmtId="0" fontId="22" fillId="0" borderId="0"/>
    <xf numFmtId="0" fontId="22" fillId="0" borderId="0"/>
    <xf numFmtId="0" fontId="22" fillId="0" borderId="0"/>
    <xf numFmtId="0" fontId="22" fillId="0" borderId="0"/>
    <xf numFmtId="0" fontId="59" fillId="0" borderId="0">
      <alignment vertical="center"/>
    </xf>
    <xf numFmtId="0" fontId="64" fillId="0" borderId="0"/>
    <xf numFmtId="0" fontId="62" fillId="0" borderId="0"/>
    <xf numFmtId="0" fontId="30" fillId="0" borderId="0">
      <alignment vertical="center"/>
    </xf>
    <xf numFmtId="0" fontId="30" fillId="0" borderId="0">
      <alignment vertical="center"/>
    </xf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30" fillId="0" borderId="0">
      <alignment vertical="center"/>
    </xf>
    <xf numFmtId="0" fontId="59" fillId="0" borderId="0">
      <alignment vertical="center"/>
    </xf>
    <xf numFmtId="0" fontId="30" fillId="0" borderId="0">
      <alignment vertical="center"/>
    </xf>
    <xf numFmtId="0" fontId="60" fillId="0" borderId="0"/>
    <xf numFmtId="0" fontId="30" fillId="0" borderId="0">
      <alignment vertical="center"/>
    </xf>
    <xf numFmtId="0" fontId="31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1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1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22" fillId="0" borderId="0"/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22" fillId="0" borderId="0"/>
    <xf numFmtId="0" fontId="22" fillId="0" borderId="0"/>
    <xf numFmtId="0" fontId="31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1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1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1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1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1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1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1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1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1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1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1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1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1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1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1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1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1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1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22" fillId="0" borderId="0"/>
    <xf numFmtId="0" fontId="30" fillId="0" borderId="0">
      <alignment vertical="center"/>
    </xf>
    <xf numFmtId="0" fontId="67" fillId="0" borderId="0">
      <alignment vertical="center"/>
    </xf>
    <xf numFmtId="0" fontId="68" fillId="0" borderId="0">
      <alignment vertical="center"/>
    </xf>
    <xf numFmtId="0" fontId="22" fillId="0" borderId="0"/>
    <xf numFmtId="0" fontId="62" fillId="0" borderId="0"/>
    <xf numFmtId="0" fontId="62" fillId="0" borderId="0"/>
    <xf numFmtId="0" fontId="62" fillId="0" borderId="0"/>
    <xf numFmtId="0" fontId="22" fillId="0" borderId="0"/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</cellStyleXfs>
  <cellXfs count="716">
    <xf numFmtId="0" fontId="0" fillId="0" borderId="0" xfId="0">
      <alignment vertical="center"/>
    </xf>
    <xf numFmtId="41" fontId="3" fillId="0" borderId="0" xfId="1" applyFont="1">
      <alignment vertical="center"/>
    </xf>
    <xf numFmtId="41" fontId="0" fillId="0" borderId="0" xfId="1" applyFont="1">
      <alignment vertical="center"/>
    </xf>
    <xf numFmtId="41" fontId="5" fillId="2" borderId="0" xfId="1" applyFont="1" applyFill="1" applyAlignment="1">
      <alignment horizontal="centerContinuous" vertical="center"/>
    </xf>
    <xf numFmtId="41" fontId="0" fillId="2" borderId="0" xfId="1" applyFont="1" applyFill="1" applyAlignment="1">
      <alignment horizontal="centerContinuous" vertical="center"/>
    </xf>
    <xf numFmtId="41" fontId="0" fillId="0" borderId="0" xfId="1" applyFont="1" applyFill="1">
      <alignment vertical="center"/>
    </xf>
    <xf numFmtId="41" fontId="6" fillId="0" borderId="0" xfId="1" applyFont="1" applyFill="1">
      <alignment vertical="center"/>
    </xf>
    <xf numFmtId="41" fontId="5" fillId="0" borderId="0" xfId="1" applyFont="1" applyFill="1">
      <alignment vertical="center"/>
    </xf>
    <xf numFmtId="41" fontId="5" fillId="0" borderId="0" xfId="1" applyFont="1" applyFill="1" applyAlignment="1">
      <alignment horizontal="centerContinuous" vertical="center"/>
    </xf>
    <xf numFmtId="41" fontId="0" fillId="0" borderId="0" xfId="1" applyFont="1" applyFill="1" applyAlignment="1">
      <alignment horizontal="centerContinuous" vertical="center"/>
    </xf>
    <xf numFmtId="41" fontId="8" fillId="0" borderId="0" xfId="1" applyFont="1">
      <alignment vertical="center"/>
    </xf>
    <xf numFmtId="41" fontId="9" fillId="0" borderId="0" xfId="1" applyFont="1">
      <alignment vertical="center"/>
    </xf>
    <xf numFmtId="41" fontId="10" fillId="0" borderId="0" xfId="1" applyFont="1">
      <alignment vertical="center"/>
    </xf>
    <xf numFmtId="41" fontId="7" fillId="0" borderId="0" xfId="1" applyFont="1">
      <alignment vertical="center"/>
    </xf>
    <xf numFmtId="41" fontId="11" fillId="0" borderId="0" xfId="1" applyFont="1">
      <alignment vertical="center"/>
    </xf>
    <xf numFmtId="41" fontId="12" fillId="0" borderId="0" xfId="1" applyFont="1">
      <alignment vertical="center"/>
    </xf>
    <xf numFmtId="41" fontId="12" fillId="4" borderId="0" xfId="1" applyFont="1" applyFill="1" applyAlignment="1">
      <alignment horizontal="centerContinuous" vertical="center"/>
    </xf>
    <xf numFmtId="41" fontId="12" fillId="5" borderId="0" xfId="1" applyFont="1" applyFill="1" applyAlignment="1">
      <alignment horizontal="centerContinuous" vertical="center"/>
    </xf>
    <xf numFmtId="41" fontId="13" fillId="6" borderId="0" xfId="1" applyFont="1" applyFill="1" applyAlignment="1">
      <alignment horizontal="centerContinuous" vertical="center"/>
    </xf>
    <xf numFmtId="41" fontId="12" fillId="7" borderId="0" xfId="1" applyFont="1" applyFill="1" applyAlignment="1">
      <alignment horizontal="centerContinuous" vertical="center"/>
    </xf>
    <xf numFmtId="41" fontId="7" fillId="7" borderId="0" xfId="1" applyFont="1" applyFill="1" applyAlignment="1">
      <alignment horizontal="centerContinuous" vertical="center"/>
    </xf>
    <xf numFmtId="41" fontId="12" fillId="8" borderId="0" xfId="1" applyFont="1" applyFill="1" applyAlignment="1">
      <alignment horizontal="centerContinuous" vertical="center"/>
    </xf>
    <xf numFmtId="41" fontId="7" fillId="8" borderId="0" xfId="1" applyFont="1" applyFill="1" applyAlignment="1">
      <alignment horizontal="centerContinuous" vertical="center"/>
    </xf>
    <xf numFmtId="41" fontId="14" fillId="0" borderId="0" xfId="1" applyFont="1">
      <alignment vertical="center"/>
    </xf>
    <xf numFmtId="41" fontId="7" fillId="0" borderId="0" xfId="1" applyFont="1" applyAlignment="1">
      <alignment horizontal="centerContinuous" vertical="center"/>
    </xf>
    <xf numFmtId="41" fontId="12" fillId="0" borderId="0" xfId="1" applyFont="1" applyAlignment="1">
      <alignment horizontal="centerContinuous" vertical="center"/>
    </xf>
    <xf numFmtId="41" fontId="12" fillId="9" borderId="0" xfId="1" applyFont="1" applyFill="1" applyAlignment="1">
      <alignment horizontal="centerContinuous" vertical="center"/>
    </xf>
    <xf numFmtId="41" fontId="7" fillId="9" borderId="0" xfId="1" applyFont="1" applyFill="1" applyAlignment="1">
      <alignment horizontal="centerContinuous" vertical="center"/>
    </xf>
    <xf numFmtId="41" fontId="15" fillId="0" borderId="0" xfId="1" applyFont="1">
      <alignment vertical="center"/>
    </xf>
    <xf numFmtId="41" fontId="16" fillId="0" borderId="0" xfId="1" applyFont="1">
      <alignment vertical="center"/>
    </xf>
    <xf numFmtId="41" fontId="17" fillId="10" borderId="0" xfId="1" applyFont="1" applyFill="1" applyAlignment="1">
      <alignment horizontal="centerContinuous" vertical="center"/>
    </xf>
    <xf numFmtId="41" fontId="18" fillId="10" borderId="0" xfId="1" applyFont="1" applyFill="1" applyAlignment="1">
      <alignment horizontal="centerContinuous" vertical="center"/>
    </xf>
    <xf numFmtId="41" fontId="7" fillId="0" borderId="0" xfId="1" quotePrefix="1" applyFont="1" applyAlignment="1">
      <alignment horizontal="centerContinuous" vertical="center"/>
    </xf>
    <xf numFmtId="41" fontId="7" fillId="0" borderId="0" xfId="1" applyFont="1" applyFill="1">
      <alignment vertical="center"/>
    </xf>
    <xf numFmtId="41" fontId="15" fillId="0" borderId="0" xfId="1" applyFont="1" applyFill="1">
      <alignment vertical="center"/>
    </xf>
    <xf numFmtId="41" fontId="12" fillId="10" borderId="0" xfId="1" applyFont="1" applyFill="1" applyAlignment="1">
      <alignment horizontal="centerContinuous" vertical="center"/>
    </xf>
    <xf numFmtId="41" fontId="12" fillId="0" borderId="0" xfId="1" applyFont="1" applyFill="1" applyAlignment="1">
      <alignment horizontal="centerContinuous" vertical="center"/>
    </xf>
    <xf numFmtId="41" fontId="7" fillId="0" borderId="0" xfId="1" applyFont="1" applyFill="1" applyAlignment="1">
      <alignment horizontal="centerContinuous" vertical="center"/>
    </xf>
    <xf numFmtId="41" fontId="12" fillId="0" borderId="0" xfId="1" applyFont="1" applyFill="1">
      <alignment vertical="center"/>
    </xf>
    <xf numFmtId="41" fontId="14" fillId="0" borderId="0" xfId="1" applyFont="1" applyAlignment="1">
      <alignment horizontal="centerContinuous" vertical="center"/>
    </xf>
    <xf numFmtId="41" fontId="7" fillId="11" borderId="0" xfId="1" applyFont="1" applyFill="1">
      <alignment vertical="center"/>
    </xf>
    <xf numFmtId="41" fontId="19" fillId="0" borderId="0" xfId="1" applyFont="1">
      <alignment vertical="center"/>
    </xf>
    <xf numFmtId="0" fontId="36" fillId="0" borderId="0" xfId="66" applyFont="1">
      <alignment vertical="center"/>
    </xf>
    <xf numFmtId="0" fontId="2" fillId="0" borderId="0" xfId="66" applyFill="1" applyBorder="1">
      <alignment vertical="center"/>
    </xf>
    <xf numFmtId="41" fontId="37" fillId="0" borderId="0" xfId="1" applyFont="1">
      <alignment vertical="center"/>
    </xf>
    <xf numFmtId="0" fontId="12" fillId="0" borderId="0" xfId="66" applyFont="1" applyFill="1" applyBorder="1" applyAlignment="1">
      <alignment horizontal="center" vertical="center"/>
    </xf>
    <xf numFmtId="41" fontId="12" fillId="15" borderId="20" xfId="1" applyFont="1" applyFill="1" applyBorder="1" applyAlignment="1">
      <alignment horizontal="center" vertical="center"/>
    </xf>
    <xf numFmtId="41" fontId="12" fillId="16" borderId="21" xfId="1" applyFont="1" applyFill="1" applyBorder="1" applyAlignment="1">
      <alignment horizontal="centerContinuous" vertical="center"/>
    </xf>
    <xf numFmtId="41" fontId="12" fillId="16" borderId="19" xfId="1" applyFont="1" applyFill="1" applyBorder="1" applyAlignment="1">
      <alignment horizontal="centerContinuous" vertical="center"/>
    </xf>
    <xf numFmtId="41" fontId="12" fillId="16" borderId="20" xfId="1" applyFont="1" applyFill="1" applyBorder="1" applyAlignment="1">
      <alignment horizontal="centerContinuous" vertical="center"/>
    </xf>
    <xf numFmtId="0" fontId="7" fillId="0" borderId="0" xfId="66" applyFont="1" applyFill="1" applyBorder="1" applyAlignment="1">
      <alignment horizontal="center" vertical="center"/>
    </xf>
    <xf numFmtId="41" fontId="12" fillId="17" borderId="24" xfId="1" applyFont="1" applyFill="1" applyBorder="1" applyAlignment="1">
      <alignment horizontal="center" vertical="center"/>
    </xf>
    <xf numFmtId="41" fontId="12" fillId="17" borderId="25" xfId="1" applyFont="1" applyFill="1" applyBorder="1" applyAlignment="1">
      <alignment horizontal="center" vertical="center"/>
    </xf>
    <xf numFmtId="41" fontId="12" fillId="17" borderId="26" xfId="1" applyFont="1" applyFill="1" applyBorder="1" applyAlignment="1">
      <alignment horizontal="center" vertical="center"/>
    </xf>
    <xf numFmtId="41" fontId="12" fillId="16" borderId="27" xfId="1" applyFont="1" applyFill="1" applyBorder="1" applyAlignment="1">
      <alignment horizontal="center" vertical="center"/>
    </xf>
    <xf numFmtId="41" fontId="9" fillId="0" borderId="19" xfId="1" applyFont="1" applyFill="1" applyBorder="1">
      <alignment vertical="center"/>
    </xf>
    <xf numFmtId="41" fontId="12" fillId="0" borderId="19" xfId="1" applyFont="1" applyFill="1" applyBorder="1">
      <alignment vertical="center"/>
    </xf>
    <xf numFmtId="41" fontId="12" fillId="0" borderId="20" xfId="1" applyFont="1" applyFill="1" applyBorder="1">
      <alignment vertical="center"/>
    </xf>
    <xf numFmtId="0" fontId="12" fillId="0" borderId="0" xfId="66" applyFont="1" applyFill="1" applyBorder="1">
      <alignment vertical="center"/>
    </xf>
    <xf numFmtId="41" fontId="12" fillId="0" borderId="21" xfId="1" applyFont="1" applyFill="1" applyBorder="1">
      <alignment vertical="center"/>
    </xf>
    <xf numFmtId="41" fontId="12" fillId="0" borderId="29" xfId="1" applyFont="1" applyFill="1" applyBorder="1">
      <alignment vertical="center"/>
    </xf>
    <xf numFmtId="41" fontId="12" fillId="0" borderId="30" xfId="1" applyFont="1" applyFill="1" applyBorder="1">
      <alignment vertical="center"/>
    </xf>
    <xf numFmtId="41" fontId="12" fillId="0" borderId="31" xfId="1" applyFont="1" applyBorder="1">
      <alignment vertical="center"/>
    </xf>
    <xf numFmtId="41" fontId="12" fillId="0" borderId="19" xfId="1" applyFont="1" applyBorder="1">
      <alignment vertical="center"/>
    </xf>
    <xf numFmtId="41" fontId="9" fillId="0" borderId="32" xfId="1" applyFont="1" applyFill="1" applyBorder="1">
      <alignment vertical="center"/>
    </xf>
    <xf numFmtId="41" fontId="12" fillId="0" borderId="32" xfId="1" applyFont="1" applyFill="1" applyBorder="1">
      <alignment vertical="center"/>
    </xf>
    <xf numFmtId="41" fontId="12" fillId="0" borderId="33" xfId="1" applyFont="1" applyFill="1" applyBorder="1">
      <alignment vertical="center"/>
    </xf>
    <xf numFmtId="41" fontId="12" fillId="0" borderId="34" xfId="1" applyFont="1" applyFill="1" applyBorder="1">
      <alignment vertical="center"/>
    </xf>
    <xf numFmtId="41" fontId="12" fillId="0" borderId="35" xfId="1" applyFont="1" applyFill="1" applyBorder="1">
      <alignment vertical="center"/>
    </xf>
    <xf numFmtId="41" fontId="12" fillId="0" borderId="36" xfId="1" applyFont="1" applyFill="1" applyBorder="1">
      <alignment vertical="center"/>
    </xf>
    <xf numFmtId="41" fontId="7" fillId="0" borderId="31" xfId="1" applyFont="1" applyBorder="1">
      <alignment vertical="center"/>
    </xf>
    <xf numFmtId="41" fontId="12" fillId="0" borderId="0" xfId="1" applyFont="1" applyBorder="1">
      <alignment vertical="center"/>
    </xf>
    <xf numFmtId="41" fontId="9" fillId="0" borderId="37" xfId="1" applyFont="1" applyFill="1" applyBorder="1">
      <alignment vertical="center"/>
    </xf>
    <xf numFmtId="41" fontId="12" fillId="0" borderId="37" xfId="1" applyFont="1" applyFill="1" applyBorder="1">
      <alignment vertical="center"/>
    </xf>
    <xf numFmtId="41" fontId="12" fillId="0" borderId="38" xfId="1" applyFont="1" applyFill="1" applyBorder="1">
      <alignment vertical="center"/>
    </xf>
    <xf numFmtId="41" fontId="12" fillId="0" borderId="24" xfId="1" applyFont="1" applyFill="1" applyBorder="1">
      <alignment vertical="center"/>
    </xf>
    <xf numFmtId="41" fontId="12" fillId="0" borderId="25" xfId="1" applyFont="1" applyFill="1" applyBorder="1">
      <alignment vertical="center"/>
    </xf>
    <xf numFmtId="41" fontId="12" fillId="0" borderId="39" xfId="1" applyFont="1" applyFill="1" applyBorder="1">
      <alignment vertical="center"/>
    </xf>
    <xf numFmtId="41" fontId="12" fillId="0" borderId="0" xfId="1" applyFont="1" applyFill="1" applyBorder="1">
      <alignment vertical="center"/>
    </xf>
    <xf numFmtId="41" fontId="7" fillId="0" borderId="0" xfId="1" applyFont="1" applyFill="1" applyBorder="1">
      <alignment vertical="center"/>
    </xf>
    <xf numFmtId="0" fontId="7" fillId="0" borderId="0" xfId="66" applyFont="1" applyFill="1" applyBorder="1">
      <alignment vertical="center"/>
    </xf>
    <xf numFmtId="41" fontId="7" fillId="0" borderId="0" xfId="1" applyFont="1" applyBorder="1">
      <alignment vertical="center"/>
    </xf>
    <xf numFmtId="41" fontId="9" fillId="8" borderId="19" xfId="1" applyFont="1" applyFill="1" applyBorder="1">
      <alignment vertical="center"/>
    </xf>
    <xf numFmtId="41" fontId="12" fillId="8" borderId="19" xfId="1" applyFont="1" applyFill="1" applyBorder="1">
      <alignment vertical="center"/>
    </xf>
    <xf numFmtId="41" fontId="12" fillId="8" borderId="20" xfId="1" applyFont="1" applyFill="1" applyBorder="1">
      <alignment vertical="center"/>
    </xf>
    <xf numFmtId="0" fontId="12" fillId="8" borderId="0" xfId="66" applyFont="1" applyFill="1" applyBorder="1">
      <alignment vertical="center"/>
    </xf>
    <xf numFmtId="41" fontId="12" fillId="8" borderId="21" xfId="1" applyFont="1" applyFill="1" applyBorder="1">
      <alignment vertical="center"/>
    </xf>
    <xf numFmtId="41" fontId="12" fillId="8" borderId="29" xfId="1" applyFont="1" applyFill="1" applyBorder="1">
      <alignment vertical="center"/>
    </xf>
    <xf numFmtId="41" fontId="12" fillId="8" borderId="30" xfId="1" applyFont="1" applyFill="1" applyBorder="1">
      <alignment vertical="center"/>
    </xf>
    <xf numFmtId="41" fontId="7" fillId="8" borderId="0" xfId="1" applyFont="1" applyFill="1" applyBorder="1">
      <alignment vertical="center"/>
    </xf>
    <xf numFmtId="41" fontId="7" fillId="8" borderId="40" xfId="1" applyFont="1" applyFill="1" applyBorder="1">
      <alignment vertical="center"/>
    </xf>
    <xf numFmtId="41" fontId="7" fillId="8" borderId="41" xfId="1" applyFont="1" applyFill="1" applyBorder="1">
      <alignment vertical="center"/>
    </xf>
    <xf numFmtId="41" fontId="7" fillId="8" borderId="42" xfId="1" applyFont="1" applyFill="1" applyBorder="1">
      <alignment vertical="center"/>
    </xf>
    <xf numFmtId="0" fontId="7" fillId="8" borderId="0" xfId="66" applyFont="1" applyFill="1" applyBorder="1">
      <alignment vertical="center"/>
    </xf>
    <xf numFmtId="41" fontId="7" fillId="8" borderId="43" xfId="1" applyFont="1" applyFill="1" applyBorder="1">
      <alignment vertical="center"/>
    </xf>
    <xf numFmtId="41" fontId="7" fillId="8" borderId="44" xfId="1" applyFont="1" applyFill="1" applyBorder="1">
      <alignment vertical="center"/>
    </xf>
    <xf numFmtId="41" fontId="7" fillId="8" borderId="45" xfId="1" applyFont="1" applyFill="1" applyBorder="1">
      <alignment vertical="center"/>
    </xf>
    <xf numFmtId="41" fontId="7" fillId="8" borderId="46" xfId="1" applyFont="1" applyFill="1" applyBorder="1">
      <alignment vertical="center"/>
    </xf>
    <xf numFmtId="41" fontId="7" fillId="8" borderId="31" xfId="1" applyFont="1" applyFill="1" applyBorder="1">
      <alignment vertical="center"/>
    </xf>
    <xf numFmtId="41" fontId="7" fillId="8" borderId="47" xfId="1" applyFont="1" applyFill="1" applyBorder="1">
      <alignment vertical="center"/>
    </xf>
    <xf numFmtId="41" fontId="7" fillId="8" borderId="48" xfId="1" applyFont="1" applyFill="1" applyBorder="1">
      <alignment vertical="center"/>
    </xf>
    <xf numFmtId="41" fontId="7" fillId="8" borderId="49" xfId="1" applyFont="1" applyFill="1" applyBorder="1">
      <alignment vertical="center"/>
    </xf>
    <xf numFmtId="41" fontId="7" fillId="8" borderId="50" xfId="1" applyFont="1" applyFill="1" applyBorder="1">
      <alignment vertical="center"/>
    </xf>
    <xf numFmtId="41" fontId="7" fillId="8" borderId="51" xfId="1" applyFont="1" applyFill="1" applyBorder="1">
      <alignment vertical="center"/>
    </xf>
    <xf numFmtId="41" fontId="7" fillId="8" borderId="52" xfId="1" applyFont="1" applyFill="1" applyBorder="1">
      <alignment vertical="center"/>
    </xf>
    <xf numFmtId="41" fontId="7" fillId="8" borderId="22" xfId="1" applyFont="1" applyFill="1" applyBorder="1">
      <alignment vertical="center"/>
    </xf>
    <xf numFmtId="41" fontId="7" fillId="8" borderId="53" xfId="1" applyFont="1" applyFill="1" applyBorder="1">
      <alignment vertical="center"/>
    </xf>
    <xf numFmtId="41" fontId="7" fillId="8" borderId="23" xfId="1" applyFont="1" applyFill="1" applyBorder="1">
      <alignment vertical="center"/>
    </xf>
    <xf numFmtId="41" fontId="7" fillId="8" borderId="28" xfId="1" applyFont="1" applyFill="1" applyBorder="1">
      <alignment vertical="center"/>
    </xf>
    <xf numFmtId="41" fontId="7" fillId="8" borderId="27" xfId="1" applyFont="1" applyFill="1" applyBorder="1">
      <alignment vertical="center"/>
    </xf>
    <xf numFmtId="41" fontId="9" fillId="18" borderId="19" xfId="1" applyFont="1" applyFill="1" applyBorder="1">
      <alignment vertical="center"/>
    </xf>
    <xf numFmtId="41" fontId="12" fillId="18" borderId="19" xfId="1" applyFont="1" applyFill="1" applyBorder="1">
      <alignment vertical="center"/>
    </xf>
    <xf numFmtId="41" fontId="12" fillId="18" borderId="20" xfId="1" applyFont="1" applyFill="1" applyBorder="1">
      <alignment vertical="center"/>
    </xf>
    <xf numFmtId="0" fontId="12" fillId="18" borderId="0" xfId="66" applyFont="1" applyFill="1" applyBorder="1">
      <alignment vertical="center"/>
    </xf>
    <xf numFmtId="41" fontId="12" fillId="18" borderId="21" xfId="1" applyFont="1" applyFill="1" applyBorder="1">
      <alignment vertical="center"/>
    </xf>
    <xf numFmtId="41" fontId="12" fillId="18" borderId="29" xfId="1" applyFont="1" applyFill="1" applyBorder="1">
      <alignment vertical="center"/>
    </xf>
    <xf numFmtId="41" fontId="12" fillId="18" borderId="30" xfId="1" applyFont="1" applyFill="1" applyBorder="1">
      <alignment vertical="center"/>
    </xf>
    <xf numFmtId="41" fontId="12" fillId="18" borderId="0" xfId="1" applyFont="1" applyFill="1" applyBorder="1">
      <alignment vertical="center"/>
    </xf>
    <xf numFmtId="41" fontId="12" fillId="18" borderId="40" xfId="1" applyFont="1" applyFill="1" applyBorder="1">
      <alignment vertical="center"/>
    </xf>
    <xf numFmtId="41" fontId="12" fillId="18" borderId="41" xfId="1" applyFont="1" applyFill="1" applyBorder="1">
      <alignment vertical="center"/>
    </xf>
    <xf numFmtId="41" fontId="12" fillId="18" borderId="42" xfId="1" applyFont="1" applyFill="1" applyBorder="1">
      <alignment vertical="center"/>
    </xf>
    <xf numFmtId="41" fontId="12" fillId="18" borderId="43" xfId="1" applyFont="1" applyFill="1" applyBorder="1">
      <alignment vertical="center"/>
    </xf>
    <xf numFmtId="41" fontId="12" fillId="18" borderId="44" xfId="1" applyFont="1" applyFill="1" applyBorder="1">
      <alignment vertical="center"/>
    </xf>
    <xf numFmtId="41" fontId="7" fillId="18" borderId="0" xfId="1" applyFont="1" applyFill="1" applyBorder="1">
      <alignment vertical="center"/>
    </xf>
    <xf numFmtId="41" fontId="7" fillId="18" borderId="45" xfId="1" applyFont="1" applyFill="1" applyBorder="1">
      <alignment vertical="center"/>
    </xf>
    <xf numFmtId="41" fontId="7" fillId="18" borderId="40" xfId="1" applyFont="1" applyFill="1" applyBorder="1">
      <alignment vertical="center"/>
    </xf>
    <xf numFmtId="41" fontId="7" fillId="18" borderId="41" xfId="1" applyFont="1" applyFill="1" applyBorder="1">
      <alignment vertical="center"/>
    </xf>
    <xf numFmtId="41" fontId="7" fillId="18" borderId="42" xfId="1" applyFont="1" applyFill="1" applyBorder="1">
      <alignment vertical="center"/>
    </xf>
    <xf numFmtId="0" fontId="7" fillId="18" borderId="0" xfId="66" applyFont="1" applyFill="1" applyBorder="1">
      <alignment vertical="center"/>
    </xf>
    <xf numFmtId="41" fontId="7" fillId="18" borderId="43" xfId="1" applyFont="1" applyFill="1" applyBorder="1">
      <alignment vertical="center"/>
    </xf>
    <xf numFmtId="41" fontId="7" fillId="18" borderId="44" xfId="1" applyFont="1" applyFill="1" applyBorder="1">
      <alignment vertical="center"/>
    </xf>
    <xf numFmtId="41" fontId="7" fillId="18" borderId="46" xfId="1" applyFont="1" applyFill="1" applyBorder="1">
      <alignment vertical="center"/>
    </xf>
    <xf numFmtId="41" fontId="7" fillId="18" borderId="31" xfId="1" applyFont="1" applyFill="1" applyBorder="1">
      <alignment vertical="center"/>
    </xf>
    <xf numFmtId="41" fontId="7" fillId="18" borderId="47" xfId="1" applyFont="1" applyFill="1" applyBorder="1">
      <alignment vertical="center"/>
    </xf>
    <xf numFmtId="41" fontId="7" fillId="18" borderId="48" xfId="1" applyFont="1" applyFill="1" applyBorder="1">
      <alignment vertical="center"/>
    </xf>
    <xf numFmtId="41" fontId="7" fillId="18" borderId="49" xfId="1" applyFont="1" applyFill="1" applyBorder="1">
      <alignment vertical="center"/>
    </xf>
    <xf numFmtId="41" fontId="7" fillId="18" borderId="50" xfId="1" applyFont="1" applyFill="1" applyBorder="1">
      <alignment vertical="center"/>
    </xf>
    <xf numFmtId="41" fontId="7" fillId="18" borderId="51" xfId="1" applyFont="1" applyFill="1" applyBorder="1">
      <alignment vertical="center"/>
    </xf>
    <xf numFmtId="41" fontId="7" fillId="18" borderId="52" xfId="1" applyFont="1" applyFill="1" applyBorder="1">
      <alignment vertical="center"/>
    </xf>
    <xf numFmtId="41" fontId="7" fillId="18" borderId="54" xfId="1" applyFont="1" applyFill="1" applyBorder="1">
      <alignment vertical="center"/>
    </xf>
    <xf numFmtId="41" fontId="7" fillId="18" borderId="55" xfId="1" applyFont="1" applyFill="1" applyBorder="1">
      <alignment vertical="center"/>
    </xf>
    <xf numFmtId="41" fontId="7" fillId="18" borderId="56" xfId="1" applyFont="1" applyFill="1" applyBorder="1">
      <alignment vertical="center"/>
    </xf>
    <xf numFmtId="41" fontId="7" fillId="18" borderId="57" xfId="1" applyFont="1" applyFill="1" applyBorder="1">
      <alignment vertical="center"/>
    </xf>
    <xf numFmtId="41" fontId="7" fillId="18" borderId="58" xfId="1" applyFont="1" applyFill="1" applyBorder="1">
      <alignment vertical="center"/>
    </xf>
    <xf numFmtId="41" fontId="7" fillId="18" borderId="22" xfId="1" applyFont="1" applyFill="1" applyBorder="1">
      <alignment vertical="center"/>
    </xf>
    <xf numFmtId="41" fontId="7" fillId="18" borderId="53" xfId="1" applyFont="1" applyFill="1" applyBorder="1">
      <alignment vertical="center"/>
    </xf>
    <xf numFmtId="41" fontId="7" fillId="18" borderId="23" xfId="1" applyFont="1" applyFill="1" applyBorder="1">
      <alignment vertical="center"/>
    </xf>
    <xf numFmtId="41" fontId="7" fillId="18" borderId="28" xfId="1" applyFont="1" applyFill="1" applyBorder="1">
      <alignment vertical="center"/>
    </xf>
    <xf numFmtId="41" fontId="7" fillId="18" borderId="27" xfId="1" applyFont="1" applyFill="1" applyBorder="1">
      <alignment vertical="center"/>
    </xf>
    <xf numFmtId="41" fontId="9" fillId="19" borderId="19" xfId="1" applyFont="1" applyFill="1" applyBorder="1">
      <alignment vertical="center"/>
    </xf>
    <xf numFmtId="41" fontId="12" fillId="19" borderId="19" xfId="1" applyFont="1" applyFill="1" applyBorder="1">
      <alignment vertical="center"/>
    </xf>
    <xf numFmtId="41" fontId="12" fillId="19" borderId="20" xfId="1" applyFont="1" applyFill="1" applyBorder="1">
      <alignment vertical="center"/>
    </xf>
    <xf numFmtId="0" fontId="12" fillId="19" borderId="0" xfId="66" applyFont="1" applyFill="1" applyBorder="1">
      <alignment vertical="center"/>
    </xf>
    <xf numFmtId="41" fontId="12" fillId="19" borderId="21" xfId="1" applyFont="1" applyFill="1" applyBorder="1">
      <alignment vertical="center"/>
    </xf>
    <xf numFmtId="41" fontId="12" fillId="19" borderId="29" xfId="1" applyFont="1" applyFill="1" applyBorder="1">
      <alignment vertical="center"/>
    </xf>
    <xf numFmtId="41" fontId="12" fillId="19" borderId="30" xfId="1" applyFont="1" applyFill="1" applyBorder="1">
      <alignment vertical="center"/>
    </xf>
    <xf numFmtId="41" fontId="12" fillId="19" borderId="0" xfId="1" applyFont="1" applyFill="1" applyBorder="1">
      <alignment vertical="center"/>
    </xf>
    <xf numFmtId="41" fontId="12" fillId="19" borderId="40" xfId="1" applyFont="1" applyFill="1" applyBorder="1">
      <alignment vertical="center"/>
    </xf>
    <xf numFmtId="41" fontId="12" fillId="19" borderId="41" xfId="1" applyFont="1" applyFill="1" applyBorder="1">
      <alignment vertical="center"/>
    </xf>
    <xf numFmtId="41" fontId="12" fillId="19" borderId="42" xfId="1" applyFont="1" applyFill="1" applyBorder="1">
      <alignment vertical="center"/>
    </xf>
    <xf numFmtId="41" fontId="12" fillId="19" borderId="43" xfId="1" applyFont="1" applyFill="1" applyBorder="1">
      <alignment vertical="center"/>
    </xf>
    <xf numFmtId="41" fontId="12" fillId="19" borderId="44" xfId="1" applyFont="1" applyFill="1" applyBorder="1">
      <alignment vertical="center"/>
    </xf>
    <xf numFmtId="41" fontId="7" fillId="19" borderId="0" xfId="1" applyFont="1" applyFill="1" applyBorder="1">
      <alignment vertical="center"/>
    </xf>
    <xf numFmtId="41" fontId="7" fillId="19" borderId="45" xfId="1" applyFont="1" applyFill="1" applyBorder="1">
      <alignment vertical="center"/>
    </xf>
    <xf numFmtId="41" fontId="7" fillId="19" borderId="40" xfId="1" applyFont="1" applyFill="1" applyBorder="1">
      <alignment vertical="center"/>
    </xf>
    <xf numFmtId="41" fontId="7" fillId="19" borderId="41" xfId="1" applyFont="1" applyFill="1" applyBorder="1">
      <alignment vertical="center"/>
    </xf>
    <xf numFmtId="41" fontId="7" fillId="19" borderId="42" xfId="1" applyFont="1" applyFill="1" applyBorder="1">
      <alignment vertical="center"/>
    </xf>
    <xf numFmtId="0" fontId="7" fillId="19" borderId="0" xfId="66" applyFont="1" applyFill="1" applyBorder="1">
      <alignment vertical="center"/>
    </xf>
    <xf numFmtId="41" fontId="7" fillId="19" borderId="43" xfId="1" applyFont="1" applyFill="1" applyBorder="1">
      <alignment vertical="center"/>
    </xf>
    <xf numFmtId="41" fontId="7" fillId="19" borderId="44" xfId="1" applyFont="1" applyFill="1" applyBorder="1">
      <alignment vertical="center"/>
    </xf>
    <xf numFmtId="41" fontId="7" fillId="19" borderId="46" xfId="1" applyFont="1" applyFill="1" applyBorder="1">
      <alignment vertical="center"/>
    </xf>
    <xf numFmtId="41" fontId="7" fillId="19" borderId="31" xfId="1" applyFont="1" applyFill="1" applyBorder="1">
      <alignment vertical="center"/>
    </xf>
    <xf numFmtId="41" fontId="7" fillId="19" borderId="47" xfId="1" applyFont="1" applyFill="1" applyBorder="1">
      <alignment vertical="center"/>
    </xf>
    <xf numFmtId="41" fontId="7" fillId="19" borderId="48" xfId="1" applyFont="1" applyFill="1" applyBorder="1">
      <alignment vertical="center"/>
    </xf>
    <xf numFmtId="41" fontId="7" fillId="19" borderId="49" xfId="1" applyFont="1" applyFill="1" applyBorder="1">
      <alignment vertical="center"/>
    </xf>
    <xf numFmtId="41" fontId="7" fillId="19" borderId="50" xfId="1" applyFont="1" applyFill="1" applyBorder="1">
      <alignment vertical="center"/>
    </xf>
    <xf numFmtId="41" fontId="7" fillId="19" borderId="51" xfId="1" applyFont="1" applyFill="1" applyBorder="1">
      <alignment vertical="center"/>
    </xf>
    <xf numFmtId="41" fontId="7" fillId="19" borderId="52" xfId="1" applyFont="1" applyFill="1" applyBorder="1">
      <alignment vertical="center"/>
    </xf>
    <xf numFmtId="41" fontId="7" fillId="19" borderId="54" xfId="1" applyFont="1" applyFill="1" applyBorder="1">
      <alignment vertical="center"/>
    </xf>
    <xf numFmtId="41" fontId="7" fillId="19" borderId="55" xfId="1" applyFont="1" applyFill="1" applyBorder="1">
      <alignment vertical="center"/>
    </xf>
    <xf numFmtId="41" fontId="7" fillId="19" borderId="56" xfId="1" applyFont="1" applyFill="1" applyBorder="1">
      <alignment vertical="center"/>
    </xf>
    <xf numFmtId="41" fontId="7" fillId="19" borderId="57" xfId="1" applyFont="1" applyFill="1" applyBorder="1">
      <alignment vertical="center"/>
    </xf>
    <xf numFmtId="41" fontId="7" fillId="19" borderId="58" xfId="1" applyFont="1" applyFill="1" applyBorder="1">
      <alignment vertical="center"/>
    </xf>
    <xf numFmtId="0" fontId="7" fillId="0" borderId="46" xfId="66" applyFont="1" applyFill="1" applyBorder="1">
      <alignment vertical="center"/>
    </xf>
    <xf numFmtId="41" fontId="7" fillId="19" borderId="22" xfId="1" applyFont="1" applyFill="1" applyBorder="1">
      <alignment vertical="center"/>
    </xf>
    <xf numFmtId="41" fontId="7" fillId="19" borderId="53" xfId="1" applyFont="1" applyFill="1" applyBorder="1">
      <alignment vertical="center"/>
    </xf>
    <xf numFmtId="41" fontId="7" fillId="19" borderId="23" xfId="1" applyFont="1" applyFill="1" applyBorder="1">
      <alignment vertical="center"/>
    </xf>
    <xf numFmtId="41" fontId="7" fillId="19" borderId="28" xfId="1" applyFont="1" applyFill="1" applyBorder="1">
      <alignment vertical="center"/>
    </xf>
    <xf numFmtId="41" fontId="7" fillId="19" borderId="27" xfId="1" applyFont="1" applyFill="1" applyBorder="1">
      <alignment vertical="center"/>
    </xf>
    <xf numFmtId="41" fontId="38" fillId="0" borderId="0" xfId="1" applyFont="1" applyFill="1" applyBorder="1">
      <alignment vertical="center"/>
    </xf>
    <xf numFmtId="41" fontId="0" fillId="0" borderId="0" xfId="1" applyFont="1" applyBorder="1">
      <alignment vertical="center"/>
    </xf>
    <xf numFmtId="41" fontId="12" fillId="0" borderId="40" xfId="1" applyFont="1" applyFill="1" applyBorder="1">
      <alignment vertical="center"/>
    </xf>
    <xf numFmtId="41" fontId="12" fillId="0" borderId="42" xfId="1" applyFont="1" applyFill="1" applyBorder="1">
      <alignment vertical="center"/>
    </xf>
    <xf numFmtId="41" fontId="12" fillId="0" borderId="43" xfId="1" applyFont="1" applyFill="1" applyBorder="1">
      <alignment vertical="center"/>
    </xf>
    <xf numFmtId="41" fontId="12" fillId="0" borderId="44" xfId="1" applyFont="1" applyFill="1" applyBorder="1">
      <alignment vertical="center"/>
    </xf>
    <xf numFmtId="41" fontId="0" fillId="0" borderId="31" xfId="1" applyFont="1" applyBorder="1">
      <alignment vertical="center"/>
    </xf>
    <xf numFmtId="41" fontId="12" fillId="0" borderId="45" xfId="1" applyFont="1" applyFill="1" applyBorder="1">
      <alignment vertical="center"/>
    </xf>
    <xf numFmtId="41" fontId="7" fillId="0" borderId="44" xfId="1" applyFont="1" applyFill="1" applyBorder="1">
      <alignment vertical="center"/>
    </xf>
    <xf numFmtId="41" fontId="12" fillId="0" borderId="53" xfId="1" applyFont="1" applyFill="1" applyBorder="1">
      <alignment vertical="center"/>
    </xf>
    <xf numFmtId="41" fontId="7" fillId="0" borderId="27" xfId="1" applyFont="1" applyFill="1" applyBorder="1">
      <alignment vertical="center"/>
    </xf>
    <xf numFmtId="41" fontId="12" fillId="0" borderId="28" xfId="1" applyFont="1" applyFill="1" applyBorder="1">
      <alignment vertical="center"/>
    </xf>
    <xf numFmtId="41" fontId="12" fillId="0" borderId="27" xfId="1" applyFont="1" applyFill="1" applyBorder="1">
      <alignment vertical="center"/>
    </xf>
    <xf numFmtId="41" fontId="12" fillId="0" borderId="28" xfId="1" applyFont="1" applyBorder="1">
      <alignment vertical="center"/>
    </xf>
    <xf numFmtId="41" fontId="7" fillId="0" borderId="22" xfId="1" applyFont="1" applyBorder="1">
      <alignment vertical="center"/>
    </xf>
    <xf numFmtId="41" fontId="0" fillId="0" borderId="0" xfId="1" applyFont="1" applyFill="1" applyBorder="1">
      <alignment vertical="center"/>
    </xf>
    <xf numFmtId="0" fontId="12" fillId="0" borderId="0" xfId="1" applyNumberFormat="1" applyFont="1" applyFill="1" applyBorder="1">
      <alignment vertical="center"/>
    </xf>
    <xf numFmtId="41" fontId="0" fillId="0" borderId="0" xfId="1" applyFont="1" applyAlignment="1">
      <alignment horizontal="center" vertical="center"/>
    </xf>
    <xf numFmtId="41" fontId="12" fillId="39" borderId="0" xfId="1" applyFont="1" applyFill="1" applyAlignment="1">
      <alignment horizontal="centerContinuous" vertical="center"/>
    </xf>
    <xf numFmtId="41" fontId="12" fillId="2" borderId="0" xfId="1" applyFont="1" applyFill="1" applyAlignment="1">
      <alignment horizontal="centerContinuous" vertical="center"/>
    </xf>
    <xf numFmtId="41" fontId="12" fillId="2" borderId="0" xfId="1" applyFont="1" applyFill="1" applyAlignment="1">
      <alignment horizontal="center" vertical="center"/>
    </xf>
    <xf numFmtId="41" fontId="12" fillId="0" borderId="0" xfId="1" applyFont="1" applyAlignment="1">
      <alignment horizontal="left" vertical="center"/>
    </xf>
    <xf numFmtId="41" fontId="0" fillId="0" borderId="0" xfId="1" applyFont="1" applyAlignment="1">
      <alignment horizontal="left" vertical="center"/>
    </xf>
    <xf numFmtId="41" fontId="2" fillId="0" borderId="0" xfId="1" applyFont="1" applyAlignment="1">
      <alignment horizontal="center" vertical="center"/>
    </xf>
    <xf numFmtId="41" fontId="75" fillId="0" borderId="0" xfId="1" applyFont="1" applyAlignment="1">
      <alignment horizontal="center" vertical="center"/>
    </xf>
    <xf numFmtId="41" fontId="76" fillId="0" borderId="0" xfId="1" applyFont="1" applyAlignment="1">
      <alignment horizontal="center" vertical="center"/>
    </xf>
    <xf numFmtId="41" fontId="7" fillId="0" borderId="0" xfId="1" applyFont="1" applyAlignment="1">
      <alignment horizontal="left" vertical="center"/>
    </xf>
    <xf numFmtId="41" fontId="75" fillId="0" borderId="0" xfId="1" applyFont="1">
      <alignment vertical="center"/>
    </xf>
    <xf numFmtId="41" fontId="76" fillId="0" borderId="0" xfId="1" applyFont="1">
      <alignment vertical="center"/>
    </xf>
    <xf numFmtId="41" fontId="12" fillId="0" borderId="0" xfId="1" applyFont="1" applyAlignment="1">
      <alignment horizontal="center" vertical="center"/>
    </xf>
    <xf numFmtId="41" fontId="77" fillId="0" borderId="0" xfId="1" applyFont="1" applyAlignment="1">
      <alignment horizontal="center" vertical="center"/>
    </xf>
    <xf numFmtId="0" fontId="78" fillId="0" borderId="0" xfId="1" applyNumberFormat="1" applyFont="1" applyAlignment="1">
      <alignment horizontal="left" vertical="center"/>
    </xf>
    <xf numFmtId="0" fontId="2" fillId="0" borderId="0" xfId="66">
      <alignment vertical="center"/>
    </xf>
    <xf numFmtId="41" fontId="0" fillId="0" borderId="0" xfId="1" applyFont="1" applyAlignment="1">
      <alignment horizontal="right" vertical="center"/>
    </xf>
    <xf numFmtId="41" fontId="12" fillId="10" borderId="41" xfId="1" applyFont="1" applyFill="1" applyBorder="1" applyAlignment="1">
      <alignment horizontal="centerContinuous" vertical="center"/>
    </xf>
    <xf numFmtId="41" fontId="12" fillId="10" borderId="41" xfId="1" applyFont="1" applyFill="1" applyBorder="1" applyAlignment="1">
      <alignment horizontal="center" vertical="center"/>
    </xf>
    <xf numFmtId="41" fontId="12" fillId="10" borderId="64" xfId="1" applyFont="1" applyFill="1" applyBorder="1" applyAlignment="1">
      <alignment horizontal="centerContinuous" vertical="center"/>
    </xf>
    <xf numFmtId="41" fontId="12" fillId="10" borderId="64" xfId="1" applyFont="1" applyFill="1" applyBorder="1" applyAlignment="1">
      <alignment horizontal="center" vertical="center"/>
    </xf>
    <xf numFmtId="41" fontId="12" fillId="10" borderId="42" xfId="1" applyFont="1" applyFill="1" applyBorder="1" applyAlignment="1">
      <alignment horizontal="center" vertical="center"/>
    </xf>
    <xf numFmtId="41" fontId="12" fillId="10" borderId="0" xfId="1" applyFont="1" applyFill="1" applyBorder="1" applyAlignment="1">
      <alignment horizontal="centerContinuous" vertical="center"/>
    </xf>
    <xf numFmtId="41" fontId="12" fillId="10" borderId="0" xfId="1" applyFont="1" applyFill="1" applyBorder="1" applyAlignment="1">
      <alignment horizontal="center" vertical="center"/>
    </xf>
    <xf numFmtId="41" fontId="12" fillId="10" borderId="46" xfId="1" applyFont="1" applyFill="1" applyBorder="1" applyAlignment="1">
      <alignment horizontal="center" vertical="center"/>
    </xf>
    <xf numFmtId="41" fontId="79" fillId="0" borderId="65" xfId="1" applyFont="1" applyFill="1" applyBorder="1" applyAlignment="1">
      <alignment horizontal="center" vertical="center"/>
    </xf>
    <xf numFmtId="41" fontId="79" fillId="0" borderId="67" xfId="1" applyFont="1" applyFill="1" applyBorder="1" applyAlignment="1">
      <alignment horizontal="center" vertical="center"/>
    </xf>
    <xf numFmtId="41" fontId="12" fillId="0" borderId="20" xfId="1" applyFont="1" applyBorder="1">
      <alignment vertical="center"/>
    </xf>
    <xf numFmtId="41" fontId="79" fillId="0" borderId="68" xfId="1" applyFont="1" applyFill="1" applyBorder="1">
      <alignment vertical="center"/>
    </xf>
    <xf numFmtId="185" fontId="12" fillId="0" borderId="29" xfId="1" applyNumberFormat="1" applyFont="1" applyFill="1" applyBorder="1">
      <alignment vertical="center"/>
    </xf>
    <xf numFmtId="185" fontId="12" fillId="0" borderId="59" xfId="1" applyNumberFormat="1" applyFont="1" applyFill="1" applyBorder="1">
      <alignment vertical="center"/>
    </xf>
    <xf numFmtId="41" fontId="12" fillId="0" borderId="59" xfId="1" applyFont="1" applyFill="1" applyBorder="1">
      <alignment vertical="center"/>
    </xf>
    <xf numFmtId="41" fontId="79" fillId="0" borderId="69" xfId="1" applyFont="1" applyFill="1" applyBorder="1">
      <alignment vertical="center"/>
    </xf>
    <xf numFmtId="41" fontId="12" fillId="0" borderId="29" xfId="1" applyFont="1" applyBorder="1">
      <alignment vertical="center"/>
    </xf>
    <xf numFmtId="41" fontId="12" fillId="0" borderId="59" xfId="1" applyFont="1" applyBorder="1">
      <alignment vertical="center"/>
    </xf>
    <xf numFmtId="41" fontId="7" fillId="0" borderId="46" xfId="1" applyFont="1" applyBorder="1">
      <alignment vertical="center"/>
    </xf>
    <xf numFmtId="41" fontId="7" fillId="0" borderId="31" xfId="1" applyFont="1" applyFill="1" applyBorder="1">
      <alignment vertical="center"/>
    </xf>
    <xf numFmtId="41" fontId="38" fillId="0" borderId="70" xfId="1" applyFont="1" applyFill="1" applyBorder="1">
      <alignment vertical="center"/>
    </xf>
    <xf numFmtId="185" fontId="7" fillId="0" borderId="45" xfId="1" applyNumberFormat="1" applyFont="1" applyFill="1" applyBorder="1">
      <alignment vertical="center"/>
    </xf>
    <xf numFmtId="185" fontId="7" fillId="0" borderId="71" xfId="1" applyNumberFormat="1" applyFont="1" applyFill="1" applyBorder="1">
      <alignment vertical="center"/>
    </xf>
    <xf numFmtId="41" fontId="7" fillId="0" borderId="45" xfId="1" applyFont="1" applyFill="1" applyBorder="1">
      <alignment vertical="center"/>
    </xf>
    <xf numFmtId="41" fontId="7" fillId="0" borderId="71" xfId="1" applyFont="1" applyFill="1" applyBorder="1">
      <alignment vertical="center"/>
    </xf>
    <xf numFmtId="41" fontId="38" fillId="0" borderId="72" xfId="1" applyFont="1" applyFill="1" applyBorder="1">
      <alignment vertical="center"/>
    </xf>
    <xf numFmtId="41" fontId="7" fillId="0" borderId="45" xfId="1" applyFont="1" applyBorder="1">
      <alignment vertical="center"/>
    </xf>
    <xf numFmtId="41" fontId="7" fillId="0" borderId="71" xfId="1" applyFont="1" applyBorder="1">
      <alignment vertical="center"/>
    </xf>
    <xf numFmtId="41" fontId="12" fillId="0" borderId="46" xfId="1" applyFont="1" applyBorder="1">
      <alignment vertical="center"/>
    </xf>
    <xf numFmtId="41" fontId="12" fillId="0" borderId="31" xfId="1" applyFont="1" applyFill="1" applyBorder="1">
      <alignment vertical="center"/>
    </xf>
    <xf numFmtId="186" fontId="79" fillId="0" borderId="70" xfId="1" applyNumberFormat="1" applyFont="1" applyFill="1" applyBorder="1">
      <alignment vertical="center"/>
    </xf>
    <xf numFmtId="185" fontId="12" fillId="0" borderId="45" xfId="1" applyNumberFormat="1" applyFont="1" applyFill="1" applyBorder="1">
      <alignment vertical="center"/>
    </xf>
    <xf numFmtId="185" fontId="12" fillId="0" borderId="71" xfId="1" applyNumberFormat="1" applyFont="1" applyFill="1" applyBorder="1">
      <alignment vertical="center"/>
    </xf>
    <xf numFmtId="41" fontId="12" fillId="0" borderId="71" xfId="1" applyFont="1" applyFill="1" applyBorder="1">
      <alignment vertical="center"/>
    </xf>
    <xf numFmtId="186" fontId="79" fillId="0" borderId="72" xfId="1" applyNumberFormat="1" applyFont="1" applyFill="1" applyBorder="1">
      <alignment vertical="center"/>
    </xf>
    <xf numFmtId="41" fontId="12" fillId="0" borderId="45" xfId="1" applyFont="1" applyBorder="1">
      <alignment vertical="center"/>
    </xf>
    <xf numFmtId="41" fontId="12" fillId="0" borderId="71" xfId="1" applyFont="1" applyBorder="1">
      <alignment vertical="center"/>
    </xf>
    <xf numFmtId="41" fontId="0" fillId="0" borderId="46" xfId="1" applyFont="1" applyBorder="1">
      <alignment vertical="center"/>
    </xf>
    <xf numFmtId="41" fontId="0" fillId="0" borderId="31" xfId="1" applyFont="1" applyFill="1" applyBorder="1">
      <alignment vertical="center"/>
    </xf>
    <xf numFmtId="186" fontId="38" fillId="0" borderId="70" xfId="1" applyNumberFormat="1" applyFont="1" applyFill="1" applyBorder="1">
      <alignment vertical="center"/>
    </xf>
    <xf numFmtId="185" fontId="0" fillId="0" borderId="45" xfId="1" applyNumberFormat="1" applyFont="1" applyFill="1" applyBorder="1">
      <alignment vertical="center"/>
    </xf>
    <xf numFmtId="185" fontId="0" fillId="0" borderId="71" xfId="1" applyNumberFormat="1" applyFont="1" applyFill="1" applyBorder="1">
      <alignment vertical="center"/>
    </xf>
    <xf numFmtId="41" fontId="0" fillId="0" borderId="45" xfId="1" applyFont="1" applyFill="1" applyBorder="1">
      <alignment vertical="center"/>
    </xf>
    <xf numFmtId="41" fontId="0" fillId="0" borderId="71" xfId="1" applyFont="1" applyFill="1" applyBorder="1">
      <alignment vertical="center"/>
    </xf>
    <xf numFmtId="186" fontId="38" fillId="0" borderId="72" xfId="1" applyNumberFormat="1" applyFont="1" applyFill="1" applyBorder="1">
      <alignment vertical="center"/>
    </xf>
    <xf numFmtId="41" fontId="0" fillId="0" borderId="45" xfId="1" applyFont="1" applyBorder="1">
      <alignment vertical="center"/>
    </xf>
    <xf numFmtId="41" fontId="0" fillId="0" borderId="71" xfId="1" applyFont="1" applyBorder="1">
      <alignment vertical="center"/>
    </xf>
    <xf numFmtId="41" fontId="0" fillId="2" borderId="31" xfId="1" applyFont="1" applyFill="1" applyBorder="1">
      <alignment vertical="center"/>
    </xf>
    <xf numFmtId="186" fontId="38" fillId="2" borderId="70" xfId="1" applyNumberFormat="1" applyFont="1" applyFill="1" applyBorder="1">
      <alignment vertical="center"/>
    </xf>
    <xf numFmtId="185" fontId="0" fillId="2" borderId="45" xfId="1" applyNumberFormat="1" applyFont="1" applyFill="1" applyBorder="1">
      <alignment vertical="center"/>
    </xf>
    <xf numFmtId="185" fontId="0" fillId="2" borderId="71" xfId="1" applyNumberFormat="1" applyFont="1" applyFill="1" applyBorder="1">
      <alignment vertical="center"/>
    </xf>
    <xf numFmtId="41" fontId="0" fillId="2" borderId="45" xfId="1" applyFont="1" applyFill="1" applyBorder="1">
      <alignment vertical="center"/>
    </xf>
    <xf numFmtId="41" fontId="0" fillId="2" borderId="71" xfId="1" applyFont="1" applyFill="1" applyBorder="1">
      <alignment vertical="center"/>
    </xf>
    <xf numFmtId="41" fontId="0" fillId="2" borderId="0" xfId="1" applyFont="1" applyFill="1" applyBorder="1">
      <alignment vertical="center"/>
    </xf>
    <xf numFmtId="186" fontId="38" fillId="2" borderId="72" xfId="1" applyNumberFormat="1" applyFont="1" applyFill="1" applyBorder="1">
      <alignment vertical="center"/>
    </xf>
    <xf numFmtId="0" fontId="2" fillId="2" borderId="0" xfId="66" applyFill="1" applyBorder="1">
      <alignment vertical="center"/>
    </xf>
    <xf numFmtId="41" fontId="12" fillId="18" borderId="37" xfId="1" applyFont="1" applyFill="1" applyBorder="1">
      <alignment vertical="center"/>
    </xf>
    <xf numFmtId="41" fontId="12" fillId="18" borderId="38" xfId="1" applyFont="1" applyFill="1" applyBorder="1">
      <alignment vertical="center"/>
    </xf>
    <xf numFmtId="41" fontId="12" fillId="18" borderId="24" xfId="1" applyFont="1" applyFill="1" applyBorder="1">
      <alignment vertical="center"/>
    </xf>
    <xf numFmtId="186" fontId="79" fillId="18" borderId="73" xfId="1" applyNumberFormat="1" applyFont="1" applyFill="1" applyBorder="1">
      <alignment vertical="center"/>
    </xf>
    <xf numFmtId="185" fontId="12" fillId="18" borderId="25" xfId="1" applyNumberFormat="1" applyFont="1" applyFill="1" applyBorder="1">
      <alignment vertical="center"/>
    </xf>
    <xf numFmtId="185" fontId="12" fillId="18" borderId="74" xfId="1" applyNumberFormat="1" applyFont="1" applyFill="1" applyBorder="1">
      <alignment vertical="center"/>
    </xf>
    <xf numFmtId="41" fontId="12" fillId="18" borderId="25" xfId="1" applyFont="1" applyFill="1" applyBorder="1">
      <alignment vertical="center"/>
    </xf>
    <xf numFmtId="41" fontId="12" fillId="18" borderId="74" xfId="1" applyFont="1" applyFill="1" applyBorder="1">
      <alignment vertical="center"/>
    </xf>
    <xf numFmtId="186" fontId="79" fillId="18" borderId="75" xfId="1" applyNumberFormat="1" applyFont="1" applyFill="1" applyBorder="1">
      <alignment vertical="center"/>
    </xf>
    <xf numFmtId="185" fontId="0" fillId="0" borderId="0" xfId="1" applyNumberFormat="1" applyFont="1" applyFill="1" applyBorder="1">
      <alignment vertical="center"/>
    </xf>
    <xf numFmtId="41" fontId="79" fillId="2" borderId="68" xfId="1" applyFont="1" applyFill="1" applyBorder="1">
      <alignment vertical="center"/>
    </xf>
    <xf numFmtId="41" fontId="79" fillId="2" borderId="69" xfId="1" applyFont="1" applyFill="1" applyBorder="1">
      <alignment vertical="center"/>
    </xf>
    <xf numFmtId="186" fontId="79" fillId="18" borderId="76" xfId="1" applyNumberFormat="1" applyFont="1" applyFill="1" applyBorder="1">
      <alignment vertical="center"/>
    </xf>
    <xf numFmtId="185" fontId="12" fillId="18" borderId="40" xfId="1" applyNumberFormat="1" applyFont="1" applyFill="1" applyBorder="1">
      <alignment vertical="center"/>
    </xf>
    <xf numFmtId="185" fontId="12" fillId="18" borderId="64" xfId="1" applyNumberFormat="1" applyFont="1" applyFill="1" applyBorder="1">
      <alignment vertical="center"/>
    </xf>
    <xf numFmtId="41" fontId="12" fillId="18" borderId="64" xfId="1" applyFont="1" applyFill="1" applyBorder="1">
      <alignment vertical="center"/>
    </xf>
    <xf numFmtId="186" fontId="79" fillId="18" borderId="77" xfId="1" applyNumberFormat="1" applyFont="1" applyFill="1" applyBorder="1">
      <alignment vertical="center"/>
    </xf>
    <xf numFmtId="41" fontId="12" fillId="18" borderId="22" xfId="1" applyFont="1" applyFill="1" applyBorder="1">
      <alignment vertical="center"/>
    </xf>
    <xf numFmtId="41" fontId="12" fillId="18" borderId="23" xfId="1" applyFont="1" applyFill="1" applyBorder="1">
      <alignment vertical="center"/>
    </xf>
    <xf numFmtId="41" fontId="12" fillId="18" borderId="28" xfId="1" applyFont="1" applyFill="1" applyBorder="1">
      <alignment vertical="center"/>
    </xf>
    <xf numFmtId="186" fontId="79" fillId="18" borderId="78" xfId="1" applyNumberFormat="1" applyFont="1" applyFill="1" applyBorder="1">
      <alignment vertical="center"/>
    </xf>
    <xf numFmtId="185" fontId="12" fillId="18" borderId="53" xfId="1" applyNumberFormat="1" applyFont="1" applyFill="1" applyBorder="1">
      <alignment vertical="center"/>
    </xf>
    <xf numFmtId="185" fontId="12" fillId="18" borderId="66" xfId="1" applyNumberFormat="1" applyFont="1" applyFill="1" applyBorder="1">
      <alignment vertical="center"/>
    </xf>
    <xf numFmtId="41" fontId="12" fillId="18" borderId="53" xfId="1" applyFont="1" applyFill="1" applyBorder="1">
      <alignment vertical="center"/>
    </xf>
    <xf numFmtId="41" fontId="12" fillId="18" borderId="66" xfId="1" applyFont="1" applyFill="1" applyBorder="1">
      <alignment vertical="center"/>
    </xf>
    <xf numFmtId="186" fontId="79" fillId="18" borderId="79" xfId="1" applyNumberFormat="1" applyFont="1" applyFill="1" applyBorder="1">
      <alignment vertical="center"/>
    </xf>
    <xf numFmtId="186" fontId="0" fillId="0" borderId="0" xfId="1240" applyNumberFormat="1" applyFont="1">
      <alignment vertical="center"/>
    </xf>
    <xf numFmtId="41" fontId="12" fillId="0" borderId="41" xfId="1" applyFont="1" applyFill="1" applyBorder="1">
      <alignment vertical="center"/>
    </xf>
    <xf numFmtId="41" fontId="12" fillId="0" borderId="64" xfId="1" applyFont="1" applyFill="1" applyBorder="1">
      <alignment vertical="center"/>
    </xf>
    <xf numFmtId="41" fontId="7" fillId="0" borderId="55" xfId="1" applyFont="1" applyFill="1" applyBorder="1">
      <alignment vertical="center"/>
    </xf>
    <xf numFmtId="41" fontId="7" fillId="0" borderId="35" xfId="1" applyFont="1" applyFill="1" applyBorder="1">
      <alignment vertical="center"/>
    </xf>
    <xf numFmtId="41" fontId="7" fillId="0" borderId="32" xfId="1" applyFont="1" applyFill="1" applyBorder="1">
      <alignment vertical="center"/>
    </xf>
    <xf numFmtId="41" fontId="7" fillId="0" borderId="33" xfId="1" applyFont="1" applyFill="1" applyBorder="1">
      <alignment vertical="center"/>
    </xf>
    <xf numFmtId="41" fontId="7" fillId="0" borderId="43" xfId="1" applyFont="1" applyFill="1" applyBorder="1">
      <alignment vertical="center"/>
    </xf>
    <xf numFmtId="41" fontId="7" fillId="0" borderId="40" xfId="1" applyFont="1" applyFill="1" applyBorder="1">
      <alignment vertical="center"/>
    </xf>
    <xf numFmtId="41" fontId="7" fillId="0" borderId="64" xfId="1" applyFont="1" applyFill="1" applyBorder="1">
      <alignment vertical="center"/>
    </xf>
    <xf numFmtId="41" fontId="7" fillId="0" borderId="42" xfId="1" applyFont="1" applyFill="1" applyBorder="1">
      <alignment vertical="center"/>
    </xf>
    <xf numFmtId="41" fontId="7" fillId="0" borderId="41" xfId="1" applyFont="1" applyFill="1" applyBorder="1">
      <alignment vertical="center"/>
    </xf>
    <xf numFmtId="41" fontId="7" fillId="0" borderId="46" xfId="1" applyFont="1" applyFill="1" applyBorder="1">
      <alignment vertical="center"/>
    </xf>
    <xf numFmtId="41" fontId="12" fillId="0" borderId="83" xfId="1" applyFont="1" applyFill="1" applyBorder="1">
      <alignment vertical="center"/>
    </xf>
    <xf numFmtId="41" fontId="12" fillId="0" borderId="40" xfId="1" applyNumberFormat="1" applyFont="1" applyFill="1" applyBorder="1">
      <alignment vertical="center"/>
    </xf>
    <xf numFmtId="41" fontId="7" fillId="0" borderId="40" xfId="1" applyNumberFormat="1" applyFont="1" applyFill="1" applyBorder="1">
      <alignment vertical="center"/>
    </xf>
    <xf numFmtId="41" fontId="7" fillId="2" borderId="40" xfId="1" applyFont="1" applyFill="1" applyBorder="1">
      <alignment vertical="center"/>
    </xf>
    <xf numFmtId="0" fontId="7" fillId="0" borderId="41" xfId="66" applyFont="1" applyFill="1" applyBorder="1">
      <alignment vertical="center"/>
    </xf>
    <xf numFmtId="41" fontId="7" fillId="0" borderId="45" xfId="1" applyNumberFormat="1" applyFont="1" applyFill="1" applyBorder="1">
      <alignment vertical="center"/>
    </xf>
    <xf numFmtId="41" fontId="7" fillId="0" borderId="34" xfId="1" applyFont="1" applyFill="1" applyBorder="1">
      <alignment vertical="center"/>
    </xf>
    <xf numFmtId="41" fontId="7" fillId="0" borderId="35" xfId="1" applyNumberFormat="1" applyFont="1" applyFill="1" applyBorder="1">
      <alignment vertical="center"/>
    </xf>
    <xf numFmtId="41" fontId="7" fillId="0" borderId="83" xfId="1" applyFont="1" applyFill="1" applyBorder="1">
      <alignment vertical="center"/>
    </xf>
    <xf numFmtId="41" fontId="7" fillId="2" borderId="45" xfId="1" applyFont="1" applyFill="1" applyBorder="1">
      <alignment vertical="center"/>
    </xf>
    <xf numFmtId="41" fontId="0" fillId="0" borderId="19" xfId="1" applyFont="1" applyBorder="1">
      <alignment vertical="center"/>
    </xf>
    <xf numFmtId="0" fontId="2" fillId="0" borderId="19" xfId="66" applyFill="1" applyBorder="1">
      <alignment vertical="center"/>
    </xf>
    <xf numFmtId="41" fontId="0" fillId="0" borderId="19" xfId="1" applyFont="1" applyFill="1" applyBorder="1">
      <alignment vertical="center"/>
    </xf>
    <xf numFmtId="41" fontId="38" fillId="0" borderId="19" xfId="1" applyFont="1" applyFill="1" applyBorder="1">
      <alignment vertical="center"/>
    </xf>
    <xf numFmtId="41" fontId="12" fillId="0" borderId="22" xfId="1" applyFont="1" applyFill="1" applyBorder="1">
      <alignment vertical="center"/>
    </xf>
    <xf numFmtId="41" fontId="12" fillId="0" borderId="23" xfId="1" applyFont="1" applyFill="1" applyBorder="1">
      <alignment vertical="center"/>
    </xf>
    <xf numFmtId="41" fontId="12" fillId="0" borderId="66" xfId="1" applyFont="1" applyFill="1" applyBorder="1">
      <alignment vertical="center"/>
    </xf>
    <xf numFmtId="187" fontId="0" fillId="0" borderId="0" xfId="1" applyNumberFormat="1" applyFont="1" applyFill="1" applyBorder="1">
      <alignment vertical="center"/>
    </xf>
    <xf numFmtId="0" fontId="12" fillId="0" borderId="19" xfId="1" applyNumberFormat="1" applyFont="1" applyFill="1" applyBorder="1">
      <alignment vertical="center"/>
    </xf>
    <xf numFmtId="41" fontId="7" fillId="0" borderId="19" xfId="1" applyFont="1" applyFill="1" applyBorder="1">
      <alignment vertical="center"/>
    </xf>
    <xf numFmtId="41" fontId="7" fillId="0" borderId="20" xfId="1" applyFont="1" applyFill="1" applyBorder="1">
      <alignment vertical="center"/>
    </xf>
    <xf numFmtId="0" fontId="7" fillId="0" borderId="19" xfId="66" applyFont="1" applyFill="1" applyBorder="1">
      <alignment vertical="center"/>
    </xf>
    <xf numFmtId="186" fontId="12" fillId="0" borderId="29" xfId="1240" applyNumberFormat="1" applyFont="1" applyFill="1" applyBorder="1">
      <alignment vertical="center"/>
    </xf>
    <xf numFmtId="41" fontId="12" fillId="2" borderId="59" xfId="1" applyFont="1" applyFill="1" applyBorder="1">
      <alignment vertical="center"/>
    </xf>
    <xf numFmtId="0" fontId="12" fillId="0" borderId="19" xfId="66" applyFont="1" applyFill="1" applyBorder="1">
      <alignment vertical="center"/>
    </xf>
    <xf numFmtId="41" fontId="7" fillId="0" borderId="22" xfId="1" applyFont="1" applyFill="1" applyBorder="1">
      <alignment vertical="center"/>
    </xf>
    <xf numFmtId="41" fontId="7" fillId="0" borderId="23" xfId="1" applyFont="1" applyFill="1" applyBorder="1">
      <alignment vertical="center"/>
    </xf>
    <xf numFmtId="186" fontId="12" fillId="0" borderId="53" xfId="1240" applyNumberFormat="1" applyFont="1" applyFill="1" applyBorder="1">
      <alignment vertical="center"/>
    </xf>
    <xf numFmtId="41" fontId="12" fillId="2" borderId="66" xfId="1" applyFont="1" applyFill="1" applyBorder="1">
      <alignment vertical="center"/>
    </xf>
    <xf numFmtId="41" fontId="12" fillId="2" borderId="29" xfId="1" applyFont="1" applyFill="1" applyBorder="1">
      <alignment vertical="center"/>
    </xf>
    <xf numFmtId="41" fontId="12" fillId="2" borderId="53" xfId="1" applyFont="1" applyFill="1" applyBorder="1">
      <alignment vertical="center"/>
    </xf>
    <xf numFmtId="188" fontId="12" fillId="0" borderId="29" xfId="1" applyNumberFormat="1" applyFont="1" applyFill="1" applyBorder="1">
      <alignment vertical="center"/>
    </xf>
    <xf numFmtId="43" fontId="12" fillId="0" borderId="59" xfId="1" applyNumberFormat="1" applyFont="1" applyFill="1" applyBorder="1">
      <alignment vertical="center"/>
    </xf>
    <xf numFmtId="188" fontId="12" fillId="0" borderId="45" xfId="1" applyNumberFormat="1" applyFont="1" applyFill="1" applyBorder="1">
      <alignment vertical="center"/>
    </xf>
    <xf numFmtId="188" fontId="12" fillId="0" borderId="71" xfId="1" applyNumberFormat="1" applyFont="1" applyFill="1" applyBorder="1">
      <alignment vertical="center"/>
    </xf>
    <xf numFmtId="41" fontId="12" fillId="0" borderId="46" xfId="1" applyFont="1" applyFill="1" applyBorder="1">
      <alignment vertical="center"/>
    </xf>
    <xf numFmtId="43" fontId="12" fillId="0" borderId="45" xfId="1" applyNumberFormat="1" applyFont="1" applyFill="1" applyBorder="1">
      <alignment vertical="center"/>
    </xf>
    <xf numFmtId="41" fontId="12" fillId="2" borderId="71" xfId="1" applyFont="1" applyFill="1" applyBorder="1">
      <alignment vertical="center"/>
    </xf>
    <xf numFmtId="187" fontId="12" fillId="0" borderId="45" xfId="1" applyNumberFormat="1" applyFont="1" applyFill="1" applyBorder="1">
      <alignment vertical="center"/>
    </xf>
    <xf numFmtId="189" fontId="12" fillId="0" borderId="45" xfId="1" applyNumberFormat="1" applyFont="1" applyFill="1" applyBorder="1">
      <alignment vertical="center"/>
    </xf>
    <xf numFmtId="41" fontId="80" fillId="0" borderId="0" xfId="1" applyFont="1" applyFill="1" applyBorder="1">
      <alignment vertical="center"/>
    </xf>
    <xf numFmtId="41" fontId="15" fillId="0" borderId="46" xfId="1" applyFont="1" applyFill="1" applyBorder="1">
      <alignment vertical="center"/>
    </xf>
    <xf numFmtId="0" fontId="15" fillId="0" borderId="0" xfId="66" applyFont="1" applyFill="1" applyBorder="1">
      <alignment vertical="center"/>
    </xf>
    <xf numFmtId="41" fontId="81" fillId="0" borderId="31" xfId="1" applyFont="1" applyFill="1" applyBorder="1">
      <alignment vertical="center"/>
    </xf>
    <xf numFmtId="41" fontId="81" fillId="0" borderId="45" xfId="1" applyFont="1" applyFill="1" applyBorder="1">
      <alignment vertical="center"/>
    </xf>
    <xf numFmtId="188" fontId="81" fillId="0" borderId="45" xfId="1" applyNumberFormat="1" applyFont="1" applyFill="1" applyBorder="1">
      <alignment vertical="center"/>
    </xf>
    <xf numFmtId="41" fontId="81" fillId="2" borderId="71" xfId="1" applyFont="1" applyFill="1" applyBorder="1">
      <alignment vertical="center"/>
    </xf>
    <xf numFmtId="41" fontId="81" fillId="0" borderId="71" xfId="1" applyFont="1" applyFill="1" applyBorder="1">
      <alignment vertical="center"/>
    </xf>
    <xf numFmtId="41" fontId="81" fillId="0" borderId="46" xfId="1" applyFont="1" applyFill="1" applyBorder="1">
      <alignment vertical="center"/>
    </xf>
    <xf numFmtId="0" fontId="81" fillId="0" borderId="0" xfId="66" applyFont="1" applyFill="1" applyBorder="1">
      <alignment vertical="center"/>
    </xf>
    <xf numFmtId="41" fontId="15" fillId="0" borderId="0" xfId="1" applyFont="1" applyBorder="1">
      <alignment vertical="center"/>
    </xf>
    <xf numFmtId="0" fontId="36" fillId="0" borderId="0" xfId="66" applyFont="1" applyBorder="1">
      <alignment vertical="center"/>
    </xf>
    <xf numFmtId="41" fontId="0" fillId="0" borderId="0" xfId="1" applyFont="1" applyBorder="1" applyAlignment="1">
      <alignment horizontal="right" vertical="center"/>
    </xf>
    <xf numFmtId="41" fontId="12" fillId="2" borderId="31" xfId="1" applyFont="1" applyFill="1" applyBorder="1">
      <alignment vertical="center"/>
    </xf>
    <xf numFmtId="41" fontId="12" fillId="2" borderId="45" xfId="1" applyFont="1" applyFill="1" applyBorder="1">
      <alignment vertical="center"/>
    </xf>
    <xf numFmtId="41" fontId="12" fillId="2" borderId="46" xfId="1" applyFont="1" applyFill="1" applyBorder="1">
      <alignment vertical="center"/>
    </xf>
    <xf numFmtId="41" fontId="12" fillId="2" borderId="28" xfId="1" applyFont="1" applyFill="1" applyBorder="1">
      <alignment vertical="center"/>
    </xf>
    <xf numFmtId="41" fontId="12" fillId="2" borderId="23" xfId="1" applyFont="1" applyFill="1" applyBorder="1">
      <alignment vertical="center"/>
    </xf>
    <xf numFmtId="41" fontId="0" fillId="0" borderId="84" xfId="1" applyFont="1" applyBorder="1">
      <alignment vertical="center"/>
    </xf>
    <xf numFmtId="41" fontId="0" fillId="0" borderId="84" xfId="1" applyFont="1" applyFill="1" applyBorder="1">
      <alignment vertical="center"/>
    </xf>
    <xf numFmtId="41" fontId="38" fillId="0" borderId="84" xfId="1" applyFont="1" applyFill="1" applyBorder="1">
      <alignment vertical="center"/>
    </xf>
    <xf numFmtId="41" fontId="12" fillId="0" borderId="22" xfId="1" applyFont="1" applyBorder="1">
      <alignment vertical="center"/>
    </xf>
    <xf numFmtId="0" fontId="78" fillId="0" borderId="0" xfId="1241" applyFont="1">
      <alignment vertical="center"/>
    </xf>
    <xf numFmtId="0" fontId="2" fillId="0" borderId="0" xfId="1241">
      <alignment vertical="center"/>
    </xf>
    <xf numFmtId="0" fontId="9" fillId="2" borderId="81" xfId="1242" applyNumberFormat="1" applyFont="1" applyFill="1" applyBorder="1" applyAlignment="1">
      <alignment horizontal="centerContinuous" vertical="center" wrapText="1"/>
    </xf>
    <xf numFmtId="0" fontId="9" fillId="2" borderId="82" xfId="1242" applyNumberFormat="1" applyFont="1" applyFill="1" applyBorder="1" applyAlignment="1">
      <alignment horizontal="centerContinuous" vertical="center" wrapText="1"/>
    </xf>
    <xf numFmtId="41" fontId="9" fillId="2" borderId="21" xfId="1242" applyFont="1" applyFill="1" applyBorder="1" applyAlignment="1">
      <alignment horizontal="centerContinuous" vertical="center"/>
    </xf>
    <xf numFmtId="41" fontId="9" fillId="2" borderId="19" xfId="1242" applyFont="1" applyFill="1" applyBorder="1" applyAlignment="1">
      <alignment horizontal="centerContinuous" vertical="center"/>
    </xf>
    <xf numFmtId="41" fontId="9" fillId="2" borderId="59" xfId="1242" applyFont="1" applyFill="1" applyBorder="1" applyAlignment="1">
      <alignment horizontal="centerContinuous" vertical="center"/>
    </xf>
    <xf numFmtId="41" fontId="9" fillId="2" borderId="29" xfId="1242" applyFont="1" applyFill="1" applyBorder="1" applyAlignment="1">
      <alignment horizontal="centerContinuous" vertical="center"/>
    </xf>
    <xf numFmtId="41" fontId="9" fillId="2" borderId="20" xfId="1242" applyFont="1" applyFill="1" applyBorder="1" applyAlignment="1">
      <alignment horizontal="centerContinuous" vertical="center"/>
    </xf>
    <xf numFmtId="0" fontId="11" fillId="0" borderId="0" xfId="1241" applyFont="1" applyAlignment="1">
      <alignment horizontal="center" vertical="center"/>
    </xf>
    <xf numFmtId="0" fontId="9" fillId="17" borderId="74" xfId="1242" applyNumberFormat="1" applyFont="1" applyFill="1" applyBorder="1" applyAlignment="1">
      <alignment horizontal="center" vertical="center"/>
    </xf>
    <xf numFmtId="0" fontId="9" fillId="17" borderId="38" xfId="1242" applyNumberFormat="1" applyFont="1" applyFill="1" applyBorder="1" applyAlignment="1">
      <alignment horizontal="center" vertical="center"/>
    </xf>
    <xf numFmtId="41" fontId="38" fillId="0" borderId="24" xfId="1242" applyFont="1" applyBorder="1" applyAlignment="1">
      <alignment horizontal="center" vertical="center"/>
    </xf>
    <xf numFmtId="41" fontId="38" fillId="0" borderId="37" xfId="1242" applyFont="1" applyBorder="1" applyAlignment="1">
      <alignment horizontal="center" vertical="center"/>
    </xf>
    <xf numFmtId="41" fontId="38" fillId="0" borderId="73" xfId="1242" applyFont="1" applyBorder="1" applyAlignment="1">
      <alignment horizontal="center" vertical="center"/>
    </xf>
    <xf numFmtId="41" fontId="38" fillId="0" borderId="87" xfId="1242" applyFont="1" applyBorder="1" applyAlignment="1">
      <alignment horizontal="center" vertical="center"/>
    </xf>
    <xf numFmtId="41" fontId="38" fillId="0" borderId="38" xfId="1242" applyFont="1" applyBorder="1" applyAlignment="1">
      <alignment horizontal="center" vertical="center"/>
    </xf>
    <xf numFmtId="0" fontId="11" fillId="0" borderId="0" xfId="1241" applyFont="1">
      <alignment vertical="center"/>
    </xf>
    <xf numFmtId="0" fontId="9" fillId="0" borderId="0" xfId="1241" applyFont="1" applyFill="1" applyBorder="1" applyAlignment="1">
      <alignment horizontal="center" vertical="center"/>
    </xf>
    <xf numFmtId="0" fontId="83" fillId="0" borderId="88" xfId="1241" applyFont="1" applyBorder="1" applyAlignment="1">
      <alignment horizontal="center" vertical="center"/>
    </xf>
    <xf numFmtId="0" fontId="2" fillId="0" borderId="45" xfId="1241" applyBorder="1">
      <alignment vertical="center"/>
    </xf>
    <xf numFmtId="0" fontId="84" fillId="0" borderId="0" xfId="1241" applyFont="1" applyBorder="1">
      <alignment vertical="center"/>
    </xf>
    <xf numFmtId="0" fontId="84" fillId="0" borderId="71" xfId="1241" applyFont="1" applyBorder="1">
      <alignment vertical="center"/>
    </xf>
    <xf numFmtId="0" fontId="2" fillId="0" borderId="71" xfId="1241" applyFill="1" applyBorder="1" applyAlignment="1">
      <alignment horizontal="center" vertical="center"/>
    </xf>
    <xf numFmtId="0" fontId="2" fillId="0" borderId="46" xfId="1241" applyFill="1" applyBorder="1" applyAlignment="1">
      <alignment horizontal="center" vertical="center"/>
    </xf>
    <xf numFmtId="0" fontId="2" fillId="0" borderId="31" xfId="1241" applyFill="1" applyBorder="1">
      <alignment vertical="center"/>
    </xf>
    <xf numFmtId="0" fontId="2" fillId="0" borderId="0" xfId="1241" applyFill="1" applyBorder="1">
      <alignment vertical="center"/>
    </xf>
    <xf numFmtId="0" fontId="2" fillId="0" borderId="70" xfId="1241" applyFill="1" applyBorder="1">
      <alignment vertical="center"/>
    </xf>
    <xf numFmtId="0" fontId="2" fillId="0" borderId="89" xfId="1241" applyFill="1" applyBorder="1">
      <alignment vertical="center"/>
    </xf>
    <xf numFmtId="0" fontId="2" fillId="0" borderId="46" xfId="1241" applyFill="1" applyBorder="1">
      <alignment vertical="center"/>
    </xf>
    <xf numFmtId="0" fontId="2" fillId="0" borderId="31" xfId="1241" applyBorder="1">
      <alignment vertical="center"/>
    </xf>
    <xf numFmtId="0" fontId="2" fillId="0" borderId="0" xfId="1241" applyBorder="1">
      <alignment vertical="center"/>
    </xf>
    <xf numFmtId="0" fontId="9" fillId="0" borderId="71" xfId="1241" applyFont="1" applyFill="1" applyBorder="1" applyAlignment="1">
      <alignment horizontal="center" vertical="center" wrapText="1"/>
    </xf>
    <xf numFmtId="0" fontId="2" fillId="40" borderId="31" xfId="1241" applyFill="1" applyBorder="1">
      <alignment vertical="center"/>
    </xf>
    <xf numFmtId="0" fontId="2" fillId="40" borderId="0" xfId="1241" applyFill="1" applyBorder="1">
      <alignment vertical="center"/>
    </xf>
    <xf numFmtId="0" fontId="2" fillId="40" borderId="70" xfId="1241" applyFill="1" applyBorder="1">
      <alignment vertical="center"/>
    </xf>
    <xf numFmtId="0" fontId="88" fillId="6" borderId="31" xfId="1241" applyFont="1" applyFill="1" applyBorder="1" applyAlignment="1">
      <alignment horizontal="centerContinuous" vertical="center"/>
    </xf>
    <xf numFmtId="0" fontId="89" fillId="6" borderId="0" xfId="1241" applyFont="1" applyFill="1" applyBorder="1" applyAlignment="1">
      <alignment horizontal="centerContinuous" vertical="center"/>
    </xf>
    <xf numFmtId="0" fontId="89" fillId="6" borderId="70" xfId="1241" applyFont="1" applyFill="1" applyBorder="1" applyAlignment="1">
      <alignment horizontal="centerContinuous" vertical="center"/>
    </xf>
    <xf numFmtId="0" fontId="2" fillId="0" borderId="45" xfId="1241" applyFill="1" applyBorder="1">
      <alignment vertical="center"/>
    </xf>
    <xf numFmtId="41" fontId="84" fillId="0" borderId="0" xfId="558" applyFont="1" applyFill="1" applyBorder="1">
      <alignment vertical="center"/>
    </xf>
    <xf numFmtId="41" fontId="84" fillId="0" borderId="71" xfId="558" applyFont="1" applyFill="1" applyBorder="1">
      <alignment vertical="center"/>
    </xf>
    <xf numFmtId="0" fontId="85" fillId="0" borderId="45" xfId="1241" applyFont="1" applyFill="1" applyBorder="1" applyAlignment="1">
      <alignment horizontal="center" vertical="center"/>
    </xf>
    <xf numFmtId="41" fontId="84" fillId="0" borderId="0" xfId="558" quotePrefix="1" applyFont="1" applyFill="1" applyBorder="1">
      <alignment vertical="center"/>
    </xf>
    <xf numFmtId="41" fontId="84" fillId="0" borderId="71" xfId="558" quotePrefix="1" applyFont="1" applyFill="1" applyBorder="1">
      <alignment vertical="center"/>
    </xf>
    <xf numFmtId="0" fontId="2" fillId="4" borderId="0" xfId="1241" applyFill="1" applyBorder="1">
      <alignment vertical="center"/>
    </xf>
    <xf numFmtId="0" fontId="2" fillId="4" borderId="70" xfId="1241" applyFill="1" applyBorder="1">
      <alignment vertical="center"/>
    </xf>
    <xf numFmtId="0" fontId="2" fillId="0" borderId="54" xfId="1241" applyFill="1" applyBorder="1">
      <alignment vertical="center"/>
    </xf>
    <xf numFmtId="0" fontId="84" fillId="0" borderId="55" xfId="1241" applyFont="1" applyFill="1" applyBorder="1">
      <alignment vertical="center"/>
    </xf>
    <xf numFmtId="0" fontId="84" fillId="0" borderId="90" xfId="1241" applyFont="1" applyFill="1" applyBorder="1">
      <alignment vertical="center"/>
    </xf>
    <xf numFmtId="0" fontId="2" fillId="0" borderId="90" xfId="1241" applyFill="1" applyBorder="1" applyAlignment="1">
      <alignment horizontal="center" vertical="center"/>
    </xf>
    <xf numFmtId="0" fontId="2" fillId="0" borderId="56" xfId="1241" applyFill="1" applyBorder="1" applyAlignment="1">
      <alignment horizontal="center" vertical="center"/>
    </xf>
    <xf numFmtId="0" fontId="2" fillId="0" borderId="57" xfId="1241" applyFill="1" applyBorder="1">
      <alignment vertical="center"/>
    </xf>
    <xf numFmtId="0" fontId="2" fillId="0" borderId="55" xfId="1241" applyFill="1" applyBorder="1">
      <alignment vertical="center"/>
    </xf>
    <xf numFmtId="0" fontId="2" fillId="0" borderId="91" xfId="1241" applyFill="1" applyBorder="1">
      <alignment vertical="center"/>
    </xf>
    <xf numFmtId="0" fontId="2" fillId="0" borderId="92" xfId="1241" applyFill="1" applyBorder="1">
      <alignment vertical="center"/>
    </xf>
    <xf numFmtId="0" fontId="2" fillId="0" borderId="56" xfId="1241" applyFill="1" applyBorder="1">
      <alignment vertical="center"/>
    </xf>
    <xf numFmtId="0" fontId="2" fillId="0" borderId="40" xfId="1241" applyFill="1" applyBorder="1">
      <alignment vertical="center"/>
    </xf>
    <xf numFmtId="41" fontId="84" fillId="0" borderId="41" xfId="558" applyFont="1" applyFill="1" applyBorder="1">
      <alignment vertical="center"/>
    </xf>
    <xf numFmtId="41" fontId="84" fillId="0" borderId="64" xfId="558" applyFont="1" applyFill="1" applyBorder="1">
      <alignment vertical="center"/>
    </xf>
    <xf numFmtId="0" fontId="2" fillId="0" borderId="64" xfId="1241" applyFill="1" applyBorder="1" applyAlignment="1">
      <alignment horizontal="center" vertical="center"/>
    </xf>
    <xf numFmtId="0" fontId="2" fillId="0" borderId="42" xfId="1241" applyFill="1" applyBorder="1" applyAlignment="1">
      <alignment horizontal="center" vertical="center"/>
    </xf>
    <xf numFmtId="0" fontId="2" fillId="0" borderId="43" xfId="1241" applyFill="1" applyBorder="1">
      <alignment vertical="center"/>
    </xf>
    <xf numFmtId="0" fontId="2" fillId="0" borderId="41" xfId="1241" applyFill="1" applyBorder="1">
      <alignment vertical="center"/>
    </xf>
    <xf numFmtId="0" fontId="2" fillId="0" borderId="76" xfId="1241" applyFill="1" applyBorder="1">
      <alignment vertical="center"/>
    </xf>
    <xf numFmtId="0" fontId="2" fillId="0" borderId="93" xfId="1241" applyFill="1" applyBorder="1">
      <alignment vertical="center"/>
    </xf>
    <xf numFmtId="0" fontId="2" fillId="0" borderId="42" xfId="1241" applyFill="1" applyBorder="1">
      <alignment vertical="center"/>
    </xf>
    <xf numFmtId="0" fontId="90" fillId="8" borderId="94" xfId="1241" applyFont="1" applyFill="1" applyBorder="1" applyAlignment="1">
      <alignment horizontal="centerContinuous" vertical="center"/>
    </xf>
    <xf numFmtId="0" fontId="2" fillId="8" borderId="95" xfId="1241" applyFill="1" applyBorder="1" applyAlignment="1">
      <alignment horizontal="centerContinuous" vertical="center"/>
    </xf>
    <xf numFmtId="0" fontId="2" fillId="40" borderId="89" xfId="1241" applyFill="1" applyBorder="1">
      <alignment vertical="center"/>
    </xf>
    <xf numFmtId="0" fontId="90" fillId="0" borderId="0" xfId="1241" applyFont="1" applyFill="1" applyBorder="1" applyAlignment="1">
      <alignment horizontal="centerContinuous" vertical="center"/>
    </xf>
    <xf numFmtId="0" fontId="2" fillId="0" borderId="70" xfId="1241" applyFill="1" applyBorder="1" applyAlignment="1">
      <alignment horizontal="centerContinuous" vertical="center"/>
    </xf>
    <xf numFmtId="0" fontId="88" fillId="6" borderId="89" xfId="1241" applyFont="1" applyFill="1" applyBorder="1" applyAlignment="1">
      <alignment horizontal="centerContinuous" vertical="center"/>
    </xf>
    <xf numFmtId="0" fontId="2" fillId="6" borderId="70" xfId="1241" applyFill="1" applyBorder="1" applyAlignment="1">
      <alignment horizontal="centerContinuous" vertical="center"/>
    </xf>
    <xf numFmtId="0" fontId="91" fillId="0" borderId="0" xfId="1241" applyFont="1" applyFill="1" applyBorder="1" applyAlignment="1">
      <alignment horizontal="centerContinuous" vertical="center"/>
    </xf>
    <xf numFmtId="0" fontId="92" fillId="0" borderId="0" xfId="1241" applyFont="1" applyFill="1" applyBorder="1" applyAlignment="1">
      <alignment horizontal="centerContinuous" vertical="center"/>
    </xf>
    <xf numFmtId="0" fontId="92" fillId="0" borderId="46" xfId="1241" applyFont="1" applyFill="1" applyBorder="1" applyAlignment="1">
      <alignment horizontal="centerContinuous" vertical="center"/>
    </xf>
    <xf numFmtId="0" fontId="9" fillId="0" borderId="96" xfId="1241" applyFont="1" applyBorder="1" applyAlignment="1">
      <alignment horizontal="center" vertical="center"/>
    </xf>
    <xf numFmtId="41" fontId="84" fillId="0" borderId="55" xfId="558" applyFont="1" applyFill="1" applyBorder="1">
      <alignment vertical="center"/>
    </xf>
    <xf numFmtId="41" fontId="84" fillId="0" borderId="90" xfId="558" applyFont="1" applyFill="1" applyBorder="1">
      <alignment vertical="center"/>
    </xf>
    <xf numFmtId="41" fontId="9" fillId="0" borderId="0" xfId="1242" applyFont="1" applyFill="1" applyBorder="1" applyAlignment="1">
      <alignment horizontal="center" vertical="center"/>
    </xf>
    <xf numFmtId="0" fontId="74" fillId="0" borderId="88" xfId="1241" applyFont="1" applyBorder="1" applyAlignment="1">
      <alignment horizontal="center" vertical="center"/>
    </xf>
    <xf numFmtId="0" fontId="93" fillId="9" borderId="97" xfId="1241" applyFont="1" applyFill="1" applyBorder="1" applyAlignment="1">
      <alignment horizontal="centerContinuous" vertical="center"/>
    </xf>
    <xf numFmtId="0" fontId="2" fillId="9" borderId="98" xfId="1241" applyFill="1" applyBorder="1" applyAlignment="1">
      <alignment horizontal="centerContinuous" vertical="center"/>
    </xf>
    <xf numFmtId="0" fontId="2" fillId="9" borderId="99" xfId="1241" applyFill="1" applyBorder="1" applyAlignment="1">
      <alignment horizontal="centerContinuous" vertical="center"/>
    </xf>
    <xf numFmtId="0" fontId="2" fillId="6" borderId="0" xfId="1241" applyFill="1" applyBorder="1" applyAlignment="1">
      <alignment horizontal="centerContinuous" vertical="center"/>
    </xf>
    <xf numFmtId="0" fontId="74" fillId="8" borderId="88" xfId="1241" applyFont="1" applyFill="1" applyBorder="1" applyAlignment="1">
      <alignment horizontal="center" vertical="center"/>
    </xf>
    <xf numFmtId="0" fontId="2" fillId="8" borderId="40" xfId="1241" applyFill="1" applyBorder="1">
      <alignment vertical="center"/>
    </xf>
    <xf numFmtId="41" fontId="84" fillId="8" borderId="41" xfId="558" applyFont="1" applyFill="1" applyBorder="1">
      <alignment vertical="center"/>
    </xf>
    <xf numFmtId="41" fontId="84" fillId="8" borderId="64" xfId="558" applyFont="1" applyFill="1" applyBorder="1">
      <alignment vertical="center"/>
    </xf>
    <xf numFmtId="0" fontId="2" fillId="8" borderId="64" xfId="1241" applyFill="1" applyBorder="1" applyAlignment="1">
      <alignment horizontal="center" vertical="center"/>
    </xf>
    <xf numFmtId="0" fontId="2" fillId="8" borderId="42" xfId="1241" applyFill="1" applyBorder="1" applyAlignment="1">
      <alignment horizontal="center" vertical="center"/>
    </xf>
    <xf numFmtId="0" fontId="2" fillId="8" borderId="45" xfId="1241" applyFill="1" applyBorder="1">
      <alignment vertical="center"/>
    </xf>
    <xf numFmtId="41" fontId="84" fillId="8" borderId="0" xfId="558" applyFont="1" applyFill="1" applyBorder="1">
      <alignment vertical="center"/>
    </xf>
    <xf numFmtId="41" fontId="84" fillId="8" borderId="71" xfId="558" applyFont="1" applyFill="1" applyBorder="1">
      <alignment vertical="center"/>
    </xf>
    <xf numFmtId="0" fontId="85" fillId="8" borderId="45" xfId="1241" applyFont="1" applyFill="1" applyBorder="1" applyAlignment="1">
      <alignment horizontal="center" vertical="center"/>
    </xf>
    <xf numFmtId="0" fontId="2" fillId="0" borderId="0" xfId="1241" applyFill="1" applyBorder="1" applyAlignment="1">
      <alignment horizontal="centerContinuous" vertical="center"/>
    </xf>
    <xf numFmtId="0" fontId="88" fillId="6" borderId="70" xfId="1241" applyFont="1" applyFill="1" applyBorder="1" applyAlignment="1">
      <alignment horizontal="centerContinuous" vertical="center"/>
    </xf>
    <xf numFmtId="0" fontId="79" fillId="3" borderId="100" xfId="1241" applyFont="1" applyFill="1" applyBorder="1" applyAlignment="1">
      <alignment horizontal="centerContinuous" vertical="center"/>
    </xf>
    <xf numFmtId="0" fontId="2" fillId="3" borderId="101" xfId="1241" applyFill="1" applyBorder="1" applyAlignment="1">
      <alignment horizontal="centerContinuous" vertical="center"/>
    </xf>
    <xf numFmtId="0" fontId="88" fillId="6" borderId="102" xfId="1241" applyFont="1" applyFill="1" applyBorder="1" applyAlignment="1">
      <alignment horizontal="centerContinuous" vertical="center"/>
    </xf>
    <xf numFmtId="0" fontId="2" fillId="40" borderId="46" xfId="1241" applyFill="1" applyBorder="1">
      <alignment vertical="center"/>
    </xf>
    <xf numFmtId="0" fontId="2" fillId="8" borderId="54" xfId="1241" applyFill="1" applyBorder="1">
      <alignment vertical="center"/>
    </xf>
    <xf numFmtId="41" fontId="84" fillId="8" borderId="55" xfId="558" applyFont="1" applyFill="1" applyBorder="1">
      <alignment vertical="center"/>
    </xf>
    <xf numFmtId="41" fontId="84" fillId="8" borderId="90" xfId="558" applyFont="1" applyFill="1" applyBorder="1">
      <alignment vertical="center"/>
    </xf>
    <xf numFmtId="0" fontId="2" fillId="8" borderId="90" xfId="1241" applyFill="1" applyBorder="1" applyAlignment="1">
      <alignment horizontal="center" vertical="center"/>
    </xf>
    <xf numFmtId="0" fontId="2" fillId="8" borderId="56" xfId="1241" applyFill="1" applyBorder="1" applyAlignment="1">
      <alignment horizontal="center" vertical="center"/>
    </xf>
    <xf numFmtId="0" fontId="2" fillId="0" borderId="31" xfId="1241" applyFont="1" applyFill="1" applyBorder="1">
      <alignment vertical="center"/>
    </xf>
    <xf numFmtId="0" fontId="90" fillId="40" borderId="70" xfId="1241" applyFont="1" applyFill="1" applyBorder="1" applyAlignment="1">
      <alignment horizontal="centerContinuous" vertical="center"/>
    </xf>
    <xf numFmtId="0" fontId="2" fillId="40" borderId="0" xfId="1241" applyFill="1" applyBorder="1" applyAlignment="1">
      <alignment horizontal="centerContinuous" vertical="center"/>
    </xf>
    <xf numFmtId="0" fontId="90" fillId="0" borderId="70" xfId="1241" applyFont="1" applyFill="1" applyBorder="1">
      <alignment vertical="center"/>
    </xf>
    <xf numFmtId="0" fontId="90" fillId="0" borderId="0" xfId="1241" applyFont="1" applyFill="1" applyBorder="1">
      <alignment vertical="center"/>
    </xf>
    <xf numFmtId="0" fontId="90" fillId="0" borderId="89" xfId="1241" applyFont="1" applyFill="1" applyBorder="1">
      <alignment vertical="center"/>
    </xf>
    <xf numFmtId="0" fontId="90" fillId="0" borderId="46" xfId="1241" applyFont="1" applyFill="1" applyBorder="1">
      <alignment vertical="center"/>
    </xf>
    <xf numFmtId="0" fontId="90" fillId="0" borderId="31" xfId="1241" applyFont="1" applyFill="1" applyBorder="1">
      <alignment vertical="center"/>
    </xf>
    <xf numFmtId="0" fontId="88" fillId="6" borderId="103" xfId="1241" applyFont="1" applyFill="1" applyBorder="1" applyAlignment="1">
      <alignment horizontal="centerContinuous" vertical="center"/>
    </xf>
    <xf numFmtId="0" fontId="88" fillId="6" borderId="0" xfId="1241" applyFont="1" applyFill="1" applyBorder="1" applyAlignment="1">
      <alignment horizontal="centerContinuous" vertical="center"/>
    </xf>
    <xf numFmtId="0" fontId="88" fillId="6" borderId="104" xfId="1241" applyFont="1" applyFill="1" applyBorder="1" applyAlignment="1">
      <alignment horizontal="centerContinuous" vertical="center"/>
    </xf>
    <xf numFmtId="41" fontId="84" fillId="8" borderId="0" xfId="558" quotePrefix="1" applyFont="1" applyFill="1" applyBorder="1">
      <alignment vertical="center"/>
    </xf>
    <xf numFmtId="41" fontId="84" fillId="8" borderId="71" xfId="558" quotePrefix="1" applyFont="1" applyFill="1" applyBorder="1">
      <alignment vertical="center"/>
    </xf>
    <xf numFmtId="0" fontId="9" fillId="0" borderId="71" xfId="1241" applyFont="1" applyBorder="1" applyAlignment="1">
      <alignment horizontal="center" vertical="center"/>
    </xf>
    <xf numFmtId="0" fontId="9" fillId="8" borderId="88" xfId="1241" applyFont="1" applyFill="1" applyBorder="1" applyAlignment="1">
      <alignment horizontal="center" vertical="center"/>
    </xf>
    <xf numFmtId="0" fontId="2" fillId="8" borderId="71" xfId="1241" applyFill="1" applyBorder="1" applyAlignment="1">
      <alignment horizontal="center" vertical="center"/>
    </xf>
    <xf numFmtId="0" fontId="2" fillId="8" borderId="46" xfId="1241" applyFill="1" applyBorder="1" applyAlignment="1">
      <alignment horizontal="center" vertical="center"/>
    </xf>
    <xf numFmtId="0" fontId="74" fillId="0" borderId="105" xfId="1241" applyFont="1" applyBorder="1" applyAlignment="1">
      <alignment horizontal="center" vertical="center"/>
    </xf>
    <xf numFmtId="0" fontId="94" fillId="40" borderId="0" xfId="1241" applyFont="1" applyFill="1" applyBorder="1" applyAlignment="1">
      <alignment horizontal="centerContinuous" vertical="center"/>
    </xf>
    <xf numFmtId="0" fontId="89" fillId="40" borderId="0" xfId="1241" applyFont="1" applyFill="1" applyBorder="1" applyAlignment="1">
      <alignment horizontal="centerContinuous" vertical="center"/>
    </xf>
    <xf numFmtId="0" fontId="94" fillId="40" borderId="104" xfId="1241" applyFont="1" applyFill="1" applyBorder="1" applyAlignment="1">
      <alignment horizontal="centerContinuous" vertical="center"/>
    </xf>
    <xf numFmtId="0" fontId="2" fillId="40" borderId="89" xfId="1241" applyFill="1" applyBorder="1" applyAlignment="1">
      <alignment horizontal="centerContinuous" vertical="center"/>
    </xf>
    <xf numFmtId="0" fontId="2" fillId="40" borderId="70" xfId="1241" applyFill="1" applyBorder="1" applyAlignment="1">
      <alignment horizontal="centerContinuous" vertical="center"/>
    </xf>
    <xf numFmtId="0" fontId="2" fillId="40" borderId="106" xfId="1241" applyFill="1" applyBorder="1" applyAlignment="1">
      <alignment horizontal="centerContinuous" vertical="center"/>
    </xf>
    <xf numFmtId="0" fontId="2" fillId="6" borderId="89" xfId="1241" applyFill="1" applyBorder="1" applyAlignment="1">
      <alignment horizontal="centerContinuous" vertical="center"/>
    </xf>
    <xf numFmtId="0" fontId="89" fillId="6" borderId="46" xfId="1241" applyFont="1" applyFill="1" applyBorder="1" applyAlignment="1">
      <alignment horizontal="centerContinuous" vertical="center"/>
    </xf>
    <xf numFmtId="0" fontId="9" fillId="0" borderId="105" xfId="1241" applyFont="1" applyBorder="1" applyAlignment="1">
      <alignment horizontal="center" vertical="center"/>
    </xf>
    <xf numFmtId="0" fontId="93" fillId="9" borderId="107" xfId="1241" applyFont="1" applyFill="1" applyBorder="1" applyAlignment="1">
      <alignment horizontal="centerContinuous" vertical="center"/>
    </xf>
    <xf numFmtId="0" fontId="9" fillId="0" borderId="66" xfId="1241" applyFont="1" applyBorder="1" applyAlignment="1">
      <alignment horizontal="center" vertical="center"/>
    </xf>
    <xf numFmtId="0" fontId="9" fillId="0" borderId="86" xfId="1241" applyFont="1" applyBorder="1" applyAlignment="1">
      <alignment horizontal="center" vertical="center"/>
    </xf>
    <xf numFmtId="0" fontId="2" fillId="0" borderId="53" xfId="1241" applyFill="1" applyBorder="1">
      <alignment vertical="center"/>
    </xf>
    <xf numFmtId="41" fontId="84" fillId="0" borderId="22" xfId="558" applyFont="1" applyFill="1" applyBorder="1">
      <alignment vertical="center"/>
    </xf>
    <xf numFmtId="41" fontId="84" fillId="0" borderId="66" xfId="558" applyFont="1" applyFill="1" applyBorder="1">
      <alignment vertical="center"/>
    </xf>
    <xf numFmtId="0" fontId="2" fillId="0" borderId="66" xfId="1241" applyFill="1" applyBorder="1" applyAlignment="1">
      <alignment horizontal="center" vertical="center"/>
    </xf>
    <xf numFmtId="0" fontId="2" fillId="0" borderId="23" xfId="1241" applyFill="1" applyBorder="1" applyAlignment="1">
      <alignment horizontal="center" vertical="center"/>
    </xf>
    <xf numFmtId="0" fontId="2" fillId="0" borderId="28" xfId="1241" applyFill="1" applyBorder="1">
      <alignment vertical="center"/>
    </xf>
    <xf numFmtId="0" fontId="2" fillId="0" borderId="22" xfId="1241" applyFill="1" applyBorder="1">
      <alignment vertical="center"/>
    </xf>
    <xf numFmtId="0" fontId="2" fillId="0" borderId="78" xfId="1241" applyFill="1" applyBorder="1">
      <alignment vertical="center"/>
    </xf>
    <xf numFmtId="0" fontId="2" fillId="0" borderId="108" xfId="1241" applyFill="1" applyBorder="1">
      <alignment vertical="center"/>
    </xf>
    <xf numFmtId="0" fontId="2" fillId="0" borderId="23" xfId="1241" applyFill="1" applyBorder="1">
      <alignment vertical="center"/>
    </xf>
    <xf numFmtId="0" fontId="2" fillId="0" borderId="28" xfId="1241" applyBorder="1">
      <alignment vertical="center"/>
    </xf>
    <xf numFmtId="0" fontId="2" fillId="0" borderId="22" xfId="1241" applyBorder="1">
      <alignment vertical="center"/>
    </xf>
    <xf numFmtId="0" fontId="11" fillId="0" borderId="0" xfId="1241" applyFont="1" applyBorder="1">
      <alignment vertical="center"/>
    </xf>
    <xf numFmtId="0" fontId="84" fillId="0" borderId="0" xfId="1241" applyFont="1">
      <alignment vertical="center"/>
    </xf>
    <xf numFmtId="41" fontId="0" fillId="0" borderId="0" xfId="576" applyFont="1" applyAlignment="1">
      <alignment vertical="center"/>
    </xf>
    <xf numFmtId="0" fontId="95" fillId="0" borderId="0" xfId="576" applyNumberFormat="1" applyFont="1" applyAlignment="1">
      <alignment vertical="center"/>
    </xf>
    <xf numFmtId="41" fontId="97" fillId="0" borderId="0" xfId="576" applyFont="1" applyAlignment="1">
      <alignment vertical="center"/>
    </xf>
    <xf numFmtId="41" fontId="0" fillId="0" borderId="0" xfId="576" applyFont="1" applyAlignment="1">
      <alignment horizontal="center" vertical="center"/>
    </xf>
    <xf numFmtId="41" fontId="98" fillId="0" borderId="19" xfId="576" applyFont="1" applyBorder="1" applyAlignment="1">
      <alignment horizontal="center" vertical="center"/>
    </xf>
    <xf numFmtId="41" fontId="99" fillId="0" borderId="19" xfId="576" applyFont="1" applyBorder="1" applyAlignment="1">
      <alignment vertical="center"/>
    </xf>
    <xf numFmtId="41" fontId="98" fillId="0" borderId="0" xfId="576" applyFont="1" applyBorder="1" applyAlignment="1">
      <alignment horizontal="center" vertical="center"/>
    </xf>
    <xf numFmtId="41" fontId="100" fillId="0" borderId="0" xfId="576" applyFont="1" applyBorder="1" applyAlignment="1">
      <alignment vertical="center"/>
    </xf>
    <xf numFmtId="41" fontId="98" fillId="0" borderId="41" xfId="576" applyFont="1" applyBorder="1" applyAlignment="1">
      <alignment horizontal="center" vertical="center"/>
    </xf>
    <xf numFmtId="41" fontId="98" fillId="0" borderId="55" xfId="576" applyFont="1" applyBorder="1" applyAlignment="1">
      <alignment horizontal="center" vertical="center"/>
    </xf>
    <xf numFmtId="41" fontId="98" fillId="0" borderId="37" xfId="576" applyFont="1" applyBorder="1" applyAlignment="1">
      <alignment horizontal="center" vertical="center"/>
    </xf>
    <xf numFmtId="41" fontId="95" fillId="0" borderId="0" xfId="576" applyFont="1" applyAlignment="1">
      <alignment vertical="center"/>
    </xf>
    <xf numFmtId="0" fontId="60" fillId="0" borderId="0" xfId="956"/>
    <xf numFmtId="0" fontId="60" fillId="0" borderId="0" xfId="956" applyAlignment="1">
      <alignment vertical="center"/>
    </xf>
    <xf numFmtId="0" fontId="98" fillId="0" borderId="0" xfId="956" applyFont="1" applyAlignment="1">
      <alignment vertical="center"/>
    </xf>
    <xf numFmtId="0" fontId="101" fillId="0" borderId="0" xfId="956" applyFont="1"/>
    <xf numFmtId="0" fontId="102" fillId="0" borderId="0" xfId="956" applyFont="1"/>
    <xf numFmtId="0" fontId="103" fillId="0" borderId="0" xfId="956" applyFont="1"/>
    <xf numFmtId="41" fontId="98" fillId="2" borderId="19" xfId="576" applyFont="1" applyFill="1" applyBorder="1" applyAlignment="1">
      <alignment horizontal="center" vertical="center"/>
    </xf>
    <xf numFmtId="41" fontId="98" fillId="2" borderId="22" xfId="576" applyFont="1" applyFill="1" applyBorder="1" applyAlignment="1">
      <alignment horizontal="center" vertical="center"/>
    </xf>
    <xf numFmtId="41" fontId="0" fillId="0" borderId="29" xfId="576" applyFont="1" applyBorder="1" applyAlignment="1">
      <alignment horizontal="center" vertical="center"/>
    </xf>
    <xf numFmtId="41" fontId="0" fillId="0" borderId="45" xfId="576" applyFont="1" applyBorder="1" applyAlignment="1">
      <alignment horizontal="center" vertical="center"/>
    </xf>
    <xf numFmtId="41" fontId="0" fillId="0" borderId="40" xfId="576" applyFont="1" applyBorder="1" applyAlignment="1">
      <alignment horizontal="center" vertical="center"/>
    </xf>
    <xf numFmtId="41" fontId="0" fillId="0" borderId="54" xfId="576" applyFont="1" applyBorder="1" applyAlignment="1">
      <alignment horizontal="center" vertical="center"/>
    </xf>
    <xf numFmtId="41" fontId="0" fillId="0" borderId="25" xfId="576" applyFont="1" applyBorder="1" applyAlignment="1">
      <alignment horizontal="center" vertical="center"/>
    </xf>
    <xf numFmtId="41" fontId="100" fillId="0" borderId="22" xfId="576" applyFont="1" applyBorder="1" applyAlignment="1">
      <alignment vertical="center"/>
    </xf>
    <xf numFmtId="41" fontId="98" fillId="2" borderId="109" xfId="576" quotePrefix="1" applyFont="1" applyFill="1" applyBorder="1" applyAlignment="1">
      <alignment horizontal="centerContinuous" vertical="center"/>
    </xf>
    <xf numFmtId="41" fontId="98" fillId="2" borderId="30" xfId="576" applyFont="1" applyFill="1" applyBorder="1" applyAlignment="1">
      <alignment horizontal="centerContinuous" vertical="center"/>
    </xf>
    <xf numFmtId="41" fontId="0" fillId="0" borderId="109" xfId="576" applyFont="1" applyBorder="1" applyAlignment="1">
      <alignment horizontal="center" vertical="center"/>
    </xf>
    <xf numFmtId="41" fontId="0" fillId="0" borderId="30" xfId="576" applyFont="1" applyBorder="1" applyAlignment="1">
      <alignment horizontal="center" vertical="center"/>
    </xf>
    <xf numFmtId="41" fontId="0" fillId="0" borderId="47" xfId="576" applyFont="1" applyBorder="1" applyAlignment="1">
      <alignment horizontal="center" vertical="center"/>
    </xf>
    <xf numFmtId="41" fontId="0" fillId="0" borderId="44" xfId="576" applyFont="1" applyBorder="1" applyAlignment="1">
      <alignment horizontal="center" vertical="center"/>
    </xf>
    <xf numFmtId="41" fontId="0" fillId="0" borderId="58" xfId="576" applyFont="1" applyBorder="1" applyAlignment="1">
      <alignment horizontal="center" vertical="center"/>
    </xf>
    <xf numFmtId="41" fontId="0" fillId="0" borderId="112" xfId="576" applyFont="1" applyBorder="1" applyAlignment="1">
      <alignment horizontal="center" vertical="center"/>
    </xf>
    <xf numFmtId="41" fontId="0" fillId="0" borderId="110" xfId="576" applyFont="1" applyBorder="1" applyAlignment="1">
      <alignment horizontal="center" vertical="center"/>
    </xf>
    <xf numFmtId="41" fontId="0" fillId="0" borderId="39" xfId="576" applyFont="1" applyBorder="1" applyAlignment="1">
      <alignment horizontal="center" vertical="center"/>
    </xf>
    <xf numFmtId="41" fontId="98" fillId="2" borderId="59" xfId="576" quotePrefix="1" applyFont="1" applyFill="1" applyBorder="1" applyAlignment="1">
      <alignment horizontal="centerContinuous" vertical="center"/>
    </xf>
    <xf numFmtId="41" fontId="0" fillId="0" borderId="59" xfId="576" applyFont="1" applyBorder="1" applyAlignment="1">
      <alignment horizontal="center" vertical="center"/>
    </xf>
    <xf numFmtId="41" fontId="0" fillId="0" borderId="74" xfId="576" applyFont="1" applyBorder="1" applyAlignment="1">
      <alignment horizontal="center" vertical="center"/>
    </xf>
    <xf numFmtId="41" fontId="104" fillId="0" borderId="112" xfId="576" applyFont="1" applyBorder="1" applyAlignment="1">
      <alignment horizontal="center" vertical="center"/>
    </xf>
    <xf numFmtId="41" fontId="104" fillId="0" borderId="111" xfId="576" applyFont="1" applyBorder="1" applyAlignment="1">
      <alignment horizontal="center" vertical="center"/>
    </xf>
    <xf numFmtId="41" fontId="11" fillId="0" borderId="47" xfId="576" applyFont="1" applyBorder="1" applyAlignment="1">
      <alignment horizontal="center" vertical="center"/>
    </xf>
    <xf numFmtId="41" fontId="105" fillId="0" borderId="111" xfId="576" applyFont="1" applyBorder="1" applyAlignment="1">
      <alignment horizontal="center" vertical="center"/>
    </xf>
    <xf numFmtId="41" fontId="106" fillId="0" borderId="111" xfId="576" applyFont="1" applyBorder="1" applyAlignment="1">
      <alignment horizontal="center" vertical="center"/>
    </xf>
    <xf numFmtId="41" fontId="106" fillId="0" borderId="114" xfId="576" applyFont="1" applyBorder="1" applyAlignment="1">
      <alignment horizontal="center" vertical="center"/>
    </xf>
    <xf numFmtId="41" fontId="73" fillId="0" borderId="71" xfId="576" applyFont="1" applyBorder="1" applyAlignment="1">
      <alignment horizontal="center" vertical="center"/>
    </xf>
    <xf numFmtId="41" fontId="107" fillId="0" borderId="113" xfId="576" applyFont="1" applyBorder="1" applyAlignment="1">
      <alignment horizontal="center" vertical="center"/>
    </xf>
    <xf numFmtId="41" fontId="98" fillId="0" borderId="90" xfId="576" applyFont="1" applyBorder="1" applyAlignment="1">
      <alignment horizontal="center" vertical="center"/>
    </xf>
    <xf numFmtId="41" fontId="0" fillId="0" borderId="116" xfId="576" applyFont="1" applyBorder="1" applyAlignment="1">
      <alignment horizontal="center" vertical="center"/>
    </xf>
    <xf numFmtId="41" fontId="0" fillId="0" borderId="117" xfId="576" applyFont="1" applyBorder="1" applyAlignment="1">
      <alignment horizontal="center" vertical="center"/>
    </xf>
    <xf numFmtId="41" fontId="0" fillId="0" borderId="115" xfId="576" applyFont="1" applyBorder="1" applyAlignment="1">
      <alignment horizontal="center" vertical="center"/>
    </xf>
    <xf numFmtId="41" fontId="108" fillId="17" borderId="110" xfId="576" applyFont="1" applyFill="1" applyBorder="1" applyAlignment="1">
      <alignment horizontal="center" vertical="center"/>
    </xf>
    <xf numFmtId="41" fontId="108" fillId="17" borderId="39" xfId="576" applyFont="1" applyFill="1" applyBorder="1" applyAlignment="1">
      <alignment horizontal="center" vertical="center"/>
    </xf>
    <xf numFmtId="41" fontId="108" fillId="17" borderId="74" xfId="576" applyFont="1" applyFill="1" applyBorder="1" applyAlignment="1">
      <alignment horizontal="center" vertical="center"/>
    </xf>
    <xf numFmtId="41" fontId="106" fillId="8" borderId="64" xfId="576" applyFont="1" applyFill="1" applyBorder="1" applyAlignment="1">
      <alignment horizontal="center" vertical="center"/>
    </xf>
    <xf numFmtId="41" fontId="0" fillId="8" borderId="44" xfId="576" applyFont="1" applyFill="1" applyBorder="1" applyAlignment="1">
      <alignment horizontal="center" vertical="center"/>
    </xf>
    <xf numFmtId="41" fontId="105" fillId="8" borderId="111" xfId="576" applyFont="1" applyFill="1" applyBorder="1" applyAlignment="1">
      <alignment horizontal="center" vertical="center"/>
    </xf>
    <xf numFmtId="41" fontId="0" fillId="8" borderId="47" xfId="576" applyFont="1" applyFill="1" applyBorder="1" applyAlignment="1">
      <alignment horizontal="center" vertical="center"/>
    </xf>
    <xf numFmtId="41" fontId="106" fillId="8" borderId="117" xfId="576" applyFont="1" applyFill="1" applyBorder="1" applyAlignment="1">
      <alignment horizontal="center" vertical="center"/>
    </xf>
    <xf numFmtId="41" fontId="0" fillId="8" borderId="115" xfId="576" applyFont="1" applyFill="1" applyBorder="1" applyAlignment="1">
      <alignment horizontal="center" vertical="center"/>
    </xf>
    <xf numFmtId="41" fontId="106" fillId="8" borderId="71" xfId="576" applyFont="1" applyFill="1" applyBorder="1" applyAlignment="1">
      <alignment horizontal="center" vertical="center"/>
    </xf>
    <xf numFmtId="41" fontId="106" fillId="8" borderId="113" xfId="576" applyFont="1" applyFill="1" applyBorder="1" applyAlignment="1">
      <alignment horizontal="center" vertical="center"/>
    </xf>
    <xf numFmtId="41" fontId="106" fillId="8" borderId="114" xfId="576" applyFont="1" applyFill="1" applyBorder="1" applyAlignment="1">
      <alignment horizontal="center" vertical="center"/>
    </xf>
    <xf numFmtId="41" fontId="106" fillId="7" borderId="64" xfId="576" applyFont="1" applyFill="1" applyBorder="1" applyAlignment="1">
      <alignment horizontal="center" vertical="center"/>
    </xf>
    <xf numFmtId="41" fontId="0" fillId="7" borderId="30" xfId="576" applyFont="1" applyFill="1" applyBorder="1" applyAlignment="1">
      <alignment horizontal="center" vertical="center"/>
    </xf>
    <xf numFmtId="41" fontId="73" fillId="7" borderId="71" xfId="576" applyFont="1" applyFill="1" applyBorder="1" applyAlignment="1">
      <alignment horizontal="center" vertical="center"/>
    </xf>
    <xf numFmtId="41" fontId="0" fillId="7" borderId="47" xfId="576" applyFont="1" applyFill="1" applyBorder="1" applyAlignment="1">
      <alignment horizontal="center" vertical="center"/>
    </xf>
    <xf numFmtId="41" fontId="0" fillId="7" borderId="44" xfId="576" applyFont="1" applyFill="1" applyBorder="1" applyAlignment="1">
      <alignment horizontal="center" vertical="center"/>
    </xf>
    <xf numFmtId="41" fontId="107" fillId="7" borderId="113" xfId="576" quotePrefix="1" applyFont="1" applyFill="1" applyBorder="1" applyAlignment="1">
      <alignment horizontal="center" vertical="center"/>
    </xf>
    <xf numFmtId="41" fontId="0" fillId="7" borderId="58" xfId="576" applyFont="1" applyFill="1" applyBorder="1" applyAlignment="1">
      <alignment horizontal="center" vertical="center"/>
    </xf>
    <xf numFmtId="41" fontId="105" fillId="7" borderId="111" xfId="576" applyFont="1" applyFill="1" applyBorder="1" applyAlignment="1">
      <alignment horizontal="center" vertical="center"/>
    </xf>
    <xf numFmtId="41" fontId="106" fillId="7" borderId="117" xfId="576" applyFont="1" applyFill="1" applyBorder="1" applyAlignment="1">
      <alignment horizontal="center" vertical="center"/>
    </xf>
    <xf numFmtId="41" fontId="0" fillId="7" borderId="115" xfId="576" applyFont="1" applyFill="1" applyBorder="1" applyAlignment="1">
      <alignment horizontal="center" vertical="center"/>
    </xf>
    <xf numFmtId="41" fontId="106" fillId="7" borderId="71" xfId="576" applyFont="1" applyFill="1" applyBorder="1" applyAlignment="1">
      <alignment horizontal="center" vertical="center"/>
    </xf>
    <xf numFmtId="41" fontId="106" fillId="7" borderId="113" xfId="576" applyFont="1" applyFill="1" applyBorder="1" applyAlignment="1">
      <alignment horizontal="center" vertical="center"/>
    </xf>
    <xf numFmtId="41" fontId="106" fillId="7" borderId="114" xfId="576" applyFont="1" applyFill="1" applyBorder="1" applyAlignment="1">
      <alignment horizontal="center" vertical="center"/>
    </xf>
    <xf numFmtId="41" fontId="98" fillId="40" borderId="59" xfId="576" quotePrefix="1" applyFont="1" applyFill="1" applyBorder="1" applyAlignment="1">
      <alignment horizontal="centerContinuous" vertical="center"/>
    </xf>
    <xf numFmtId="41" fontId="98" fillId="40" borderId="30" xfId="576" applyFont="1" applyFill="1" applyBorder="1" applyAlignment="1">
      <alignment horizontal="centerContinuous" vertical="center"/>
    </xf>
    <xf numFmtId="0" fontId="59" fillId="0" borderId="0" xfId="0" applyFont="1">
      <alignment vertical="center"/>
    </xf>
    <xf numFmtId="0" fontId="0" fillId="3" borderId="119" xfId="0" applyFill="1" applyBorder="1" applyAlignment="1">
      <alignment horizontal="centerContinuous" vertical="center"/>
    </xf>
    <xf numFmtId="0" fontId="0" fillId="3" borderId="120" xfId="0" applyFill="1" applyBorder="1" applyAlignment="1">
      <alignment horizontal="centerContinuous" vertical="center"/>
    </xf>
    <xf numFmtId="0" fontId="8" fillId="3" borderId="118" xfId="0" applyFont="1" applyFill="1" applyBorder="1" applyAlignment="1">
      <alignment horizontal="centerContinuous" vertical="center"/>
    </xf>
    <xf numFmtId="41" fontId="98" fillId="2" borderId="19" xfId="576" applyFont="1" applyFill="1" applyBorder="1" applyAlignment="1">
      <alignment horizontal="center" vertical="center"/>
    </xf>
    <xf numFmtId="41" fontId="98" fillId="2" borderId="22" xfId="576" applyFont="1" applyFill="1" applyBorder="1" applyAlignment="1">
      <alignment horizontal="center" vertical="center"/>
    </xf>
    <xf numFmtId="41" fontId="74" fillId="2" borderId="19" xfId="1242" applyFont="1" applyFill="1" applyBorder="1" applyAlignment="1">
      <alignment horizontal="center" vertical="center"/>
    </xf>
    <xf numFmtId="41" fontId="9" fillId="2" borderId="22" xfId="1242" applyFont="1" applyFill="1" applyBorder="1" applyAlignment="1">
      <alignment horizontal="center" vertical="center"/>
    </xf>
    <xf numFmtId="41" fontId="74" fillId="2" borderId="85" xfId="1242" applyFont="1" applyFill="1" applyBorder="1" applyAlignment="1">
      <alignment horizontal="center" vertical="center"/>
    </xf>
    <xf numFmtId="41" fontId="74" fillId="2" borderId="86" xfId="1242" applyFont="1" applyFill="1" applyBorder="1" applyAlignment="1">
      <alignment horizontal="center" vertical="center"/>
    </xf>
    <xf numFmtId="41" fontId="9" fillId="2" borderId="29" xfId="1242" applyFont="1" applyFill="1" applyBorder="1" applyAlignment="1">
      <alignment horizontal="center" vertical="center"/>
    </xf>
    <xf numFmtId="41" fontId="9" fillId="2" borderId="59" xfId="1242" applyFont="1" applyFill="1" applyBorder="1" applyAlignment="1">
      <alignment horizontal="center" vertical="center"/>
    </xf>
    <xf numFmtId="41" fontId="9" fillId="2" borderId="53" xfId="1242" applyFont="1" applyFill="1" applyBorder="1" applyAlignment="1">
      <alignment horizontal="center" vertical="center"/>
    </xf>
    <xf numFmtId="41" fontId="9" fillId="2" borderId="66" xfId="1242" applyFont="1" applyFill="1" applyBorder="1" applyAlignment="1">
      <alignment horizontal="center" vertical="center"/>
    </xf>
    <xf numFmtId="41" fontId="9" fillId="2" borderId="21" xfId="1242" applyFont="1" applyFill="1" applyBorder="1" applyAlignment="1">
      <alignment horizontal="center" vertical="center"/>
    </xf>
    <xf numFmtId="41" fontId="9" fillId="2" borderId="19" xfId="1242" applyFont="1" applyFill="1" applyBorder="1" applyAlignment="1">
      <alignment horizontal="center" vertical="center"/>
    </xf>
    <xf numFmtId="41" fontId="9" fillId="2" borderId="28" xfId="1242" applyFont="1" applyFill="1" applyBorder="1" applyAlignment="1">
      <alignment horizontal="center" vertical="center"/>
    </xf>
    <xf numFmtId="0" fontId="74" fillId="0" borderId="88" xfId="1241" applyFont="1" applyBorder="1" applyAlignment="1">
      <alignment horizontal="center" vertical="center"/>
    </xf>
    <xf numFmtId="0" fontId="85" fillId="0" borderId="45" xfId="1241" applyFont="1" applyFill="1" applyBorder="1" applyAlignment="1">
      <alignment horizontal="center" vertical="center"/>
    </xf>
    <xf numFmtId="0" fontId="87" fillId="0" borderId="45" xfId="1241" applyFont="1" applyFill="1" applyBorder="1" applyAlignment="1">
      <alignment horizontal="center" vertical="center"/>
    </xf>
    <xf numFmtId="41" fontId="86" fillId="0" borderId="0" xfId="558" applyFont="1" applyFill="1" applyBorder="1">
      <alignment vertical="center"/>
    </xf>
    <xf numFmtId="41" fontId="86" fillId="0" borderId="71" xfId="558" applyFont="1" applyFill="1" applyBorder="1">
      <alignment vertical="center"/>
    </xf>
    <xf numFmtId="0" fontId="2" fillId="0" borderId="88" xfId="1241" applyFont="1" applyFill="1" applyBorder="1" applyAlignment="1">
      <alignment horizontal="center" vertical="center" wrapText="1"/>
    </xf>
    <xf numFmtId="0" fontId="2" fillId="0" borderId="88" xfId="1241" applyFont="1" applyFill="1" applyBorder="1" applyAlignment="1">
      <alignment horizontal="center" vertical="center"/>
    </xf>
    <xf numFmtId="0" fontId="2" fillId="0" borderId="47" xfId="1241" applyFont="1" applyFill="1" applyBorder="1" applyAlignment="1">
      <alignment horizontal="center" vertical="center" wrapText="1"/>
    </xf>
    <xf numFmtId="0" fontId="2" fillId="0" borderId="71" xfId="1241" applyFont="1" applyFill="1" applyBorder="1" applyAlignment="1">
      <alignment horizontal="center" vertical="center"/>
    </xf>
    <xf numFmtId="41" fontId="2" fillId="0" borderId="31" xfId="558" applyFont="1" applyBorder="1">
      <alignment vertical="center"/>
    </xf>
    <xf numFmtId="41" fontId="2" fillId="0" borderId="0" xfId="558" applyFont="1" applyBorder="1">
      <alignment vertical="center"/>
    </xf>
    <xf numFmtId="41" fontId="84" fillId="0" borderId="0" xfId="558" quotePrefix="1" applyFont="1" applyFill="1" applyBorder="1">
      <alignment vertical="center"/>
    </xf>
    <xf numFmtId="41" fontId="84" fillId="0" borderId="71" xfId="558" quotePrefix="1" applyFont="1" applyFill="1" applyBorder="1">
      <alignment vertical="center"/>
    </xf>
    <xf numFmtId="0" fontId="2" fillId="0" borderId="31" xfId="1241" applyFont="1" applyBorder="1">
      <alignment vertical="center"/>
    </xf>
    <xf numFmtId="0" fontId="2" fillId="0" borderId="0" xfId="1241" applyFont="1" applyBorder="1">
      <alignment vertical="center"/>
    </xf>
    <xf numFmtId="0" fontId="74" fillId="0" borderId="88" xfId="1241" applyFont="1" applyBorder="1" applyAlignment="1">
      <alignment horizontal="center" vertical="center" wrapText="1"/>
    </xf>
    <xf numFmtId="0" fontId="74" fillId="8" borderId="88" xfId="1241" applyFont="1" applyFill="1" applyBorder="1" applyAlignment="1">
      <alignment horizontal="center" vertical="center" wrapText="1"/>
    </xf>
    <xf numFmtId="0" fontId="85" fillId="8" borderId="45" xfId="1241" applyFont="1" applyFill="1" applyBorder="1" applyAlignment="1">
      <alignment horizontal="center" vertical="center"/>
    </xf>
    <xf numFmtId="0" fontId="87" fillId="8" borderId="45" xfId="1241" applyFont="1" applyFill="1" applyBorder="1" applyAlignment="1">
      <alignment horizontal="center" vertical="center"/>
    </xf>
    <xf numFmtId="41" fontId="86" fillId="8" borderId="0" xfId="558" applyFont="1" applyFill="1" applyBorder="1">
      <alignment vertical="center"/>
    </xf>
    <xf numFmtId="41" fontId="86" fillId="8" borderId="71" xfId="558" applyFont="1" applyFill="1" applyBorder="1">
      <alignment vertical="center"/>
    </xf>
    <xf numFmtId="0" fontId="2" fillId="8" borderId="88" xfId="1241" applyFont="1" applyFill="1" applyBorder="1" applyAlignment="1">
      <alignment horizontal="center" vertical="center" wrapText="1"/>
    </xf>
    <xf numFmtId="0" fontId="2" fillId="8" borderId="88" xfId="1241" applyFont="1" applyFill="1" applyBorder="1" applyAlignment="1">
      <alignment horizontal="center" vertical="center"/>
    </xf>
    <xf numFmtId="0" fontId="2" fillId="8" borderId="47" xfId="1241" applyFont="1" applyFill="1" applyBorder="1" applyAlignment="1">
      <alignment horizontal="center" vertical="center" wrapText="1"/>
    </xf>
    <xf numFmtId="0" fontId="2" fillId="8" borderId="71" xfId="1241" applyFont="1" applyFill="1" applyBorder="1" applyAlignment="1">
      <alignment horizontal="center" vertical="center" wrapText="1"/>
    </xf>
    <xf numFmtId="0" fontId="2" fillId="8" borderId="71" xfId="1241" applyFont="1" applyFill="1" applyBorder="1" applyAlignment="1">
      <alignment horizontal="center" vertical="center"/>
    </xf>
    <xf numFmtId="41" fontId="84" fillId="8" borderId="0" xfId="558" quotePrefix="1" applyFont="1" applyFill="1" applyBorder="1">
      <alignment vertical="center"/>
    </xf>
    <xf numFmtId="41" fontId="84" fillId="8" borderId="71" xfId="558" quotePrefix="1" applyFont="1" applyFill="1" applyBorder="1">
      <alignment vertical="center"/>
    </xf>
    <xf numFmtId="0" fontId="2" fillId="0" borderId="71" xfId="1241" applyFont="1" applyFill="1" applyBorder="1" applyAlignment="1">
      <alignment horizontal="center" vertical="center" wrapText="1"/>
    </xf>
    <xf numFmtId="0" fontId="5" fillId="3" borderId="1" xfId="1" applyNumberFormat="1" applyFont="1" applyFill="1" applyBorder="1" applyAlignment="1">
      <alignment horizontal="center" vertical="center" wrapText="1"/>
    </xf>
    <xf numFmtId="0" fontId="5" fillId="3" borderId="2" xfId="1" applyNumberFormat="1" applyFont="1" applyFill="1" applyBorder="1" applyAlignment="1">
      <alignment horizontal="center" vertical="center"/>
    </xf>
    <xf numFmtId="0" fontId="5" fillId="3" borderId="3" xfId="1" applyNumberFormat="1" applyFont="1" applyFill="1" applyBorder="1" applyAlignment="1">
      <alignment horizontal="center" vertical="center"/>
    </xf>
    <xf numFmtId="0" fontId="5" fillId="3" borderId="4" xfId="1" applyNumberFormat="1" applyFont="1" applyFill="1" applyBorder="1" applyAlignment="1">
      <alignment horizontal="center" vertical="center"/>
    </xf>
    <xf numFmtId="0" fontId="5" fillId="3" borderId="0" xfId="1" applyNumberFormat="1" applyFont="1" applyFill="1" applyBorder="1" applyAlignment="1">
      <alignment horizontal="center" vertical="center"/>
    </xf>
    <xf numFmtId="0" fontId="5" fillId="3" borderId="5" xfId="1" applyNumberFormat="1" applyFont="1" applyFill="1" applyBorder="1" applyAlignment="1">
      <alignment horizontal="center" vertical="center"/>
    </xf>
    <xf numFmtId="0" fontId="5" fillId="3" borderId="6" xfId="1" applyNumberFormat="1" applyFont="1" applyFill="1" applyBorder="1" applyAlignment="1">
      <alignment horizontal="center" vertical="center"/>
    </xf>
    <xf numFmtId="0" fontId="5" fillId="3" borderId="7" xfId="1" applyNumberFormat="1" applyFont="1" applyFill="1" applyBorder="1" applyAlignment="1">
      <alignment horizontal="center" vertical="center"/>
    </xf>
    <xf numFmtId="0" fontId="5" fillId="3" borderId="8" xfId="1" applyNumberFormat="1" applyFont="1" applyFill="1" applyBorder="1" applyAlignment="1">
      <alignment horizontal="center" vertical="center"/>
    </xf>
    <xf numFmtId="0" fontId="5" fillId="0" borderId="1" xfId="1" applyNumberFormat="1" applyFont="1" applyBorder="1" applyAlignment="1">
      <alignment horizontal="center" vertical="center" wrapText="1"/>
    </xf>
    <xf numFmtId="0" fontId="5" fillId="0" borderId="2" xfId="1" applyNumberFormat="1" applyFont="1" applyBorder="1" applyAlignment="1">
      <alignment horizontal="center" vertical="center"/>
    </xf>
    <xf numFmtId="0" fontId="5" fillId="0" borderId="3" xfId="1" applyNumberFormat="1" applyFont="1" applyBorder="1" applyAlignment="1">
      <alignment horizontal="center" vertical="center"/>
    </xf>
    <xf numFmtId="0" fontId="5" fillId="0" borderId="4" xfId="1" applyNumberFormat="1" applyFont="1" applyBorder="1" applyAlignment="1">
      <alignment horizontal="center" vertical="center"/>
    </xf>
    <xf numFmtId="0" fontId="5" fillId="0" borderId="0" xfId="1" applyNumberFormat="1" applyFont="1" applyBorder="1" applyAlignment="1">
      <alignment horizontal="center" vertical="center"/>
    </xf>
    <xf numFmtId="0" fontId="5" fillId="0" borderId="5" xfId="1" applyNumberFormat="1" applyFont="1" applyBorder="1" applyAlignment="1">
      <alignment horizontal="center" vertical="center"/>
    </xf>
    <xf numFmtId="0" fontId="5" fillId="0" borderId="6" xfId="1" applyNumberFormat="1" applyFont="1" applyBorder="1" applyAlignment="1">
      <alignment horizontal="center" vertical="center"/>
    </xf>
    <xf numFmtId="0" fontId="5" fillId="0" borderId="7" xfId="1" applyNumberFormat="1" applyFont="1" applyBorder="1" applyAlignment="1">
      <alignment horizontal="center" vertical="center"/>
    </xf>
    <xf numFmtId="0" fontId="5" fillId="0" borderId="8" xfId="1" applyNumberFormat="1" applyFont="1" applyBorder="1" applyAlignment="1">
      <alignment horizontal="center" vertical="center"/>
    </xf>
    <xf numFmtId="0" fontId="5" fillId="3" borderId="9" xfId="1" applyNumberFormat="1" applyFont="1" applyFill="1" applyBorder="1" applyAlignment="1">
      <alignment horizontal="center" vertical="center" wrapText="1"/>
    </xf>
    <xf numFmtId="0" fontId="5" fillId="3" borderId="10" xfId="1" applyNumberFormat="1" applyFont="1" applyFill="1" applyBorder="1" applyAlignment="1">
      <alignment horizontal="center" vertical="center"/>
    </xf>
    <xf numFmtId="0" fontId="5" fillId="3" borderId="11" xfId="1" applyNumberFormat="1" applyFont="1" applyFill="1" applyBorder="1" applyAlignment="1">
      <alignment horizontal="center" vertical="center"/>
    </xf>
    <xf numFmtId="41" fontId="12" fillId="15" borderId="19" xfId="1" applyFont="1" applyFill="1" applyBorder="1" applyAlignment="1">
      <alignment horizontal="center" vertical="center"/>
    </xf>
    <xf numFmtId="41" fontId="12" fillId="15" borderId="20" xfId="1" applyFont="1" applyFill="1" applyBorder="1" applyAlignment="1">
      <alignment horizontal="center" vertical="center"/>
    </xf>
    <xf numFmtId="41" fontId="12" fillId="15" borderId="22" xfId="1" applyFont="1" applyFill="1" applyBorder="1" applyAlignment="1">
      <alignment horizontal="center" vertical="center"/>
    </xf>
    <xf numFmtId="41" fontId="12" fillId="15" borderId="23" xfId="1" applyFont="1" applyFill="1" applyBorder="1" applyAlignment="1">
      <alignment horizontal="center" vertical="center"/>
    </xf>
    <xf numFmtId="41" fontId="12" fillId="15" borderId="21" xfId="1" applyFont="1" applyFill="1" applyBorder="1" applyAlignment="1">
      <alignment horizontal="center" vertical="center"/>
    </xf>
    <xf numFmtId="41" fontId="12" fillId="15" borderId="28" xfId="1" applyFont="1" applyFill="1" applyBorder="1" applyAlignment="1">
      <alignment horizontal="center" vertical="center"/>
    </xf>
    <xf numFmtId="0" fontId="9" fillId="0" borderId="19" xfId="1" applyNumberFormat="1" applyFont="1" applyFill="1" applyBorder="1" applyAlignment="1">
      <alignment horizontal="center" vertical="center" wrapText="1"/>
    </xf>
    <xf numFmtId="0" fontId="9" fillId="0" borderId="19" xfId="1" applyNumberFormat="1" applyFont="1" applyFill="1" applyBorder="1" applyAlignment="1">
      <alignment horizontal="center" vertical="center"/>
    </xf>
    <xf numFmtId="0" fontId="9" fillId="0" borderId="59" xfId="1" applyNumberFormat="1" applyFont="1" applyFill="1" applyBorder="1" applyAlignment="1">
      <alignment horizontal="center" vertical="center"/>
    </xf>
    <xf numFmtId="0" fontId="9" fillId="0" borderId="0" xfId="1" applyNumberFormat="1" applyFont="1" applyFill="1" applyBorder="1" applyAlignment="1">
      <alignment horizontal="center" vertical="center"/>
    </xf>
    <xf numFmtId="0" fontId="9" fillId="0" borderId="22" xfId="1" applyNumberFormat="1" applyFont="1" applyFill="1" applyBorder="1" applyAlignment="1">
      <alignment horizontal="center" vertical="center"/>
    </xf>
    <xf numFmtId="41" fontId="12" fillId="15" borderId="0" xfId="1" applyFont="1" applyFill="1" applyBorder="1" applyAlignment="1">
      <alignment horizontal="center" vertical="center"/>
    </xf>
    <xf numFmtId="41" fontId="12" fillId="15" borderId="46" xfId="1" applyFont="1" applyFill="1" applyBorder="1" applyAlignment="1">
      <alignment horizontal="center" vertical="center"/>
    </xf>
    <xf numFmtId="41" fontId="12" fillId="10" borderId="43" xfId="1" applyFont="1" applyFill="1" applyBorder="1" applyAlignment="1">
      <alignment horizontal="center" vertical="center"/>
    </xf>
    <xf numFmtId="41" fontId="12" fillId="10" borderId="31" xfId="1" applyFont="1" applyFill="1" applyBorder="1" applyAlignment="1">
      <alignment horizontal="center" vertical="center"/>
    </xf>
    <xf numFmtId="41" fontId="12" fillId="10" borderId="28" xfId="1" applyFont="1" applyFill="1" applyBorder="1" applyAlignment="1">
      <alignment horizontal="center" vertical="center"/>
    </xf>
    <xf numFmtId="41" fontId="12" fillId="10" borderId="40" xfId="1" applyFont="1" applyFill="1" applyBorder="1" applyAlignment="1">
      <alignment horizontal="center" vertical="center"/>
    </xf>
    <xf numFmtId="41" fontId="12" fillId="10" borderId="45" xfId="1" applyFont="1" applyFill="1" applyBorder="1" applyAlignment="1">
      <alignment horizontal="center" vertical="center"/>
    </xf>
    <xf numFmtId="41" fontId="12" fillId="10" borderId="53" xfId="1" applyFont="1" applyFill="1" applyBorder="1" applyAlignment="1">
      <alignment horizontal="center" vertical="center"/>
    </xf>
    <xf numFmtId="41" fontId="12" fillId="10" borderId="41" xfId="1" applyFont="1" applyFill="1" applyBorder="1" applyAlignment="1">
      <alignment horizontal="center" vertical="center"/>
    </xf>
    <xf numFmtId="41" fontId="12" fillId="10" borderId="0" xfId="1" applyFont="1" applyFill="1" applyBorder="1" applyAlignment="1">
      <alignment horizontal="center" vertical="center"/>
    </xf>
    <xf numFmtId="41" fontId="12" fillId="10" borderId="22" xfId="1" applyFont="1" applyFill="1" applyBorder="1" applyAlignment="1">
      <alignment horizontal="center" vertical="center"/>
    </xf>
    <xf numFmtId="41" fontId="12" fillId="17" borderId="40" xfId="1" applyFont="1" applyFill="1" applyBorder="1" applyAlignment="1">
      <alignment horizontal="center" vertical="center"/>
    </xf>
    <xf numFmtId="41" fontId="12" fillId="17" borderId="53" xfId="1" applyFont="1" applyFill="1" applyBorder="1" applyAlignment="1">
      <alignment horizontal="center" vertical="center"/>
    </xf>
    <xf numFmtId="41" fontId="12" fillId="17" borderId="64" xfId="1" applyFont="1" applyFill="1" applyBorder="1" applyAlignment="1">
      <alignment horizontal="center" vertical="center"/>
    </xf>
    <xf numFmtId="41" fontId="12" fillId="17" borderId="66" xfId="1" applyFont="1" applyFill="1" applyBorder="1" applyAlignment="1">
      <alignment horizontal="center" vertical="center"/>
    </xf>
    <xf numFmtId="41" fontId="12" fillId="15" borderId="80" xfId="1" applyFont="1" applyFill="1" applyBorder="1" applyAlignment="1">
      <alignment horizontal="center" vertical="center"/>
    </xf>
    <xf numFmtId="41" fontId="12" fillId="15" borderId="81" xfId="1" applyFont="1" applyFill="1" applyBorder="1" applyAlignment="1">
      <alignment horizontal="center" vertical="center"/>
    </xf>
    <xf numFmtId="41" fontId="12" fillId="15" borderId="82" xfId="1" applyFont="1" applyFill="1" applyBorder="1" applyAlignment="1">
      <alignment horizontal="center" vertical="center"/>
    </xf>
    <xf numFmtId="41" fontId="12" fillId="5" borderId="21" xfId="1" applyFont="1" applyFill="1" applyBorder="1" applyAlignment="1">
      <alignment horizontal="center" vertical="center"/>
    </xf>
    <xf numFmtId="41" fontId="12" fillId="5" borderId="19" xfId="1" applyFont="1" applyFill="1" applyBorder="1" applyAlignment="1">
      <alignment horizontal="center" vertical="center"/>
    </xf>
    <xf numFmtId="41" fontId="12" fillId="5" borderId="20" xfId="1" applyFont="1" applyFill="1" applyBorder="1" applyAlignment="1">
      <alignment horizontal="center" vertical="center"/>
    </xf>
    <xf numFmtId="41" fontId="12" fillId="5" borderId="80" xfId="1" applyFont="1" applyFill="1" applyBorder="1" applyAlignment="1">
      <alignment horizontal="center" vertical="center"/>
    </xf>
    <xf numFmtId="41" fontId="12" fillId="5" borderId="81" xfId="1" applyFont="1" applyFill="1" applyBorder="1" applyAlignment="1">
      <alignment horizontal="center" vertical="center"/>
    </xf>
    <xf numFmtId="41" fontId="12" fillId="5" borderId="82" xfId="1" applyFont="1" applyFill="1" applyBorder="1" applyAlignment="1">
      <alignment horizontal="center" vertical="center"/>
    </xf>
    <xf numFmtId="41" fontId="12" fillId="10" borderId="42" xfId="1" applyFont="1" applyFill="1" applyBorder="1" applyAlignment="1">
      <alignment horizontal="center" vertical="center"/>
    </xf>
    <xf numFmtId="41" fontId="12" fillId="10" borderId="46" xfId="1" applyFont="1" applyFill="1" applyBorder="1" applyAlignment="1">
      <alignment horizontal="center" vertical="center"/>
    </xf>
    <xf numFmtId="41" fontId="12" fillId="10" borderId="23" xfId="1" applyFont="1" applyFill="1" applyBorder="1" applyAlignment="1">
      <alignment horizontal="center" vertical="center"/>
    </xf>
    <xf numFmtId="41" fontId="12" fillId="17" borderId="45" xfId="1" applyFont="1" applyFill="1" applyBorder="1" applyAlignment="1">
      <alignment horizontal="center" vertical="center"/>
    </xf>
    <xf numFmtId="41" fontId="12" fillId="17" borderId="71" xfId="1" applyFont="1" applyFill="1" applyBorder="1" applyAlignment="1">
      <alignment horizontal="center" vertical="center"/>
    </xf>
  </cellXfs>
  <cellStyles count="1243">
    <cellStyle name="??&amp;O?&amp;H?_x0008__x000f__x0007_?_x0007__x0001__x0001_" xfId="2"/>
    <cellStyle name="20% - Accent1" xfId="67"/>
    <cellStyle name="20% - Accent2" xfId="68"/>
    <cellStyle name="20% - Accent3" xfId="69"/>
    <cellStyle name="20% - Accent4" xfId="70"/>
    <cellStyle name="20% - Accent5" xfId="71"/>
    <cellStyle name="20% - Accent6" xfId="72"/>
    <cellStyle name="20% - 강조색1 2" xfId="73"/>
    <cellStyle name="20% - 강조색1 3" xfId="74"/>
    <cellStyle name="20% - 강조색1 4" xfId="75"/>
    <cellStyle name="20% - 강조색2 2" xfId="76"/>
    <cellStyle name="20% - 강조색2 3" xfId="77"/>
    <cellStyle name="20% - 강조색2 4" xfId="78"/>
    <cellStyle name="20% - 강조색3 2" xfId="79"/>
    <cellStyle name="20% - 강조색3 3" xfId="80"/>
    <cellStyle name="20% - 강조색3 4" xfId="81"/>
    <cellStyle name="20% - 강조색4 2" xfId="82"/>
    <cellStyle name="20% - 강조색4 3" xfId="83"/>
    <cellStyle name="20% - 강조색4 4" xfId="84"/>
    <cellStyle name="20% - 강조색5 2" xfId="85"/>
    <cellStyle name="20% - 강조색5 3" xfId="86"/>
    <cellStyle name="20% - 강조색5 4" xfId="87"/>
    <cellStyle name="20% - 강조색6 2" xfId="88"/>
    <cellStyle name="20% - 강조색6 3" xfId="89"/>
    <cellStyle name="20% - 강조색6 4" xfId="90"/>
    <cellStyle name="40% - Accent1" xfId="91"/>
    <cellStyle name="40% - Accent2" xfId="92"/>
    <cellStyle name="40% - Accent3" xfId="93"/>
    <cellStyle name="40% - Accent4" xfId="94"/>
    <cellStyle name="40% - Accent5" xfId="95"/>
    <cellStyle name="40% - Accent6" xfId="96"/>
    <cellStyle name="40% - 강조색1 2" xfId="97"/>
    <cellStyle name="40% - 강조색1 3" xfId="98"/>
    <cellStyle name="40% - 강조색1 4" xfId="99"/>
    <cellStyle name="40% - 강조색2 2" xfId="100"/>
    <cellStyle name="40% - 강조색2 3" xfId="101"/>
    <cellStyle name="40% - 강조색2 4" xfId="102"/>
    <cellStyle name="40% - 강조색3 2" xfId="103"/>
    <cellStyle name="40% - 강조색3 3" xfId="104"/>
    <cellStyle name="40% - 강조색3 4" xfId="105"/>
    <cellStyle name="40% - 강조색4 2" xfId="106"/>
    <cellStyle name="40% - 강조색4 3" xfId="107"/>
    <cellStyle name="40% - 강조색4 4" xfId="108"/>
    <cellStyle name="40% - 강조색5 2" xfId="109"/>
    <cellStyle name="40% - 강조색5 3" xfId="110"/>
    <cellStyle name="40% - 강조색5 4" xfId="111"/>
    <cellStyle name="40% - 강조색6 2" xfId="112"/>
    <cellStyle name="40% - 강조색6 3" xfId="113"/>
    <cellStyle name="40% - 강조색6 4" xfId="114"/>
    <cellStyle name="60% - Accent1" xfId="115"/>
    <cellStyle name="60% - Accent2" xfId="116"/>
    <cellStyle name="60% - Accent3" xfId="117"/>
    <cellStyle name="60% - Accent4" xfId="118"/>
    <cellStyle name="60% - Accent5" xfId="119"/>
    <cellStyle name="60% - Accent6" xfId="120"/>
    <cellStyle name="60% - 강조색1 2" xfId="121"/>
    <cellStyle name="60% - 강조색1 3" xfId="122"/>
    <cellStyle name="60% - 강조색1 4" xfId="123"/>
    <cellStyle name="60% - 강조색2 2" xfId="124"/>
    <cellStyle name="60% - 강조색2 3" xfId="125"/>
    <cellStyle name="60% - 강조색2 4" xfId="126"/>
    <cellStyle name="60% - 강조색3 2" xfId="127"/>
    <cellStyle name="60% - 강조색3 3" xfId="128"/>
    <cellStyle name="60% - 강조색3 4" xfId="129"/>
    <cellStyle name="60% - 강조색4 2" xfId="130"/>
    <cellStyle name="60% - 강조색4 3" xfId="131"/>
    <cellStyle name="60% - 강조색4 4" xfId="132"/>
    <cellStyle name="60% - 강조색5 2" xfId="133"/>
    <cellStyle name="60% - 강조색5 3" xfId="134"/>
    <cellStyle name="60% - 강조색5 4" xfId="135"/>
    <cellStyle name="60% - 강조색6 2" xfId="136"/>
    <cellStyle name="60% - 강조색6 3" xfId="137"/>
    <cellStyle name="60% - 강조색6 4" xfId="138"/>
    <cellStyle name="Accent1" xfId="139"/>
    <cellStyle name="Accent2" xfId="140"/>
    <cellStyle name="Accent3" xfId="141"/>
    <cellStyle name="Accent4" xfId="142"/>
    <cellStyle name="Accent5" xfId="143"/>
    <cellStyle name="Accent6" xfId="144"/>
    <cellStyle name="Bad" xfId="145"/>
    <cellStyle name="Calculation" xfId="146"/>
    <cellStyle name="Calculation 2" xfId="147"/>
    <cellStyle name="Calculation 2 2" xfId="148"/>
    <cellStyle name="Calculation 3" xfId="149"/>
    <cellStyle name="Calculation 3 2" xfId="150"/>
    <cellStyle name="Calculation 4" xfId="151"/>
    <cellStyle name="Calculation 5" xfId="152"/>
    <cellStyle name="Calculation 6" xfId="153"/>
    <cellStyle name="Check Cell" xfId="154"/>
    <cellStyle name="Column_Title" xfId="3"/>
    <cellStyle name="Comma [0]_ SG&amp;A Bridge " xfId="4"/>
    <cellStyle name="Comma_ SG&amp;A Bridge " xfId="5"/>
    <cellStyle name="Currency [0]_ SG&amp;A Bridge " xfId="6"/>
    <cellStyle name="Currency_ SG&amp;A Bridge " xfId="7"/>
    <cellStyle name="Explanatory Text" xfId="155"/>
    <cellStyle name="Good" xfId="156"/>
    <cellStyle name="Heading 1" xfId="157"/>
    <cellStyle name="Heading 2" xfId="158"/>
    <cellStyle name="Heading 3" xfId="159"/>
    <cellStyle name="Heading 3 2" xfId="160"/>
    <cellStyle name="Heading 3 2 2" xfId="161"/>
    <cellStyle name="Heading 3 3" xfId="162"/>
    <cellStyle name="Heading 4" xfId="163"/>
    <cellStyle name="Input" xfId="164"/>
    <cellStyle name="Input 2" xfId="165"/>
    <cellStyle name="Input 2 2" xfId="166"/>
    <cellStyle name="Input 3" xfId="167"/>
    <cellStyle name="Input 3 2" xfId="168"/>
    <cellStyle name="Input 4" xfId="169"/>
    <cellStyle name="Input 5" xfId="170"/>
    <cellStyle name="Input 6" xfId="171"/>
    <cellStyle name="Linked Cell" xfId="172"/>
    <cellStyle name="Millares [0]_PERSONAL" xfId="8"/>
    <cellStyle name="Millares_PERSONAL" xfId="9"/>
    <cellStyle name="Moneda [0]_CONTENCION CONDELL 25.051" xfId="10"/>
    <cellStyle name="Moneda_CONTENCION CONDELL 25.051" xfId="11"/>
    <cellStyle name="Neutral" xfId="173"/>
    <cellStyle name="Normal_ SG&amp;A Bridge " xfId="12"/>
    <cellStyle name="Note" xfId="174"/>
    <cellStyle name="Note 2" xfId="175"/>
    <cellStyle name="Note 2 2" xfId="176"/>
    <cellStyle name="Note 3" xfId="177"/>
    <cellStyle name="Note 3 2" xfId="178"/>
    <cellStyle name="Note 4" xfId="179"/>
    <cellStyle name="Note 5" xfId="180"/>
    <cellStyle name="Note 6" xfId="181"/>
    <cellStyle name="Output" xfId="182"/>
    <cellStyle name="Output 2" xfId="183"/>
    <cellStyle name="Output 2 2" xfId="184"/>
    <cellStyle name="Output 3" xfId="185"/>
    <cellStyle name="Output 3 2" xfId="186"/>
    <cellStyle name="Output 4" xfId="187"/>
    <cellStyle name="Output 5" xfId="188"/>
    <cellStyle name="Output 6" xfId="189"/>
    <cellStyle name="Title" xfId="190"/>
    <cellStyle name="Total" xfId="191"/>
    <cellStyle name="Total 2" xfId="192"/>
    <cellStyle name="Total 2 2" xfId="193"/>
    <cellStyle name="Total 3" xfId="194"/>
    <cellStyle name="Total 3 2" xfId="195"/>
    <cellStyle name="Total 4" xfId="196"/>
    <cellStyle name="Total 5" xfId="197"/>
    <cellStyle name="Total 6" xfId="198"/>
    <cellStyle name="Warning Text" xfId="199"/>
    <cellStyle name="강조색1 2" xfId="200"/>
    <cellStyle name="강조색1 3" xfId="201"/>
    <cellStyle name="강조색1 4" xfId="202"/>
    <cellStyle name="강조색2 2" xfId="203"/>
    <cellStyle name="강조색2 3" xfId="204"/>
    <cellStyle name="강조색2 4" xfId="205"/>
    <cellStyle name="강조색3 2" xfId="206"/>
    <cellStyle name="강조색3 3" xfId="207"/>
    <cellStyle name="강조색3 4" xfId="208"/>
    <cellStyle name="강조색4 2" xfId="209"/>
    <cellStyle name="강조색4 3" xfId="210"/>
    <cellStyle name="강조색4 4" xfId="211"/>
    <cellStyle name="강조색5 2" xfId="212"/>
    <cellStyle name="강조색5 3" xfId="213"/>
    <cellStyle name="강조색5 4" xfId="214"/>
    <cellStyle name="강조색6 2" xfId="215"/>
    <cellStyle name="강조색6 3" xfId="216"/>
    <cellStyle name="강조색6 4" xfId="217"/>
    <cellStyle name="경고문 2" xfId="218"/>
    <cellStyle name="경고문 3" xfId="219"/>
    <cellStyle name="경고문 4" xfId="220"/>
    <cellStyle name="계산 2" xfId="13"/>
    <cellStyle name="계산 2 2" xfId="14"/>
    <cellStyle name="계산 2 2 2" xfId="221"/>
    <cellStyle name="계산 2 2 2 2" xfId="222"/>
    <cellStyle name="계산 2 2 3" xfId="223"/>
    <cellStyle name="계산 2 2 3 2" xfId="224"/>
    <cellStyle name="계산 2 2 4" xfId="225"/>
    <cellStyle name="계산 2 2 5" xfId="226"/>
    <cellStyle name="계산 2 2 6" xfId="227"/>
    <cellStyle name="계산 2 3" xfId="228"/>
    <cellStyle name="계산 2 3 2" xfId="229"/>
    <cellStyle name="계산 2 4" xfId="230"/>
    <cellStyle name="계산 2 4 2" xfId="231"/>
    <cellStyle name="계산 2 5" xfId="232"/>
    <cellStyle name="계산 2 6" xfId="233"/>
    <cellStyle name="계산 2 7" xfId="234"/>
    <cellStyle name="계산 3" xfId="235"/>
    <cellStyle name="계산 3 2" xfId="236"/>
    <cellStyle name="계산 4" xfId="237"/>
    <cellStyle name="계산 4 2" xfId="238"/>
    <cellStyle name="계산 5" xfId="239"/>
    <cellStyle name="계산 5 2" xfId="240"/>
    <cellStyle name="계산 6" xfId="241"/>
    <cellStyle name="계산 6 2" xfId="242"/>
    <cellStyle name="계산 7" xfId="243"/>
    <cellStyle name="계산 8" xfId="244"/>
    <cellStyle name="계산 9" xfId="245"/>
    <cellStyle name="고정소숫점" xfId="15"/>
    <cellStyle name="고정출력1" xfId="16"/>
    <cellStyle name="고정출력2" xfId="17"/>
    <cellStyle name="나쁨 2" xfId="246"/>
    <cellStyle name="나쁨 3" xfId="247"/>
    <cellStyle name="나쁨 4" xfId="248"/>
    <cellStyle name="날짜" xfId="18"/>
    <cellStyle name="달러" xfId="19"/>
    <cellStyle name="메모 2" xfId="20"/>
    <cellStyle name="메모 2 2" xfId="21"/>
    <cellStyle name="메모 2 2 2" xfId="249"/>
    <cellStyle name="메모 2 2 2 2" xfId="250"/>
    <cellStyle name="메모 2 2 3" xfId="251"/>
    <cellStyle name="메모 2 2 3 2" xfId="252"/>
    <cellStyle name="메모 2 2 4" xfId="253"/>
    <cellStyle name="메모 2 2 5" xfId="254"/>
    <cellStyle name="메모 2 2 6" xfId="255"/>
    <cellStyle name="메모 2 3" xfId="256"/>
    <cellStyle name="메모 2 3 2" xfId="257"/>
    <cellStyle name="메모 2 4" xfId="258"/>
    <cellStyle name="메모 2 4 2" xfId="259"/>
    <cellStyle name="메모 2 5" xfId="260"/>
    <cellStyle name="메모 2 6" xfId="261"/>
    <cellStyle name="메모 2 7" xfId="262"/>
    <cellStyle name="메모 3" xfId="263"/>
    <cellStyle name="메모 3 2" xfId="264"/>
    <cellStyle name="메모 4" xfId="265"/>
    <cellStyle name="메모 4 2" xfId="266"/>
    <cellStyle name="메모 5" xfId="267"/>
    <cellStyle name="메모 5 2" xfId="268"/>
    <cellStyle name="메모 6" xfId="269"/>
    <cellStyle name="메모 6 2" xfId="270"/>
    <cellStyle name="메모 7" xfId="271"/>
    <cellStyle name="메모 8" xfId="272"/>
    <cellStyle name="메모 9" xfId="273"/>
    <cellStyle name="백분율 10" xfId="274"/>
    <cellStyle name="백분율 11" xfId="275"/>
    <cellStyle name="백분율 11 2" xfId="276"/>
    <cellStyle name="백분율 12" xfId="277"/>
    <cellStyle name="백분율 13" xfId="278"/>
    <cellStyle name="백분율 14" xfId="279"/>
    <cellStyle name="백분율 15" xfId="280"/>
    <cellStyle name="백분율 16" xfId="1240"/>
    <cellStyle name="백분율 2" xfId="22"/>
    <cellStyle name="백분율 2 2" xfId="23"/>
    <cellStyle name="백분율 2 2 2" xfId="281"/>
    <cellStyle name="백분율 2 2 3" xfId="282"/>
    <cellStyle name="백분율 2 2 3 2" xfId="283"/>
    <cellStyle name="백분율 2 2 3 2 2" xfId="284"/>
    <cellStyle name="백분율 2 2 3 3" xfId="285"/>
    <cellStyle name="백분율 2 2 4" xfId="286"/>
    <cellStyle name="백분율 2 2 4 2" xfId="287"/>
    <cellStyle name="백분율 2 2 5" xfId="288"/>
    <cellStyle name="백분율 2 2 6" xfId="289"/>
    <cellStyle name="백분율 2 3" xfId="290"/>
    <cellStyle name="백분율 2 3 2" xfId="291"/>
    <cellStyle name="백분율 2 4" xfId="292"/>
    <cellStyle name="백분율 3" xfId="24"/>
    <cellStyle name="백분율 3 2" xfId="293"/>
    <cellStyle name="백분율 4" xfId="25"/>
    <cellStyle name="백분율 4 2" xfId="26"/>
    <cellStyle name="백분율 4 2 2" xfId="27"/>
    <cellStyle name="백분율 4 2 2 2" xfId="294"/>
    <cellStyle name="백분율 4 2 2 3" xfId="295"/>
    <cellStyle name="백분율 4 2 2 3 2" xfId="296"/>
    <cellStyle name="백분율 4 2 2 3 2 2" xfId="297"/>
    <cellStyle name="백분율 4 2 2 3 3" xfId="298"/>
    <cellStyle name="백분율 4 2 2 4" xfId="299"/>
    <cellStyle name="백분율 4 2 2 4 2" xfId="300"/>
    <cellStyle name="백분율 4 2 2 5" xfId="301"/>
    <cellStyle name="백분율 4 2 2 6" xfId="302"/>
    <cellStyle name="백분율 4 2 3" xfId="303"/>
    <cellStyle name="백분율 4 2 4" xfId="304"/>
    <cellStyle name="백분율 4 2 4 2" xfId="305"/>
    <cellStyle name="백분율 4 2 4 2 2" xfId="306"/>
    <cellStyle name="백분율 4 2 4 3" xfId="307"/>
    <cellStyle name="백분율 4 2 5" xfId="308"/>
    <cellStyle name="백분율 4 2 5 2" xfId="309"/>
    <cellStyle name="백분율 4 2 6" xfId="310"/>
    <cellStyle name="백분율 4 2 7" xfId="311"/>
    <cellStyle name="백분율 4 3" xfId="28"/>
    <cellStyle name="백분율 4 3 2" xfId="312"/>
    <cellStyle name="백분율 4 3 3" xfId="313"/>
    <cellStyle name="백분율 4 3 3 2" xfId="314"/>
    <cellStyle name="백분율 4 3 3 2 2" xfId="315"/>
    <cellStyle name="백분율 4 3 3 3" xfId="316"/>
    <cellStyle name="백분율 4 3 4" xfId="317"/>
    <cellStyle name="백분율 4 3 4 2" xfId="318"/>
    <cellStyle name="백분율 4 3 5" xfId="319"/>
    <cellStyle name="백분율 4 3 6" xfId="320"/>
    <cellStyle name="백분율 4 4" xfId="321"/>
    <cellStyle name="백분율 4 5" xfId="322"/>
    <cellStyle name="백분율 4 5 2" xfId="323"/>
    <cellStyle name="백분율 4 5 2 2" xfId="324"/>
    <cellStyle name="백분율 4 5 3" xfId="325"/>
    <cellStyle name="백분율 4 6" xfId="326"/>
    <cellStyle name="백분율 4 6 2" xfId="327"/>
    <cellStyle name="백분율 4 7" xfId="328"/>
    <cellStyle name="백분율 4 8" xfId="329"/>
    <cellStyle name="백분율 5" xfId="29"/>
    <cellStyle name="백분율 6" xfId="30"/>
    <cellStyle name="백분율 7" xfId="31"/>
    <cellStyle name="백분율 7 2" xfId="330"/>
    <cellStyle name="백분율 7 2 2" xfId="331"/>
    <cellStyle name="백분율 7 2 2 2" xfId="332"/>
    <cellStyle name="백분율 7 2 2 2 2" xfId="333"/>
    <cellStyle name="백분율 7 2 2 2 3" xfId="334"/>
    <cellStyle name="백분율 7 2 2 2 3 2" xfId="335"/>
    <cellStyle name="백분율 7 2 2 2 3 2 2" xfId="336"/>
    <cellStyle name="백분율 7 2 2 2 3 3" xfId="337"/>
    <cellStyle name="백분율 7 2 2 2 4" xfId="338"/>
    <cellStyle name="백분율 7 2 2 2 4 2" xfId="339"/>
    <cellStyle name="백분율 7 2 2 2 5" xfId="340"/>
    <cellStyle name="백분율 7 2 2 2 6" xfId="341"/>
    <cellStyle name="백분율 7 2 2 3" xfId="342"/>
    <cellStyle name="백분율 7 2 2 3 2" xfId="343"/>
    <cellStyle name="백분율 7 2 2 3 2 2" xfId="344"/>
    <cellStyle name="백분율 7 2 2 3 2 3" xfId="345"/>
    <cellStyle name="백분율 7 2 2 3 2 3 2" xfId="346"/>
    <cellStyle name="백분율 7 2 2 3 2 3 2 2" xfId="347"/>
    <cellStyle name="백분율 7 2 2 3 2 3 3" xfId="348"/>
    <cellStyle name="백분율 7 2 2 3 2 4" xfId="349"/>
    <cellStyle name="백분율 7 2 2 3 2 4 2" xfId="350"/>
    <cellStyle name="백분율 7 2 2 3 2 5" xfId="351"/>
    <cellStyle name="백분율 7 2 2 3 2 6" xfId="352"/>
    <cellStyle name="백분율 7 2 2 3 3" xfId="353"/>
    <cellStyle name="백분율 7 2 2 3 3 2" xfId="354"/>
    <cellStyle name="백분율 7 2 2 3 3 2 2" xfId="355"/>
    <cellStyle name="백분율 7 2 2 3 3 2 2 2" xfId="356"/>
    <cellStyle name="백분율 7 2 2 3 3 2 2 2 2" xfId="357"/>
    <cellStyle name="백분율 7 2 2 3 3 2 2 2 2 2" xfId="358"/>
    <cellStyle name="백분율 7 2 2 3 3 2 2 2 2 2 2" xfId="359"/>
    <cellStyle name="백분율 7 2 2 3 3 2 2 2 2 2 2 2" xfId="360"/>
    <cellStyle name="백분율 7 2 2 3 3 2 2 2 2 2 2 2 2" xfId="361"/>
    <cellStyle name="백분율 7 2 2 3 3 2 2 2 2 2 2 2 2 2" xfId="362"/>
    <cellStyle name="백분율 7 2 2 3 3 2 2 2 2 2 2 2 2 2 2" xfId="363"/>
    <cellStyle name="백분율 7 2 2 3 3 2 2 2 2 2 2 2 2 2 2 2" xfId="364"/>
    <cellStyle name="백분율 7 2 2 3 3 2 2 2 2 2 2 2 2 2 2 2 2" xfId="365"/>
    <cellStyle name="백분율 7 2 2 3 3 2 2 2 2 2 2 2 2 2 2 2 2 2" xfId="366"/>
    <cellStyle name="백분율 7 2 2 3 3 2 2 2 2 2 2 2 2 2 2 2 2 2 2" xfId="367"/>
    <cellStyle name="백분율 7 2 2 3 3 2 2 2 2 2 2 2 2 2 2 2 2 2 2 2" xfId="368"/>
    <cellStyle name="백분율 7 2 2 3 3 2 2 2 2 2 2 2 2 2 2 2 2 2 2 2 2" xfId="369"/>
    <cellStyle name="백분율 7 2 2 3 3 2 2 2 2 2 2 2 2 2 2 2 2 2 2 2 2 2" xfId="370"/>
    <cellStyle name="백분율 7 2 2 3 3 2 2 2 2 2 2 2 2 2 2 2 2 2 2 2 3" xfId="371"/>
    <cellStyle name="백분율 7 2 2 3 3 2 2 2 2 2 2 2 2 2 2 2 2 2 2 2 3 2" xfId="372"/>
    <cellStyle name="백분율 7 2 2 3 3 2 2 2 2 2 2 2 2 2 2 2 2 2 2 2 3 2 2" xfId="373"/>
    <cellStyle name="백분율 7 2 2 3 3 2 2 2 2 2 2 2 2 2 2 2 2 2 2 2 3 2 2 2" xfId="374"/>
    <cellStyle name="백분율 7 2 2 3 3 2 2 2 2 2 2 2 2 2 2 2 2 2 2 2 3 2 2 2 2" xfId="375"/>
    <cellStyle name="백분율 7 2 2 3 3 2 2 2 2 2 2 2 2 2 2 2 2 2 2 2 3 2 2 3" xfId="376"/>
    <cellStyle name="백분율 7 2 2 3 3 2 2 2 2 2 2 2 2 2 2 2 2 2 2 2 3 2 3" xfId="377"/>
    <cellStyle name="백분율 7 2 2 3 3 2 2 2 2 2 2 2 2 2 2 2 2 2 2 2 3 3" xfId="378"/>
    <cellStyle name="백분율 7 2 2 3 3 2 2 2 2 2 2 2 2 2 2 2 2 2 2 2 4" xfId="379"/>
    <cellStyle name="백분율 7 2 2 3 3 2 2 2 2 2 2 2 2 2 2 2 2 2 2 3" xfId="380"/>
    <cellStyle name="백분율 7 2 2 3 3 2 2 2 2 2 2 2 2 2 2 2 2 2 2 3 2" xfId="381"/>
    <cellStyle name="백분율 7 2 2 3 3 2 2 2 2 2 2 2 2 2 2 2 2 2 2 4" xfId="382"/>
    <cellStyle name="백분율 7 2 2 3 3 2 2 2 2 2 2 2 2 2 2 2 2 2 3" xfId="383"/>
    <cellStyle name="백분율 7 2 2 3 3 2 2 2 2 2 2 2 2 2 2 2 2 2 3 2" xfId="384"/>
    <cellStyle name="백분율 7 2 2 3 3 2 2 2 2 2 2 2 2 2 2 2 2 2 3 2 2" xfId="385"/>
    <cellStyle name="백분율 7 2 2 3 3 2 2 2 2 2 2 2 2 2 2 2 2 2 3 3" xfId="386"/>
    <cellStyle name="백분율 7 2 2 3 3 2 2 2 2 2 2 2 2 2 2 2 2 2 4" xfId="387"/>
    <cellStyle name="백분율 7 2 2 3 3 2 2 2 2 2 2 2 2 2 2 2 2 2 4 2" xfId="388"/>
    <cellStyle name="백분율 7 2 2 3 3 2 2 2 2 2 2 2 2 2 2 2 2 2 5" xfId="389"/>
    <cellStyle name="백분율 7 2 2 3 3 2 2 2 2 2 2 2 2 2 2 2 2 3" xfId="390"/>
    <cellStyle name="백분율 7 2 2 3 3 2 2 2 2 2 2 2 2 2 2 2 2 3 2" xfId="391"/>
    <cellStyle name="백분율 7 2 2 3 3 2 2 2 2 2 2 2 2 2 2 2 2 3 2 2" xfId="392"/>
    <cellStyle name="백분율 7 2 2 3 3 2 2 2 2 2 2 2 2 2 2 2 2 3 3" xfId="393"/>
    <cellStyle name="백분율 7 2 2 3 3 2 2 2 2 2 2 2 2 2 2 2 2 4" xfId="394"/>
    <cellStyle name="백분율 7 2 2 3 3 2 2 2 2 2 2 2 2 2 2 2 2 4 2" xfId="395"/>
    <cellStyle name="백분율 7 2 2 3 3 2 2 2 2 2 2 2 2 2 2 2 2 5" xfId="396"/>
    <cellStyle name="백분율 7 2 2 3 3 2 2 2 2 2 2 2 2 2 2 2 3" xfId="397"/>
    <cellStyle name="백분율 7 2 2 3 3 2 2 2 2 2 2 2 2 2 2 2 4" xfId="398"/>
    <cellStyle name="백분율 7 2 2 3 3 2 2 2 2 2 2 2 2 2 2 2 4 2" xfId="399"/>
    <cellStyle name="백분율 7 2 2 3 3 2 2 2 2 2 2 2 2 2 2 2 4 2 2" xfId="400"/>
    <cellStyle name="백분율 7 2 2 3 3 2 2 2 2 2 2 2 2 2 2 2 4 3" xfId="401"/>
    <cellStyle name="백분율 7 2 2 3 3 2 2 2 2 2 2 2 2 2 2 2 5" xfId="402"/>
    <cellStyle name="백분율 7 2 2 3 3 2 2 2 2 2 2 2 2 2 2 2 5 2" xfId="403"/>
    <cellStyle name="백분율 7 2 2 3 3 2 2 2 2 2 2 2 2 2 2 2 6" xfId="404"/>
    <cellStyle name="백분율 7 2 2 3 3 2 2 2 2 2 2 2 2 2 2 3" xfId="405"/>
    <cellStyle name="백분율 7 2 2 3 3 2 2 2 2 2 2 2 2 2 2 4" xfId="406"/>
    <cellStyle name="백분율 7 2 2 3 3 2 2 2 2 2 2 2 2 2 2 4 2" xfId="407"/>
    <cellStyle name="백분율 7 2 2 3 3 2 2 2 2 2 2 2 2 2 2 4 2 2" xfId="408"/>
    <cellStyle name="백분율 7 2 2 3 3 2 2 2 2 2 2 2 2 2 2 4 3" xfId="409"/>
    <cellStyle name="백분율 7 2 2 3 3 2 2 2 2 2 2 2 2 2 2 5" xfId="410"/>
    <cellStyle name="백분율 7 2 2 3 3 2 2 2 2 2 2 2 2 2 2 5 2" xfId="411"/>
    <cellStyle name="백분율 7 2 2 3 3 2 2 2 2 2 2 2 2 2 2 6" xfId="412"/>
    <cellStyle name="백분율 7 2 2 3 3 2 2 2 2 2 2 2 2 2 2 7" xfId="413"/>
    <cellStyle name="백분율 7 2 2 3 3 2 2 2 2 2 2 2 2 2 3" xfId="414"/>
    <cellStyle name="백분율 7 2 2 3 3 2 2 2 2 2 2 2 2 2 4" xfId="415"/>
    <cellStyle name="백분율 7 2 2 3 3 2 2 2 2 2 2 2 2 2 4 2" xfId="416"/>
    <cellStyle name="백분율 7 2 2 3 3 2 2 2 2 2 2 2 2 2 4 2 2" xfId="417"/>
    <cellStyle name="백분율 7 2 2 3 3 2 2 2 2 2 2 2 2 2 4 3" xfId="418"/>
    <cellStyle name="백분율 7 2 2 3 3 2 2 2 2 2 2 2 2 2 5" xfId="419"/>
    <cellStyle name="백분율 7 2 2 3 3 2 2 2 2 2 2 2 2 2 5 2" xfId="420"/>
    <cellStyle name="백분율 7 2 2 3 3 2 2 2 2 2 2 2 2 2 6" xfId="421"/>
    <cellStyle name="백분율 7 2 2 3 3 2 2 2 2 2 2 2 2 2 7" xfId="422"/>
    <cellStyle name="백분율 7 2 2 3 3 2 2 2 2 2 2 2 2 3" xfId="423"/>
    <cellStyle name="백분율 7 2 2 3 3 2 2 2 2 2 2 2 2 4" xfId="424"/>
    <cellStyle name="백분율 7 2 2 3 3 2 2 2 2 2 2 2 2 4 2" xfId="425"/>
    <cellStyle name="백분율 7 2 2 3 3 2 2 2 2 2 2 2 2 4 2 2" xfId="426"/>
    <cellStyle name="백분율 7 2 2 3 3 2 2 2 2 2 2 2 2 4 3" xfId="427"/>
    <cellStyle name="백분율 7 2 2 3 3 2 2 2 2 2 2 2 2 5" xfId="428"/>
    <cellStyle name="백분율 7 2 2 3 3 2 2 2 2 2 2 2 2 5 2" xfId="429"/>
    <cellStyle name="백분율 7 2 2 3 3 2 2 2 2 2 2 2 2 6" xfId="430"/>
    <cellStyle name="백분율 7 2 2 3 3 2 2 2 2 2 2 2 2 7" xfId="431"/>
    <cellStyle name="백분율 7 2 2 3 3 2 2 2 2 2 2 2 3" xfId="432"/>
    <cellStyle name="백분율 7 2 2 3 3 2 2 2 2 2 2 2 4" xfId="433"/>
    <cellStyle name="백분율 7 2 2 3 3 2 2 2 2 2 2 2 4 2" xfId="434"/>
    <cellStyle name="백분율 7 2 2 3 3 2 2 2 2 2 2 2 4 2 2" xfId="435"/>
    <cellStyle name="백분율 7 2 2 3 3 2 2 2 2 2 2 2 4 3" xfId="436"/>
    <cellStyle name="백분율 7 2 2 3 3 2 2 2 2 2 2 2 5" xfId="437"/>
    <cellStyle name="백분율 7 2 2 3 3 2 2 2 2 2 2 2 5 2" xfId="438"/>
    <cellStyle name="백분율 7 2 2 3 3 2 2 2 2 2 2 2 6" xfId="439"/>
    <cellStyle name="백분율 7 2 2 3 3 2 2 2 2 2 2 2 7" xfId="440"/>
    <cellStyle name="백분율 7 2 2 3 3 2 2 2 2 2 2 3" xfId="441"/>
    <cellStyle name="백분율 7 2 2 3 3 2 2 2 2 2 2 4" xfId="442"/>
    <cellStyle name="백분율 7 2 2 3 3 2 2 2 2 2 2 4 2" xfId="443"/>
    <cellStyle name="백분율 7 2 2 3 3 2 2 2 2 2 2 4 2 2" xfId="444"/>
    <cellStyle name="백분율 7 2 2 3 3 2 2 2 2 2 2 4 3" xfId="445"/>
    <cellStyle name="백분율 7 2 2 3 3 2 2 2 2 2 2 5" xfId="446"/>
    <cellStyle name="백분율 7 2 2 3 3 2 2 2 2 2 2 5 2" xfId="447"/>
    <cellStyle name="백분율 7 2 2 3 3 2 2 2 2 2 2 6" xfId="448"/>
    <cellStyle name="백분율 7 2 2 3 3 2 2 2 2 2 2 7" xfId="449"/>
    <cellStyle name="백분율 7 2 2 3 3 2 2 2 2 2 3" xfId="450"/>
    <cellStyle name="백분율 7 2 2 3 3 2 2 2 2 2 4" xfId="451"/>
    <cellStyle name="백분율 7 2 2 3 3 2 2 2 2 2 4 2" xfId="452"/>
    <cellStyle name="백분율 7 2 2 3 3 2 2 2 2 2 4 2 2" xfId="453"/>
    <cellStyle name="백분율 7 2 2 3 3 2 2 2 2 2 4 3" xfId="454"/>
    <cellStyle name="백분율 7 2 2 3 3 2 2 2 2 2 5" xfId="455"/>
    <cellStyle name="백분율 7 2 2 3 3 2 2 2 2 2 5 2" xfId="456"/>
    <cellStyle name="백분율 7 2 2 3 3 2 2 2 2 2 6" xfId="457"/>
    <cellStyle name="백분율 7 2 2 3 3 2 2 2 2 2 7" xfId="458"/>
    <cellStyle name="백분율 7 2 2 3 3 2 2 2 2 3" xfId="459"/>
    <cellStyle name="백분율 7 2 2 3 3 2 2 2 2 4" xfId="460"/>
    <cellStyle name="백분율 7 2 2 3 3 2 2 2 2 4 2" xfId="461"/>
    <cellStyle name="백분율 7 2 2 3 3 2 2 2 2 4 2 2" xfId="462"/>
    <cellStyle name="백분율 7 2 2 3 3 2 2 2 2 4 3" xfId="463"/>
    <cellStyle name="백분율 7 2 2 3 3 2 2 2 2 5" xfId="464"/>
    <cellStyle name="백분율 7 2 2 3 3 2 2 2 2 5 2" xfId="465"/>
    <cellStyle name="백분율 7 2 2 3 3 2 2 2 2 6" xfId="466"/>
    <cellStyle name="백분율 7 2 2 3 3 2 2 2 2 7" xfId="467"/>
    <cellStyle name="백분율 7 2 2 3 3 2 2 2 3" xfId="468"/>
    <cellStyle name="백분율 7 2 2 3 3 2 2 2 4" xfId="469"/>
    <cellStyle name="백분율 7 2 2 3 3 2 2 2 4 2" xfId="470"/>
    <cellStyle name="백분율 7 2 2 3 3 2 2 2 4 2 2" xfId="471"/>
    <cellStyle name="백분율 7 2 2 3 3 2 2 2 4 3" xfId="472"/>
    <cellStyle name="백분율 7 2 2 3 3 2 2 2 5" xfId="473"/>
    <cellStyle name="백분율 7 2 2 3 3 2 2 2 5 2" xfId="474"/>
    <cellStyle name="백분율 7 2 2 3 3 2 2 2 6" xfId="475"/>
    <cellStyle name="백분율 7 2 2 3 3 2 2 2 7" xfId="476"/>
    <cellStyle name="백분율 7 2 2 3 3 2 2 3" xfId="477"/>
    <cellStyle name="백분율 7 2 2 3 3 2 2 4" xfId="478"/>
    <cellStyle name="백분율 7 2 2 3 3 2 2 4 2" xfId="479"/>
    <cellStyle name="백분율 7 2 2 3 3 2 2 4 2 2" xfId="480"/>
    <cellStyle name="백분율 7 2 2 3 3 2 2 4 3" xfId="481"/>
    <cellStyle name="백분율 7 2 2 3 3 2 2 5" xfId="482"/>
    <cellStyle name="백분율 7 2 2 3 3 2 2 5 2" xfId="483"/>
    <cellStyle name="백분율 7 2 2 3 3 2 2 6" xfId="484"/>
    <cellStyle name="백분율 7 2 2 3 3 2 2 7" xfId="485"/>
    <cellStyle name="백분율 7 2 2 3 3 2 3" xfId="486"/>
    <cellStyle name="백분율 7 2 2 3 3 2 4" xfId="487"/>
    <cellStyle name="백분율 7 2 2 3 3 2 4 2" xfId="488"/>
    <cellStyle name="백분율 7 2 2 3 3 2 4 2 2" xfId="489"/>
    <cellStyle name="백분율 7 2 2 3 3 2 4 3" xfId="490"/>
    <cellStyle name="백분율 7 2 2 3 3 2 5" xfId="491"/>
    <cellStyle name="백분율 7 2 2 3 3 2 5 2" xfId="492"/>
    <cellStyle name="백분율 7 2 2 3 3 2 6" xfId="493"/>
    <cellStyle name="백분율 7 2 2 3 3 2 7" xfId="494"/>
    <cellStyle name="백분율 7 2 2 3 3 3" xfId="495"/>
    <cellStyle name="백분율 7 2 2 3 3 4" xfId="496"/>
    <cellStyle name="백분율 7 2 2 3 3 4 2" xfId="497"/>
    <cellStyle name="백분율 7 2 2 3 3 4 2 2" xfId="498"/>
    <cellStyle name="백분율 7 2 2 3 3 4 3" xfId="499"/>
    <cellStyle name="백분율 7 2 2 3 3 5" xfId="500"/>
    <cellStyle name="백분율 7 2 2 3 3 5 2" xfId="501"/>
    <cellStyle name="백분율 7 2 2 3 3 6" xfId="502"/>
    <cellStyle name="백분율 7 2 2 3 3 7" xfId="503"/>
    <cellStyle name="백분율 7 2 2 3 4" xfId="504"/>
    <cellStyle name="백분율 7 2 2 3 5" xfId="505"/>
    <cellStyle name="백분율 7 2 2 3 5 2" xfId="506"/>
    <cellStyle name="백분율 7 2 2 3 5 2 2" xfId="507"/>
    <cellStyle name="백분율 7 2 2 3 5 3" xfId="508"/>
    <cellStyle name="백분율 7 2 2 3 6" xfId="509"/>
    <cellStyle name="백분율 7 2 2 3 6 2" xfId="510"/>
    <cellStyle name="백분율 7 2 2 3 7" xfId="511"/>
    <cellStyle name="백분율 7 2 2 3 8" xfId="512"/>
    <cellStyle name="백분율 7 2 2 4" xfId="513"/>
    <cellStyle name="백분율 7 2 2 5" xfId="514"/>
    <cellStyle name="백분율 7 2 2 5 2" xfId="515"/>
    <cellStyle name="백분율 7 2 2 5 2 2" xfId="516"/>
    <cellStyle name="백분율 7 2 2 5 3" xfId="517"/>
    <cellStyle name="백분율 7 2 2 6" xfId="518"/>
    <cellStyle name="백분율 7 2 2 6 2" xfId="519"/>
    <cellStyle name="백분율 7 2 2 7" xfId="520"/>
    <cellStyle name="백분율 7 2 2 8" xfId="521"/>
    <cellStyle name="백분율 7 2 3" xfId="522"/>
    <cellStyle name="백분율 7 2 4" xfId="523"/>
    <cellStyle name="백분율 7 2 4 2" xfId="524"/>
    <cellStyle name="백분율 7 2 4 2 2" xfId="525"/>
    <cellStyle name="백분율 7 2 4 3" xfId="526"/>
    <cellStyle name="백분율 7 2 5" xfId="527"/>
    <cellStyle name="백분율 7 2 5 2" xfId="528"/>
    <cellStyle name="백분율 7 2 6" xfId="529"/>
    <cellStyle name="백분율 7 2 6 2" xfId="530"/>
    <cellStyle name="백분율 7 2 6 3" xfId="531"/>
    <cellStyle name="백분율 7 2 7" xfId="532"/>
    <cellStyle name="백분율 7 2 8" xfId="533"/>
    <cellStyle name="백분율 7 3" xfId="534"/>
    <cellStyle name="백분율 7 4" xfId="535"/>
    <cellStyle name="백분율 7 4 2" xfId="536"/>
    <cellStyle name="백분율 7 4 2 2" xfId="537"/>
    <cellStyle name="백분율 7 4 3" xfId="538"/>
    <cellStyle name="백분율 7 5" xfId="539"/>
    <cellStyle name="백분율 7 5 2" xfId="540"/>
    <cellStyle name="백분율 7 6" xfId="541"/>
    <cellStyle name="백분율 7 7" xfId="542"/>
    <cellStyle name="백분율 8" xfId="543"/>
    <cellStyle name="백분율 8 2" xfId="544"/>
    <cellStyle name="백분율 8 2 2" xfId="545"/>
    <cellStyle name="백분율 9" xfId="546"/>
    <cellStyle name="보통 2" xfId="547"/>
    <cellStyle name="보통 3" xfId="548"/>
    <cellStyle name="보통 4" xfId="549"/>
    <cellStyle name="常规 2" xfId="550"/>
    <cellStyle name="常规 2 2" xfId="551"/>
    <cellStyle name="설명 텍스트 2" xfId="552"/>
    <cellStyle name="설명 텍스트 3" xfId="553"/>
    <cellStyle name="설명 텍스트 4" xfId="554"/>
    <cellStyle name="셀 확인 2" xfId="555"/>
    <cellStyle name="셀 확인 3" xfId="556"/>
    <cellStyle name="셀 확인 4" xfId="557"/>
    <cellStyle name="쉼표 [0]" xfId="1" builtinId="6"/>
    <cellStyle name="쉼표 [0] 10" xfId="558"/>
    <cellStyle name="쉼표 [0] 10 2" xfId="559"/>
    <cellStyle name="쉼표 [0] 10 2 2" xfId="560"/>
    <cellStyle name="쉼표 [0] 10 2 2 2" xfId="561"/>
    <cellStyle name="쉼표 [0] 10 2 3" xfId="562"/>
    <cellStyle name="쉼표 [0] 10 3" xfId="563"/>
    <cellStyle name="쉼표 [0] 10 3 2" xfId="564"/>
    <cellStyle name="쉼표 [0] 10 4" xfId="565"/>
    <cellStyle name="쉼표 [0] 11" xfId="566"/>
    <cellStyle name="쉼표 [0] 12" xfId="567"/>
    <cellStyle name="쉼표 [0] 12 2" xfId="568"/>
    <cellStyle name="쉼표 [0] 12 2 2" xfId="569"/>
    <cellStyle name="쉼표 [0] 12 3" xfId="570"/>
    <cellStyle name="쉼표 [0] 13" xfId="571"/>
    <cellStyle name="쉼표 [0] 14" xfId="572"/>
    <cellStyle name="쉼표 [0] 14 2" xfId="573"/>
    <cellStyle name="쉼표 [0] 15" xfId="574"/>
    <cellStyle name="쉼표 [0] 16" xfId="575"/>
    <cellStyle name="쉼표 [0] 17" xfId="576"/>
    <cellStyle name="쉼표 [0] 2" xfId="32"/>
    <cellStyle name="쉼표 [0] 2 2" xfId="33"/>
    <cellStyle name="쉼표 [0] 2 2 2" xfId="577"/>
    <cellStyle name="쉼표 [0] 2 3" xfId="578"/>
    <cellStyle name="쉼표 [0] 3" xfId="34"/>
    <cellStyle name="쉼표 [0] 3 2" xfId="35"/>
    <cellStyle name="쉼표 [0] 4" xfId="36"/>
    <cellStyle name="쉼표 [0] 5" xfId="37"/>
    <cellStyle name="쉼표 [0] 5 2 2" xfId="579"/>
    <cellStyle name="쉼표 [0] 5 2 2 2" xfId="580"/>
    <cellStyle name="쉼표 [0] 6" xfId="581"/>
    <cellStyle name="쉼표 [0] 6 2" xfId="582"/>
    <cellStyle name="쉼표 [0] 6 2 2" xfId="583"/>
    <cellStyle name="쉼표 [0] 6 2 2 2" xfId="584"/>
    <cellStyle name="쉼표 [0] 6 2 2 2 2" xfId="585"/>
    <cellStyle name="쉼표 [0] 6 2 2 2 3" xfId="586"/>
    <cellStyle name="쉼표 [0] 6 2 2 2 3 2" xfId="587"/>
    <cellStyle name="쉼표 [0] 6 2 2 2 3 2 2" xfId="588"/>
    <cellStyle name="쉼표 [0] 6 2 2 2 3 3" xfId="589"/>
    <cellStyle name="쉼표 [0] 6 2 2 2 4" xfId="590"/>
    <cellStyle name="쉼표 [0] 6 2 2 2 4 2" xfId="591"/>
    <cellStyle name="쉼표 [0] 6 2 2 2 5" xfId="592"/>
    <cellStyle name="쉼표 [0] 6 2 2 2 6" xfId="593"/>
    <cellStyle name="쉼표 [0] 6 2 2 3" xfId="594"/>
    <cellStyle name="쉼표 [0] 6 2 2 3 2" xfId="595"/>
    <cellStyle name="쉼표 [0] 6 2 2 3 2 2" xfId="596"/>
    <cellStyle name="쉼표 [0] 6 2 2 3 2 3" xfId="597"/>
    <cellStyle name="쉼표 [0] 6 2 2 3 2 3 2" xfId="598"/>
    <cellStyle name="쉼표 [0] 6 2 2 3 2 3 2 2" xfId="599"/>
    <cellStyle name="쉼표 [0] 6 2 2 3 2 3 3" xfId="600"/>
    <cellStyle name="쉼표 [0] 6 2 2 3 2 4" xfId="601"/>
    <cellStyle name="쉼표 [0] 6 2 2 3 2 4 2" xfId="602"/>
    <cellStyle name="쉼표 [0] 6 2 2 3 2 5" xfId="603"/>
    <cellStyle name="쉼표 [0] 6 2 2 3 2 6" xfId="604"/>
    <cellStyle name="쉼표 [0] 6 2 2 3 3" xfId="605"/>
    <cellStyle name="쉼표 [0] 6 2 2 3 3 2" xfId="606"/>
    <cellStyle name="쉼표 [0] 6 2 2 3 3 2 2" xfId="607"/>
    <cellStyle name="쉼표 [0] 6 2 2 3 3 2 2 2" xfId="608"/>
    <cellStyle name="쉼표 [0] 6 2 2 3 3 2 2 2 2" xfId="609"/>
    <cellStyle name="쉼표 [0] 6 2 2 3 3 2 2 2 2 2" xfId="610"/>
    <cellStyle name="쉼표 [0] 6 2 2 3 3 2 2 2 2 2 2" xfId="611"/>
    <cellStyle name="쉼표 [0] 6 2 2 3 3 2 2 2 2 2 2 2" xfId="612"/>
    <cellStyle name="쉼표 [0] 6 2 2 3 3 2 2 2 2 2 2 2 2" xfId="613"/>
    <cellStyle name="쉼표 [0] 6 2 2 3 3 2 2 2 2 2 2 2 2 2" xfId="614"/>
    <cellStyle name="쉼표 [0] 6 2 2 3 3 2 2 2 2 2 2 2 2 2 2" xfId="615"/>
    <cellStyle name="쉼표 [0] 6 2 2 3 3 2 2 2 2 2 2 2 2 2 2 2" xfId="616"/>
    <cellStyle name="쉼표 [0] 6 2 2 3 3 2 2 2 2 2 2 2 2 2 2 2 2" xfId="617"/>
    <cellStyle name="쉼표 [0] 6 2 2 3 3 2 2 2 2 2 2 2 2 2 2 2 2 2" xfId="618"/>
    <cellStyle name="쉼표 [0] 6 2 2 3 3 2 2 2 2 2 2 2 2 2 2 2 2 2 2" xfId="619"/>
    <cellStyle name="쉼표 [0] 6 2 2 3 3 2 2 2 2 2 2 2 2 2 2 2 2 2 2 2" xfId="620"/>
    <cellStyle name="쉼표 [0] 6 2 2 3 3 2 2 2 2 2 2 2 2 2 2 2 2 2 2 2 2" xfId="621"/>
    <cellStyle name="쉼표 [0] 6 2 2 3 3 2 2 2 2 2 2 2 2 2 2 2 2 2 2 2 2 2" xfId="622"/>
    <cellStyle name="쉼표 [0] 6 2 2 3 3 2 2 2 2 2 2 2 2 2 2 2 2 2 2 2 3" xfId="623"/>
    <cellStyle name="쉼표 [0] 6 2 2 3 3 2 2 2 2 2 2 2 2 2 2 2 2 2 2 2 3 2" xfId="624"/>
    <cellStyle name="쉼표 [0] 6 2 2 3 3 2 2 2 2 2 2 2 2 2 2 2 2 2 2 2 3 2 2" xfId="625"/>
    <cellStyle name="쉼표 [0] 6 2 2 3 3 2 2 2 2 2 2 2 2 2 2 2 2 2 2 2 3 2 2 2" xfId="626"/>
    <cellStyle name="쉼표 [0] 6 2 2 3 3 2 2 2 2 2 2 2 2 2 2 2 2 2 2 2 3 2 2 2 2" xfId="627"/>
    <cellStyle name="쉼표 [0] 6 2 2 3 3 2 2 2 2 2 2 2 2 2 2 2 2 2 2 2 3 2 2 3" xfId="628"/>
    <cellStyle name="쉼표 [0] 6 2 2 3 3 2 2 2 2 2 2 2 2 2 2 2 2 2 2 2 3 2 3" xfId="629"/>
    <cellStyle name="쉼표 [0] 6 2 2 3 3 2 2 2 2 2 2 2 2 2 2 2 2 2 2 2 3 3" xfId="630"/>
    <cellStyle name="쉼표 [0] 6 2 2 3 3 2 2 2 2 2 2 2 2 2 2 2 2 2 2 2 4" xfId="631"/>
    <cellStyle name="쉼표 [0] 6 2 2 3 3 2 2 2 2 2 2 2 2 2 2 2 2 2 2 3" xfId="632"/>
    <cellStyle name="쉼표 [0] 6 2 2 3 3 2 2 2 2 2 2 2 2 2 2 2 2 2 2 3 2" xfId="633"/>
    <cellStyle name="쉼표 [0] 6 2 2 3 3 2 2 2 2 2 2 2 2 2 2 2 2 2 2 4" xfId="634"/>
    <cellStyle name="쉼표 [0] 6 2 2 3 3 2 2 2 2 2 2 2 2 2 2 2 2 2 3" xfId="635"/>
    <cellStyle name="쉼표 [0] 6 2 2 3 3 2 2 2 2 2 2 2 2 2 2 2 2 2 3 2" xfId="636"/>
    <cellStyle name="쉼표 [0] 6 2 2 3 3 2 2 2 2 2 2 2 2 2 2 2 2 2 3 2 2" xfId="637"/>
    <cellStyle name="쉼표 [0] 6 2 2 3 3 2 2 2 2 2 2 2 2 2 2 2 2 2 3 3" xfId="638"/>
    <cellStyle name="쉼표 [0] 6 2 2 3 3 2 2 2 2 2 2 2 2 2 2 2 2 2 4" xfId="639"/>
    <cellStyle name="쉼표 [0] 6 2 2 3 3 2 2 2 2 2 2 2 2 2 2 2 2 2 4 2" xfId="640"/>
    <cellStyle name="쉼표 [0] 6 2 2 3 3 2 2 2 2 2 2 2 2 2 2 2 2 2 5" xfId="641"/>
    <cellStyle name="쉼표 [0] 6 2 2 3 3 2 2 2 2 2 2 2 2 2 2 2 2 3" xfId="642"/>
    <cellStyle name="쉼표 [0] 6 2 2 3 3 2 2 2 2 2 2 2 2 2 2 2 2 3 2" xfId="643"/>
    <cellStyle name="쉼표 [0] 6 2 2 3 3 2 2 2 2 2 2 2 2 2 2 2 2 3 2 2" xfId="644"/>
    <cellStyle name="쉼표 [0] 6 2 2 3 3 2 2 2 2 2 2 2 2 2 2 2 2 3 3" xfId="645"/>
    <cellStyle name="쉼표 [0] 6 2 2 3 3 2 2 2 2 2 2 2 2 2 2 2 2 4" xfId="646"/>
    <cellStyle name="쉼표 [0] 6 2 2 3 3 2 2 2 2 2 2 2 2 2 2 2 2 4 2" xfId="647"/>
    <cellStyle name="쉼표 [0] 6 2 2 3 3 2 2 2 2 2 2 2 2 2 2 2 2 5" xfId="648"/>
    <cellStyle name="쉼표 [0] 6 2 2 3 3 2 2 2 2 2 2 2 2 2 2 2 3" xfId="649"/>
    <cellStyle name="쉼표 [0] 6 2 2 3 3 2 2 2 2 2 2 2 2 2 2 2 4" xfId="650"/>
    <cellStyle name="쉼표 [0] 6 2 2 3 3 2 2 2 2 2 2 2 2 2 2 2 4 2" xfId="651"/>
    <cellStyle name="쉼표 [0] 6 2 2 3 3 2 2 2 2 2 2 2 2 2 2 2 4 2 2" xfId="652"/>
    <cellStyle name="쉼표 [0] 6 2 2 3 3 2 2 2 2 2 2 2 2 2 2 2 4 3" xfId="653"/>
    <cellStyle name="쉼표 [0] 6 2 2 3 3 2 2 2 2 2 2 2 2 2 2 2 5" xfId="654"/>
    <cellStyle name="쉼표 [0] 6 2 2 3 3 2 2 2 2 2 2 2 2 2 2 2 5 2" xfId="655"/>
    <cellStyle name="쉼표 [0] 6 2 2 3 3 2 2 2 2 2 2 2 2 2 2 2 6" xfId="656"/>
    <cellStyle name="쉼표 [0] 6 2 2 3 3 2 2 2 2 2 2 2 2 2 2 3" xfId="657"/>
    <cellStyle name="쉼표 [0] 6 2 2 3 3 2 2 2 2 2 2 2 2 2 2 4" xfId="658"/>
    <cellStyle name="쉼표 [0] 6 2 2 3 3 2 2 2 2 2 2 2 2 2 2 4 2" xfId="659"/>
    <cellStyle name="쉼표 [0] 6 2 2 3 3 2 2 2 2 2 2 2 2 2 2 4 2 2" xfId="660"/>
    <cellStyle name="쉼표 [0] 6 2 2 3 3 2 2 2 2 2 2 2 2 2 2 4 3" xfId="661"/>
    <cellStyle name="쉼표 [0] 6 2 2 3 3 2 2 2 2 2 2 2 2 2 2 5" xfId="662"/>
    <cellStyle name="쉼표 [0] 6 2 2 3 3 2 2 2 2 2 2 2 2 2 2 5 2" xfId="663"/>
    <cellStyle name="쉼표 [0] 6 2 2 3 3 2 2 2 2 2 2 2 2 2 2 6" xfId="664"/>
    <cellStyle name="쉼표 [0] 6 2 2 3 3 2 2 2 2 2 2 2 2 2 2 7" xfId="665"/>
    <cellStyle name="쉼표 [0] 6 2 2 3 3 2 2 2 2 2 2 2 2 2 3" xfId="666"/>
    <cellStyle name="쉼표 [0] 6 2 2 3 3 2 2 2 2 2 2 2 2 2 4" xfId="667"/>
    <cellStyle name="쉼표 [0] 6 2 2 3 3 2 2 2 2 2 2 2 2 2 4 2" xfId="668"/>
    <cellStyle name="쉼표 [0] 6 2 2 3 3 2 2 2 2 2 2 2 2 2 4 2 2" xfId="669"/>
    <cellStyle name="쉼표 [0] 6 2 2 3 3 2 2 2 2 2 2 2 2 2 4 3" xfId="670"/>
    <cellStyle name="쉼표 [0] 6 2 2 3 3 2 2 2 2 2 2 2 2 2 5" xfId="671"/>
    <cellStyle name="쉼표 [0] 6 2 2 3 3 2 2 2 2 2 2 2 2 2 5 2" xfId="672"/>
    <cellStyle name="쉼표 [0] 6 2 2 3 3 2 2 2 2 2 2 2 2 2 6" xfId="673"/>
    <cellStyle name="쉼표 [0] 6 2 2 3 3 2 2 2 2 2 2 2 2 2 7" xfId="674"/>
    <cellStyle name="쉼표 [0] 6 2 2 3 3 2 2 2 2 2 2 2 2 3" xfId="675"/>
    <cellStyle name="쉼표 [0] 6 2 2 3 3 2 2 2 2 2 2 2 2 4" xfId="676"/>
    <cellStyle name="쉼표 [0] 6 2 2 3 3 2 2 2 2 2 2 2 2 4 2" xfId="677"/>
    <cellStyle name="쉼표 [0] 6 2 2 3 3 2 2 2 2 2 2 2 2 4 2 2" xfId="678"/>
    <cellStyle name="쉼표 [0] 6 2 2 3 3 2 2 2 2 2 2 2 2 4 3" xfId="679"/>
    <cellStyle name="쉼표 [0] 6 2 2 3 3 2 2 2 2 2 2 2 2 5" xfId="680"/>
    <cellStyle name="쉼표 [0] 6 2 2 3 3 2 2 2 2 2 2 2 2 5 2" xfId="681"/>
    <cellStyle name="쉼표 [0] 6 2 2 3 3 2 2 2 2 2 2 2 2 6" xfId="682"/>
    <cellStyle name="쉼표 [0] 6 2 2 3 3 2 2 2 2 2 2 2 2 7" xfId="683"/>
    <cellStyle name="쉼표 [0] 6 2 2 3 3 2 2 2 2 2 2 2 3" xfId="684"/>
    <cellStyle name="쉼표 [0] 6 2 2 3 3 2 2 2 2 2 2 2 4" xfId="685"/>
    <cellStyle name="쉼표 [0] 6 2 2 3 3 2 2 2 2 2 2 2 4 2" xfId="686"/>
    <cellStyle name="쉼표 [0] 6 2 2 3 3 2 2 2 2 2 2 2 4 2 2" xfId="687"/>
    <cellStyle name="쉼표 [0] 6 2 2 3 3 2 2 2 2 2 2 2 4 3" xfId="688"/>
    <cellStyle name="쉼표 [0] 6 2 2 3 3 2 2 2 2 2 2 2 5" xfId="689"/>
    <cellStyle name="쉼표 [0] 6 2 2 3 3 2 2 2 2 2 2 2 5 2" xfId="690"/>
    <cellStyle name="쉼표 [0] 6 2 2 3 3 2 2 2 2 2 2 2 6" xfId="691"/>
    <cellStyle name="쉼표 [0] 6 2 2 3 3 2 2 2 2 2 2 2 7" xfId="692"/>
    <cellStyle name="쉼표 [0] 6 2 2 3 3 2 2 2 2 2 2 3" xfId="693"/>
    <cellStyle name="쉼표 [0] 6 2 2 3 3 2 2 2 2 2 2 4" xfId="694"/>
    <cellStyle name="쉼표 [0] 6 2 2 3 3 2 2 2 2 2 2 4 2" xfId="695"/>
    <cellStyle name="쉼표 [0] 6 2 2 3 3 2 2 2 2 2 2 4 2 2" xfId="696"/>
    <cellStyle name="쉼표 [0] 6 2 2 3 3 2 2 2 2 2 2 4 3" xfId="697"/>
    <cellStyle name="쉼표 [0] 6 2 2 3 3 2 2 2 2 2 2 5" xfId="698"/>
    <cellStyle name="쉼표 [0] 6 2 2 3 3 2 2 2 2 2 2 5 2" xfId="699"/>
    <cellStyle name="쉼표 [0] 6 2 2 3 3 2 2 2 2 2 2 6" xfId="700"/>
    <cellStyle name="쉼표 [0] 6 2 2 3 3 2 2 2 2 2 2 7" xfId="701"/>
    <cellStyle name="쉼표 [0] 6 2 2 3 3 2 2 2 2 2 3" xfId="702"/>
    <cellStyle name="쉼표 [0] 6 2 2 3 3 2 2 2 2 2 4" xfId="703"/>
    <cellStyle name="쉼표 [0] 6 2 2 3 3 2 2 2 2 2 4 2" xfId="704"/>
    <cellStyle name="쉼표 [0] 6 2 2 3 3 2 2 2 2 2 4 2 2" xfId="705"/>
    <cellStyle name="쉼표 [0] 6 2 2 3 3 2 2 2 2 2 4 3" xfId="706"/>
    <cellStyle name="쉼표 [0] 6 2 2 3 3 2 2 2 2 2 5" xfId="707"/>
    <cellStyle name="쉼표 [0] 6 2 2 3 3 2 2 2 2 2 5 2" xfId="708"/>
    <cellStyle name="쉼표 [0] 6 2 2 3 3 2 2 2 2 2 6" xfId="709"/>
    <cellStyle name="쉼표 [0] 6 2 2 3 3 2 2 2 2 2 7" xfId="710"/>
    <cellStyle name="쉼표 [0] 6 2 2 3 3 2 2 2 2 3" xfId="711"/>
    <cellStyle name="쉼표 [0] 6 2 2 3 3 2 2 2 2 4" xfId="712"/>
    <cellStyle name="쉼표 [0] 6 2 2 3 3 2 2 2 2 4 2" xfId="713"/>
    <cellStyle name="쉼표 [0] 6 2 2 3 3 2 2 2 2 4 2 2" xfId="714"/>
    <cellStyle name="쉼표 [0] 6 2 2 3 3 2 2 2 2 4 3" xfId="715"/>
    <cellStyle name="쉼표 [0] 6 2 2 3 3 2 2 2 2 5" xfId="716"/>
    <cellStyle name="쉼표 [0] 6 2 2 3 3 2 2 2 2 5 2" xfId="717"/>
    <cellStyle name="쉼표 [0] 6 2 2 3 3 2 2 2 2 6" xfId="718"/>
    <cellStyle name="쉼표 [0] 6 2 2 3 3 2 2 2 2 7" xfId="719"/>
    <cellStyle name="쉼표 [0] 6 2 2 3 3 2 2 2 3" xfId="720"/>
    <cellStyle name="쉼표 [0] 6 2 2 3 3 2 2 2 4" xfId="721"/>
    <cellStyle name="쉼표 [0] 6 2 2 3 3 2 2 2 4 2" xfId="722"/>
    <cellStyle name="쉼표 [0] 6 2 2 3 3 2 2 2 4 2 2" xfId="723"/>
    <cellStyle name="쉼표 [0] 6 2 2 3 3 2 2 2 4 3" xfId="724"/>
    <cellStyle name="쉼표 [0] 6 2 2 3 3 2 2 2 5" xfId="725"/>
    <cellStyle name="쉼표 [0] 6 2 2 3 3 2 2 2 5 2" xfId="726"/>
    <cellStyle name="쉼표 [0] 6 2 2 3 3 2 2 2 6" xfId="727"/>
    <cellStyle name="쉼표 [0] 6 2 2 3 3 2 2 2 7" xfId="728"/>
    <cellStyle name="쉼표 [0] 6 2 2 3 3 2 2 3" xfId="729"/>
    <cellStyle name="쉼표 [0] 6 2 2 3 3 2 2 4" xfId="730"/>
    <cellStyle name="쉼표 [0] 6 2 2 3 3 2 2 4 2" xfId="731"/>
    <cellStyle name="쉼표 [0] 6 2 2 3 3 2 2 4 2 2" xfId="732"/>
    <cellStyle name="쉼표 [0] 6 2 2 3 3 2 2 4 3" xfId="733"/>
    <cellStyle name="쉼표 [0] 6 2 2 3 3 2 2 5" xfId="734"/>
    <cellStyle name="쉼표 [0] 6 2 2 3 3 2 2 5 2" xfId="735"/>
    <cellStyle name="쉼표 [0] 6 2 2 3 3 2 2 6" xfId="736"/>
    <cellStyle name="쉼표 [0] 6 2 2 3 3 2 2 7" xfId="737"/>
    <cellStyle name="쉼표 [0] 6 2 2 3 3 2 3" xfId="738"/>
    <cellStyle name="쉼표 [0] 6 2 2 3 3 2 4" xfId="739"/>
    <cellStyle name="쉼표 [0] 6 2 2 3 3 2 4 2" xfId="740"/>
    <cellStyle name="쉼표 [0] 6 2 2 3 3 2 4 2 2" xfId="741"/>
    <cellStyle name="쉼표 [0] 6 2 2 3 3 2 4 3" xfId="742"/>
    <cellStyle name="쉼표 [0] 6 2 2 3 3 2 5" xfId="743"/>
    <cellStyle name="쉼표 [0] 6 2 2 3 3 2 5 2" xfId="744"/>
    <cellStyle name="쉼표 [0] 6 2 2 3 3 2 6" xfId="745"/>
    <cellStyle name="쉼표 [0] 6 2 2 3 3 2 7" xfId="746"/>
    <cellStyle name="쉼표 [0] 6 2 2 3 3 3" xfId="747"/>
    <cellStyle name="쉼표 [0] 6 2 2 3 3 4" xfId="748"/>
    <cellStyle name="쉼표 [0] 6 2 2 3 3 4 2" xfId="749"/>
    <cellStyle name="쉼표 [0] 6 2 2 3 3 4 2 2" xfId="750"/>
    <cellStyle name="쉼표 [0] 6 2 2 3 3 4 3" xfId="751"/>
    <cellStyle name="쉼표 [0] 6 2 2 3 3 5" xfId="752"/>
    <cellStyle name="쉼표 [0] 6 2 2 3 3 5 2" xfId="753"/>
    <cellStyle name="쉼표 [0] 6 2 2 3 3 6" xfId="754"/>
    <cellStyle name="쉼표 [0] 6 2 2 3 3 7" xfId="755"/>
    <cellStyle name="쉼표 [0] 6 2 2 3 4" xfId="756"/>
    <cellStyle name="쉼표 [0] 6 2 2 3 5" xfId="757"/>
    <cellStyle name="쉼표 [0] 6 2 2 3 5 2" xfId="758"/>
    <cellStyle name="쉼표 [0] 6 2 2 3 5 2 2" xfId="759"/>
    <cellStyle name="쉼표 [0] 6 2 2 3 5 3" xfId="760"/>
    <cellStyle name="쉼표 [0] 6 2 2 3 6" xfId="761"/>
    <cellStyle name="쉼표 [0] 6 2 2 3 6 2" xfId="762"/>
    <cellStyle name="쉼표 [0] 6 2 2 3 7" xfId="763"/>
    <cellStyle name="쉼표 [0] 6 2 2 3 8" xfId="764"/>
    <cellStyle name="쉼표 [0] 6 2 2 4" xfId="765"/>
    <cellStyle name="쉼표 [0] 6 2 2 5" xfId="766"/>
    <cellStyle name="쉼표 [0] 6 2 2 5 2" xfId="767"/>
    <cellStyle name="쉼표 [0] 6 2 2 5 2 2" xfId="768"/>
    <cellStyle name="쉼표 [0] 6 2 2 5 3" xfId="769"/>
    <cellStyle name="쉼표 [0] 6 2 2 6" xfId="770"/>
    <cellStyle name="쉼표 [0] 6 2 2 6 2" xfId="771"/>
    <cellStyle name="쉼표 [0] 6 2 2 7" xfId="772"/>
    <cellStyle name="쉼표 [0] 6 2 2 8" xfId="773"/>
    <cellStyle name="쉼표 [0] 6 2 3" xfId="774"/>
    <cellStyle name="쉼표 [0] 6 2 4" xfId="775"/>
    <cellStyle name="쉼표 [0] 6 2 4 2" xfId="776"/>
    <cellStyle name="쉼표 [0] 6 2 4 2 2" xfId="777"/>
    <cellStyle name="쉼표 [0] 6 2 4 3" xfId="778"/>
    <cellStyle name="쉼표 [0] 6 2 5" xfId="779"/>
    <cellStyle name="쉼표 [0] 6 2 5 2" xfId="780"/>
    <cellStyle name="쉼표 [0] 6 2 6" xfId="781"/>
    <cellStyle name="쉼표 [0] 6 2 6 2" xfId="782"/>
    <cellStyle name="쉼표 [0] 6 2 6 3" xfId="783"/>
    <cellStyle name="쉼표 [0] 6 2 7" xfId="784"/>
    <cellStyle name="쉼표 [0] 6 2 8" xfId="785"/>
    <cellStyle name="쉼표 [0] 6 3" xfId="786"/>
    <cellStyle name="쉼표 [0] 6 4" xfId="787"/>
    <cellStyle name="쉼표 [0] 6 4 2" xfId="788"/>
    <cellStyle name="쉼표 [0] 6 4 2 2" xfId="789"/>
    <cellStyle name="쉼표 [0] 6 4 3" xfId="790"/>
    <cellStyle name="쉼표 [0] 6 5" xfId="791"/>
    <cellStyle name="쉼표 [0] 6 5 2" xfId="792"/>
    <cellStyle name="쉼표 [0] 6 6" xfId="793"/>
    <cellStyle name="쉼표 [0] 6 7" xfId="794"/>
    <cellStyle name="쉼표 [0] 7" xfId="795"/>
    <cellStyle name="쉼표 [0] 7 2" xfId="796"/>
    <cellStyle name="쉼표 [0] 7 3" xfId="1242"/>
    <cellStyle name="쉼표 [0] 8" xfId="797"/>
    <cellStyle name="쉼표 [0] 8 2" xfId="798"/>
    <cellStyle name="쉼표 [0] 8 3" xfId="799"/>
    <cellStyle name="쉼표 [0] 8 3 2" xfId="800"/>
    <cellStyle name="쉼표 [0] 8 3 2 2" xfId="801"/>
    <cellStyle name="쉼표 [0] 8 3 3" xfId="802"/>
    <cellStyle name="쉼표 [0] 8 4" xfId="803"/>
    <cellStyle name="쉼표 [0] 8 4 2" xfId="804"/>
    <cellStyle name="쉼표 [0] 8 5" xfId="805"/>
    <cellStyle name="쉼표 [0] 8 6" xfId="806"/>
    <cellStyle name="쉼표 [0] 9" xfId="807"/>
    <cellStyle name="연결된 셀 2" xfId="808"/>
    <cellStyle name="연결된 셀 3" xfId="809"/>
    <cellStyle name="연결된 셀 4" xfId="810"/>
    <cellStyle name="요약 2" xfId="38"/>
    <cellStyle name="요약 2 2" xfId="39"/>
    <cellStyle name="요약 2 2 2" xfId="811"/>
    <cellStyle name="요약 2 2 2 2" xfId="812"/>
    <cellStyle name="요약 2 2 3" xfId="813"/>
    <cellStyle name="요약 2 2 3 2" xfId="814"/>
    <cellStyle name="요약 2 2 4" xfId="815"/>
    <cellStyle name="요약 2 2 5" xfId="816"/>
    <cellStyle name="요약 2 2 6" xfId="817"/>
    <cellStyle name="요약 2 3" xfId="818"/>
    <cellStyle name="요약 2 3 2" xfId="819"/>
    <cellStyle name="요약 2 4" xfId="820"/>
    <cellStyle name="요약 2 4 2" xfId="821"/>
    <cellStyle name="요약 2 5" xfId="822"/>
    <cellStyle name="요약 2 6" xfId="823"/>
    <cellStyle name="요약 2 7" xfId="824"/>
    <cellStyle name="요약 3" xfId="825"/>
    <cellStyle name="요약 3 2" xfId="826"/>
    <cellStyle name="요약 4" xfId="827"/>
    <cellStyle name="요약 4 2" xfId="828"/>
    <cellStyle name="요약 5" xfId="829"/>
    <cellStyle name="요약 5 2" xfId="830"/>
    <cellStyle name="요약 6" xfId="831"/>
    <cellStyle name="요약 6 2" xfId="832"/>
    <cellStyle name="요약 7" xfId="833"/>
    <cellStyle name="요약 8" xfId="834"/>
    <cellStyle name="요약 9" xfId="835"/>
    <cellStyle name="입력 2" xfId="40"/>
    <cellStyle name="입력 2 2" xfId="41"/>
    <cellStyle name="입력 2 2 2" xfId="836"/>
    <cellStyle name="입력 2 2 2 2" xfId="837"/>
    <cellStyle name="입력 2 2 3" xfId="838"/>
    <cellStyle name="입력 2 2 3 2" xfId="839"/>
    <cellStyle name="입력 2 2 4" xfId="840"/>
    <cellStyle name="입력 2 2 5" xfId="841"/>
    <cellStyle name="입력 2 2 6" xfId="842"/>
    <cellStyle name="입력 2 3" xfId="843"/>
    <cellStyle name="입력 2 3 2" xfId="844"/>
    <cellStyle name="입력 2 4" xfId="845"/>
    <cellStyle name="입력 2 4 2" xfId="846"/>
    <cellStyle name="입력 2 5" xfId="847"/>
    <cellStyle name="입력 2 6" xfId="848"/>
    <cellStyle name="입력 2 7" xfId="849"/>
    <cellStyle name="입력 3" xfId="850"/>
    <cellStyle name="입력 3 2" xfId="851"/>
    <cellStyle name="입력 4" xfId="852"/>
    <cellStyle name="입력 4 2" xfId="853"/>
    <cellStyle name="입력 5" xfId="854"/>
    <cellStyle name="입력 5 2" xfId="855"/>
    <cellStyle name="입력 6" xfId="856"/>
    <cellStyle name="입력 6 2" xfId="857"/>
    <cellStyle name="입력 7" xfId="858"/>
    <cellStyle name="입력 8" xfId="859"/>
    <cellStyle name="입력 9" xfId="860"/>
    <cellStyle name="자리수" xfId="42"/>
    <cellStyle name="자리수0" xfId="43"/>
    <cellStyle name="제목 1 2" xfId="861"/>
    <cellStyle name="제목 1 3" xfId="862"/>
    <cellStyle name="제목 1 4" xfId="863"/>
    <cellStyle name="제목 2 2" xfId="864"/>
    <cellStyle name="제목 2 3" xfId="865"/>
    <cellStyle name="제목 2 4" xfId="866"/>
    <cellStyle name="제목 3 2" xfId="44"/>
    <cellStyle name="제목 3 2 2" xfId="867"/>
    <cellStyle name="제목 3 2 2 2" xfId="868"/>
    <cellStyle name="제목 3 2 3" xfId="869"/>
    <cellStyle name="제목 3 3" xfId="870"/>
    <cellStyle name="제목 3 3 2" xfId="871"/>
    <cellStyle name="제목 3 4" xfId="872"/>
    <cellStyle name="제목 3 4 2" xfId="873"/>
    <cellStyle name="제목 3 5" xfId="874"/>
    <cellStyle name="제목 3 5 2" xfId="875"/>
    <cellStyle name="제목 3 6" xfId="876"/>
    <cellStyle name="제목 4 2" xfId="877"/>
    <cellStyle name="제목 4 3" xfId="878"/>
    <cellStyle name="제목 4 4" xfId="879"/>
    <cellStyle name="제목 5" xfId="880"/>
    <cellStyle name="제목 6" xfId="881"/>
    <cellStyle name="제목 7" xfId="882"/>
    <cellStyle name="좋음 2" xfId="883"/>
    <cellStyle name="좋음 3" xfId="884"/>
    <cellStyle name="좋음 4" xfId="885"/>
    <cellStyle name="지정되지 않음" xfId="45"/>
    <cellStyle name="千位分隔[0] 2" xfId="886"/>
    <cellStyle name="千位分隔[0] 2 2" xfId="887"/>
    <cellStyle name="출력 2" xfId="46"/>
    <cellStyle name="출력 2 2" xfId="47"/>
    <cellStyle name="출력 2 2 2" xfId="888"/>
    <cellStyle name="출력 2 2 2 2" xfId="889"/>
    <cellStyle name="출력 2 2 3" xfId="890"/>
    <cellStyle name="출력 2 2 3 2" xfId="891"/>
    <cellStyle name="출력 2 2 4" xfId="892"/>
    <cellStyle name="출력 2 2 5" xfId="893"/>
    <cellStyle name="출력 2 2 6" xfId="894"/>
    <cellStyle name="출력 2 3" xfId="895"/>
    <cellStyle name="출력 2 3 2" xfId="896"/>
    <cellStyle name="출력 2 4" xfId="897"/>
    <cellStyle name="출력 2 4 2" xfId="898"/>
    <cellStyle name="출력 2 5" xfId="899"/>
    <cellStyle name="출력 2 6" xfId="900"/>
    <cellStyle name="출력 2 7" xfId="901"/>
    <cellStyle name="출력 3" xfId="902"/>
    <cellStyle name="출력 3 2" xfId="903"/>
    <cellStyle name="출력 4" xfId="904"/>
    <cellStyle name="출력 4 2" xfId="905"/>
    <cellStyle name="출력 5" xfId="906"/>
    <cellStyle name="출력 5 2" xfId="907"/>
    <cellStyle name="출력 6" xfId="908"/>
    <cellStyle name="출력 6 2" xfId="909"/>
    <cellStyle name="출력 7" xfId="910"/>
    <cellStyle name="출력 8" xfId="911"/>
    <cellStyle name="출력 9" xfId="912"/>
    <cellStyle name="콤마 [0]_11요식 " xfId="48"/>
    <cellStyle name="콤마_11요식 " xfId="49"/>
    <cellStyle name="통화 [0] 4 2" xfId="50"/>
    <cellStyle name="퍼센트" xfId="51"/>
    <cellStyle name="표준" xfId="0" builtinId="0"/>
    <cellStyle name="표준 10" xfId="913"/>
    <cellStyle name="표준 10 2" xfId="914"/>
    <cellStyle name="표준 10 2 2" xfId="915"/>
    <cellStyle name="표준 10 2 2 2" xfId="916"/>
    <cellStyle name="표준 10 2 3" xfId="917"/>
    <cellStyle name="표준 10 3" xfId="918"/>
    <cellStyle name="표준 10 3 2" xfId="919"/>
    <cellStyle name="표준 10 4" xfId="920"/>
    <cellStyle name="표준 10 5" xfId="921"/>
    <cellStyle name="표준 11" xfId="922"/>
    <cellStyle name="표준 11 2" xfId="923"/>
    <cellStyle name="표준 12" xfId="924"/>
    <cellStyle name="표준 12 2" xfId="925"/>
    <cellStyle name="표준 12 2 2" xfId="926"/>
    <cellStyle name="표준 12 3" xfId="927"/>
    <cellStyle name="표준 12 4" xfId="928"/>
    <cellStyle name="표준 13" xfId="929"/>
    <cellStyle name="표준 13 2" xfId="930"/>
    <cellStyle name="표준 14" xfId="931"/>
    <cellStyle name="표준 14 2" xfId="932"/>
    <cellStyle name="표준 14 3" xfId="933"/>
    <cellStyle name="표준 15" xfId="934"/>
    <cellStyle name="표준 15 2" xfId="935"/>
    <cellStyle name="표준 16" xfId="936"/>
    <cellStyle name="표준 16 2" xfId="937"/>
    <cellStyle name="표준 16 3" xfId="938"/>
    <cellStyle name="표준 17" xfId="939"/>
    <cellStyle name="표준 18" xfId="940"/>
    <cellStyle name="표준 19" xfId="941"/>
    <cellStyle name="표준 2" xfId="52"/>
    <cellStyle name="표준 2 2" xfId="53"/>
    <cellStyle name="표준 2 2 2" xfId="54"/>
    <cellStyle name="표준 2 2 2 2" xfId="55"/>
    <cellStyle name="표준 2 2 3" xfId="942"/>
    <cellStyle name="표준 2 3" xfId="56"/>
    <cellStyle name="표준 2 4" xfId="943"/>
    <cellStyle name="표준 2 4 2" xfId="944"/>
    <cellStyle name="표준 2 5" xfId="945"/>
    <cellStyle name="표준 2 5 2" xfId="946"/>
    <cellStyle name="표준 20" xfId="947"/>
    <cellStyle name="표준 21" xfId="948"/>
    <cellStyle name="표준 22" xfId="949"/>
    <cellStyle name="표준 23" xfId="950"/>
    <cellStyle name="표준 24" xfId="951"/>
    <cellStyle name="표준 25" xfId="952"/>
    <cellStyle name="표준 26" xfId="953"/>
    <cellStyle name="표준 27" xfId="954"/>
    <cellStyle name="표준 28" xfId="955"/>
    <cellStyle name="표준 29" xfId="956"/>
    <cellStyle name="표준 3" xfId="57"/>
    <cellStyle name="표준 3 2" xfId="957"/>
    <cellStyle name="표준 4" xfId="58"/>
    <cellStyle name="표준 4 2" xfId="59"/>
    <cellStyle name="표준 4 2 2" xfId="60"/>
    <cellStyle name="표준 4 2 2 2" xfId="958"/>
    <cellStyle name="표준 4 2 2 3" xfId="959"/>
    <cellStyle name="표준 4 2 2 3 2" xfId="960"/>
    <cellStyle name="표준 4 2 2 3 2 2" xfId="961"/>
    <cellStyle name="표준 4 2 2 3 3" xfId="962"/>
    <cellStyle name="표준 4 2 2 4" xfId="963"/>
    <cellStyle name="표준 4 2 2 4 2" xfId="964"/>
    <cellStyle name="표준 4 2 2 5" xfId="965"/>
    <cellStyle name="표준 4 2 2 6" xfId="966"/>
    <cellStyle name="표준 4 2 3" xfId="967"/>
    <cellStyle name="표준 4 2 4" xfId="968"/>
    <cellStyle name="표준 4 2 4 2" xfId="969"/>
    <cellStyle name="표준 4 2 4 2 2" xfId="970"/>
    <cellStyle name="표준 4 2 4 3" xfId="971"/>
    <cellStyle name="표준 4 2 5" xfId="972"/>
    <cellStyle name="표준 4 2 5 2" xfId="973"/>
    <cellStyle name="표준 4 2 6" xfId="974"/>
    <cellStyle name="표준 4 2 7" xfId="975"/>
    <cellStyle name="표준 4 3" xfId="976"/>
    <cellStyle name="표준 4 4" xfId="977"/>
    <cellStyle name="표준 4 4 2" xfId="978"/>
    <cellStyle name="표준 4 4 2 2" xfId="979"/>
    <cellStyle name="표준 4 4 3" xfId="980"/>
    <cellStyle name="표준 4 5" xfId="981"/>
    <cellStyle name="표준 4 5 2" xfId="982"/>
    <cellStyle name="표준 4 6" xfId="983"/>
    <cellStyle name="표준 4 7" xfId="984"/>
    <cellStyle name="표준 4 8" xfId="985"/>
    <cellStyle name="표준 5" xfId="61"/>
    <cellStyle name="표준 5 2" xfId="986"/>
    <cellStyle name="표준 5 2 2" xfId="987"/>
    <cellStyle name="표준 5 3" xfId="988"/>
    <cellStyle name="표준 6" xfId="62"/>
    <cellStyle name="표준 6 2" xfId="989"/>
    <cellStyle name="표준 6 3" xfId="990"/>
    <cellStyle name="표준 7" xfId="66"/>
    <cellStyle name="표준 7 2" xfId="991"/>
    <cellStyle name="표준 7 2 2" xfId="992"/>
    <cellStyle name="표준 7 2 2 2" xfId="993"/>
    <cellStyle name="표준 7 2 2 2 2" xfId="994"/>
    <cellStyle name="표준 7 2 2 2 3" xfId="995"/>
    <cellStyle name="표준 7 2 2 2 3 2" xfId="996"/>
    <cellStyle name="표준 7 2 2 2 3 2 2" xfId="997"/>
    <cellStyle name="표준 7 2 2 2 3 3" xfId="998"/>
    <cellStyle name="표준 7 2 2 2 4" xfId="999"/>
    <cellStyle name="표준 7 2 2 2 4 2" xfId="1000"/>
    <cellStyle name="표준 7 2 2 2 5" xfId="1001"/>
    <cellStyle name="표준 7 2 2 2 6" xfId="1002"/>
    <cellStyle name="표준 7 2 2 3" xfId="1003"/>
    <cellStyle name="표준 7 2 2 3 2" xfId="1004"/>
    <cellStyle name="표준 7 2 2 3 2 2" xfId="1005"/>
    <cellStyle name="표준 7 2 2 3 2 3" xfId="1006"/>
    <cellStyle name="표준 7 2 2 3 2 3 2" xfId="1007"/>
    <cellStyle name="표준 7 2 2 3 2 3 2 2" xfId="1008"/>
    <cellStyle name="표준 7 2 2 3 2 3 3" xfId="1009"/>
    <cellStyle name="표준 7 2 2 3 2 4" xfId="1010"/>
    <cellStyle name="표준 7 2 2 3 2 4 2" xfId="1011"/>
    <cellStyle name="표준 7 2 2 3 2 5" xfId="1012"/>
    <cellStyle name="표준 7 2 2 3 2 6" xfId="1013"/>
    <cellStyle name="표준 7 2 2 3 3" xfId="1014"/>
    <cellStyle name="표준 7 2 2 3 3 2" xfId="1015"/>
    <cellStyle name="표준 7 2 2 3 3 2 2" xfId="1016"/>
    <cellStyle name="표준 7 2 2 3 3 2 2 2" xfId="1017"/>
    <cellStyle name="표준 7 2 2 3 3 2 2 2 2" xfId="1018"/>
    <cellStyle name="표준 7 2 2 3 3 2 2 2 2 2" xfId="1019"/>
    <cellStyle name="표준 7 2 2 3 3 2 2 2 2 2 2" xfId="1020"/>
    <cellStyle name="표준 7 2 2 3 3 2 2 2 2 2 2 2" xfId="1021"/>
    <cellStyle name="표준 7 2 2 3 3 2 2 2 2 2 2 2 2" xfId="1022"/>
    <cellStyle name="표준 7 2 2 3 3 2 2 2 2 2 2 2 2 2" xfId="1023"/>
    <cellStyle name="표준 7 2 2 3 3 2 2 2 2 2 2 2 2 2 2" xfId="1024"/>
    <cellStyle name="표준 7 2 2 3 3 2 2 2 2 2 2 2 2 2 2 2" xfId="1025"/>
    <cellStyle name="표준 7 2 2 3 3 2 2 2 2 2 2 2 2 2 2 2 2" xfId="1026"/>
    <cellStyle name="표준 7 2 2 3 3 2 2 2 2 2 2 2 2 2 2 2 2 2" xfId="1027"/>
    <cellStyle name="표준 7 2 2 3 3 2 2 2 2 2 2 2 2 2 2 2 2 2 2" xfId="1028"/>
    <cellStyle name="표준 7 2 2 3 3 2 2 2 2 2 2 2 2 2 2 2 2 2 2 2" xfId="1029"/>
    <cellStyle name="표준 7 2 2 3 3 2 2 2 2 2 2 2 2 2 2 2 2 2 2 2 2" xfId="1030"/>
    <cellStyle name="표준 7 2 2 3 3 2 2 2 2 2 2 2 2 2 2 2 2 2 2 2 2 2" xfId="1031"/>
    <cellStyle name="표준 7 2 2 3 3 2 2 2 2 2 2 2 2 2 2 2 2 2 2 2 3" xfId="1032"/>
    <cellStyle name="표준 7 2 2 3 3 2 2 2 2 2 2 2 2 2 2 2 2 2 2 2 3 2" xfId="1033"/>
    <cellStyle name="표준 7 2 2 3 3 2 2 2 2 2 2 2 2 2 2 2 2 2 2 2 3 2 2" xfId="1034"/>
    <cellStyle name="표준 7 2 2 3 3 2 2 2 2 2 2 2 2 2 2 2 2 2 2 2 3 2 2 2" xfId="1035"/>
    <cellStyle name="표준 7 2 2 3 3 2 2 2 2 2 2 2 2 2 2 2 2 2 2 2 3 2 2 2 2" xfId="1036"/>
    <cellStyle name="표준 7 2 2 3 3 2 2 2 2 2 2 2 2 2 2 2 2 2 2 2 3 2 2 3" xfId="1037"/>
    <cellStyle name="표준 7 2 2 3 3 2 2 2 2 2 2 2 2 2 2 2 2 2 2 2 3 2 3" xfId="1038"/>
    <cellStyle name="표준 7 2 2 3 3 2 2 2 2 2 2 2 2 2 2 2 2 2 2 2 3 3" xfId="1039"/>
    <cellStyle name="표준 7 2 2 3 3 2 2 2 2 2 2 2 2 2 2 2 2 2 2 2 4" xfId="1040"/>
    <cellStyle name="표준 7 2 2 3 3 2 2 2 2 2 2 2 2 2 2 2 2 2 2 2 4 2" xfId="1041"/>
    <cellStyle name="표준 7 2 2 3 3 2 2 2 2 2 2 2 2 2 2 2 2 2 2 2 5" xfId="1042"/>
    <cellStyle name="표준 7 2 2 3 3 2 2 2 2 2 2 2 2 2 2 2 2 2 2 3" xfId="1043"/>
    <cellStyle name="표준 7 2 2 3 3 2 2 2 2 2 2 2 2 2 2 2 2 2 2 3 2" xfId="1044"/>
    <cellStyle name="표준 7 2 2 3 3 2 2 2 2 2 2 2 2 2 2 2 2 2 2 4" xfId="1045"/>
    <cellStyle name="표준 7 2 2 3 3 2 2 2 2 2 2 2 2 2 2 2 2 2 3" xfId="1046"/>
    <cellStyle name="표준 7 2 2 3 3 2 2 2 2 2 2 2 2 2 2 2 2 2 3 2" xfId="1047"/>
    <cellStyle name="표준 7 2 2 3 3 2 2 2 2 2 2 2 2 2 2 2 2 2 3 2 2" xfId="1048"/>
    <cellStyle name="표준 7 2 2 3 3 2 2 2 2 2 2 2 2 2 2 2 2 2 3 3" xfId="1049"/>
    <cellStyle name="표준 7 2 2 3 3 2 2 2 2 2 2 2 2 2 2 2 2 2 4" xfId="1050"/>
    <cellStyle name="표준 7 2 2 3 3 2 2 2 2 2 2 2 2 2 2 2 2 2 4 2" xfId="1051"/>
    <cellStyle name="표준 7 2 2 3 3 2 2 2 2 2 2 2 2 2 2 2 2 2 5" xfId="1052"/>
    <cellStyle name="표준 7 2 2 3 3 2 2 2 2 2 2 2 2 2 2 2 2 3" xfId="1053"/>
    <cellStyle name="표준 7 2 2 3 3 2 2 2 2 2 2 2 2 2 2 2 2 3 2" xfId="1054"/>
    <cellStyle name="표준 7 2 2 3 3 2 2 2 2 2 2 2 2 2 2 2 2 3 2 2" xfId="1055"/>
    <cellStyle name="표준 7 2 2 3 3 2 2 2 2 2 2 2 2 2 2 2 2 3 2 2 2" xfId="1056"/>
    <cellStyle name="표준 7 2 2 3 3 2 2 2 2 2 2 2 2 2 2 2 2 3 2 3" xfId="1057"/>
    <cellStyle name="표준 7 2 2 3 3 2 2 2 2 2 2 2 2 2 2 2 2 3 2 3 2" xfId="1058"/>
    <cellStyle name="표준 7 2 2 3 3 2 2 2 2 2 2 2 2 2 2 2 2 3 2 3 2 2" xfId="1059"/>
    <cellStyle name="표준 7 2 2 3 3 2 2 2 2 2 2 2 2 2 2 2 2 3 2 3 2 2 2" xfId="1060"/>
    <cellStyle name="표준 7 2 2 3 3 2 2 2 2 2 2 2 2 2 2 2 2 3 2 3 2 2 2 2" xfId="1061"/>
    <cellStyle name="표준 7 2 2 3 3 2 2 2 2 2 2 2 2 2 2 2 2 3 2 3 2 2 2 2 2" xfId="1062"/>
    <cellStyle name="표준 7 2 2 3 3 2 2 2 2 2 2 2 2 2 2 2 2 3 2 3 2 2 2 3" xfId="1063"/>
    <cellStyle name="표준 7 2 2 3 3 2 2 2 2 2 2 2 2 2 2 2 2 3 2 3 2 2 3" xfId="1064"/>
    <cellStyle name="표준 7 2 2 3 3 2 2 2 2 2 2 2 2 2 2 2 2 3 2 3 2 3" xfId="1065"/>
    <cellStyle name="표준 7 2 2 3 3 2 2 2 2 2 2 2 2 2 2 2 2 3 2 3 3" xfId="1066"/>
    <cellStyle name="표준 7 2 2 3 3 2 2 2 2 2 2 2 2 2 2 2 2 3 2 3 4" xfId="1067"/>
    <cellStyle name="표준 7 2 2 3 3 2 2 2 2 2 2 2 2 2 2 2 2 3 2 4" xfId="1068"/>
    <cellStyle name="표준 7 2 2 3 3 2 2 2 2 2 2 2 2 2 2 2 2 3 2 4 2" xfId="1069"/>
    <cellStyle name="표준 7 2 2 3 3 2 2 2 2 2 2 2 2 2 2 2 2 3 2 5" xfId="1070"/>
    <cellStyle name="표준 7 2 2 3 3 2 2 2 2 2 2 2 2 2 2 2 2 3 3" xfId="1071"/>
    <cellStyle name="표준 7 2 2 3 3 2 2 2 2 2 2 2 2 2 2 2 2 3 3 2" xfId="1072"/>
    <cellStyle name="표준 7 2 2 3 3 2 2 2 2 2 2 2 2 2 2 2 2 3 4" xfId="1073"/>
    <cellStyle name="표준 7 2 2 3 3 2 2 2 2 2 2 2 2 2 2 2 2 4" xfId="1074"/>
    <cellStyle name="표준 7 2 2 3 3 2 2 2 2 2 2 2 2 2 2 2 2 4 2" xfId="1075"/>
    <cellStyle name="표준 7 2 2 3 3 2 2 2 2 2 2 2 2 2 2 2 2 4 2 2" xfId="1076"/>
    <cellStyle name="표준 7 2 2 3 3 2 2 2 2 2 2 2 2 2 2 2 2 4 3" xfId="1077"/>
    <cellStyle name="표준 7 2 2 3 3 2 2 2 2 2 2 2 2 2 2 2 2 5" xfId="1078"/>
    <cellStyle name="표준 7 2 2 3 3 2 2 2 2 2 2 2 2 2 2 2 2 5 2" xfId="1079"/>
    <cellStyle name="표준 7 2 2 3 3 2 2 2 2 2 2 2 2 2 2 2 2 6" xfId="1080"/>
    <cellStyle name="표준 7 2 2 3 3 2 2 2 2 2 2 2 2 2 2 2 3" xfId="1081"/>
    <cellStyle name="표준 7 2 2 3 3 2 2 2 2 2 2 2 2 2 2 2 4" xfId="1082"/>
    <cellStyle name="표준 7 2 2 3 3 2 2 2 2 2 2 2 2 2 2 2 4 2" xfId="1083"/>
    <cellStyle name="표준 7 2 2 3 3 2 2 2 2 2 2 2 2 2 2 2 4 2 2" xfId="1084"/>
    <cellStyle name="표준 7 2 2 3 3 2 2 2 2 2 2 2 2 2 2 2 4 3" xfId="1085"/>
    <cellStyle name="표준 7 2 2 3 3 2 2 2 2 2 2 2 2 2 2 2 5" xfId="1086"/>
    <cellStyle name="표준 7 2 2 3 3 2 2 2 2 2 2 2 2 2 2 2 5 2" xfId="1087"/>
    <cellStyle name="표준 7 2 2 3 3 2 2 2 2 2 2 2 2 2 2 2 6" xfId="1088"/>
    <cellStyle name="표준 7 2 2 3 3 2 2 2 2 2 2 2 2 2 2 3" xfId="1089"/>
    <cellStyle name="표준 7 2 2 3 3 2 2 2 2 2 2 2 2 2 2 4" xfId="1090"/>
    <cellStyle name="표준 7 2 2 3 3 2 2 2 2 2 2 2 2 2 2 4 2" xfId="1091"/>
    <cellStyle name="표준 7 2 2 3 3 2 2 2 2 2 2 2 2 2 2 4 2 2" xfId="1092"/>
    <cellStyle name="표준 7 2 2 3 3 2 2 2 2 2 2 2 2 2 2 4 3" xfId="1093"/>
    <cellStyle name="표준 7 2 2 3 3 2 2 2 2 2 2 2 2 2 2 5" xfId="1094"/>
    <cellStyle name="표준 7 2 2 3 3 2 2 2 2 2 2 2 2 2 2 5 2" xfId="1095"/>
    <cellStyle name="표준 7 2 2 3 3 2 2 2 2 2 2 2 2 2 2 6" xfId="1096"/>
    <cellStyle name="표준 7 2 2 3 3 2 2 2 2 2 2 2 2 2 2 7" xfId="1097"/>
    <cellStyle name="표준 7 2 2 3 3 2 2 2 2 2 2 2 2 2 3" xfId="1098"/>
    <cellStyle name="표준 7 2 2 3 3 2 2 2 2 2 2 2 2 2 4" xfId="1099"/>
    <cellStyle name="표준 7 2 2 3 3 2 2 2 2 2 2 2 2 2 4 2" xfId="1100"/>
    <cellStyle name="표준 7 2 2 3 3 2 2 2 2 2 2 2 2 2 4 2 2" xfId="1101"/>
    <cellStyle name="표준 7 2 2 3 3 2 2 2 2 2 2 2 2 2 4 3" xfId="1102"/>
    <cellStyle name="표준 7 2 2 3 3 2 2 2 2 2 2 2 2 2 5" xfId="1103"/>
    <cellStyle name="표준 7 2 2 3 3 2 2 2 2 2 2 2 2 2 5 2" xfId="1104"/>
    <cellStyle name="표준 7 2 2 3 3 2 2 2 2 2 2 2 2 2 6" xfId="1105"/>
    <cellStyle name="표준 7 2 2 3 3 2 2 2 2 2 2 2 2 2 6 2" xfId="1106"/>
    <cellStyle name="표준 7 2 2 3 3 2 2 2 2 2 2 2 2 2 7" xfId="1107"/>
    <cellStyle name="표준 7 2 2 3 3 2 2 2 2 2 2 2 2 2 8" xfId="1108"/>
    <cellStyle name="표준 7 2 2 3 3 2 2 2 2 2 2 2 2 3" xfId="1109"/>
    <cellStyle name="표준 7 2 2 3 3 2 2 2 2 2 2 2 2 4" xfId="1110"/>
    <cellStyle name="표준 7 2 2 3 3 2 2 2 2 2 2 2 2 4 2" xfId="1111"/>
    <cellStyle name="표준 7 2 2 3 3 2 2 2 2 2 2 2 2 4 2 2" xfId="1112"/>
    <cellStyle name="표준 7 2 2 3 3 2 2 2 2 2 2 2 2 4 3" xfId="1113"/>
    <cellStyle name="표준 7 2 2 3 3 2 2 2 2 2 2 2 2 5" xfId="1114"/>
    <cellStyle name="표준 7 2 2 3 3 2 2 2 2 2 2 2 2 5 2" xfId="1115"/>
    <cellStyle name="표준 7 2 2 3 3 2 2 2 2 2 2 2 2 6" xfId="1116"/>
    <cellStyle name="표준 7 2 2 3 3 2 2 2 2 2 2 2 2 7" xfId="1117"/>
    <cellStyle name="표준 7 2 2 3 3 2 2 2 2 2 2 2 3" xfId="1118"/>
    <cellStyle name="표준 7 2 2 3 3 2 2 2 2 2 2 2 4" xfId="1119"/>
    <cellStyle name="표준 7 2 2 3 3 2 2 2 2 2 2 2 4 2" xfId="1120"/>
    <cellStyle name="표준 7 2 2 3 3 2 2 2 2 2 2 2 4 2 2" xfId="1121"/>
    <cellStyle name="표준 7 2 2 3 3 2 2 2 2 2 2 2 4 3" xfId="1122"/>
    <cellStyle name="표준 7 2 2 3 3 2 2 2 2 2 2 2 5" xfId="1123"/>
    <cellStyle name="표준 7 2 2 3 3 2 2 2 2 2 2 2 5 2" xfId="1124"/>
    <cellStyle name="표준 7 2 2 3 3 2 2 2 2 2 2 2 6" xfId="1125"/>
    <cellStyle name="표준 7 2 2 3 3 2 2 2 2 2 2 2 7" xfId="1126"/>
    <cellStyle name="표준 7 2 2 3 3 2 2 2 2 2 2 3" xfId="1127"/>
    <cellStyle name="표준 7 2 2 3 3 2 2 2 2 2 2 4" xfId="1128"/>
    <cellStyle name="표준 7 2 2 3 3 2 2 2 2 2 2 4 2" xfId="1129"/>
    <cellStyle name="표준 7 2 2 3 3 2 2 2 2 2 2 4 2 2" xfId="1130"/>
    <cellStyle name="표준 7 2 2 3 3 2 2 2 2 2 2 4 3" xfId="1131"/>
    <cellStyle name="표준 7 2 2 3 3 2 2 2 2 2 2 5" xfId="1132"/>
    <cellStyle name="표준 7 2 2 3 3 2 2 2 2 2 2 5 2" xfId="1133"/>
    <cellStyle name="표준 7 2 2 3 3 2 2 2 2 2 2 6" xfId="1134"/>
    <cellStyle name="표준 7 2 2 3 3 2 2 2 2 2 2 7" xfId="1135"/>
    <cellStyle name="표준 7 2 2 3 3 2 2 2 2 2 3" xfId="1136"/>
    <cellStyle name="표준 7 2 2 3 3 2 2 2 2 2 4" xfId="1137"/>
    <cellStyle name="표준 7 2 2 3 3 2 2 2 2 2 4 2" xfId="1138"/>
    <cellStyle name="표준 7 2 2 3 3 2 2 2 2 2 4 2 2" xfId="1139"/>
    <cellStyle name="표준 7 2 2 3 3 2 2 2 2 2 4 3" xfId="1140"/>
    <cellStyle name="표준 7 2 2 3 3 2 2 2 2 2 5" xfId="1141"/>
    <cellStyle name="표준 7 2 2 3 3 2 2 2 2 2 5 2" xfId="1142"/>
    <cellStyle name="표준 7 2 2 3 3 2 2 2 2 2 6" xfId="1143"/>
    <cellStyle name="표준 7 2 2 3 3 2 2 2 2 2 7" xfId="1144"/>
    <cellStyle name="표준 7 2 2 3 3 2 2 2 2 3" xfId="1145"/>
    <cellStyle name="표준 7 2 2 3 3 2 2 2 2 4" xfId="1146"/>
    <cellStyle name="표준 7 2 2 3 3 2 2 2 2 4 2" xfId="1147"/>
    <cellStyle name="표준 7 2 2 3 3 2 2 2 2 4 2 2" xfId="1148"/>
    <cellStyle name="표준 7 2 2 3 3 2 2 2 2 4 3" xfId="1149"/>
    <cellStyle name="표준 7 2 2 3 3 2 2 2 2 5" xfId="1150"/>
    <cellStyle name="표준 7 2 2 3 3 2 2 2 2 5 2" xfId="1151"/>
    <cellStyle name="표준 7 2 2 3 3 2 2 2 2 6" xfId="1152"/>
    <cellStyle name="표준 7 2 2 3 3 2 2 2 2 7" xfId="1153"/>
    <cellStyle name="표준 7 2 2 3 3 2 2 2 3" xfId="1154"/>
    <cellStyle name="표준 7 2 2 3 3 2 2 2 4" xfId="1155"/>
    <cellStyle name="표준 7 2 2 3 3 2 2 2 4 2" xfId="1156"/>
    <cellStyle name="표준 7 2 2 3 3 2 2 2 4 2 2" xfId="1157"/>
    <cellStyle name="표준 7 2 2 3 3 2 2 2 4 3" xfId="1158"/>
    <cellStyle name="표준 7 2 2 3 3 2 2 2 5" xfId="1159"/>
    <cellStyle name="표준 7 2 2 3 3 2 2 2 5 2" xfId="1160"/>
    <cellStyle name="표준 7 2 2 3 3 2 2 2 6" xfId="1161"/>
    <cellStyle name="표준 7 2 2 3 3 2 2 2 7" xfId="1162"/>
    <cellStyle name="표준 7 2 2 3 3 2 2 3" xfId="1163"/>
    <cellStyle name="표준 7 2 2 3 3 2 2 4" xfId="1164"/>
    <cellStyle name="표준 7 2 2 3 3 2 2 4 2" xfId="1165"/>
    <cellStyle name="표준 7 2 2 3 3 2 2 4 2 2" xfId="1166"/>
    <cellStyle name="표준 7 2 2 3 3 2 2 4 3" xfId="1167"/>
    <cellStyle name="표준 7 2 2 3 3 2 2 5" xfId="1168"/>
    <cellStyle name="표준 7 2 2 3 3 2 2 5 2" xfId="1169"/>
    <cellStyle name="표준 7 2 2 3 3 2 2 6" xfId="1170"/>
    <cellStyle name="표준 7 2 2 3 3 2 2 7" xfId="1171"/>
    <cellStyle name="표준 7 2 2 3 3 2 3" xfId="1172"/>
    <cellStyle name="표준 7 2 2 3 3 2 4" xfId="1173"/>
    <cellStyle name="표준 7 2 2 3 3 2 4 2" xfId="1174"/>
    <cellStyle name="표준 7 2 2 3 3 2 4 2 2" xfId="1175"/>
    <cellStyle name="표준 7 2 2 3 3 2 4 3" xfId="1176"/>
    <cellStyle name="표준 7 2 2 3 3 2 5" xfId="1177"/>
    <cellStyle name="표준 7 2 2 3 3 2 5 2" xfId="1178"/>
    <cellStyle name="표준 7 2 2 3 3 2 6" xfId="1179"/>
    <cellStyle name="표준 7 2 2 3 3 2 7" xfId="1180"/>
    <cellStyle name="표준 7 2 2 3 3 3" xfId="1181"/>
    <cellStyle name="표준 7 2 2 3 3 4" xfId="1182"/>
    <cellStyle name="표준 7 2 2 3 3 4 2" xfId="1183"/>
    <cellStyle name="표준 7 2 2 3 3 4 2 2" xfId="1184"/>
    <cellStyle name="표준 7 2 2 3 3 4 3" xfId="1185"/>
    <cellStyle name="표준 7 2 2 3 3 5" xfId="1186"/>
    <cellStyle name="표준 7 2 2 3 3 5 2" xfId="1187"/>
    <cellStyle name="표준 7 2 2 3 3 6" xfId="1188"/>
    <cellStyle name="표준 7 2 2 3 3 7" xfId="1189"/>
    <cellStyle name="표준 7 2 2 3 4" xfId="1190"/>
    <cellStyle name="표준 7 2 2 3 5" xfId="1191"/>
    <cellStyle name="표준 7 2 2 3 5 2" xfId="1192"/>
    <cellStyle name="표준 7 2 2 3 5 2 2" xfId="1193"/>
    <cellStyle name="표준 7 2 2 3 5 3" xfId="1194"/>
    <cellStyle name="표준 7 2 2 3 6" xfId="1195"/>
    <cellStyle name="표준 7 2 2 3 6 2" xfId="1196"/>
    <cellStyle name="표준 7 2 2 3 7" xfId="1197"/>
    <cellStyle name="표준 7 2 2 3 8" xfId="1198"/>
    <cellStyle name="표준 7 2 2 4" xfId="1199"/>
    <cellStyle name="표준 7 2 2 5" xfId="1200"/>
    <cellStyle name="표준 7 2 2 5 2" xfId="1201"/>
    <cellStyle name="표준 7 2 2 5 2 2" xfId="1202"/>
    <cellStyle name="표준 7 2 2 5 3" xfId="1203"/>
    <cellStyle name="표준 7 2 2 6" xfId="1204"/>
    <cellStyle name="표준 7 2 2 6 2" xfId="1205"/>
    <cellStyle name="표준 7 2 2 7" xfId="1206"/>
    <cellStyle name="표준 7 2 2 8" xfId="1207"/>
    <cellStyle name="표준 7 2 3" xfId="1208"/>
    <cellStyle name="표준 7 2 4" xfId="1209"/>
    <cellStyle name="표준 7 2 4 2" xfId="1210"/>
    <cellStyle name="표준 7 2 4 2 2" xfId="1211"/>
    <cellStyle name="표준 7 2 4 3" xfId="1212"/>
    <cellStyle name="표준 7 2 5" xfId="1213"/>
    <cellStyle name="표준 7 2 5 2" xfId="1214"/>
    <cellStyle name="표준 7 2 6" xfId="1215"/>
    <cellStyle name="표준 7 2 6 2" xfId="1216"/>
    <cellStyle name="표준 7 2 6 3" xfId="1217"/>
    <cellStyle name="표준 7 2 7" xfId="1218"/>
    <cellStyle name="표준 7 2 8" xfId="1219"/>
    <cellStyle name="표준 7 3" xfId="1220"/>
    <cellStyle name="표준 7 4" xfId="1221"/>
    <cellStyle name="표준 7 4 2" xfId="1222"/>
    <cellStyle name="표준 7 4 2 2" xfId="1223"/>
    <cellStyle name="표준 7 4 3" xfId="1224"/>
    <cellStyle name="표준 7 5" xfId="1225"/>
    <cellStyle name="표준 7 5 2" xfId="1226"/>
    <cellStyle name="표준 7 6" xfId="1227"/>
    <cellStyle name="표준 7 6 2" xfId="1228"/>
    <cellStyle name="표준 7 6 3" xfId="1229"/>
    <cellStyle name="표준 7 7" xfId="1230"/>
    <cellStyle name="표준 7 8" xfId="1231"/>
    <cellStyle name="표준 7 9" xfId="1232"/>
    <cellStyle name="표준 8" xfId="1233"/>
    <cellStyle name="표준 8 2" xfId="1234"/>
    <cellStyle name="표준 8 3" xfId="1235"/>
    <cellStyle name="표준 9" xfId="1236"/>
    <cellStyle name="표준 9 2" xfId="1237"/>
    <cellStyle name="표준 9 2 2" xfId="1238"/>
    <cellStyle name="표준 9 3" xfId="1239"/>
    <cellStyle name="표준 9 4" xfId="1241"/>
    <cellStyle name="합산" xfId="63"/>
    <cellStyle name="화폐기호" xfId="64"/>
    <cellStyle name="화폐기호0" xfId="65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76200</xdr:colOff>
      <xdr:row>5</xdr:row>
      <xdr:rowOff>38100</xdr:rowOff>
    </xdr:from>
    <xdr:to>
      <xdr:col>6</xdr:col>
      <xdr:colOff>495299</xdr:colOff>
      <xdr:row>6</xdr:row>
      <xdr:rowOff>116550</xdr:rowOff>
    </xdr:to>
    <xdr:sp macro="" textlink="">
      <xdr:nvSpPr>
        <xdr:cNvPr id="2" name="직사각형 8"/>
        <xdr:cNvSpPr/>
      </xdr:nvSpPr>
      <xdr:spPr>
        <a:xfrm>
          <a:off x="1647825" y="1352550"/>
          <a:ext cx="2476499" cy="288000"/>
        </a:xfrm>
        <a:prstGeom prst="rect">
          <a:avLst/>
        </a:prstGeom>
        <a:solidFill>
          <a:schemeClr val="tx1"/>
        </a:solidFill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ko-KR" altLang="en-US" sz="1000" b="1">
              <a:solidFill>
                <a:schemeClr val="bg1"/>
              </a:solidFill>
              <a:latin typeface="+mn-ea"/>
              <a:ea typeface="+mn-ea"/>
              <a:cs typeface="JBold" pitchFamily="18" charset="-127"/>
            </a:rPr>
            <a:t>수출영업본부 </a:t>
          </a:r>
          <a:r>
            <a:rPr lang="en-US" altLang="ko-KR" sz="1000" b="1">
              <a:solidFill>
                <a:schemeClr val="bg1"/>
              </a:solidFill>
              <a:latin typeface="+mn-ea"/>
              <a:ea typeface="+mn-ea"/>
              <a:cs typeface="JBold" pitchFamily="18" charset="-127"/>
            </a:rPr>
            <a:t>(</a:t>
          </a:r>
          <a:r>
            <a:rPr lang="ko-KR" altLang="en-US" sz="1000" b="1">
              <a:solidFill>
                <a:schemeClr val="bg1"/>
              </a:solidFill>
              <a:latin typeface="+mn-ea"/>
              <a:ea typeface="+mn-ea"/>
              <a:cs typeface="JBold" pitchFamily="18" charset="-127"/>
            </a:rPr>
            <a:t>본사</a:t>
          </a:r>
          <a:r>
            <a:rPr lang="en-US" altLang="ko-KR" sz="1000" b="1">
              <a:solidFill>
                <a:schemeClr val="bg1"/>
              </a:solidFill>
              <a:latin typeface="+mn-ea"/>
              <a:ea typeface="+mn-ea"/>
              <a:cs typeface="JBold" pitchFamily="18" charset="-127"/>
            </a:rPr>
            <a:t>)</a:t>
          </a:r>
          <a:endParaRPr lang="ko-KR" altLang="en-US" sz="1000" b="1">
            <a:solidFill>
              <a:schemeClr val="bg1"/>
            </a:solidFill>
            <a:latin typeface="+mn-ea"/>
            <a:ea typeface="+mn-ea"/>
            <a:cs typeface="JBold" pitchFamily="18" charset="-127"/>
          </a:endParaRPr>
        </a:p>
      </xdr:txBody>
    </xdr:sp>
    <xdr:clientData/>
  </xdr:twoCellAnchor>
  <xdr:twoCellAnchor>
    <xdr:from>
      <xdr:col>3</xdr:col>
      <xdr:colOff>76200</xdr:colOff>
      <xdr:row>6</xdr:row>
      <xdr:rowOff>114300</xdr:rowOff>
    </xdr:from>
    <xdr:to>
      <xdr:col>4</xdr:col>
      <xdr:colOff>628650</xdr:colOff>
      <xdr:row>7</xdr:row>
      <xdr:rowOff>152400</xdr:rowOff>
    </xdr:to>
    <xdr:sp macro="" textlink="">
      <xdr:nvSpPr>
        <xdr:cNvPr id="3" name="직사각형 8"/>
        <xdr:cNvSpPr/>
      </xdr:nvSpPr>
      <xdr:spPr>
        <a:xfrm>
          <a:off x="1647825" y="1638300"/>
          <a:ext cx="1238250" cy="247650"/>
        </a:xfrm>
        <a:prstGeom prst="rect">
          <a:avLst/>
        </a:prstGeom>
        <a:solidFill>
          <a:schemeClr val="bg1"/>
        </a:solidFill>
        <a:ln w="12700">
          <a:solidFill>
            <a:schemeClr val="accent1">
              <a:lumMod val="7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ko-KR" altLang="en-US" sz="900" b="1">
              <a:solidFill>
                <a:schemeClr val="tx1"/>
              </a:solidFill>
              <a:latin typeface="돋움" pitchFamily="50" charset="-127"/>
              <a:ea typeface="돋움" pitchFamily="50" charset="-127"/>
              <a:cs typeface="JBold" pitchFamily="18" charset="-127"/>
            </a:rPr>
            <a:t>본사 영업팀</a:t>
          </a:r>
        </a:p>
      </xdr:txBody>
    </xdr:sp>
    <xdr:clientData/>
  </xdr:twoCellAnchor>
  <xdr:twoCellAnchor>
    <xdr:from>
      <xdr:col>4</xdr:col>
      <xdr:colOff>628650</xdr:colOff>
      <xdr:row>6</xdr:row>
      <xdr:rowOff>114300</xdr:rowOff>
    </xdr:from>
    <xdr:to>
      <xdr:col>6</xdr:col>
      <xdr:colOff>495300</xdr:colOff>
      <xdr:row>7</xdr:row>
      <xdr:rowOff>152400</xdr:rowOff>
    </xdr:to>
    <xdr:sp macro="" textlink="">
      <xdr:nvSpPr>
        <xdr:cNvPr id="4" name="직사각형 8"/>
        <xdr:cNvSpPr/>
      </xdr:nvSpPr>
      <xdr:spPr>
        <a:xfrm>
          <a:off x="2886075" y="1638300"/>
          <a:ext cx="1238250" cy="247650"/>
        </a:xfrm>
        <a:prstGeom prst="rect">
          <a:avLst/>
        </a:prstGeom>
        <a:solidFill>
          <a:schemeClr val="bg1"/>
        </a:solidFill>
        <a:ln w="12700">
          <a:solidFill>
            <a:schemeClr val="accent1">
              <a:lumMod val="7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ko-KR" altLang="en-US" sz="900" b="1">
              <a:solidFill>
                <a:schemeClr val="tx1"/>
              </a:solidFill>
              <a:latin typeface="돋움" pitchFamily="50" charset="-127"/>
              <a:ea typeface="돋움" pitchFamily="50" charset="-127"/>
              <a:cs typeface="JBold" pitchFamily="18" charset="-127"/>
            </a:rPr>
            <a:t>해외영업</a:t>
          </a:r>
        </a:p>
      </xdr:txBody>
    </xdr:sp>
    <xdr:clientData/>
  </xdr:twoCellAnchor>
  <xdr:twoCellAnchor>
    <xdr:from>
      <xdr:col>3</xdr:col>
      <xdr:colOff>76200</xdr:colOff>
      <xdr:row>7</xdr:row>
      <xdr:rowOff>200025</xdr:rowOff>
    </xdr:from>
    <xdr:to>
      <xdr:col>6</xdr:col>
      <xdr:colOff>495600</xdr:colOff>
      <xdr:row>9</xdr:row>
      <xdr:rowOff>28575</xdr:rowOff>
    </xdr:to>
    <xdr:sp macro="" textlink="">
      <xdr:nvSpPr>
        <xdr:cNvPr id="5" name="직사각형 8"/>
        <xdr:cNvSpPr/>
      </xdr:nvSpPr>
      <xdr:spPr>
        <a:xfrm>
          <a:off x="1647825" y="1933575"/>
          <a:ext cx="2476800" cy="247650"/>
        </a:xfrm>
        <a:prstGeom prst="rect">
          <a:avLst/>
        </a:prstGeom>
        <a:solidFill>
          <a:schemeClr val="tx2">
            <a:lumMod val="20000"/>
            <a:lumOff val="80000"/>
          </a:schemeClr>
        </a:solidFill>
        <a:ln w="12700">
          <a:solidFill>
            <a:schemeClr val="accent1">
              <a:lumMod val="7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marL="0" indent="0" algn="ctr"/>
          <a:r>
            <a:rPr lang="ko-KR" altLang="en-US" sz="900" b="1">
              <a:solidFill>
                <a:schemeClr val="tx1"/>
              </a:solidFill>
              <a:latin typeface="돋움" pitchFamily="50" charset="-127"/>
              <a:ea typeface="돋움" pitchFamily="50" charset="-127"/>
              <a:cs typeface="JBold" pitchFamily="18" charset="-127"/>
            </a:rPr>
            <a:t>매출액</a:t>
          </a:r>
        </a:p>
      </xdr:txBody>
    </xdr:sp>
    <xdr:clientData/>
  </xdr:twoCellAnchor>
  <xdr:twoCellAnchor>
    <xdr:from>
      <xdr:col>3</xdr:col>
      <xdr:colOff>76200</xdr:colOff>
      <xdr:row>9</xdr:row>
      <xdr:rowOff>28575</xdr:rowOff>
    </xdr:from>
    <xdr:to>
      <xdr:col>6</xdr:col>
      <xdr:colOff>495600</xdr:colOff>
      <xdr:row>10</xdr:row>
      <xdr:rowOff>66675</xdr:rowOff>
    </xdr:to>
    <xdr:sp macro="" textlink="">
      <xdr:nvSpPr>
        <xdr:cNvPr id="6" name="직사각형 8"/>
        <xdr:cNvSpPr/>
      </xdr:nvSpPr>
      <xdr:spPr>
        <a:xfrm>
          <a:off x="1647825" y="2181225"/>
          <a:ext cx="2476800" cy="247650"/>
        </a:xfrm>
        <a:prstGeom prst="rect">
          <a:avLst/>
        </a:prstGeom>
        <a:solidFill>
          <a:schemeClr val="tx2">
            <a:lumMod val="20000"/>
            <a:lumOff val="80000"/>
          </a:schemeClr>
        </a:solidFill>
        <a:ln w="12700">
          <a:solidFill>
            <a:schemeClr val="accent1">
              <a:lumMod val="7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ko-KR" altLang="en-US" sz="900" b="1">
              <a:solidFill>
                <a:schemeClr val="tx1"/>
              </a:solidFill>
              <a:latin typeface="돋움" pitchFamily="50" charset="-127"/>
              <a:ea typeface="돋움" pitchFamily="50" charset="-127"/>
              <a:cs typeface="JBold" pitchFamily="18" charset="-127"/>
            </a:rPr>
            <a:t>매출원가</a:t>
          </a:r>
        </a:p>
      </xdr:txBody>
    </xdr:sp>
    <xdr:clientData/>
  </xdr:twoCellAnchor>
  <xdr:twoCellAnchor>
    <xdr:from>
      <xdr:col>3</xdr:col>
      <xdr:colOff>76200</xdr:colOff>
      <xdr:row>10</xdr:row>
      <xdr:rowOff>66675</xdr:rowOff>
    </xdr:from>
    <xdr:to>
      <xdr:col>4</xdr:col>
      <xdr:colOff>628650</xdr:colOff>
      <xdr:row>12</xdr:row>
      <xdr:rowOff>144375</xdr:rowOff>
    </xdr:to>
    <xdr:sp macro="" textlink="">
      <xdr:nvSpPr>
        <xdr:cNvPr id="7" name="직사각형 8"/>
        <xdr:cNvSpPr/>
      </xdr:nvSpPr>
      <xdr:spPr>
        <a:xfrm>
          <a:off x="1647825" y="2428875"/>
          <a:ext cx="1238250" cy="496800"/>
        </a:xfrm>
        <a:prstGeom prst="rect">
          <a:avLst/>
        </a:prstGeom>
        <a:solidFill>
          <a:schemeClr val="tx2">
            <a:lumMod val="20000"/>
            <a:lumOff val="80000"/>
          </a:schemeClr>
        </a:solidFill>
        <a:ln w="12700">
          <a:solidFill>
            <a:schemeClr val="accent1">
              <a:lumMod val="7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ko-KR" altLang="en-US" sz="900" b="1">
              <a:solidFill>
                <a:schemeClr val="tx1"/>
              </a:solidFill>
              <a:latin typeface="돋움" pitchFamily="50" charset="-127"/>
              <a:ea typeface="돋움" pitchFamily="50" charset="-127"/>
              <a:cs typeface="JBold" pitchFamily="18" charset="-127"/>
            </a:rPr>
            <a:t>팀직접비</a:t>
          </a:r>
        </a:p>
      </xdr:txBody>
    </xdr:sp>
    <xdr:clientData/>
  </xdr:twoCellAnchor>
  <xdr:twoCellAnchor>
    <xdr:from>
      <xdr:col>3</xdr:col>
      <xdr:colOff>76200</xdr:colOff>
      <xdr:row>12</xdr:row>
      <xdr:rowOff>142875</xdr:rowOff>
    </xdr:from>
    <xdr:to>
      <xdr:col>4</xdr:col>
      <xdr:colOff>628650</xdr:colOff>
      <xdr:row>13</xdr:row>
      <xdr:rowOff>180975</xdr:rowOff>
    </xdr:to>
    <xdr:sp macro="" textlink="">
      <xdr:nvSpPr>
        <xdr:cNvPr id="8" name="직사각형 8"/>
        <xdr:cNvSpPr/>
      </xdr:nvSpPr>
      <xdr:spPr>
        <a:xfrm>
          <a:off x="1647825" y="2924175"/>
          <a:ext cx="1238250" cy="247650"/>
        </a:xfrm>
        <a:prstGeom prst="rect">
          <a:avLst/>
        </a:prstGeom>
        <a:solidFill>
          <a:schemeClr val="tx2">
            <a:lumMod val="20000"/>
            <a:lumOff val="80000"/>
          </a:schemeClr>
        </a:solidFill>
        <a:ln w="12700">
          <a:solidFill>
            <a:schemeClr val="accent1">
              <a:lumMod val="7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ko-KR" altLang="en-US" sz="900" b="1">
              <a:solidFill>
                <a:schemeClr val="tx1"/>
              </a:solidFill>
              <a:latin typeface="돋움" pitchFamily="50" charset="-127"/>
              <a:ea typeface="돋움" pitchFamily="50" charset="-127"/>
              <a:cs typeface="JBold" pitchFamily="18" charset="-127"/>
            </a:rPr>
            <a:t>본사지원 </a:t>
          </a:r>
          <a:r>
            <a:rPr lang="en-US" altLang="ko-KR" sz="900" b="1">
              <a:solidFill>
                <a:schemeClr val="tx1"/>
              </a:solidFill>
              <a:latin typeface="돋움" pitchFamily="50" charset="-127"/>
              <a:ea typeface="돋움" pitchFamily="50" charset="-127"/>
              <a:cs typeface="JBold" pitchFamily="18" charset="-127"/>
            </a:rPr>
            <a:t>(100%)</a:t>
          </a:r>
          <a:endParaRPr lang="ko-KR" altLang="en-US" sz="900" b="1">
            <a:solidFill>
              <a:schemeClr val="tx1"/>
            </a:solidFill>
            <a:latin typeface="돋움" pitchFamily="50" charset="-127"/>
            <a:ea typeface="돋움" pitchFamily="50" charset="-127"/>
            <a:cs typeface="JBold" pitchFamily="18" charset="-127"/>
          </a:endParaRPr>
        </a:p>
      </xdr:txBody>
    </xdr:sp>
    <xdr:clientData/>
  </xdr:twoCellAnchor>
  <xdr:twoCellAnchor>
    <xdr:from>
      <xdr:col>3</xdr:col>
      <xdr:colOff>76200</xdr:colOff>
      <xdr:row>13</xdr:row>
      <xdr:rowOff>180975</xdr:rowOff>
    </xdr:from>
    <xdr:to>
      <xdr:col>4</xdr:col>
      <xdr:colOff>628650</xdr:colOff>
      <xdr:row>15</xdr:row>
      <xdr:rowOff>9525</xdr:rowOff>
    </xdr:to>
    <xdr:sp macro="" textlink="">
      <xdr:nvSpPr>
        <xdr:cNvPr id="9" name="직사각형 8"/>
        <xdr:cNvSpPr/>
      </xdr:nvSpPr>
      <xdr:spPr>
        <a:xfrm>
          <a:off x="1647825" y="3171825"/>
          <a:ext cx="1238250" cy="247650"/>
        </a:xfrm>
        <a:prstGeom prst="rect">
          <a:avLst/>
        </a:prstGeom>
        <a:solidFill>
          <a:schemeClr val="tx2">
            <a:lumMod val="20000"/>
            <a:lumOff val="80000"/>
          </a:schemeClr>
        </a:solidFill>
        <a:ln w="12700">
          <a:solidFill>
            <a:schemeClr val="accent1">
              <a:lumMod val="7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ko-KR" altLang="en-US" sz="900" b="1">
              <a:solidFill>
                <a:schemeClr val="tx1"/>
              </a:solidFill>
              <a:latin typeface="돋움" pitchFamily="50" charset="-127"/>
              <a:ea typeface="돋움" pitchFamily="50" charset="-127"/>
              <a:cs typeface="JBold" pitchFamily="18" charset="-127"/>
            </a:rPr>
            <a:t>본사공통 </a:t>
          </a:r>
          <a:r>
            <a:rPr lang="en-US" altLang="ko-KR" sz="900" b="1">
              <a:solidFill>
                <a:schemeClr val="tx1"/>
              </a:solidFill>
              <a:latin typeface="돋움" pitchFamily="50" charset="-127"/>
              <a:ea typeface="돋움" pitchFamily="50" charset="-127"/>
              <a:cs typeface="JBold" pitchFamily="18" charset="-127"/>
            </a:rPr>
            <a:t>(100%)</a:t>
          </a:r>
          <a:endParaRPr lang="ko-KR" altLang="en-US" sz="900" b="1">
            <a:solidFill>
              <a:schemeClr val="tx1"/>
            </a:solidFill>
            <a:latin typeface="돋움" pitchFamily="50" charset="-127"/>
            <a:ea typeface="돋움" pitchFamily="50" charset="-127"/>
            <a:cs typeface="JBold" pitchFamily="18" charset="-127"/>
          </a:endParaRPr>
        </a:p>
      </xdr:txBody>
    </xdr:sp>
    <xdr:clientData/>
  </xdr:twoCellAnchor>
  <xdr:twoCellAnchor>
    <xdr:from>
      <xdr:col>4</xdr:col>
      <xdr:colOff>628650</xdr:colOff>
      <xdr:row>10</xdr:row>
      <xdr:rowOff>66675</xdr:rowOff>
    </xdr:from>
    <xdr:to>
      <xdr:col>6</xdr:col>
      <xdr:colOff>495300</xdr:colOff>
      <xdr:row>11</xdr:row>
      <xdr:rowOff>104775</xdr:rowOff>
    </xdr:to>
    <xdr:sp macro="" textlink="">
      <xdr:nvSpPr>
        <xdr:cNvPr id="10" name="직사각형 8"/>
        <xdr:cNvSpPr/>
      </xdr:nvSpPr>
      <xdr:spPr>
        <a:xfrm>
          <a:off x="2886075" y="2428875"/>
          <a:ext cx="1238250" cy="247650"/>
        </a:xfrm>
        <a:prstGeom prst="rect">
          <a:avLst/>
        </a:prstGeom>
        <a:solidFill>
          <a:schemeClr val="tx2">
            <a:lumMod val="20000"/>
            <a:lumOff val="80000"/>
          </a:schemeClr>
        </a:solidFill>
        <a:ln w="12700">
          <a:solidFill>
            <a:schemeClr val="accent1">
              <a:lumMod val="7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marL="0" indent="0" algn="ctr"/>
          <a:r>
            <a:rPr lang="en-US" altLang="ko-KR" sz="900" b="1">
              <a:solidFill>
                <a:schemeClr val="tx1"/>
              </a:solidFill>
              <a:latin typeface="돋움" pitchFamily="50" charset="-127"/>
              <a:ea typeface="돋움" pitchFamily="50" charset="-127"/>
              <a:cs typeface="JBold" pitchFamily="18" charset="-127"/>
            </a:rPr>
            <a:t>Agent fee</a:t>
          </a:r>
          <a:endParaRPr lang="ko-KR" altLang="en-US" sz="900" b="1">
            <a:solidFill>
              <a:schemeClr val="tx1"/>
            </a:solidFill>
            <a:latin typeface="돋움" pitchFamily="50" charset="-127"/>
            <a:ea typeface="돋움" pitchFamily="50" charset="-127"/>
            <a:cs typeface="JBold" pitchFamily="18" charset="-127"/>
          </a:endParaRPr>
        </a:p>
      </xdr:txBody>
    </xdr:sp>
    <xdr:clientData/>
  </xdr:twoCellAnchor>
  <xdr:twoCellAnchor>
    <xdr:from>
      <xdr:col>4</xdr:col>
      <xdr:colOff>628650</xdr:colOff>
      <xdr:row>12</xdr:row>
      <xdr:rowOff>142875</xdr:rowOff>
    </xdr:from>
    <xdr:to>
      <xdr:col>6</xdr:col>
      <xdr:colOff>495300</xdr:colOff>
      <xdr:row>13</xdr:row>
      <xdr:rowOff>180975</xdr:rowOff>
    </xdr:to>
    <xdr:sp macro="" textlink="">
      <xdr:nvSpPr>
        <xdr:cNvPr id="11" name="직사각형 8"/>
        <xdr:cNvSpPr/>
      </xdr:nvSpPr>
      <xdr:spPr>
        <a:xfrm>
          <a:off x="2886075" y="2924175"/>
          <a:ext cx="1238250" cy="247650"/>
        </a:xfrm>
        <a:prstGeom prst="rect">
          <a:avLst/>
        </a:prstGeom>
        <a:solidFill>
          <a:schemeClr val="tx2">
            <a:lumMod val="20000"/>
            <a:lumOff val="80000"/>
          </a:schemeClr>
        </a:solidFill>
        <a:ln w="12700">
          <a:solidFill>
            <a:schemeClr val="accent1">
              <a:lumMod val="7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ko-KR" altLang="en-US" sz="900" b="1">
              <a:solidFill>
                <a:schemeClr val="tx1"/>
              </a:solidFill>
              <a:latin typeface="돋움" pitchFamily="50" charset="-127"/>
              <a:ea typeface="돋움" pitchFamily="50" charset="-127"/>
              <a:cs typeface="JBold" pitchFamily="18" charset="-127"/>
            </a:rPr>
            <a:t>본사지원 </a:t>
          </a:r>
          <a:r>
            <a:rPr lang="en-US" altLang="ko-KR" sz="900" b="1">
              <a:solidFill>
                <a:schemeClr val="tx1"/>
              </a:solidFill>
              <a:latin typeface="돋움" pitchFamily="50" charset="-127"/>
              <a:ea typeface="돋움" pitchFamily="50" charset="-127"/>
              <a:cs typeface="JBold" pitchFamily="18" charset="-127"/>
            </a:rPr>
            <a:t>(34%)</a:t>
          </a:r>
          <a:endParaRPr lang="ko-KR" altLang="en-US" sz="900" b="1">
            <a:solidFill>
              <a:schemeClr val="tx1"/>
            </a:solidFill>
            <a:latin typeface="돋움" pitchFamily="50" charset="-127"/>
            <a:ea typeface="돋움" pitchFamily="50" charset="-127"/>
            <a:cs typeface="JBold" pitchFamily="18" charset="-127"/>
          </a:endParaRPr>
        </a:p>
      </xdr:txBody>
    </xdr:sp>
    <xdr:clientData/>
  </xdr:twoCellAnchor>
  <xdr:twoCellAnchor>
    <xdr:from>
      <xdr:col>4</xdr:col>
      <xdr:colOff>628650</xdr:colOff>
      <xdr:row>13</xdr:row>
      <xdr:rowOff>180975</xdr:rowOff>
    </xdr:from>
    <xdr:to>
      <xdr:col>6</xdr:col>
      <xdr:colOff>495300</xdr:colOff>
      <xdr:row>15</xdr:row>
      <xdr:rowOff>9525</xdr:rowOff>
    </xdr:to>
    <xdr:sp macro="" textlink="">
      <xdr:nvSpPr>
        <xdr:cNvPr id="12" name="직사각형 8"/>
        <xdr:cNvSpPr/>
      </xdr:nvSpPr>
      <xdr:spPr>
        <a:xfrm>
          <a:off x="2886075" y="3171825"/>
          <a:ext cx="1238250" cy="247650"/>
        </a:xfrm>
        <a:prstGeom prst="rect">
          <a:avLst/>
        </a:prstGeom>
        <a:solidFill>
          <a:schemeClr val="tx2">
            <a:lumMod val="20000"/>
            <a:lumOff val="80000"/>
          </a:schemeClr>
        </a:solidFill>
        <a:ln w="12700">
          <a:solidFill>
            <a:schemeClr val="accent1">
              <a:lumMod val="7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ko-KR" altLang="en-US" sz="900" b="1">
              <a:solidFill>
                <a:schemeClr val="tx1"/>
              </a:solidFill>
              <a:latin typeface="돋움" pitchFamily="50" charset="-127"/>
              <a:ea typeface="돋움" pitchFamily="50" charset="-127"/>
              <a:cs typeface="JBold" pitchFamily="18" charset="-127"/>
            </a:rPr>
            <a:t>본사공통 </a:t>
          </a:r>
          <a:r>
            <a:rPr lang="en-US" altLang="ko-KR" sz="900" b="1">
              <a:solidFill>
                <a:schemeClr val="tx1"/>
              </a:solidFill>
              <a:latin typeface="돋움" pitchFamily="50" charset="-127"/>
              <a:ea typeface="돋움" pitchFamily="50" charset="-127"/>
              <a:cs typeface="JBold" pitchFamily="18" charset="-127"/>
            </a:rPr>
            <a:t>(34%)</a:t>
          </a:r>
          <a:endParaRPr lang="ko-KR" altLang="en-US" sz="900" b="1">
            <a:solidFill>
              <a:schemeClr val="tx1"/>
            </a:solidFill>
            <a:latin typeface="돋움" pitchFamily="50" charset="-127"/>
            <a:ea typeface="돋움" pitchFamily="50" charset="-127"/>
            <a:cs typeface="JBold" pitchFamily="18" charset="-127"/>
          </a:endParaRPr>
        </a:p>
      </xdr:txBody>
    </xdr:sp>
    <xdr:clientData/>
  </xdr:twoCellAnchor>
  <xdr:twoCellAnchor>
    <xdr:from>
      <xdr:col>7</xdr:col>
      <xdr:colOff>114300</xdr:colOff>
      <xdr:row>5</xdr:row>
      <xdr:rowOff>38100</xdr:rowOff>
    </xdr:from>
    <xdr:to>
      <xdr:col>10</xdr:col>
      <xdr:colOff>533399</xdr:colOff>
      <xdr:row>6</xdr:row>
      <xdr:rowOff>116550</xdr:rowOff>
    </xdr:to>
    <xdr:sp macro="" textlink="">
      <xdr:nvSpPr>
        <xdr:cNvPr id="13" name="직사각형 8"/>
        <xdr:cNvSpPr/>
      </xdr:nvSpPr>
      <xdr:spPr>
        <a:xfrm>
          <a:off x="4429125" y="1352550"/>
          <a:ext cx="2476499" cy="288000"/>
        </a:xfrm>
        <a:prstGeom prst="rect">
          <a:avLst/>
        </a:prstGeom>
        <a:solidFill>
          <a:schemeClr val="tx1"/>
        </a:solidFill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ko-KR" altLang="en-US" sz="1000" b="1">
              <a:solidFill>
                <a:schemeClr val="bg1"/>
              </a:solidFill>
              <a:latin typeface="+mn-ea"/>
              <a:ea typeface="+mn-ea"/>
              <a:cs typeface="JBold" pitchFamily="18" charset="-127"/>
            </a:rPr>
            <a:t>인도네시아 지사</a:t>
          </a:r>
          <a:r>
            <a:rPr lang="en-US" altLang="ko-KR" sz="1000" b="1">
              <a:solidFill>
                <a:schemeClr val="bg1"/>
              </a:solidFill>
              <a:latin typeface="+mn-ea"/>
              <a:ea typeface="+mn-ea"/>
              <a:cs typeface="JBold" pitchFamily="18" charset="-127"/>
            </a:rPr>
            <a:t>(</a:t>
          </a:r>
          <a:r>
            <a:rPr lang="ko-KR" altLang="en-US" sz="1000" b="1">
              <a:solidFill>
                <a:schemeClr val="bg1"/>
              </a:solidFill>
              <a:latin typeface="+mn-ea"/>
              <a:ea typeface="+mn-ea"/>
              <a:cs typeface="JBold" pitchFamily="18" charset="-127"/>
            </a:rPr>
            <a:t>영업법인</a:t>
          </a:r>
          <a:r>
            <a:rPr lang="en-US" altLang="ko-KR" sz="1000" b="1">
              <a:solidFill>
                <a:schemeClr val="bg1"/>
              </a:solidFill>
              <a:latin typeface="+mn-ea"/>
              <a:ea typeface="+mn-ea"/>
              <a:cs typeface="JBold" pitchFamily="18" charset="-127"/>
            </a:rPr>
            <a:t>+</a:t>
          </a:r>
          <a:r>
            <a:rPr lang="ko-KR" altLang="en-US" sz="1000" b="1">
              <a:solidFill>
                <a:schemeClr val="bg1"/>
              </a:solidFill>
              <a:latin typeface="+mn-ea"/>
              <a:ea typeface="+mn-ea"/>
              <a:cs typeface="JBold" pitchFamily="18" charset="-127"/>
            </a:rPr>
            <a:t>외주지사</a:t>
          </a:r>
          <a:r>
            <a:rPr lang="en-US" altLang="ko-KR" sz="1000" b="1">
              <a:solidFill>
                <a:schemeClr val="bg1"/>
              </a:solidFill>
              <a:latin typeface="+mn-ea"/>
              <a:ea typeface="+mn-ea"/>
              <a:cs typeface="JBold" pitchFamily="18" charset="-127"/>
            </a:rPr>
            <a:t>)</a:t>
          </a:r>
          <a:endParaRPr lang="ko-KR" altLang="en-US" sz="1000" b="1">
            <a:solidFill>
              <a:schemeClr val="bg1"/>
            </a:solidFill>
            <a:latin typeface="+mn-ea"/>
            <a:ea typeface="+mn-ea"/>
            <a:cs typeface="JBold" pitchFamily="18" charset="-127"/>
          </a:endParaRPr>
        </a:p>
      </xdr:txBody>
    </xdr:sp>
    <xdr:clientData/>
  </xdr:twoCellAnchor>
  <xdr:twoCellAnchor>
    <xdr:from>
      <xdr:col>7</xdr:col>
      <xdr:colOff>114300</xdr:colOff>
      <xdr:row>6</xdr:row>
      <xdr:rowOff>114300</xdr:rowOff>
    </xdr:from>
    <xdr:to>
      <xdr:col>8</xdr:col>
      <xdr:colOff>666750</xdr:colOff>
      <xdr:row>7</xdr:row>
      <xdr:rowOff>152400</xdr:rowOff>
    </xdr:to>
    <xdr:sp macro="" textlink="">
      <xdr:nvSpPr>
        <xdr:cNvPr id="14" name="직사각형 8"/>
        <xdr:cNvSpPr/>
      </xdr:nvSpPr>
      <xdr:spPr>
        <a:xfrm>
          <a:off x="4429125" y="1638300"/>
          <a:ext cx="1238250" cy="247650"/>
        </a:xfrm>
        <a:prstGeom prst="rect">
          <a:avLst/>
        </a:prstGeom>
        <a:solidFill>
          <a:schemeClr val="bg1"/>
        </a:solidFill>
        <a:ln w="12700">
          <a:solidFill>
            <a:schemeClr val="accent1">
              <a:lumMod val="7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en-US" altLang="ko-KR" sz="900" b="1">
              <a:solidFill>
                <a:schemeClr val="tx1"/>
              </a:solidFill>
              <a:latin typeface="돋움" pitchFamily="50" charset="-127"/>
              <a:ea typeface="돋움" pitchFamily="50" charset="-127"/>
              <a:cs typeface="JBold" pitchFamily="18" charset="-127"/>
            </a:rPr>
            <a:t>(I)</a:t>
          </a:r>
          <a:r>
            <a:rPr lang="ko-KR" altLang="en-US" sz="900" b="1">
              <a:solidFill>
                <a:schemeClr val="tx1"/>
              </a:solidFill>
              <a:latin typeface="돋움" pitchFamily="50" charset="-127"/>
              <a:ea typeface="돋움" pitchFamily="50" charset="-127"/>
              <a:cs typeface="JBold" pitchFamily="18" charset="-127"/>
            </a:rPr>
            <a:t>영업법인</a:t>
          </a:r>
        </a:p>
      </xdr:txBody>
    </xdr:sp>
    <xdr:clientData/>
  </xdr:twoCellAnchor>
  <xdr:twoCellAnchor>
    <xdr:from>
      <xdr:col>7</xdr:col>
      <xdr:colOff>114300</xdr:colOff>
      <xdr:row>9</xdr:row>
      <xdr:rowOff>28575</xdr:rowOff>
    </xdr:from>
    <xdr:to>
      <xdr:col>8</xdr:col>
      <xdr:colOff>666750</xdr:colOff>
      <xdr:row>10</xdr:row>
      <xdr:rowOff>67425</xdr:rowOff>
    </xdr:to>
    <xdr:sp macro="" textlink="">
      <xdr:nvSpPr>
        <xdr:cNvPr id="15" name="직사각형 8"/>
        <xdr:cNvSpPr/>
      </xdr:nvSpPr>
      <xdr:spPr>
        <a:xfrm>
          <a:off x="4429125" y="2181225"/>
          <a:ext cx="1238250" cy="248400"/>
        </a:xfrm>
        <a:prstGeom prst="rect">
          <a:avLst/>
        </a:prstGeom>
        <a:solidFill>
          <a:schemeClr val="accent3">
            <a:lumMod val="60000"/>
            <a:lumOff val="40000"/>
          </a:schemeClr>
        </a:solidFill>
        <a:ln w="12700">
          <a:solidFill>
            <a:schemeClr val="accent1">
              <a:lumMod val="7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en-US" altLang="ko-KR" sz="900" b="1">
              <a:solidFill>
                <a:schemeClr val="tx1"/>
              </a:solidFill>
              <a:latin typeface="돋움" pitchFamily="50" charset="-127"/>
              <a:ea typeface="돋움" pitchFamily="50" charset="-127"/>
              <a:cs typeface="JBold" pitchFamily="18" charset="-127"/>
            </a:rPr>
            <a:t>(I)</a:t>
          </a:r>
          <a:r>
            <a:rPr lang="ko-KR" altLang="en-US" sz="900" b="1">
              <a:solidFill>
                <a:schemeClr val="tx1"/>
              </a:solidFill>
              <a:latin typeface="돋움" pitchFamily="50" charset="-127"/>
              <a:ea typeface="돋움" pitchFamily="50" charset="-127"/>
              <a:cs typeface="JBold" pitchFamily="18" charset="-127"/>
            </a:rPr>
            <a:t>영업법인 직접비</a:t>
          </a:r>
        </a:p>
      </xdr:txBody>
    </xdr:sp>
    <xdr:clientData/>
  </xdr:twoCellAnchor>
  <xdr:twoCellAnchor>
    <xdr:from>
      <xdr:col>8</xdr:col>
      <xdr:colOff>666750</xdr:colOff>
      <xdr:row>6</xdr:row>
      <xdr:rowOff>114300</xdr:rowOff>
    </xdr:from>
    <xdr:to>
      <xdr:col>10</xdr:col>
      <xdr:colOff>533400</xdr:colOff>
      <xdr:row>7</xdr:row>
      <xdr:rowOff>152400</xdr:rowOff>
    </xdr:to>
    <xdr:sp macro="" textlink="">
      <xdr:nvSpPr>
        <xdr:cNvPr id="16" name="직사각형 8"/>
        <xdr:cNvSpPr/>
      </xdr:nvSpPr>
      <xdr:spPr>
        <a:xfrm>
          <a:off x="5667375" y="1638300"/>
          <a:ext cx="1238250" cy="247650"/>
        </a:xfrm>
        <a:prstGeom prst="rect">
          <a:avLst/>
        </a:prstGeom>
        <a:solidFill>
          <a:schemeClr val="bg1"/>
        </a:solidFill>
        <a:ln w="12700">
          <a:solidFill>
            <a:schemeClr val="accent1">
              <a:lumMod val="7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ko-KR" altLang="en-US" sz="900" b="1">
              <a:solidFill>
                <a:schemeClr val="tx1"/>
              </a:solidFill>
              <a:latin typeface="돋움" pitchFamily="50" charset="-127"/>
              <a:ea typeface="돋움" pitchFamily="50" charset="-127"/>
              <a:cs typeface="JBold" pitchFamily="18" charset="-127"/>
            </a:rPr>
            <a:t>지사</a:t>
          </a:r>
        </a:p>
      </xdr:txBody>
    </xdr:sp>
    <xdr:clientData/>
  </xdr:twoCellAnchor>
  <xdr:twoCellAnchor>
    <xdr:from>
      <xdr:col>7</xdr:col>
      <xdr:colOff>114300</xdr:colOff>
      <xdr:row>7</xdr:row>
      <xdr:rowOff>200025</xdr:rowOff>
    </xdr:from>
    <xdr:to>
      <xdr:col>8</xdr:col>
      <xdr:colOff>666750</xdr:colOff>
      <xdr:row>9</xdr:row>
      <xdr:rowOff>28575</xdr:rowOff>
    </xdr:to>
    <xdr:sp macro="" textlink="">
      <xdr:nvSpPr>
        <xdr:cNvPr id="17" name="직사각형 8"/>
        <xdr:cNvSpPr/>
      </xdr:nvSpPr>
      <xdr:spPr>
        <a:xfrm>
          <a:off x="4429125" y="1933575"/>
          <a:ext cx="1238250" cy="247650"/>
        </a:xfrm>
        <a:prstGeom prst="rect">
          <a:avLst/>
        </a:prstGeom>
        <a:solidFill>
          <a:schemeClr val="accent3">
            <a:lumMod val="60000"/>
            <a:lumOff val="40000"/>
          </a:schemeClr>
        </a:solidFill>
        <a:ln w="12700">
          <a:solidFill>
            <a:schemeClr val="accent1">
              <a:lumMod val="7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marL="0" indent="0" algn="ctr"/>
          <a:r>
            <a:rPr lang="ko-KR" altLang="en-US" sz="900" b="1">
              <a:solidFill>
                <a:schemeClr val="tx1"/>
              </a:solidFill>
              <a:latin typeface="돋움" pitchFamily="50" charset="-127"/>
              <a:ea typeface="돋움" pitchFamily="50" charset="-127"/>
              <a:cs typeface="JBold" pitchFamily="18" charset="-127"/>
            </a:rPr>
            <a:t>매출액</a:t>
          </a:r>
          <a:r>
            <a:rPr lang="en-US" altLang="ko-KR" sz="900" b="1">
              <a:solidFill>
                <a:schemeClr val="tx1"/>
              </a:solidFill>
              <a:latin typeface="돋움" pitchFamily="50" charset="-127"/>
              <a:ea typeface="돋움" pitchFamily="50" charset="-127"/>
              <a:cs typeface="JBold" pitchFamily="18" charset="-127"/>
            </a:rPr>
            <a:t>(Agent fee)</a:t>
          </a:r>
          <a:endParaRPr lang="ko-KR" altLang="en-US" sz="900" b="1">
            <a:solidFill>
              <a:schemeClr val="tx1"/>
            </a:solidFill>
            <a:latin typeface="돋움" pitchFamily="50" charset="-127"/>
            <a:ea typeface="돋움" pitchFamily="50" charset="-127"/>
            <a:cs typeface="JBold" pitchFamily="18" charset="-127"/>
          </a:endParaRPr>
        </a:p>
      </xdr:txBody>
    </xdr:sp>
    <xdr:clientData/>
  </xdr:twoCellAnchor>
  <xdr:twoCellAnchor>
    <xdr:from>
      <xdr:col>8</xdr:col>
      <xdr:colOff>666750</xdr:colOff>
      <xdr:row>7</xdr:row>
      <xdr:rowOff>200025</xdr:rowOff>
    </xdr:from>
    <xdr:to>
      <xdr:col>10</xdr:col>
      <xdr:colOff>533400</xdr:colOff>
      <xdr:row>9</xdr:row>
      <xdr:rowOff>29325</xdr:rowOff>
    </xdr:to>
    <xdr:sp macro="" textlink="">
      <xdr:nvSpPr>
        <xdr:cNvPr id="18" name="직사각형 8"/>
        <xdr:cNvSpPr/>
      </xdr:nvSpPr>
      <xdr:spPr>
        <a:xfrm>
          <a:off x="5667375" y="1933575"/>
          <a:ext cx="1238250" cy="248400"/>
        </a:xfrm>
        <a:prstGeom prst="rect">
          <a:avLst/>
        </a:prstGeom>
        <a:solidFill>
          <a:schemeClr val="tx2">
            <a:lumMod val="20000"/>
            <a:lumOff val="80000"/>
          </a:schemeClr>
        </a:solidFill>
        <a:ln w="12700">
          <a:solidFill>
            <a:schemeClr val="accent1">
              <a:lumMod val="7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en-US" altLang="ko-KR" sz="900" b="1">
              <a:solidFill>
                <a:schemeClr val="tx1"/>
              </a:solidFill>
              <a:latin typeface="돋움" pitchFamily="50" charset="-127"/>
              <a:ea typeface="돋움" pitchFamily="50" charset="-127"/>
              <a:cs typeface="JBold" pitchFamily="18" charset="-127"/>
            </a:rPr>
            <a:t>(I)</a:t>
          </a:r>
          <a:r>
            <a:rPr lang="ko-KR" altLang="en-US" sz="900" b="1">
              <a:solidFill>
                <a:schemeClr val="tx1"/>
              </a:solidFill>
              <a:latin typeface="돋움" pitchFamily="50" charset="-127"/>
              <a:ea typeface="돋움" pitchFamily="50" charset="-127"/>
              <a:cs typeface="JBold" pitchFamily="18" charset="-127"/>
            </a:rPr>
            <a:t>외주관리</a:t>
          </a:r>
        </a:p>
      </xdr:txBody>
    </xdr:sp>
    <xdr:clientData/>
  </xdr:twoCellAnchor>
  <xdr:twoCellAnchor>
    <xdr:from>
      <xdr:col>11</xdr:col>
      <xdr:colOff>114300</xdr:colOff>
      <xdr:row>6</xdr:row>
      <xdr:rowOff>114300</xdr:rowOff>
    </xdr:from>
    <xdr:to>
      <xdr:col>12</xdr:col>
      <xdr:colOff>666750</xdr:colOff>
      <xdr:row>7</xdr:row>
      <xdr:rowOff>152400</xdr:rowOff>
    </xdr:to>
    <xdr:sp macro="" textlink="">
      <xdr:nvSpPr>
        <xdr:cNvPr id="19" name="직사각형 8"/>
        <xdr:cNvSpPr/>
      </xdr:nvSpPr>
      <xdr:spPr>
        <a:xfrm>
          <a:off x="7172325" y="1638300"/>
          <a:ext cx="1238250" cy="247650"/>
        </a:xfrm>
        <a:prstGeom prst="rect">
          <a:avLst/>
        </a:prstGeom>
        <a:solidFill>
          <a:schemeClr val="bg1"/>
        </a:solidFill>
        <a:ln w="12700">
          <a:solidFill>
            <a:schemeClr val="accent1">
              <a:lumMod val="7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en-US" altLang="ko-KR" sz="900" b="1">
              <a:solidFill>
                <a:schemeClr val="tx1"/>
              </a:solidFill>
              <a:latin typeface="돋움" pitchFamily="50" charset="-127"/>
              <a:ea typeface="돋움" pitchFamily="50" charset="-127"/>
              <a:cs typeface="JBold" pitchFamily="18" charset="-127"/>
            </a:rPr>
            <a:t>(V)</a:t>
          </a:r>
          <a:r>
            <a:rPr lang="ko-KR" altLang="en-US" sz="900" b="1">
              <a:solidFill>
                <a:schemeClr val="tx1"/>
              </a:solidFill>
              <a:latin typeface="돋움" pitchFamily="50" charset="-127"/>
              <a:ea typeface="돋움" pitchFamily="50" charset="-127"/>
              <a:cs typeface="JBold" pitchFamily="18" charset="-127"/>
            </a:rPr>
            <a:t>지사</a:t>
          </a:r>
        </a:p>
      </xdr:txBody>
    </xdr:sp>
    <xdr:clientData/>
  </xdr:twoCellAnchor>
  <xdr:twoCellAnchor>
    <xdr:from>
      <xdr:col>11</xdr:col>
      <xdr:colOff>114300</xdr:colOff>
      <xdr:row>7</xdr:row>
      <xdr:rowOff>200025</xdr:rowOff>
    </xdr:from>
    <xdr:to>
      <xdr:col>12</xdr:col>
      <xdr:colOff>47700</xdr:colOff>
      <xdr:row>10</xdr:row>
      <xdr:rowOff>68175</xdr:rowOff>
    </xdr:to>
    <xdr:sp macro="" textlink="">
      <xdr:nvSpPr>
        <xdr:cNvPr id="20" name="직사각형 8"/>
        <xdr:cNvSpPr/>
      </xdr:nvSpPr>
      <xdr:spPr>
        <a:xfrm>
          <a:off x="7172325" y="1933575"/>
          <a:ext cx="619200" cy="496800"/>
        </a:xfrm>
        <a:prstGeom prst="rect">
          <a:avLst/>
        </a:prstGeom>
        <a:solidFill>
          <a:schemeClr val="tx2">
            <a:lumMod val="20000"/>
            <a:lumOff val="80000"/>
          </a:schemeClr>
        </a:solidFill>
        <a:ln w="12700">
          <a:solidFill>
            <a:schemeClr val="accent1">
              <a:lumMod val="7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marL="0" indent="0" algn="ctr"/>
          <a:r>
            <a:rPr lang="en-US" altLang="ko-KR" sz="900" b="1">
              <a:solidFill>
                <a:schemeClr val="tx1"/>
              </a:solidFill>
              <a:latin typeface="돋움" pitchFamily="50" charset="-127"/>
              <a:ea typeface="돋움" pitchFamily="50" charset="-127"/>
              <a:cs typeface="JBold" pitchFamily="18" charset="-127"/>
            </a:rPr>
            <a:t>V1</a:t>
          </a:r>
          <a:r>
            <a:rPr lang="ko-KR" altLang="en-US" sz="900" b="1">
              <a:solidFill>
                <a:schemeClr val="tx1"/>
              </a:solidFill>
              <a:latin typeface="돋움" pitchFamily="50" charset="-127"/>
              <a:ea typeface="돋움" pitchFamily="50" charset="-127"/>
              <a:cs typeface="JBold" pitchFamily="18" charset="-127"/>
            </a:rPr>
            <a:t>팀 직접비</a:t>
          </a:r>
        </a:p>
      </xdr:txBody>
    </xdr:sp>
    <xdr:clientData/>
  </xdr:twoCellAnchor>
  <xdr:twoCellAnchor>
    <xdr:from>
      <xdr:col>12</xdr:col>
      <xdr:colOff>47625</xdr:colOff>
      <xdr:row>7</xdr:row>
      <xdr:rowOff>200025</xdr:rowOff>
    </xdr:from>
    <xdr:to>
      <xdr:col>12</xdr:col>
      <xdr:colOff>666825</xdr:colOff>
      <xdr:row>10</xdr:row>
      <xdr:rowOff>68175</xdr:rowOff>
    </xdr:to>
    <xdr:sp macro="" textlink="">
      <xdr:nvSpPr>
        <xdr:cNvPr id="21" name="직사각형 8"/>
        <xdr:cNvSpPr/>
      </xdr:nvSpPr>
      <xdr:spPr>
        <a:xfrm>
          <a:off x="7791450" y="1933575"/>
          <a:ext cx="619200" cy="496800"/>
        </a:xfrm>
        <a:prstGeom prst="rect">
          <a:avLst/>
        </a:prstGeom>
        <a:solidFill>
          <a:schemeClr val="tx2">
            <a:lumMod val="20000"/>
            <a:lumOff val="80000"/>
          </a:schemeClr>
        </a:solidFill>
        <a:ln w="12700">
          <a:solidFill>
            <a:schemeClr val="accent1">
              <a:lumMod val="7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marL="0" indent="0" algn="ctr"/>
          <a:r>
            <a:rPr lang="en-US" altLang="ko-KR" sz="900" b="1">
              <a:solidFill>
                <a:schemeClr val="tx1"/>
              </a:solidFill>
              <a:latin typeface="돋움" pitchFamily="50" charset="-127"/>
              <a:ea typeface="돋움" pitchFamily="50" charset="-127"/>
              <a:cs typeface="JBold" pitchFamily="18" charset="-127"/>
            </a:rPr>
            <a:t>V2</a:t>
          </a:r>
          <a:r>
            <a:rPr lang="ko-KR" altLang="en-US" sz="900" b="1">
              <a:solidFill>
                <a:schemeClr val="tx1"/>
              </a:solidFill>
              <a:latin typeface="돋움" pitchFamily="50" charset="-127"/>
              <a:ea typeface="돋움" pitchFamily="50" charset="-127"/>
              <a:cs typeface="JBold" pitchFamily="18" charset="-127"/>
            </a:rPr>
            <a:t>팀 직접비</a:t>
          </a:r>
        </a:p>
      </xdr:txBody>
    </xdr:sp>
    <xdr:clientData/>
  </xdr:twoCellAnchor>
  <xdr:twoCellAnchor>
    <xdr:from>
      <xdr:col>11</xdr:col>
      <xdr:colOff>114300</xdr:colOff>
      <xdr:row>10</xdr:row>
      <xdr:rowOff>66675</xdr:rowOff>
    </xdr:from>
    <xdr:to>
      <xdr:col>12</xdr:col>
      <xdr:colOff>666750</xdr:colOff>
      <xdr:row>11</xdr:row>
      <xdr:rowOff>105525</xdr:rowOff>
    </xdr:to>
    <xdr:sp macro="" textlink="">
      <xdr:nvSpPr>
        <xdr:cNvPr id="22" name="직사각형 8"/>
        <xdr:cNvSpPr/>
      </xdr:nvSpPr>
      <xdr:spPr>
        <a:xfrm>
          <a:off x="7172325" y="2428875"/>
          <a:ext cx="1238250" cy="248400"/>
        </a:xfrm>
        <a:prstGeom prst="rect">
          <a:avLst/>
        </a:prstGeom>
        <a:solidFill>
          <a:schemeClr val="tx2">
            <a:lumMod val="20000"/>
            <a:lumOff val="80000"/>
          </a:schemeClr>
        </a:solidFill>
        <a:ln w="12700">
          <a:solidFill>
            <a:schemeClr val="accent1">
              <a:lumMod val="7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marL="0" indent="0" algn="ctr"/>
          <a:r>
            <a:rPr lang="en-US" altLang="ko-KR" sz="900" b="1">
              <a:solidFill>
                <a:schemeClr val="tx1"/>
              </a:solidFill>
              <a:latin typeface="돋움" pitchFamily="50" charset="-127"/>
              <a:ea typeface="돋움" pitchFamily="50" charset="-127"/>
              <a:cs typeface="JBold" pitchFamily="18" charset="-127"/>
            </a:rPr>
            <a:t>(V)</a:t>
          </a:r>
          <a:r>
            <a:rPr lang="ko-KR" altLang="en-US" sz="900" b="1">
              <a:solidFill>
                <a:schemeClr val="tx1"/>
              </a:solidFill>
              <a:latin typeface="돋움" pitchFamily="50" charset="-127"/>
              <a:ea typeface="돋움" pitchFamily="50" charset="-127"/>
              <a:cs typeface="JBold" pitchFamily="18" charset="-127"/>
            </a:rPr>
            <a:t>구매지원</a:t>
          </a:r>
        </a:p>
      </xdr:txBody>
    </xdr:sp>
    <xdr:clientData/>
  </xdr:twoCellAnchor>
  <xdr:twoCellAnchor>
    <xdr:from>
      <xdr:col>12</xdr:col>
      <xdr:colOff>666750</xdr:colOff>
      <xdr:row>7</xdr:row>
      <xdr:rowOff>200025</xdr:rowOff>
    </xdr:from>
    <xdr:to>
      <xdr:col>14</xdr:col>
      <xdr:colOff>533400</xdr:colOff>
      <xdr:row>9</xdr:row>
      <xdr:rowOff>28575</xdr:rowOff>
    </xdr:to>
    <xdr:sp macro="" textlink="">
      <xdr:nvSpPr>
        <xdr:cNvPr id="23" name="직사각형 8"/>
        <xdr:cNvSpPr/>
      </xdr:nvSpPr>
      <xdr:spPr>
        <a:xfrm>
          <a:off x="8410575" y="1933575"/>
          <a:ext cx="1238250" cy="247650"/>
        </a:xfrm>
        <a:prstGeom prst="rect">
          <a:avLst/>
        </a:prstGeom>
        <a:solidFill>
          <a:srgbClr val="FFAFAF"/>
        </a:solidFill>
        <a:ln w="12700">
          <a:solidFill>
            <a:schemeClr val="accent1">
              <a:lumMod val="7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en-US" altLang="ko-KR" sz="900" b="1">
              <a:solidFill>
                <a:schemeClr val="tx1"/>
              </a:solidFill>
              <a:latin typeface="돋움" pitchFamily="50" charset="-127"/>
              <a:ea typeface="돋움" pitchFamily="50" charset="-127"/>
              <a:cs typeface="JBold" pitchFamily="18" charset="-127"/>
            </a:rPr>
            <a:t>(V)</a:t>
          </a:r>
          <a:r>
            <a:rPr lang="ko-KR" altLang="en-US" sz="900" b="1">
              <a:solidFill>
                <a:schemeClr val="tx1"/>
              </a:solidFill>
              <a:latin typeface="돋움" pitchFamily="50" charset="-127"/>
              <a:ea typeface="돋움" pitchFamily="50" charset="-127"/>
              <a:cs typeface="JBold" pitchFamily="18" charset="-127"/>
            </a:rPr>
            <a:t>제품개발실</a:t>
          </a:r>
        </a:p>
      </xdr:txBody>
    </xdr:sp>
    <xdr:clientData/>
  </xdr:twoCellAnchor>
  <xdr:twoCellAnchor>
    <xdr:from>
      <xdr:col>11</xdr:col>
      <xdr:colOff>114300</xdr:colOff>
      <xdr:row>5</xdr:row>
      <xdr:rowOff>38100</xdr:rowOff>
    </xdr:from>
    <xdr:to>
      <xdr:col>14</xdr:col>
      <xdr:colOff>533399</xdr:colOff>
      <xdr:row>6</xdr:row>
      <xdr:rowOff>116550</xdr:rowOff>
    </xdr:to>
    <xdr:sp macro="" textlink="">
      <xdr:nvSpPr>
        <xdr:cNvPr id="24" name="직사각형 8"/>
        <xdr:cNvSpPr/>
      </xdr:nvSpPr>
      <xdr:spPr>
        <a:xfrm>
          <a:off x="7172325" y="1352550"/>
          <a:ext cx="2476499" cy="288000"/>
        </a:xfrm>
        <a:prstGeom prst="rect">
          <a:avLst/>
        </a:prstGeom>
        <a:solidFill>
          <a:schemeClr val="tx1"/>
        </a:solidFill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ko-KR" altLang="en-US" sz="1000" b="1">
              <a:solidFill>
                <a:schemeClr val="bg1"/>
              </a:solidFill>
              <a:latin typeface="+mn-ea"/>
              <a:ea typeface="+mn-ea"/>
              <a:cs typeface="JBold" pitchFamily="18" charset="-127"/>
            </a:rPr>
            <a:t>베트남 </a:t>
          </a:r>
          <a:r>
            <a:rPr lang="en-US" altLang="ko-KR" sz="1000" b="1">
              <a:solidFill>
                <a:schemeClr val="bg1"/>
              </a:solidFill>
              <a:latin typeface="+mn-ea"/>
              <a:ea typeface="+mn-ea"/>
              <a:cs typeface="JBold" pitchFamily="18" charset="-127"/>
            </a:rPr>
            <a:t>(</a:t>
          </a:r>
          <a:r>
            <a:rPr lang="ko-KR" altLang="en-US" sz="1000" b="1">
              <a:solidFill>
                <a:schemeClr val="bg1"/>
              </a:solidFill>
              <a:latin typeface="+mn-ea"/>
              <a:ea typeface="+mn-ea"/>
              <a:cs typeface="JBold" pitchFamily="18" charset="-127"/>
            </a:rPr>
            <a:t>영업지사</a:t>
          </a:r>
          <a:r>
            <a:rPr lang="en-US" altLang="ko-KR" sz="1000" b="1">
              <a:solidFill>
                <a:schemeClr val="bg1"/>
              </a:solidFill>
              <a:latin typeface="+mn-ea"/>
              <a:ea typeface="+mn-ea"/>
              <a:cs typeface="JBold" pitchFamily="18" charset="-127"/>
            </a:rPr>
            <a:t>+</a:t>
          </a:r>
          <a:r>
            <a:rPr lang="ko-KR" altLang="en-US" sz="1000" b="1">
              <a:solidFill>
                <a:schemeClr val="bg1"/>
              </a:solidFill>
              <a:latin typeface="+mn-ea"/>
              <a:ea typeface="+mn-ea"/>
              <a:cs typeface="JBold" pitchFamily="18" charset="-127"/>
            </a:rPr>
            <a:t>생산법인</a:t>
          </a:r>
          <a:r>
            <a:rPr lang="en-US" altLang="ko-KR" sz="1000" b="1">
              <a:solidFill>
                <a:schemeClr val="bg1"/>
              </a:solidFill>
              <a:latin typeface="+mn-ea"/>
              <a:ea typeface="+mn-ea"/>
              <a:cs typeface="JBold" pitchFamily="18" charset="-127"/>
            </a:rPr>
            <a:t>)</a:t>
          </a:r>
          <a:endParaRPr lang="ko-KR" altLang="en-US" sz="1000" b="1">
            <a:solidFill>
              <a:schemeClr val="bg1"/>
            </a:solidFill>
            <a:latin typeface="+mn-ea"/>
            <a:ea typeface="+mn-ea"/>
            <a:cs typeface="JBold" pitchFamily="18" charset="-127"/>
          </a:endParaRPr>
        </a:p>
      </xdr:txBody>
    </xdr:sp>
    <xdr:clientData/>
  </xdr:twoCellAnchor>
  <xdr:twoCellAnchor>
    <xdr:from>
      <xdr:col>12</xdr:col>
      <xdr:colOff>666750</xdr:colOff>
      <xdr:row>6</xdr:row>
      <xdr:rowOff>114300</xdr:rowOff>
    </xdr:from>
    <xdr:to>
      <xdr:col>14</xdr:col>
      <xdr:colOff>533400</xdr:colOff>
      <xdr:row>7</xdr:row>
      <xdr:rowOff>152400</xdr:rowOff>
    </xdr:to>
    <xdr:sp macro="" textlink="">
      <xdr:nvSpPr>
        <xdr:cNvPr id="25" name="직사각형 8"/>
        <xdr:cNvSpPr/>
      </xdr:nvSpPr>
      <xdr:spPr>
        <a:xfrm>
          <a:off x="8410575" y="1638300"/>
          <a:ext cx="1238250" cy="247650"/>
        </a:xfrm>
        <a:prstGeom prst="rect">
          <a:avLst/>
        </a:prstGeom>
        <a:solidFill>
          <a:schemeClr val="bg1"/>
        </a:solidFill>
        <a:ln w="12700">
          <a:solidFill>
            <a:schemeClr val="accent1">
              <a:lumMod val="7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ko-KR" altLang="en-US" sz="900" b="1">
              <a:solidFill>
                <a:schemeClr val="tx1"/>
              </a:solidFill>
              <a:latin typeface="돋움" pitchFamily="50" charset="-127"/>
              <a:ea typeface="돋움" pitchFamily="50" charset="-127"/>
              <a:cs typeface="JBold" pitchFamily="18" charset="-127"/>
            </a:rPr>
            <a:t>법인</a:t>
          </a:r>
        </a:p>
      </xdr:txBody>
    </xdr:sp>
    <xdr:clientData/>
  </xdr:twoCellAnchor>
  <xdr:twoCellAnchor>
    <xdr:from>
      <xdr:col>15</xdr:col>
      <xdr:colOff>114300</xdr:colOff>
      <xdr:row>6</xdr:row>
      <xdr:rowOff>114300</xdr:rowOff>
    </xdr:from>
    <xdr:to>
      <xdr:col>16</xdr:col>
      <xdr:colOff>666750</xdr:colOff>
      <xdr:row>7</xdr:row>
      <xdr:rowOff>152400</xdr:rowOff>
    </xdr:to>
    <xdr:sp macro="" textlink="">
      <xdr:nvSpPr>
        <xdr:cNvPr id="26" name="직사각형 8"/>
        <xdr:cNvSpPr/>
      </xdr:nvSpPr>
      <xdr:spPr>
        <a:xfrm>
          <a:off x="9915525" y="1638300"/>
          <a:ext cx="1238250" cy="247650"/>
        </a:xfrm>
        <a:prstGeom prst="rect">
          <a:avLst/>
        </a:prstGeom>
        <a:solidFill>
          <a:schemeClr val="bg1"/>
        </a:solidFill>
        <a:ln w="12700">
          <a:solidFill>
            <a:schemeClr val="accent1">
              <a:lumMod val="7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en-US" altLang="ko-KR" sz="900" b="1">
              <a:solidFill>
                <a:schemeClr val="tx1"/>
              </a:solidFill>
              <a:latin typeface="돋움" pitchFamily="50" charset="-127"/>
              <a:ea typeface="돋움" pitchFamily="50" charset="-127"/>
              <a:cs typeface="JBold" pitchFamily="18" charset="-127"/>
            </a:rPr>
            <a:t>(N)</a:t>
          </a:r>
          <a:r>
            <a:rPr lang="ko-KR" altLang="en-US" sz="900" b="1">
              <a:solidFill>
                <a:schemeClr val="tx1"/>
              </a:solidFill>
              <a:latin typeface="돋움" pitchFamily="50" charset="-127"/>
              <a:ea typeface="돋움" pitchFamily="50" charset="-127"/>
              <a:cs typeface="JBold" pitchFamily="18" charset="-127"/>
            </a:rPr>
            <a:t>지사</a:t>
          </a:r>
        </a:p>
      </xdr:txBody>
    </xdr:sp>
    <xdr:clientData/>
  </xdr:twoCellAnchor>
  <xdr:twoCellAnchor>
    <xdr:from>
      <xdr:col>15</xdr:col>
      <xdr:colOff>114300</xdr:colOff>
      <xdr:row>7</xdr:row>
      <xdr:rowOff>200025</xdr:rowOff>
    </xdr:from>
    <xdr:to>
      <xdr:col>16</xdr:col>
      <xdr:colOff>47700</xdr:colOff>
      <xdr:row>10</xdr:row>
      <xdr:rowOff>68175</xdr:rowOff>
    </xdr:to>
    <xdr:sp macro="" textlink="">
      <xdr:nvSpPr>
        <xdr:cNvPr id="27" name="직사각형 8"/>
        <xdr:cNvSpPr/>
      </xdr:nvSpPr>
      <xdr:spPr>
        <a:xfrm>
          <a:off x="9915525" y="1933575"/>
          <a:ext cx="619200" cy="496800"/>
        </a:xfrm>
        <a:prstGeom prst="rect">
          <a:avLst/>
        </a:prstGeom>
        <a:solidFill>
          <a:srgbClr val="FFFFCC"/>
        </a:solidFill>
        <a:ln w="12700">
          <a:solidFill>
            <a:schemeClr val="accent1">
              <a:lumMod val="7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marL="0" indent="0" algn="ctr"/>
          <a:r>
            <a:rPr lang="en-US" altLang="ko-KR" sz="900" b="1">
              <a:solidFill>
                <a:schemeClr val="tx1"/>
              </a:solidFill>
              <a:latin typeface="돋움" pitchFamily="50" charset="-127"/>
              <a:ea typeface="돋움" pitchFamily="50" charset="-127"/>
              <a:cs typeface="JBold" pitchFamily="18" charset="-127"/>
            </a:rPr>
            <a:t>N1</a:t>
          </a:r>
          <a:r>
            <a:rPr lang="ko-KR" altLang="en-US" sz="900" b="1">
              <a:solidFill>
                <a:schemeClr val="tx1"/>
              </a:solidFill>
              <a:latin typeface="돋움" pitchFamily="50" charset="-127"/>
              <a:ea typeface="돋움" pitchFamily="50" charset="-127"/>
              <a:cs typeface="JBold" pitchFamily="18" charset="-127"/>
            </a:rPr>
            <a:t>팀 직접비</a:t>
          </a:r>
        </a:p>
      </xdr:txBody>
    </xdr:sp>
    <xdr:clientData/>
  </xdr:twoCellAnchor>
  <xdr:twoCellAnchor>
    <xdr:from>
      <xdr:col>16</xdr:col>
      <xdr:colOff>47625</xdr:colOff>
      <xdr:row>7</xdr:row>
      <xdr:rowOff>200025</xdr:rowOff>
    </xdr:from>
    <xdr:to>
      <xdr:col>16</xdr:col>
      <xdr:colOff>666825</xdr:colOff>
      <xdr:row>10</xdr:row>
      <xdr:rowOff>68175</xdr:rowOff>
    </xdr:to>
    <xdr:sp macro="" textlink="">
      <xdr:nvSpPr>
        <xdr:cNvPr id="28" name="직사각형 8"/>
        <xdr:cNvSpPr/>
      </xdr:nvSpPr>
      <xdr:spPr>
        <a:xfrm>
          <a:off x="10534650" y="1933575"/>
          <a:ext cx="619200" cy="496800"/>
        </a:xfrm>
        <a:prstGeom prst="rect">
          <a:avLst/>
        </a:prstGeom>
        <a:solidFill>
          <a:srgbClr val="FFFFCC"/>
        </a:solidFill>
        <a:ln w="12700">
          <a:solidFill>
            <a:schemeClr val="accent1">
              <a:lumMod val="7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marL="0" indent="0" algn="ctr"/>
          <a:r>
            <a:rPr lang="en-US" altLang="ko-KR" sz="900" b="1">
              <a:solidFill>
                <a:schemeClr val="tx1"/>
              </a:solidFill>
              <a:latin typeface="돋움" pitchFamily="50" charset="-127"/>
              <a:ea typeface="돋움" pitchFamily="50" charset="-127"/>
              <a:cs typeface="JBold" pitchFamily="18" charset="-127"/>
            </a:rPr>
            <a:t>N2</a:t>
          </a:r>
          <a:r>
            <a:rPr lang="ko-KR" altLang="en-US" sz="900" b="1">
              <a:solidFill>
                <a:schemeClr val="tx1"/>
              </a:solidFill>
              <a:latin typeface="돋움" pitchFamily="50" charset="-127"/>
              <a:ea typeface="돋움" pitchFamily="50" charset="-127"/>
              <a:cs typeface="JBold" pitchFamily="18" charset="-127"/>
            </a:rPr>
            <a:t>팀 직접비</a:t>
          </a:r>
        </a:p>
      </xdr:txBody>
    </xdr:sp>
    <xdr:clientData/>
  </xdr:twoCellAnchor>
  <xdr:twoCellAnchor>
    <xdr:from>
      <xdr:col>15</xdr:col>
      <xdr:colOff>114300</xdr:colOff>
      <xdr:row>10</xdr:row>
      <xdr:rowOff>66675</xdr:rowOff>
    </xdr:from>
    <xdr:to>
      <xdr:col>16</xdr:col>
      <xdr:colOff>666750</xdr:colOff>
      <xdr:row>11</xdr:row>
      <xdr:rowOff>105525</xdr:rowOff>
    </xdr:to>
    <xdr:sp macro="" textlink="">
      <xdr:nvSpPr>
        <xdr:cNvPr id="29" name="직사각형 8"/>
        <xdr:cNvSpPr/>
      </xdr:nvSpPr>
      <xdr:spPr>
        <a:xfrm>
          <a:off x="9915525" y="2428875"/>
          <a:ext cx="1238250" cy="248400"/>
        </a:xfrm>
        <a:prstGeom prst="rect">
          <a:avLst/>
        </a:prstGeom>
        <a:solidFill>
          <a:srgbClr val="FFFFCC"/>
        </a:solidFill>
        <a:ln w="12700">
          <a:solidFill>
            <a:schemeClr val="accent1">
              <a:lumMod val="7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en-US" altLang="ko-KR" sz="900" b="1">
              <a:solidFill>
                <a:schemeClr val="tx1"/>
              </a:solidFill>
              <a:latin typeface="돋움" pitchFamily="50" charset="-127"/>
              <a:ea typeface="돋움" pitchFamily="50" charset="-127"/>
              <a:cs typeface="JBold" pitchFamily="18" charset="-127"/>
            </a:rPr>
            <a:t>(N)</a:t>
          </a:r>
          <a:r>
            <a:rPr lang="ko-KR" altLang="en-US" sz="900" b="1">
              <a:solidFill>
                <a:schemeClr val="tx1"/>
              </a:solidFill>
              <a:latin typeface="돋움" pitchFamily="50" charset="-127"/>
              <a:ea typeface="돋움" pitchFamily="50" charset="-127"/>
              <a:cs typeface="JBold" pitchFamily="18" charset="-127"/>
            </a:rPr>
            <a:t>구매지원</a:t>
          </a:r>
        </a:p>
      </xdr:txBody>
    </xdr:sp>
    <xdr:clientData/>
  </xdr:twoCellAnchor>
  <xdr:twoCellAnchor>
    <xdr:from>
      <xdr:col>15</xdr:col>
      <xdr:colOff>114300</xdr:colOff>
      <xdr:row>11</xdr:row>
      <xdr:rowOff>104775</xdr:rowOff>
    </xdr:from>
    <xdr:to>
      <xdr:col>16</xdr:col>
      <xdr:colOff>666750</xdr:colOff>
      <xdr:row>12</xdr:row>
      <xdr:rowOff>142875</xdr:rowOff>
    </xdr:to>
    <xdr:sp macro="" textlink="">
      <xdr:nvSpPr>
        <xdr:cNvPr id="30" name="직사각형 8"/>
        <xdr:cNvSpPr/>
      </xdr:nvSpPr>
      <xdr:spPr>
        <a:xfrm>
          <a:off x="9915525" y="2676525"/>
          <a:ext cx="1238250" cy="247650"/>
        </a:xfrm>
        <a:prstGeom prst="rect">
          <a:avLst/>
        </a:prstGeom>
        <a:solidFill>
          <a:srgbClr val="FFFFCC"/>
        </a:solidFill>
        <a:ln w="12700">
          <a:solidFill>
            <a:schemeClr val="accent1">
              <a:lumMod val="7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en-US" altLang="ko-KR" sz="900" b="1">
              <a:solidFill>
                <a:schemeClr val="tx1"/>
              </a:solidFill>
              <a:latin typeface="돋움" pitchFamily="50" charset="-127"/>
              <a:ea typeface="돋움" pitchFamily="50" charset="-127"/>
              <a:cs typeface="JBold" pitchFamily="18" charset="-127"/>
            </a:rPr>
            <a:t>(N)</a:t>
          </a:r>
          <a:r>
            <a:rPr lang="ko-KR" altLang="en-US" sz="900" b="1">
              <a:solidFill>
                <a:schemeClr val="tx1"/>
              </a:solidFill>
              <a:latin typeface="돋움" pitchFamily="50" charset="-127"/>
              <a:ea typeface="돋움" pitchFamily="50" charset="-127"/>
              <a:cs typeface="JBold" pitchFamily="18" charset="-127"/>
            </a:rPr>
            <a:t>제품개발실</a:t>
          </a:r>
        </a:p>
      </xdr:txBody>
    </xdr:sp>
    <xdr:clientData/>
  </xdr:twoCellAnchor>
  <xdr:twoCellAnchor>
    <xdr:from>
      <xdr:col>15</xdr:col>
      <xdr:colOff>114300</xdr:colOff>
      <xdr:row>5</xdr:row>
      <xdr:rowOff>38100</xdr:rowOff>
    </xdr:from>
    <xdr:to>
      <xdr:col>16</xdr:col>
      <xdr:colOff>666900</xdr:colOff>
      <xdr:row>6</xdr:row>
      <xdr:rowOff>116550</xdr:rowOff>
    </xdr:to>
    <xdr:sp macro="" textlink="">
      <xdr:nvSpPr>
        <xdr:cNvPr id="31" name="직사각형 8"/>
        <xdr:cNvSpPr/>
      </xdr:nvSpPr>
      <xdr:spPr>
        <a:xfrm>
          <a:off x="9915525" y="1352550"/>
          <a:ext cx="1238400" cy="288000"/>
        </a:xfrm>
        <a:prstGeom prst="rect">
          <a:avLst/>
        </a:prstGeom>
        <a:solidFill>
          <a:schemeClr val="tx1"/>
        </a:solidFill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ko-KR" altLang="en-US" sz="1000" b="1">
              <a:solidFill>
                <a:schemeClr val="bg1"/>
              </a:solidFill>
              <a:latin typeface="+mn-ea"/>
              <a:ea typeface="+mn-ea"/>
              <a:cs typeface="JBold" pitchFamily="18" charset="-127"/>
            </a:rPr>
            <a:t>니카라과 지사</a:t>
          </a:r>
        </a:p>
      </xdr:txBody>
    </xdr:sp>
    <xdr:clientData/>
  </xdr:twoCellAnchor>
  <xdr:twoCellAnchor>
    <xdr:from>
      <xdr:col>3</xdr:col>
      <xdr:colOff>76200</xdr:colOff>
      <xdr:row>18</xdr:row>
      <xdr:rowOff>57150</xdr:rowOff>
    </xdr:from>
    <xdr:to>
      <xdr:col>10</xdr:col>
      <xdr:colOff>229200</xdr:colOff>
      <xdr:row>19</xdr:row>
      <xdr:rowOff>135600</xdr:rowOff>
    </xdr:to>
    <xdr:sp macro="" textlink="">
      <xdr:nvSpPr>
        <xdr:cNvPr id="32" name="직사각형 8"/>
        <xdr:cNvSpPr/>
      </xdr:nvSpPr>
      <xdr:spPr>
        <a:xfrm>
          <a:off x="1647825" y="4191000"/>
          <a:ext cx="4953600" cy="288000"/>
        </a:xfrm>
        <a:prstGeom prst="rect">
          <a:avLst/>
        </a:prstGeom>
        <a:solidFill>
          <a:schemeClr val="tx1"/>
        </a:solidFill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ko-KR" altLang="en-US" sz="1000" b="1">
              <a:solidFill>
                <a:schemeClr val="bg1"/>
              </a:solidFill>
              <a:latin typeface="+mn-ea"/>
              <a:ea typeface="+mn-ea"/>
              <a:cs typeface="JBold" pitchFamily="18" charset="-127"/>
            </a:rPr>
            <a:t>수출영업본부 </a:t>
          </a:r>
          <a:r>
            <a:rPr lang="en-US" altLang="ko-KR" sz="1000" b="1">
              <a:solidFill>
                <a:schemeClr val="bg1"/>
              </a:solidFill>
              <a:latin typeface="+mn-ea"/>
              <a:ea typeface="+mn-ea"/>
              <a:cs typeface="JBold" pitchFamily="18" charset="-127"/>
            </a:rPr>
            <a:t>(</a:t>
          </a:r>
          <a:r>
            <a:rPr lang="ko-KR" altLang="en-US" sz="1000" b="1">
              <a:solidFill>
                <a:schemeClr val="bg1"/>
              </a:solidFill>
              <a:latin typeface="+mn-ea"/>
              <a:ea typeface="+mn-ea"/>
              <a:cs typeface="JBold" pitchFamily="18" charset="-127"/>
            </a:rPr>
            <a:t>본사</a:t>
          </a:r>
          <a:r>
            <a:rPr lang="en-US" altLang="ko-KR" sz="1000" b="1">
              <a:solidFill>
                <a:schemeClr val="bg1"/>
              </a:solidFill>
              <a:latin typeface="+mn-ea"/>
              <a:ea typeface="+mn-ea"/>
              <a:cs typeface="JBold" pitchFamily="18" charset="-127"/>
            </a:rPr>
            <a:t>)</a:t>
          </a:r>
          <a:endParaRPr lang="ko-KR" altLang="en-US" sz="1000" b="1">
            <a:solidFill>
              <a:schemeClr val="bg1"/>
            </a:solidFill>
            <a:latin typeface="+mn-ea"/>
            <a:ea typeface="+mn-ea"/>
            <a:cs typeface="JBold" pitchFamily="18" charset="-127"/>
          </a:endParaRPr>
        </a:p>
      </xdr:txBody>
    </xdr:sp>
    <xdr:clientData/>
  </xdr:twoCellAnchor>
  <xdr:twoCellAnchor>
    <xdr:from>
      <xdr:col>3</xdr:col>
      <xdr:colOff>76200</xdr:colOff>
      <xdr:row>19</xdr:row>
      <xdr:rowOff>133350</xdr:rowOff>
    </xdr:from>
    <xdr:to>
      <xdr:col>4</xdr:col>
      <xdr:colOff>628650</xdr:colOff>
      <xdr:row>20</xdr:row>
      <xdr:rowOff>171450</xdr:rowOff>
    </xdr:to>
    <xdr:sp macro="" textlink="">
      <xdr:nvSpPr>
        <xdr:cNvPr id="33" name="직사각형 8"/>
        <xdr:cNvSpPr/>
      </xdr:nvSpPr>
      <xdr:spPr>
        <a:xfrm>
          <a:off x="1647825" y="4476750"/>
          <a:ext cx="1238250" cy="247650"/>
        </a:xfrm>
        <a:prstGeom prst="rect">
          <a:avLst/>
        </a:prstGeom>
        <a:solidFill>
          <a:schemeClr val="bg1"/>
        </a:solidFill>
        <a:ln w="12700">
          <a:solidFill>
            <a:schemeClr val="accent1">
              <a:lumMod val="7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ko-KR" altLang="en-US" sz="900" b="1">
              <a:solidFill>
                <a:schemeClr val="tx1"/>
              </a:solidFill>
              <a:latin typeface="돋움" pitchFamily="50" charset="-127"/>
              <a:ea typeface="돋움" pitchFamily="50" charset="-127"/>
              <a:cs typeface="JBold" pitchFamily="18" charset="-127"/>
            </a:rPr>
            <a:t>본사 영업팀</a:t>
          </a:r>
        </a:p>
      </xdr:txBody>
    </xdr:sp>
    <xdr:clientData/>
  </xdr:twoCellAnchor>
  <xdr:twoCellAnchor>
    <xdr:from>
      <xdr:col>3</xdr:col>
      <xdr:colOff>76200</xdr:colOff>
      <xdr:row>21</xdr:row>
      <xdr:rowOff>9525</xdr:rowOff>
    </xdr:from>
    <xdr:to>
      <xdr:col>10</xdr:col>
      <xdr:colOff>229200</xdr:colOff>
      <xdr:row>22</xdr:row>
      <xdr:rowOff>47625</xdr:rowOff>
    </xdr:to>
    <xdr:sp macro="" textlink="">
      <xdr:nvSpPr>
        <xdr:cNvPr id="34" name="직사각형 8"/>
        <xdr:cNvSpPr/>
      </xdr:nvSpPr>
      <xdr:spPr>
        <a:xfrm>
          <a:off x="1647825" y="4772025"/>
          <a:ext cx="4953600" cy="247650"/>
        </a:xfrm>
        <a:prstGeom prst="rect">
          <a:avLst/>
        </a:prstGeom>
        <a:solidFill>
          <a:schemeClr val="tx2">
            <a:lumMod val="20000"/>
            <a:lumOff val="80000"/>
          </a:schemeClr>
        </a:solidFill>
        <a:ln w="12700">
          <a:solidFill>
            <a:schemeClr val="accent1">
              <a:lumMod val="7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marL="0" indent="0" algn="ctr"/>
          <a:r>
            <a:rPr lang="ko-KR" altLang="en-US" sz="900" b="1">
              <a:solidFill>
                <a:schemeClr val="tx1"/>
              </a:solidFill>
              <a:latin typeface="돋움" pitchFamily="50" charset="-127"/>
              <a:ea typeface="돋움" pitchFamily="50" charset="-127"/>
              <a:cs typeface="JBold" pitchFamily="18" charset="-127"/>
            </a:rPr>
            <a:t>매출액</a:t>
          </a:r>
        </a:p>
      </xdr:txBody>
    </xdr:sp>
    <xdr:clientData/>
  </xdr:twoCellAnchor>
  <xdr:twoCellAnchor>
    <xdr:from>
      <xdr:col>3</xdr:col>
      <xdr:colOff>76200</xdr:colOff>
      <xdr:row>22</xdr:row>
      <xdr:rowOff>47625</xdr:rowOff>
    </xdr:from>
    <xdr:to>
      <xdr:col>10</xdr:col>
      <xdr:colOff>229200</xdr:colOff>
      <xdr:row>23</xdr:row>
      <xdr:rowOff>85725</xdr:rowOff>
    </xdr:to>
    <xdr:sp macro="" textlink="">
      <xdr:nvSpPr>
        <xdr:cNvPr id="35" name="직사각형 8"/>
        <xdr:cNvSpPr/>
      </xdr:nvSpPr>
      <xdr:spPr>
        <a:xfrm>
          <a:off x="1647825" y="5019675"/>
          <a:ext cx="4953600" cy="247650"/>
        </a:xfrm>
        <a:prstGeom prst="rect">
          <a:avLst/>
        </a:prstGeom>
        <a:solidFill>
          <a:schemeClr val="tx2">
            <a:lumMod val="20000"/>
            <a:lumOff val="80000"/>
          </a:schemeClr>
        </a:solidFill>
        <a:ln w="12700">
          <a:solidFill>
            <a:schemeClr val="accent1">
              <a:lumMod val="7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ko-KR" altLang="en-US" sz="900" b="1">
              <a:solidFill>
                <a:schemeClr val="tx1"/>
              </a:solidFill>
              <a:latin typeface="돋움" pitchFamily="50" charset="-127"/>
              <a:ea typeface="돋움" pitchFamily="50" charset="-127"/>
              <a:cs typeface="JBold" pitchFamily="18" charset="-127"/>
            </a:rPr>
            <a:t>매출원가</a:t>
          </a:r>
        </a:p>
      </xdr:txBody>
    </xdr:sp>
    <xdr:clientData/>
  </xdr:twoCellAnchor>
  <xdr:twoCellAnchor>
    <xdr:from>
      <xdr:col>3</xdr:col>
      <xdr:colOff>76200</xdr:colOff>
      <xdr:row>23</xdr:row>
      <xdr:rowOff>85725</xdr:rowOff>
    </xdr:from>
    <xdr:to>
      <xdr:col>4</xdr:col>
      <xdr:colOff>628650</xdr:colOff>
      <xdr:row>25</xdr:row>
      <xdr:rowOff>163425</xdr:rowOff>
    </xdr:to>
    <xdr:sp macro="" textlink="">
      <xdr:nvSpPr>
        <xdr:cNvPr id="36" name="직사각형 8"/>
        <xdr:cNvSpPr/>
      </xdr:nvSpPr>
      <xdr:spPr>
        <a:xfrm>
          <a:off x="1647825" y="5267325"/>
          <a:ext cx="1238250" cy="496800"/>
        </a:xfrm>
        <a:prstGeom prst="rect">
          <a:avLst/>
        </a:prstGeom>
        <a:solidFill>
          <a:schemeClr val="tx2">
            <a:lumMod val="20000"/>
            <a:lumOff val="80000"/>
          </a:schemeClr>
        </a:solidFill>
        <a:ln w="12700">
          <a:solidFill>
            <a:schemeClr val="accent1">
              <a:lumMod val="7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ko-KR" altLang="en-US" sz="900" b="1">
              <a:solidFill>
                <a:schemeClr val="tx1"/>
              </a:solidFill>
              <a:latin typeface="돋움" pitchFamily="50" charset="-127"/>
              <a:ea typeface="돋움" pitchFamily="50" charset="-127"/>
              <a:cs typeface="JBold" pitchFamily="18" charset="-127"/>
            </a:rPr>
            <a:t>팀직접비</a:t>
          </a:r>
        </a:p>
      </xdr:txBody>
    </xdr:sp>
    <xdr:clientData/>
  </xdr:twoCellAnchor>
  <xdr:twoCellAnchor>
    <xdr:from>
      <xdr:col>3</xdr:col>
      <xdr:colOff>76200</xdr:colOff>
      <xdr:row>28</xdr:row>
      <xdr:rowOff>28575</xdr:rowOff>
    </xdr:from>
    <xdr:to>
      <xdr:col>6</xdr:col>
      <xdr:colOff>495600</xdr:colOff>
      <xdr:row>29</xdr:row>
      <xdr:rowOff>66675</xdr:rowOff>
    </xdr:to>
    <xdr:sp macro="" textlink="">
      <xdr:nvSpPr>
        <xdr:cNvPr id="37" name="직사각형 8"/>
        <xdr:cNvSpPr/>
      </xdr:nvSpPr>
      <xdr:spPr>
        <a:xfrm>
          <a:off x="1647825" y="6257925"/>
          <a:ext cx="2476800" cy="247650"/>
        </a:xfrm>
        <a:prstGeom prst="rect">
          <a:avLst/>
        </a:prstGeom>
        <a:solidFill>
          <a:schemeClr val="tx2">
            <a:lumMod val="20000"/>
            <a:lumOff val="80000"/>
          </a:schemeClr>
        </a:solidFill>
        <a:ln w="12700">
          <a:solidFill>
            <a:schemeClr val="accent1">
              <a:lumMod val="7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ko-KR" altLang="en-US" sz="900" b="1">
              <a:solidFill>
                <a:schemeClr val="tx1"/>
              </a:solidFill>
              <a:latin typeface="돋움" pitchFamily="50" charset="-127"/>
              <a:ea typeface="돋움" pitchFamily="50" charset="-127"/>
              <a:cs typeface="JBold" pitchFamily="18" charset="-127"/>
            </a:rPr>
            <a:t>본사지원 </a:t>
          </a:r>
          <a:r>
            <a:rPr lang="en-US" altLang="ko-KR" sz="900" b="1">
              <a:solidFill>
                <a:schemeClr val="tx1"/>
              </a:solidFill>
              <a:latin typeface="돋움" pitchFamily="50" charset="-127"/>
              <a:ea typeface="돋움" pitchFamily="50" charset="-127"/>
              <a:cs typeface="JBold" pitchFamily="18" charset="-127"/>
            </a:rPr>
            <a:t>(100%)</a:t>
          </a:r>
          <a:endParaRPr lang="ko-KR" altLang="en-US" sz="900" b="1">
            <a:solidFill>
              <a:schemeClr val="tx1"/>
            </a:solidFill>
            <a:latin typeface="돋움" pitchFamily="50" charset="-127"/>
            <a:ea typeface="돋움" pitchFamily="50" charset="-127"/>
            <a:cs typeface="JBold" pitchFamily="18" charset="-127"/>
          </a:endParaRPr>
        </a:p>
      </xdr:txBody>
    </xdr:sp>
    <xdr:clientData/>
  </xdr:twoCellAnchor>
  <xdr:twoCellAnchor>
    <xdr:from>
      <xdr:col>3</xdr:col>
      <xdr:colOff>76200</xdr:colOff>
      <xdr:row>29</xdr:row>
      <xdr:rowOff>66675</xdr:rowOff>
    </xdr:from>
    <xdr:to>
      <xdr:col>6</xdr:col>
      <xdr:colOff>495600</xdr:colOff>
      <xdr:row>30</xdr:row>
      <xdr:rowOff>104775</xdr:rowOff>
    </xdr:to>
    <xdr:sp macro="" textlink="">
      <xdr:nvSpPr>
        <xdr:cNvPr id="38" name="직사각형 8"/>
        <xdr:cNvSpPr/>
      </xdr:nvSpPr>
      <xdr:spPr>
        <a:xfrm>
          <a:off x="1647825" y="6505575"/>
          <a:ext cx="2476800" cy="247650"/>
        </a:xfrm>
        <a:prstGeom prst="rect">
          <a:avLst/>
        </a:prstGeom>
        <a:solidFill>
          <a:schemeClr val="tx2">
            <a:lumMod val="20000"/>
            <a:lumOff val="80000"/>
          </a:schemeClr>
        </a:solidFill>
        <a:ln w="12700">
          <a:solidFill>
            <a:schemeClr val="accent1">
              <a:lumMod val="7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ko-KR" altLang="en-US" sz="900" b="1">
              <a:solidFill>
                <a:schemeClr val="tx1"/>
              </a:solidFill>
              <a:latin typeface="돋움" pitchFamily="50" charset="-127"/>
              <a:ea typeface="돋움" pitchFamily="50" charset="-127"/>
              <a:cs typeface="JBold" pitchFamily="18" charset="-127"/>
            </a:rPr>
            <a:t>본사공통 </a:t>
          </a:r>
          <a:r>
            <a:rPr lang="en-US" altLang="ko-KR" sz="900" b="1">
              <a:solidFill>
                <a:schemeClr val="tx1"/>
              </a:solidFill>
              <a:latin typeface="돋움" pitchFamily="50" charset="-127"/>
              <a:ea typeface="돋움" pitchFamily="50" charset="-127"/>
              <a:cs typeface="JBold" pitchFamily="18" charset="-127"/>
            </a:rPr>
            <a:t>(100%)</a:t>
          </a:r>
          <a:endParaRPr lang="ko-KR" altLang="en-US" sz="900" b="1">
            <a:solidFill>
              <a:schemeClr val="tx1"/>
            </a:solidFill>
            <a:latin typeface="돋움" pitchFamily="50" charset="-127"/>
            <a:ea typeface="돋움" pitchFamily="50" charset="-127"/>
            <a:cs typeface="JBold" pitchFamily="18" charset="-127"/>
          </a:endParaRPr>
        </a:p>
      </xdr:txBody>
    </xdr:sp>
    <xdr:clientData/>
  </xdr:twoCellAnchor>
  <xdr:twoCellAnchor>
    <xdr:from>
      <xdr:col>4</xdr:col>
      <xdr:colOff>628650</xdr:colOff>
      <xdr:row>19</xdr:row>
      <xdr:rowOff>133350</xdr:rowOff>
    </xdr:from>
    <xdr:to>
      <xdr:col>6</xdr:col>
      <xdr:colOff>495300</xdr:colOff>
      <xdr:row>20</xdr:row>
      <xdr:rowOff>171450</xdr:rowOff>
    </xdr:to>
    <xdr:sp macro="" textlink="">
      <xdr:nvSpPr>
        <xdr:cNvPr id="39" name="직사각형 8"/>
        <xdr:cNvSpPr/>
      </xdr:nvSpPr>
      <xdr:spPr>
        <a:xfrm>
          <a:off x="2886075" y="4476750"/>
          <a:ext cx="1238250" cy="247650"/>
        </a:xfrm>
        <a:prstGeom prst="rect">
          <a:avLst/>
        </a:prstGeom>
        <a:solidFill>
          <a:schemeClr val="bg1"/>
        </a:solidFill>
        <a:ln w="12700">
          <a:solidFill>
            <a:schemeClr val="accent1">
              <a:lumMod val="7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en-US" altLang="ko-KR" sz="900" b="1">
              <a:solidFill>
                <a:schemeClr val="tx1"/>
              </a:solidFill>
              <a:latin typeface="돋움" pitchFamily="50" charset="-127"/>
              <a:ea typeface="돋움" pitchFamily="50" charset="-127"/>
              <a:cs typeface="JBold" pitchFamily="18" charset="-127"/>
            </a:rPr>
            <a:t>(I)</a:t>
          </a:r>
          <a:r>
            <a:rPr lang="ko-KR" altLang="en-US" sz="900" b="1">
              <a:solidFill>
                <a:schemeClr val="tx1"/>
              </a:solidFill>
              <a:latin typeface="돋움" pitchFamily="50" charset="-127"/>
              <a:ea typeface="돋움" pitchFamily="50" charset="-127"/>
              <a:cs typeface="JBold" pitchFamily="18" charset="-127"/>
            </a:rPr>
            <a:t>영업법인</a:t>
          </a:r>
        </a:p>
      </xdr:txBody>
    </xdr:sp>
    <xdr:clientData/>
  </xdr:twoCellAnchor>
  <xdr:twoCellAnchor>
    <xdr:from>
      <xdr:col>4</xdr:col>
      <xdr:colOff>628650</xdr:colOff>
      <xdr:row>23</xdr:row>
      <xdr:rowOff>85725</xdr:rowOff>
    </xdr:from>
    <xdr:to>
      <xdr:col>6</xdr:col>
      <xdr:colOff>495300</xdr:colOff>
      <xdr:row>25</xdr:row>
      <xdr:rowOff>163425</xdr:rowOff>
    </xdr:to>
    <xdr:sp macro="" textlink="">
      <xdr:nvSpPr>
        <xdr:cNvPr id="40" name="직사각형 8"/>
        <xdr:cNvSpPr/>
      </xdr:nvSpPr>
      <xdr:spPr>
        <a:xfrm>
          <a:off x="2886075" y="5267325"/>
          <a:ext cx="1238250" cy="496800"/>
        </a:xfrm>
        <a:prstGeom prst="rect">
          <a:avLst/>
        </a:prstGeom>
        <a:solidFill>
          <a:schemeClr val="accent3">
            <a:lumMod val="60000"/>
            <a:lumOff val="40000"/>
          </a:schemeClr>
        </a:solidFill>
        <a:ln w="12700">
          <a:solidFill>
            <a:schemeClr val="accent1">
              <a:lumMod val="7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en-US" altLang="ko-KR" sz="900" b="1">
              <a:solidFill>
                <a:schemeClr val="tx1"/>
              </a:solidFill>
              <a:latin typeface="돋움" pitchFamily="50" charset="-127"/>
              <a:ea typeface="돋움" pitchFamily="50" charset="-127"/>
              <a:cs typeface="JBold" pitchFamily="18" charset="-127"/>
            </a:rPr>
            <a:t>(I)</a:t>
          </a:r>
          <a:r>
            <a:rPr lang="ko-KR" altLang="en-US" sz="900" b="1">
              <a:solidFill>
                <a:schemeClr val="tx1"/>
              </a:solidFill>
              <a:latin typeface="돋움" pitchFamily="50" charset="-127"/>
              <a:ea typeface="돋움" pitchFamily="50" charset="-127"/>
              <a:cs typeface="JBold" pitchFamily="18" charset="-127"/>
            </a:rPr>
            <a:t>영업법인 직접비</a:t>
          </a:r>
        </a:p>
      </xdr:txBody>
    </xdr:sp>
    <xdr:clientData/>
  </xdr:twoCellAnchor>
  <xdr:twoCellAnchor>
    <xdr:from>
      <xdr:col>6</xdr:col>
      <xdr:colOff>495300</xdr:colOff>
      <xdr:row>19</xdr:row>
      <xdr:rowOff>133350</xdr:rowOff>
    </xdr:from>
    <xdr:to>
      <xdr:col>8</xdr:col>
      <xdr:colOff>361950</xdr:colOff>
      <xdr:row>20</xdr:row>
      <xdr:rowOff>171450</xdr:rowOff>
    </xdr:to>
    <xdr:sp macro="" textlink="">
      <xdr:nvSpPr>
        <xdr:cNvPr id="41" name="직사각형 8"/>
        <xdr:cNvSpPr/>
      </xdr:nvSpPr>
      <xdr:spPr>
        <a:xfrm>
          <a:off x="4124325" y="4476750"/>
          <a:ext cx="1238250" cy="247650"/>
        </a:xfrm>
        <a:prstGeom prst="rect">
          <a:avLst/>
        </a:prstGeom>
        <a:solidFill>
          <a:schemeClr val="bg1"/>
        </a:solidFill>
        <a:ln w="12700">
          <a:solidFill>
            <a:schemeClr val="accent1">
              <a:lumMod val="7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en-US" altLang="ko-KR" sz="900" b="1">
              <a:solidFill>
                <a:schemeClr val="tx1"/>
              </a:solidFill>
              <a:latin typeface="돋움" pitchFamily="50" charset="-127"/>
              <a:ea typeface="돋움" pitchFamily="50" charset="-127"/>
              <a:cs typeface="JBold" pitchFamily="18" charset="-127"/>
            </a:rPr>
            <a:t>(V)</a:t>
          </a:r>
          <a:r>
            <a:rPr lang="ko-KR" altLang="en-US" sz="900" b="1">
              <a:solidFill>
                <a:schemeClr val="tx1"/>
              </a:solidFill>
              <a:latin typeface="돋움" pitchFamily="50" charset="-127"/>
              <a:ea typeface="돋움" pitchFamily="50" charset="-127"/>
              <a:cs typeface="JBold" pitchFamily="18" charset="-127"/>
            </a:rPr>
            <a:t>지사</a:t>
          </a:r>
        </a:p>
      </xdr:txBody>
    </xdr:sp>
    <xdr:clientData/>
  </xdr:twoCellAnchor>
  <xdr:twoCellAnchor>
    <xdr:from>
      <xdr:col>8</xdr:col>
      <xdr:colOff>361950</xdr:colOff>
      <xdr:row>19</xdr:row>
      <xdr:rowOff>133350</xdr:rowOff>
    </xdr:from>
    <xdr:to>
      <xdr:col>10</xdr:col>
      <xdr:colOff>228600</xdr:colOff>
      <xdr:row>20</xdr:row>
      <xdr:rowOff>171450</xdr:rowOff>
    </xdr:to>
    <xdr:sp macro="" textlink="">
      <xdr:nvSpPr>
        <xdr:cNvPr id="42" name="직사각형 8"/>
        <xdr:cNvSpPr/>
      </xdr:nvSpPr>
      <xdr:spPr>
        <a:xfrm>
          <a:off x="5362575" y="4476750"/>
          <a:ext cx="1238250" cy="247650"/>
        </a:xfrm>
        <a:prstGeom prst="rect">
          <a:avLst/>
        </a:prstGeom>
        <a:solidFill>
          <a:schemeClr val="bg1"/>
        </a:solidFill>
        <a:ln w="12700">
          <a:solidFill>
            <a:schemeClr val="accent1">
              <a:lumMod val="7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en-US" altLang="ko-KR" sz="900" b="1">
              <a:solidFill>
                <a:schemeClr val="tx1"/>
              </a:solidFill>
              <a:latin typeface="돋움" pitchFamily="50" charset="-127"/>
              <a:ea typeface="돋움" pitchFamily="50" charset="-127"/>
              <a:cs typeface="JBold" pitchFamily="18" charset="-127"/>
            </a:rPr>
            <a:t>(N)</a:t>
          </a:r>
          <a:r>
            <a:rPr lang="ko-KR" altLang="en-US" sz="900" b="1">
              <a:solidFill>
                <a:schemeClr val="tx1"/>
              </a:solidFill>
              <a:latin typeface="돋움" pitchFamily="50" charset="-127"/>
              <a:ea typeface="돋움" pitchFamily="50" charset="-127"/>
              <a:cs typeface="JBold" pitchFamily="18" charset="-127"/>
            </a:rPr>
            <a:t>지사</a:t>
          </a:r>
        </a:p>
      </xdr:txBody>
    </xdr:sp>
    <xdr:clientData/>
  </xdr:twoCellAnchor>
  <xdr:twoCellAnchor>
    <xdr:from>
      <xdr:col>6</xdr:col>
      <xdr:colOff>495300</xdr:colOff>
      <xdr:row>23</xdr:row>
      <xdr:rowOff>85725</xdr:rowOff>
    </xdr:from>
    <xdr:to>
      <xdr:col>7</xdr:col>
      <xdr:colOff>428700</xdr:colOff>
      <xdr:row>25</xdr:row>
      <xdr:rowOff>163425</xdr:rowOff>
    </xdr:to>
    <xdr:sp macro="" textlink="">
      <xdr:nvSpPr>
        <xdr:cNvPr id="43" name="직사각형 8"/>
        <xdr:cNvSpPr/>
      </xdr:nvSpPr>
      <xdr:spPr>
        <a:xfrm>
          <a:off x="4124325" y="5267325"/>
          <a:ext cx="619200" cy="496800"/>
        </a:xfrm>
        <a:prstGeom prst="rect">
          <a:avLst/>
        </a:prstGeom>
        <a:solidFill>
          <a:schemeClr val="tx2">
            <a:lumMod val="20000"/>
            <a:lumOff val="80000"/>
          </a:schemeClr>
        </a:solidFill>
        <a:ln w="12700">
          <a:solidFill>
            <a:schemeClr val="accent1">
              <a:lumMod val="7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marL="0" indent="0" algn="ctr"/>
          <a:r>
            <a:rPr lang="en-US" altLang="ko-KR" sz="900" b="1">
              <a:solidFill>
                <a:schemeClr val="tx1"/>
              </a:solidFill>
              <a:latin typeface="돋움" pitchFamily="50" charset="-127"/>
              <a:ea typeface="돋움" pitchFamily="50" charset="-127"/>
              <a:cs typeface="JBold" pitchFamily="18" charset="-127"/>
            </a:rPr>
            <a:t>V1</a:t>
          </a:r>
          <a:r>
            <a:rPr lang="ko-KR" altLang="en-US" sz="900" b="1">
              <a:solidFill>
                <a:schemeClr val="tx1"/>
              </a:solidFill>
              <a:latin typeface="돋움" pitchFamily="50" charset="-127"/>
              <a:ea typeface="돋움" pitchFamily="50" charset="-127"/>
              <a:cs typeface="JBold" pitchFamily="18" charset="-127"/>
            </a:rPr>
            <a:t>팀 직접비</a:t>
          </a:r>
        </a:p>
      </xdr:txBody>
    </xdr:sp>
    <xdr:clientData/>
  </xdr:twoCellAnchor>
  <xdr:twoCellAnchor>
    <xdr:from>
      <xdr:col>7</xdr:col>
      <xdr:colOff>428625</xdr:colOff>
      <xdr:row>23</xdr:row>
      <xdr:rowOff>85725</xdr:rowOff>
    </xdr:from>
    <xdr:to>
      <xdr:col>8</xdr:col>
      <xdr:colOff>362025</xdr:colOff>
      <xdr:row>25</xdr:row>
      <xdr:rowOff>163425</xdr:rowOff>
    </xdr:to>
    <xdr:sp macro="" textlink="">
      <xdr:nvSpPr>
        <xdr:cNvPr id="44" name="직사각형 8"/>
        <xdr:cNvSpPr/>
      </xdr:nvSpPr>
      <xdr:spPr>
        <a:xfrm>
          <a:off x="4743450" y="5267325"/>
          <a:ext cx="619200" cy="496800"/>
        </a:xfrm>
        <a:prstGeom prst="rect">
          <a:avLst/>
        </a:prstGeom>
        <a:solidFill>
          <a:schemeClr val="tx2">
            <a:lumMod val="20000"/>
            <a:lumOff val="80000"/>
          </a:schemeClr>
        </a:solidFill>
        <a:ln w="12700">
          <a:solidFill>
            <a:schemeClr val="accent1">
              <a:lumMod val="7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marL="0" indent="0" algn="ctr"/>
          <a:r>
            <a:rPr lang="en-US" altLang="ko-KR" sz="900" b="1">
              <a:solidFill>
                <a:schemeClr val="tx1"/>
              </a:solidFill>
              <a:latin typeface="돋움" pitchFamily="50" charset="-127"/>
              <a:ea typeface="돋움" pitchFamily="50" charset="-127"/>
              <a:cs typeface="JBold" pitchFamily="18" charset="-127"/>
            </a:rPr>
            <a:t>V2</a:t>
          </a:r>
          <a:r>
            <a:rPr lang="ko-KR" altLang="en-US" sz="900" b="1">
              <a:solidFill>
                <a:schemeClr val="tx1"/>
              </a:solidFill>
              <a:latin typeface="돋움" pitchFamily="50" charset="-127"/>
              <a:ea typeface="돋움" pitchFamily="50" charset="-127"/>
              <a:cs typeface="JBold" pitchFamily="18" charset="-127"/>
            </a:rPr>
            <a:t>팀 직접비</a:t>
          </a:r>
        </a:p>
      </xdr:txBody>
    </xdr:sp>
    <xdr:clientData/>
  </xdr:twoCellAnchor>
  <xdr:twoCellAnchor>
    <xdr:from>
      <xdr:col>8</xdr:col>
      <xdr:colOff>361950</xdr:colOff>
      <xdr:row>23</xdr:row>
      <xdr:rowOff>85725</xdr:rowOff>
    </xdr:from>
    <xdr:to>
      <xdr:col>9</xdr:col>
      <xdr:colOff>295350</xdr:colOff>
      <xdr:row>25</xdr:row>
      <xdr:rowOff>163425</xdr:rowOff>
    </xdr:to>
    <xdr:sp macro="" textlink="">
      <xdr:nvSpPr>
        <xdr:cNvPr id="45" name="직사각형 8"/>
        <xdr:cNvSpPr/>
      </xdr:nvSpPr>
      <xdr:spPr>
        <a:xfrm>
          <a:off x="5362575" y="5267325"/>
          <a:ext cx="619200" cy="496800"/>
        </a:xfrm>
        <a:prstGeom prst="rect">
          <a:avLst/>
        </a:prstGeom>
        <a:solidFill>
          <a:srgbClr val="FFFFCC"/>
        </a:solidFill>
        <a:ln w="12700">
          <a:solidFill>
            <a:schemeClr val="accent1">
              <a:lumMod val="7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marL="0" indent="0" algn="ctr"/>
          <a:r>
            <a:rPr lang="en-US" altLang="ko-KR" sz="900" b="1">
              <a:solidFill>
                <a:schemeClr val="tx1"/>
              </a:solidFill>
              <a:latin typeface="돋움" pitchFamily="50" charset="-127"/>
              <a:ea typeface="돋움" pitchFamily="50" charset="-127"/>
              <a:cs typeface="JBold" pitchFamily="18" charset="-127"/>
            </a:rPr>
            <a:t>N1</a:t>
          </a:r>
          <a:r>
            <a:rPr lang="ko-KR" altLang="en-US" sz="900" b="1">
              <a:solidFill>
                <a:schemeClr val="tx1"/>
              </a:solidFill>
              <a:latin typeface="돋움" pitchFamily="50" charset="-127"/>
              <a:ea typeface="돋움" pitchFamily="50" charset="-127"/>
              <a:cs typeface="JBold" pitchFamily="18" charset="-127"/>
            </a:rPr>
            <a:t>팀 직접비</a:t>
          </a:r>
        </a:p>
      </xdr:txBody>
    </xdr:sp>
    <xdr:clientData/>
  </xdr:twoCellAnchor>
  <xdr:twoCellAnchor>
    <xdr:from>
      <xdr:col>9</xdr:col>
      <xdr:colOff>295275</xdr:colOff>
      <xdr:row>23</xdr:row>
      <xdr:rowOff>85725</xdr:rowOff>
    </xdr:from>
    <xdr:to>
      <xdr:col>10</xdr:col>
      <xdr:colOff>228675</xdr:colOff>
      <xdr:row>25</xdr:row>
      <xdr:rowOff>163425</xdr:rowOff>
    </xdr:to>
    <xdr:sp macro="" textlink="">
      <xdr:nvSpPr>
        <xdr:cNvPr id="46" name="직사각형 8"/>
        <xdr:cNvSpPr/>
      </xdr:nvSpPr>
      <xdr:spPr>
        <a:xfrm>
          <a:off x="5981700" y="5267325"/>
          <a:ext cx="619200" cy="496800"/>
        </a:xfrm>
        <a:prstGeom prst="rect">
          <a:avLst/>
        </a:prstGeom>
        <a:solidFill>
          <a:srgbClr val="FFFFCC"/>
        </a:solidFill>
        <a:ln w="12700">
          <a:solidFill>
            <a:schemeClr val="accent1">
              <a:lumMod val="7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marL="0" indent="0" algn="ctr"/>
          <a:r>
            <a:rPr lang="en-US" altLang="ko-KR" sz="900" b="1">
              <a:solidFill>
                <a:schemeClr val="tx1"/>
              </a:solidFill>
              <a:latin typeface="돋움" pitchFamily="50" charset="-127"/>
              <a:ea typeface="돋움" pitchFamily="50" charset="-127"/>
              <a:cs typeface="JBold" pitchFamily="18" charset="-127"/>
            </a:rPr>
            <a:t>N2</a:t>
          </a:r>
          <a:r>
            <a:rPr lang="ko-KR" altLang="en-US" sz="900" b="1">
              <a:solidFill>
                <a:schemeClr val="tx1"/>
              </a:solidFill>
              <a:latin typeface="돋움" pitchFamily="50" charset="-127"/>
              <a:ea typeface="돋움" pitchFamily="50" charset="-127"/>
              <a:cs typeface="JBold" pitchFamily="18" charset="-127"/>
            </a:rPr>
            <a:t>팀 직접비</a:t>
          </a:r>
        </a:p>
      </xdr:txBody>
    </xdr:sp>
    <xdr:clientData/>
  </xdr:twoCellAnchor>
  <xdr:twoCellAnchor>
    <xdr:from>
      <xdr:col>3</xdr:col>
      <xdr:colOff>76200</xdr:colOff>
      <xdr:row>25</xdr:row>
      <xdr:rowOff>161925</xdr:rowOff>
    </xdr:from>
    <xdr:to>
      <xdr:col>6</xdr:col>
      <xdr:colOff>495300</xdr:colOff>
      <xdr:row>26</xdr:row>
      <xdr:rowOff>200775</xdr:rowOff>
    </xdr:to>
    <xdr:sp macro="" textlink="">
      <xdr:nvSpPr>
        <xdr:cNvPr id="47" name="직사각형 8"/>
        <xdr:cNvSpPr/>
      </xdr:nvSpPr>
      <xdr:spPr>
        <a:xfrm>
          <a:off x="1647825" y="5762625"/>
          <a:ext cx="2476500" cy="248400"/>
        </a:xfrm>
        <a:prstGeom prst="rect">
          <a:avLst/>
        </a:prstGeom>
        <a:solidFill>
          <a:schemeClr val="tx2">
            <a:lumMod val="20000"/>
            <a:lumOff val="80000"/>
          </a:schemeClr>
        </a:solidFill>
        <a:ln w="12700">
          <a:solidFill>
            <a:schemeClr val="accent1">
              <a:lumMod val="7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en-US" altLang="ko-KR" sz="900" b="1">
              <a:solidFill>
                <a:schemeClr val="tx1"/>
              </a:solidFill>
              <a:latin typeface="돋움" pitchFamily="50" charset="-127"/>
              <a:ea typeface="돋움" pitchFamily="50" charset="-127"/>
              <a:cs typeface="JBold" pitchFamily="18" charset="-127"/>
            </a:rPr>
            <a:t>(I)</a:t>
          </a:r>
          <a:r>
            <a:rPr lang="ko-KR" altLang="en-US" sz="900" b="1">
              <a:solidFill>
                <a:schemeClr val="tx1"/>
              </a:solidFill>
              <a:latin typeface="돋움" pitchFamily="50" charset="-127"/>
              <a:ea typeface="돋움" pitchFamily="50" charset="-127"/>
              <a:cs typeface="JBold" pitchFamily="18" charset="-127"/>
            </a:rPr>
            <a:t>외주관리</a:t>
          </a:r>
        </a:p>
      </xdr:txBody>
    </xdr:sp>
    <xdr:clientData/>
  </xdr:twoCellAnchor>
  <xdr:twoCellAnchor>
    <xdr:from>
      <xdr:col>3</xdr:col>
      <xdr:colOff>76198</xdr:colOff>
      <xdr:row>26</xdr:row>
      <xdr:rowOff>200025</xdr:rowOff>
    </xdr:from>
    <xdr:to>
      <xdr:col>8</xdr:col>
      <xdr:colOff>362398</xdr:colOff>
      <xdr:row>28</xdr:row>
      <xdr:rowOff>28575</xdr:rowOff>
    </xdr:to>
    <xdr:sp macro="" textlink="">
      <xdr:nvSpPr>
        <xdr:cNvPr id="48" name="직사각형 8"/>
        <xdr:cNvSpPr/>
      </xdr:nvSpPr>
      <xdr:spPr>
        <a:xfrm>
          <a:off x="1647823" y="6010275"/>
          <a:ext cx="3715200" cy="247650"/>
        </a:xfrm>
        <a:prstGeom prst="rect">
          <a:avLst/>
        </a:prstGeom>
        <a:solidFill>
          <a:srgbClr val="FFAFAF"/>
        </a:solidFill>
        <a:ln w="12700">
          <a:solidFill>
            <a:schemeClr val="accent1">
              <a:lumMod val="7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en-US" altLang="ko-KR" sz="900" b="1">
              <a:solidFill>
                <a:schemeClr val="tx1"/>
              </a:solidFill>
              <a:latin typeface="돋움" pitchFamily="50" charset="-127"/>
              <a:ea typeface="돋움" pitchFamily="50" charset="-127"/>
              <a:cs typeface="JBold" pitchFamily="18" charset="-127"/>
            </a:rPr>
            <a:t>(V)</a:t>
          </a:r>
          <a:r>
            <a:rPr lang="ko-KR" altLang="en-US" sz="900" b="1">
              <a:solidFill>
                <a:schemeClr val="tx1"/>
              </a:solidFill>
              <a:latin typeface="돋움" pitchFamily="50" charset="-127"/>
              <a:ea typeface="돋움" pitchFamily="50" charset="-127"/>
              <a:cs typeface="JBold" pitchFamily="18" charset="-127"/>
            </a:rPr>
            <a:t>제품개발실</a:t>
          </a:r>
        </a:p>
      </xdr:txBody>
    </xdr:sp>
    <xdr:clientData/>
  </xdr:twoCellAnchor>
  <xdr:twoCellAnchor>
    <xdr:from>
      <xdr:col>6</xdr:col>
      <xdr:colOff>495300</xdr:colOff>
      <xdr:row>25</xdr:row>
      <xdr:rowOff>161925</xdr:rowOff>
    </xdr:from>
    <xdr:to>
      <xdr:col>8</xdr:col>
      <xdr:colOff>361950</xdr:colOff>
      <xdr:row>26</xdr:row>
      <xdr:rowOff>200775</xdr:rowOff>
    </xdr:to>
    <xdr:sp macro="" textlink="">
      <xdr:nvSpPr>
        <xdr:cNvPr id="49" name="직사각형 8"/>
        <xdr:cNvSpPr/>
      </xdr:nvSpPr>
      <xdr:spPr>
        <a:xfrm>
          <a:off x="4124325" y="5762625"/>
          <a:ext cx="1238250" cy="248400"/>
        </a:xfrm>
        <a:prstGeom prst="rect">
          <a:avLst/>
        </a:prstGeom>
        <a:solidFill>
          <a:schemeClr val="tx2">
            <a:lumMod val="20000"/>
            <a:lumOff val="80000"/>
          </a:schemeClr>
        </a:solidFill>
        <a:ln w="12700">
          <a:solidFill>
            <a:schemeClr val="accent1">
              <a:lumMod val="7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marL="0" indent="0" algn="ctr"/>
          <a:r>
            <a:rPr lang="en-US" altLang="ko-KR" sz="900" b="1">
              <a:solidFill>
                <a:schemeClr val="tx1"/>
              </a:solidFill>
              <a:latin typeface="돋움" pitchFamily="50" charset="-127"/>
              <a:ea typeface="돋움" pitchFamily="50" charset="-127"/>
              <a:cs typeface="JBold" pitchFamily="18" charset="-127"/>
            </a:rPr>
            <a:t>(V)</a:t>
          </a:r>
          <a:r>
            <a:rPr lang="ko-KR" altLang="en-US" sz="900" b="1">
              <a:solidFill>
                <a:schemeClr val="tx1"/>
              </a:solidFill>
              <a:latin typeface="돋움" pitchFamily="50" charset="-127"/>
              <a:ea typeface="돋움" pitchFamily="50" charset="-127"/>
              <a:cs typeface="JBold" pitchFamily="18" charset="-127"/>
            </a:rPr>
            <a:t>구매지원</a:t>
          </a:r>
        </a:p>
      </xdr:txBody>
    </xdr:sp>
    <xdr:clientData/>
  </xdr:twoCellAnchor>
  <xdr:twoCellAnchor>
    <xdr:from>
      <xdr:col>8</xdr:col>
      <xdr:colOff>361950</xdr:colOff>
      <xdr:row>25</xdr:row>
      <xdr:rowOff>161925</xdr:rowOff>
    </xdr:from>
    <xdr:to>
      <xdr:col>10</xdr:col>
      <xdr:colOff>228600</xdr:colOff>
      <xdr:row>26</xdr:row>
      <xdr:rowOff>200775</xdr:rowOff>
    </xdr:to>
    <xdr:sp macro="" textlink="">
      <xdr:nvSpPr>
        <xdr:cNvPr id="50" name="직사각형 8"/>
        <xdr:cNvSpPr/>
      </xdr:nvSpPr>
      <xdr:spPr>
        <a:xfrm>
          <a:off x="5362575" y="5762625"/>
          <a:ext cx="1238250" cy="248400"/>
        </a:xfrm>
        <a:prstGeom prst="rect">
          <a:avLst/>
        </a:prstGeom>
        <a:solidFill>
          <a:srgbClr val="FFFFCC"/>
        </a:solidFill>
        <a:ln w="12700">
          <a:solidFill>
            <a:schemeClr val="accent1">
              <a:lumMod val="7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en-US" altLang="ko-KR" sz="900" b="1">
              <a:solidFill>
                <a:schemeClr val="tx1"/>
              </a:solidFill>
              <a:latin typeface="돋움" pitchFamily="50" charset="-127"/>
              <a:ea typeface="돋움" pitchFamily="50" charset="-127"/>
              <a:cs typeface="JBold" pitchFamily="18" charset="-127"/>
            </a:rPr>
            <a:t>(N)</a:t>
          </a:r>
          <a:r>
            <a:rPr lang="ko-KR" altLang="en-US" sz="900" b="1">
              <a:solidFill>
                <a:schemeClr val="tx1"/>
              </a:solidFill>
              <a:latin typeface="돋움" pitchFamily="50" charset="-127"/>
              <a:ea typeface="돋움" pitchFamily="50" charset="-127"/>
              <a:cs typeface="JBold" pitchFamily="18" charset="-127"/>
            </a:rPr>
            <a:t>구매지원</a:t>
          </a:r>
        </a:p>
      </xdr:txBody>
    </xdr:sp>
    <xdr:clientData/>
  </xdr:twoCellAnchor>
  <xdr:twoCellAnchor>
    <xdr:from>
      <xdr:col>8</xdr:col>
      <xdr:colOff>361950</xdr:colOff>
      <xdr:row>26</xdr:row>
      <xdr:rowOff>200025</xdr:rowOff>
    </xdr:from>
    <xdr:to>
      <xdr:col>10</xdr:col>
      <xdr:colOff>228600</xdr:colOff>
      <xdr:row>28</xdr:row>
      <xdr:rowOff>28575</xdr:rowOff>
    </xdr:to>
    <xdr:sp macro="" textlink="">
      <xdr:nvSpPr>
        <xdr:cNvPr id="51" name="직사각형 8"/>
        <xdr:cNvSpPr/>
      </xdr:nvSpPr>
      <xdr:spPr>
        <a:xfrm>
          <a:off x="5362575" y="6010275"/>
          <a:ext cx="1238250" cy="247650"/>
        </a:xfrm>
        <a:prstGeom prst="rect">
          <a:avLst/>
        </a:prstGeom>
        <a:solidFill>
          <a:srgbClr val="FFFFCC"/>
        </a:solidFill>
        <a:ln w="12700">
          <a:solidFill>
            <a:schemeClr val="accent1">
              <a:lumMod val="7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en-US" altLang="ko-KR" sz="900" b="1">
              <a:solidFill>
                <a:schemeClr val="tx1"/>
              </a:solidFill>
              <a:latin typeface="돋움" pitchFamily="50" charset="-127"/>
              <a:ea typeface="돋움" pitchFamily="50" charset="-127"/>
              <a:cs typeface="JBold" pitchFamily="18" charset="-127"/>
            </a:rPr>
            <a:t>(N)</a:t>
          </a:r>
          <a:r>
            <a:rPr lang="ko-KR" altLang="en-US" sz="900" b="1">
              <a:solidFill>
                <a:schemeClr val="tx1"/>
              </a:solidFill>
              <a:latin typeface="돋움" pitchFamily="50" charset="-127"/>
              <a:ea typeface="돋움" pitchFamily="50" charset="-127"/>
              <a:cs typeface="JBold" pitchFamily="18" charset="-127"/>
            </a:rPr>
            <a:t>제품개발실</a:t>
          </a:r>
        </a:p>
      </xdr:txBody>
    </xdr:sp>
    <xdr:clientData/>
  </xdr:twoCellAnchor>
  <xdr:twoCellAnchor>
    <xdr:from>
      <xdr:col>6</xdr:col>
      <xdr:colOff>495300</xdr:colOff>
      <xdr:row>28</xdr:row>
      <xdr:rowOff>28575</xdr:rowOff>
    </xdr:from>
    <xdr:to>
      <xdr:col>10</xdr:col>
      <xdr:colOff>228900</xdr:colOff>
      <xdr:row>29</xdr:row>
      <xdr:rowOff>66675</xdr:rowOff>
    </xdr:to>
    <xdr:sp macro="" textlink="">
      <xdr:nvSpPr>
        <xdr:cNvPr id="52" name="직사각형 8"/>
        <xdr:cNvSpPr/>
      </xdr:nvSpPr>
      <xdr:spPr>
        <a:xfrm>
          <a:off x="4124325" y="6257925"/>
          <a:ext cx="2476800" cy="247650"/>
        </a:xfrm>
        <a:prstGeom prst="rect">
          <a:avLst/>
        </a:prstGeom>
        <a:solidFill>
          <a:schemeClr val="tx2">
            <a:lumMod val="20000"/>
            <a:lumOff val="80000"/>
          </a:schemeClr>
        </a:solidFill>
        <a:ln w="12700">
          <a:solidFill>
            <a:schemeClr val="accent1">
              <a:lumMod val="7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ko-KR" altLang="en-US" sz="900" b="1">
              <a:solidFill>
                <a:schemeClr val="tx1"/>
              </a:solidFill>
              <a:latin typeface="돋움" pitchFamily="50" charset="-127"/>
              <a:ea typeface="돋움" pitchFamily="50" charset="-127"/>
              <a:cs typeface="JBold" pitchFamily="18" charset="-127"/>
            </a:rPr>
            <a:t>본사지원 </a:t>
          </a:r>
          <a:r>
            <a:rPr lang="en-US" altLang="ko-KR" sz="900" b="1">
              <a:solidFill>
                <a:schemeClr val="tx1"/>
              </a:solidFill>
              <a:latin typeface="돋움" pitchFamily="50" charset="-127"/>
              <a:ea typeface="돋움" pitchFamily="50" charset="-127"/>
              <a:cs typeface="JBold" pitchFamily="18" charset="-127"/>
            </a:rPr>
            <a:t>(34%)</a:t>
          </a:r>
          <a:endParaRPr lang="ko-KR" altLang="en-US" sz="900" b="1">
            <a:solidFill>
              <a:schemeClr val="tx1"/>
            </a:solidFill>
            <a:latin typeface="돋움" pitchFamily="50" charset="-127"/>
            <a:ea typeface="돋움" pitchFamily="50" charset="-127"/>
            <a:cs typeface="JBold" pitchFamily="18" charset="-127"/>
          </a:endParaRPr>
        </a:p>
      </xdr:txBody>
    </xdr:sp>
    <xdr:clientData/>
  </xdr:twoCellAnchor>
  <xdr:twoCellAnchor>
    <xdr:from>
      <xdr:col>6</xdr:col>
      <xdr:colOff>495300</xdr:colOff>
      <xdr:row>29</xdr:row>
      <xdr:rowOff>66675</xdr:rowOff>
    </xdr:from>
    <xdr:to>
      <xdr:col>10</xdr:col>
      <xdr:colOff>228900</xdr:colOff>
      <xdr:row>30</xdr:row>
      <xdr:rowOff>104775</xdr:rowOff>
    </xdr:to>
    <xdr:sp macro="" textlink="">
      <xdr:nvSpPr>
        <xdr:cNvPr id="53" name="직사각형 8"/>
        <xdr:cNvSpPr/>
      </xdr:nvSpPr>
      <xdr:spPr>
        <a:xfrm>
          <a:off x="4124325" y="6505575"/>
          <a:ext cx="2476800" cy="247650"/>
        </a:xfrm>
        <a:prstGeom prst="rect">
          <a:avLst/>
        </a:prstGeom>
        <a:solidFill>
          <a:schemeClr val="tx2">
            <a:lumMod val="20000"/>
            <a:lumOff val="80000"/>
          </a:schemeClr>
        </a:solidFill>
        <a:ln w="12700">
          <a:solidFill>
            <a:schemeClr val="accent1">
              <a:lumMod val="7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ko-KR" altLang="en-US" sz="900" b="1">
              <a:solidFill>
                <a:schemeClr val="tx1"/>
              </a:solidFill>
              <a:latin typeface="돋움" pitchFamily="50" charset="-127"/>
              <a:ea typeface="돋움" pitchFamily="50" charset="-127"/>
              <a:cs typeface="JBold" pitchFamily="18" charset="-127"/>
            </a:rPr>
            <a:t>본사공통 </a:t>
          </a:r>
          <a:r>
            <a:rPr lang="en-US" altLang="ko-KR" sz="900" b="1">
              <a:solidFill>
                <a:schemeClr val="tx1"/>
              </a:solidFill>
              <a:latin typeface="돋움" pitchFamily="50" charset="-127"/>
              <a:ea typeface="돋움" pitchFamily="50" charset="-127"/>
              <a:cs typeface="JBold" pitchFamily="18" charset="-127"/>
            </a:rPr>
            <a:t>(34%)</a:t>
          </a:r>
          <a:endParaRPr lang="ko-KR" altLang="en-US" sz="900" b="1">
            <a:solidFill>
              <a:schemeClr val="tx1"/>
            </a:solidFill>
            <a:latin typeface="돋움" pitchFamily="50" charset="-127"/>
            <a:ea typeface="돋움" pitchFamily="50" charset="-127"/>
            <a:cs typeface="JBold" pitchFamily="18" charset="-127"/>
          </a:endParaRPr>
        </a:p>
      </xdr:txBody>
    </xdr:sp>
    <xdr:clientData/>
  </xdr:twoCellAnchor>
  <xdr:twoCellAnchor>
    <xdr:from>
      <xdr:col>11</xdr:col>
      <xdr:colOff>180975</xdr:colOff>
      <xdr:row>18</xdr:row>
      <xdr:rowOff>66675</xdr:rowOff>
    </xdr:from>
    <xdr:to>
      <xdr:col>14</xdr:col>
      <xdr:colOff>553575</xdr:colOff>
      <xdr:row>26</xdr:row>
      <xdr:rowOff>142875</xdr:rowOff>
    </xdr:to>
    <xdr:grpSp>
      <xdr:nvGrpSpPr>
        <xdr:cNvPr id="54" name="그룹 53"/>
        <xdr:cNvGrpSpPr/>
      </xdr:nvGrpSpPr>
      <xdr:grpSpPr>
        <a:xfrm>
          <a:off x="6477000" y="4200525"/>
          <a:ext cx="2201400" cy="1752600"/>
          <a:chOff x="7239000" y="4133850"/>
          <a:chExt cx="2430000" cy="1752600"/>
        </a:xfrm>
      </xdr:grpSpPr>
      <xdr:sp macro="" textlink="">
        <xdr:nvSpPr>
          <xdr:cNvPr id="55" name="직사각형 8"/>
          <xdr:cNvSpPr/>
        </xdr:nvSpPr>
        <xdr:spPr>
          <a:xfrm>
            <a:off x="7239000" y="4419599"/>
            <a:ext cx="2428875" cy="1466851"/>
          </a:xfrm>
          <a:prstGeom prst="rect">
            <a:avLst/>
          </a:prstGeom>
          <a:solidFill>
            <a:schemeClr val="bg1"/>
          </a:solidFill>
          <a:ln w="12700">
            <a:solidFill>
              <a:schemeClr val="accent1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ko-KR" altLang="en-US" sz="900" b="1">
              <a:solidFill>
                <a:schemeClr val="tx1"/>
              </a:solidFill>
              <a:latin typeface="돋움" pitchFamily="50" charset="-127"/>
              <a:ea typeface="돋움" pitchFamily="50" charset="-127"/>
              <a:cs typeface="JBold" pitchFamily="18" charset="-127"/>
            </a:endParaRPr>
          </a:p>
        </xdr:txBody>
      </xdr:sp>
      <xdr:sp macro="" textlink="">
        <xdr:nvSpPr>
          <xdr:cNvPr id="56" name="직사각형 8"/>
          <xdr:cNvSpPr/>
        </xdr:nvSpPr>
        <xdr:spPr>
          <a:xfrm>
            <a:off x="7600950" y="4533900"/>
            <a:ext cx="1905000" cy="247650"/>
          </a:xfrm>
          <a:prstGeom prst="rect">
            <a:avLst/>
          </a:prstGeom>
          <a:solidFill>
            <a:schemeClr val="bg1"/>
          </a:solidFill>
          <a:ln w="1270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l"/>
            <a:r>
              <a:rPr lang="ko-KR" altLang="en-US" sz="900" b="1">
                <a:solidFill>
                  <a:schemeClr val="tx1"/>
                </a:solidFill>
                <a:latin typeface="돋움" pitchFamily="50" charset="-127"/>
                <a:ea typeface="돋움" pitchFamily="50" charset="-127"/>
                <a:cs typeface="JBold" pitchFamily="18" charset="-127"/>
              </a:rPr>
              <a:t>본사 회계관리 시스템</a:t>
            </a:r>
          </a:p>
        </xdr:txBody>
      </xdr:sp>
      <xdr:sp macro="" textlink="">
        <xdr:nvSpPr>
          <xdr:cNvPr id="57" name="직사각형 8"/>
          <xdr:cNvSpPr/>
        </xdr:nvSpPr>
        <xdr:spPr>
          <a:xfrm>
            <a:off x="7353301" y="4533900"/>
            <a:ext cx="248400" cy="24765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12700">
            <a:solidFill>
              <a:schemeClr val="accent1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marL="0" indent="0" algn="ctr"/>
            <a:endParaRPr lang="ko-KR" altLang="en-US" sz="900" b="1">
              <a:solidFill>
                <a:schemeClr val="tx1"/>
              </a:solidFill>
              <a:latin typeface="돋움" pitchFamily="50" charset="-127"/>
              <a:ea typeface="돋움" pitchFamily="50" charset="-127"/>
              <a:cs typeface="JBold" pitchFamily="18" charset="-127"/>
            </a:endParaRPr>
          </a:p>
        </xdr:txBody>
      </xdr:sp>
      <xdr:sp macro="" textlink="">
        <xdr:nvSpPr>
          <xdr:cNvPr id="58" name="직사각형 8"/>
          <xdr:cNvSpPr/>
        </xdr:nvSpPr>
        <xdr:spPr>
          <a:xfrm>
            <a:off x="7600950" y="4886325"/>
            <a:ext cx="1905000" cy="247650"/>
          </a:xfrm>
          <a:prstGeom prst="rect">
            <a:avLst/>
          </a:prstGeom>
          <a:solidFill>
            <a:schemeClr val="bg1"/>
          </a:solidFill>
          <a:ln w="1270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l"/>
            <a:r>
              <a:rPr lang="ko-KR" altLang="en-US" sz="900" b="1">
                <a:solidFill>
                  <a:schemeClr val="tx1"/>
                </a:solidFill>
                <a:latin typeface="돋움" pitchFamily="50" charset="-127"/>
                <a:ea typeface="돋움" pitchFamily="50" charset="-127"/>
                <a:cs typeface="JBold" pitchFamily="18" charset="-127"/>
              </a:rPr>
              <a:t>인도네시아 </a:t>
            </a:r>
            <a:r>
              <a:rPr lang="en-US" altLang="ko-KR" sz="900" b="1">
                <a:solidFill>
                  <a:schemeClr val="tx1"/>
                </a:solidFill>
                <a:latin typeface="돋움" pitchFamily="50" charset="-127"/>
                <a:ea typeface="돋움" pitchFamily="50" charset="-127"/>
                <a:cs typeface="JBold" pitchFamily="18" charset="-127"/>
              </a:rPr>
              <a:t>Local</a:t>
            </a:r>
            <a:r>
              <a:rPr lang="en-US" altLang="ko-KR" sz="900" b="1" baseline="0">
                <a:solidFill>
                  <a:schemeClr val="tx1"/>
                </a:solidFill>
                <a:latin typeface="돋움" pitchFamily="50" charset="-127"/>
                <a:ea typeface="돋움" pitchFamily="50" charset="-127"/>
                <a:cs typeface="JBold" pitchFamily="18" charset="-127"/>
              </a:rPr>
              <a:t> </a:t>
            </a:r>
            <a:r>
              <a:rPr lang="ko-KR" altLang="en-US" sz="900" b="1" baseline="0">
                <a:solidFill>
                  <a:schemeClr val="tx1"/>
                </a:solidFill>
                <a:latin typeface="돋움" pitchFamily="50" charset="-127"/>
                <a:ea typeface="돋움" pitchFamily="50" charset="-127"/>
                <a:cs typeface="JBold" pitchFamily="18" charset="-127"/>
              </a:rPr>
              <a:t>회계</a:t>
            </a:r>
            <a:endParaRPr lang="ko-KR" altLang="en-US" sz="900" b="1">
              <a:solidFill>
                <a:schemeClr val="tx1"/>
              </a:solidFill>
              <a:latin typeface="돋움" pitchFamily="50" charset="-127"/>
              <a:ea typeface="돋움" pitchFamily="50" charset="-127"/>
              <a:cs typeface="JBold" pitchFamily="18" charset="-127"/>
            </a:endParaRPr>
          </a:p>
        </xdr:txBody>
      </xdr:sp>
      <xdr:sp macro="" textlink="">
        <xdr:nvSpPr>
          <xdr:cNvPr id="59" name="직사각형 8"/>
          <xdr:cNvSpPr/>
        </xdr:nvSpPr>
        <xdr:spPr>
          <a:xfrm>
            <a:off x="7353301" y="4886325"/>
            <a:ext cx="248400" cy="247650"/>
          </a:xfrm>
          <a:prstGeom prst="rect">
            <a:avLst/>
          </a:prstGeom>
          <a:solidFill>
            <a:schemeClr val="accent3">
              <a:lumMod val="60000"/>
              <a:lumOff val="40000"/>
            </a:schemeClr>
          </a:solidFill>
          <a:ln w="12700">
            <a:solidFill>
              <a:schemeClr val="accent1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marL="0" indent="0" algn="ctr"/>
            <a:endParaRPr lang="ko-KR" altLang="en-US" sz="900" b="1">
              <a:solidFill>
                <a:schemeClr val="tx1"/>
              </a:solidFill>
              <a:latin typeface="돋움" pitchFamily="50" charset="-127"/>
              <a:ea typeface="돋움" pitchFamily="50" charset="-127"/>
              <a:cs typeface="JBold" pitchFamily="18" charset="-127"/>
            </a:endParaRPr>
          </a:p>
        </xdr:txBody>
      </xdr:sp>
      <xdr:sp macro="" textlink="">
        <xdr:nvSpPr>
          <xdr:cNvPr id="60" name="직사각형 8"/>
          <xdr:cNvSpPr/>
        </xdr:nvSpPr>
        <xdr:spPr>
          <a:xfrm>
            <a:off x="7600950" y="5229225"/>
            <a:ext cx="1905000" cy="247650"/>
          </a:xfrm>
          <a:prstGeom prst="rect">
            <a:avLst/>
          </a:prstGeom>
          <a:solidFill>
            <a:schemeClr val="bg1"/>
          </a:solidFill>
          <a:ln w="1270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l"/>
            <a:r>
              <a:rPr lang="ko-KR" altLang="en-US" sz="900" b="1">
                <a:solidFill>
                  <a:schemeClr val="tx1"/>
                </a:solidFill>
                <a:latin typeface="돋움" pitchFamily="50" charset="-127"/>
                <a:ea typeface="돋움" pitchFamily="50" charset="-127"/>
                <a:cs typeface="JBold" pitchFamily="18" charset="-127"/>
              </a:rPr>
              <a:t>베트남 </a:t>
            </a:r>
            <a:r>
              <a:rPr lang="en-US" altLang="ko-KR" sz="900" b="1">
                <a:solidFill>
                  <a:schemeClr val="tx1"/>
                </a:solidFill>
                <a:latin typeface="돋움" pitchFamily="50" charset="-127"/>
                <a:ea typeface="돋움" pitchFamily="50" charset="-127"/>
                <a:cs typeface="JBold" pitchFamily="18" charset="-127"/>
              </a:rPr>
              <a:t>Local</a:t>
            </a:r>
            <a:r>
              <a:rPr lang="en-US" altLang="ko-KR" sz="900" b="1" baseline="0">
                <a:solidFill>
                  <a:schemeClr val="tx1"/>
                </a:solidFill>
                <a:latin typeface="돋움" pitchFamily="50" charset="-127"/>
                <a:ea typeface="돋움" pitchFamily="50" charset="-127"/>
                <a:cs typeface="JBold" pitchFamily="18" charset="-127"/>
              </a:rPr>
              <a:t> </a:t>
            </a:r>
            <a:r>
              <a:rPr lang="ko-KR" altLang="en-US" sz="900" b="1" baseline="0">
                <a:solidFill>
                  <a:schemeClr val="tx1"/>
                </a:solidFill>
                <a:latin typeface="돋움" pitchFamily="50" charset="-127"/>
                <a:ea typeface="돋움" pitchFamily="50" charset="-127"/>
                <a:cs typeface="JBold" pitchFamily="18" charset="-127"/>
              </a:rPr>
              <a:t>회계관리 시스템</a:t>
            </a:r>
            <a:endParaRPr lang="ko-KR" altLang="en-US" sz="900" b="1">
              <a:solidFill>
                <a:schemeClr val="tx1"/>
              </a:solidFill>
              <a:latin typeface="돋움" pitchFamily="50" charset="-127"/>
              <a:ea typeface="돋움" pitchFamily="50" charset="-127"/>
              <a:cs typeface="JBold" pitchFamily="18" charset="-127"/>
            </a:endParaRPr>
          </a:p>
        </xdr:txBody>
      </xdr:sp>
      <xdr:sp macro="" textlink="">
        <xdr:nvSpPr>
          <xdr:cNvPr id="61" name="직사각형 8"/>
          <xdr:cNvSpPr/>
        </xdr:nvSpPr>
        <xdr:spPr>
          <a:xfrm>
            <a:off x="7353301" y="5229225"/>
            <a:ext cx="248400" cy="247650"/>
          </a:xfrm>
          <a:prstGeom prst="rect">
            <a:avLst/>
          </a:prstGeom>
          <a:solidFill>
            <a:srgbClr val="FFAFAF"/>
          </a:solidFill>
          <a:ln w="12700">
            <a:solidFill>
              <a:schemeClr val="accent1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marL="0" indent="0" algn="ctr"/>
            <a:endParaRPr lang="ko-KR" altLang="en-US" sz="900" b="1">
              <a:solidFill>
                <a:schemeClr val="tx1"/>
              </a:solidFill>
              <a:latin typeface="돋움" pitchFamily="50" charset="-127"/>
              <a:ea typeface="돋움" pitchFamily="50" charset="-127"/>
              <a:cs typeface="JBold" pitchFamily="18" charset="-127"/>
            </a:endParaRPr>
          </a:p>
        </xdr:txBody>
      </xdr:sp>
      <xdr:sp macro="" textlink="">
        <xdr:nvSpPr>
          <xdr:cNvPr id="62" name="직사각형 8"/>
          <xdr:cNvSpPr/>
        </xdr:nvSpPr>
        <xdr:spPr>
          <a:xfrm>
            <a:off x="7600950" y="5553075"/>
            <a:ext cx="1905000" cy="247650"/>
          </a:xfrm>
          <a:prstGeom prst="rect">
            <a:avLst/>
          </a:prstGeom>
          <a:solidFill>
            <a:schemeClr val="bg1"/>
          </a:solidFill>
          <a:ln w="1270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l"/>
            <a:r>
              <a:rPr lang="ko-KR" altLang="en-US" sz="900" b="1">
                <a:solidFill>
                  <a:schemeClr val="tx1"/>
                </a:solidFill>
                <a:latin typeface="돋움" pitchFamily="50" charset="-127"/>
                <a:ea typeface="돋움" pitchFamily="50" charset="-127"/>
                <a:cs typeface="JBold" pitchFamily="18" charset="-127"/>
              </a:rPr>
              <a:t>니카라과 </a:t>
            </a:r>
            <a:r>
              <a:rPr lang="en-US" altLang="ko-KR" sz="900" b="1">
                <a:solidFill>
                  <a:schemeClr val="tx1"/>
                </a:solidFill>
                <a:latin typeface="돋움" pitchFamily="50" charset="-127"/>
                <a:ea typeface="돋움" pitchFamily="50" charset="-127"/>
                <a:cs typeface="JBold" pitchFamily="18" charset="-127"/>
              </a:rPr>
              <a:t>Local</a:t>
            </a:r>
            <a:r>
              <a:rPr lang="en-US" altLang="ko-KR" sz="900" b="1" baseline="0">
                <a:solidFill>
                  <a:schemeClr val="tx1"/>
                </a:solidFill>
                <a:latin typeface="돋움" pitchFamily="50" charset="-127"/>
                <a:ea typeface="돋움" pitchFamily="50" charset="-127"/>
                <a:cs typeface="JBold" pitchFamily="18" charset="-127"/>
              </a:rPr>
              <a:t> </a:t>
            </a:r>
            <a:r>
              <a:rPr lang="ko-KR" altLang="en-US" sz="900" b="1" baseline="0">
                <a:solidFill>
                  <a:schemeClr val="tx1"/>
                </a:solidFill>
                <a:latin typeface="돋움" pitchFamily="50" charset="-127"/>
                <a:ea typeface="돋움" pitchFamily="50" charset="-127"/>
                <a:cs typeface="JBold" pitchFamily="18" charset="-127"/>
              </a:rPr>
              <a:t>회계관리 시스템</a:t>
            </a:r>
            <a:endParaRPr lang="ko-KR" altLang="en-US" sz="900" b="1">
              <a:solidFill>
                <a:schemeClr val="tx1"/>
              </a:solidFill>
              <a:latin typeface="돋움" pitchFamily="50" charset="-127"/>
              <a:ea typeface="돋움" pitchFamily="50" charset="-127"/>
              <a:cs typeface="JBold" pitchFamily="18" charset="-127"/>
            </a:endParaRPr>
          </a:p>
        </xdr:txBody>
      </xdr:sp>
      <xdr:sp macro="" textlink="">
        <xdr:nvSpPr>
          <xdr:cNvPr id="63" name="직사각형 8"/>
          <xdr:cNvSpPr/>
        </xdr:nvSpPr>
        <xdr:spPr>
          <a:xfrm>
            <a:off x="7353301" y="5553075"/>
            <a:ext cx="248400" cy="247650"/>
          </a:xfrm>
          <a:prstGeom prst="rect">
            <a:avLst/>
          </a:prstGeom>
          <a:solidFill>
            <a:srgbClr val="FFFFCC"/>
          </a:solidFill>
          <a:ln w="12700">
            <a:solidFill>
              <a:schemeClr val="accent1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marL="0" indent="0" algn="ctr"/>
            <a:endParaRPr lang="ko-KR" altLang="en-US" sz="900" b="1">
              <a:solidFill>
                <a:schemeClr val="tx1"/>
              </a:solidFill>
              <a:latin typeface="돋움" pitchFamily="50" charset="-127"/>
              <a:ea typeface="돋움" pitchFamily="50" charset="-127"/>
              <a:cs typeface="JBold" pitchFamily="18" charset="-127"/>
            </a:endParaRPr>
          </a:p>
        </xdr:txBody>
      </xdr:sp>
      <xdr:sp macro="" textlink="">
        <xdr:nvSpPr>
          <xdr:cNvPr id="64" name="직사각형 8"/>
          <xdr:cNvSpPr/>
        </xdr:nvSpPr>
        <xdr:spPr>
          <a:xfrm>
            <a:off x="7239000" y="4133850"/>
            <a:ext cx="2430000" cy="288000"/>
          </a:xfrm>
          <a:prstGeom prst="rect">
            <a:avLst/>
          </a:prstGeom>
          <a:solidFill>
            <a:schemeClr val="bg1">
              <a:lumMod val="75000"/>
            </a:schemeClr>
          </a:solidFill>
          <a:ln w="12700">
            <a:solidFill>
              <a:schemeClr val="bg1">
                <a:lumMod val="50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en-US" altLang="ko-KR" sz="1000" b="1">
                <a:solidFill>
                  <a:schemeClr val="tx1"/>
                </a:solidFill>
                <a:latin typeface="+mn-ea"/>
                <a:ea typeface="+mn-ea"/>
                <a:cs typeface="JBold" pitchFamily="18" charset="-127"/>
              </a:rPr>
              <a:t>Accounting</a:t>
            </a:r>
            <a:r>
              <a:rPr lang="en-US" altLang="ko-KR" sz="1000" b="1" baseline="0">
                <a:solidFill>
                  <a:schemeClr val="tx1"/>
                </a:solidFill>
                <a:latin typeface="+mn-ea"/>
                <a:ea typeface="+mn-ea"/>
                <a:cs typeface="JBold" pitchFamily="18" charset="-127"/>
              </a:rPr>
              <a:t> Data Source</a:t>
            </a:r>
            <a:endParaRPr lang="ko-KR" altLang="en-US" sz="1000" b="1">
              <a:solidFill>
                <a:schemeClr val="tx1"/>
              </a:solidFill>
              <a:latin typeface="+mn-ea"/>
              <a:ea typeface="+mn-ea"/>
              <a:cs typeface="JBold" pitchFamily="18" charset="-127"/>
            </a:endParaRPr>
          </a:p>
        </xdr:txBody>
      </xdr:sp>
    </xdr:grpSp>
    <xdr:clientData/>
  </xdr:twoCellAnchor>
  <xdr:twoCellAnchor>
    <xdr:from>
      <xdr:col>8</xdr:col>
      <xdr:colOff>142337</xdr:colOff>
      <xdr:row>13</xdr:row>
      <xdr:rowOff>9525</xdr:rowOff>
    </xdr:from>
    <xdr:to>
      <xdr:col>8</xdr:col>
      <xdr:colOff>142337</xdr:colOff>
      <xdr:row>17</xdr:row>
      <xdr:rowOff>228600</xdr:rowOff>
    </xdr:to>
    <xdr:cxnSp macro="">
      <xdr:nvCxnSpPr>
        <xdr:cNvPr id="65" name="직선 화살표 연결선 64"/>
        <xdr:cNvCxnSpPr/>
      </xdr:nvCxnSpPr>
      <xdr:spPr>
        <a:xfrm>
          <a:off x="5142962" y="3000375"/>
          <a:ext cx="0" cy="1057275"/>
        </a:xfrm>
        <a:prstGeom prst="straightConnector1">
          <a:avLst/>
        </a:prstGeom>
        <a:ln>
          <a:solidFill>
            <a:schemeClr val="tx1"/>
          </a:solidFill>
          <a:prstDash val="sysDash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267862</xdr:colOff>
      <xdr:row>12</xdr:row>
      <xdr:rowOff>47625</xdr:rowOff>
    </xdr:from>
    <xdr:to>
      <xdr:col>11</xdr:col>
      <xdr:colOff>466725</xdr:colOff>
      <xdr:row>17</xdr:row>
      <xdr:rowOff>238125</xdr:rowOff>
    </xdr:to>
    <xdr:cxnSp macro="">
      <xdr:nvCxnSpPr>
        <xdr:cNvPr id="66" name="직선 화살표 연결선 65"/>
        <xdr:cNvCxnSpPr/>
      </xdr:nvCxnSpPr>
      <xdr:spPr>
        <a:xfrm flipH="1">
          <a:off x="5954287" y="2828925"/>
          <a:ext cx="1570463" cy="1238250"/>
        </a:xfrm>
        <a:prstGeom prst="straightConnector1">
          <a:avLst/>
        </a:prstGeom>
        <a:ln>
          <a:solidFill>
            <a:schemeClr val="tx1"/>
          </a:solidFill>
          <a:prstDash val="sysDash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266700</xdr:colOff>
      <xdr:row>12</xdr:row>
      <xdr:rowOff>95250</xdr:rowOff>
    </xdr:from>
    <xdr:to>
      <xdr:col>14</xdr:col>
      <xdr:colOff>609600</xdr:colOff>
      <xdr:row>17</xdr:row>
      <xdr:rowOff>239857</xdr:rowOff>
    </xdr:to>
    <xdr:cxnSp macro="">
      <xdr:nvCxnSpPr>
        <xdr:cNvPr id="67" name="직선 화살표 연결선 66"/>
        <xdr:cNvCxnSpPr/>
      </xdr:nvCxnSpPr>
      <xdr:spPr>
        <a:xfrm flipH="1">
          <a:off x="6638925" y="2876550"/>
          <a:ext cx="3086100" cy="1192357"/>
        </a:xfrm>
        <a:prstGeom prst="straightConnector1">
          <a:avLst/>
        </a:prstGeom>
        <a:ln>
          <a:solidFill>
            <a:schemeClr val="tx1"/>
          </a:solidFill>
          <a:prstDash val="sysDash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361412</xdr:colOff>
      <xdr:row>15</xdr:row>
      <xdr:rowOff>114300</xdr:rowOff>
    </xdr:from>
    <xdr:to>
      <xdr:col>6</xdr:col>
      <xdr:colOff>361412</xdr:colOff>
      <xdr:row>17</xdr:row>
      <xdr:rowOff>219075</xdr:rowOff>
    </xdr:to>
    <xdr:cxnSp macro="">
      <xdr:nvCxnSpPr>
        <xdr:cNvPr id="68" name="직선 화살표 연결선 67"/>
        <xdr:cNvCxnSpPr/>
      </xdr:nvCxnSpPr>
      <xdr:spPr>
        <a:xfrm>
          <a:off x="3990437" y="3524250"/>
          <a:ext cx="0" cy="523875"/>
        </a:xfrm>
        <a:prstGeom prst="straightConnector1">
          <a:avLst/>
        </a:prstGeom>
        <a:ln>
          <a:solidFill>
            <a:schemeClr val="tx1"/>
          </a:solidFill>
          <a:prstDash val="sysDash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3</xdr:row>
      <xdr:rowOff>219075</xdr:rowOff>
    </xdr:from>
    <xdr:to>
      <xdr:col>11</xdr:col>
      <xdr:colOff>657225</xdr:colOff>
      <xdr:row>16</xdr:row>
      <xdr:rowOff>428625</xdr:rowOff>
    </xdr:to>
    <xdr:sp macro="" textlink="">
      <xdr:nvSpPr>
        <xdr:cNvPr id="2" name="직사각형 1"/>
        <xdr:cNvSpPr/>
      </xdr:nvSpPr>
      <xdr:spPr>
        <a:xfrm>
          <a:off x="8429625" y="1019175"/>
          <a:ext cx="2895600" cy="5695950"/>
        </a:xfrm>
        <a:prstGeom prst="rect">
          <a:avLst/>
        </a:prstGeom>
        <a:noFill/>
        <a:ln>
          <a:solidFill>
            <a:srgbClr val="0000F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7</xdr:row>
      <xdr:rowOff>0</xdr:rowOff>
    </xdr:from>
    <xdr:to>
      <xdr:col>14</xdr:col>
      <xdr:colOff>0</xdr:colOff>
      <xdr:row>16</xdr:row>
      <xdr:rowOff>28575</xdr:rowOff>
    </xdr:to>
    <xdr:cxnSp macro="">
      <xdr:nvCxnSpPr>
        <xdr:cNvPr id="2" name="직선 화살표 연결선 1"/>
        <xdr:cNvCxnSpPr/>
      </xdr:nvCxnSpPr>
      <xdr:spPr>
        <a:xfrm>
          <a:off x="9144000" y="1257300"/>
          <a:ext cx="0" cy="981075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257175</xdr:colOff>
      <xdr:row>62</xdr:row>
      <xdr:rowOff>57151</xdr:rowOff>
    </xdr:from>
    <xdr:to>
      <xdr:col>20</xdr:col>
      <xdr:colOff>6752</xdr:colOff>
      <xdr:row>62</xdr:row>
      <xdr:rowOff>57151</xdr:rowOff>
    </xdr:to>
    <xdr:cxnSp macro="">
      <xdr:nvCxnSpPr>
        <xdr:cNvPr id="3" name="직선 화살표 연결선 2"/>
        <xdr:cNvCxnSpPr/>
      </xdr:nvCxnSpPr>
      <xdr:spPr>
        <a:xfrm flipH="1">
          <a:off x="10258425" y="6467476"/>
          <a:ext cx="606827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238124</xdr:colOff>
      <xdr:row>7</xdr:row>
      <xdr:rowOff>200025</xdr:rowOff>
    </xdr:from>
    <xdr:to>
      <xdr:col>25</xdr:col>
      <xdr:colOff>8174</xdr:colOff>
      <xdr:row>8</xdr:row>
      <xdr:rowOff>133350</xdr:rowOff>
    </xdr:to>
    <xdr:grpSp>
      <xdr:nvGrpSpPr>
        <xdr:cNvPr id="2" name="그룹 1"/>
        <xdr:cNvGrpSpPr/>
      </xdr:nvGrpSpPr>
      <xdr:grpSpPr>
        <a:xfrm>
          <a:off x="2590799" y="1924050"/>
          <a:ext cx="3484800" cy="171450"/>
          <a:chOff x="2714624" y="2038350"/>
          <a:chExt cx="3484800" cy="171450"/>
        </a:xfrm>
      </xdr:grpSpPr>
      <xdr:cxnSp macro="">
        <xdr:nvCxnSpPr>
          <xdr:cNvPr id="3" name="직선 연결선 2"/>
          <xdr:cNvCxnSpPr/>
        </xdr:nvCxnSpPr>
        <xdr:spPr>
          <a:xfrm>
            <a:off x="2724150" y="2038350"/>
            <a:ext cx="0" cy="171450"/>
          </a:xfrm>
          <a:prstGeom prst="line">
            <a:avLst/>
          </a:prstGeom>
          <a:ln w="34925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4" name="직선 연결선 3"/>
          <xdr:cNvCxnSpPr/>
        </xdr:nvCxnSpPr>
        <xdr:spPr>
          <a:xfrm>
            <a:off x="2714624" y="2057400"/>
            <a:ext cx="3484800" cy="0"/>
          </a:xfrm>
          <a:prstGeom prst="line">
            <a:avLst/>
          </a:prstGeom>
          <a:ln w="635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5" name="직선 연결선 4"/>
          <xdr:cNvCxnSpPr/>
        </xdr:nvCxnSpPr>
        <xdr:spPr>
          <a:xfrm>
            <a:off x="6191250" y="2038350"/>
            <a:ext cx="0" cy="171450"/>
          </a:xfrm>
          <a:prstGeom prst="line">
            <a:avLst/>
          </a:prstGeom>
          <a:ln w="34925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7</xdr:col>
      <xdr:colOff>171450</xdr:colOff>
      <xdr:row>13</xdr:row>
      <xdr:rowOff>0</xdr:rowOff>
    </xdr:from>
    <xdr:to>
      <xdr:col>8</xdr:col>
      <xdr:colOff>67800</xdr:colOff>
      <xdr:row>13</xdr:row>
      <xdr:rowOff>144000</xdr:rowOff>
    </xdr:to>
    <xdr:sp macro="" textlink="">
      <xdr:nvSpPr>
        <xdr:cNvPr id="6" name="순서도: 연결자 5">
          <a:extLst>
            <a:ext uri="{FF2B5EF4-FFF2-40B4-BE49-F238E27FC236}">
              <a16:creationId xmlns:a16="http://schemas.microsoft.com/office/drawing/2014/main" xmlns="" id="{00000000-0008-0000-0000-000016010000}"/>
            </a:ext>
          </a:extLst>
        </xdr:cNvPr>
        <xdr:cNvSpPr/>
      </xdr:nvSpPr>
      <xdr:spPr>
        <a:xfrm>
          <a:off x="1781175" y="3038475"/>
          <a:ext cx="144000" cy="144000"/>
        </a:xfrm>
        <a:prstGeom prst="flowChartConnector">
          <a:avLst/>
        </a:prstGeom>
        <a:solidFill>
          <a:schemeClr val="tx1"/>
        </a:solidFill>
        <a:ln w="254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ko-KR" altLang="en-US" sz="800" b="1">
            <a:latin typeface="돋움" pitchFamily="50" charset="-127"/>
            <a:ea typeface="돋움" pitchFamily="50" charset="-127"/>
          </a:endParaRPr>
        </a:p>
      </xdr:txBody>
    </xdr:sp>
    <xdr:clientData/>
  </xdr:twoCellAnchor>
  <xdr:twoCellAnchor>
    <xdr:from>
      <xdr:col>6</xdr:col>
      <xdr:colOff>142875</xdr:colOff>
      <xdr:row>11</xdr:row>
      <xdr:rowOff>104775</xdr:rowOff>
    </xdr:from>
    <xdr:to>
      <xdr:col>9</xdr:col>
      <xdr:colOff>114300</xdr:colOff>
      <xdr:row>12</xdr:row>
      <xdr:rowOff>164467</xdr:rowOff>
    </xdr:to>
    <xdr:sp macro="" textlink="">
      <xdr:nvSpPr>
        <xdr:cNvPr id="7" name="직사각형 6">
          <a:extLst>
            <a:ext uri="{FF2B5EF4-FFF2-40B4-BE49-F238E27FC236}">
              <a16:creationId xmlns:a16="http://schemas.microsoft.com/office/drawing/2014/main" xmlns="" id="{00000000-0008-0000-0000-000017010000}"/>
            </a:ext>
          </a:extLst>
        </xdr:cNvPr>
        <xdr:cNvSpPr/>
      </xdr:nvSpPr>
      <xdr:spPr>
        <a:xfrm>
          <a:off x="1504950" y="2667000"/>
          <a:ext cx="714375" cy="297817"/>
        </a:xfrm>
        <a:prstGeom prst="rect">
          <a:avLst/>
        </a:prstGeom>
        <a:solidFill>
          <a:schemeClr val="bg1"/>
        </a:solidFill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marL="0" indent="0" algn="ctr"/>
          <a:r>
            <a:rPr lang="en-US" altLang="ko-KR" sz="900" b="1">
              <a:solidFill>
                <a:schemeClr val="tx1"/>
              </a:solidFill>
              <a:latin typeface="+mn-ea"/>
              <a:ea typeface="+mn-ea"/>
              <a:cs typeface="JBold" pitchFamily="18" charset="-127"/>
            </a:rPr>
            <a:t>Start</a:t>
          </a:r>
          <a:endParaRPr lang="ko-KR" altLang="en-US" sz="900" b="1">
            <a:solidFill>
              <a:schemeClr val="tx1"/>
            </a:solidFill>
            <a:latin typeface="+mn-ea"/>
            <a:ea typeface="+mn-ea"/>
            <a:cs typeface="JBold" pitchFamily="18" charset="-127"/>
          </a:endParaRPr>
        </a:p>
      </xdr:txBody>
    </xdr:sp>
    <xdr:clientData/>
  </xdr:twoCellAnchor>
  <xdr:twoCellAnchor>
    <xdr:from>
      <xdr:col>13</xdr:col>
      <xdr:colOff>171450</xdr:colOff>
      <xdr:row>13</xdr:row>
      <xdr:rowOff>0</xdr:rowOff>
    </xdr:from>
    <xdr:to>
      <xdr:col>14</xdr:col>
      <xdr:colOff>67800</xdr:colOff>
      <xdr:row>13</xdr:row>
      <xdr:rowOff>144000</xdr:rowOff>
    </xdr:to>
    <xdr:sp macro="" textlink="">
      <xdr:nvSpPr>
        <xdr:cNvPr id="8" name="순서도: 연결자 7">
          <a:extLst>
            <a:ext uri="{FF2B5EF4-FFF2-40B4-BE49-F238E27FC236}">
              <a16:creationId xmlns:a16="http://schemas.microsoft.com/office/drawing/2014/main" xmlns="" id="{00000000-0008-0000-0000-000016010000}"/>
            </a:ext>
          </a:extLst>
        </xdr:cNvPr>
        <xdr:cNvSpPr/>
      </xdr:nvSpPr>
      <xdr:spPr>
        <a:xfrm>
          <a:off x="3267075" y="3038475"/>
          <a:ext cx="144000" cy="144000"/>
        </a:xfrm>
        <a:prstGeom prst="flowChartConnector">
          <a:avLst/>
        </a:prstGeom>
        <a:solidFill>
          <a:schemeClr val="bg1"/>
        </a:solidFill>
        <a:ln w="25400">
          <a:solidFill>
            <a:schemeClr val="tx1">
              <a:lumMod val="95000"/>
              <a:lumOff val="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ko-KR" altLang="en-US" sz="800" b="1">
            <a:latin typeface="돋움" pitchFamily="50" charset="-127"/>
            <a:ea typeface="돋움" pitchFamily="50" charset="-127"/>
          </a:endParaRPr>
        </a:p>
      </xdr:txBody>
    </xdr:sp>
    <xdr:clientData/>
  </xdr:twoCellAnchor>
  <xdr:twoCellAnchor>
    <xdr:from>
      <xdr:col>11</xdr:col>
      <xdr:colOff>209550</xdr:colOff>
      <xdr:row>10</xdr:row>
      <xdr:rowOff>152399</xdr:rowOff>
    </xdr:from>
    <xdr:to>
      <xdr:col>16</xdr:col>
      <xdr:colOff>51300</xdr:colOff>
      <xdr:row>12</xdr:row>
      <xdr:rowOff>180149</xdr:rowOff>
    </xdr:to>
    <xdr:sp macro="" textlink="">
      <xdr:nvSpPr>
        <xdr:cNvPr id="9" name="직사각형 8">
          <a:extLst>
            <a:ext uri="{FF2B5EF4-FFF2-40B4-BE49-F238E27FC236}">
              <a16:creationId xmlns:a16="http://schemas.microsoft.com/office/drawing/2014/main" xmlns="" id="{00000000-0008-0000-0000-000017010000}"/>
            </a:ext>
          </a:extLst>
        </xdr:cNvPr>
        <xdr:cNvSpPr/>
      </xdr:nvSpPr>
      <xdr:spPr>
        <a:xfrm>
          <a:off x="2809875" y="2476499"/>
          <a:ext cx="1080000" cy="504000"/>
        </a:xfrm>
        <a:prstGeom prst="rect">
          <a:avLst/>
        </a:prstGeom>
        <a:solidFill>
          <a:schemeClr val="bg1"/>
        </a:solidFill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marL="0" indent="0" algn="ctr"/>
          <a:r>
            <a:rPr lang="en-US" altLang="ko-KR" sz="900" b="1">
              <a:solidFill>
                <a:schemeClr val="tx1"/>
              </a:solidFill>
              <a:latin typeface="+mn-ea"/>
              <a:ea typeface="+mn-ea"/>
              <a:cs typeface="JBold" pitchFamily="18" charset="-127"/>
            </a:rPr>
            <a:t>M.W/H IN</a:t>
          </a:r>
        </a:p>
        <a:p>
          <a:pPr marL="0" indent="0" algn="ctr"/>
          <a:r>
            <a:rPr lang="en-US" altLang="ko-KR" sz="900" b="1">
              <a:solidFill>
                <a:schemeClr val="tx1"/>
              </a:solidFill>
              <a:latin typeface="+mn-ea"/>
              <a:ea typeface="+mn-ea"/>
              <a:cs typeface="JBold" pitchFamily="18" charset="-127"/>
            </a:rPr>
            <a:t>Reg.</a:t>
          </a:r>
          <a:endParaRPr lang="ko-KR" altLang="en-US" sz="900" b="1">
            <a:solidFill>
              <a:schemeClr val="tx1"/>
            </a:solidFill>
            <a:latin typeface="+mn-ea"/>
            <a:ea typeface="+mn-ea"/>
            <a:cs typeface="JBold" pitchFamily="18" charset="-127"/>
          </a:endParaRPr>
        </a:p>
      </xdr:txBody>
    </xdr:sp>
    <xdr:clientData/>
  </xdr:twoCellAnchor>
  <xdr:twoCellAnchor>
    <xdr:from>
      <xdr:col>21</xdr:col>
      <xdr:colOff>171450</xdr:colOff>
      <xdr:row>13</xdr:row>
      <xdr:rowOff>0</xdr:rowOff>
    </xdr:from>
    <xdr:to>
      <xdr:col>22</xdr:col>
      <xdr:colOff>67800</xdr:colOff>
      <xdr:row>13</xdr:row>
      <xdr:rowOff>144000</xdr:rowOff>
    </xdr:to>
    <xdr:sp macro="" textlink="">
      <xdr:nvSpPr>
        <xdr:cNvPr id="10" name="순서도: 연결자 9">
          <a:extLst>
            <a:ext uri="{FF2B5EF4-FFF2-40B4-BE49-F238E27FC236}">
              <a16:creationId xmlns:a16="http://schemas.microsoft.com/office/drawing/2014/main" xmlns="" id="{00000000-0008-0000-0000-000016010000}"/>
            </a:ext>
          </a:extLst>
        </xdr:cNvPr>
        <xdr:cNvSpPr/>
      </xdr:nvSpPr>
      <xdr:spPr>
        <a:xfrm>
          <a:off x="5248275" y="3038475"/>
          <a:ext cx="144000" cy="144000"/>
        </a:xfrm>
        <a:prstGeom prst="flowChartConnector">
          <a:avLst/>
        </a:prstGeom>
        <a:solidFill>
          <a:schemeClr val="bg1"/>
        </a:solidFill>
        <a:ln w="25400">
          <a:solidFill>
            <a:schemeClr val="tx1">
              <a:lumMod val="95000"/>
              <a:lumOff val="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ko-KR" altLang="en-US" sz="800" b="1">
            <a:latin typeface="돋움" pitchFamily="50" charset="-127"/>
            <a:ea typeface="돋움" pitchFamily="50" charset="-127"/>
          </a:endParaRPr>
        </a:p>
      </xdr:txBody>
    </xdr:sp>
    <xdr:clientData/>
  </xdr:twoCellAnchor>
  <xdr:twoCellAnchor>
    <xdr:from>
      <xdr:col>19</xdr:col>
      <xdr:colOff>209550</xdr:colOff>
      <xdr:row>10</xdr:row>
      <xdr:rowOff>152399</xdr:rowOff>
    </xdr:from>
    <xdr:to>
      <xdr:col>24</xdr:col>
      <xdr:colOff>51300</xdr:colOff>
      <xdr:row>12</xdr:row>
      <xdr:rowOff>180149</xdr:rowOff>
    </xdr:to>
    <xdr:sp macro="" textlink="">
      <xdr:nvSpPr>
        <xdr:cNvPr id="11" name="직사각형 10">
          <a:extLst>
            <a:ext uri="{FF2B5EF4-FFF2-40B4-BE49-F238E27FC236}">
              <a16:creationId xmlns:a16="http://schemas.microsoft.com/office/drawing/2014/main" xmlns="" id="{00000000-0008-0000-0000-000017010000}"/>
            </a:ext>
          </a:extLst>
        </xdr:cNvPr>
        <xdr:cNvSpPr/>
      </xdr:nvSpPr>
      <xdr:spPr>
        <a:xfrm>
          <a:off x="4791075" y="2476499"/>
          <a:ext cx="1080000" cy="504000"/>
        </a:xfrm>
        <a:prstGeom prst="rect">
          <a:avLst/>
        </a:prstGeom>
        <a:solidFill>
          <a:schemeClr val="bg1"/>
        </a:solidFill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marL="0" indent="0" algn="ctr"/>
          <a:r>
            <a:rPr lang="en-US" altLang="ko-KR" sz="900" b="1">
              <a:solidFill>
                <a:schemeClr val="tx1"/>
              </a:solidFill>
              <a:latin typeface="+mn-ea"/>
              <a:ea typeface="+mn-ea"/>
              <a:cs typeface="JBold" pitchFamily="18" charset="-127"/>
            </a:rPr>
            <a:t>M.W/H OUT</a:t>
          </a:r>
        </a:p>
        <a:p>
          <a:pPr marL="0" indent="0" algn="ctr"/>
          <a:r>
            <a:rPr lang="en-US" altLang="ko-KR" sz="900" b="1">
              <a:solidFill>
                <a:schemeClr val="tx1"/>
              </a:solidFill>
              <a:latin typeface="+mn-ea"/>
              <a:ea typeface="+mn-ea"/>
              <a:cs typeface="JBold" pitchFamily="18" charset="-127"/>
            </a:rPr>
            <a:t>Reg.</a:t>
          </a:r>
          <a:endParaRPr lang="ko-KR" altLang="en-US" sz="900" b="1">
            <a:solidFill>
              <a:schemeClr val="tx1"/>
            </a:solidFill>
            <a:latin typeface="+mn-ea"/>
            <a:ea typeface="+mn-ea"/>
            <a:cs typeface="JBold" pitchFamily="18" charset="-127"/>
          </a:endParaRPr>
        </a:p>
      </xdr:txBody>
    </xdr:sp>
    <xdr:clientData/>
  </xdr:twoCellAnchor>
  <xdr:twoCellAnchor>
    <xdr:from>
      <xdr:col>17</xdr:col>
      <xdr:colOff>190500</xdr:colOff>
      <xdr:row>17</xdr:row>
      <xdr:rowOff>152400</xdr:rowOff>
    </xdr:from>
    <xdr:to>
      <xdr:col>18</xdr:col>
      <xdr:colOff>86850</xdr:colOff>
      <xdr:row>18</xdr:row>
      <xdr:rowOff>58275</xdr:rowOff>
    </xdr:to>
    <xdr:sp macro="" textlink="">
      <xdr:nvSpPr>
        <xdr:cNvPr id="12" name="순서도: 연결자 11">
          <a:extLst>
            <a:ext uri="{FF2B5EF4-FFF2-40B4-BE49-F238E27FC236}">
              <a16:creationId xmlns:a16="http://schemas.microsoft.com/office/drawing/2014/main" xmlns="" id="{00000000-0008-0000-0000-000016010000}"/>
            </a:ext>
          </a:extLst>
        </xdr:cNvPr>
        <xdr:cNvSpPr/>
      </xdr:nvSpPr>
      <xdr:spPr>
        <a:xfrm>
          <a:off x="4276725" y="4143375"/>
          <a:ext cx="144000" cy="144000"/>
        </a:xfrm>
        <a:prstGeom prst="flowChartConnector">
          <a:avLst/>
        </a:prstGeom>
        <a:solidFill>
          <a:srgbClr val="0000FF"/>
        </a:solidFill>
        <a:ln w="25400">
          <a:solidFill>
            <a:srgbClr val="0000F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ko-KR" altLang="en-US" sz="800" b="1">
            <a:latin typeface="돋움" pitchFamily="50" charset="-127"/>
            <a:ea typeface="돋움" pitchFamily="50" charset="-127"/>
          </a:endParaRPr>
        </a:p>
      </xdr:txBody>
    </xdr:sp>
    <xdr:clientData/>
  </xdr:twoCellAnchor>
  <xdr:twoCellAnchor>
    <xdr:from>
      <xdr:col>15</xdr:col>
      <xdr:colOff>28575</xdr:colOff>
      <xdr:row>14</xdr:row>
      <xdr:rowOff>228600</xdr:rowOff>
    </xdr:from>
    <xdr:to>
      <xdr:col>20</xdr:col>
      <xdr:colOff>219075</xdr:colOff>
      <xdr:row>17</xdr:row>
      <xdr:rowOff>78742</xdr:rowOff>
    </xdr:to>
    <xdr:sp macro="" textlink="">
      <xdr:nvSpPr>
        <xdr:cNvPr id="13" name="직사각형 12">
          <a:extLst>
            <a:ext uri="{FF2B5EF4-FFF2-40B4-BE49-F238E27FC236}">
              <a16:creationId xmlns:a16="http://schemas.microsoft.com/office/drawing/2014/main" xmlns="" id="{00000000-0008-0000-0000-000017010000}"/>
            </a:ext>
          </a:extLst>
        </xdr:cNvPr>
        <xdr:cNvSpPr/>
      </xdr:nvSpPr>
      <xdr:spPr>
        <a:xfrm>
          <a:off x="3619500" y="3505200"/>
          <a:ext cx="1428750" cy="564517"/>
        </a:xfrm>
        <a:prstGeom prst="rect">
          <a:avLst/>
        </a:prstGeom>
        <a:solidFill>
          <a:schemeClr val="bg1"/>
        </a:solidFill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marL="0" indent="0" algn="ctr"/>
          <a:r>
            <a:rPr lang="en-US" altLang="ko-KR" sz="900" b="1">
              <a:solidFill>
                <a:srgbClr val="0000FF"/>
              </a:solidFill>
              <a:latin typeface="+mn-ea"/>
              <a:ea typeface="+mn-ea"/>
              <a:cs typeface="JBold" pitchFamily="18" charset="-127"/>
            </a:rPr>
            <a:t>Trans Location / SPEC</a:t>
          </a:r>
        </a:p>
        <a:p>
          <a:pPr marL="0" indent="0" algn="ctr"/>
          <a:r>
            <a:rPr lang="en-US" altLang="ko-KR" sz="900" b="0">
              <a:solidFill>
                <a:srgbClr val="0000FF"/>
              </a:solidFill>
              <a:latin typeface="+mn-ea"/>
              <a:ea typeface="+mn-ea"/>
              <a:cs typeface="JBold" pitchFamily="18" charset="-127"/>
            </a:rPr>
            <a:t>(</a:t>
          </a:r>
          <a:r>
            <a:rPr lang="en-US" altLang="ko-KR" sz="900" b="0" baseline="0">
              <a:solidFill>
                <a:srgbClr val="0000FF"/>
              </a:solidFill>
              <a:latin typeface="+mn-ea"/>
              <a:ea typeface="+mn-ea"/>
              <a:cs typeface="JBold" pitchFamily="18" charset="-127"/>
            </a:rPr>
            <a:t>Location, File/Style)</a:t>
          </a:r>
          <a:endParaRPr lang="ko-KR" altLang="en-US" sz="900" b="0">
            <a:solidFill>
              <a:srgbClr val="0000FF"/>
            </a:solidFill>
            <a:latin typeface="+mn-ea"/>
            <a:ea typeface="+mn-ea"/>
            <a:cs typeface="JBold" pitchFamily="18" charset="-127"/>
          </a:endParaRPr>
        </a:p>
      </xdr:txBody>
    </xdr:sp>
    <xdr:clientData/>
  </xdr:twoCellAnchor>
  <xdr:twoCellAnchor>
    <xdr:from>
      <xdr:col>8</xdr:col>
      <xdr:colOff>67800</xdr:colOff>
      <xdr:row>13</xdr:row>
      <xdr:rowOff>72000</xdr:rowOff>
    </xdr:from>
    <xdr:to>
      <xdr:col>13</xdr:col>
      <xdr:colOff>171450</xdr:colOff>
      <xdr:row>13</xdr:row>
      <xdr:rowOff>72000</xdr:rowOff>
    </xdr:to>
    <xdr:cxnSp macro="">
      <xdr:nvCxnSpPr>
        <xdr:cNvPr id="14" name="직선 연결선 13">
          <a:extLst>
            <a:ext uri="{FF2B5EF4-FFF2-40B4-BE49-F238E27FC236}">
              <a16:creationId xmlns:a16="http://schemas.microsoft.com/office/drawing/2014/main" xmlns="" id="{00000000-0008-0000-0000-00000F010000}"/>
            </a:ext>
          </a:extLst>
        </xdr:cNvPr>
        <xdr:cNvCxnSpPr>
          <a:stCxn id="6" idx="6"/>
          <a:endCxn id="8" idx="2"/>
        </xdr:cNvCxnSpPr>
      </xdr:nvCxnSpPr>
      <xdr:spPr>
        <a:xfrm>
          <a:off x="1925175" y="3110475"/>
          <a:ext cx="1341900" cy="0"/>
        </a:xfrm>
        <a:prstGeom prst="line">
          <a:avLst/>
        </a:prstGeom>
        <a:ln w="1587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67800</xdr:colOff>
      <xdr:row>13</xdr:row>
      <xdr:rowOff>72000</xdr:rowOff>
    </xdr:from>
    <xdr:to>
      <xdr:col>21</xdr:col>
      <xdr:colOff>171450</xdr:colOff>
      <xdr:row>13</xdr:row>
      <xdr:rowOff>72000</xdr:rowOff>
    </xdr:to>
    <xdr:cxnSp macro="">
      <xdr:nvCxnSpPr>
        <xdr:cNvPr id="15" name="직선 연결선 14">
          <a:extLst>
            <a:ext uri="{FF2B5EF4-FFF2-40B4-BE49-F238E27FC236}">
              <a16:creationId xmlns:a16="http://schemas.microsoft.com/office/drawing/2014/main" xmlns="" id="{00000000-0008-0000-0000-00000F010000}"/>
            </a:ext>
          </a:extLst>
        </xdr:cNvPr>
        <xdr:cNvCxnSpPr>
          <a:stCxn id="8" idx="6"/>
          <a:endCxn id="10" idx="2"/>
        </xdr:cNvCxnSpPr>
      </xdr:nvCxnSpPr>
      <xdr:spPr>
        <a:xfrm>
          <a:off x="3411075" y="3110475"/>
          <a:ext cx="1837200" cy="0"/>
        </a:xfrm>
        <a:prstGeom prst="line">
          <a:avLst/>
        </a:prstGeom>
        <a:ln w="1587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171450</xdr:colOff>
      <xdr:row>13</xdr:row>
      <xdr:rowOff>0</xdr:rowOff>
    </xdr:from>
    <xdr:to>
      <xdr:col>31</xdr:col>
      <xdr:colOff>67800</xdr:colOff>
      <xdr:row>13</xdr:row>
      <xdr:rowOff>144000</xdr:rowOff>
    </xdr:to>
    <xdr:sp macro="" textlink="">
      <xdr:nvSpPr>
        <xdr:cNvPr id="16" name="순서도: 연결자 15">
          <a:extLst>
            <a:ext uri="{FF2B5EF4-FFF2-40B4-BE49-F238E27FC236}">
              <a16:creationId xmlns:a16="http://schemas.microsoft.com/office/drawing/2014/main" xmlns="" id="{00000000-0008-0000-0000-000016010000}"/>
            </a:ext>
          </a:extLst>
        </xdr:cNvPr>
        <xdr:cNvSpPr/>
      </xdr:nvSpPr>
      <xdr:spPr>
        <a:xfrm>
          <a:off x="7477125" y="3038475"/>
          <a:ext cx="144000" cy="144000"/>
        </a:xfrm>
        <a:prstGeom prst="flowChartConnector">
          <a:avLst/>
        </a:prstGeom>
        <a:solidFill>
          <a:schemeClr val="bg1"/>
        </a:solidFill>
        <a:ln w="25400">
          <a:solidFill>
            <a:schemeClr val="tx1">
              <a:lumMod val="95000"/>
              <a:lumOff val="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ko-KR" altLang="en-US" sz="800" b="1">
            <a:latin typeface="돋움" pitchFamily="50" charset="-127"/>
            <a:ea typeface="돋움" pitchFamily="50" charset="-127"/>
          </a:endParaRPr>
        </a:p>
      </xdr:txBody>
    </xdr:sp>
    <xdr:clientData/>
  </xdr:twoCellAnchor>
  <xdr:twoCellAnchor>
    <xdr:from>
      <xdr:col>28</xdr:col>
      <xdr:colOff>209550</xdr:colOff>
      <xdr:row>10</xdr:row>
      <xdr:rowOff>152399</xdr:rowOff>
    </xdr:from>
    <xdr:to>
      <xdr:col>33</xdr:col>
      <xdr:colOff>51300</xdr:colOff>
      <xdr:row>12</xdr:row>
      <xdr:rowOff>180149</xdr:rowOff>
    </xdr:to>
    <xdr:sp macro="" textlink="">
      <xdr:nvSpPr>
        <xdr:cNvPr id="17" name="직사각형 16">
          <a:extLst>
            <a:ext uri="{FF2B5EF4-FFF2-40B4-BE49-F238E27FC236}">
              <a16:creationId xmlns:a16="http://schemas.microsoft.com/office/drawing/2014/main" xmlns="" id="{00000000-0008-0000-0000-000017010000}"/>
            </a:ext>
          </a:extLst>
        </xdr:cNvPr>
        <xdr:cNvSpPr/>
      </xdr:nvSpPr>
      <xdr:spPr>
        <a:xfrm>
          <a:off x="7019925" y="2476499"/>
          <a:ext cx="1080000" cy="504000"/>
        </a:xfrm>
        <a:prstGeom prst="rect">
          <a:avLst/>
        </a:prstGeom>
        <a:solidFill>
          <a:schemeClr val="bg1"/>
        </a:solidFill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marL="0" indent="0" algn="ctr"/>
          <a:r>
            <a:rPr lang="en-US" altLang="ko-KR" sz="900" b="1">
              <a:solidFill>
                <a:schemeClr val="tx1"/>
              </a:solidFill>
              <a:latin typeface="+mn-ea"/>
              <a:ea typeface="+mn-ea"/>
              <a:cs typeface="JBold" pitchFamily="18" charset="-127"/>
            </a:rPr>
            <a:t>C.Fabric W/H IN</a:t>
          </a:r>
        </a:p>
        <a:p>
          <a:pPr marL="0" indent="0" algn="ctr"/>
          <a:r>
            <a:rPr lang="en-US" altLang="ko-KR" sz="900" b="1">
              <a:solidFill>
                <a:schemeClr val="tx1"/>
              </a:solidFill>
              <a:latin typeface="+mn-ea"/>
              <a:ea typeface="+mn-ea"/>
              <a:cs typeface="JBold" pitchFamily="18" charset="-127"/>
            </a:rPr>
            <a:t>Reg.</a:t>
          </a:r>
          <a:endParaRPr lang="ko-KR" altLang="en-US" sz="900" b="1">
            <a:solidFill>
              <a:schemeClr val="tx1"/>
            </a:solidFill>
            <a:latin typeface="+mn-ea"/>
            <a:ea typeface="+mn-ea"/>
            <a:cs typeface="JBold" pitchFamily="18" charset="-127"/>
          </a:endParaRPr>
        </a:p>
      </xdr:txBody>
    </xdr:sp>
    <xdr:clientData/>
  </xdr:twoCellAnchor>
  <xdr:twoCellAnchor>
    <xdr:from>
      <xdr:col>22</xdr:col>
      <xdr:colOff>67800</xdr:colOff>
      <xdr:row>13</xdr:row>
      <xdr:rowOff>72000</xdr:rowOff>
    </xdr:from>
    <xdr:to>
      <xdr:col>30</xdr:col>
      <xdr:colOff>171450</xdr:colOff>
      <xdr:row>13</xdr:row>
      <xdr:rowOff>72000</xdr:rowOff>
    </xdr:to>
    <xdr:cxnSp macro="">
      <xdr:nvCxnSpPr>
        <xdr:cNvPr id="18" name="직선 연결선 17">
          <a:extLst>
            <a:ext uri="{FF2B5EF4-FFF2-40B4-BE49-F238E27FC236}">
              <a16:creationId xmlns:a16="http://schemas.microsoft.com/office/drawing/2014/main" xmlns="" id="{00000000-0008-0000-0000-00000F010000}"/>
            </a:ext>
          </a:extLst>
        </xdr:cNvPr>
        <xdr:cNvCxnSpPr>
          <a:stCxn id="10" idx="6"/>
          <a:endCxn id="16" idx="2"/>
        </xdr:cNvCxnSpPr>
      </xdr:nvCxnSpPr>
      <xdr:spPr>
        <a:xfrm>
          <a:off x="5392275" y="3110475"/>
          <a:ext cx="2084850" cy="0"/>
        </a:xfrm>
        <a:prstGeom prst="line">
          <a:avLst/>
        </a:prstGeom>
        <a:ln w="1587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180975</xdr:colOff>
      <xdr:row>17</xdr:row>
      <xdr:rowOff>180975</xdr:rowOff>
    </xdr:from>
    <xdr:to>
      <xdr:col>35</xdr:col>
      <xdr:colOff>77325</xdr:colOff>
      <xdr:row>18</xdr:row>
      <xdr:rowOff>86850</xdr:rowOff>
    </xdr:to>
    <xdr:sp macro="" textlink="">
      <xdr:nvSpPr>
        <xdr:cNvPr id="19" name="순서도: 연결자 18">
          <a:extLst>
            <a:ext uri="{FF2B5EF4-FFF2-40B4-BE49-F238E27FC236}">
              <a16:creationId xmlns:a16="http://schemas.microsoft.com/office/drawing/2014/main" xmlns="" id="{00000000-0008-0000-0000-000016010000}"/>
            </a:ext>
          </a:extLst>
        </xdr:cNvPr>
        <xdr:cNvSpPr/>
      </xdr:nvSpPr>
      <xdr:spPr>
        <a:xfrm>
          <a:off x="8477250" y="4171950"/>
          <a:ext cx="144000" cy="144000"/>
        </a:xfrm>
        <a:prstGeom prst="flowChartConnector">
          <a:avLst/>
        </a:prstGeom>
        <a:solidFill>
          <a:srgbClr val="0000FF"/>
        </a:solidFill>
        <a:ln w="25400">
          <a:solidFill>
            <a:srgbClr val="0000F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ko-KR" altLang="en-US" sz="800" b="1">
            <a:latin typeface="돋움" pitchFamily="50" charset="-127"/>
            <a:ea typeface="돋움" pitchFamily="50" charset="-127"/>
          </a:endParaRPr>
        </a:p>
      </xdr:txBody>
    </xdr:sp>
    <xdr:clientData/>
  </xdr:twoCellAnchor>
  <xdr:twoCellAnchor>
    <xdr:from>
      <xdr:col>32</xdr:col>
      <xdr:colOff>38100</xdr:colOff>
      <xdr:row>15</xdr:row>
      <xdr:rowOff>19050</xdr:rowOff>
    </xdr:from>
    <xdr:to>
      <xdr:col>37</xdr:col>
      <xdr:colOff>228600</xdr:colOff>
      <xdr:row>17</xdr:row>
      <xdr:rowOff>107317</xdr:rowOff>
    </xdr:to>
    <xdr:sp macro="" textlink="">
      <xdr:nvSpPr>
        <xdr:cNvPr id="20" name="직사각형 19">
          <a:extLst>
            <a:ext uri="{FF2B5EF4-FFF2-40B4-BE49-F238E27FC236}">
              <a16:creationId xmlns:a16="http://schemas.microsoft.com/office/drawing/2014/main" xmlns="" id="{00000000-0008-0000-0000-000017010000}"/>
            </a:ext>
          </a:extLst>
        </xdr:cNvPr>
        <xdr:cNvSpPr/>
      </xdr:nvSpPr>
      <xdr:spPr>
        <a:xfrm>
          <a:off x="7839075" y="3533775"/>
          <a:ext cx="1428750" cy="564517"/>
        </a:xfrm>
        <a:prstGeom prst="rect">
          <a:avLst/>
        </a:prstGeom>
        <a:solidFill>
          <a:schemeClr val="bg1"/>
        </a:solidFill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marL="0" indent="0" algn="ctr"/>
          <a:r>
            <a:rPr lang="en-US" altLang="ko-KR" sz="900" b="1">
              <a:solidFill>
                <a:srgbClr val="0000FF"/>
              </a:solidFill>
              <a:latin typeface="+mn-ea"/>
              <a:ea typeface="+mn-ea"/>
              <a:cs typeface="JBold" pitchFamily="18" charset="-127"/>
            </a:rPr>
            <a:t>Trans Information</a:t>
          </a:r>
        </a:p>
        <a:p>
          <a:pPr marL="0" indent="0" algn="ctr"/>
          <a:r>
            <a:rPr lang="en-US" altLang="ko-KR" sz="900" b="0">
              <a:solidFill>
                <a:srgbClr val="0000FF"/>
              </a:solidFill>
              <a:latin typeface="+mn-ea"/>
              <a:ea typeface="+mn-ea"/>
              <a:cs typeface="JBold" pitchFamily="18" charset="-127"/>
            </a:rPr>
            <a:t>(File/Style,</a:t>
          </a:r>
          <a:r>
            <a:rPr lang="en-US" altLang="ko-KR" sz="900" b="0" baseline="0">
              <a:solidFill>
                <a:srgbClr val="0000FF"/>
              </a:solidFill>
              <a:latin typeface="+mn-ea"/>
              <a:ea typeface="+mn-ea"/>
              <a:cs typeface="JBold" pitchFamily="18" charset="-127"/>
            </a:rPr>
            <a:t> Location)</a:t>
          </a:r>
          <a:endParaRPr lang="ko-KR" altLang="en-US" sz="900" b="0">
            <a:solidFill>
              <a:srgbClr val="0000FF"/>
            </a:solidFill>
            <a:latin typeface="+mn-ea"/>
            <a:ea typeface="+mn-ea"/>
            <a:cs typeface="JBold" pitchFamily="18" charset="-127"/>
          </a:endParaRPr>
        </a:p>
      </xdr:txBody>
    </xdr:sp>
    <xdr:clientData/>
  </xdr:twoCellAnchor>
  <xdr:twoCellAnchor>
    <xdr:from>
      <xdr:col>38</xdr:col>
      <xdr:colOff>180975</xdr:colOff>
      <xdr:row>13</xdr:row>
      <xdr:rowOff>0</xdr:rowOff>
    </xdr:from>
    <xdr:to>
      <xdr:col>39</xdr:col>
      <xdr:colOff>77325</xdr:colOff>
      <xdr:row>13</xdr:row>
      <xdr:rowOff>144000</xdr:rowOff>
    </xdr:to>
    <xdr:sp macro="" textlink="">
      <xdr:nvSpPr>
        <xdr:cNvPr id="21" name="순서도: 연결자 20">
          <a:extLst>
            <a:ext uri="{FF2B5EF4-FFF2-40B4-BE49-F238E27FC236}">
              <a16:creationId xmlns:a16="http://schemas.microsoft.com/office/drawing/2014/main" xmlns="" id="{00000000-0008-0000-0000-000016010000}"/>
            </a:ext>
          </a:extLst>
        </xdr:cNvPr>
        <xdr:cNvSpPr/>
      </xdr:nvSpPr>
      <xdr:spPr>
        <a:xfrm>
          <a:off x="9467850" y="3038475"/>
          <a:ext cx="144000" cy="144000"/>
        </a:xfrm>
        <a:prstGeom prst="flowChartConnector">
          <a:avLst/>
        </a:prstGeom>
        <a:solidFill>
          <a:schemeClr val="bg1"/>
        </a:solidFill>
        <a:ln w="25400">
          <a:solidFill>
            <a:schemeClr val="tx1">
              <a:lumMod val="95000"/>
              <a:lumOff val="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ko-KR" altLang="en-US" sz="800" b="1">
            <a:latin typeface="돋움" pitchFamily="50" charset="-127"/>
            <a:ea typeface="돋움" pitchFamily="50" charset="-127"/>
          </a:endParaRPr>
        </a:p>
      </xdr:txBody>
    </xdr:sp>
    <xdr:clientData/>
  </xdr:twoCellAnchor>
  <xdr:twoCellAnchor>
    <xdr:from>
      <xdr:col>36</xdr:col>
      <xdr:colOff>28574</xdr:colOff>
      <xdr:row>10</xdr:row>
      <xdr:rowOff>152399</xdr:rowOff>
    </xdr:from>
    <xdr:to>
      <xdr:col>41</xdr:col>
      <xdr:colOff>228599</xdr:colOff>
      <xdr:row>12</xdr:row>
      <xdr:rowOff>180149</xdr:rowOff>
    </xdr:to>
    <xdr:sp macro="" textlink="">
      <xdr:nvSpPr>
        <xdr:cNvPr id="22" name="직사각형 21">
          <a:extLst>
            <a:ext uri="{FF2B5EF4-FFF2-40B4-BE49-F238E27FC236}">
              <a16:creationId xmlns:a16="http://schemas.microsoft.com/office/drawing/2014/main" xmlns="" id="{00000000-0008-0000-0000-000017010000}"/>
            </a:ext>
          </a:extLst>
        </xdr:cNvPr>
        <xdr:cNvSpPr/>
      </xdr:nvSpPr>
      <xdr:spPr>
        <a:xfrm>
          <a:off x="8820149" y="2476499"/>
          <a:ext cx="1438275" cy="504000"/>
        </a:xfrm>
        <a:prstGeom prst="rect">
          <a:avLst/>
        </a:prstGeom>
        <a:solidFill>
          <a:schemeClr val="bg1"/>
        </a:solidFill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marL="0" indent="0" algn="ctr"/>
          <a:r>
            <a:rPr lang="en-US" altLang="ko-KR" sz="900" b="1">
              <a:solidFill>
                <a:schemeClr val="tx1"/>
              </a:solidFill>
              <a:latin typeface="+mn-ea"/>
              <a:ea typeface="+mn-ea"/>
              <a:cs typeface="JBold" pitchFamily="18" charset="-127"/>
            </a:rPr>
            <a:t>C.Fabric W/H OUT</a:t>
          </a:r>
        </a:p>
        <a:p>
          <a:pPr marL="0" indent="0" algn="ctr"/>
          <a:r>
            <a:rPr lang="en-US" altLang="ko-KR" sz="900" b="1">
              <a:solidFill>
                <a:schemeClr val="tx1"/>
              </a:solidFill>
              <a:latin typeface="+mn-ea"/>
              <a:ea typeface="+mn-ea"/>
              <a:cs typeface="JBold" pitchFamily="18" charset="-127"/>
            </a:rPr>
            <a:t>Reg.</a:t>
          </a:r>
          <a:endParaRPr lang="ko-KR" altLang="en-US" sz="900" b="1">
            <a:solidFill>
              <a:schemeClr val="tx1"/>
            </a:solidFill>
            <a:latin typeface="+mn-ea"/>
            <a:ea typeface="+mn-ea"/>
            <a:cs typeface="JBold" pitchFamily="18" charset="-127"/>
          </a:endParaRPr>
        </a:p>
      </xdr:txBody>
    </xdr:sp>
    <xdr:clientData/>
  </xdr:twoCellAnchor>
  <xdr:twoCellAnchor>
    <xdr:from>
      <xdr:col>31</xdr:col>
      <xdr:colOff>67800</xdr:colOff>
      <xdr:row>13</xdr:row>
      <xdr:rowOff>72000</xdr:rowOff>
    </xdr:from>
    <xdr:to>
      <xdr:col>38</xdr:col>
      <xdr:colOff>180975</xdr:colOff>
      <xdr:row>13</xdr:row>
      <xdr:rowOff>72000</xdr:rowOff>
    </xdr:to>
    <xdr:cxnSp macro="">
      <xdr:nvCxnSpPr>
        <xdr:cNvPr id="23" name="직선 연결선 22">
          <a:extLst>
            <a:ext uri="{FF2B5EF4-FFF2-40B4-BE49-F238E27FC236}">
              <a16:creationId xmlns:a16="http://schemas.microsoft.com/office/drawing/2014/main" xmlns="" id="{00000000-0008-0000-0000-00000F010000}"/>
            </a:ext>
          </a:extLst>
        </xdr:cNvPr>
        <xdr:cNvCxnSpPr>
          <a:stCxn id="16" idx="6"/>
          <a:endCxn id="21" idx="2"/>
        </xdr:cNvCxnSpPr>
      </xdr:nvCxnSpPr>
      <xdr:spPr>
        <a:xfrm>
          <a:off x="7621125" y="3110475"/>
          <a:ext cx="1846725" cy="0"/>
        </a:xfrm>
        <a:prstGeom prst="line">
          <a:avLst/>
        </a:prstGeom>
        <a:ln w="1587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46</xdr:col>
      <xdr:colOff>180975</xdr:colOff>
      <xdr:row>13</xdr:row>
      <xdr:rowOff>0</xdr:rowOff>
    </xdr:from>
    <xdr:to>
      <xdr:col>47</xdr:col>
      <xdr:colOff>77325</xdr:colOff>
      <xdr:row>13</xdr:row>
      <xdr:rowOff>144000</xdr:rowOff>
    </xdr:to>
    <xdr:sp macro="" textlink="">
      <xdr:nvSpPr>
        <xdr:cNvPr id="24" name="순서도: 연결자 23">
          <a:extLst>
            <a:ext uri="{FF2B5EF4-FFF2-40B4-BE49-F238E27FC236}">
              <a16:creationId xmlns:a16="http://schemas.microsoft.com/office/drawing/2014/main" xmlns="" id="{00000000-0008-0000-0000-000016010000}"/>
            </a:ext>
          </a:extLst>
        </xdr:cNvPr>
        <xdr:cNvSpPr/>
      </xdr:nvSpPr>
      <xdr:spPr>
        <a:xfrm>
          <a:off x="11449050" y="3038475"/>
          <a:ext cx="144000" cy="144000"/>
        </a:xfrm>
        <a:prstGeom prst="flowChartConnector">
          <a:avLst/>
        </a:prstGeom>
        <a:solidFill>
          <a:schemeClr val="bg1"/>
        </a:solidFill>
        <a:ln w="25400">
          <a:solidFill>
            <a:schemeClr val="tx1">
              <a:lumMod val="95000"/>
              <a:lumOff val="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ko-KR" altLang="en-US" sz="800" b="1">
            <a:latin typeface="돋움" pitchFamily="50" charset="-127"/>
            <a:ea typeface="돋움" pitchFamily="50" charset="-127"/>
          </a:endParaRPr>
        </a:p>
      </xdr:txBody>
    </xdr:sp>
    <xdr:clientData/>
  </xdr:twoCellAnchor>
  <xdr:twoCellAnchor>
    <xdr:from>
      <xdr:col>44</xdr:col>
      <xdr:colOff>28574</xdr:colOff>
      <xdr:row>10</xdr:row>
      <xdr:rowOff>142875</xdr:rowOff>
    </xdr:from>
    <xdr:to>
      <xdr:col>49</xdr:col>
      <xdr:colOff>228599</xdr:colOff>
      <xdr:row>12</xdr:row>
      <xdr:rowOff>170625</xdr:rowOff>
    </xdr:to>
    <xdr:sp macro="" textlink="">
      <xdr:nvSpPr>
        <xdr:cNvPr id="25" name="직사각형 24">
          <a:extLst>
            <a:ext uri="{FF2B5EF4-FFF2-40B4-BE49-F238E27FC236}">
              <a16:creationId xmlns:a16="http://schemas.microsoft.com/office/drawing/2014/main" xmlns="" id="{00000000-0008-0000-0000-000017010000}"/>
            </a:ext>
          </a:extLst>
        </xdr:cNvPr>
        <xdr:cNvSpPr/>
      </xdr:nvSpPr>
      <xdr:spPr>
        <a:xfrm>
          <a:off x="10801349" y="2466975"/>
          <a:ext cx="1438275" cy="504000"/>
        </a:xfrm>
        <a:prstGeom prst="rect">
          <a:avLst/>
        </a:prstGeom>
        <a:solidFill>
          <a:schemeClr val="bg1"/>
        </a:solidFill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marL="0" indent="0" algn="ctr"/>
          <a:r>
            <a:rPr lang="en-US" altLang="ko-KR" sz="900" b="1">
              <a:solidFill>
                <a:schemeClr val="tx1"/>
              </a:solidFill>
              <a:latin typeface="+mn-ea"/>
              <a:ea typeface="+mn-ea"/>
              <a:cs typeface="JBold" pitchFamily="18" charset="-127"/>
            </a:rPr>
            <a:t>Spreading</a:t>
          </a:r>
          <a:r>
            <a:rPr lang="en-US" altLang="ko-KR" sz="900" b="1" baseline="0">
              <a:solidFill>
                <a:schemeClr val="tx1"/>
              </a:solidFill>
              <a:latin typeface="+mn-ea"/>
              <a:ea typeface="+mn-ea"/>
              <a:cs typeface="JBold" pitchFamily="18" charset="-127"/>
            </a:rPr>
            <a:t> &amp; Cutting</a:t>
          </a:r>
        </a:p>
        <a:p>
          <a:pPr marL="0" indent="0" algn="ctr"/>
          <a:r>
            <a:rPr lang="en-US" altLang="ko-KR" sz="900" b="1" baseline="0">
              <a:solidFill>
                <a:schemeClr val="tx1"/>
              </a:solidFill>
              <a:latin typeface="+mn-ea"/>
              <a:ea typeface="+mn-ea"/>
              <a:cs typeface="JBold" pitchFamily="18" charset="-127"/>
            </a:rPr>
            <a:t>Reg.</a:t>
          </a:r>
          <a:endParaRPr lang="ko-KR" altLang="en-US" sz="900" b="1">
            <a:solidFill>
              <a:schemeClr val="tx1"/>
            </a:solidFill>
            <a:latin typeface="+mn-ea"/>
            <a:ea typeface="+mn-ea"/>
            <a:cs typeface="JBold" pitchFamily="18" charset="-127"/>
          </a:endParaRPr>
        </a:p>
      </xdr:txBody>
    </xdr:sp>
    <xdr:clientData/>
  </xdr:twoCellAnchor>
  <xdr:twoCellAnchor>
    <xdr:from>
      <xdr:col>39</xdr:col>
      <xdr:colOff>77325</xdr:colOff>
      <xdr:row>13</xdr:row>
      <xdr:rowOff>72000</xdr:rowOff>
    </xdr:from>
    <xdr:to>
      <xdr:col>46</xdr:col>
      <xdr:colOff>180975</xdr:colOff>
      <xdr:row>13</xdr:row>
      <xdr:rowOff>72000</xdr:rowOff>
    </xdr:to>
    <xdr:cxnSp macro="">
      <xdr:nvCxnSpPr>
        <xdr:cNvPr id="26" name="직선 연결선 25">
          <a:extLst>
            <a:ext uri="{FF2B5EF4-FFF2-40B4-BE49-F238E27FC236}">
              <a16:creationId xmlns:a16="http://schemas.microsoft.com/office/drawing/2014/main" xmlns="" id="{00000000-0008-0000-0000-00000F010000}"/>
            </a:ext>
          </a:extLst>
        </xdr:cNvPr>
        <xdr:cNvCxnSpPr>
          <a:stCxn id="21" idx="6"/>
          <a:endCxn id="24" idx="2"/>
        </xdr:cNvCxnSpPr>
      </xdr:nvCxnSpPr>
      <xdr:spPr>
        <a:xfrm>
          <a:off x="9611850" y="3110475"/>
          <a:ext cx="1837200" cy="0"/>
        </a:xfrm>
        <a:prstGeom prst="line">
          <a:avLst/>
        </a:prstGeom>
        <a:ln w="1587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180975</xdr:colOff>
      <xdr:row>16</xdr:row>
      <xdr:rowOff>161925</xdr:rowOff>
    </xdr:from>
    <xdr:to>
      <xdr:col>43</xdr:col>
      <xdr:colOff>77325</xdr:colOff>
      <xdr:row>17</xdr:row>
      <xdr:rowOff>67800</xdr:rowOff>
    </xdr:to>
    <xdr:sp macro="" textlink="">
      <xdr:nvSpPr>
        <xdr:cNvPr id="27" name="순서도: 연결자 26">
          <a:extLst>
            <a:ext uri="{FF2B5EF4-FFF2-40B4-BE49-F238E27FC236}">
              <a16:creationId xmlns:a16="http://schemas.microsoft.com/office/drawing/2014/main" xmlns="" id="{00000000-0008-0000-0000-000016010000}"/>
            </a:ext>
          </a:extLst>
        </xdr:cNvPr>
        <xdr:cNvSpPr/>
      </xdr:nvSpPr>
      <xdr:spPr>
        <a:xfrm>
          <a:off x="10458450" y="3914775"/>
          <a:ext cx="144000" cy="144000"/>
        </a:xfrm>
        <a:prstGeom prst="flowChartConnector">
          <a:avLst/>
        </a:prstGeom>
        <a:solidFill>
          <a:srgbClr val="0000FF"/>
        </a:solidFill>
        <a:ln w="25400">
          <a:solidFill>
            <a:srgbClr val="0000F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marL="0" indent="0" algn="ctr"/>
          <a:endParaRPr lang="ko-KR" altLang="en-US" sz="800" b="1">
            <a:solidFill>
              <a:schemeClr val="lt1"/>
            </a:solidFill>
            <a:latin typeface="돋움" pitchFamily="50" charset="-127"/>
            <a:ea typeface="돋움" pitchFamily="50" charset="-127"/>
            <a:cs typeface="+mn-cs"/>
          </a:endParaRPr>
        </a:p>
      </xdr:txBody>
    </xdr:sp>
    <xdr:clientData/>
  </xdr:twoCellAnchor>
  <xdr:twoCellAnchor>
    <xdr:from>
      <xdr:col>40</xdr:col>
      <xdr:colOff>28574</xdr:colOff>
      <xdr:row>14</xdr:row>
      <xdr:rowOff>28575</xdr:rowOff>
    </xdr:from>
    <xdr:to>
      <xdr:col>45</xdr:col>
      <xdr:colOff>228599</xdr:colOff>
      <xdr:row>16</xdr:row>
      <xdr:rowOff>88268</xdr:rowOff>
    </xdr:to>
    <xdr:sp macro="" textlink="">
      <xdr:nvSpPr>
        <xdr:cNvPr id="28" name="직사각형 27">
          <a:extLst>
            <a:ext uri="{FF2B5EF4-FFF2-40B4-BE49-F238E27FC236}">
              <a16:creationId xmlns:a16="http://schemas.microsoft.com/office/drawing/2014/main" xmlns="" id="{00000000-0008-0000-0000-000017010000}"/>
            </a:ext>
          </a:extLst>
        </xdr:cNvPr>
        <xdr:cNvSpPr/>
      </xdr:nvSpPr>
      <xdr:spPr>
        <a:xfrm>
          <a:off x="9810749" y="3305175"/>
          <a:ext cx="1438275" cy="535943"/>
        </a:xfrm>
        <a:prstGeom prst="rect">
          <a:avLst/>
        </a:prstGeom>
        <a:solidFill>
          <a:schemeClr val="bg1"/>
        </a:solidFill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marL="0" indent="0" algn="ctr"/>
          <a:r>
            <a:rPr lang="en-US" altLang="ko-KR" sz="900" b="1">
              <a:solidFill>
                <a:srgbClr val="0000FF"/>
              </a:solidFill>
              <a:latin typeface="+mn-ea"/>
              <a:ea typeface="+mn-ea"/>
              <a:cs typeface="JBold" pitchFamily="18" charset="-127"/>
            </a:rPr>
            <a:t>Size Ratio by Marker</a:t>
          </a:r>
        </a:p>
        <a:p>
          <a:pPr marL="0" indent="0" algn="ctr"/>
          <a:r>
            <a:rPr lang="en-US" altLang="ko-KR" sz="900" b="1">
              <a:solidFill>
                <a:srgbClr val="0000FF"/>
              </a:solidFill>
              <a:latin typeface="+mn-ea"/>
              <a:ea typeface="+mn-ea"/>
              <a:cs typeface="JBold" pitchFamily="18" charset="-127"/>
            </a:rPr>
            <a:t>Reg.</a:t>
          </a:r>
          <a:endParaRPr lang="ko-KR" altLang="en-US" sz="900" b="1">
            <a:solidFill>
              <a:srgbClr val="0000FF"/>
            </a:solidFill>
            <a:latin typeface="+mn-ea"/>
            <a:ea typeface="+mn-ea"/>
            <a:cs typeface="JBold" pitchFamily="18" charset="-127"/>
          </a:endParaRPr>
        </a:p>
      </xdr:txBody>
    </xdr:sp>
    <xdr:clientData/>
  </xdr:twoCellAnchor>
  <xdr:twoCellAnchor>
    <xdr:from>
      <xdr:col>43</xdr:col>
      <xdr:colOff>77325</xdr:colOff>
      <xdr:row>13</xdr:row>
      <xdr:rowOff>122912</xdr:rowOff>
    </xdr:from>
    <xdr:to>
      <xdr:col>46</xdr:col>
      <xdr:colOff>202063</xdr:colOff>
      <xdr:row>16</xdr:row>
      <xdr:rowOff>233925</xdr:rowOff>
    </xdr:to>
    <xdr:cxnSp macro="">
      <xdr:nvCxnSpPr>
        <xdr:cNvPr id="29" name="꺾인 연결선 28"/>
        <xdr:cNvCxnSpPr>
          <a:stCxn id="27" idx="6"/>
          <a:endCxn id="24" idx="3"/>
        </xdr:cNvCxnSpPr>
      </xdr:nvCxnSpPr>
      <xdr:spPr>
        <a:xfrm flipV="1">
          <a:off x="10602450" y="3161387"/>
          <a:ext cx="867688" cy="825388"/>
        </a:xfrm>
        <a:prstGeom prst="bentConnector2">
          <a:avLst/>
        </a:prstGeom>
        <a:ln w="15875">
          <a:solidFill>
            <a:srgbClr val="0000FF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180975</xdr:colOff>
      <xdr:row>21</xdr:row>
      <xdr:rowOff>161925</xdr:rowOff>
    </xdr:from>
    <xdr:to>
      <xdr:col>43</xdr:col>
      <xdr:colOff>77325</xdr:colOff>
      <xdr:row>22</xdr:row>
      <xdr:rowOff>67800</xdr:rowOff>
    </xdr:to>
    <xdr:sp macro="" textlink="">
      <xdr:nvSpPr>
        <xdr:cNvPr id="30" name="순서도: 연결자 29">
          <a:extLst>
            <a:ext uri="{FF2B5EF4-FFF2-40B4-BE49-F238E27FC236}">
              <a16:creationId xmlns:a16="http://schemas.microsoft.com/office/drawing/2014/main" xmlns="" id="{00000000-0008-0000-0000-000016010000}"/>
            </a:ext>
          </a:extLst>
        </xdr:cNvPr>
        <xdr:cNvSpPr/>
      </xdr:nvSpPr>
      <xdr:spPr>
        <a:xfrm>
          <a:off x="10458450" y="5105400"/>
          <a:ext cx="144000" cy="144000"/>
        </a:xfrm>
        <a:prstGeom prst="flowChartConnector">
          <a:avLst/>
        </a:prstGeom>
        <a:solidFill>
          <a:srgbClr val="0000FF"/>
        </a:solidFill>
        <a:ln w="25400">
          <a:solidFill>
            <a:srgbClr val="0000F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marL="0" indent="0" algn="ctr"/>
          <a:endParaRPr lang="ko-KR" altLang="en-US" sz="800" b="1">
            <a:solidFill>
              <a:schemeClr val="lt1"/>
            </a:solidFill>
            <a:latin typeface="돋움" pitchFamily="50" charset="-127"/>
            <a:ea typeface="돋움" pitchFamily="50" charset="-127"/>
            <a:cs typeface="+mn-cs"/>
          </a:endParaRPr>
        </a:p>
      </xdr:txBody>
    </xdr:sp>
    <xdr:clientData/>
  </xdr:twoCellAnchor>
  <xdr:twoCellAnchor>
    <xdr:from>
      <xdr:col>40</xdr:col>
      <xdr:colOff>28574</xdr:colOff>
      <xdr:row>19</xdr:row>
      <xdr:rowOff>28575</xdr:rowOff>
    </xdr:from>
    <xdr:to>
      <xdr:col>45</xdr:col>
      <xdr:colOff>228599</xdr:colOff>
      <xdr:row>21</xdr:row>
      <xdr:rowOff>88268</xdr:rowOff>
    </xdr:to>
    <xdr:sp macro="" textlink="">
      <xdr:nvSpPr>
        <xdr:cNvPr id="31" name="직사각형 30">
          <a:extLst>
            <a:ext uri="{FF2B5EF4-FFF2-40B4-BE49-F238E27FC236}">
              <a16:creationId xmlns:a16="http://schemas.microsoft.com/office/drawing/2014/main" xmlns="" id="{00000000-0008-0000-0000-000017010000}"/>
            </a:ext>
          </a:extLst>
        </xdr:cNvPr>
        <xdr:cNvSpPr/>
      </xdr:nvSpPr>
      <xdr:spPr>
        <a:xfrm>
          <a:off x="9810749" y="4495800"/>
          <a:ext cx="1438275" cy="535943"/>
        </a:xfrm>
        <a:prstGeom prst="rect">
          <a:avLst/>
        </a:prstGeom>
        <a:solidFill>
          <a:schemeClr val="bg1"/>
        </a:solidFill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marL="0" indent="0" algn="ctr"/>
          <a:r>
            <a:rPr lang="en-US" altLang="ko-KR" sz="900" b="1">
              <a:solidFill>
                <a:srgbClr val="0000FF"/>
              </a:solidFill>
              <a:latin typeface="+mn-ea"/>
              <a:ea typeface="+mn-ea"/>
              <a:cs typeface="JBold" pitchFamily="18" charset="-127"/>
            </a:rPr>
            <a:t>Production Process</a:t>
          </a:r>
        </a:p>
        <a:p>
          <a:pPr marL="0" indent="0" algn="ctr"/>
          <a:r>
            <a:rPr lang="en-US" altLang="ko-KR" sz="900" b="1">
              <a:solidFill>
                <a:srgbClr val="0000FF"/>
              </a:solidFill>
              <a:latin typeface="+mn-ea"/>
              <a:ea typeface="+mn-ea"/>
              <a:cs typeface="JBold" pitchFamily="18" charset="-127"/>
            </a:rPr>
            <a:t>Reg.</a:t>
          </a:r>
          <a:endParaRPr lang="ko-KR" altLang="en-US" sz="900" b="1">
            <a:solidFill>
              <a:srgbClr val="0000FF"/>
            </a:solidFill>
            <a:latin typeface="+mn-ea"/>
            <a:ea typeface="+mn-ea"/>
            <a:cs typeface="JBold" pitchFamily="18" charset="-127"/>
          </a:endParaRPr>
        </a:p>
      </xdr:txBody>
    </xdr:sp>
    <xdr:clientData/>
  </xdr:twoCellAnchor>
  <xdr:twoCellAnchor>
    <xdr:from>
      <xdr:col>43</xdr:col>
      <xdr:colOff>77325</xdr:colOff>
      <xdr:row>13</xdr:row>
      <xdr:rowOff>122912</xdr:rowOff>
    </xdr:from>
    <xdr:to>
      <xdr:col>47</xdr:col>
      <xdr:colOff>56237</xdr:colOff>
      <xdr:row>21</xdr:row>
      <xdr:rowOff>233925</xdr:rowOff>
    </xdr:to>
    <xdr:cxnSp macro="">
      <xdr:nvCxnSpPr>
        <xdr:cNvPr id="32" name="꺾인 연결선 31"/>
        <xdr:cNvCxnSpPr>
          <a:stCxn id="30" idx="6"/>
          <a:endCxn id="24" idx="5"/>
        </xdr:cNvCxnSpPr>
      </xdr:nvCxnSpPr>
      <xdr:spPr>
        <a:xfrm flipV="1">
          <a:off x="10602450" y="3161387"/>
          <a:ext cx="969512" cy="2016013"/>
        </a:xfrm>
        <a:prstGeom prst="bentConnector2">
          <a:avLst/>
        </a:prstGeom>
        <a:ln w="15875">
          <a:solidFill>
            <a:srgbClr val="0000FF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0</xdr:colOff>
      <xdr:row>13</xdr:row>
      <xdr:rowOff>76200</xdr:rowOff>
    </xdr:from>
    <xdr:to>
      <xdr:col>18</xdr:col>
      <xdr:colOff>0</xdr:colOff>
      <xdr:row>14</xdr:row>
      <xdr:rowOff>171450</xdr:rowOff>
    </xdr:to>
    <xdr:cxnSp macro="">
      <xdr:nvCxnSpPr>
        <xdr:cNvPr id="33" name="직선 화살표 연결선 32"/>
        <xdr:cNvCxnSpPr/>
      </xdr:nvCxnSpPr>
      <xdr:spPr>
        <a:xfrm>
          <a:off x="4333875" y="3114675"/>
          <a:ext cx="0" cy="333375"/>
        </a:xfrm>
        <a:prstGeom prst="straightConnector1">
          <a:avLst/>
        </a:prstGeom>
        <a:ln w="15875">
          <a:solidFill>
            <a:srgbClr val="0000FF"/>
          </a:solidFill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0</xdr:colOff>
      <xdr:row>13</xdr:row>
      <xdr:rowOff>104775</xdr:rowOff>
    </xdr:from>
    <xdr:to>
      <xdr:col>35</xdr:col>
      <xdr:colOff>0</xdr:colOff>
      <xdr:row>14</xdr:row>
      <xdr:rowOff>200025</xdr:rowOff>
    </xdr:to>
    <xdr:cxnSp macro="">
      <xdr:nvCxnSpPr>
        <xdr:cNvPr id="34" name="직선 화살표 연결선 33"/>
        <xdr:cNvCxnSpPr/>
      </xdr:nvCxnSpPr>
      <xdr:spPr>
        <a:xfrm>
          <a:off x="8543925" y="3143250"/>
          <a:ext cx="0" cy="333375"/>
        </a:xfrm>
        <a:prstGeom prst="straightConnector1">
          <a:avLst/>
        </a:prstGeom>
        <a:ln w="15875">
          <a:solidFill>
            <a:srgbClr val="0000FF"/>
          </a:solidFill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171450</xdr:colOff>
      <xdr:row>17</xdr:row>
      <xdr:rowOff>180975</xdr:rowOff>
    </xdr:from>
    <xdr:to>
      <xdr:col>11</xdr:col>
      <xdr:colOff>67800</xdr:colOff>
      <xdr:row>18</xdr:row>
      <xdr:rowOff>86850</xdr:rowOff>
    </xdr:to>
    <xdr:sp macro="" textlink="">
      <xdr:nvSpPr>
        <xdr:cNvPr id="35" name="순서도: 연결자 34">
          <a:extLst>
            <a:ext uri="{FF2B5EF4-FFF2-40B4-BE49-F238E27FC236}">
              <a16:creationId xmlns:a16="http://schemas.microsoft.com/office/drawing/2014/main" xmlns="" id="{00000000-0008-0000-0000-000016010000}"/>
            </a:ext>
          </a:extLst>
        </xdr:cNvPr>
        <xdr:cNvSpPr/>
      </xdr:nvSpPr>
      <xdr:spPr>
        <a:xfrm>
          <a:off x="2524125" y="4171950"/>
          <a:ext cx="144000" cy="144000"/>
        </a:xfrm>
        <a:prstGeom prst="flowChartConnector">
          <a:avLst/>
        </a:prstGeom>
        <a:solidFill>
          <a:srgbClr val="0000FF"/>
        </a:solidFill>
        <a:ln w="25400">
          <a:solidFill>
            <a:srgbClr val="0000F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ko-KR" altLang="en-US" sz="800" b="1">
            <a:latin typeface="돋움" pitchFamily="50" charset="-127"/>
            <a:ea typeface="돋움" pitchFamily="50" charset="-127"/>
          </a:endParaRPr>
        </a:p>
      </xdr:txBody>
    </xdr:sp>
    <xdr:clientData/>
  </xdr:twoCellAnchor>
  <xdr:twoCellAnchor>
    <xdr:from>
      <xdr:col>8</xdr:col>
      <xdr:colOff>28575</xdr:colOff>
      <xdr:row>15</xdr:row>
      <xdr:rowOff>19050</xdr:rowOff>
    </xdr:from>
    <xdr:to>
      <xdr:col>13</xdr:col>
      <xdr:colOff>219075</xdr:colOff>
      <xdr:row>17</xdr:row>
      <xdr:rowOff>107317</xdr:rowOff>
    </xdr:to>
    <xdr:sp macro="" textlink="">
      <xdr:nvSpPr>
        <xdr:cNvPr id="36" name="직사각형 35">
          <a:extLst>
            <a:ext uri="{FF2B5EF4-FFF2-40B4-BE49-F238E27FC236}">
              <a16:creationId xmlns:a16="http://schemas.microsoft.com/office/drawing/2014/main" xmlns="" id="{00000000-0008-0000-0000-000017010000}"/>
            </a:ext>
          </a:extLst>
        </xdr:cNvPr>
        <xdr:cNvSpPr/>
      </xdr:nvSpPr>
      <xdr:spPr>
        <a:xfrm>
          <a:off x="1885950" y="3533775"/>
          <a:ext cx="1428750" cy="564517"/>
        </a:xfrm>
        <a:prstGeom prst="rect">
          <a:avLst/>
        </a:prstGeom>
        <a:solidFill>
          <a:schemeClr val="bg1"/>
        </a:solidFill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marL="0" indent="0" algn="ctr"/>
          <a:r>
            <a:rPr lang="en-US" altLang="ko-KR" sz="900" b="1">
              <a:solidFill>
                <a:srgbClr val="0000FF"/>
              </a:solidFill>
              <a:latin typeface="+mn-ea"/>
              <a:ea typeface="+mn-ea"/>
              <a:cs typeface="JBold" pitchFamily="18" charset="-127"/>
            </a:rPr>
            <a:t>M.W/H</a:t>
          </a:r>
          <a:r>
            <a:rPr lang="en-US" altLang="ko-KR" sz="900" b="1" baseline="0">
              <a:solidFill>
                <a:srgbClr val="0000FF"/>
              </a:solidFill>
              <a:latin typeface="+mn-ea"/>
              <a:ea typeface="+mn-ea"/>
              <a:cs typeface="JBold" pitchFamily="18" charset="-127"/>
            </a:rPr>
            <a:t> IN - Plan</a:t>
          </a:r>
        </a:p>
        <a:p>
          <a:pPr marL="0" indent="0" algn="ctr"/>
          <a:r>
            <a:rPr lang="en-US" altLang="ko-KR" sz="900" b="1" baseline="0">
              <a:solidFill>
                <a:srgbClr val="0000FF"/>
              </a:solidFill>
              <a:latin typeface="+mn-ea"/>
              <a:ea typeface="+mn-ea"/>
              <a:cs typeface="JBold" pitchFamily="18" charset="-127"/>
            </a:rPr>
            <a:t>Reg.</a:t>
          </a:r>
          <a:endParaRPr lang="ko-KR" altLang="en-US" sz="900" b="0">
            <a:solidFill>
              <a:srgbClr val="0000FF"/>
            </a:solidFill>
            <a:latin typeface="+mn-ea"/>
            <a:ea typeface="+mn-ea"/>
            <a:cs typeface="JBold" pitchFamily="18" charset="-127"/>
          </a:endParaRPr>
        </a:p>
      </xdr:txBody>
    </xdr:sp>
    <xdr:clientData/>
  </xdr:twoCellAnchor>
  <xdr:twoCellAnchor>
    <xdr:from>
      <xdr:col>11</xdr:col>
      <xdr:colOff>67800</xdr:colOff>
      <xdr:row>13</xdr:row>
      <xdr:rowOff>122912</xdr:rowOff>
    </xdr:from>
    <xdr:to>
      <xdr:col>13</xdr:col>
      <xdr:colOff>192538</xdr:colOff>
      <xdr:row>18</xdr:row>
      <xdr:rowOff>14850</xdr:rowOff>
    </xdr:to>
    <xdr:cxnSp macro="">
      <xdr:nvCxnSpPr>
        <xdr:cNvPr id="37" name="꺾인 연결선 36"/>
        <xdr:cNvCxnSpPr>
          <a:stCxn id="35" idx="6"/>
          <a:endCxn id="8" idx="3"/>
        </xdr:cNvCxnSpPr>
      </xdr:nvCxnSpPr>
      <xdr:spPr>
        <a:xfrm flipV="1">
          <a:off x="2668125" y="3161387"/>
          <a:ext cx="620038" cy="1082563"/>
        </a:xfrm>
        <a:prstGeom prst="bentConnector2">
          <a:avLst/>
        </a:prstGeom>
        <a:ln w="15875">
          <a:solidFill>
            <a:srgbClr val="0000FF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54</xdr:col>
      <xdr:colOff>180975</xdr:colOff>
      <xdr:row>13</xdr:row>
      <xdr:rowOff>0</xdr:rowOff>
    </xdr:from>
    <xdr:to>
      <xdr:col>55</xdr:col>
      <xdr:colOff>77325</xdr:colOff>
      <xdr:row>13</xdr:row>
      <xdr:rowOff>144000</xdr:rowOff>
    </xdr:to>
    <xdr:sp macro="" textlink="">
      <xdr:nvSpPr>
        <xdr:cNvPr id="38" name="순서도: 연결자 37">
          <a:extLst>
            <a:ext uri="{FF2B5EF4-FFF2-40B4-BE49-F238E27FC236}">
              <a16:creationId xmlns:a16="http://schemas.microsoft.com/office/drawing/2014/main" xmlns="" id="{00000000-0008-0000-0000-000016010000}"/>
            </a:ext>
          </a:extLst>
        </xdr:cNvPr>
        <xdr:cNvSpPr/>
      </xdr:nvSpPr>
      <xdr:spPr>
        <a:xfrm>
          <a:off x="13430250" y="3038475"/>
          <a:ext cx="144000" cy="144000"/>
        </a:xfrm>
        <a:prstGeom prst="flowChartConnector">
          <a:avLst/>
        </a:prstGeom>
        <a:solidFill>
          <a:schemeClr val="bg1"/>
        </a:solidFill>
        <a:ln w="25400">
          <a:solidFill>
            <a:schemeClr val="tx1">
              <a:lumMod val="95000"/>
              <a:lumOff val="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ko-KR" altLang="en-US" sz="800" b="1">
            <a:latin typeface="돋움" pitchFamily="50" charset="-127"/>
            <a:ea typeface="돋움" pitchFamily="50" charset="-127"/>
          </a:endParaRPr>
        </a:p>
      </xdr:txBody>
    </xdr:sp>
    <xdr:clientData/>
  </xdr:twoCellAnchor>
  <xdr:twoCellAnchor>
    <xdr:from>
      <xdr:col>52</xdr:col>
      <xdr:colOff>152400</xdr:colOff>
      <xdr:row>10</xdr:row>
      <xdr:rowOff>152399</xdr:rowOff>
    </xdr:from>
    <xdr:to>
      <xdr:col>57</xdr:col>
      <xdr:colOff>117975</xdr:colOff>
      <xdr:row>12</xdr:row>
      <xdr:rowOff>180149</xdr:rowOff>
    </xdr:to>
    <xdr:sp macro="" textlink="">
      <xdr:nvSpPr>
        <xdr:cNvPr id="39" name="직사각형 38">
          <a:extLst>
            <a:ext uri="{FF2B5EF4-FFF2-40B4-BE49-F238E27FC236}">
              <a16:creationId xmlns:a16="http://schemas.microsoft.com/office/drawing/2014/main" xmlns="" id="{00000000-0008-0000-0000-000017010000}"/>
            </a:ext>
          </a:extLst>
        </xdr:cNvPr>
        <xdr:cNvSpPr/>
      </xdr:nvSpPr>
      <xdr:spPr>
        <a:xfrm>
          <a:off x="12906375" y="2476499"/>
          <a:ext cx="1203825" cy="504000"/>
        </a:xfrm>
        <a:prstGeom prst="rect">
          <a:avLst/>
        </a:prstGeom>
        <a:solidFill>
          <a:schemeClr val="bg1"/>
        </a:solidFill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marL="0" indent="0" algn="ctr"/>
          <a:r>
            <a:rPr lang="en-US" altLang="ko-KR" sz="900" b="1">
              <a:solidFill>
                <a:schemeClr val="tx1"/>
              </a:solidFill>
              <a:latin typeface="+mn-ea"/>
              <a:ea typeface="+mn-ea"/>
              <a:cs typeface="JBold" pitchFamily="18" charset="-127"/>
            </a:rPr>
            <a:t>C.Bundle W/H IN</a:t>
          </a:r>
        </a:p>
        <a:p>
          <a:pPr marL="0" indent="0" algn="ctr"/>
          <a:r>
            <a:rPr lang="en-US" altLang="ko-KR" sz="900" b="1">
              <a:solidFill>
                <a:schemeClr val="tx1"/>
              </a:solidFill>
              <a:latin typeface="+mn-ea"/>
              <a:ea typeface="+mn-ea"/>
              <a:cs typeface="JBold" pitchFamily="18" charset="-127"/>
            </a:rPr>
            <a:t>Reg.</a:t>
          </a:r>
          <a:endParaRPr lang="ko-KR" altLang="en-US" sz="900" b="1">
            <a:solidFill>
              <a:schemeClr val="tx1"/>
            </a:solidFill>
            <a:latin typeface="+mn-ea"/>
            <a:ea typeface="+mn-ea"/>
            <a:cs typeface="JBold" pitchFamily="18" charset="-127"/>
          </a:endParaRPr>
        </a:p>
      </xdr:txBody>
    </xdr:sp>
    <xdr:clientData/>
  </xdr:twoCellAnchor>
  <xdr:twoCellAnchor>
    <xdr:from>
      <xdr:col>62</xdr:col>
      <xdr:colOff>190500</xdr:colOff>
      <xdr:row>13</xdr:row>
      <xdr:rowOff>0</xdr:rowOff>
    </xdr:from>
    <xdr:to>
      <xdr:col>63</xdr:col>
      <xdr:colOff>86850</xdr:colOff>
      <xdr:row>13</xdr:row>
      <xdr:rowOff>144000</xdr:rowOff>
    </xdr:to>
    <xdr:sp macro="" textlink="">
      <xdr:nvSpPr>
        <xdr:cNvPr id="40" name="순서도: 연결자 39">
          <a:extLst>
            <a:ext uri="{FF2B5EF4-FFF2-40B4-BE49-F238E27FC236}">
              <a16:creationId xmlns:a16="http://schemas.microsoft.com/office/drawing/2014/main" xmlns="" id="{00000000-0008-0000-0000-000016010000}"/>
            </a:ext>
          </a:extLst>
        </xdr:cNvPr>
        <xdr:cNvSpPr/>
      </xdr:nvSpPr>
      <xdr:spPr>
        <a:xfrm>
          <a:off x="15420975" y="3038475"/>
          <a:ext cx="144000" cy="144000"/>
        </a:xfrm>
        <a:prstGeom prst="flowChartConnector">
          <a:avLst/>
        </a:prstGeom>
        <a:solidFill>
          <a:schemeClr val="bg1"/>
        </a:solidFill>
        <a:ln w="25400">
          <a:solidFill>
            <a:schemeClr val="tx1">
              <a:lumMod val="95000"/>
              <a:lumOff val="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ko-KR" altLang="en-US" sz="800" b="1">
            <a:latin typeface="돋움" pitchFamily="50" charset="-127"/>
            <a:ea typeface="돋움" pitchFamily="50" charset="-127"/>
          </a:endParaRPr>
        </a:p>
      </xdr:txBody>
    </xdr:sp>
    <xdr:clientData/>
  </xdr:twoCellAnchor>
  <xdr:twoCellAnchor>
    <xdr:from>
      <xdr:col>60</xdr:col>
      <xdr:colOff>35122</xdr:colOff>
      <xdr:row>10</xdr:row>
      <xdr:rowOff>152399</xdr:rowOff>
    </xdr:from>
    <xdr:to>
      <xdr:col>65</xdr:col>
      <xdr:colOff>219075</xdr:colOff>
      <xdr:row>12</xdr:row>
      <xdr:rowOff>180149</xdr:rowOff>
    </xdr:to>
    <xdr:sp macro="" textlink="">
      <xdr:nvSpPr>
        <xdr:cNvPr id="41" name="직사각형 40">
          <a:extLst>
            <a:ext uri="{FF2B5EF4-FFF2-40B4-BE49-F238E27FC236}">
              <a16:creationId xmlns:a16="http://schemas.microsoft.com/office/drawing/2014/main" xmlns="" id="{00000000-0008-0000-0000-000017010000}"/>
            </a:ext>
          </a:extLst>
        </xdr:cNvPr>
        <xdr:cNvSpPr/>
      </xdr:nvSpPr>
      <xdr:spPr>
        <a:xfrm>
          <a:off x="14770297" y="2476499"/>
          <a:ext cx="1422203" cy="504000"/>
        </a:xfrm>
        <a:prstGeom prst="rect">
          <a:avLst/>
        </a:prstGeom>
        <a:solidFill>
          <a:schemeClr val="bg1"/>
        </a:solidFill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marL="0" indent="0" algn="ctr"/>
          <a:r>
            <a:rPr lang="en-US" altLang="ko-KR" sz="900" b="1">
              <a:solidFill>
                <a:schemeClr val="tx1"/>
              </a:solidFill>
              <a:latin typeface="+mn-ea"/>
              <a:ea typeface="+mn-ea"/>
              <a:cs typeface="JBold" pitchFamily="18" charset="-127"/>
            </a:rPr>
            <a:t>C.Bundle W/H OUT</a:t>
          </a:r>
        </a:p>
        <a:p>
          <a:pPr marL="0" indent="0" algn="ctr"/>
          <a:r>
            <a:rPr lang="en-US" altLang="ko-KR" sz="900" b="1">
              <a:solidFill>
                <a:schemeClr val="tx1"/>
              </a:solidFill>
              <a:latin typeface="+mn-ea"/>
              <a:ea typeface="+mn-ea"/>
              <a:cs typeface="JBold" pitchFamily="18" charset="-127"/>
            </a:rPr>
            <a:t>Reg.</a:t>
          </a:r>
          <a:endParaRPr lang="ko-KR" altLang="en-US" sz="900" b="1">
            <a:solidFill>
              <a:schemeClr val="tx1"/>
            </a:solidFill>
            <a:latin typeface="+mn-ea"/>
            <a:ea typeface="+mn-ea"/>
            <a:cs typeface="JBold" pitchFamily="18" charset="-127"/>
          </a:endParaRPr>
        </a:p>
      </xdr:txBody>
    </xdr:sp>
    <xdr:clientData/>
  </xdr:twoCellAnchor>
  <xdr:twoCellAnchor>
    <xdr:from>
      <xdr:col>55</xdr:col>
      <xdr:colOff>77325</xdr:colOff>
      <xdr:row>13</xdr:row>
      <xdr:rowOff>72000</xdr:rowOff>
    </xdr:from>
    <xdr:to>
      <xdr:col>62</xdr:col>
      <xdr:colOff>190500</xdr:colOff>
      <xdr:row>13</xdr:row>
      <xdr:rowOff>72000</xdr:rowOff>
    </xdr:to>
    <xdr:cxnSp macro="">
      <xdr:nvCxnSpPr>
        <xdr:cNvPr id="42" name="직선 연결선 41">
          <a:extLst>
            <a:ext uri="{FF2B5EF4-FFF2-40B4-BE49-F238E27FC236}">
              <a16:creationId xmlns:a16="http://schemas.microsoft.com/office/drawing/2014/main" xmlns="" id="{00000000-0008-0000-0000-00000F010000}"/>
            </a:ext>
          </a:extLst>
        </xdr:cNvPr>
        <xdr:cNvCxnSpPr>
          <a:stCxn id="38" idx="6"/>
          <a:endCxn id="40" idx="2"/>
        </xdr:cNvCxnSpPr>
      </xdr:nvCxnSpPr>
      <xdr:spPr>
        <a:xfrm>
          <a:off x="13574250" y="3110475"/>
          <a:ext cx="1846725" cy="0"/>
        </a:xfrm>
        <a:prstGeom prst="line">
          <a:avLst/>
        </a:prstGeom>
        <a:ln w="1587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47</xdr:col>
      <xdr:colOff>77325</xdr:colOff>
      <xdr:row>13</xdr:row>
      <xdr:rowOff>72000</xdr:rowOff>
    </xdr:from>
    <xdr:to>
      <xdr:col>54</xdr:col>
      <xdr:colOff>180975</xdr:colOff>
      <xdr:row>13</xdr:row>
      <xdr:rowOff>72000</xdr:rowOff>
    </xdr:to>
    <xdr:cxnSp macro="">
      <xdr:nvCxnSpPr>
        <xdr:cNvPr id="43" name="직선 연결선 42">
          <a:extLst>
            <a:ext uri="{FF2B5EF4-FFF2-40B4-BE49-F238E27FC236}">
              <a16:creationId xmlns:a16="http://schemas.microsoft.com/office/drawing/2014/main" xmlns="" id="{00000000-0008-0000-0000-00000F010000}"/>
            </a:ext>
          </a:extLst>
        </xdr:cNvPr>
        <xdr:cNvCxnSpPr>
          <a:stCxn id="24" idx="6"/>
          <a:endCxn id="38" idx="2"/>
        </xdr:cNvCxnSpPr>
      </xdr:nvCxnSpPr>
      <xdr:spPr>
        <a:xfrm>
          <a:off x="11593050" y="3110475"/>
          <a:ext cx="1837200" cy="0"/>
        </a:xfrm>
        <a:prstGeom prst="line">
          <a:avLst/>
        </a:prstGeom>
        <a:ln w="1587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180975</xdr:colOff>
      <xdr:row>21</xdr:row>
      <xdr:rowOff>171450</xdr:rowOff>
    </xdr:from>
    <xdr:to>
      <xdr:col>18</xdr:col>
      <xdr:colOff>77325</xdr:colOff>
      <xdr:row>22</xdr:row>
      <xdr:rowOff>77325</xdr:rowOff>
    </xdr:to>
    <xdr:sp macro="" textlink="">
      <xdr:nvSpPr>
        <xdr:cNvPr id="44" name="순서도: 연결자 43">
          <a:extLst>
            <a:ext uri="{FF2B5EF4-FFF2-40B4-BE49-F238E27FC236}">
              <a16:creationId xmlns:a16="http://schemas.microsoft.com/office/drawing/2014/main" xmlns="" id="{00000000-0008-0000-0000-000016010000}"/>
            </a:ext>
          </a:extLst>
        </xdr:cNvPr>
        <xdr:cNvSpPr/>
      </xdr:nvSpPr>
      <xdr:spPr>
        <a:xfrm>
          <a:off x="4267200" y="5114925"/>
          <a:ext cx="144000" cy="144000"/>
        </a:xfrm>
        <a:prstGeom prst="flowChartConnector">
          <a:avLst/>
        </a:prstGeom>
        <a:solidFill>
          <a:srgbClr val="FF0000"/>
        </a:solidFill>
        <a:ln w="254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marL="0" indent="0" algn="ctr"/>
          <a:endParaRPr lang="ko-KR" altLang="en-US" sz="800" b="1">
            <a:solidFill>
              <a:schemeClr val="lt1"/>
            </a:solidFill>
            <a:latin typeface="돋움" pitchFamily="50" charset="-127"/>
            <a:ea typeface="돋움" pitchFamily="50" charset="-127"/>
            <a:cs typeface="+mn-cs"/>
          </a:endParaRPr>
        </a:p>
      </xdr:txBody>
    </xdr:sp>
    <xdr:clientData/>
  </xdr:twoCellAnchor>
  <xdr:twoCellAnchor>
    <xdr:from>
      <xdr:col>15</xdr:col>
      <xdr:colOff>28574</xdr:colOff>
      <xdr:row>19</xdr:row>
      <xdr:rowOff>104774</xdr:rowOff>
    </xdr:from>
    <xdr:to>
      <xdr:col>20</xdr:col>
      <xdr:colOff>228599</xdr:colOff>
      <xdr:row>21</xdr:row>
      <xdr:rowOff>132524</xdr:rowOff>
    </xdr:to>
    <xdr:sp macro="" textlink="">
      <xdr:nvSpPr>
        <xdr:cNvPr id="45" name="직사각형 44">
          <a:extLst>
            <a:ext uri="{FF2B5EF4-FFF2-40B4-BE49-F238E27FC236}">
              <a16:creationId xmlns:a16="http://schemas.microsoft.com/office/drawing/2014/main" xmlns="" id="{00000000-0008-0000-0000-000017010000}"/>
            </a:ext>
          </a:extLst>
        </xdr:cNvPr>
        <xdr:cNvSpPr/>
      </xdr:nvSpPr>
      <xdr:spPr>
        <a:xfrm>
          <a:off x="3619499" y="4571999"/>
          <a:ext cx="1438275" cy="504000"/>
        </a:xfrm>
        <a:prstGeom prst="rect">
          <a:avLst/>
        </a:prstGeom>
        <a:solidFill>
          <a:schemeClr val="bg1"/>
        </a:solidFill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marL="0" indent="0" algn="ctr"/>
          <a:r>
            <a:rPr lang="en-US" altLang="ko-KR" sz="900" b="1">
              <a:solidFill>
                <a:srgbClr val="FF0000"/>
              </a:solidFill>
              <a:latin typeface="+mn-ea"/>
              <a:ea typeface="+mn-ea"/>
              <a:cs typeface="JBold" pitchFamily="18" charset="-127"/>
            </a:rPr>
            <a:t>Sub-processing</a:t>
          </a:r>
        </a:p>
        <a:p>
          <a:pPr marL="0" indent="0" algn="ctr"/>
          <a:r>
            <a:rPr lang="en-US" altLang="ko-KR" sz="900" b="0">
              <a:solidFill>
                <a:srgbClr val="FF0000"/>
              </a:solidFill>
              <a:latin typeface="+mn-ea"/>
              <a:ea typeface="+mn-ea"/>
              <a:cs typeface="JBold" pitchFamily="18" charset="-127"/>
            </a:rPr>
            <a:t>(Fabric Washing)</a:t>
          </a:r>
          <a:endParaRPr lang="ko-KR" altLang="en-US" sz="900" b="0">
            <a:solidFill>
              <a:srgbClr val="FF0000"/>
            </a:solidFill>
            <a:latin typeface="+mn-ea"/>
            <a:ea typeface="+mn-ea"/>
            <a:cs typeface="JBold" pitchFamily="18" charset="-127"/>
          </a:endParaRPr>
        </a:p>
      </xdr:txBody>
    </xdr:sp>
    <xdr:clientData/>
  </xdr:twoCellAnchor>
  <xdr:twoCellAnchor>
    <xdr:from>
      <xdr:col>18</xdr:col>
      <xdr:colOff>77325</xdr:colOff>
      <xdr:row>13</xdr:row>
      <xdr:rowOff>122913</xdr:rowOff>
    </xdr:from>
    <xdr:to>
      <xdr:col>21</xdr:col>
      <xdr:colOff>192538</xdr:colOff>
      <xdr:row>22</xdr:row>
      <xdr:rowOff>5326</xdr:rowOff>
    </xdr:to>
    <xdr:cxnSp macro="">
      <xdr:nvCxnSpPr>
        <xdr:cNvPr id="46" name="꺾인 연결선 45"/>
        <xdr:cNvCxnSpPr>
          <a:stCxn id="10" idx="3"/>
          <a:endCxn id="44" idx="6"/>
        </xdr:cNvCxnSpPr>
      </xdr:nvCxnSpPr>
      <xdr:spPr>
        <a:xfrm rot="5400000">
          <a:off x="3827513" y="3745075"/>
          <a:ext cx="2025538" cy="858163"/>
        </a:xfrm>
        <a:prstGeom prst="bentConnector2">
          <a:avLst/>
        </a:prstGeom>
        <a:ln w="15875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46713</xdr:colOff>
      <xdr:row>13</xdr:row>
      <xdr:rowOff>122912</xdr:rowOff>
    </xdr:from>
    <xdr:to>
      <xdr:col>17</xdr:col>
      <xdr:colOff>180976</xdr:colOff>
      <xdr:row>22</xdr:row>
      <xdr:rowOff>5325</xdr:rowOff>
    </xdr:to>
    <xdr:cxnSp macro="">
      <xdr:nvCxnSpPr>
        <xdr:cNvPr id="47" name="꺾인 연결선 46"/>
        <xdr:cNvCxnSpPr>
          <a:stCxn id="44" idx="2"/>
          <a:endCxn id="8" idx="5"/>
        </xdr:cNvCxnSpPr>
      </xdr:nvCxnSpPr>
      <xdr:spPr>
        <a:xfrm rot="10800000">
          <a:off x="3389988" y="3161387"/>
          <a:ext cx="877213" cy="2025538"/>
        </a:xfrm>
        <a:prstGeom prst="bentConnector2">
          <a:avLst/>
        </a:prstGeom>
        <a:ln w="15875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133350</xdr:colOff>
      <xdr:row>7</xdr:row>
      <xdr:rowOff>123825</xdr:rowOff>
    </xdr:from>
    <xdr:to>
      <xdr:col>18</xdr:col>
      <xdr:colOff>101700</xdr:colOff>
      <xdr:row>8</xdr:row>
      <xdr:rowOff>101700</xdr:rowOff>
    </xdr:to>
    <xdr:sp macro="" textlink="">
      <xdr:nvSpPr>
        <xdr:cNvPr id="48" name="순서도: 연결자 47">
          <a:extLst>
            <a:ext uri="{FF2B5EF4-FFF2-40B4-BE49-F238E27FC236}">
              <a16:creationId xmlns:a16="http://schemas.microsoft.com/office/drawing/2014/main" xmlns="" id="{00000000-0008-0000-0000-000016010000}"/>
            </a:ext>
          </a:extLst>
        </xdr:cNvPr>
        <xdr:cNvSpPr>
          <a:spLocks noChangeAspect="1"/>
        </xdr:cNvSpPr>
      </xdr:nvSpPr>
      <xdr:spPr>
        <a:xfrm>
          <a:off x="4219575" y="1847850"/>
          <a:ext cx="216000" cy="216000"/>
        </a:xfrm>
        <a:prstGeom prst="flowChartConnector">
          <a:avLst/>
        </a:prstGeom>
        <a:solidFill>
          <a:srgbClr val="FFFF00"/>
        </a:solidFill>
        <a:ln w="25400">
          <a:solidFill>
            <a:schemeClr val="tx1">
              <a:lumMod val="95000"/>
              <a:lumOff val="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ko-KR" altLang="en-US" sz="800" b="1">
            <a:latin typeface="돋움" pitchFamily="50" charset="-127"/>
            <a:ea typeface="돋움" pitchFamily="50" charset="-127"/>
          </a:endParaRPr>
        </a:p>
      </xdr:txBody>
    </xdr:sp>
    <xdr:clientData/>
  </xdr:twoCellAnchor>
  <xdr:twoCellAnchor>
    <xdr:from>
      <xdr:col>15</xdr:col>
      <xdr:colOff>200025</xdr:colOff>
      <xdr:row>6</xdr:row>
      <xdr:rowOff>28575</xdr:rowOff>
    </xdr:from>
    <xdr:to>
      <xdr:col>20</xdr:col>
      <xdr:colOff>41775</xdr:colOff>
      <xdr:row>7</xdr:row>
      <xdr:rowOff>80023</xdr:rowOff>
    </xdr:to>
    <xdr:sp macro="" textlink="">
      <xdr:nvSpPr>
        <xdr:cNvPr id="49" name="직사각형 48">
          <a:extLst>
            <a:ext uri="{FF2B5EF4-FFF2-40B4-BE49-F238E27FC236}">
              <a16:creationId xmlns:a16="http://schemas.microsoft.com/office/drawing/2014/main" xmlns="" id="{00000000-0008-0000-0000-000017010000}"/>
            </a:ext>
          </a:extLst>
        </xdr:cNvPr>
        <xdr:cNvSpPr/>
      </xdr:nvSpPr>
      <xdr:spPr>
        <a:xfrm>
          <a:off x="3790950" y="1514475"/>
          <a:ext cx="1080000" cy="289573"/>
        </a:xfrm>
        <a:prstGeom prst="rect">
          <a:avLst/>
        </a:prstGeom>
        <a:solidFill>
          <a:schemeClr val="bg1"/>
        </a:solidFill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marL="0" indent="0" algn="ctr"/>
          <a:r>
            <a:rPr lang="en-US" altLang="ko-KR" sz="1000" b="1">
              <a:solidFill>
                <a:schemeClr val="tx1"/>
              </a:solidFill>
              <a:latin typeface="+mn-ea"/>
              <a:ea typeface="+mn-ea"/>
              <a:cs typeface="JBold" pitchFamily="18" charset="-127"/>
            </a:rPr>
            <a:t>Material W/H</a:t>
          </a:r>
          <a:endParaRPr lang="ko-KR" altLang="en-US" sz="1000" b="1">
            <a:solidFill>
              <a:schemeClr val="tx1"/>
            </a:solidFill>
            <a:latin typeface="+mn-ea"/>
            <a:ea typeface="+mn-ea"/>
            <a:cs typeface="JBold" pitchFamily="18" charset="-127"/>
          </a:endParaRPr>
        </a:p>
      </xdr:txBody>
    </xdr:sp>
    <xdr:clientData/>
  </xdr:twoCellAnchor>
  <xdr:twoCellAnchor>
    <xdr:from>
      <xdr:col>21</xdr:col>
      <xdr:colOff>142875</xdr:colOff>
      <xdr:row>25</xdr:row>
      <xdr:rowOff>0</xdr:rowOff>
    </xdr:from>
    <xdr:to>
      <xdr:col>22</xdr:col>
      <xdr:colOff>111225</xdr:colOff>
      <xdr:row>25</xdr:row>
      <xdr:rowOff>216000</xdr:rowOff>
    </xdr:to>
    <xdr:sp macro="" textlink="">
      <xdr:nvSpPr>
        <xdr:cNvPr id="50" name="순서도: 연결자 49">
          <a:extLst>
            <a:ext uri="{FF2B5EF4-FFF2-40B4-BE49-F238E27FC236}">
              <a16:creationId xmlns:a16="http://schemas.microsoft.com/office/drawing/2014/main" xmlns="" id="{00000000-0008-0000-0000-000016010000}"/>
            </a:ext>
          </a:extLst>
        </xdr:cNvPr>
        <xdr:cNvSpPr>
          <a:spLocks noChangeAspect="1"/>
        </xdr:cNvSpPr>
      </xdr:nvSpPr>
      <xdr:spPr>
        <a:xfrm>
          <a:off x="5219700" y="5895975"/>
          <a:ext cx="216000" cy="216000"/>
        </a:xfrm>
        <a:prstGeom prst="flowChartConnector">
          <a:avLst/>
        </a:prstGeom>
        <a:solidFill>
          <a:srgbClr val="FFFF00"/>
        </a:solidFill>
        <a:ln w="25400">
          <a:solidFill>
            <a:schemeClr val="tx1">
              <a:lumMod val="95000"/>
              <a:lumOff val="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ko-KR" altLang="en-US" sz="800" b="1">
            <a:latin typeface="돋움" pitchFamily="50" charset="-127"/>
            <a:ea typeface="돋움" pitchFamily="50" charset="-127"/>
          </a:endParaRPr>
        </a:p>
      </xdr:txBody>
    </xdr:sp>
    <xdr:clientData/>
  </xdr:twoCellAnchor>
  <xdr:twoCellAnchor>
    <xdr:from>
      <xdr:col>19</xdr:col>
      <xdr:colOff>209550</xdr:colOff>
      <xdr:row>26</xdr:row>
      <xdr:rowOff>47625</xdr:rowOff>
    </xdr:from>
    <xdr:to>
      <xdr:col>24</xdr:col>
      <xdr:colOff>51300</xdr:colOff>
      <xdr:row>27</xdr:row>
      <xdr:rowOff>99073</xdr:rowOff>
    </xdr:to>
    <xdr:sp macro="" textlink="">
      <xdr:nvSpPr>
        <xdr:cNvPr id="51" name="직사각형 50">
          <a:extLst>
            <a:ext uri="{FF2B5EF4-FFF2-40B4-BE49-F238E27FC236}">
              <a16:creationId xmlns:a16="http://schemas.microsoft.com/office/drawing/2014/main" xmlns="" id="{00000000-0008-0000-0000-000017010000}"/>
            </a:ext>
          </a:extLst>
        </xdr:cNvPr>
        <xdr:cNvSpPr/>
      </xdr:nvSpPr>
      <xdr:spPr>
        <a:xfrm>
          <a:off x="4791075" y="6181725"/>
          <a:ext cx="1080000" cy="289573"/>
        </a:xfrm>
        <a:prstGeom prst="rect">
          <a:avLst/>
        </a:prstGeom>
        <a:solidFill>
          <a:schemeClr val="bg1"/>
        </a:solidFill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marL="0" indent="0" algn="ctr"/>
          <a:r>
            <a:rPr lang="en-US" altLang="ko-KR" sz="1000" b="1">
              <a:solidFill>
                <a:schemeClr val="tx1"/>
              </a:solidFill>
              <a:latin typeface="+mn-ea"/>
              <a:ea typeface="+mn-ea"/>
              <a:cs typeface="JBold" pitchFamily="18" charset="-127"/>
            </a:rPr>
            <a:t>Subcontract</a:t>
          </a:r>
          <a:endParaRPr lang="ko-KR" altLang="en-US" sz="1000" b="1">
            <a:solidFill>
              <a:schemeClr val="tx1"/>
            </a:solidFill>
            <a:latin typeface="+mn-ea"/>
            <a:ea typeface="+mn-ea"/>
            <a:cs typeface="JBold" pitchFamily="18" charset="-127"/>
          </a:endParaRPr>
        </a:p>
      </xdr:txBody>
    </xdr:sp>
    <xdr:clientData/>
  </xdr:twoCellAnchor>
  <xdr:twoCellAnchor>
    <xdr:from>
      <xdr:col>21</xdr:col>
      <xdr:colOff>243450</xdr:colOff>
      <xdr:row>13</xdr:row>
      <xdr:rowOff>144000</xdr:rowOff>
    </xdr:from>
    <xdr:to>
      <xdr:col>22</xdr:col>
      <xdr:colOff>3225</xdr:colOff>
      <xdr:row>25</xdr:row>
      <xdr:rowOff>0</xdr:rowOff>
    </xdr:to>
    <xdr:cxnSp macro="">
      <xdr:nvCxnSpPr>
        <xdr:cNvPr id="52" name="직선 연결선 51">
          <a:extLst>
            <a:ext uri="{FF2B5EF4-FFF2-40B4-BE49-F238E27FC236}">
              <a16:creationId xmlns:a16="http://schemas.microsoft.com/office/drawing/2014/main" xmlns="" id="{00000000-0008-0000-0000-00000F010000}"/>
            </a:ext>
          </a:extLst>
        </xdr:cNvPr>
        <xdr:cNvCxnSpPr>
          <a:stCxn id="10" idx="4"/>
          <a:endCxn id="50" idx="0"/>
        </xdr:cNvCxnSpPr>
      </xdr:nvCxnSpPr>
      <xdr:spPr>
        <a:xfrm>
          <a:off x="5320275" y="3182475"/>
          <a:ext cx="7425" cy="2713500"/>
        </a:xfrm>
        <a:prstGeom prst="line">
          <a:avLst/>
        </a:prstGeom>
        <a:ln w="1587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58</xdr:col>
      <xdr:colOff>180975</xdr:colOff>
      <xdr:row>21</xdr:row>
      <xdr:rowOff>171450</xdr:rowOff>
    </xdr:from>
    <xdr:to>
      <xdr:col>59</xdr:col>
      <xdr:colOff>77325</xdr:colOff>
      <xdr:row>22</xdr:row>
      <xdr:rowOff>77325</xdr:rowOff>
    </xdr:to>
    <xdr:sp macro="" textlink="">
      <xdr:nvSpPr>
        <xdr:cNvPr id="53" name="순서도: 연결자 52">
          <a:extLst>
            <a:ext uri="{FF2B5EF4-FFF2-40B4-BE49-F238E27FC236}">
              <a16:creationId xmlns:a16="http://schemas.microsoft.com/office/drawing/2014/main" xmlns="" id="{00000000-0008-0000-0000-000016010000}"/>
            </a:ext>
          </a:extLst>
        </xdr:cNvPr>
        <xdr:cNvSpPr/>
      </xdr:nvSpPr>
      <xdr:spPr>
        <a:xfrm>
          <a:off x="14420850" y="5114925"/>
          <a:ext cx="144000" cy="144000"/>
        </a:xfrm>
        <a:prstGeom prst="flowChartConnector">
          <a:avLst/>
        </a:prstGeom>
        <a:solidFill>
          <a:srgbClr val="FF0000"/>
        </a:solidFill>
        <a:ln w="254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marL="0" indent="0" algn="ctr"/>
          <a:endParaRPr lang="ko-KR" altLang="en-US" sz="800" b="1">
            <a:solidFill>
              <a:schemeClr val="lt1"/>
            </a:solidFill>
            <a:latin typeface="돋움" pitchFamily="50" charset="-127"/>
            <a:ea typeface="돋움" pitchFamily="50" charset="-127"/>
            <a:cs typeface="+mn-cs"/>
          </a:endParaRPr>
        </a:p>
      </xdr:txBody>
    </xdr:sp>
    <xdr:clientData/>
  </xdr:twoCellAnchor>
  <xdr:twoCellAnchor>
    <xdr:from>
      <xdr:col>56</xdr:col>
      <xdr:colOff>28574</xdr:colOff>
      <xdr:row>19</xdr:row>
      <xdr:rowOff>104774</xdr:rowOff>
    </xdr:from>
    <xdr:to>
      <xdr:col>61</xdr:col>
      <xdr:colOff>228599</xdr:colOff>
      <xdr:row>21</xdr:row>
      <xdr:rowOff>132524</xdr:rowOff>
    </xdr:to>
    <xdr:sp macro="" textlink="">
      <xdr:nvSpPr>
        <xdr:cNvPr id="54" name="직사각형 53">
          <a:extLst>
            <a:ext uri="{FF2B5EF4-FFF2-40B4-BE49-F238E27FC236}">
              <a16:creationId xmlns:a16="http://schemas.microsoft.com/office/drawing/2014/main" xmlns="" id="{00000000-0008-0000-0000-000017010000}"/>
            </a:ext>
          </a:extLst>
        </xdr:cNvPr>
        <xdr:cNvSpPr/>
      </xdr:nvSpPr>
      <xdr:spPr>
        <a:xfrm>
          <a:off x="13773149" y="4571999"/>
          <a:ext cx="1438275" cy="504000"/>
        </a:xfrm>
        <a:prstGeom prst="rect">
          <a:avLst/>
        </a:prstGeom>
        <a:solidFill>
          <a:schemeClr val="bg1"/>
        </a:solidFill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marL="0" indent="0" algn="ctr"/>
          <a:r>
            <a:rPr lang="en-US" altLang="ko-KR" sz="900" b="1">
              <a:solidFill>
                <a:srgbClr val="FF0000"/>
              </a:solidFill>
              <a:latin typeface="+mn-ea"/>
              <a:ea typeface="+mn-ea"/>
              <a:cs typeface="JBold" pitchFamily="18" charset="-127"/>
            </a:rPr>
            <a:t>Sub-processing</a:t>
          </a:r>
        </a:p>
        <a:p>
          <a:pPr marL="0" indent="0" algn="ctr"/>
          <a:r>
            <a:rPr lang="en-US" altLang="ko-KR" sz="900" b="0">
              <a:solidFill>
                <a:srgbClr val="FF0000"/>
              </a:solidFill>
              <a:latin typeface="+mn-ea"/>
              <a:ea typeface="+mn-ea"/>
              <a:cs typeface="JBold" pitchFamily="18" charset="-127"/>
            </a:rPr>
            <a:t>(Print,</a:t>
          </a:r>
          <a:r>
            <a:rPr lang="en-US" altLang="ko-KR" sz="900" b="0" baseline="0">
              <a:solidFill>
                <a:srgbClr val="FF0000"/>
              </a:solidFill>
              <a:latin typeface="+mn-ea"/>
              <a:ea typeface="+mn-ea"/>
              <a:cs typeface="JBold" pitchFamily="18" charset="-127"/>
            </a:rPr>
            <a:t> EMB, etc.)</a:t>
          </a:r>
          <a:endParaRPr lang="ko-KR" altLang="en-US" sz="900" b="0">
            <a:solidFill>
              <a:srgbClr val="FF0000"/>
            </a:solidFill>
            <a:latin typeface="+mn-ea"/>
            <a:ea typeface="+mn-ea"/>
            <a:cs typeface="JBold" pitchFamily="18" charset="-127"/>
          </a:endParaRPr>
        </a:p>
      </xdr:txBody>
    </xdr:sp>
    <xdr:clientData/>
  </xdr:twoCellAnchor>
  <xdr:twoCellAnchor>
    <xdr:from>
      <xdr:col>59</xdr:col>
      <xdr:colOff>77325</xdr:colOff>
      <xdr:row>13</xdr:row>
      <xdr:rowOff>144001</xdr:rowOff>
    </xdr:from>
    <xdr:to>
      <xdr:col>63</xdr:col>
      <xdr:colOff>14850</xdr:colOff>
      <xdr:row>22</xdr:row>
      <xdr:rowOff>5326</xdr:rowOff>
    </xdr:to>
    <xdr:cxnSp macro="">
      <xdr:nvCxnSpPr>
        <xdr:cNvPr id="55" name="꺾인 연결선 54"/>
        <xdr:cNvCxnSpPr>
          <a:stCxn id="40" idx="4"/>
          <a:endCxn id="53" idx="6"/>
        </xdr:cNvCxnSpPr>
      </xdr:nvCxnSpPr>
      <xdr:spPr>
        <a:xfrm rot="5400000">
          <a:off x="14026688" y="3720638"/>
          <a:ext cx="2004450" cy="928125"/>
        </a:xfrm>
        <a:prstGeom prst="bentConnector2">
          <a:avLst/>
        </a:prstGeom>
        <a:ln w="15875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55</xdr:col>
      <xdr:colOff>5325</xdr:colOff>
      <xdr:row>13</xdr:row>
      <xdr:rowOff>144000</xdr:rowOff>
    </xdr:from>
    <xdr:to>
      <xdr:col>58</xdr:col>
      <xdr:colOff>180975</xdr:colOff>
      <xdr:row>22</xdr:row>
      <xdr:rowOff>5325</xdr:rowOff>
    </xdr:to>
    <xdr:cxnSp macro="">
      <xdr:nvCxnSpPr>
        <xdr:cNvPr id="56" name="꺾인 연결선 55"/>
        <xdr:cNvCxnSpPr>
          <a:stCxn id="53" idx="2"/>
          <a:endCxn id="38" idx="4"/>
        </xdr:cNvCxnSpPr>
      </xdr:nvCxnSpPr>
      <xdr:spPr>
        <a:xfrm rot="10800000">
          <a:off x="13502250" y="3182475"/>
          <a:ext cx="918600" cy="2004450"/>
        </a:xfrm>
        <a:prstGeom prst="bentConnector2">
          <a:avLst/>
        </a:prstGeom>
        <a:ln w="15875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238124</xdr:colOff>
      <xdr:row>7</xdr:row>
      <xdr:rowOff>200025</xdr:rowOff>
    </xdr:from>
    <xdr:to>
      <xdr:col>42</xdr:col>
      <xdr:colOff>8174</xdr:colOff>
      <xdr:row>8</xdr:row>
      <xdr:rowOff>133350</xdr:rowOff>
    </xdr:to>
    <xdr:grpSp>
      <xdr:nvGrpSpPr>
        <xdr:cNvPr id="57" name="그룹 56"/>
        <xdr:cNvGrpSpPr/>
      </xdr:nvGrpSpPr>
      <xdr:grpSpPr>
        <a:xfrm>
          <a:off x="6800849" y="1924050"/>
          <a:ext cx="3484800" cy="171450"/>
          <a:chOff x="2714624" y="2038350"/>
          <a:chExt cx="3484800" cy="171450"/>
        </a:xfrm>
      </xdr:grpSpPr>
      <xdr:cxnSp macro="">
        <xdr:nvCxnSpPr>
          <xdr:cNvPr id="58" name="직선 연결선 57"/>
          <xdr:cNvCxnSpPr/>
        </xdr:nvCxnSpPr>
        <xdr:spPr>
          <a:xfrm>
            <a:off x="2724150" y="2038350"/>
            <a:ext cx="0" cy="171450"/>
          </a:xfrm>
          <a:prstGeom prst="line">
            <a:avLst/>
          </a:prstGeom>
          <a:ln w="34925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59" name="직선 연결선 58"/>
          <xdr:cNvCxnSpPr/>
        </xdr:nvCxnSpPr>
        <xdr:spPr>
          <a:xfrm>
            <a:off x="2714624" y="2057400"/>
            <a:ext cx="3484800" cy="0"/>
          </a:xfrm>
          <a:prstGeom prst="line">
            <a:avLst/>
          </a:prstGeom>
          <a:ln w="635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60" name="직선 연결선 59"/>
          <xdr:cNvCxnSpPr/>
        </xdr:nvCxnSpPr>
        <xdr:spPr>
          <a:xfrm>
            <a:off x="6191250" y="2038350"/>
            <a:ext cx="0" cy="171450"/>
          </a:xfrm>
          <a:prstGeom prst="line">
            <a:avLst/>
          </a:prstGeom>
          <a:ln w="34925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34</xdr:col>
      <xdr:colOff>133350</xdr:colOff>
      <xdr:row>7</xdr:row>
      <xdr:rowOff>123825</xdr:rowOff>
    </xdr:from>
    <xdr:to>
      <xdr:col>35</xdr:col>
      <xdr:colOff>101700</xdr:colOff>
      <xdr:row>8</xdr:row>
      <xdr:rowOff>101700</xdr:rowOff>
    </xdr:to>
    <xdr:sp macro="" textlink="">
      <xdr:nvSpPr>
        <xdr:cNvPr id="61" name="순서도: 연결자 60">
          <a:extLst>
            <a:ext uri="{FF2B5EF4-FFF2-40B4-BE49-F238E27FC236}">
              <a16:creationId xmlns:a16="http://schemas.microsoft.com/office/drawing/2014/main" xmlns="" id="{00000000-0008-0000-0000-000016010000}"/>
            </a:ext>
          </a:extLst>
        </xdr:cNvPr>
        <xdr:cNvSpPr>
          <a:spLocks noChangeAspect="1"/>
        </xdr:cNvSpPr>
      </xdr:nvSpPr>
      <xdr:spPr>
        <a:xfrm>
          <a:off x="8429625" y="1847850"/>
          <a:ext cx="216000" cy="216000"/>
        </a:xfrm>
        <a:prstGeom prst="flowChartConnector">
          <a:avLst/>
        </a:prstGeom>
        <a:solidFill>
          <a:srgbClr val="FFFF00"/>
        </a:solidFill>
        <a:ln w="25400">
          <a:solidFill>
            <a:schemeClr val="tx1">
              <a:lumMod val="95000"/>
              <a:lumOff val="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ko-KR" altLang="en-US" sz="800" b="1">
            <a:latin typeface="돋움" pitchFamily="50" charset="-127"/>
            <a:ea typeface="돋움" pitchFamily="50" charset="-127"/>
          </a:endParaRPr>
        </a:p>
      </xdr:txBody>
    </xdr:sp>
    <xdr:clientData/>
  </xdr:twoCellAnchor>
  <xdr:twoCellAnchor>
    <xdr:from>
      <xdr:col>32</xdr:col>
      <xdr:colOff>200025</xdr:colOff>
      <xdr:row>6</xdr:row>
      <xdr:rowOff>28575</xdr:rowOff>
    </xdr:from>
    <xdr:to>
      <xdr:col>37</xdr:col>
      <xdr:colOff>41775</xdr:colOff>
      <xdr:row>7</xdr:row>
      <xdr:rowOff>80023</xdr:rowOff>
    </xdr:to>
    <xdr:sp macro="" textlink="">
      <xdr:nvSpPr>
        <xdr:cNvPr id="62" name="직사각형 61">
          <a:extLst>
            <a:ext uri="{FF2B5EF4-FFF2-40B4-BE49-F238E27FC236}">
              <a16:creationId xmlns:a16="http://schemas.microsoft.com/office/drawing/2014/main" xmlns="" id="{00000000-0008-0000-0000-000017010000}"/>
            </a:ext>
          </a:extLst>
        </xdr:cNvPr>
        <xdr:cNvSpPr/>
      </xdr:nvSpPr>
      <xdr:spPr>
        <a:xfrm>
          <a:off x="8001000" y="1514475"/>
          <a:ext cx="1080000" cy="289573"/>
        </a:xfrm>
        <a:prstGeom prst="rect">
          <a:avLst/>
        </a:prstGeom>
        <a:solidFill>
          <a:schemeClr val="bg1"/>
        </a:solidFill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marL="0" indent="0" algn="ctr"/>
          <a:r>
            <a:rPr lang="en-US" altLang="ko-KR" sz="1000" b="1">
              <a:solidFill>
                <a:schemeClr val="tx1"/>
              </a:solidFill>
              <a:latin typeface="+mn-ea"/>
              <a:ea typeface="+mn-ea"/>
              <a:cs typeface="JBold" pitchFamily="18" charset="-127"/>
            </a:rPr>
            <a:t>C.Fabric W/H</a:t>
          </a:r>
          <a:endParaRPr lang="ko-KR" altLang="en-US" sz="1000" b="1">
            <a:solidFill>
              <a:schemeClr val="tx1"/>
            </a:solidFill>
            <a:latin typeface="+mn-ea"/>
            <a:ea typeface="+mn-ea"/>
            <a:cs typeface="JBold" pitchFamily="18" charset="-127"/>
          </a:endParaRPr>
        </a:p>
      </xdr:txBody>
    </xdr:sp>
    <xdr:clientData/>
  </xdr:twoCellAnchor>
  <xdr:twoCellAnchor>
    <xdr:from>
      <xdr:col>51</xdr:col>
      <xdr:colOff>247649</xdr:colOff>
      <xdr:row>7</xdr:row>
      <xdr:rowOff>200025</xdr:rowOff>
    </xdr:from>
    <xdr:to>
      <xdr:col>66</xdr:col>
      <xdr:colOff>17699</xdr:colOff>
      <xdr:row>8</xdr:row>
      <xdr:rowOff>133350</xdr:rowOff>
    </xdr:to>
    <xdr:grpSp>
      <xdr:nvGrpSpPr>
        <xdr:cNvPr id="63" name="그룹 62"/>
        <xdr:cNvGrpSpPr/>
      </xdr:nvGrpSpPr>
      <xdr:grpSpPr>
        <a:xfrm>
          <a:off x="12753974" y="1924050"/>
          <a:ext cx="3484800" cy="171450"/>
          <a:chOff x="2714624" y="2038350"/>
          <a:chExt cx="3484800" cy="171450"/>
        </a:xfrm>
      </xdr:grpSpPr>
      <xdr:cxnSp macro="">
        <xdr:nvCxnSpPr>
          <xdr:cNvPr id="64" name="직선 연결선 63"/>
          <xdr:cNvCxnSpPr/>
        </xdr:nvCxnSpPr>
        <xdr:spPr>
          <a:xfrm>
            <a:off x="2724150" y="2038350"/>
            <a:ext cx="0" cy="171450"/>
          </a:xfrm>
          <a:prstGeom prst="line">
            <a:avLst/>
          </a:prstGeom>
          <a:ln w="34925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65" name="직선 연결선 64"/>
          <xdr:cNvCxnSpPr/>
        </xdr:nvCxnSpPr>
        <xdr:spPr>
          <a:xfrm>
            <a:off x="2714624" y="2057400"/>
            <a:ext cx="3484800" cy="0"/>
          </a:xfrm>
          <a:prstGeom prst="line">
            <a:avLst/>
          </a:prstGeom>
          <a:ln w="635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66" name="직선 연결선 65"/>
          <xdr:cNvCxnSpPr/>
        </xdr:nvCxnSpPr>
        <xdr:spPr>
          <a:xfrm>
            <a:off x="6191250" y="2038350"/>
            <a:ext cx="0" cy="171450"/>
          </a:xfrm>
          <a:prstGeom prst="line">
            <a:avLst/>
          </a:prstGeom>
          <a:ln w="34925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58</xdr:col>
      <xdr:colOff>142875</xdr:colOff>
      <xdr:row>7</xdr:row>
      <xdr:rowOff>123825</xdr:rowOff>
    </xdr:from>
    <xdr:to>
      <xdr:col>59</xdr:col>
      <xdr:colOff>111225</xdr:colOff>
      <xdr:row>8</xdr:row>
      <xdr:rowOff>101700</xdr:rowOff>
    </xdr:to>
    <xdr:sp macro="" textlink="">
      <xdr:nvSpPr>
        <xdr:cNvPr id="67" name="순서도: 연결자 66">
          <a:extLst>
            <a:ext uri="{FF2B5EF4-FFF2-40B4-BE49-F238E27FC236}">
              <a16:creationId xmlns:a16="http://schemas.microsoft.com/office/drawing/2014/main" xmlns="" id="{00000000-0008-0000-0000-000016010000}"/>
            </a:ext>
          </a:extLst>
        </xdr:cNvPr>
        <xdr:cNvSpPr>
          <a:spLocks noChangeAspect="1"/>
        </xdr:cNvSpPr>
      </xdr:nvSpPr>
      <xdr:spPr>
        <a:xfrm>
          <a:off x="14382750" y="1847850"/>
          <a:ext cx="216000" cy="216000"/>
        </a:xfrm>
        <a:prstGeom prst="flowChartConnector">
          <a:avLst/>
        </a:prstGeom>
        <a:solidFill>
          <a:srgbClr val="FFFF00"/>
        </a:solidFill>
        <a:ln w="25400">
          <a:solidFill>
            <a:schemeClr val="tx1">
              <a:lumMod val="95000"/>
              <a:lumOff val="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ko-KR" altLang="en-US" sz="800" b="1">
            <a:latin typeface="돋움" pitchFamily="50" charset="-127"/>
            <a:ea typeface="돋움" pitchFamily="50" charset="-127"/>
          </a:endParaRPr>
        </a:p>
      </xdr:txBody>
    </xdr:sp>
    <xdr:clientData/>
  </xdr:twoCellAnchor>
  <xdr:twoCellAnchor>
    <xdr:from>
      <xdr:col>56</xdr:col>
      <xdr:colOff>47624</xdr:colOff>
      <xdr:row>6</xdr:row>
      <xdr:rowOff>28575</xdr:rowOff>
    </xdr:from>
    <xdr:to>
      <xdr:col>61</xdr:col>
      <xdr:colOff>190499</xdr:colOff>
      <xdr:row>7</xdr:row>
      <xdr:rowOff>80023</xdr:rowOff>
    </xdr:to>
    <xdr:sp macro="" textlink="">
      <xdr:nvSpPr>
        <xdr:cNvPr id="68" name="직사각형 67">
          <a:extLst>
            <a:ext uri="{FF2B5EF4-FFF2-40B4-BE49-F238E27FC236}">
              <a16:creationId xmlns:a16="http://schemas.microsoft.com/office/drawing/2014/main" xmlns="" id="{00000000-0008-0000-0000-000017010000}"/>
            </a:ext>
          </a:extLst>
        </xdr:cNvPr>
        <xdr:cNvSpPr/>
      </xdr:nvSpPr>
      <xdr:spPr>
        <a:xfrm>
          <a:off x="13792199" y="1514475"/>
          <a:ext cx="1381125" cy="289573"/>
        </a:xfrm>
        <a:prstGeom prst="rect">
          <a:avLst/>
        </a:prstGeom>
        <a:solidFill>
          <a:schemeClr val="bg1"/>
        </a:solidFill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marL="0" indent="0" algn="ctr"/>
          <a:r>
            <a:rPr lang="en-US" altLang="ko-KR" sz="1000" b="1">
              <a:solidFill>
                <a:schemeClr val="tx1"/>
              </a:solidFill>
              <a:latin typeface="+mn-ea"/>
              <a:ea typeface="+mn-ea"/>
              <a:cs typeface="JBold" pitchFamily="18" charset="-127"/>
            </a:rPr>
            <a:t>C.Bundle W/H</a:t>
          </a:r>
          <a:endParaRPr lang="ko-KR" altLang="en-US" sz="1000" b="1">
            <a:solidFill>
              <a:schemeClr val="tx1"/>
            </a:solidFill>
            <a:latin typeface="+mn-ea"/>
            <a:ea typeface="+mn-ea"/>
            <a:cs typeface="JBold" pitchFamily="18" charset="-127"/>
          </a:endParaRPr>
        </a:p>
      </xdr:txBody>
    </xdr:sp>
    <xdr:clientData/>
  </xdr:twoCellAnchor>
  <xdr:twoCellAnchor>
    <xdr:from>
      <xdr:col>42</xdr:col>
      <xdr:colOff>247649</xdr:colOff>
      <xdr:row>7</xdr:row>
      <xdr:rowOff>200025</xdr:rowOff>
    </xdr:from>
    <xdr:to>
      <xdr:col>51</xdr:col>
      <xdr:colOff>9525</xdr:colOff>
      <xdr:row>8</xdr:row>
      <xdr:rowOff>133350</xdr:rowOff>
    </xdr:to>
    <xdr:grpSp>
      <xdr:nvGrpSpPr>
        <xdr:cNvPr id="69" name="그룹 68"/>
        <xdr:cNvGrpSpPr/>
      </xdr:nvGrpSpPr>
      <xdr:grpSpPr>
        <a:xfrm>
          <a:off x="10525124" y="1924050"/>
          <a:ext cx="1990726" cy="171450"/>
          <a:chOff x="2714624" y="2038350"/>
          <a:chExt cx="1990726" cy="171450"/>
        </a:xfrm>
      </xdr:grpSpPr>
      <xdr:cxnSp macro="">
        <xdr:nvCxnSpPr>
          <xdr:cNvPr id="70" name="직선 연결선 69"/>
          <xdr:cNvCxnSpPr/>
        </xdr:nvCxnSpPr>
        <xdr:spPr>
          <a:xfrm>
            <a:off x="2724150" y="2038350"/>
            <a:ext cx="0" cy="171450"/>
          </a:xfrm>
          <a:prstGeom prst="line">
            <a:avLst/>
          </a:prstGeom>
          <a:ln w="34925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71" name="직선 연결선 70"/>
          <xdr:cNvCxnSpPr/>
        </xdr:nvCxnSpPr>
        <xdr:spPr>
          <a:xfrm>
            <a:off x="2714624" y="2057400"/>
            <a:ext cx="1990726" cy="0"/>
          </a:xfrm>
          <a:prstGeom prst="line">
            <a:avLst/>
          </a:prstGeom>
          <a:ln w="635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72" name="직선 연결선 71"/>
          <xdr:cNvCxnSpPr/>
        </xdr:nvCxnSpPr>
        <xdr:spPr>
          <a:xfrm>
            <a:off x="4695825" y="2038350"/>
            <a:ext cx="0" cy="171450"/>
          </a:xfrm>
          <a:prstGeom prst="line">
            <a:avLst/>
          </a:prstGeom>
          <a:ln w="34925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46</xdr:col>
      <xdr:colOff>133350</xdr:colOff>
      <xdr:row>7</xdr:row>
      <xdr:rowOff>123825</xdr:rowOff>
    </xdr:from>
    <xdr:to>
      <xdr:col>47</xdr:col>
      <xdr:colOff>101700</xdr:colOff>
      <xdr:row>8</xdr:row>
      <xdr:rowOff>101700</xdr:rowOff>
    </xdr:to>
    <xdr:sp macro="" textlink="">
      <xdr:nvSpPr>
        <xdr:cNvPr id="73" name="순서도: 연결자 72">
          <a:extLst>
            <a:ext uri="{FF2B5EF4-FFF2-40B4-BE49-F238E27FC236}">
              <a16:creationId xmlns:a16="http://schemas.microsoft.com/office/drawing/2014/main" xmlns="" id="{00000000-0008-0000-0000-000016010000}"/>
            </a:ext>
          </a:extLst>
        </xdr:cNvPr>
        <xdr:cNvSpPr>
          <a:spLocks noChangeAspect="1"/>
        </xdr:cNvSpPr>
      </xdr:nvSpPr>
      <xdr:spPr>
        <a:xfrm>
          <a:off x="11401425" y="1847850"/>
          <a:ext cx="216000" cy="216000"/>
        </a:xfrm>
        <a:prstGeom prst="flowChartConnector">
          <a:avLst/>
        </a:prstGeom>
        <a:solidFill>
          <a:srgbClr val="FFFF00"/>
        </a:solidFill>
        <a:ln w="25400">
          <a:solidFill>
            <a:schemeClr val="tx1">
              <a:lumMod val="95000"/>
              <a:lumOff val="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ko-KR" altLang="en-US" sz="800" b="1">
            <a:latin typeface="돋움" pitchFamily="50" charset="-127"/>
            <a:ea typeface="돋움" pitchFamily="50" charset="-127"/>
          </a:endParaRPr>
        </a:p>
      </xdr:txBody>
    </xdr:sp>
    <xdr:clientData/>
  </xdr:twoCellAnchor>
  <xdr:twoCellAnchor>
    <xdr:from>
      <xdr:col>43</xdr:col>
      <xdr:colOff>95250</xdr:colOff>
      <xdr:row>6</xdr:row>
      <xdr:rowOff>28575</xdr:rowOff>
    </xdr:from>
    <xdr:to>
      <xdr:col>50</xdr:col>
      <xdr:colOff>142875</xdr:colOff>
      <xdr:row>7</xdr:row>
      <xdr:rowOff>80023</xdr:rowOff>
    </xdr:to>
    <xdr:sp macro="" textlink="">
      <xdr:nvSpPr>
        <xdr:cNvPr id="74" name="직사각형 73">
          <a:extLst>
            <a:ext uri="{FF2B5EF4-FFF2-40B4-BE49-F238E27FC236}">
              <a16:creationId xmlns:a16="http://schemas.microsoft.com/office/drawing/2014/main" xmlns="" id="{00000000-0008-0000-0000-000017010000}"/>
            </a:ext>
          </a:extLst>
        </xdr:cNvPr>
        <xdr:cNvSpPr/>
      </xdr:nvSpPr>
      <xdr:spPr>
        <a:xfrm>
          <a:off x="10620375" y="1514475"/>
          <a:ext cx="1781175" cy="289573"/>
        </a:xfrm>
        <a:prstGeom prst="rect">
          <a:avLst/>
        </a:prstGeom>
        <a:solidFill>
          <a:schemeClr val="bg1"/>
        </a:solidFill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marL="0" indent="0" algn="ctr"/>
          <a:r>
            <a:rPr lang="en-US" altLang="ko-KR" sz="1000" b="1">
              <a:solidFill>
                <a:schemeClr val="tx1"/>
              </a:solidFill>
              <a:latin typeface="+mn-ea"/>
              <a:ea typeface="+mn-ea"/>
              <a:cs typeface="JBold" pitchFamily="18" charset="-127"/>
            </a:rPr>
            <a:t>Spreading &amp; Cutting</a:t>
          </a:r>
          <a:endParaRPr lang="ko-KR" altLang="en-US" sz="1000" b="1">
            <a:solidFill>
              <a:schemeClr val="tx1"/>
            </a:solidFill>
            <a:latin typeface="+mn-ea"/>
            <a:ea typeface="+mn-ea"/>
            <a:cs typeface="JBold" pitchFamily="18" charset="-127"/>
          </a:endParaRPr>
        </a:p>
      </xdr:txBody>
    </xdr:sp>
    <xdr:clientData/>
  </xdr:twoCellAnchor>
  <xdr:twoCellAnchor>
    <xdr:from>
      <xdr:col>71</xdr:col>
      <xdr:colOff>171450</xdr:colOff>
      <xdr:row>13</xdr:row>
      <xdr:rowOff>0</xdr:rowOff>
    </xdr:from>
    <xdr:to>
      <xdr:col>72</xdr:col>
      <xdr:colOff>67800</xdr:colOff>
      <xdr:row>13</xdr:row>
      <xdr:rowOff>144000</xdr:rowOff>
    </xdr:to>
    <xdr:sp macro="" textlink="">
      <xdr:nvSpPr>
        <xdr:cNvPr id="75" name="순서도: 연결자 74">
          <a:extLst>
            <a:ext uri="{FF2B5EF4-FFF2-40B4-BE49-F238E27FC236}">
              <a16:creationId xmlns:a16="http://schemas.microsoft.com/office/drawing/2014/main" xmlns="" id="{00000000-0008-0000-0000-000016010000}"/>
            </a:ext>
          </a:extLst>
        </xdr:cNvPr>
        <xdr:cNvSpPr/>
      </xdr:nvSpPr>
      <xdr:spPr>
        <a:xfrm>
          <a:off x="17630775" y="3038475"/>
          <a:ext cx="144000" cy="144000"/>
        </a:xfrm>
        <a:prstGeom prst="flowChartConnector">
          <a:avLst/>
        </a:prstGeom>
        <a:solidFill>
          <a:schemeClr val="bg1"/>
        </a:solidFill>
        <a:ln w="25400">
          <a:solidFill>
            <a:schemeClr val="tx1">
              <a:lumMod val="95000"/>
              <a:lumOff val="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ko-KR" altLang="en-US" sz="800" b="1">
            <a:latin typeface="돋움" pitchFamily="50" charset="-127"/>
            <a:ea typeface="돋움" pitchFamily="50" charset="-127"/>
          </a:endParaRPr>
        </a:p>
      </xdr:txBody>
    </xdr:sp>
    <xdr:clientData/>
  </xdr:twoCellAnchor>
  <xdr:twoCellAnchor>
    <xdr:from>
      <xdr:col>69</xdr:col>
      <xdr:colOff>142875</xdr:colOff>
      <xdr:row>10</xdr:row>
      <xdr:rowOff>152399</xdr:rowOff>
    </xdr:from>
    <xdr:to>
      <xdr:col>74</xdr:col>
      <xdr:colOff>108450</xdr:colOff>
      <xdr:row>12</xdr:row>
      <xdr:rowOff>180149</xdr:rowOff>
    </xdr:to>
    <xdr:sp macro="" textlink="">
      <xdr:nvSpPr>
        <xdr:cNvPr id="76" name="직사각형 75">
          <a:extLst>
            <a:ext uri="{FF2B5EF4-FFF2-40B4-BE49-F238E27FC236}">
              <a16:creationId xmlns:a16="http://schemas.microsoft.com/office/drawing/2014/main" xmlns="" id="{00000000-0008-0000-0000-000017010000}"/>
            </a:ext>
          </a:extLst>
        </xdr:cNvPr>
        <xdr:cNvSpPr/>
      </xdr:nvSpPr>
      <xdr:spPr>
        <a:xfrm>
          <a:off x="17106900" y="2476499"/>
          <a:ext cx="1203825" cy="504000"/>
        </a:xfrm>
        <a:prstGeom prst="rect">
          <a:avLst/>
        </a:prstGeom>
        <a:solidFill>
          <a:schemeClr val="bg1"/>
        </a:solidFill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marL="0" indent="0" algn="ctr"/>
          <a:r>
            <a:rPr lang="en-US" altLang="ko-KR" sz="900" b="1">
              <a:solidFill>
                <a:schemeClr val="tx1"/>
              </a:solidFill>
              <a:latin typeface="+mn-ea"/>
              <a:ea typeface="+mn-ea"/>
              <a:cs typeface="JBold" pitchFamily="18" charset="-127"/>
            </a:rPr>
            <a:t>S.Bundle W/H IN</a:t>
          </a:r>
        </a:p>
        <a:p>
          <a:pPr marL="0" indent="0" algn="ctr"/>
          <a:r>
            <a:rPr lang="en-US" altLang="ko-KR" sz="900" b="1">
              <a:solidFill>
                <a:schemeClr val="tx1"/>
              </a:solidFill>
              <a:latin typeface="+mn-ea"/>
              <a:ea typeface="+mn-ea"/>
              <a:cs typeface="JBold" pitchFamily="18" charset="-127"/>
            </a:rPr>
            <a:t>Reg.</a:t>
          </a:r>
          <a:endParaRPr lang="ko-KR" altLang="en-US" sz="900" b="1">
            <a:solidFill>
              <a:schemeClr val="tx1"/>
            </a:solidFill>
            <a:latin typeface="+mn-ea"/>
            <a:ea typeface="+mn-ea"/>
            <a:cs typeface="JBold" pitchFamily="18" charset="-127"/>
          </a:endParaRPr>
        </a:p>
      </xdr:txBody>
    </xdr:sp>
    <xdr:clientData/>
  </xdr:twoCellAnchor>
  <xdr:twoCellAnchor>
    <xdr:from>
      <xdr:col>79</xdr:col>
      <xdr:colOff>180975</xdr:colOff>
      <xdr:row>13</xdr:row>
      <xdr:rowOff>0</xdr:rowOff>
    </xdr:from>
    <xdr:to>
      <xdr:col>80</xdr:col>
      <xdr:colOff>77325</xdr:colOff>
      <xdr:row>13</xdr:row>
      <xdr:rowOff>144000</xdr:rowOff>
    </xdr:to>
    <xdr:sp macro="" textlink="">
      <xdr:nvSpPr>
        <xdr:cNvPr id="77" name="순서도: 연결자 76">
          <a:extLst>
            <a:ext uri="{FF2B5EF4-FFF2-40B4-BE49-F238E27FC236}">
              <a16:creationId xmlns:a16="http://schemas.microsoft.com/office/drawing/2014/main" xmlns="" id="{00000000-0008-0000-0000-000016010000}"/>
            </a:ext>
          </a:extLst>
        </xdr:cNvPr>
        <xdr:cNvSpPr/>
      </xdr:nvSpPr>
      <xdr:spPr>
        <a:xfrm>
          <a:off x="19621500" y="3038475"/>
          <a:ext cx="144000" cy="144000"/>
        </a:xfrm>
        <a:prstGeom prst="flowChartConnector">
          <a:avLst/>
        </a:prstGeom>
        <a:solidFill>
          <a:schemeClr val="bg1"/>
        </a:solidFill>
        <a:ln w="25400">
          <a:solidFill>
            <a:schemeClr val="tx1">
              <a:lumMod val="95000"/>
              <a:lumOff val="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ko-KR" altLang="en-US" sz="800" b="1">
            <a:latin typeface="돋움" pitchFamily="50" charset="-127"/>
            <a:ea typeface="돋움" pitchFamily="50" charset="-127"/>
          </a:endParaRPr>
        </a:p>
      </xdr:txBody>
    </xdr:sp>
    <xdr:clientData/>
  </xdr:twoCellAnchor>
  <xdr:twoCellAnchor>
    <xdr:from>
      <xdr:col>77</xdr:col>
      <xdr:colOff>25597</xdr:colOff>
      <xdr:row>10</xdr:row>
      <xdr:rowOff>152399</xdr:rowOff>
    </xdr:from>
    <xdr:to>
      <xdr:col>82</xdr:col>
      <xdr:colOff>209550</xdr:colOff>
      <xdr:row>12</xdr:row>
      <xdr:rowOff>180149</xdr:rowOff>
    </xdr:to>
    <xdr:sp macro="" textlink="">
      <xdr:nvSpPr>
        <xdr:cNvPr id="78" name="직사각형 77">
          <a:extLst>
            <a:ext uri="{FF2B5EF4-FFF2-40B4-BE49-F238E27FC236}">
              <a16:creationId xmlns:a16="http://schemas.microsoft.com/office/drawing/2014/main" xmlns="" id="{00000000-0008-0000-0000-000017010000}"/>
            </a:ext>
          </a:extLst>
        </xdr:cNvPr>
        <xdr:cNvSpPr/>
      </xdr:nvSpPr>
      <xdr:spPr>
        <a:xfrm>
          <a:off x="18970822" y="2476499"/>
          <a:ext cx="1422203" cy="504000"/>
        </a:xfrm>
        <a:prstGeom prst="rect">
          <a:avLst/>
        </a:prstGeom>
        <a:solidFill>
          <a:schemeClr val="bg1"/>
        </a:solidFill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marL="0" indent="0" algn="ctr"/>
          <a:r>
            <a:rPr lang="en-US" altLang="ko-KR" sz="900" b="1">
              <a:solidFill>
                <a:schemeClr val="tx1"/>
              </a:solidFill>
              <a:latin typeface="+mn-ea"/>
              <a:ea typeface="+mn-ea"/>
              <a:cs typeface="JBold" pitchFamily="18" charset="-127"/>
            </a:rPr>
            <a:t>S.Bundle W/H OUT</a:t>
          </a:r>
        </a:p>
        <a:p>
          <a:pPr marL="0" indent="0" algn="ctr"/>
          <a:r>
            <a:rPr lang="en-US" altLang="ko-KR" sz="900" b="1">
              <a:solidFill>
                <a:schemeClr val="tx1"/>
              </a:solidFill>
              <a:latin typeface="+mn-ea"/>
              <a:ea typeface="+mn-ea"/>
              <a:cs typeface="JBold" pitchFamily="18" charset="-127"/>
            </a:rPr>
            <a:t>Reg.</a:t>
          </a:r>
          <a:endParaRPr lang="ko-KR" altLang="en-US" sz="900" b="1">
            <a:solidFill>
              <a:schemeClr val="tx1"/>
            </a:solidFill>
            <a:latin typeface="+mn-ea"/>
            <a:ea typeface="+mn-ea"/>
            <a:cs typeface="JBold" pitchFamily="18" charset="-127"/>
          </a:endParaRPr>
        </a:p>
      </xdr:txBody>
    </xdr:sp>
    <xdr:clientData/>
  </xdr:twoCellAnchor>
  <xdr:twoCellAnchor>
    <xdr:from>
      <xdr:col>72</xdr:col>
      <xdr:colOff>67800</xdr:colOff>
      <xdr:row>13</xdr:row>
      <xdr:rowOff>72000</xdr:rowOff>
    </xdr:from>
    <xdr:to>
      <xdr:col>79</xdr:col>
      <xdr:colOff>180975</xdr:colOff>
      <xdr:row>13</xdr:row>
      <xdr:rowOff>72000</xdr:rowOff>
    </xdr:to>
    <xdr:cxnSp macro="">
      <xdr:nvCxnSpPr>
        <xdr:cNvPr id="79" name="직선 연결선 78">
          <a:extLst>
            <a:ext uri="{FF2B5EF4-FFF2-40B4-BE49-F238E27FC236}">
              <a16:creationId xmlns:a16="http://schemas.microsoft.com/office/drawing/2014/main" xmlns="" id="{00000000-0008-0000-0000-00000F010000}"/>
            </a:ext>
          </a:extLst>
        </xdr:cNvPr>
        <xdr:cNvCxnSpPr>
          <a:stCxn id="75" idx="6"/>
          <a:endCxn id="77" idx="2"/>
        </xdr:cNvCxnSpPr>
      </xdr:nvCxnSpPr>
      <xdr:spPr>
        <a:xfrm>
          <a:off x="17774775" y="3110475"/>
          <a:ext cx="1846725" cy="0"/>
        </a:xfrm>
        <a:prstGeom prst="line">
          <a:avLst/>
        </a:prstGeom>
        <a:ln w="1587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68</xdr:col>
      <xdr:colOff>238124</xdr:colOff>
      <xdr:row>7</xdr:row>
      <xdr:rowOff>200025</xdr:rowOff>
    </xdr:from>
    <xdr:to>
      <xdr:col>83</xdr:col>
      <xdr:colOff>8174</xdr:colOff>
      <xdr:row>8</xdr:row>
      <xdr:rowOff>133350</xdr:rowOff>
    </xdr:to>
    <xdr:grpSp>
      <xdr:nvGrpSpPr>
        <xdr:cNvPr id="80" name="그룹 79"/>
        <xdr:cNvGrpSpPr/>
      </xdr:nvGrpSpPr>
      <xdr:grpSpPr>
        <a:xfrm>
          <a:off x="16954499" y="1924050"/>
          <a:ext cx="3484800" cy="171450"/>
          <a:chOff x="2714624" y="2038350"/>
          <a:chExt cx="3484800" cy="171450"/>
        </a:xfrm>
      </xdr:grpSpPr>
      <xdr:cxnSp macro="">
        <xdr:nvCxnSpPr>
          <xdr:cNvPr id="81" name="직선 연결선 80"/>
          <xdr:cNvCxnSpPr/>
        </xdr:nvCxnSpPr>
        <xdr:spPr>
          <a:xfrm>
            <a:off x="2724150" y="2038350"/>
            <a:ext cx="0" cy="171450"/>
          </a:xfrm>
          <a:prstGeom prst="line">
            <a:avLst/>
          </a:prstGeom>
          <a:ln w="34925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82" name="직선 연결선 81"/>
          <xdr:cNvCxnSpPr/>
        </xdr:nvCxnSpPr>
        <xdr:spPr>
          <a:xfrm>
            <a:off x="2714624" y="2057400"/>
            <a:ext cx="3484800" cy="0"/>
          </a:xfrm>
          <a:prstGeom prst="line">
            <a:avLst/>
          </a:prstGeom>
          <a:ln w="635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83" name="직선 연결선 82"/>
          <xdr:cNvCxnSpPr/>
        </xdr:nvCxnSpPr>
        <xdr:spPr>
          <a:xfrm>
            <a:off x="6191250" y="2038350"/>
            <a:ext cx="0" cy="171450"/>
          </a:xfrm>
          <a:prstGeom prst="line">
            <a:avLst/>
          </a:prstGeom>
          <a:ln w="34925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75</xdr:col>
      <xdr:colOff>133350</xdr:colOff>
      <xdr:row>7</xdr:row>
      <xdr:rowOff>123825</xdr:rowOff>
    </xdr:from>
    <xdr:to>
      <xdr:col>76</xdr:col>
      <xdr:colOff>101700</xdr:colOff>
      <xdr:row>8</xdr:row>
      <xdr:rowOff>101700</xdr:rowOff>
    </xdr:to>
    <xdr:sp macro="" textlink="">
      <xdr:nvSpPr>
        <xdr:cNvPr id="84" name="순서도: 연결자 83">
          <a:extLst>
            <a:ext uri="{FF2B5EF4-FFF2-40B4-BE49-F238E27FC236}">
              <a16:creationId xmlns:a16="http://schemas.microsoft.com/office/drawing/2014/main" xmlns="" id="{00000000-0008-0000-0000-000016010000}"/>
            </a:ext>
          </a:extLst>
        </xdr:cNvPr>
        <xdr:cNvSpPr>
          <a:spLocks noChangeAspect="1"/>
        </xdr:cNvSpPr>
      </xdr:nvSpPr>
      <xdr:spPr>
        <a:xfrm>
          <a:off x="18583275" y="1847850"/>
          <a:ext cx="216000" cy="216000"/>
        </a:xfrm>
        <a:prstGeom prst="flowChartConnector">
          <a:avLst/>
        </a:prstGeom>
        <a:solidFill>
          <a:srgbClr val="FFFF00"/>
        </a:solidFill>
        <a:ln w="25400">
          <a:solidFill>
            <a:schemeClr val="tx1">
              <a:lumMod val="95000"/>
              <a:lumOff val="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ko-KR" altLang="en-US" sz="800" b="1">
            <a:latin typeface="돋움" pitchFamily="50" charset="-127"/>
            <a:ea typeface="돋움" pitchFamily="50" charset="-127"/>
          </a:endParaRPr>
        </a:p>
      </xdr:txBody>
    </xdr:sp>
    <xdr:clientData/>
  </xdr:twoCellAnchor>
  <xdr:twoCellAnchor>
    <xdr:from>
      <xdr:col>73</xdr:col>
      <xdr:colOff>38099</xdr:colOff>
      <xdr:row>6</xdr:row>
      <xdr:rowOff>28575</xdr:rowOff>
    </xdr:from>
    <xdr:to>
      <xdr:col>78</xdr:col>
      <xdr:colOff>180974</xdr:colOff>
      <xdr:row>7</xdr:row>
      <xdr:rowOff>80023</xdr:rowOff>
    </xdr:to>
    <xdr:sp macro="" textlink="">
      <xdr:nvSpPr>
        <xdr:cNvPr id="85" name="직사각형 84">
          <a:extLst>
            <a:ext uri="{FF2B5EF4-FFF2-40B4-BE49-F238E27FC236}">
              <a16:creationId xmlns:a16="http://schemas.microsoft.com/office/drawing/2014/main" xmlns="" id="{00000000-0008-0000-0000-000017010000}"/>
            </a:ext>
          </a:extLst>
        </xdr:cNvPr>
        <xdr:cNvSpPr/>
      </xdr:nvSpPr>
      <xdr:spPr>
        <a:xfrm>
          <a:off x="17992724" y="1514475"/>
          <a:ext cx="1381125" cy="289573"/>
        </a:xfrm>
        <a:prstGeom prst="rect">
          <a:avLst/>
        </a:prstGeom>
        <a:solidFill>
          <a:schemeClr val="bg1"/>
        </a:solidFill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marL="0" indent="0" algn="ctr"/>
          <a:r>
            <a:rPr lang="en-US" altLang="ko-KR" sz="1000" b="1">
              <a:solidFill>
                <a:schemeClr val="tx1"/>
              </a:solidFill>
              <a:latin typeface="+mn-ea"/>
              <a:ea typeface="+mn-ea"/>
              <a:cs typeface="JBold" pitchFamily="18" charset="-127"/>
            </a:rPr>
            <a:t>S.Bundle W/H</a:t>
          </a:r>
          <a:endParaRPr lang="ko-KR" altLang="en-US" sz="1000" b="1">
            <a:solidFill>
              <a:schemeClr val="tx1"/>
            </a:solidFill>
            <a:latin typeface="+mn-ea"/>
            <a:ea typeface="+mn-ea"/>
            <a:cs typeface="JBold" pitchFamily="18" charset="-127"/>
          </a:endParaRPr>
        </a:p>
      </xdr:txBody>
    </xdr:sp>
    <xdr:clientData/>
  </xdr:twoCellAnchor>
  <xdr:twoCellAnchor>
    <xdr:from>
      <xdr:col>92</xdr:col>
      <xdr:colOff>180975</xdr:colOff>
      <xdr:row>13</xdr:row>
      <xdr:rowOff>0</xdr:rowOff>
    </xdr:from>
    <xdr:to>
      <xdr:col>93</xdr:col>
      <xdr:colOff>77325</xdr:colOff>
      <xdr:row>13</xdr:row>
      <xdr:rowOff>144000</xdr:rowOff>
    </xdr:to>
    <xdr:sp macro="" textlink="">
      <xdr:nvSpPr>
        <xdr:cNvPr id="86" name="순서도: 연결자 85">
          <a:extLst>
            <a:ext uri="{FF2B5EF4-FFF2-40B4-BE49-F238E27FC236}">
              <a16:creationId xmlns:a16="http://schemas.microsoft.com/office/drawing/2014/main" xmlns="" id="{00000000-0008-0000-0000-000016010000}"/>
            </a:ext>
          </a:extLst>
        </xdr:cNvPr>
        <xdr:cNvSpPr/>
      </xdr:nvSpPr>
      <xdr:spPr>
        <a:xfrm>
          <a:off x="22840950" y="3038475"/>
          <a:ext cx="144000" cy="144000"/>
        </a:xfrm>
        <a:prstGeom prst="flowChartConnector">
          <a:avLst/>
        </a:prstGeom>
        <a:solidFill>
          <a:schemeClr val="bg1"/>
        </a:solidFill>
        <a:ln w="25400">
          <a:solidFill>
            <a:schemeClr val="tx1">
              <a:lumMod val="95000"/>
              <a:lumOff val="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ko-KR" altLang="en-US" sz="800" b="1">
            <a:latin typeface="돋움" pitchFamily="50" charset="-127"/>
            <a:ea typeface="돋움" pitchFamily="50" charset="-127"/>
          </a:endParaRPr>
        </a:p>
      </xdr:txBody>
    </xdr:sp>
    <xdr:clientData/>
  </xdr:twoCellAnchor>
  <xdr:twoCellAnchor>
    <xdr:from>
      <xdr:col>89</xdr:col>
      <xdr:colOff>200025</xdr:colOff>
      <xdr:row>10</xdr:row>
      <xdr:rowOff>152399</xdr:rowOff>
    </xdr:from>
    <xdr:to>
      <xdr:col>96</xdr:col>
      <xdr:colOff>57150</xdr:colOff>
      <xdr:row>12</xdr:row>
      <xdr:rowOff>180149</xdr:rowOff>
    </xdr:to>
    <xdr:sp macro="" textlink="">
      <xdr:nvSpPr>
        <xdr:cNvPr id="87" name="직사각형 86">
          <a:extLst>
            <a:ext uri="{FF2B5EF4-FFF2-40B4-BE49-F238E27FC236}">
              <a16:creationId xmlns:a16="http://schemas.microsoft.com/office/drawing/2014/main" xmlns="" id="{00000000-0008-0000-0000-000017010000}"/>
            </a:ext>
          </a:extLst>
        </xdr:cNvPr>
        <xdr:cNvSpPr/>
      </xdr:nvSpPr>
      <xdr:spPr>
        <a:xfrm>
          <a:off x="22117050" y="2476499"/>
          <a:ext cx="1590675" cy="504000"/>
        </a:xfrm>
        <a:prstGeom prst="rect">
          <a:avLst/>
        </a:prstGeom>
        <a:solidFill>
          <a:schemeClr val="bg1"/>
        </a:solidFill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marL="0" indent="0" algn="ctr"/>
          <a:r>
            <a:rPr lang="en-US" altLang="ko-KR" sz="900" b="1">
              <a:solidFill>
                <a:schemeClr val="tx1"/>
              </a:solidFill>
              <a:latin typeface="+mn-ea"/>
              <a:ea typeface="+mn-ea"/>
              <a:cs typeface="JBold" pitchFamily="18" charset="-127"/>
            </a:rPr>
            <a:t>Daily</a:t>
          </a:r>
          <a:r>
            <a:rPr lang="en-US" altLang="ko-KR" sz="900" b="1" baseline="0">
              <a:solidFill>
                <a:schemeClr val="tx1"/>
              </a:solidFill>
              <a:latin typeface="+mn-ea"/>
              <a:ea typeface="+mn-ea"/>
              <a:cs typeface="JBold" pitchFamily="18" charset="-127"/>
            </a:rPr>
            <a:t> Sewing Perfomance</a:t>
          </a:r>
        </a:p>
        <a:p>
          <a:pPr marL="0" indent="0" algn="ctr"/>
          <a:r>
            <a:rPr lang="en-US" altLang="ko-KR" sz="900" b="1">
              <a:solidFill>
                <a:schemeClr val="tx1"/>
              </a:solidFill>
              <a:latin typeface="+mn-ea"/>
              <a:ea typeface="+mn-ea"/>
              <a:cs typeface="JBold" pitchFamily="18" charset="-127"/>
            </a:rPr>
            <a:t>Reg.</a:t>
          </a:r>
          <a:endParaRPr lang="ko-KR" altLang="en-US" sz="900" b="1">
            <a:solidFill>
              <a:schemeClr val="tx1"/>
            </a:solidFill>
            <a:latin typeface="+mn-ea"/>
            <a:ea typeface="+mn-ea"/>
            <a:cs typeface="JBold" pitchFamily="18" charset="-127"/>
          </a:endParaRPr>
        </a:p>
      </xdr:txBody>
    </xdr:sp>
    <xdr:clientData/>
  </xdr:twoCellAnchor>
  <xdr:twoCellAnchor>
    <xdr:from>
      <xdr:col>85</xdr:col>
      <xdr:colOff>180975</xdr:colOff>
      <xdr:row>16</xdr:row>
      <xdr:rowOff>161925</xdr:rowOff>
    </xdr:from>
    <xdr:to>
      <xdr:col>86</xdr:col>
      <xdr:colOff>77325</xdr:colOff>
      <xdr:row>17</xdr:row>
      <xdr:rowOff>67800</xdr:rowOff>
    </xdr:to>
    <xdr:sp macro="" textlink="">
      <xdr:nvSpPr>
        <xdr:cNvPr id="88" name="순서도: 연결자 87">
          <a:extLst>
            <a:ext uri="{FF2B5EF4-FFF2-40B4-BE49-F238E27FC236}">
              <a16:creationId xmlns:a16="http://schemas.microsoft.com/office/drawing/2014/main" xmlns="" id="{00000000-0008-0000-0000-000016010000}"/>
            </a:ext>
          </a:extLst>
        </xdr:cNvPr>
        <xdr:cNvSpPr/>
      </xdr:nvSpPr>
      <xdr:spPr>
        <a:xfrm>
          <a:off x="21107400" y="3914775"/>
          <a:ext cx="144000" cy="144000"/>
        </a:xfrm>
        <a:prstGeom prst="flowChartConnector">
          <a:avLst/>
        </a:prstGeom>
        <a:solidFill>
          <a:srgbClr val="0000FF"/>
        </a:solidFill>
        <a:ln w="25400">
          <a:solidFill>
            <a:srgbClr val="0000F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marL="0" indent="0" algn="ctr"/>
          <a:endParaRPr lang="ko-KR" altLang="en-US" sz="800" b="1">
            <a:solidFill>
              <a:schemeClr val="lt1"/>
            </a:solidFill>
            <a:latin typeface="돋움" pitchFamily="50" charset="-127"/>
            <a:ea typeface="돋움" pitchFamily="50" charset="-127"/>
            <a:cs typeface="+mn-cs"/>
          </a:endParaRPr>
        </a:p>
      </xdr:txBody>
    </xdr:sp>
    <xdr:clientData/>
  </xdr:twoCellAnchor>
  <xdr:twoCellAnchor>
    <xdr:from>
      <xdr:col>83</xdr:col>
      <xdr:colOff>28574</xdr:colOff>
      <xdr:row>14</xdr:row>
      <xdr:rowOff>28575</xdr:rowOff>
    </xdr:from>
    <xdr:to>
      <xdr:col>88</xdr:col>
      <xdr:colOff>228599</xdr:colOff>
      <xdr:row>16</xdr:row>
      <xdr:rowOff>88268</xdr:rowOff>
    </xdr:to>
    <xdr:sp macro="" textlink="">
      <xdr:nvSpPr>
        <xdr:cNvPr id="89" name="직사각형 88">
          <a:extLst>
            <a:ext uri="{FF2B5EF4-FFF2-40B4-BE49-F238E27FC236}">
              <a16:creationId xmlns:a16="http://schemas.microsoft.com/office/drawing/2014/main" xmlns="" id="{00000000-0008-0000-0000-000017010000}"/>
            </a:ext>
          </a:extLst>
        </xdr:cNvPr>
        <xdr:cNvSpPr/>
      </xdr:nvSpPr>
      <xdr:spPr>
        <a:xfrm>
          <a:off x="20459699" y="3305175"/>
          <a:ext cx="1438275" cy="535943"/>
        </a:xfrm>
        <a:prstGeom prst="rect">
          <a:avLst/>
        </a:prstGeom>
        <a:solidFill>
          <a:schemeClr val="bg1"/>
        </a:solidFill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marL="0" indent="0" algn="ctr"/>
          <a:r>
            <a:rPr lang="en-US" altLang="ko-KR" sz="900" b="1">
              <a:solidFill>
                <a:srgbClr val="0000FF"/>
              </a:solidFill>
              <a:latin typeface="+mn-ea"/>
              <a:ea typeface="+mn-ea"/>
              <a:cs typeface="JBold" pitchFamily="18" charset="-127"/>
            </a:rPr>
            <a:t>Full</a:t>
          </a:r>
          <a:r>
            <a:rPr lang="en-US" altLang="ko-KR" sz="900" b="1" baseline="0">
              <a:solidFill>
                <a:srgbClr val="0000FF"/>
              </a:solidFill>
              <a:latin typeface="+mn-ea"/>
              <a:ea typeface="+mn-ea"/>
              <a:cs typeface="JBold" pitchFamily="18" charset="-127"/>
            </a:rPr>
            <a:t> Defect in Line</a:t>
          </a:r>
          <a:endParaRPr lang="en-US" altLang="ko-KR" sz="900" b="1">
            <a:solidFill>
              <a:srgbClr val="0000FF"/>
            </a:solidFill>
            <a:latin typeface="+mn-ea"/>
            <a:ea typeface="+mn-ea"/>
            <a:cs typeface="JBold" pitchFamily="18" charset="-127"/>
          </a:endParaRPr>
        </a:p>
        <a:p>
          <a:pPr marL="0" indent="0" algn="ctr"/>
          <a:r>
            <a:rPr lang="en-US" altLang="ko-KR" sz="900" b="1">
              <a:solidFill>
                <a:srgbClr val="0000FF"/>
              </a:solidFill>
              <a:latin typeface="+mn-ea"/>
              <a:ea typeface="+mn-ea"/>
              <a:cs typeface="JBold" pitchFamily="18" charset="-127"/>
            </a:rPr>
            <a:t>Reg.</a:t>
          </a:r>
          <a:endParaRPr lang="ko-KR" altLang="en-US" sz="900" b="1">
            <a:solidFill>
              <a:srgbClr val="0000FF"/>
            </a:solidFill>
            <a:latin typeface="+mn-ea"/>
            <a:ea typeface="+mn-ea"/>
            <a:cs typeface="JBold" pitchFamily="18" charset="-127"/>
          </a:endParaRPr>
        </a:p>
      </xdr:txBody>
    </xdr:sp>
    <xdr:clientData/>
  </xdr:twoCellAnchor>
  <xdr:twoCellAnchor>
    <xdr:from>
      <xdr:col>85</xdr:col>
      <xdr:colOff>180975</xdr:colOff>
      <xdr:row>21</xdr:row>
      <xdr:rowOff>161925</xdr:rowOff>
    </xdr:from>
    <xdr:to>
      <xdr:col>86</xdr:col>
      <xdr:colOff>77325</xdr:colOff>
      <xdr:row>22</xdr:row>
      <xdr:rowOff>67800</xdr:rowOff>
    </xdr:to>
    <xdr:sp macro="" textlink="">
      <xdr:nvSpPr>
        <xdr:cNvPr id="90" name="순서도: 연결자 89">
          <a:extLst>
            <a:ext uri="{FF2B5EF4-FFF2-40B4-BE49-F238E27FC236}">
              <a16:creationId xmlns:a16="http://schemas.microsoft.com/office/drawing/2014/main" xmlns="" id="{00000000-0008-0000-0000-000016010000}"/>
            </a:ext>
          </a:extLst>
        </xdr:cNvPr>
        <xdr:cNvSpPr/>
      </xdr:nvSpPr>
      <xdr:spPr>
        <a:xfrm>
          <a:off x="21107400" y="5105400"/>
          <a:ext cx="144000" cy="144000"/>
        </a:xfrm>
        <a:prstGeom prst="flowChartConnector">
          <a:avLst/>
        </a:prstGeom>
        <a:solidFill>
          <a:srgbClr val="0000FF"/>
        </a:solidFill>
        <a:ln w="25400">
          <a:solidFill>
            <a:srgbClr val="0000F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marL="0" indent="0" algn="ctr"/>
          <a:endParaRPr lang="ko-KR" altLang="en-US" sz="800" b="1">
            <a:solidFill>
              <a:schemeClr val="lt1"/>
            </a:solidFill>
            <a:latin typeface="돋움" pitchFamily="50" charset="-127"/>
            <a:ea typeface="돋움" pitchFamily="50" charset="-127"/>
            <a:cs typeface="+mn-cs"/>
          </a:endParaRPr>
        </a:p>
      </xdr:txBody>
    </xdr:sp>
    <xdr:clientData/>
  </xdr:twoCellAnchor>
  <xdr:twoCellAnchor>
    <xdr:from>
      <xdr:col>83</xdr:col>
      <xdr:colOff>28574</xdr:colOff>
      <xdr:row>19</xdr:row>
      <xdr:rowOff>28575</xdr:rowOff>
    </xdr:from>
    <xdr:to>
      <xdr:col>88</xdr:col>
      <xdr:colOff>228599</xdr:colOff>
      <xdr:row>21</xdr:row>
      <xdr:rowOff>88268</xdr:rowOff>
    </xdr:to>
    <xdr:sp macro="" textlink="">
      <xdr:nvSpPr>
        <xdr:cNvPr id="91" name="직사각형 90">
          <a:extLst>
            <a:ext uri="{FF2B5EF4-FFF2-40B4-BE49-F238E27FC236}">
              <a16:creationId xmlns:a16="http://schemas.microsoft.com/office/drawing/2014/main" xmlns="" id="{00000000-0008-0000-0000-000017010000}"/>
            </a:ext>
          </a:extLst>
        </xdr:cNvPr>
        <xdr:cNvSpPr/>
      </xdr:nvSpPr>
      <xdr:spPr>
        <a:xfrm>
          <a:off x="20459699" y="4495800"/>
          <a:ext cx="1438275" cy="535943"/>
        </a:xfrm>
        <a:prstGeom prst="rect">
          <a:avLst/>
        </a:prstGeom>
        <a:solidFill>
          <a:schemeClr val="bg1"/>
        </a:solidFill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marL="0" indent="0" algn="ctr"/>
          <a:r>
            <a:rPr lang="en-US" altLang="ko-KR" sz="900" b="1">
              <a:solidFill>
                <a:srgbClr val="0000FF"/>
              </a:solidFill>
              <a:latin typeface="+mn-ea"/>
              <a:ea typeface="+mn-ea"/>
              <a:cs typeface="JBold" pitchFamily="18" charset="-127"/>
            </a:rPr>
            <a:t>Return Defect to Line</a:t>
          </a:r>
        </a:p>
        <a:p>
          <a:pPr marL="0" indent="0" algn="ctr"/>
          <a:r>
            <a:rPr lang="en-US" altLang="ko-KR" sz="900" b="1">
              <a:solidFill>
                <a:srgbClr val="0000FF"/>
              </a:solidFill>
              <a:latin typeface="+mn-ea"/>
              <a:ea typeface="+mn-ea"/>
              <a:cs typeface="JBold" pitchFamily="18" charset="-127"/>
            </a:rPr>
            <a:t>Reg.</a:t>
          </a:r>
          <a:endParaRPr lang="ko-KR" altLang="en-US" sz="900" b="1">
            <a:solidFill>
              <a:srgbClr val="0000FF"/>
            </a:solidFill>
            <a:latin typeface="+mn-ea"/>
            <a:ea typeface="+mn-ea"/>
            <a:cs typeface="JBold" pitchFamily="18" charset="-127"/>
          </a:endParaRPr>
        </a:p>
      </xdr:txBody>
    </xdr:sp>
    <xdr:clientData/>
  </xdr:twoCellAnchor>
  <xdr:twoCellAnchor>
    <xdr:from>
      <xdr:col>85</xdr:col>
      <xdr:colOff>171450</xdr:colOff>
      <xdr:row>13</xdr:row>
      <xdr:rowOff>0</xdr:rowOff>
    </xdr:from>
    <xdr:to>
      <xdr:col>86</xdr:col>
      <xdr:colOff>67800</xdr:colOff>
      <xdr:row>13</xdr:row>
      <xdr:rowOff>144000</xdr:rowOff>
    </xdr:to>
    <xdr:sp macro="" textlink="">
      <xdr:nvSpPr>
        <xdr:cNvPr id="92" name="순서도: 연결자 91">
          <a:extLst>
            <a:ext uri="{FF2B5EF4-FFF2-40B4-BE49-F238E27FC236}">
              <a16:creationId xmlns:a16="http://schemas.microsoft.com/office/drawing/2014/main" xmlns="" id="{00000000-0008-0000-0000-000016010000}"/>
            </a:ext>
          </a:extLst>
        </xdr:cNvPr>
        <xdr:cNvSpPr/>
      </xdr:nvSpPr>
      <xdr:spPr>
        <a:xfrm>
          <a:off x="21097875" y="3038475"/>
          <a:ext cx="144000" cy="144000"/>
        </a:xfrm>
        <a:prstGeom prst="flowChartConnector">
          <a:avLst/>
        </a:prstGeom>
        <a:solidFill>
          <a:schemeClr val="bg1">
            <a:lumMod val="50000"/>
          </a:schemeClr>
        </a:solidFill>
        <a:ln w="254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ko-KR" altLang="en-US" sz="800" b="1">
            <a:latin typeface="돋움" pitchFamily="50" charset="-127"/>
            <a:ea typeface="돋움" pitchFamily="50" charset="-127"/>
          </a:endParaRPr>
        </a:p>
      </xdr:txBody>
    </xdr:sp>
    <xdr:clientData/>
  </xdr:twoCellAnchor>
  <xdr:twoCellAnchor>
    <xdr:from>
      <xdr:col>80</xdr:col>
      <xdr:colOff>77325</xdr:colOff>
      <xdr:row>13</xdr:row>
      <xdr:rowOff>72000</xdr:rowOff>
    </xdr:from>
    <xdr:to>
      <xdr:col>85</xdr:col>
      <xdr:colOff>171450</xdr:colOff>
      <xdr:row>13</xdr:row>
      <xdr:rowOff>72000</xdr:rowOff>
    </xdr:to>
    <xdr:cxnSp macro="">
      <xdr:nvCxnSpPr>
        <xdr:cNvPr id="93" name="직선 연결선 92">
          <a:extLst>
            <a:ext uri="{FF2B5EF4-FFF2-40B4-BE49-F238E27FC236}">
              <a16:creationId xmlns:a16="http://schemas.microsoft.com/office/drawing/2014/main" xmlns="" id="{00000000-0008-0000-0000-00000F010000}"/>
            </a:ext>
          </a:extLst>
        </xdr:cNvPr>
        <xdr:cNvCxnSpPr>
          <a:stCxn id="77" idx="6"/>
          <a:endCxn id="92" idx="2"/>
        </xdr:cNvCxnSpPr>
      </xdr:nvCxnSpPr>
      <xdr:spPr>
        <a:xfrm>
          <a:off x="19765500" y="3110475"/>
          <a:ext cx="1332375" cy="0"/>
        </a:xfrm>
        <a:prstGeom prst="line">
          <a:avLst/>
        </a:prstGeom>
        <a:ln w="1587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84</xdr:col>
      <xdr:colOff>149422</xdr:colOff>
      <xdr:row>11</xdr:row>
      <xdr:rowOff>161924</xdr:rowOff>
    </xdr:from>
    <xdr:to>
      <xdr:col>87</xdr:col>
      <xdr:colOff>104775</xdr:colOff>
      <xdr:row>12</xdr:row>
      <xdr:rowOff>180148</xdr:rowOff>
    </xdr:to>
    <xdr:sp macro="" textlink="">
      <xdr:nvSpPr>
        <xdr:cNvPr id="94" name="직사각형 93">
          <a:extLst>
            <a:ext uri="{FF2B5EF4-FFF2-40B4-BE49-F238E27FC236}">
              <a16:creationId xmlns:a16="http://schemas.microsoft.com/office/drawing/2014/main" xmlns="" id="{00000000-0008-0000-0000-000017010000}"/>
            </a:ext>
          </a:extLst>
        </xdr:cNvPr>
        <xdr:cNvSpPr/>
      </xdr:nvSpPr>
      <xdr:spPr>
        <a:xfrm>
          <a:off x="20828197" y="2724149"/>
          <a:ext cx="698303" cy="256349"/>
        </a:xfrm>
        <a:prstGeom prst="rect">
          <a:avLst/>
        </a:prstGeom>
        <a:solidFill>
          <a:schemeClr val="bg1"/>
        </a:solidFill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marL="0" indent="0" algn="ctr"/>
          <a:r>
            <a:rPr lang="en-US" altLang="ko-KR" sz="900" b="1">
              <a:solidFill>
                <a:schemeClr val="tx1">
                  <a:lumMod val="50000"/>
                  <a:lumOff val="50000"/>
                </a:schemeClr>
              </a:solidFill>
              <a:latin typeface="+mn-ea"/>
              <a:ea typeface="+mn-ea"/>
              <a:cs typeface="JBold" pitchFamily="18" charset="-127"/>
            </a:rPr>
            <a:t>In Line</a:t>
          </a:r>
          <a:endParaRPr lang="ko-KR" altLang="en-US" sz="900" b="1">
            <a:solidFill>
              <a:schemeClr val="tx1">
                <a:lumMod val="50000"/>
                <a:lumOff val="50000"/>
              </a:schemeClr>
            </a:solidFill>
            <a:latin typeface="+mn-ea"/>
            <a:ea typeface="+mn-ea"/>
            <a:cs typeface="JBold" pitchFamily="18" charset="-127"/>
          </a:endParaRPr>
        </a:p>
      </xdr:txBody>
    </xdr:sp>
    <xdr:clientData/>
  </xdr:twoCellAnchor>
  <xdr:twoCellAnchor>
    <xdr:from>
      <xdr:col>92</xdr:col>
      <xdr:colOff>180975</xdr:colOff>
      <xdr:row>16</xdr:row>
      <xdr:rowOff>161925</xdr:rowOff>
    </xdr:from>
    <xdr:to>
      <xdr:col>93</xdr:col>
      <xdr:colOff>77325</xdr:colOff>
      <xdr:row>17</xdr:row>
      <xdr:rowOff>67800</xdr:rowOff>
    </xdr:to>
    <xdr:sp macro="" textlink="">
      <xdr:nvSpPr>
        <xdr:cNvPr id="95" name="순서도: 연결자 94">
          <a:extLst>
            <a:ext uri="{FF2B5EF4-FFF2-40B4-BE49-F238E27FC236}">
              <a16:creationId xmlns:a16="http://schemas.microsoft.com/office/drawing/2014/main" xmlns="" id="{00000000-0008-0000-0000-000016010000}"/>
            </a:ext>
          </a:extLst>
        </xdr:cNvPr>
        <xdr:cNvSpPr/>
      </xdr:nvSpPr>
      <xdr:spPr>
        <a:xfrm>
          <a:off x="22840950" y="3914775"/>
          <a:ext cx="144000" cy="144000"/>
        </a:xfrm>
        <a:prstGeom prst="flowChartConnector">
          <a:avLst/>
        </a:prstGeom>
        <a:solidFill>
          <a:srgbClr val="0000FF"/>
        </a:solidFill>
        <a:ln w="25400">
          <a:solidFill>
            <a:srgbClr val="0000F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marL="0" indent="0" algn="ctr"/>
          <a:endParaRPr lang="ko-KR" altLang="en-US" sz="800" b="1">
            <a:solidFill>
              <a:schemeClr val="lt1"/>
            </a:solidFill>
            <a:latin typeface="돋움" pitchFamily="50" charset="-127"/>
            <a:ea typeface="돋움" pitchFamily="50" charset="-127"/>
            <a:cs typeface="+mn-cs"/>
          </a:endParaRPr>
        </a:p>
      </xdr:txBody>
    </xdr:sp>
    <xdr:clientData/>
  </xdr:twoCellAnchor>
  <xdr:twoCellAnchor>
    <xdr:from>
      <xdr:col>90</xdr:col>
      <xdr:colOff>28574</xdr:colOff>
      <xdr:row>14</xdr:row>
      <xdr:rowOff>28575</xdr:rowOff>
    </xdr:from>
    <xdr:to>
      <xdr:col>95</xdr:col>
      <xdr:colOff>228599</xdr:colOff>
      <xdr:row>16</xdr:row>
      <xdr:rowOff>88268</xdr:rowOff>
    </xdr:to>
    <xdr:sp macro="" textlink="">
      <xdr:nvSpPr>
        <xdr:cNvPr id="96" name="직사각형 95">
          <a:extLst>
            <a:ext uri="{FF2B5EF4-FFF2-40B4-BE49-F238E27FC236}">
              <a16:creationId xmlns:a16="http://schemas.microsoft.com/office/drawing/2014/main" xmlns="" id="{00000000-0008-0000-0000-000017010000}"/>
            </a:ext>
          </a:extLst>
        </xdr:cNvPr>
        <xdr:cNvSpPr/>
      </xdr:nvSpPr>
      <xdr:spPr>
        <a:xfrm>
          <a:off x="22193249" y="3305175"/>
          <a:ext cx="1438275" cy="535943"/>
        </a:xfrm>
        <a:prstGeom prst="rect">
          <a:avLst/>
        </a:prstGeom>
        <a:solidFill>
          <a:schemeClr val="bg1"/>
        </a:solidFill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marL="0" indent="0" algn="ctr"/>
          <a:r>
            <a:rPr lang="en-US" altLang="ko-KR" sz="900" b="1">
              <a:solidFill>
                <a:srgbClr val="0000FF"/>
              </a:solidFill>
              <a:latin typeface="+mn-ea"/>
              <a:ea typeface="+mn-ea"/>
              <a:cs typeface="JBold" pitchFamily="18" charset="-127"/>
            </a:rPr>
            <a:t>Full Defect Deduction</a:t>
          </a:r>
        </a:p>
        <a:p>
          <a:pPr marL="0" indent="0" algn="ctr"/>
          <a:r>
            <a:rPr lang="en-US" altLang="ko-KR" sz="900" b="1">
              <a:solidFill>
                <a:srgbClr val="0000FF"/>
              </a:solidFill>
              <a:latin typeface="+mn-ea"/>
              <a:ea typeface="+mn-ea"/>
              <a:cs typeface="JBold" pitchFamily="18" charset="-127"/>
            </a:rPr>
            <a:t>Reg.</a:t>
          </a:r>
          <a:endParaRPr lang="ko-KR" altLang="en-US" sz="900" b="1">
            <a:solidFill>
              <a:srgbClr val="0000FF"/>
            </a:solidFill>
            <a:latin typeface="+mn-ea"/>
            <a:ea typeface="+mn-ea"/>
            <a:cs typeface="JBold" pitchFamily="18" charset="-127"/>
          </a:endParaRPr>
        </a:p>
      </xdr:txBody>
    </xdr:sp>
    <xdr:clientData/>
  </xdr:twoCellAnchor>
  <xdr:twoCellAnchor>
    <xdr:from>
      <xdr:col>86</xdr:col>
      <xdr:colOff>67800</xdr:colOff>
      <xdr:row>13</xdr:row>
      <xdr:rowOff>72000</xdr:rowOff>
    </xdr:from>
    <xdr:to>
      <xdr:col>92</xdr:col>
      <xdr:colOff>180975</xdr:colOff>
      <xdr:row>13</xdr:row>
      <xdr:rowOff>72000</xdr:rowOff>
    </xdr:to>
    <xdr:cxnSp macro="">
      <xdr:nvCxnSpPr>
        <xdr:cNvPr id="97" name="직선 연결선 96">
          <a:extLst>
            <a:ext uri="{FF2B5EF4-FFF2-40B4-BE49-F238E27FC236}">
              <a16:creationId xmlns:a16="http://schemas.microsoft.com/office/drawing/2014/main" xmlns="" id="{00000000-0008-0000-0000-00000F010000}"/>
            </a:ext>
          </a:extLst>
        </xdr:cNvPr>
        <xdr:cNvCxnSpPr>
          <a:stCxn id="92" idx="6"/>
          <a:endCxn id="86" idx="2"/>
        </xdr:cNvCxnSpPr>
      </xdr:nvCxnSpPr>
      <xdr:spPr>
        <a:xfrm>
          <a:off x="21241875" y="3110475"/>
          <a:ext cx="1599075" cy="0"/>
        </a:xfrm>
        <a:prstGeom prst="line">
          <a:avLst/>
        </a:prstGeom>
        <a:ln w="1587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86</xdr:col>
      <xdr:colOff>77325</xdr:colOff>
      <xdr:row>13</xdr:row>
      <xdr:rowOff>57150</xdr:rowOff>
    </xdr:from>
    <xdr:to>
      <xdr:col>88</xdr:col>
      <xdr:colOff>200025</xdr:colOff>
      <xdr:row>16</xdr:row>
      <xdr:rowOff>233925</xdr:rowOff>
    </xdr:to>
    <xdr:cxnSp macro="">
      <xdr:nvCxnSpPr>
        <xdr:cNvPr id="98" name="꺾인 연결선 97"/>
        <xdr:cNvCxnSpPr>
          <a:stCxn id="88" idx="6"/>
        </xdr:cNvCxnSpPr>
      </xdr:nvCxnSpPr>
      <xdr:spPr>
        <a:xfrm flipV="1">
          <a:off x="21251400" y="3095625"/>
          <a:ext cx="618000" cy="891150"/>
        </a:xfrm>
        <a:prstGeom prst="bentConnector2">
          <a:avLst/>
        </a:prstGeom>
        <a:ln w="15875">
          <a:solidFill>
            <a:srgbClr val="0000FF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86</xdr:col>
      <xdr:colOff>77325</xdr:colOff>
      <xdr:row>13</xdr:row>
      <xdr:rowOff>57150</xdr:rowOff>
    </xdr:from>
    <xdr:to>
      <xdr:col>89</xdr:col>
      <xdr:colOff>47625</xdr:colOff>
      <xdr:row>21</xdr:row>
      <xdr:rowOff>233925</xdr:rowOff>
    </xdr:to>
    <xdr:cxnSp macro="">
      <xdr:nvCxnSpPr>
        <xdr:cNvPr id="99" name="꺾인 연결선 98"/>
        <xdr:cNvCxnSpPr>
          <a:stCxn id="90" idx="6"/>
        </xdr:cNvCxnSpPr>
      </xdr:nvCxnSpPr>
      <xdr:spPr>
        <a:xfrm flipV="1">
          <a:off x="21251400" y="3095625"/>
          <a:ext cx="713250" cy="2081775"/>
        </a:xfrm>
        <a:prstGeom prst="bentConnector2">
          <a:avLst/>
        </a:prstGeom>
        <a:ln w="15875">
          <a:solidFill>
            <a:srgbClr val="0000FF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63</xdr:col>
      <xdr:colOff>86850</xdr:colOff>
      <xdr:row>13</xdr:row>
      <xdr:rowOff>72000</xdr:rowOff>
    </xdr:from>
    <xdr:to>
      <xdr:col>71</xdr:col>
      <xdr:colOff>171450</xdr:colOff>
      <xdr:row>13</xdr:row>
      <xdr:rowOff>72000</xdr:rowOff>
    </xdr:to>
    <xdr:cxnSp macro="">
      <xdr:nvCxnSpPr>
        <xdr:cNvPr id="100" name="직선 연결선 99">
          <a:extLst>
            <a:ext uri="{FF2B5EF4-FFF2-40B4-BE49-F238E27FC236}">
              <a16:creationId xmlns:a16="http://schemas.microsoft.com/office/drawing/2014/main" xmlns="" id="{00000000-0008-0000-0000-00000F010000}"/>
            </a:ext>
          </a:extLst>
        </xdr:cNvPr>
        <xdr:cNvCxnSpPr>
          <a:stCxn id="40" idx="6"/>
          <a:endCxn id="75" idx="2"/>
        </xdr:cNvCxnSpPr>
      </xdr:nvCxnSpPr>
      <xdr:spPr>
        <a:xfrm>
          <a:off x="15564975" y="3110475"/>
          <a:ext cx="2065800" cy="0"/>
        </a:xfrm>
        <a:prstGeom prst="line">
          <a:avLst/>
        </a:prstGeom>
        <a:ln w="1587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100</xdr:col>
      <xdr:colOff>171450</xdr:colOff>
      <xdr:row>17</xdr:row>
      <xdr:rowOff>0</xdr:rowOff>
    </xdr:from>
    <xdr:to>
      <xdr:col>101</xdr:col>
      <xdr:colOff>67800</xdr:colOff>
      <xdr:row>17</xdr:row>
      <xdr:rowOff>144000</xdr:rowOff>
    </xdr:to>
    <xdr:sp macro="" textlink="">
      <xdr:nvSpPr>
        <xdr:cNvPr id="101" name="순서도: 연결자 100">
          <a:extLst>
            <a:ext uri="{FF2B5EF4-FFF2-40B4-BE49-F238E27FC236}">
              <a16:creationId xmlns:a16="http://schemas.microsoft.com/office/drawing/2014/main" xmlns="" id="{00000000-0008-0000-0000-000016010000}"/>
            </a:ext>
          </a:extLst>
        </xdr:cNvPr>
        <xdr:cNvSpPr/>
      </xdr:nvSpPr>
      <xdr:spPr>
        <a:xfrm>
          <a:off x="24812625" y="3990975"/>
          <a:ext cx="144000" cy="144000"/>
        </a:xfrm>
        <a:prstGeom prst="flowChartConnector">
          <a:avLst/>
        </a:prstGeom>
        <a:solidFill>
          <a:schemeClr val="bg1"/>
        </a:solidFill>
        <a:ln w="25400">
          <a:solidFill>
            <a:schemeClr val="tx1">
              <a:lumMod val="95000"/>
              <a:lumOff val="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ko-KR" altLang="en-US" sz="800" b="1">
            <a:latin typeface="돋움" pitchFamily="50" charset="-127"/>
            <a:ea typeface="돋움" pitchFamily="50" charset="-127"/>
          </a:endParaRPr>
        </a:p>
      </xdr:txBody>
    </xdr:sp>
    <xdr:clientData/>
  </xdr:twoCellAnchor>
  <xdr:twoCellAnchor>
    <xdr:from>
      <xdr:col>98</xdr:col>
      <xdr:colOff>142875</xdr:colOff>
      <xdr:row>14</xdr:row>
      <xdr:rowOff>152399</xdr:rowOff>
    </xdr:from>
    <xdr:to>
      <xdr:col>103</xdr:col>
      <xdr:colOff>108450</xdr:colOff>
      <xdr:row>16</xdr:row>
      <xdr:rowOff>180149</xdr:rowOff>
    </xdr:to>
    <xdr:sp macro="" textlink="">
      <xdr:nvSpPr>
        <xdr:cNvPr id="102" name="직사각형 101">
          <a:extLst>
            <a:ext uri="{FF2B5EF4-FFF2-40B4-BE49-F238E27FC236}">
              <a16:creationId xmlns:a16="http://schemas.microsoft.com/office/drawing/2014/main" xmlns="" id="{00000000-0008-0000-0000-000017010000}"/>
            </a:ext>
          </a:extLst>
        </xdr:cNvPr>
        <xdr:cNvSpPr/>
      </xdr:nvSpPr>
      <xdr:spPr>
        <a:xfrm>
          <a:off x="24288750" y="3428999"/>
          <a:ext cx="1203825" cy="504000"/>
        </a:xfrm>
        <a:prstGeom prst="rect">
          <a:avLst/>
        </a:prstGeom>
        <a:solidFill>
          <a:schemeClr val="bg1"/>
        </a:solidFill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marL="0" indent="0" algn="ctr"/>
          <a:r>
            <a:rPr lang="en-US" altLang="ko-KR" sz="900" b="1">
              <a:solidFill>
                <a:schemeClr val="tx1"/>
              </a:solidFill>
              <a:latin typeface="+mn-ea"/>
              <a:ea typeface="+mn-ea"/>
              <a:cs typeface="JBold" pitchFamily="18" charset="-127"/>
            </a:rPr>
            <a:t>Semi Product OUT</a:t>
          </a:r>
        </a:p>
        <a:p>
          <a:pPr marL="0" indent="0" algn="ctr"/>
          <a:r>
            <a:rPr lang="en-US" altLang="ko-KR" sz="900" b="1">
              <a:solidFill>
                <a:schemeClr val="tx1"/>
              </a:solidFill>
              <a:latin typeface="+mn-ea"/>
              <a:ea typeface="+mn-ea"/>
              <a:cs typeface="JBold" pitchFamily="18" charset="-127"/>
            </a:rPr>
            <a:t>Reg.</a:t>
          </a:r>
          <a:endParaRPr lang="ko-KR" altLang="en-US" sz="900" b="1">
            <a:solidFill>
              <a:schemeClr val="tx1"/>
            </a:solidFill>
            <a:latin typeface="+mn-ea"/>
            <a:ea typeface="+mn-ea"/>
            <a:cs typeface="JBold" pitchFamily="18" charset="-127"/>
          </a:endParaRPr>
        </a:p>
      </xdr:txBody>
    </xdr:sp>
    <xdr:clientData/>
  </xdr:twoCellAnchor>
  <xdr:twoCellAnchor>
    <xdr:from>
      <xdr:col>108</xdr:col>
      <xdr:colOff>180975</xdr:colOff>
      <xdr:row>17</xdr:row>
      <xdr:rowOff>0</xdr:rowOff>
    </xdr:from>
    <xdr:to>
      <xdr:col>109</xdr:col>
      <xdr:colOff>77325</xdr:colOff>
      <xdr:row>17</xdr:row>
      <xdr:rowOff>144000</xdr:rowOff>
    </xdr:to>
    <xdr:sp macro="" textlink="">
      <xdr:nvSpPr>
        <xdr:cNvPr id="103" name="순서도: 연결자 102">
          <a:extLst>
            <a:ext uri="{FF2B5EF4-FFF2-40B4-BE49-F238E27FC236}">
              <a16:creationId xmlns:a16="http://schemas.microsoft.com/office/drawing/2014/main" xmlns="" id="{00000000-0008-0000-0000-000016010000}"/>
            </a:ext>
          </a:extLst>
        </xdr:cNvPr>
        <xdr:cNvSpPr/>
      </xdr:nvSpPr>
      <xdr:spPr>
        <a:xfrm>
          <a:off x="26803350" y="3990975"/>
          <a:ext cx="144000" cy="144000"/>
        </a:xfrm>
        <a:prstGeom prst="flowChartConnector">
          <a:avLst/>
        </a:prstGeom>
        <a:solidFill>
          <a:schemeClr val="bg1"/>
        </a:solidFill>
        <a:ln w="25400">
          <a:solidFill>
            <a:schemeClr val="tx1">
              <a:lumMod val="95000"/>
              <a:lumOff val="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ko-KR" altLang="en-US" sz="800" b="1">
            <a:latin typeface="돋움" pitchFamily="50" charset="-127"/>
            <a:ea typeface="돋움" pitchFamily="50" charset="-127"/>
          </a:endParaRPr>
        </a:p>
      </xdr:txBody>
    </xdr:sp>
    <xdr:clientData/>
  </xdr:twoCellAnchor>
  <xdr:twoCellAnchor>
    <xdr:from>
      <xdr:col>106</xdr:col>
      <xdr:colOff>25597</xdr:colOff>
      <xdr:row>14</xdr:row>
      <xdr:rowOff>152399</xdr:rowOff>
    </xdr:from>
    <xdr:to>
      <xdr:col>111</xdr:col>
      <xdr:colOff>209550</xdr:colOff>
      <xdr:row>16</xdr:row>
      <xdr:rowOff>180149</xdr:rowOff>
    </xdr:to>
    <xdr:sp macro="" textlink="">
      <xdr:nvSpPr>
        <xdr:cNvPr id="104" name="직사각형 103">
          <a:extLst>
            <a:ext uri="{FF2B5EF4-FFF2-40B4-BE49-F238E27FC236}">
              <a16:creationId xmlns:a16="http://schemas.microsoft.com/office/drawing/2014/main" xmlns="" id="{00000000-0008-0000-0000-000017010000}"/>
            </a:ext>
          </a:extLst>
        </xdr:cNvPr>
        <xdr:cNvSpPr/>
      </xdr:nvSpPr>
      <xdr:spPr>
        <a:xfrm>
          <a:off x="26152672" y="3428999"/>
          <a:ext cx="1422203" cy="504000"/>
        </a:xfrm>
        <a:prstGeom prst="rect">
          <a:avLst/>
        </a:prstGeom>
        <a:solidFill>
          <a:schemeClr val="bg1"/>
        </a:solidFill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marL="0" indent="0" algn="ctr"/>
          <a:r>
            <a:rPr lang="en-US" altLang="ko-KR" sz="900" b="1">
              <a:solidFill>
                <a:schemeClr val="tx1"/>
              </a:solidFill>
              <a:latin typeface="+mn-ea"/>
              <a:ea typeface="+mn-ea"/>
              <a:cs typeface="JBold" pitchFamily="18" charset="-127"/>
            </a:rPr>
            <a:t>Semi Product IN</a:t>
          </a:r>
        </a:p>
        <a:p>
          <a:pPr marL="0" indent="0" algn="ctr"/>
          <a:r>
            <a:rPr lang="en-US" altLang="ko-KR" sz="900" b="1">
              <a:solidFill>
                <a:schemeClr val="tx1"/>
              </a:solidFill>
              <a:latin typeface="+mn-ea"/>
              <a:ea typeface="+mn-ea"/>
              <a:cs typeface="JBold" pitchFamily="18" charset="-127"/>
            </a:rPr>
            <a:t>Reg.</a:t>
          </a:r>
        </a:p>
      </xdr:txBody>
    </xdr:sp>
    <xdr:clientData/>
  </xdr:twoCellAnchor>
  <xdr:twoCellAnchor>
    <xdr:from>
      <xdr:col>93</xdr:col>
      <xdr:colOff>77325</xdr:colOff>
      <xdr:row>13</xdr:row>
      <xdr:rowOff>72000</xdr:rowOff>
    </xdr:from>
    <xdr:to>
      <xdr:col>100</xdr:col>
      <xdr:colOff>171450</xdr:colOff>
      <xdr:row>17</xdr:row>
      <xdr:rowOff>72000</xdr:rowOff>
    </xdr:to>
    <xdr:cxnSp macro="">
      <xdr:nvCxnSpPr>
        <xdr:cNvPr id="105" name="꺾인 연결선 104"/>
        <xdr:cNvCxnSpPr>
          <a:stCxn id="86" idx="6"/>
          <a:endCxn id="101" idx="2"/>
        </xdr:cNvCxnSpPr>
      </xdr:nvCxnSpPr>
      <xdr:spPr>
        <a:xfrm>
          <a:off x="22984950" y="3110475"/>
          <a:ext cx="1827675" cy="952500"/>
        </a:xfrm>
        <a:prstGeom prst="bentConnector3">
          <a:avLst>
            <a:gd name="adj1" fmla="val 50346"/>
          </a:avLst>
        </a:prstGeom>
        <a:ln w="1587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93</xdr:col>
      <xdr:colOff>86850</xdr:colOff>
      <xdr:row>13</xdr:row>
      <xdr:rowOff>57150</xdr:rowOff>
    </xdr:from>
    <xdr:to>
      <xdr:col>95</xdr:col>
      <xdr:colOff>209550</xdr:colOff>
      <xdr:row>16</xdr:row>
      <xdr:rowOff>233925</xdr:rowOff>
    </xdr:to>
    <xdr:cxnSp macro="">
      <xdr:nvCxnSpPr>
        <xdr:cNvPr id="106" name="꺾인 연결선 105"/>
        <xdr:cNvCxnSpPr/>
      </xdr:nvCxnSpPr>
      <xdr:spPr>
        <a:xfrm flipV="1">
          <a:off x="22994475" y="3095625"/>
          <a:ext cx="618000" cy="891150"/>
        </a:xfrm>
        <a:prstGeom prst="bentConnector2">
          <a:avLst/>
        </a:prstGeom>
        <a:ln w="15875">
          <a:solidFill>
            <a:srgbClr val="0000FF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104</xdr:col>
      <xdr:colOff>180975</xdr:colOff>
      <xdr:row>21</xdr:row>
      <xdr:rowOff>171450</xdr:rowOff>
    </xdr:from>
    <xdr:to>
      <xdr:col>105</xdr:col>
      <xdr:colOff>77325</xdr:colOff>
      <xdr:row>22</xdr:row>
      <xdr:rowOff>77325</xdr:rowOff>
    </xdr:to>
    <xdr:sp macro="" textlink="">
      <xdr:nvSpPr>
        <xdr:cNvPr id="107" name="순서도: 연결자 106">
          <a:extLst>
            <a:ext uri="{FF2B5EF4-FFF2-40B4-BE49-F238E27FC236}">
              <a16:creationId xmlns:a16="http://schemas.microsoft.com/office/drawing/2014/main" xmlns="" id="{00000000-0008-0000-0000-000016010000}"/>
            </a:ext>
          </a:extLst>
        </xdr:cNvPr>
        <xdr:cNvSpPr/>
      </xdr:nvSpPr>
      <xdr:spPr>
        <a:xfrm>
          <a:off x="25812750" y="5114925"/>
          <a:ext cx="144000" cy="144000"/>
        </a:xfrm>
        <a:prstGeom prst="flowChartConnector">
          <a:avLst/>
        </a:prstGeom>
        <a:solidFill>
          <a:srgbClr val="FF0000"/>
        </a:solidFill>
        <a:ln w="254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marL="0" indent="0" algn="ctr"/>
          <a:endParaRPr lang="ko-KR" altLang="en-US" sz="800" b="1">
            <a:solidFill>
              <a:schemeClr val="lt1"/>
            </a:solidFill>
            <a:latin typeface="돋움" pitchFamily="50" charset="-127"/>
            <a:ea typeface="돋움" pitchFamily="50" charset="-127"/>
            <a:cs typeface="+mn-cs"/>
          </a:endParaRPr>
        </a:p>
      </xdr:txBody>
    </xdr:sp>
    <xdr:clientData/>
  </xdr:twoCellAnchor>
  <xdr:twoCellAnchor>
    <xdr:from>
      <xdr:col>102</xdr:col>
      <xdr:colOff>28574</xdr:colOff>
      <xdr:row>19</xdr:row>
      <xdr:rowOff>104774</xdr:rowOff>
    </xdr:from>
    <xdr:to>
      <xdr:col>107</xdr:col>
      <xdr:colOff>228599</xdr:colOff>
      <xdr:row>21</xdr:row>
      <xdr:rowOff>132524</xdr:rowOff>
    </xdr:to>
    <xdr:sp macro="" textlink="">
      <xdr:nvSpPr>
        <xdr:cNvPr id="108" name="직사각형 107">
          <a:extLst>
            <a:ext uri="{FF2B5EF4-FFF2-40B4-BE49-F238E27FC236}">
              <a16:creationId xmlns:a16="http://schemas.microsoft.com/office/drawing/2014/main" xmlns="" id="{00000000-0008-0000-0000-000017010000}"/>
            </a:ext>
          </a:extLst>
        </xdr:cNvPr>
        <xdr:cNvSpPr/>
      </xdr:nvSpPr>
      <xdr:spPr>
        <a:xfrm>
          <a:off x="25165049" y="4571999"/>
          <a:ext cx="1438275" cy="504000"/>
        </a:xfrm>
        <a:prstGeom prst="rect">
          <a:avLst/>
        </a:prstGeom>
        <a:solidFill>
          <a:schemeClr val="bg1"/>
        </a:solidFill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marL="0" indent="0" algn="ctr"/>
          <a:r>
            <a:rPr lang="en-US" altLang="ko-KR" sz="900" b="1">
              <a:solidFill>
                <a:srgbClr val="FF0000"/>
              </a:solidFill>
              <a:latin typeface="+mn-ea"/>
              <a:ea typeface="+mn-ea"/>
              <a:cs typeface="JBold" pitchFamily="18" charset="-127"/>
            </a:rPr>
            <a:t>Sub-processing</a:t>
          </a:r>
        </a:p>
        <a:p>
          <a:pPr marL="0" indent="0" algn="ctr"/>
          <a:r>
            <a:rPr lang="en-US" altLang="ko-KR" sz="900" b="0">
              <a:solidFill>
                <a:srgbClr val="FF0000"/>
              </a:solidFill>
              <a:latin typeface="+mn-ea"/>
              <a:ea typeface="+mn-ea"/>
              <a:cs typeface="JBold" pitchFamily="18" charset="-127"/>
            </a:rPr>
            <a:t>(Garment Washing</a:t>
          </a:r>
          <a:r>
            <a:rPr lang="en-US" altLang="ko-KR" sz="900" b="0" baseline="0">
              <a:solidFill>
                <a:srgbClr val="FF0000"/>
              </a:solidFill>
              <a:latin typeface="+mn-ea"/>
              <a:ea typeface="+mn-ea"/>
              <a:cs typeface="JBold" pitchFamily="18" charset="-127"/>
            </a:rPr>
            <a:t>)</a:t>
          </a:r>
          <a:endParaRPr lang="ko-KR" altLang="en-US" sz="900" b="0">
            <a:solidFill>
              <a:srgbClr val="FF0000"/>
            </a:solidFill>
            <a:latin typeface="+mn-ea"/>
            <a:ea typeface="+mn-ea"/>
            <a:cs typeface="JBold" pitchFamily="18" charset="-127"/>
          </a:endParaRPr>
        </a:p>
      </xdr:txBody>
    </xdr:sp>
    <xdr:clientData/>
  </xdr:twoCellAnchor>
  <xdr:twoCellAnchor>
    <xdr:from>
      <xdr:col>100</xdr:col>
      <xdr:colOff>243449</xdr:colOff>
      <xdr:row>17</xdr:row>
      <xdr:rowOff>144000</xdr:rowOff>
    </xdr:from>
    <xdr:to>
      <xdr:col>104</xdr:col>
      <xdr:colOff>180974</xdr:colOff>
      <xdr:row>22</xdr:row>
      <xdr:rowOff>5325</xdr:rowOff>
    </xdr:to>
    <xdr:cxnSp macro="">
      <xdr:nvCxnSpPr>
        <xdr:cNvPr id="109" name="꺾인 연결선 108"/>
        <xdr:cNvCxnSpPr>
          <a:stCxn id="101" idx="4"/>
          <a:endCxn id="107" idx="2"/>
        </xdr:cNvCxnSpPr>
      </xdr:nvCxnSpPr>
      <xdr:spPr>
        <a:xfrm rot="16200000" flipH="1">
          <a:off x="24822712" y="4196887"/>
          <a:ext cx="1051950" cy="928125"/>
        </a:xfrm>
        <a:prstGeom prst="bentConnector2">
          <a:avLst/>
        </a:prstGeom>
        <a:ln w="15875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105</xdr:col>
      <xdr:colOff>77325</xdr:colOff>
      <xdr:row>17</xdr:row>
      <xdr:rowOff>144000</xdr:rowOff>
    </xdr:from>
    <xdr:to>
      <xdr:col>109</xdr:col>
      <xdr:colOff>5325</xdr:colOff>
      <xdr:row>22</xdr:row>
      <xdr:rowOff>5325</xdr:rowOff>
    </xdr:to>
    <xdr:cxnSp macro="">
      <xdr:nvCxnSpPr>
        <xdr:cNvPr id="110" name="꺾인 연결선 109"/>
        <xdr:cNvCxnSpPr>
          <a:stCxn id="107" idx="6"/>
          <a:endCxn id="103" idx="4"/>
        </xdr:cNvCxnSpPr>
      </xdr:nvCxnSpPr>
      <xdr:spPr>
        <a:xfrm flipV="1">
          <a:off x="25956750" y="4134975"/>
          <a:ext cx="918600" cy="1051950"/>
        </a:xfrm>
        <a:prstGeom prst="bentConnector2">
          <a:avLst/>
        </a:prstGeom>
        <a:ln w="15875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113</xdr:col>
      <xdr:colOff>9525</xdr:colOff>
      <xdr:row>11</xdr:row>
      <xdr:rowOff>228600</xdr:rowOff>
    </xdr:from>
    <xdr:to>
      <xdr:col>116</xdr:col>
      <xdr:colOff>171450</xdr:colOff>
      <xdr:row>14</xdr:row>
      <xdr:rowOff>142875</xdr:rowOff>
    </xdr:to>
    <xdr:sp macro="" textlink="">
      <xdr:nvSpPr>
        <xdr:cNvPr id="111" name="순서도: 문서 110"/>
        <xdr:cNvSpPr/>
      </xdr:nvSpPr>
      <xdr:spPr>
        <a:xfrm>
          <a:off x="27870150" y="2790825"/>
          <a:ext cx="904875" cy="628650"/>
        </a:xfrm>
        <a:prstGeom prst="flowChartDocument">
          <a:avLst/>
        </a:prstGeom>
        <a:solidFill>
          <a:schemeClr val="tx2">
            <a:lumMod val="20000"/>
            <a:lumOff val="80000"/>
          </a:schemeClr>
        </a:solid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altLang="ko-KR" sz="1100" b="1">
              <a:solidFill>
                <a:sysClr val="windowText" lastClr="000000"/>
              </a:solidFill>
            </a:rPr>
            <a:t>Production</a:t>
          </a:r>
        </a:p>
        <a:p>
          <a:pPr algn="ctr"/>
          <a:r>
            <a:rPr lang="en-US" altLang="ko-KR" sz="1100" b="1">
              <a:solidFill>
                <a:sysClr val="windowText" lastClr="000000"/>
              </a:solidFill>
            </a:rPr>
            <a:t>Status</a:t>
          </a:r>
          <a:endParaRPr lang="ko-KR" altLang="en-US" sz="11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93</xdr:col>
      <xdr:colOff>77325</xdr:colOff>
      <xdr:row>13</xdr:row>
      <xdr:rowOff>66675</xdr:rowOff>
    </xdr:from>
    <xdr:to>
      <xdr:col>113</xdr:col>
      <xdr:colOff>9525</xdr:colOff>
      <xdr:row>13</xdr:row>
      <xdr:rowOff>72000</xdr:rowOff>
    </xdr:to>
    <xdr:cxnSp macro="">
      <xdr:nvCxnSpPr>
        <xdr:cNvPr id="112" name="직선 연결선 111">
          <a:extLst>
            <a:ext uri="{FF2B5EF4-FFF2-40B4-BE49-F238E27FC236}">
              <a16:creationId xmlns:a16="http://schemas.microsoft.com/office/drawing/2014/main" xmlns="" id="{00000000-0008-0000-0000-00000F010000}"/>
            </a:ext>
          </a:extLst>
        </xdr:cNvPr>
        <xdr:cNvCxnSpPr>
          <a:stCxn id="86" idx="6"/>
          <a:endCxn id="111" idx="1"/>
        </xdr:cNvCxnSpPr>
      </xdr:nvCxnSpPr>
      <xdr:spPr>
        <a:xfrm flipV="1">
          <a:off x="22984950" y="3105150"/>
          <a:ext cx="4885200" cy="5325"/>
        </a:xfrm>
        <a:prstGeom prst="line">
          <a:avLst/>
        </a:prstGeom>
        <a:ln w="1587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83</xdr:col>
      <xdr:colOff>247649</xdr:colOff>
      <xdr:row>7</xdr:row>
      <xdr:rowOff>200025</xdr:rowOff>
    </xdr:from>
    <xdr:to>
      <xdr:col>125</xdr:col>
      <xdr:colOff>19050</xdr:colOff>
      <xdr:row>8</xdr:row>
      <xdr:rowOff>133350</xdr:rowOff>
    </xdr:to>
    <xdr:grpSp>
      <xdr:nvGrpSpPr>
        <xdr:cNvPr id="113" name="그룹 112"/>
        <xdr:cNvGrpSpPr/>
      </xdr:nvGrpSpPr>
      <xdr:grpSpPr>
        <a:xfrm>
          <a:off x="20678774" y="1924050"/>
          <a:ext cx="10172701" cy="171450"/>
          <a:chOff x="142874" y="2038350"/>
          <a:chExt cx="10172701" cy="171450"/>
        </a:xfrm>
      </xdr:grpSpPr>
      <xdr:cxnSp macro="">
        <xdr:nvCxnSpPr>
          <xdr:cNvPr id="114" name="직선 연결선 113"/>
          <xdr:cNvCxnSpPr/>
        </xdr:nvCxnSpPr>
        <xdr:spPr>
          <a:xfrm>
            <a:off x="152400" y="2038350"/>
            <a:ext cx="0" cy="171450"/>
          </a:xfrm>
          <a:prstGeom prst="line">
            <a:avLst/>
          </a:prstGeom>
          <a:ln w="34925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15" name="직선 연결선 114"/>
          <xdr:cNvCxnSpPr/>
        </xdr:nvCxnSpPr>
        <xdr:spPr>
          <a:xfrm>
            <a:off x="142874" y="2057400"/>
            <a:ext cx="10172701" cy="0"/>
          </a:xfrm>
          <a:prstGeom prst="line">
            <a:avLst/>
          </a:prstGeom>
          <a:ln w="635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16" name="직선 연결선 115"/>
          <xdr:cNvCxnSpPr/>
        </xdr:nvCxnSpPr>
        <xdr:spPr>
          <a:xfrm>
            <a:off x="10306050" y="2038350"/>
            <a:ext cx="0" cy="171450"/>
          </a:xfrm>
          <a:prstGeom prst="line">
            <a:avLst/>
          </a:prstGeom>
          <a:ln w="34925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104</xdr:col>
      <xdr:colOff>133350</xdr:colOff>
      <xdr:row>7</xdr:row>
      <xdr:rowOff>123825</xdr:rowOff>
    </xdr:from>
    <xdr:to>
      <xdr:col>105</xdr:col>
      <xdr:colOff>101700</xdr:colOff>
      <xdr:row>8</xdr:row>
      <xdr:rowOff>101700</xdr:rowOff>
    </xdr:to>
    <xdr:sp macro="" textlink="">
      <xdr:nvSpPr>
        <xdr:cNvPr id="117" name="순서도: 연결자 116">
          <a:extLst>
            <a:ext uri="{FF2B5EF4-FFF2-40B4-BE49-F238E27FC236}">
              <a16:creationId xmlns:a16="http://schemas.microsoft.com/office/drawing/2014/main" xmlns="" id="{00000000-0008-0000-0000-000016010000}"/>
            </a:ext>
          </a:extLst>
        </xdr:cNvPr>
        <xdr:cNvSpPr>
          <a:spLocks noChangeAspect="1"/>
        </xdr:cNvSpPr>
      </xdr:nvSpPr>
      <xdr:spPr>
        <a:xfrm>
          <a:off x="25765125" y="1847850"/>
          <a:ext cx="216000" cy="216000"/>
        </a:xfrm>
        <a:prstGeom prst="flowChartConnector">
          <a:avLst/>
        </a:prstGeom>
        <a:solidFill>
          <a:srgbClr val="FFFF00"/>
        </a:solidFill>
        <a:ln w="25400">
          <a:solidFill>
            <a:schemeClr val="tx1">
              <a:lumMod val="95000"/>
              <a:lumOff val="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ko-KR" altLang="en-US" sz="800" b="1">
            <a:latin typeface="돋움" pitchFamily="50" charset="-127"/>
            <a:ea typeface="돋움" pitchFamily="50" charset="-127"/>
          </a:endParaRPr>
        </a:p>
      </xdr:txBody>
    </xdr:sp>
    <xdr:clientData/>
  </xdr:twoCellAnchor>
  <xdr:twoCellAnchor>
    <xdr:from>
      <xdr:col>102</xdr:col>
      <xdr:colOff>38100</xdr:colOff>
      <xdr:row>6</xdr:row>
      <xdr:rowOff>28575</xdr:rowOff>
    </xdr:from>
    <xdr:to>
      <xdr:col>107</xdr:col>
      <xdr:colOff>194175</xdr:colOff>
      <xdr:row>7</xdr:row>
      <xdr:rowOff>80023</xdr:rowOff>
    </xdr:to>
    <xdr:sp macro="" textlink="">
      <xdr:nvSpPr>
        <xdr:cNvPr id="118" name="직사각형 117">
          <a:extLst>
            <a:ext uri="{FF2B5EF4-FFF2-40B4-BE49-F238E27FC236}">
              <a16:creationId xmlns:a16="http://schemas.microsoft.com/office/drawing/2014/main" xmlns="" id="{00000000-0008-0000-0000-000017010000}"/>
            </a:ext>
          </a:extLst>
        </xdr:cNvPr>
        <xdr:cNvSpPr/>
      </xdr:nvSpPr>
      <xdr:spPr>
        <a:xfrm>
          <a:off x="25174575" y="1514475"/>
          <a:ext cx="1394325" cy="289573"/>
        </a:xfrm>
        <a:prstGeom prst="rect">
          <a:avLst/>
        </a:prstGeom>
        <a:solidFill>
          <a:schemeClr val="bg1"/>
        </a:solidFill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marL="0" indent="0" algn="ctr"/>
          <a:r>
            <a:rPr lang="en-US" altLang="ko-KR" sz="1000" b="1">
              <a:solidFill>
                <a:schemeClr val="tx1"/>
              </a:solidFill>
              <a:latin typeface="+mn-ea"/>
              <a:ea typeface="+mn-ea"/>
              <a:cs typeface="JBold" pitchFamily="18" charset="-127"/>
            </a:rPr>
            <a:t>Sewing Line</a:t>
          </a:r>
          <a:endParaRPr lang="ko-KR" altLang="en-US" sz="1000" b="1">
            <a:solidFill>
              <a:schemeClr val="tx1"/>
            </a:solidFill>
            <a:latin typeface="+mn-ea"/>
            <a:ea typeface="+mn-ea"/>
            <a:cs typeface="JBold" pitchFamily="18" charset="-127"/>
          </a:endParaRPr>
        </a:p>
      </xdr:txBody>
    </xdr:sp>
    <xdr:clientData/>
  </xdr:twoCellAnchor>
  <xdr:twoCellAnchor>
    <xdr:from>
      <xdr:col>130</xdr:col>
      <xdr:colOff>171450</xdr:colOff>
      <xdr:row>17</xdr:row>
      <xdr:rowOff>0</xdr:rowOff>
    </xdr:from>
    <xdr:to>
      <xdr:col>131</xdr:col>
      <xdr:colOff>67800</xdr:colOff>
      <xdr:row>17</xdr:row>
      <xdr:rowOff>144000</xdr:rowOff>
    </xdr:to>
    <xdr:sp macro="" textlink="">
      <xdr:nvSpPr>
        <xdr:cNvPr id="119" name="순서도: 연결자 118">
          <a:extLst>
            <a:ext uri="{FF2B5EF4-FFF2-40B4-BE49-F238E27FC236}">
              <a16:creationId xmlns:a16="http://schemas.microsoft.com/office/drawing/2014/main" xmlns="" id="{00000000-0008-0000-0000-000016010000}"/>
            </a:ext>
          </a:extLst>
        </xdr:cNvPr>
        <xdr:cNvSpPr/>
      </xdr:nvSpPr>
      <xdr:spPr>
        <a:xfrm>
          <a:off x="32242125" y="3990975"/>
          <a:ext cx="144000" cy="144000"/>
        </a:xfrm>
        <a:prstGeom prst="flowChartConnector">
          <a:avLst/>
        </a:prstGeom>
        <a:solidFill>
          <a:schemeClr val="bg1"/>
        </a:solidFill>
        <a:ln w="25400">
          <a:solidFill>
            <a:schemeClr val="tx1">
              <a:lumMod val="95000"/>
              <a:lumOff val="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ko-KR" altLang="en-US" sz="800" b="1">
            <a:latin typeface="돋움" pitchFamily="50" charset="-127"/>
            <a:ea typeface="돋움" pitchFamily="50" charset="-127"/>
          </a:endParaRPr>
        </a:p>
      </xdr:txBody>
    </xdr:sp>
    <xdr:clientData/>
  </xdr:twoCellAnchor>
  <xdr:twoCellAnchor>
    <xdr:from>
      <xdr:col>128</xdr:col>
      <xdr:colOff>142875</xdr:colOff>
      <xdr:row>14</xdr:row>
      <xdr:rowOff>152399</xdr:rowOff>
    </xdr:from>
    <xdr:to>
      <xdr:col>133</xdr:col>
      <xdr:colOff>108450</xdr:colOff>
      <xdr:row>16</xdr:row>
      <xdr:rowOff>180149</xdr:rowOff>
    </xdr:to>
    <xdr:sp macro="" textlink="">
      <xdr:nvSpPr>
        <xdr:cNvPr id="120" name="직사각형 119">
          <a:extLst>
            <a:ext uri="{FF2B5EF4-FFF2-40B4-BE49-F238E27FC236}">
              <a16:creationId xmlns:a16="http://schemas.microsoft.com/office/drawing/2014/main" xmlns="" id="{00000000-0008-0000-0000-000017010000}"/>
            </a:ext>
          </a:extLst>
        </xdr:cNvPr>
        <xdr:cNvSpPr/>
      </xdr:nvSpPr>
      <xdr:spPr>
        <a:xfrm>
          <a:off x="31718250" y="3428999"/>
          <a:ext cx="1203825" cy="504000"/>
        </a:xfrm>
        <a:prstGeom prst="rect">
          <a:avLst/>
        </a:prstGeom>
        <a:solidFill>
          <a:schemeClr val="bg1"/>
        </a:solidFill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marL="0" indent="0" algn="ctr"/>
          <a:r>
            <a:rPr lang="en-US" altLang="ko-KR" sz="900" b="1">
              <a:solidFill>
                <a:schemeClr val="tx1"/>
              </a:solidFill>
              <a:latin typeface="+mn-ea"/>
              <a:ea typeface="+mn-ea"/>
              <a:cs typeface="JBold" pitchFamily="18" charset="-127"/>
            </a:rPr>
            <a:t>G.Stock W/H IN</a:t>
          </a:r>
        </a:p>
        <a:p>
          <a:pPr marL="0" indent="0" algn="ctr"/>
          <a:r>
            <a:rPr lang="en-US" altLang="ko-KR" sz="900" b="1">
              <a:solidFill>
                <a:schemeClr val="tx1"/>
              </a:solidFill>
              <a:latin typeface="+mn-ea"/>
              <a:ea typeface="+mn-ea"/>
              <a:cs typeface="JBold" pitchFamily="18" charset="-127"/>
            </a:rPr>
            <a:t>Reg.</a:t>
          </a:r>
          <a:endParaRPr lang="ko-KR" altLang="en-US" sz="900" b="1">
            <a:solidFill>
              <a:schemeClr val="tx1"/>
            </a:solidFill>
            <a:latin typeface="+mn-ea"/>
            <a:ea typeface="+mn-ea"/>
            <a:cs typeface="JBold" pitchFamily="18" charset="-127"/>
          </a:endParaRPr>
        </a:p>
      </xdr:txBody>
    </xdr:sp>
    <xdr:clientData/>
  </xdr:twoCellAnchor>
  <xdr:twoCellAnchor>
    <xdr:from>
      <xdr:col>136</xdr:col>
      <xdr:colOff>171450</xdr:colOff>
      <xdr:row>17</xdr:row>
      <xdr:rowOff>0</xdr:rowOff>
    </xdr:from>
    <xdr:to>
      <xdr:col>137</xdr:col>
      <xdr:colOff>67800</xdr:colOff>
      <xdr:row>17</xdr:row>
      <xdr:rowOff>144000</xdr:rowOff>
    </xdr:to>
    <xdr:sp macro="" textlink="">
      <xdr:nvSpPr>
        <xdr:cNvPr id="121" name="순서도: 연결자 120">
          <a:extLst>
            <a:ext uri="{FF2B5EF4-FFF2-40B4-BE49-F238E27FC236}">
              <a16:creationId xmlns:a16="http://schemas.microsoft.com/office/drawing/2014/main" xmlns="" id="{00000000-0008-0000-0000-000016010000}"/>
            </a:ext>
          </a:extLst>
        </xdr:cNvPr>
        <xdr:cNvSpPr/>
      </xdr:nvSpPr>
      <xdr:spPr>
        <a:xfrm>
          <a:off x="33728025" y="3990975"/>
          <a:ext cx="144000" cy="144000"/>
        </a:xfrm>
        <a:prstGeom prst="flowChartConnector">
          <a:avLst/>
        </a:prstGeom>
        <a:solidFill>
          <a:schemeClr val="bg1"/>
        </a:solidFill>
        <a:ln w="25400">
          <a:solidFill>
            <a:schemeClr val="tx1">
              <a:lumMod val="95000"/>
              <a:lumOff val="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ko-KR" altLang="en-US" sz="800" b="1">
            <a:latin typeface="돋움" pitchFamily="50" charset="-127"/>
            <a:ea typeface="돋움" pitchFamily="50" charset="-127"/>
          </a:endParaRPr>
        </a:p>
      </xdr:txBody>
    </xdr:sp>
    <xdr:clientData/>
  </xdr:twoCellAnchor>
  <xdr:twoCellAnchor>
    <xdr:from>
      <xdr:col>134</xdr:col>
      <xdr:colOff>142875</xdr:colOff>
      <xdr:row>14</xdr:row>
      <xdr:rowOff>152399</xdr:rowOff>
    </xdr:from>
    <xdr:to>
      <xdr:col>139</xdr:col>
      <xdr:colOff>108450</xdr:colOff>
      <xdr:row>16</xdr:row>
      <xdr:rowOff>180149</xdr:rowOff>
    </xdr:to>
    <xdr:sp macro="" textlink="">
      <xdr:nvSpPr>
        <xdr:cNvPr id="122" name="직사각형 121">
          <a:extLst>
            <a:ext uri="{FF2B5EF4-FFF2-40B4-BE49-F238E27FC236}">
              <a16:creationId xmlns:a16="http://schemas.microsoft.com/office/drawing/2014/main" xmlns="" id="{00000000-0008-0000-0000-000017010000}"/>
            </a:ext>
          </a:extLst>
        </xdr:cNvPr>
        <xdr:cNvSpPr/>
      </xdr:nvSpPr>
      <xdr:spPr>
        <a:xfrm>
          <a:off x="33204150" y="3428999"/>
          <a:ext cx="1203825" cy="504000"/>
        </a:xfrm>
        <a:prstGeom prst="rect">
          <a:avLst/>
        </a:prstGeom>
        <a:solidFill>
          <a:schemeClr val="bg1"/>
        </a:solidFill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marL="0" indent="0" algn="ctr"/>
          <a:r>
            <a:rPr lang="en-US" altLang="ko-KR" sz="900" b="1">
              <a:solidFill>
                <a:schemeClr val="tx1"/>
              </a:solidFill>
              <a:latin typeface="+mn-ea"/>
              <a:ea typeface="+mn-ea"/>
              <a:cs typeface="JBold" pitchFamily="18" charset="-127"/>
            </a:rPr>
            <a:t>G.Stock W/H OUT</a:t>
          </a:r>
        </a:p>
        <a:p>
          <a:pPr marL="0" indent="0" algn="ctr"/>
          <a:r>
            <a:rPr lang="en-US" altLang="ko-KR" sz="900" b="1">
              <a:solidFill>
                <a:schemeClr val="tx1"/>
              </a:solidFill>
              <a:latin typeface="+mn-ea"/>
              <a:ea typeface="+mn-ea"/>
              <a:cs typeface="JBold" pitchFamily="18" charset="-127"/>
            </a:rPr>
            <a:t>Reg.</a:t>
          </a:r>
          <a:endParaRPr lang="ko-KR" altLang="en-US" sz="900" b="1">
            <a:solidFill>
              <a:schemeClr val="tx1"/>
            </a:solidFill>
            <a:latin typeface="+mn-ea"/>
            <a:ea typeface="+mn-ea"/>
            <a:cs typeface="JBold" pitchFamily="18" charset="-127"/>
          </a:endParaRPr>
        </a:p>
      </xdr:txBody>
    </xdr:sp>
    <xdr:clientData/>
  </xdr:twoCellAnchor>
  <xdr:twoCellAnchor>
    <xdr:from>
      <xdr:col>121</xdr:col>
      <xdr:colOff>171450</xdr:colOff>
      <xdr:row>17</xdr:row>
      <xdr:rowOff>0</xdr:rowOff>
    </xdr:from>
    <xdr:to>
      <xdr:col>122</xdr:col>
      <xdr:colOff>67800</xdr:colOff>
      <xdr:row>17</xdr:row>
      <xdr:rowOff>144000</xdr:rowOff>
    </xdr:to>
    <xdr:sp macro="" textlink="">
      <xdr:nvSpPr>
        <xdr:cNvPr id="123" name="순서도: 연결자 122">
          <a:extLst>
            <a:ext uri="{FF2B5EF4-FFF2-40B4-BE49-F238E27FC236}">
              <a16:creationId xmlns:a16="http://schemas.microsoft.com/office/drawing/2014/main" xmlns="" id="{00000000-0008-0000-0000-000016010000}"/>
            </a:ext>
          </a:extLst>
        </xdr:cNvPr>
        <xdr:cNvSpPr/>
      </xdr:nvSpPr>
      <xdr:spPr>
        <a:xfrm>
          <a:off x="30013275" y="3990975"/>
          <a:ext cx="144000" cy="144000"/>
        </a:xfrm>
        <a:prstGeom prst="flowChartConnector">
          <a:avLst/>
        </a:prstGeom>
        <a:solidFill>
          <a:schemeClr val="bg1"/>
        </a:solidFill>
        <a:ln w="25400">
          <a:solidFill>
            <a:schemeClr val="tx1">
              <a:lumMod val="95000"/>
              <a:lumOff val="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ko-KR" altLang="en-US" sz="800" b="1">
            <a:latin typeface="돋움" pitchFamily="50" charset="-127"/>
            <a:ea typeface="돋움" pitchFamily="50" charset="-127"/>
          </a:endParaRPr>
        </a:p>
      </xdr:txBody>
    </xdr:sp>
    <xdr:clientData/>
  </xdr:twoCellAnchor>
  <xdr:twoCellAnchor>
    <xdr:from>
      <xdr:col>119</xdr:col>
      <xdr:colOff>142875</xdr:colOff>
      <xdr:row>14</xdr:row>
      <xdr:rowOff>152399</xdr:rowOff>
    </xdr:from>
    <xdr:to>
      <xdr:col>124</xdr:col>
      <xdr:colOff>108450</xdr:colOff>
      <xdr:row>16</xdr:row>
      <xdr:rowOff>180149</xdr:rowOff>
    </xdr:to>
    <xdr:sp macro="" textlink="">
      <xdr:nvSpPr>
        <xdr:cNvPr id="124" name="직사각형 123">
          <a:extLst>
            <a:ext uri="{FF2B5EF4-FFF2-40B4-BE49-F238E27FC236}">
              <a16:creationId xmlns:a16="http://schemas.microsoft.com/office/drawing/2014/main" xmlns="" id="{00000000-0008-0000-0000-000017010000}"/>
            </a:ext>
          </a:extLst>
        </xdr:cNvPr>
        <xdr:cNvSpPr/>
      </xdr:nvSpPr>
      <xdr:spPr>
        <a:xfrm>
          <a:off x="29489400" y="3428999"/>
          <a:ext cx="1203825" cy="504000"/>
        </a:xfrm>
        <a:prstGeom prst="rect">
          <a:avLst/>
        </a:prstGeom>
        <a:solidFill>
          <a:schemeClr val="bg1"/>
        </a:solidFill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marL="0" indent="0" algn="ctr"/>
          <a:r>
            <a:rPr lang="en-US" altLang="ko-KR" sz="900" b="1">
              <a:solidFill>
                <a:schemeClr val="tx1"/>
              </a:solidFill>
              <a:latin typeface="+mn-ea"/>
              <a:ea typeface="+mn-ea"/>
              <a:cs typeface="JBold" pitchFamily="18" charset="-127"/>
            </a:rPr>
            <a:t>G.</a:t>
          </a:r>
          <a:r>
            <a:rPr lang="en-US" altLang="ko-KR" sz="900" b="1" baseline="0">
              <a:solidFill>
                <a:schemeClr val="tx1"/>
              </a:solidFill>
              <a:latin typeface="+mn-ea"/>
              <a:ea typeface="+mn-ea"/>
              <a:cs typeface="JBold" pitchFamily="18" charset="-127"/>
            </a:rPr>
            <a:t>Stock OUT</a:t>
          </a:r>
        </a:p>
        <a:p>
          <a:pPr marL="0" indent="0" algn="ctr"/>
          <a:r>
            <a:rPr lang="en-US" altLang="ko-KR" sz="900" b="1">
              <a:solidFill>
                <a:schemeClr val="tx1"/>
              </a:solidFill>
              <a:latin typeface="+mn-ea"/>
              <a:ea typeface="+mn-ea"/>
              <a:cs typeface="JBold" pitchFamily="18" charset="-127"/>
            </a:rPr>
            <a:t>Reg.</a:t>
          </a:r>
          <a:endParaRPr lang="ko-KR" altLang="en-US" sz="900" b="1">
            <a:solidFill>
              <a:schemeClr val="tx1"/>
            </a:solidFill>
            <a:latin typeface="+mn-ea"/>
            <a:ea typeface="+mn-ea"/>
            <a:cs typeface="JBold" pitchFamily="18" charset="-127"/>
          </a:endParaRPr>
        </a:p>
      </xdr:txBody>
    </xdr:sp>
    <xdr:clientData/>
  </xdr:twoCellAnchor>
  <xdr:twoCellAnchor>
    <xdr:from>
      <xdr:col>114</xdr:col>
      <xdr:colOff>214313</xdr:colOff>
      <xdr:row>14</xdr:row>
      <xdr:rowOff>101313</xdr:rowOff>
    </xdr:from>
    <xdr:to>
      <xdr:col>121</xdr:col>
      <xdr:colOff>171450</xdr:colOff>
      <xdr:row>17</xdr:row>
      <xdr:rowOff>71999</xdr:rowOff>
    </xdr:to>
    <xdr:cxnSp macro="">
      <xdr:nvCxnSpPr>
        <xdr:cNvPr id="125" name="꺾인 연결선 124"/>
        <xdr:cNvCxnSpPr>
          <a:stCxn id="111" idx="2"/>
          <a:endCxn id="123" idx="2"/>
        </xdr:cNvCxnSpPr>
      </xdr:nvCxnSpPr>
      <xdr:spPr>
        <a:xfrm rot="16200000" flipH="1">
          <a:off x="28825401" y="2875100"/>
          <a:ext cx="685061" cy="1690687"/>
        </a:xfrm>
        <a:prstGeom prst="bentConnector2">
          <a:avLst/>
        </a:prstGeom>
        <a:ln w="15875">
          <a:solidFill>
            <a:schemeClr val="tx1"/>
          </a:solidFill>
          <a:prstDash val="sysDash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109</xdr:col>
      <xdr:colOff>77325</xdr:colOff>
      <xdr:row>13</xdr:row>
      <xdr:rowOff>76200</xdr:rowOff>
    </xdr:from>
    <xdr:to>
      <xdr:col>112</xdr:col>
      <xdr:colOff>0</xdr:colOff>
      <xdr:row>17</xdr:row>
      <xdr:rowOff>72000</xdr:rowOff>
    </xdr:to>
    <xdr:cxnSp macro="">
      <xdr:nvCxnSpPr>
        <xdr:cNvPr id="126" name="꺾인 연결선 125"/>
        <xdr:cNvCxnSpPr>
          <a:stCxn id="103" idx="6"/>
        </xdr:cNvCxnSpPr>
      </xdr:nvCxnSpPr>
      <xdr:spPr>
        <a:xfrm flipV="1">
          <a:off x="26947350" y="3114675"/>
          <a:ext cx="665625" cy="948300"/>
        </a:xfrm>
        <a:prstGeom prst="bentConnector2">
          <a:avLst/>
        </a:prstGeom>
        <a:ln w="1587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122</xdr:col>
      <xdr:colOff>67800</xdr:colOff>
      <xdr:row>17</xdr:row>
      <xdr:rowOff>72000</xdr:rowOff>
    </xdr:from>
    <xdr:to>
      <xdr:col>130</xdr:col>
      <xdr:colOff>171450</xdr:colOff>
      <xdr:row>17</xdr:row>
      <xdr:rowOff>72000</xdr:rowOff>
    </xdr:to>
    <xdr:cxnSp macro="">
      <xdr:nvCxnSpPr>
        <xdr:cNvPr id="127" name="직선 연결선 126">
          <a:extLst>
            <a:ext uri="{FF2B5EF4-FFF2-40B4-BE49-F238E27FC236}">
              <a16:creationId xmlns:a16="http://schemas.microsoft.com/office/drawing/2014/main" xmlns="" id="{00000000-0008-0000-0000-00000F010000}"/>
            </a:ext>
          </a:extLst>
        </xdr:cNvPr>
        <xdr:cNvCxnSpPr>
          <a:stCxn id="123" idx="6"/>
          <a:endCxn id="119" idx="2"/>
        </xdr:cNvCxnSpPr>
      </xdr:nvCxnSpPr>
      <xdr:spPr>
        <a:xfrm>
          <a:off x="30157275" y="4062975"/>
          <a:ext cx="2084850" cy="0"/>
        </a:xfrm>
        <a:prstGeom prst="line">
          <a:avLst/>
        </a:prstGeom>
        <a:ln w="1587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131</xdr:col>
      <xdr:colOff>67800</xdr:colOff>
      <xdr:row>17</xdr:row>
      <xdr:rowOff>72000</xdr:rowOff>
    </xdr:from>
    <xdr:to>
      <xdr:col>136</xdr:col>
      <xdr:colOff>171450</xdr:colOff>
      <xdr:row>17</xdr:row>
      <xdr:rowOff>72000</xdr:rowOff>
    </xdr:to>
    <xdr:cxnSp macro="">
      <xdr:nvCxnSpPr>
        <xdr:cNvPr id="128" name="직선 연결선 127">
          <a:extLst>
            <a:ext uri="{FF2B5EF4-FFF2-40B4-BE49-F238E27FC236}">
              <a16:creationId xmlns:a16="http://schemas.microsoft.com/office/drawing/2014/main" xmlns="" id="{00000000-0008-0000-0000-00000F010000}"/>
            </a:ext>
          </a:extLst>
        </xdr:cNvPr>
        <xdr:cNvCxnSpPr>
          <a:stCxn id="119" idx="6"/>
          <a:endCxn id="121" idx="2"/>
        </xdr:cNvCxnSpPr>
      </xdr:nvCxnSpPr>
      <xdr:spPr>
        <a:xfrm>
          <a:off x="32386125" y="4062975"/>
          <a:ext cx="1341900" cy="0"/>
        </a:xfrm>
        <a:prstGeom prst="line">
          <a:avLst/>
        </a:prstGeom>
        <a:ln w="1587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145</xdr:col>
      <xdr:colOff>180975</xdr:colOff>
      <xdr:row>13</xdr:row>
      <xdr:rowOff>0</xdr:rowOff>
    </xdr:from>
    <xdr:to>
      <xdr:col>146</xdr:col>
      <xdr:colOff>77325</xdr:colOff>
      <xdr:row>13</xdr:row>
      <xdr:rowOff>144000</xdr:rowOff>
    </xdr:to>
    <xdr:sp macro="" textlink="">
      <xdr:nvSpPr>
        <xdr:cNvPr id="129" name="순서도: 연결자 128">
          <a:extLst>
            <a:ext uri="{FF2B5EF4-FFF2-40B4-BE49-F238E27FC236}">
              <a16:creationId xmlns:a16="http://schemas.microsoft.com/office/drawing/2014/main" xmlns="" id="{00000000-0008-0000-0000-000016010000}"/>
            </a:ext>
          </a:extLst>
        </xdr:cNvPr>
        <xdr:cNvSpPr/>
      </xdr:nvSpPr>
      <xdr:spPr>
        <a:xfrm>
          <a:off x="35966400" y="3038475"/>
          <a:ext cx="144000" cy="144000"/>
        </a:xfrm>
        <a:prstGeom prst="flowChartConnector">
          <a:avLst/>
        </a:prstGeom>
        <a:solidFill>
          <a:schemeClr val="bg1"/>
        </a:solidFill>
        <a:ln w="25400">
          <a:solidFill>
            <a:schemeClr val="tx1">
              <a:lumMod val="95000"/>
              <a:lumOff val="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ko-KR" altLang="en-US" sz="800" b="1">
            <a:latin typeface="돋움" pitchFamily="50" charset="-127"/>
            <a:ea typeface="돋움" pitchFamily="50" charset="-127"/>
          </a:endParaRPr>
        </a:p>
      </xdr:txBody>
    </xdr:sp>
    <xdr:clientData/>
  </xdr:twoCellAnchor>
  <xdr:twoCellAnchor>
    <xdr:from>
      <xdr:col>142</xdr:col>
      <xdr:colOff>200025</xdr:colOff>
      <xdr:row>10</xdr:row>
      <xdr:rowOff>152399</xdr:rowOff>
    </xdr:from>
    <xdr:to>
      <xdr:col>149</xdr:col>
      <xdr:colOff>57150</xdr:colOff>
      <xdr:row>12</xdr:row>
      <xdr:rowOff>180149</xdr:rowOff>
    </xdr:to>
    <xdr:sp macro="" textlink="">
      <xdr:nvSpPr>
        <xdr:cNvPr id="130" name="직사각형 129">
          <a:extLst>
            <a:ext uri="{FF2B5EF4-FFF2-40B4-BE49-F238E27FC236}">
              <a16:creationId xmlns:a16="http://schemas.microsoft.com/office/drawing/2014/main" xmlns="" id="{00000000-0008-0000-0000-000017010000}"/>
            </a:ext>
          </a:extLst>
        </xdr:cNvPr>
        <xdr:cNvSpPr/>
      </xdr:nvSpPr>
      <xdr:spPr>
        <a:xfrm>
          <a:off x="35242500" y="2476499"/>
          <a:ext cx="1590675" cy="504000"/>
        </a:xfrm>
        <a:prstGeom prst="rect">
          <a:avLst/>
        </a:prstGeom>
        <a:solidFill>
          <a:schemeClr val="bg1"/>
        </a:solidFill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marL="0" indent="0" algn="ctr"/>
          <a:r>
            <a:rPr lang="en-US" altLang="ko-KR" sz="900" b="1">
              <a:solidFill>
                <a:schemeClr val="tx1"/>
              </a:solidFill>
              <a:latin typeface="+mn-ea"/>
              <a:ea typeface="+mn-ea"/>
              <a:cs typeface="JBold" pitchFamily="18" charset="-127"/>
            </a:rPr>
            <a:t>Ex-factory</a:t>
          </a:r>
          <a:endParaRPr lang="en-US" altLang="ko-KR" sz="900" b="1" baseline="0">
            <a:solidFill>
              <a:schemeClr val="tx1"/>
            </a:solidFill>
            <a:latin typeface="+mn-ea"/>
            <a:ea typeface="+mn-ea"/>
            <a:cs typeface="JBold" pitchFamily="18" charset="-127"/>
          </a:endParaRPr>
        </a:p>
        <a:p>
          <a:pPr marL="0" indent="0" algn="ctr"/>
          <a:r>
            <a:rPr lang="en-US" altLang="ko-KR" sz="900" b="1">
              <a:solidFill>
                <a:schemeClr val="tx1"/>
              </a:solidFill>
              <a:latin typeface="+mn-ea"/>
              <a:ea typeface="+mn-ea"/>
              <a:cs typeface="JBold" pitchFamily="18" charset="-127"/>
            </a:rPr>
            <a:t>Reg.</a:t>
          </a:r>
          <a:endParaRPr lang="ko-KR" altLang="en-US" sz="900" b="1">
            <a:solidFill>
              <a:schemeClr val="tx1"/>
            </a:solidFill>
            <a:latin typeface="+mn-ea"/>
            <a:ea typeface="+mn-ea"/>
            <a:cs typeface="JBold" pitchFamily="18" charset="-127"/>
          </a:endParaRPr>
        </a:p>
      </xdr:txBody>
    </xdr:sp>
    <xdr:clientData/>
  </xdr:twoCellAnchor>
  <xdr:twoCellAnchor>
    <xdr:from>
      <xdr:col>116</xdr:col>
      <xdr:colOff>171450</xdr:colOff>
      <xdr:row>13</xdr:row>
      <xdr:rowOff>66675</xdr:rowOff>
    </xdr:from>
    <xdr:to>
      <xdr:col>145</xdr:col>
      <xdr:colOff>180975</xdr:colOff>
      <xdr:row>13</xdr:row>
      <xdr:rowOff>72000</xdr:rowOff>
    </xdr:to>
    <xdr:cxnSp macro="">
      <xdr:nvCxnSpPr>
        <xdr:cNvPr id="131" name="직선 연결선 130">
          <a:extLst>
            <a:ext uri="{FF2B5EF4-FFF2-40B4-BE49-F238E27FC236}">
              <a16:creationId xmlns:a16="http://schemas.microsoft.com/office/drawing/2014/main" xmlns="" id="{00000000-0008-0000-0000-00000F010000}"/>
            </a:ext>
          </a:extLst>
        </xdr:cNvPr>
        <xdr:cNvCxnSpPr>
          <a:stCxn id="111" idx="3"/>
          <a:endCxn id="129" idx="2"/>
        </xdr:cNvCxnSpPr>
      </xdr:nvCxnSpPr>
      <xdr:spPr>
        <a:xfrm>
          <a:off x="28775025" y="3105150"/>
          <a:ext cx="7191375" cy="5325"/>
        </a:xfrm>
        <a:prstGeom prst="line">
          <a:avLst/>
        </a:prstGeom>
        <a:ln w="1587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153</xdr:col>
      <xdr:colOff>28575</xdr:colOff>
      <xdr:row>13</xdr:row>
      <xdr:rowOff>0</xdr:rowOff>
    </xdr:from>
    <xdr:to>
      <xdr:col>153</xdr:col>
      <xdr:colOff>172575</xdr:colOff>
      <xdr:row>13</xdr:row>
      <xdr:rowOff>144000</xdr:rowOff>
    </xdr:to>
    <xdr:sp macro="" textlink="">
      <xdr:nvSpPr>
        <xdr:cNvPr id="132" name="순서도: 연결자 131">
          <a:extLst>
            <a:ext uri="{FF2B5EF4-FFF2-40B4-BE49-F238E27FC236}">
              <a16:creationId xmlns:a16="http://schemas.microsoft.com/office/drawing/2014/main" xmlns="" id="{00000000-0008-0000-0000-000016010000}"/>
            </a:ext>
          </a:extLst>
        </xdr:cNvPr>
        <xdr:cNvSpPr/>
      </xdr:nvSpPr>
      <xdr:spPr>
        <a:xfrm>
          <a:off x="37795200" y="3038475"/>
          <a:ext cx="144000" cy="144000"/>
        </a:xfrm>
        <a:prstGeom prst="flowChartConnector">
          <a:avLst/>
        </a:prstGeom>
        <a:solidFill>
          <a:schemeClr val="tx1"/>
        </a:solidFill>
        <a:ln w="254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ko-KR" altLang="en-US" sz="800" b="1">
            <a:latin typeface="돋움" pitchFamily="50" charset="-127"/>
            <a:ea typeface="돋움" pitchFamily="50" charset="-127"/>
          </a:endParaRPr>
        </a:p>
      </xdr:txBody>
    </xdr:sp>
    <xdr:clientData/>
  </xdr:twoCellAnchor>
  <xdr:twoCellAnchor>
    <xdr:from>
      <xdr:col>152</xdr:col>
      <xdr:colOff>0</xdr:colOff>
      <xdr:row>11</xdr:row>
      <xdr:rowOff>104775</xdr:rowOff>
    </xdr:from>
    <xdr:to>
      <xdr:col>154</xdr:col>
      <xdr:colOff>219075</xdr:colOff>
      <xdr:row>12</xdr:row>
      <xdr:rowOff>164467</xdr:rowOff>
    </xdr:to>
    <xdr:sp macro="" textlink="">
      <xdr:nvSpPr>
        <xdr:cNvPr id="133" name="직사각형 132">
          <a:extLst>
            <a:ext uri="{FF2B5EF4-FFF2-40B4-BE49-F238E27FC236}">
              <a16:creationId xmlns:a16="http://schemas.microsoft.com/office/drawing/2014/main" xmlns="" id="{00000000-0008-0000-0000-000017010000}"/>
            </a:ext>
          </a:extLst>
        </xdr:cNvPr>
        <xdr:cNvSpPr/>
      </xdr:nvSpPr>
      <xdr:spPr>
        <a:xfrm>
          <a:off x="37518975" y="2667000"/>
          <a:ext cx="714375" cy="297817"/>
        </a:xfrm>
        <a:prstGeom prst="rect">
          <a:avLst/>
        </a:prstGeom>
        <a:solidFill>
          <a:schemeClr val="bg1"/>
        </a:solidFill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marL="0" indent="0" algn="ctr"/>
          <a:r>
            <a:rPr lang="en-US" altLang="ko-KR" sz="900" b="1">
              <a:solidFill>
                <a:schemeClr val="tx1"/>
              </a:solidFill>
              <a:latin typeface="+mn-ea"/>
              <a:ea typeface="+mn-ea"/>
              <a:cs typeface="JBold" pitchFamily="18" charset="-127"/>
            </a:rPr>
            <a:t>End</a:t>
          </a:r>
          <a:endParaRPr lang="ko-KR" altLang="en-US" sz="900" b="1">
            <a:solidFill>
              <a:schemeClr val="tx1"/>
            </a:solidFill>
            <a:latin typeface="+mn-ea"/>
            <a:ea typeface="+mn-ea"/>
            <a:cs typeface="JBold" pitchFamily="18" charset="-127"/>
          </a:endParaRPr>
        </a:p>
      </xdr:txBody>
    </xdr:sp>
    <xdr:clientData/>
  </xdr:twoCellAnchor>
  <xdr:twoCellAnchor>
    <xdr:from>
      <xdr:col>146</xdr:col>
      <xdr:colOff>77325</xdr:colOff>
      <xdr:row>13</xdr:row>
      <xdr:rowOff>72000</xdr:rowOff>
    </xdr:from>
    <xdr:to>
      <xdr:col>153</xdr:col>
      <xdr:colOff>28575</xdr:colOff>
      <xdr:row>13</xdr:row>
      <xdr:rowOff>72000</xdr:rowOff>
    </xdr:to>
    <xdr:cxnSp macro="">
      <xdr:nvCxnSpPr>
        <xdr:cNvPr id="134" name="직선 연결선 133">
          <a:extLst>
            <a:ext uri="{FF2B5EF4-FFF2-40B4-BE49-F238E27FC236}">
              <a16:creationId xmlns:a16="http://schemas.microsoft.com/office/drawing/2014/main" xmlns="" id="{00000000-0008-0000-0000-00000F010000}"/>
            </a:ext>
          </a:extLst>
        </xdr:cNvPr>
        <xdr:cNvCxnSpPr>
          <a:stCxn id="129" idx="6"/>
          <a:endCxn id="132" idx="2"/>
        </xdr:cNvCxnSpPr>
      </xdr:nvCxnSpPr>
      <xdr:spPr>
        <a:xfrm>
          <a:off x="36110400" y="3110475"/>
          <a:ext cx="1684800" cy="0"/>
        </a:xfrm>
        <a:prstGeom prst="line">
          <a:avLst/>
        </a:prstGeom>
        <a:ln w="1587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137</xdr:col>
      <xdr:colOff>67800</xdr:colOff>
      <xdr:row>13</xdr:row>
      <xdr:rowOff>144000</xdr:rowOff>
    </xdr:from>
    <xdr:to>
      <xdr:col>153</xdr:col>
      <xdr:colOff>100575</xdr:colOff>
      <xdr:row>17</xdr:row>
      <xdr:rowOff>72000</xdr:rowOff>
    </xdr:to>
    <xdr:cxnSp macro="">
      <xdr:nvCxnSpPr>
        <xdr:cNvPr id="135" name="꺾인 연결선 134"/>
        <xdr:cNvCxnSpPr>
          <a:stCxn id="121" idx="6"/>
          <a:endCxn id="132" idx="4"/>
        </xdr:cNvCxnSpPr>
      </xdr:nvCxnSpPr>
      <xdr:spPr>
        <a:xfrm flipV="1">
          <a:off x="33872025" y="3182475"/>
          <a:ext cx="3995175" cy="880500"/>
        </a:xfrm>
        <a:prstGeom prst="bentConnector2">
          <a:avLst/>
        </a:prstGeom>
        <a:ln w="1587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127</xdr:col>
      <xdr:colOff>247649</xdr:colOff>
      <xdr:row>7</xdr:row>
      <xdr:rowOff>200025</xdr:rowOff>
    </xdr:from>
    <xdr:to>
      <xdr:col>139</xdr:col>
      <xdr:colOff>9525</xdr:colOff>
      <xdr:row>8</xdr:row>
      <xdr:rowOff>133350</xdr:rowOff>
    </xdr:to>
    <xdr:grpSp>
      <xdr:nvGrpSpPr>
        <xdr:cNvPr id="136" name="그룹 135"/>
        <xdr:cNvGrpSpPr/>
      </xdr:nvGrpSpPr>
      <xdr:grpSpPr>
        <a:xfrm>
          <a:off x="31575374" y="1924050"/>
          <a:ext cx="2733676" cy="171450"/>
          <a:chOff x="2714624" y="2038350"/>
          <a:chExt cx="2733676" cy="171450"/>
        </a:xfrm>
      </xdr:grpSpPr>
      <xdr:cxnSp macro="">
        <xdr:nvCxnSpPr>
          <xdr:cNvPr id="137" name="직선 연결선 136"/>
          <xdr:cNvCxnSpPr/>
        </xdr:nvCxnSpPr>
        <xdr:spPr>
          <a:xfrm>
            <a:off x="2724150" y="2038350"/>
            <a:ext cx="0" cy="171450"/>
          </a:xfrm>
          <a:prstGeom prst="line">
            <a:avLst/>
          </a:prstGeom>
          <a:ln w="34925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38" name="직선 연결선 137"/>
          <xdr:cNvCxnSpPr/>
        </xdr:nvCxnSpPr>
        <xdr:spPr>
          <a:xfrm>
            <a:off x="2714624" y="2057400"/>
            <a:ext cx="2733676" cy="0"/>
          </a:xfrm>
          <a:prstGeom prst="line">
            <a:avLst/>
          </a:prstGeom>
          <a:ln w="635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39" name="직선 연결선 138"/>
          <xdr:cNvCxnSpPr/>
        </xdr:nvCxnSpPr>
        <xdr:spPr>
          <a:xfrm>
            <a:off x="5438775" y="2038350"/>
            <a:ext cx="0" cy="171450"/>
          </a:xfrm>
          <a:prstGeom prst="line">
            <a:avLst/>
          </a:prstGeom>
          <a:ln w="34925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133</xdr:col>
      <xdr:colOff>142875</xdr:colOff>
      <xdr:row>7</xdr:row>
      <xdr:rowOff>123825</xdr:rowOff>
    </xdr:from>
    <xdr:to>
      <xdr:col>134</xdr:col>
      <xdr:colOff>111225</xdr:colOff>
      <xdr:row>8</xdr:row>
      <xdr:rowOff>101700</xdr:rowOff>
    </xdr:to>
    <xdr:sp macro="" textlink="">
      <xdr:nvSpPr>
        <xdr:cNvPr id="140" name="순서도: 연결자 139">
          <a:extLst>
            <a:ext uri="{FF2B5EF4-FFF2-40B4-BE49-F238E27FC236}">
              <a16:creationId xmlns:a16="http://schemas.microsoft.com/office/drawing/2014/main" xmlns="" id="{00000000-0008-0000-0000-000016010000}"/>
            </a:ext>
          </a:extLst>
        </xdr:cNvPr>
        <xdr:cNvSpPr>
          <a:spLocks noChangeAspect="1"/>
        </xdr:cNvSpPr>
      </xdr:nvSpPr>
      <xdr:spPr>
        <a:xfrm>
          <a:off x="32956500" y="1847850"/>
          <a:ext cx="216000" cy="216000"/>
        </a:xfrm>
        <a:prstGeom prst="flowChartConnector">
          <a:avLst/>
        </a:prstGeom>
        <a:solidFill>
          <a:srgbClr val="FFFF00"/>
        </a:solidFill>
        <a:ln w="25400">
          <a:solidFill>
            <a:schemeClr val="tx1">
              <a:lumMod val="95000"/>
              <a:lumOff val="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ko-KR" altLang="en-US" sz="800" b="1">
            <a:latin typeface="돋움" pitchFamily="50" charset="-127"/>
            <a:ea typeface="돋움" pitchFamily="50" charset="-127"/>
          </a:endParaRPr>
        </a:p>
      </xdr:txBody>
    </xdr:sp>
    <xdr:clientData/>
  </xdr:twoCellAnchor>
  <xdr:twoCellAnchor>
    <xdr:from>
      <xdr:col>129</xdr:col>
      <xdr:colOff>180975</xdr:colOff>
      <xdr:row>6</xdr:row>
      <xdr:rowOff>28575</xdr:rowOff>
    </xdr:from>
    <xdr:to>
      <xdr:col>138</xdr:col>
      <xdr:colOff>76200</xdr:colOff>
      <xdr:row>7</xdr:row>
      <xdr:rowOff>80023</xdr:rowOff>
    </xdr:to>
    <xdr:sp macro="" textlink="">
      <xdr:nvSpPr>
        <xdr:cNvPr id="141" name="직사각형 140">
          <a:extLst>
            <a:ext uri="{FF2B5EF4-FFF2-40B4-BE49-F238E27FC236}">
              <a16:creationId xmlns:a16="http://schemas.microsoft.com/office/drawing/2014/main" xmlns="" id="{00000000-0008-0000-0000-000017010000}"/>
            </a:ext>
          </a:extLst>
        </xdr:cNvPr>
        <xdr:cNvSpPr/>
      </xdr:nvSpPr>
      <xdr:spPr>
        <a:xfrm>
          <a:off x="32004000" y="1514475"/>
          <a:ext cx="2124075" cy="289573"/>
        </a:xfrm>
        <a:prstGeom prst="rect">
          <a:avLst/>
        </a:prstGeom>
        <a:solidFill>
          <a:schemeClr val="bg1"/>
        </a:solidFill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marL="0" indent="0" algn="ctr"/>
          <a:r>
            <a:rPr lang="en-US" altLang="ko-KR" sz="1000" b="1">
              <a:solidFill>
                <a:schemeClr val="tx1"/>
              </a:solidFill>
              <a:latin typeface="+mn-ea"/>
              <a:ea typeface="+mn-ea"/>
              <a:cs typeface="JBold" pitchFamily="18" charset="-127"/>
            </a:rPr>
            <a:t>Garment Stock Warehouse</a:t>
          </a:r>
          <a:endParaRPr lang="ko-KR" altLang="en-US" sz="1000" b="1">
            <a:solidFill>
              <a:schemeClr val="tx1"/>
            </a:solidFill>
            <a:latin typeface="+mn-ea"/>
            <a:ea typeface="+mn-ea"/>
            <a:cs typeface="JBold" pitchFamily="18" charset="-127"/>
          </a:endParaRPr>
        </a:p>
      </xdr:txBody>
    </xdr:sp>
    <xdr:clientData/>
  </xdr:twoCellAnchor>
  <xdr:twoCellAnchor>
    <xdr:from>
      <xdr:col>75</xdr:col>
      <xdr:colOff>180975</xdr:colOff>
      <xdr:row>21</xdr:row>
      <xdr:rowOff>171450</xdr:rowOff>
    </xdr:from>
    <xdr:to>
      <xdr:col>76</xdr:col>
      <xdr:colOff>77325</xdr:colOff>
      <xdr:row>22</xdr:row>
      <xdr:rowOff>77325</xdr:rowOff>
    </xdr:to>
    <xdr:sp macro="" textlink="">
      <xdr:nvSpPr>
        <xdr:cNvPr id="142" name="순서도: 연결자 141">
          <a:extLst>
            <a:ext uri="{FF2B5EF4-FFF2-40B4-BE49-F238E27FC236}">
              <a16:creationId xmlns:a16="http://schemas.microsoft.com/office/drawing/2014/main" xmlns="" id="{00000000-0008-0000-0000-000016010000}"/>
            </a:ext>
          </a:extLst>
        </xdr:cNvPr>
        <xdr:cNvSpPr/>
      </xdr:nvSpPr>
      <xdr:spPr>
        <a:xfrm>
          <a:off x="18630900" y="5114925"/>
          <a:ext cx="144000" cy="144000"/>
        </a:xfrm>
        <a:prstGeom prst="flowChartConnector">
          <a:avLst/>
        </a:prstGeom>
        <a:solidFill>
          <a:srgbClr val="FF0000"/>
        </a:solidFill>
        <a:ln w="254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marL="0" indent="0" algn="ctr"/>
          <a:endParaRPr lang="ko-KR" altLang="en-US" sz="800" b="1">
            <a:solidFill>
              <a:schemeClr val="lt1"/>
            </a:solidFill>
            <a:latin typeface="돋움" pitchFamily="50" charset="-127"/>
            <a:ea typeface="돋움" pitchFamily="50" charset="-127"/>
            <a:cs typeface="+mn-cs"/>
          </a:endParaRPr>
        </a:p>
      </xdr:txBody>
    </xdr:sp>
    <xdr:clientData/>
  </xdr:twoCellAnchor>
  <xdr:twoCellAnchor>
    <xdr:from>
      <xdr:col>73</xdr:col>
      <xdr:colOff>28574</xdr:colOff>
      <xdr:row>19</xdr:row>
      <xdr:rowOff>104774</xdr:rowOff>
    </xdr:from>
    <xdr:to>
      <xdr:col>78</xdr:col>
      <xdr:colOff>228599</xdr:colOff>
      <xdr:row>21</xdr:row>
      <xdr:rowOff>132524</xdr:rowOff>
    </xdr:to>
    <xdr:sp macro="" textlink="">
      <xdr:nvSpPr>
        <xdr:cNvPr id="143" name="직사각형 142">
          <a:extLst>
            <a:ext uri="{FF2B5EF4-FFF2-40B4-BE49-F238E27FC236}">
              <a16:creationId xmlns:a16="http://schemas.microsoft.com/office/drawing/2014/main" xmlns="" id="{00000000-0008-0000-0000-000017010000}"/>
            </a:ext>
          </a:extLst>
        </xdr:cNvPr>
        <xdr:cNvSpPr/>
      </xdr:nvSpPr>
      <xdr:spPr>
        <a:xfrm>
          <a:off x="17983199" y="4571999"/>
          <a:ext cx="1438275" cy="504000"/>
        </a:xfrm>
        <a:prstGeom prst="rect">
          <a:avLst/>
        </a:prstGeom>
        <a:solidFill>
          <a:schemeClr val="bg1"/>
        </a:solidFill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marL="0" indent="0" algn="ctr"/>
          <a:r>
            <a:rPr lang="en-US" altLang="ko-KR" sz="900" b="1">
              <a:solidFill>
                <a:srgbClr val="FF0000"/>
              </a:solidFill>
              <a:latin typeface="+mn-ea"/>
              <a:ea typeface="+mn-ea"/>
              <a:cs typeface="JBold" pitchFamily="18" charset="-127"/>
            </a:rPr>
            <a:t>Sub-processing</a:t>
          </a:r>
        </a:p>
        <a:p>
          <a:pPr marL="0" indent="0" algn="ctr"/>
          <a:r>
            <a:rPr lang="en-US" altLang="ko-KR" sz="900" b="0">
              <a:solidFill>
                <a:srgbClr val="FF0000"/>
              </a:solidFill>
              <a:latin typeface="+mn-ea"/>
              <a:ea typeface="+mn-ea"/>
              <a:cs typeface="JBold" pitchFamily="18" charset="-127"/>
            </a:rPr>
            <a:t>(Print,</a:t>
          </a:r>
          <a:r>
            <a:rPr lang="en-US" altLang="ko-KR" sz="900" b="0" baseline="0">
              <a:solidFill>
                <a:srgbClr val="FF0000"/>
              </a:solidFill>
              <a:latin typeface="+mn-ea"/>
              <a:ea typeface="+mn-ea"/>
              <a:cs typeface="JBold" pitchFamily="18" charset="-127"/>
            </a:rPr>
            <a:t> EMB, etc.)</a:t>
          </a:r>
          <a:endParaRPr lang="ko-KR" altLang="en-US" sz="900" b="0">
            <a:solidFill>
              <a:srgbClr val="FF0000"/>
            </a:solidFill>
            <a:latin typeface="+mn-ea"/>
            <a:ea typeface="+mn-ea"/>
            <a:cs typeface="JBold" pitchFamily="18" charset="-127"/>
          </a:endParaRPr>
        </a:p>
      </xdr:txBody>
    </xdr:sp>
    <xdr:clientData/>
  </xdr:twoCellAnchor>
  <xdr:twoCellAnchor>
    <xdr:from>
      <xdr:col>76</xdr:col>
      <xdr:colOff>77325</xdr:colOff>
      <xdr:row>13</xdr:row>
      <xdr:rowOff>144000</xdr:rowOff>
    </xdr:from>
    <xdr:to>
      <xdr:col>80</xdr:col>
      <xdr:colOff>5325</xdr:colOff>
      <xdr:row>22</xdr:row>
      <xdr:rowOff>5325</xdr:rowOff>
    </xdr:to>
    <xdr:cxnSp macro="">
      <xdr:nvCxnSpPr>
        <xdr:cNvPr id="144" name="꺾인 연결선 143"/>
        <xdr:cNvCxnSpPr>
          <a:stCxn id="77" idx="4"/>
          <a:endCxn id="142" idx="6"/>
        </xdr:cNvCxnSpPr>
      </xdr:nvCxnSpPr>
      <xdr:spPr>
        <a:xfrm rot="5400000">
          <a:off x="18231975" y="3725400"/>
          <a:ext cx="2004450" cy="918600"/>
        </a:xfrm>
        <a:prstGeom prst="bentConnector2">
          <a:avLst/>
        </a:prstGeom>
        <a:ln w="12700">
          <a:solidFill>
            <a:srgbClr val="FF0000"/>
          </a:solidFill>
          <a:prstDash val="dash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71</xdr:col>
      <xdr:colOff>243451</xdr:colOff>
      <xdr:row>13</xdr:row>
      <xdr:rowOff>144000</xdr:rowOff>
    </xdr:from>
    <xdr:to>
      <xdr:col>75</xdr:col>
      <xdr:colOff>180976</xdr:colOff>
      <xdr:row>22</xdr:row>
      <xdr:rowOff>5325</xdr:rowOff>
    </xdr:to>
    <xdr:cxnSp macro="">
      <xdr:nvCxnSpPr>
        <xdr:cNvPr id="145" name="꺾인 연결선 144"/>
        <xdr:cNvCxnSpPr>
          <a:stCxn id="142" idx="2"/>
          <a:endCxn id="75" idx="4"/>
        </xdr:cNvCxnSpPr>
      </xdr:nvCxnSpPr>
      <xdr:spPr>
        <a:xfrm rot="10800000">
          <a:off x="17702776" y="3182475"/>
          <a:ext cx="928125" cy="2004450"/>
        </a:xfrm>
        <a:prstGeom prst="bentConnector2">
          <a:avLst/>
        </a:prstGeom>
        <a:ln w="12700">
          <a:solidFill>
            <a:srgbClr val="FF0000"/>
          </a:solidFill>
          <a:prstDash val="dash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111225</xdr:colOff>
      <xdr:row>13</xdr:row>
      <xdr:rowOff>144000</xdr:rowOff>
    </xdr:from>
    <xdr:to>
      <xdr:col>146</xdr:col>
      <xdr:colOff>5325</xdr:colOff>
      <xdr:row>25</xdr:row>
      <xdr:rowOff>108000</xdr:rowOff>
    </xdr:to>
    <xdr:cxnSp macro="">
      <xdr:nvCxnSpPr>
        <xdr:cNvPr id="146" name="꺾인 연결선 145"/>
        <xdr:cNvCxnSpPr>
          <a:stCxn id="50" idx="6"/>
          <a:endCxn id="129" idx="4"/>
        </xdr:cNvCxnSpPr>
      </xdr:nvCxnSpPr>
      <xdr:spPr>
        <a:xfrm flipV="1">
          <a:off x="5435700" y="3182475"/>
          <a:ext cx="30602700" cy="2821500"/>
        </a:xfrm>
        <a:prstGeom prst="bentConnector2">
          <a:avLst/>
        </a:prstGeom>
        <a:ln w="1587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165100</xdr:colOff>
      <xdr:row>5</xdr:row>
      <xdr:rowOff>60325</xdr:rowOff>
    </xdr:from>
    <xdr:to>
      <xdr:col>33</xdr:col>
      <xdr:colOff>79375</xdr:colOff>
      <xdr:row>34</xdr:row>
      <xdr:rowOff>211179</xdr:rowOff>
    </xdr:to>
    <xdr:pic>
      <xdr:nvPicPr>
        <xdr:cNvPr id="2" name="그림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51000" y="1346200"/>
          <a:ext cx="6600825" cy="7056479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76200</xdr:colOff>
      <xdr:row>10</xdr:row>
      <xdr:rowOff>76200</xdr:rowOff>
    </xdr:from>
    <xdr:to>
      <xdr:col>7</xdr:col>
      <xdr:colOff>104775</xdr:colOff>
      <xdr:row>19</xdr:row>
      <xdr:rowOff>142876</xdr:rowOff>
    </xdr:to>
    <xdr:grpSp>
      <xdr:nvGrpSpPr>
        <xdr:cNvPr id="13" name="그룹 12"/>
        <xdr:cNvGrpSpPr/>
      </xdr:nvGrpSpPr>
      <xdr:grpSpPr>
        <a:xfrm>
          <a:off x="1009650" y="2352675"/>
          <a:ext cx="2466975" cy="1609726"/>
          <a:chOff x="1905000" y="1657350"/>
          <a:chExt cx="2466975" cy="1609726"/>
        </a:xfrm>
      </xdr:grpSpPr>
      <xdr:sp macro="" textlink="">
        <xdr:nvSpPr>
          <xdr:cNvPr id="4" name="직사각형 3">
            <a:extLst>
              <a:ext uri="{FF2B5EF4-FFF2-40B4-BE49-F238E27FC236}">
                <a16:creationId xmlns:a16="http://schemas.microsoft.com/office/drawing/2014/main" xmlns="" id="{00000000-0008-0000-0000-00003D000000}"/>
              </a:ext>
            </a:extLst>
          </xdr:cNvPr>
          <xdr:cNvSpPr/>
        </xdr:nvSpPr>
        <xdr:spPr>
          <a:xfrm>
            <a:off x="2933701" y="2076451"/>
            <a:ext cx="1438274" cy="400050"/>
          </a:xfrm>
          <a:prstGeom prst="rect">
            <a:avLst/>
          </a:prstGeom>
          <a:solidFill>
            <a:schemeClr val="bg1"/>
          </a:solidFill>
          <a:ln w="12700">
            <a:solidFill>
              <a:schemeClr val="accent1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l"/>
            <a:r>
              <a:rPr lang="en-US" altLang="ko-KR" sz="800" b="1">
                <a:solidFill>
                  <a:schemeClr val="tx1"/>
                </a:solidFill>
                <a:latin typeface="+mn-ea"/>
                <a:ea typeface="+mn-ea"/>
                <a:cs typeface="JBold" pitchFamily="18" charset="-127"/>
              </a:rPr>
              <a:t>Financial</a:t>
            </a:r>
            <a:r>
              <a:rPr lang="en-US" altLang="ko-KR" sz="800" b="1" baseline="0">
                <a:solidFill>
                  <a:schemeClr val="tx1"/>
                </a:solidFill>
                <a:latin typeface="+mn-ea"/>
                <a:ea typeface="+mn-ea"/>
                <a:cs typeface="JBold" pitchFamily="18" charset="-127"/>
              </a:rPr>
              <a:t> Report (BS,PL)</a:t>
            </a:r>
            <a:endParaRPr lang="ko-KR" altLang="en-US" sz="800" b="1">
              <a:solidFill>
                <a:schemeClr val="tx1"/>
              </a:solidFill>
              <a:latin typeface="+mn-ea"/>
              <a:ea typeface="+mn-ea"/>
              <a:cs typeface="JBold" pitchFamily="18" charset="-127"/>
            </a:endParaRPr>
          </a:p>
        </xdr:txBody>
      </xdr:sp>
      <xdr:sp macro="" textlink="">
        <xdr:nvSpPr>
          <xdr:cNvPr id="5" name="직사각형 8">
            <a:extLst>
              <a:ext uri="{FF2B5EF4-FFF2-40B4-BE49-F238E27FC236}">
                <a16:creationId xmlns:a16="http://schemas.microsoft.com/office/drawing/2014/main" xmlns="" id="{00000000-0008-0000-0000-00003E000000}"/>
              </a:ext>
            </a:extLst>
          </xdr:cNvPr>
          <xdr:cNvSpPr/>
        </xdr:nvSpPr>
        <xdr:spPr>
          <a:xfrm>
            <a:off x="2457450" y="2076447"/>
            <a:ext cx="476249" cy="790578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12700">
            <a:solidFill>
              <a:schemeClr val="accent1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ko-KR" altLang="en-US" sz="800" b="1">
                <a:solidFill>
                  <a:schemeClr val="tx1"/>
                </a:solidFill>
                <a:latin typeface="+mn-ea"/>
                <a:ea typeface="+mn-ea"/>
                <a:cs typeface="JBold" pitchFamily="18" charset="-127"/>
              </a:rPr>
              <a:t>법인</a:t>
            </a:r>
          </a:p>
        </xdr:txBody>
      </xdr:sp>
      <xdr:sp macro="" textlink="">
        <xdr:nvSpPr>
          <xdr:cNvPr id="6" name="직사각형 8">
            <a:extLst>
              <a:ext uri="{FF2B5EF4-FFF2-40B4-BE49-F238E27FC236}">
                <a16:creationId xmlns:a16="http://schemas.microsoft.com/office/drawing/2014/main" xmlns="" id="{00000000-0008-0000-0000-00003F000000}"/>
              </a:ext>
            </a:extLst>
          </xdr:cNvPr>
          <xdr:cNvSpPr/>
        </xdr:nvSpPr>
        <xdr:spPr>
          <a:xfrm>
            <a:off x="2457450" y="1657350"/>
            <a:ext cx="1914525" cy="421350"/>
          </a:xfrm>
          <a:prstGeom prst="rect">
            <a:avLst/>
          </a:prstGeom>
          <a:solidFill>
            <a:schemeClr val="accent3">
              <a:lumMod val="60000"/>
              <a:lumOff val="40000"/>
            </a:schemeClr>
          </a:solidFill>
          <a:ln w="12700">
            <a:solidFill>
              <a:schemeClr val="bg1">
                <a:lumMod val="50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en-US" altLang="ko-KR" sz="1000" b="1">
                <a:solidFill>
                  <a:schemeClr val="tx1"/>
                </a:solidFill>
                <a:latin typeface="돋움" pitchFamily="50" charset="-127"/>
                <a:ea typeface="돋움" pitchFamily="50" charset="-127"/>
                <a:cs typeface="JBold" pitchFamily="18" charset="-127"/>
              </a:rPr>
              <a:t>Global</a:t>
            </a:r>
            <a:r>
              <a:rPr lang="ko-KR" altLang="en-US" sz="1000" b="1">
                <a:solidFill>
                  <a:schemeClr val="tx1"/>
                </a:solidFill>
                <a:latin typeface="돋움" pitchFamily="50" charset="-127"/>
                <a:ea typeface="돋움" pitchFamily="50" charset="-127"/>
                <a:cs typeface="JBold" pitchFamily="18" charset="-127"/>
              </a:rPr>
              <a:t> </a:t>
            </a:r>
            <a:r>
              <a:rPr lang="en-US" altLang="ko-KR" sz="1000" b="1">
                <a:solidFill>
                  <a:schemeClr val="tx1"/>
                </a:solidFill>
                <a:latin typeface="돋움" pitchFamily="50" charset="-127"/>
                <a:ea typeface="돋움" pitchFamily="50" charset="-127"/>
                <a:cs typeface="JBold" pitchFamily="18" charset="-127"/>
              </a:rPr>
              <a:t>Accounting System</a:t>
            </a:r>
            <a:endParaRPr lang="ko-KR" altLang="en-US" sz="1000" b="1">
              <a:solidFill>
                <a:schemeClr val="tx1"/>
              </a:solidFill>
              <a:latin typeface="돋움" pitchFamily="50" charset="-127"/>
              <a:ea typeface="돋움" pitchFamily="50" charset="-127"/>
              <a:cs typeface="JBold" pitchFamily="18" charset="-127"/>
            </a:endParaRPr>
          </a:p>
        </xdr:txBody>
      </xdr:sp>
      <xdr:sp macro="" textlink="">
        <xdr:nvSpPr>
          <xdr:cNvPr id="7" name="직사각형 6">
            <a:extLst>
              <a:ext uri="{FF2B5EF4-FFF2-40B4-BE49-F238E27FC236}">
                <a16:creationId xmlns:a16="http://schemas.microsoft.com/office/drawing/2014/main" xmlns="" id="{00000000-0008-0000-0000-00003D000000}"/>
              </a:ext>
            </a:extLst>
          </xdr:cNvPr>
          <xdr:cNvSpPr/>
        </xdr:nvSpPr>
        <xdr:spPr>
          <a:xfrm>
            <a:off x="2933701" y="2466976"/>
            <a:ext cx="1438274" cy="400050"/>
          </a:xfrm>
          <a:prstGeom prst="rect">
            <a:avLst/>
          </a:prstGeom>
          <a:solidFill>
            <a:schemeClr val="bg1"/>
          </a:solidFill>
          <a:ln w="12700">
            <a:solidFill>
              <a:schemeClr val="accent1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l"/>
            <a:r>
              <a:rPr lang="ko-KR" altLang="en-US" sz="800" b="1">
                <a:solidFill>
                  <a:schemeClr val="tx1"/>
                </a:solidFill>
                <a:latin typeface="+mn-ea"/>
                <a:ea typeface="+mn-ea"/>
                <a:cs typeface="JBold" pitchFamily="18" charset="-127"/>
              </a:rPr>
              <a:t>예산부서별 </a:t>
            </a:r>
            <a:r>
              <a:rPr lang="en-US" altLang="ko-KR" sz="800" b="1">
                <a:solidFill>
                  <a:schemeClr val="tx1"/>
                </a:solidFill>
                <a:latin typeface="+mn-ea"/>
                <a:ea typeface="+mn-ea"/>
                <a:cs typeface="JBold" pitchFamily="18" charset="-127"/>
              </a:rPr>
              <a:t>Expense</a:t>
            </a:r>
            <a:endParaRPr lang="ko-KR" altLang="en-US" sz="800" b="1">
              <a:solidFill>
                <a:schemeClr val="tx1"/>
              </a:solidFill>
              <a:latin typeface="+mn-ea"/>
              <a:ea typeface="+mn-ea"/>
              <a:cs typeface="JBold" pitchFamily="18" charset="-127"/>
            </a:endParaRPr>
          </a:p>
        </xdr:txBody>
      </xdr:sp>
      <xdr:sp macro="" textlink="">
        <xdr:nvSpPr>
          <xdr:cNvPr id="9" name="직사각형 8">
            <a:extLst>
              <a:ext uri="{FF2B5EF4-FFF2-40B4-BE49-F238E27FC236}">
                <a16:creationId xmlns:a16="http://schemas.microsoft.com/office/drawing/2014/main" xmlns="" id="{00000000-0008-0000-0000-00003D000000}"/>
              </a:ext>
            </a:extLst>
          </xdr:cNvPr>
          <xdr:cNvSpPr/>
        </xdr:nvSpPr>
        <xdr:spPr>
          <a:xfrm>
            <a:off x="2933701" y="2867026"/>
            <a:ext cx="1438274" cy="400050"/>
          </a:xfrm>
          <a:prstGeom prst="rect">
            <a:avLst/>
          </a:prstGeom>
          <a:solidFill>
            <a:schemeClr val="bg1"/>
          </a:solidFill>
          <a:ln w="12700">
            <a:solidFill>
              <a:schemeClr val="accent1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l"/>
            <a:r>
              <a:rPr lang="ko-KR" altLang="en-US" sz="800" b="1">
                <a:solidFill>
                  <a:schemeClr val="tx1"/>
                </a:solidFill>
                <a:latin typeface="+mn-ea"/>
                <a:ea typeface="+mn-ea"/>
                <a:cs typeface="JBold" pitchFamily="18" charset="-127"/>
              </a:rPr>
              <a:t>예산부서별 </a:t>
            </a:r>
            <a:r>
              <a:rPr lang="en-US" altLang="ko-KR" sz="800" b="1">
                <a:solidFill>
                  <a:schemeClr val="tx1"/>
                </a:solidFill>
                <a:latin typeface="+mn-ea"/>
                <a:ea typeface="+mn-ea"/>
                <a:cs typeface="JBold" pitchFamily="18" charset="-127"/>
              </a:rPr>
              <a:t>Expense</a:t>
            </a:r>
            <a:endParaRPr lang="ko-KR" altLang="en-US" sz="800" b="1">
              <a:solidFill>
                <a:schemeClr val="tx1"/>
              </a:solidFill>
              <a:latin typeface="+mn-ea"/>
              <a:ea typeface="+mn-ea"/>
              <a:cs typeface="JBold" pitchFamily="18" charset="-127"/>
            </a:endParaRPr>
          </a:p>
        </xdr:txBody>
      </xdr:sp>
      <xdr:sp macro="" textlink="">
        <xdr:nvSpPr>
          <xdr:cNvPr id="10" name="직사각형 8">
            <a:extLst>
              <a:ext uri="{FF2B5EF4-FFF2-40B4-BE49-F238E27FC236}">
                <a16:creationId xmlns:a16="http://schemas.microsoft.com/office/drawing/2014/main" xmlns="" id="{00000000-0008-0000-0000-00003E000000}"/>
              </a:ext>
            </a:extLst>
          </xdr:cNvPr>
          <xdr:cNvSpPr/>
        </xdr:nvSpPr>
        <xdr:spPr>
          <a:xfrm>
            <a:off x="2457450" y="2867022"/>
            <a:ext cx="476249" cy="398283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12700">
            <a:solidFill>
              <a:schemeClr val="accent1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ko-KR" altLang="en-US" sz="800" b="1">
                <a:solidFill>
                  <a:schemeClr val="tx1"/>
                </a:solidFill>
                <a:latin typeface="+mn-ea"/>
                <a:ea typeface="+mn-ea"/>
                <a:cs typeface="JBold" pitchFamily="18" charset="-127"/>
              </a:rPr>
              <a:t>지사</a:t>
            </a:r>
          </a:p>
        </xdr:txBody>
      </xdr:sp>
      <xdr:sp macro="" textlink="">
        <xdr:nvSpPr>
          <xdr:cNvPr id="12" name="직사각형 8">
            <a:extLst>
              <a:ext uri="{FF2B5EF4-FFF2-40B4-BE49-F238E27FC236}">
                <a16:creationId xmlns:a16="http://schemas.microsoft.com/office/drawing/2014/main" xmlns="" id="{00000000-0008-0000-0000-00003E000000}"/>
              </a:ext>
            </a:extLst>
          </xdr:cNvPr>
          <xdr:cNvSpPr/>
        </xdr:nvSpPr>
        <xdr:spPr>
          <a:xfrm>
            <a:off x="1905000" y="1657351"/>
            <a:ext cx="476249" cy="1609724"/>
          </a:xfrm>
          <a:prstGeom prst="rect">
            <a:avLst/>
          </a:prstGeom>
          <a:solidFill>
            <a:schemeClr val="tx1"/>
          </a:solidFill>
          <a:ln w="127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ko-KR" altLang="en-US" sz="900" b="1">
                <a:solidFill>
                  <a:schemeClr val="bg1"/>
                </a:solidFill>
                <a:latin typeface="+mn-ea"/>
                <a:ea typeface="+mn-ea"/>
                <a:cs typeface="JBold" pitchFamily="18" charset="-127"/>
              </a:rPr>
              <a:t>베</a:t>
            </a:r>
            <a:endParaRPr lang="en-US" altLang="ko-KR" sz="900" b="1">
              <a:solidFill>
                <a:schemeClr val="bg1"/>
              </a:solidFill>
              <a:latin typeface="+mn-ea"/>
              <a:ea typeface="+mn-ea"/>
              <a:cs typeface="JBold" pitchFamily="18" charset="-127"/>
            </a:endParaRPr>
          </a:p>
          <a:p>
            <a:pPr algn="ctr"/>
            <a:r>
              <a:rPr lang="ko-KR" altLang="en-US" sz="900" b="1">
                <a:solidFill>
                  <a:schemeClr val="bg1"/>
                </a:solidFill>
                <a:latin typeface="+mn-ea"/>
                <a:ea typeface="+mn-ea"/>
                <a:cs typeface="JBold" pitchFamily="18" charset="-127"/>
              </a:rPr>
              <a:t>트</a:t>
            </a:r>
            <a:endParaRPr lang="en-US" altLang="ko-KR" sz="900" b="1">
              <a:solidFill>
                <a:schemeClr val="bg1"/>
              </a:solidFill>
              <a:latin typeface="+mn-ea"/>
              <a:ea typeface="+mn-ea"/>
              <a:cs typeface="JBold" pitchFamily="18" charset="-127"/>
            </a:endParaRPr>
          </a:p>
          <a:p>
            <a:pPr algn="ctr"/>
            <a:r>
              <a:rPr lang="ko-KR" altLang="en-US" sz="900" b="1">
                <a:solidFill>
                  <a:schemeClr val="bg1"/>
                </a:solidFill>
                <a:latin typeface="+mn-ea"/>
                <a:ea typeface="+mn-ea"/>
                <a:cs typeface="JBold" pitchFamily="18" charset="-127"/>
              </a:rPr>
              <a:t>남</a:t>
            </a:r>
          </a:p>
        </xdr:txBody>
      </xdr:sp>
    </xdr:grpSp>
    <xdr:clientData/>
  </xdr:twoCellAnchor>
  <xdr:twoCellAnchor>
    <xdr:from>
      <xdr:col>3</xdr:col>
      <xdr:colOff>76200</xdr:colOff>
      <xdr:row>41</xdr:row>
      <xdr:rowOff>47625</xdr:rowOff>
    </xdr:from>
    <xdr:to>
      <xdr:col>7</xdr:col>
      <xdr:colOff>104775</xdr:colOff>
      <xdr:row>48</xdr:row>
      <xdr:rowOff>66675</xdr:rowOff>
    </xdr:to>
    <xdr:grpSp>
      <xdr:nvGrpSpPr>
        <xdr:cNvPr id="14" name="그룹 13"/>
        <xdr:cNvGrpSpPr/>
      </xdr:nvGrpSpPr>
      <xdr:grpSpPr>
        <a:xfrm>
          <a:off x="1009650" y="7639050"/>
          <a:ext cx="2466975" cy="1219200"/>
          <a:chOff x="1905000" y="1657350"/>
          <a:chExt cx="2466975" cy="1219200"/>
        </a:xfrm>
      </xdr:grpSpPr>
      <xdr:sp macro="" textlink="">
        <xdr:nvSpPr>
          <xdr:cNvPr id="15" name="직사각형 14">
            <a:extLst>
              <a:ext uri="{FF2B5EF4-FFF2-40B4-BE49-F238E27FC236}">
                <a16:creationId xmlns:a16="http://schemas.microsoft.com/office/drawing/2014/main" xmlns="" id="{00000000-0008-0000-0000-00003D000000}"/>
              </a:ext>
            </a:extLst>
          </xdr:cNvPr>
          <xdr:cNvSpPr/>
        </xdr:nvSpPr>
        <xdr:spPr>
          <a:xfrm>
            <a:off x="2933701" y="2076451"/>
            <a:ext cx="1438274" cy="400050"/>
          </a:xfrm>
          <a:prstGeom prst="rect">
            <a:avLst/>
          </a:prstGeom>
          <a:solidFill>
            <a:schemeClr val="bg1"/>
          </a:solidFill>
          <a:ln w="12700">
            <a:solidFill>
              <a:schemeClr val="accent1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l"/>
            <a:r>
              <a:rPr lang="en-US" altLang="ko-KR" sz="800" b="1">
                <a:solidFill>
                  <a:schemeClr val="tx1"/>
                </a:solidFill>
                <a:latin typeface="+mn-ea"/>
                <a:ea typeface="+mn-ea"/>
                <a:cs typeface="JBold" pitchFamily="18" charset="-127"/>
              </a:rPr>
              <a:t>Financial</a:t>
            </a:r>
            <a:r>
              <a:rPr lang="en-US" altLang="ko-KR" sz="800" b="1" baseline="0">
                <a:solidFill>
                  <a:schemeClr val="tx1"/>
                </a:solidFill>
                <a:latin typeface="+mn-ea"/>
                <a:ea typeface="+mn-ea"/>
                <a:cs typeface="JBold" pitchFamily="18" charset="-127"/>
              </a:rPr>
              <a:t> Report (BS,PL)</a:t>
            </a:r>
            <a:endParaRPr lang="ko-KR" altLang="en-US" sz="800" b="1">
              <a:solidFill>
                <a:schemeClr val="tx1"/>
              </a:solidFill>
              <a:latin typeface="+mn-ea"/>
              <a:ea typeface="+mn-ea"/>
              <a:cs typeface="JBold" pitchFamily="18" charset="-127"/>
            </a:endParaRPr>
          </a:p>
        </xdr:txBody>
      </xdr:sp>
      <xdr:sp macro="" textlink="">
        <xdr:nvSpPr>
          <xdr:cNvPr id="16" name="직사각형 8">
            <a:extLst>
              <a:ext uri="{FF2B5EF4-FFF2-40B4-BE49-F238E27FC236}">
                <a16:creationId xmlns:a16="http://schemas.microsoft.com/office/drawing/2014/main" xmlns="" id="{00000000-0008-0000-0000-00003E000000}"/>
              </a:ext>
            </a:extLst>
          </xdr:cNvPr>
          <xdr:cNvSpPr/>
        </xdr:nvSpPr>
        <xdr:spPr>
          <a:xfrm>
            <a:off x="2457450" y="2076447"/>
            <a:ext cx="476249" cy="790578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12700">
            <a:solidFill>
              <a:schemeClr val="accent1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ko-KR" altLang="en-US" sz="800" b="1">
                <a:solidFill>
                  <a:schemeClr val="tx1"/>
                </a:solidFill>
                <a:latin typeface="+mn-ea"/>
                <a:ea typeface="+mn-ea"/>
                <a:cs typeface="JBold" pitchFamily="18" charset="-127"/>
              </a:rPr>
              <a:t>법인</a:t>
            </a:r>
          </a:p>
        </xdr:txBody>
      </xdr:sp>
      <xdr:sp macro="" textlink="">
        <xdr:nvSpPr>
          <xdr:cNvPr id="17" name="직사각형 8">
            <a:extLst>
              <a:ext uri="{FF2B5EF4-FFF2-40B4-BE49-F238E27FC236}">
                <a16:creationId xmlns:a16="http://schemas.microsoft.com/office/drawing/2014/main" xmlns="" id="{00000000-0008-0000-0000-00003F000000}"/>
              </a:ext>
            </a:extLst>
          </xdr:cNvPr>
          <xdr:cNvSpPr/>
        </xdr:nvSpPr>
        <xdr:spPr>
          <a:xfrm>
            <a:off x="2457450" y="1657350"/>
            <a:ext cx="1914525" cy="421350"/>
          </a:xfrm>
          <a:prstGeom prst="rect">
            <a:avLst/>
          </a:prstGeom>
          <a:solidFill>
            <a:schemeClr val="accent3">
              <a:lumMod val="60000"/>
              <a:lumOff val="40000"/>
            </a:schemeClr>
          </a:solidFill>
          <a:ln w="12700">
            <a:solidFill>
              <a:schemeClr val="bg1">
                <a:lumMod val="50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en-US" altLang="ko-KR" sz="1000" b="1">
                <a:solidFill>
                  <a:schemeClr val="tx1"/>
                </a:solidFill>
                <a:latin typeface="돋움" pitchFamily="50" charset="-127"/>
                <a:ea typeface="돋움" pitchFamily="50" charset="-127"/>
                <a:cs typeface="JBold" pitchFamily="18" charset="-127"/>
              </a:rPr>
              <a:t>Global</a:t>
            </a:r>
            <a:r>
              <a:rPr lang="ko-KR" altLang="en-US" sz="1000" b="1">
                <a:solidFill>
                  <a:schemeClr val="tx1"/>
                </a:solidFill>
                <a:latin typeface="돋움" pitchFamily="50" charset="-127"/>
                <a:ea typeface="돋움" pitchFamily="50" charset="-127"/>
                <a:cs typeface="JBold" pitchFamily="18" charset="-127"/>
              </a:rPr>
              <a:t> </a:t>
            </a:r>
            <a:r>
              <a:rPr lang="en-US" altLang="ko-KR" sz="1000" b="1">
                <a:solidFill>
                  <a:schemeClr val="tx1"/>
                </a:solidFill>
                <a:latin typeface="돋움" pitchFamily="50" charset="-127"/>
                <a:ea typeface="돋움" pitchFamily="50" charset="-127"/>
                <a:cs typeface="JBold" pitchFamily="18" charset="-127"/>
              </a:rPr>
              <a:t>Accounting System</a:t>
            </a:r>
            <a:endParaRPr lang="ko-KR" altLang="en-US" sz="1000" b="1">
              <a:solidFill>
                <a:schemeClr val="tx1"/>
              </a:solidFill>
              <a:latin typeface="돋움" pitchFamily="50" charset="-127"/>
              <a:ea typeface="돋움" pitchFamily="50" charset="-127"/>
              <a:cs typeface="JBold" pitchFamily="18" charset="-127"/>
            </a:endParaRPr>
          </a:p>
        </xdr:txBody>
      </xdr:sp>
      <xdr:sp macro="" textlink="">
        <xdr:nvSpPr>
          <xdr:cNvPr id="18" name="직사각형 17">
            <a:extLst>
              <a:ext uri="{FF2B5EF4-FFF2-40B4-BE49-F238E27FC236}">
                <a16:creationId xmlns:a16="http://schemas.microsoft.com/office/drawing/2014/main" xmlns="" id="{00000000-0008-0000-0000-00003D000000}"/>
              </a:ext>
            </a:extLst>
          </xdr:cNvPr>
          <xdr:cNvSpPr/>
        </xdr:nvSpPr>
        <xdr:spPr>
          <a:xfrm>
            <a:off x="2933701" y="2466976"/>
            <a:ext cx="1438274" cy="400050"/>
          </a:xfrm>
          <a:prstGeom prst="rect">
            <a:avLst/>
          </a:prstGeom>
          <a:solidFill>
            <a:schemeClr val="bg1"/>
          </a:solidFill>
          <a:ln w="12700">
            <a:solidFill>
              <a:schemeClr val="accent1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l"/>
            <a:r>
              <a:rPr lang="ko-KR" altLang="en-US" sz="800" b="1">
                <a:solidFill>
                  <a:schemeClr val="tx1"/>
                </a:solidFill>
                <a:latin typeface="+mn-ea"/>
                <a:ea typeface="+mn-ea"/>
                <a:cs typeface="JBold" pitchFamily="18" charset="-127"/>
              </a:rPr>
              <a:t>예산부서별 </a:t>
            </a:r>
            <a:r>
              <a:rPr lang="en-US" altLang="ko-KR" sz="800" b="1">
                <a:solidFill>
                  <a:schemeClr val="tx1"/>
                </a:solidFill>
                <a:latin typeface="+mn-ea"/>
                <a:ea typeface="+mn-ea"/>
                <a:cs typeface="JBold" pitchFamily="18" charset="-127"/>
              </a:rPr>
              <a:t>Expense</a:t>
            </a:r>
            <a:endParaRPr lang="ko-KR" altLang="en-US" sz="800" b="1">
              <a:solidFill>
                <a:schemeClr val="tx1"/>
              </a:solidFill>
              <a:latin typeface="+mn-ea"/>
              <a:ea typeface="+mn-ea"/>
              <a:cs typeface="JBold" pitchFamily="18" charset="-127"/>
            </a:endParaRPr>
          </a:p>
        </xdr:txBody>
      </xdr:sp>
      <xdr:sp macro="" textlink="">
        <xdr:nvSpPr>
          <xdr:cNvPr id="21" name="직사각형 8">
            <a:extLst>
              <a:ext uri="{FF2B5EF4-FFF2-40B4-BE49-F238E27FC236}">
                <a16:creationId xmlns:a16="http://schemas.microsoft.com/office/drawing/2014/main" xmlns="" id="{00000000-0008-0000-0000-00003E000000}"/>
              </a:ext>
            </a:extLst>
          </xdr:cNvPr>
          <xdr:cNvSpPr/>
        </xdr:nvSpPr>
        <xdr:spPr>
          <a:xfrm>
            <a:off x="1905000" y="1657351"/>
            <a:ext cx="476249" cy="1219199"/>
          </a:xfrm>
          <a:prstGeom prst="rect">
            <a:avLst/>
          </a:prstGeom>
          <a:solidFill>
            <a:schemeClr val="tx1"/>
          </a:solidFill>
          <a:ln w="127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ko-KR" altLang="en-US" sz="900" b="1">
                <a:solidFill>
                  <a:schemeClr val="bg1"/>
                </a:solidFill>
                <a:latin typeface="+mn-ea"/>
                <a:ea typeface="+mn-ea"/>
                <a:cs typeface="JBold" pitchFamily="18" charset="-127"/>
              </a:rPr>
              <a:t>미</a:t>
            </a:r>
            <a:endParaRPr lang="en-US" altLang="ko-KR" sz="900" b="1">
              <a:solidFill>
                <a:schemeClr val="bg1"/>
              </a:solidFill>
              <a:latin typeface="+mn-ea"/>
              <a:ea typeface="+mn-ea"/>
              <a:cs typeface="JBold" pitchFamily="18" charset="-127"/>
            </a:endParaRPr>
          </a:p>
          <a:p>
            <a:pPr algn="ctr"/>
            <a:r>
              <a:rPr lang="ko-KR" altLang="en-US" sz="900" b="1">
                <a:solidFill>
                  <a:schemeClr val="bg1"/>
                </a:solidFill>
                <a:latin typeface="+mn-ea"/>
                <a:ea typeface="+mn-ea"/>
                <a:cs typeface="JBold" pitchFamily="18" charset="-127"/>
              </a:rPr>
              <a:t>얀</a:t>
            </a:r>
            <a:endParaRPr lang="en-US" altLang="ko-KR" sz="900" b="1">
              <a:solidFill>
                <a:schemeClr val="bg1"/>
              </a:solidFill>
              <a:latin typeface="+mn-ea"/>
              <a:ea typeface="+mn-ea"/>
              <a:cs typeface="JBold" pitchFamily="18" charset="-127"/>
            </a:endParaRPr>
          </a:p>
          <a:p>
            <a:pPr algn="ctr"/>
            <a:r>
              <a:rPr lang="ko-KR" altLang="en-US" sz="900" b="1">
                <a:solidFill>
                  <a:schemeClr val="bg1"/>
                </a:solidFill>
                <a:latin typeface="+mn-ea"/>
                <a:ea typeface="+mn-ea"/>
                <a:cs typeface="JBold" pitchFamily="18" charset="-127"/>
              </a:rPr>
              <a:t>마</a:t>
            </a:r>
          </a:p>
        </xdr:txBody>
      </xdr:sp>
    </xdr:grpSp>
    <xdr:clientData/>
  </xdr:twoCellAnchor>
  <xdr:twoCellAnchor>
    <xdr:from>
      <xdr:col>3</xdr:col>
      <xdr:colOff>76200</xdr:colOff>
      <xdr:row>21</xdr:row>
      <xdr:rowOff>66675</xdr:rowOff>
    </xdr:from>
    <xdr:to>
      <xdr:col>7</xdr:col>
      <xdr:colOff>104775</xdr:colOff>
      <xdr:row>30</xdr:row>
      <xdr:rowOff>133351</xdr:rowOff>
    </xdr:to>
    <xdr:grpSp>
      <xdr:nvGrpSpPr>
        <xdr:cNvPr id="22" name="그룹 21"/>
        <xdr:cNvGrpSpPr/>
      </xdr:nvGrpSpPr>
      <xdr:grpSpPr>
        <a:xfrm>
          <a:off x="1009650" y="4229100"/>
          <a:ext cx="2466975" cy="1609726"/>
          <a:chOff x="1905000" y="1657350"/>
          <a:chExt cx="2466975" cy="1609726"/>
        </a:xfrm>
      </xdr:grpSpPr>
      <xdr:sp macro="" textlink="">
        <xdr:nvSpPr>
          <xdr:cNvPr id="23" name="직사각형 22">
            <a:extLst>
              <a:ext uri="{FF2B5EF4-FFF2-40B4-BE49-F238E27FC236}">
                <a16:creationId xmlns:a16="http://schemas.microsoft.com/office/drawing/2014/main" xmlns="" id="{00000000-0008-0000-0000-00003D000000}"/>
              </a:ext>
            </a:extLst>
          </xdr:cNvPr>
          <xdr:cNvSpPr/>
        </xdr:nvSpPr>
        <xdr:spPr>
          <a:xfrm>
            <a:off x="2933701" y="2076451"/>
            <a:ext cx="1438274" cy="400050"/>
          </a:xfrm>
          <a:prstGeom prst="rect">
            <a:avLst/>
          </a:prstGeom>
          <a:solidFill>
            <a:schemeClr val="bg1"/>
          </a:solidFill>
          <a:ln w="12700">
            <a:solidFill>
              <a:schemeClr val="accent1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l"/>
            <a:r>
              <a:rPr lang="en-US" altLang="ko-KR" sz="800" b="1">
                <a:solidFill>
                  <a:schemeClr val="tx1"/>
                </a:solidFill>
                <a:latin typeface="+mn-ea"/>
                <a:ea typeface="+mn-ea"/>
                <a:cs typeface="JBold" pitchFamily="18" charset="-127"/>
              </a:rPr>
              <a:t>Financial</a:t>
            </a:r>
            <a:r>
              <a:rPr lang="en-US" altLang="ko-KR" sz="800" b="1" baseline="0">
                <a:solidFill>
                  <a:schemeClr val="tx1"/>
                </a:solidFill>
                <a:latin typeface="+mn-ea"/>
                <a:ea typeface="+mn-ea"/>
                <a:cs typeface="JBold" pitchFamily="18" charset="-127"/>
              </a:rPr>
              <a:t> Report (BS,PL)</a:t>
            </a:r>
            <a:endParaRPr lang="ko-KR" altLang="en-US" sz="800" b="1">
              <a:solidFill>
                <a:schemeClr val="tx1"/>
              </a:solidFill>
              <a:latin typeface="+mn-ea"/>
              <a:ea typeface="+mn-ea"/>
              <a:cs typeface="JBold" pitchFamily="18" charset="-127"/>
            </a:endParaRPr>
          </a:p>
        </xdr:txBody>
      </xdr:sp>
      <xdr:sp macro="" textlink="">
        <xdr:nvSpPr>
          <xdr:cNvPr id="24" name="직사각형 8">
            <a:extLst>
              <a:ext uri="{FF2B5EF4-FFF2-40B4-BE49-F238E27FC236}">
                <a16:creationId xmlns:a16="http://schemas.microsoft.com/office/drawing/2014/main" xmlns="" id="{00000000-0008-0000-0000-00003E000000}"/>
              </a:ext>
            </a:extLst>
          </xdr:cNvPr>
          <xdr:cNvSpPr/>
        </xdr:nvSpPr>
        <xdr:spPr>
          <a:xfrm>
            <a:off x="2457450" y="2076447"/>
            <a:ext cx="476249" cy="790578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12700">
            <a:solidFill>
              <a:schemeClr val="accent1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ko-KR" altLang="en-US" sz="800" b="1">
                <a:solidFill>
                  <a:schemeClr val="tx1"/>
                </a:solidFill>
                <a:latin typeface="+mn-ea"/>
                <a:ea typeface="+mn-ea"/>
                <a:cs typeface="JBold" pitchFamily="18" charset="-127"/>
              </a:rPr>
              <a:t>법인</a:t>
            </a:r>
          </a:p>
        </xdr:txBody>
      </xdr:sp>
      <xdr:sp macro="" textlink="">
        <xdr:nvSpPr>
          <xdr:cNvPr id="25" name="직사각형 8">
            <a:extLst>
              <a:ext uri="{FF2B5EF4-FFF2-40B4-BE49-F238E27FC236}">
                <a16:creationId xmlns:a16="http://schemas.microsoft.com/office/drawing/2014/main" xmlns="" id="{00000000-0008-0000-0000-00003F000000}"/>
              </a:ext>
            </a:extLst>
          </xdr:cNvPr>
          <xdr:cNvSpPr/>
        </xdr:nvSpPr>
        <xdr:spPr>
          <a:xfrm>
            <a:off x="2457450" y="1657350"/>
            <a:ext cx="1914525" cy="421350"/>
          </a:xfrm>
          <a:prstGeom prst="rect">
            <a:avLst/>
          </a:prstGeom>
          <a:solidFill>
            <a:schemeClr val="accent3">
              <a:lumMod val="60000"/>
              <a:lumOff val="40000"/>
            </a:schemeClr>
          </a:solidFill>
          <a:ln w="12700">
            <a:solidFill>
              <a:schemeClr val="bg1">
                <a:lumMod val="50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en-US" altLang="ko-KR" sz="1000" b="1">
                <a:solidFill>
                  <a:schemeClr val="tx1"/>
                </a:solidFill>
                <a:latin typeface="돋움" pitchFamily="50" charset="-127"/>
                <a:ea typeface="돋움" pitchFamily="50" charset="-127"/>
                <a:cs typeface="JBold" pitchFamily="18" charset="-127"/>
              </a:rPr>
              <a:t>Global</a:t>
            </a:r>
            <a:r>
              <a:rPr lang="ko-KR" altLang="en-US" sz="1000" b="1">
                <a:solidFill>
                  <a:schemeClr val="tx1"/>
                </a:solidFill>
                <a:latin typeface="돋움" pitchFamily="50" charset="-127"/>
                <a:ea typeface="돋움" pitchFamily="50" charset="-127"/>
                <a:cs typeface="JBold" pitchFamily="18" charset="-127"/>
              </a:rPr>
              <a:t> </a:t>
            </a:r>
            <a:r>
              <a:rPr lang="en-US" altLang="ko-KR" sz="1000" b="1">
                <a:solidFill>
                  <a:schemeClr val="tx1"/>
                </a:solidFill>
                <a:latin typeface="돋움" pitchFamily="50" charset="-127"/>
                <a:ea typeface="돋움" pitchFamily="50" charset="-127"/>
                <a:cs typeface="JBold" pitchFamily="18" charset="-127"/>
              </a:rPr>
              <a:t>Accounting System</a:t>
            </a:r>
            <a:endParaRPr lang="ko-KR" altLang="en-US" sz="1000" b="1">
              <a:solidFill>
                <a:schemeClr val="tx1"/>
              </a:solidFill>
              <a:latin typeface="돋움" pitchFamily="50" charset="-127"/>
              <a:ea typeface="돋움" pitchFamily="50" charset="-127"/>
              <a:cs typeface="JBold" pitchFamily="18" charset="-127"/>
            </a:endParaRPr>
          </a:p>
        </xdr:txBody>
      </xdr:sp>
      <xdr:sp macro="" textlink="">
        <xdr:nvSpPr>
          <xdr:cNvPr id="26" name="직사각형 25">
            <a:extLst>
              <a:ext uri="{FF2B5EF4-FFF2-40B4-BE49-F238E27FC236}">
                <a16:creationId xmlns:a16="http://schemas.microsoft.com/office/drawing/2014/main" xmlns="" id="{00000000-0008-0000-0000-00003D000000}"/>
              </a:ext>
            </a:extLst>
          </xdr:cNvPr>
          <xdr:cNvSpPr/>
        </xdr:nvSpPr>
        <xdr:spPr>
          <a:xfrm>
            <a:off x="2933701" y="2466976"/>
            <a:ext cx="1438274" cy="400050"/>
          </a:xfrm>
          <a:prstGeom prst="rect">
            <a:avLst/>
          </a:prstGeom>
          <a:solidFill>
            <a:schemeClr val="bg1"/>
          </a:solidFill>
          <a:ln w="12700">
            <a:solidFill>
              <a:schemeClr val="accent1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l"/>
            <a:r>
              <a:rPr lang="ko-KR" altLang="en-US" sz="800" b="1">
                <a:solidFill>
                  <a:schemeClr val="tx1"/>
                </a:solidFill>
                <a:latin typeface="+mn-ea"/>
                <a:ea typeface="+mn-ea"/>
                <a:cs typeface="JBold" pitchFamily="18" charset="-127"/>
              </a:rPr>
              <a:t>예산부서별 </a:t>
            </a:r>
            <a:r>
              <a:rPr lang="en-US" altLang="ko-KR" sz="800" b="1">
                <a:solidFill>
                  <a:schemeClr val="tx1"/>
                </a:solidFill>
                <a:latin typeface="+mn-ea"/>
                <a:ea typeface="+mn-ea"/>
                <a:cs typeface="JBold" pitchFamily="18" charset="-127"/>
              </a:rPr>
              <a:t>Expense</a:t>
            </a:r>
            <a:endParaRPr lang="ko-KR" altLang="en-US" sz="800" b="1">
              <a:solidFill>
                <a:schemeClr val="tx1"/>
              </a:solidFill>
              <a:latin typeface="+mn-ea"/>
              <a:ea typeface="+mn-ea"/>
              <a:cs typeface="JBold" pitchFamily="18" charset="-127"/>
            </a:endParaRPr>
          </a:p>
        </xdr:txBody>
      </xdr:sp>
      <xdr:sp macro="" textlink="">
        <xdr:nvSpPr>
          <xdr:cNvPr id="27" name="직사각형 26">
            <a:extLst>
              <a:ext uri="{FF2B5EF4-FFF2-40B4-BE49-F238E27FC236}">
                <a16:creationId xmlns:a16="http://schemas.microsoft.com/office/drawing/2014/main" xmlns="" id="{00000000-0008-0000-0000-00003D000000}"/>
              </a:ext>
            </a:extLst>
          </xdr:cNvPr>
          <xdr:cNvSpPr/>
        </xdr:nvSpPr>
        <xdr:spPr>
          <a:xfrm>
            <a:off x="2933701" y="2867026"/>
            <a:ext cx="1438274" cy="400050"/>
          </a:xfrm>
          <a:prstGeom prst="rect">
            <a:avLst/>
          </a:prstGeom>
          <a:solidFill>
            <a:schemeClr val="bg1"/>
          </a:solidFill>
          <a:ln w="12700">
            <a:solidFill>
              <a:schemeClr val="accent1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l"/>
            <a:r>
              <a:rPr lang="ko-KR" altLang="en-US" sz="800" b="1">
                <a:solidFill>
                  <a:schemeClr val="tx1"/>
                </a:solidFill>
                <a:latin typeface="+mn-ea"/>
                <a:ea typeface="+mn-ea"/>
                <a:cs typeface="JBold" pitchFamily="18" charset="-127"/>
              </a:rPr>
              <a:t>예산부서별 </a:t>
            </a:r>
            <a:r>
              <a:rPr lang="en-US" altLang="ko-KR" sz="800" b="1">
                <a:solidFill>
                  <a:schemeClr val="tx1"/>
                </a:solidFill>
                <a:latin typeface="+mn-ea"/>
                <a:ea typeface="+mn-ea"/>
                <a:cs typeface="JBold" pitchFamily="18" charset="-127"/>
              </a:rPr>
              <a:t>Expense</a:t>
            </a:r>
            <a:endParaRPr lang="ko-KR" altLang="en-US" sz="800" b="1">
              <a:solidFill>
                <a:schemeClr val="tx1"/>
              </a:solidFill>
              <a:latin typeface="+mn-ea"/>
              <a:ea typeface="+mn-ea"/>
              <a:cs typeface="JBold" pitchFamily="18" charset="-127"/>
            </a:endParaRPr>
          </a:p>
        </xdr:txBody>
      </xdr:sp>
      <xdr:sp macro="" textlink="">
        <xdr:nvSpPr>
          <xdr:cNvPr id="28" name="직사각형 8">
            <a:extLst>
              <a:ext uri="{FF2B5EF4-FFF2-40B4-BE49-F238E27FC236}">
                <a16:creationId xmlns:a16="http://schemas.microsoft.com/office/drawing/2014/main" xmlns="" id="{00000000-0008-0000-0000-00003E000000}"/>
              </a:ext>
            </a:extLst>
          </xdr:cNvPr>
          <xdr:cNvSpPr/>
        </xdr:nvSpPr>
        <xdr:spPr>
          <a:xfrm>
            <a:off x="2457450" y="2867022"/>
            <a:ext cx="476249" cy="398283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12700">
            <a:solidFill>
              <a:schemeClr val="accent1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ko-KR" altLang="en-US" sz="800" b="1">
                <a:solidFill>
                  <a:schemeClr val="tx1"/>
                </a:solidFill>
                <a:latin typeface="+mn-ea"/>
                <a:ea typeface="+mn-ea"/>
                <a:cs typeface="JBold" pitchFamily="18" charset="-127"/>
              </a:rPr>
              <a:t>지사</a:t>
            </a:r>
          </a:p>
        </xdr:txBody>
      </xdr:sp>
      <xdr:sp macro="" textlink="">
        <xdr:nvSpPr>
          <xdr:cNvPr id="29" name="직사각형 8">
            <a:extLst>
              <a:ext uri="{FF2B5EF4-FFF2-40B4-BE49-F238E27FC236}">
                <a16:creationId xmlns:a16="http://schemas.microsoft.com/office/drawing/2014/main" xmlns="" id="{00000000-0008-0000-0000-00003E000000}"/>
              </a:ext>
            </a:extLst>
          </xdr:cNvPr>
          <xdr:cNvSpPr/>
        </xdr:nvSpPr>
        <xdr:spPr>
          <a:xfrm>
            <a:off x="1905000" y="1657351"/>
            <a:ext cx="476249" cy="1609724"/>
          </a:xfrm>
          <a:prstGeom prst="rect">
            <a:avLst/>
          </a:prstGeom>
          <a:solidFill>
            <a:schemeClr val="tx1"/>
          </a:solidFill>
          <a:ln w="127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ko-KR" altLang="en-US" sz="900" b="1">
                <a:solidFill>
                  <a:schemeClr val="bg1"/>
                </a:solidFill>
                <a:latin typeface="+mn-ea"/>
                <a:ea typeface="+mn-ea"/>
                <a:cs typeface="JBold" pitchFamily="18" charset="-127"/>
              </a:rPr>
              <a:t>니</a:t>
            </a:r>
            <a:endParaRPr lang="en-US" altLang="ko-KR" sz="900" b="1">
              <a:solidFill>
                <a:schemeClr val="bg1"/>
              </a:solidFill>
              <a:latin typeface="+mn-ea"/>
              <a:ea typeface="+mn-ea"/>
              <a:cs typeface="JBold" pitchFamily="18" charset="-127"/>
            </a:endParaRPr>
          </a:p>
          <a:p>
            <a:pPr algn="ctr"/>
            <a:r>
              <a:rPr lang="ko-KR" altLang="en-US" sz="900" b="1">
                <a:solidFill>
                  <a:schemeClr val="bg1"/>
                </a:solidFill>
                <a:latin typeface="+mn-ea"/>
                <a:ea typeface="+mn-ea"/>
                <a:cs typeface="JBold" pitchFamily="18" charset="-127"/>
              </a:rPr>
              <a:t>카</a:t>
            </a:r>
            <a:endParaRPr lang="en-US" altLang="ko-KR" sz="900" b="1">
              <a:solidFill>
                <a:schemeClr val="bg1"/>
              </a:solidFill>
              <a:latin typeface="+mn-ea"/>
              <a:ea typeface="+mn-ea"/>
              <a:cs typeface="JBold" pitchFamily="18" charset="-127"/>
            </a:endParaRPr>
          </a:p>
          <a:p>
            <a:pPr algn="ctr"/>
            <a:r>
              <a:rPr lang="ko-KR" altLang="en-US" sz="900" b="1">
                <a:solidFill>
                  <a:schemeClr val="bg1"/>
                </a:solidFill>
                <a:latin typeface="+mn-ea"/>
                <a:ea typeface="+mn-ea"/>
                <a:cs typeface="JBold" pitchFamily="18" charset="-127"/>
              </a:rPr>
              <a:t>라</a:t>
            </a:r>
            <a:endParaRPr lang="en-US" altLang="ko-KR" sz="900" b="1">
              <a:solidFill>
                <a:schemeClr val="bg1"/>
              </a:solidFill>
              <a:latin typeface="+mn-ea"/>
              <a:ea typeface="+mn-ea"/>
              <a:cs typeface="JBold" pitchFamily="18" charset="-127"/>
            </a:endParaRPr>
          </a:p>
          <a:p>
            <a:pPr algn="ctr"/>
            <a:r>
              <a:rPr lang="ko-KR" altLang="en-US" sz="900" b="1">
                <a:solidFill>
                  <a:schemeClr val="bg1"/>
                </a:solidFill>
                <a:latin typeface="+mn-ea"/>
                <a:ea typeface="+mn-ea"/>
                <a:cs typeface="JBold" pitchFamily="18" charset="-127"/>
              </a:rPr>
              <a:t>과</a:t>
            </a:r>
          </a:p>
        </xdr:txBody>
      </xdr:sp>
    </xdr:grpSp>
    <xdr:clientData/>
  </xdr:twoCellAnchor>
  <xdr:twoCellAnchor>
    <xdr:from>
      <xdr:col>3</xdr:col>
      <xdr:colOff>76200</xdr:colOff>
      <xdr:row>32</xdr:row>
      <xdr:rowOff>47625</xdr:rowOff>
    </xdr:from>
    <xdr:to>
      <xdr:col>7</xdr:col>
      <xdr:colOff>104775</xdr:colOff>
      <xdr:row>39</xdr:row>
      <xdr:rowOff>66675</xdr:rowOff>
    </xdr:to>
    <xdr:grpSp>
      <xdr:nvGrpSpPr>
        <xdr:cNvPr id="30" name="그룹 29"/>
        <xdr:cNvGrpSpPr/>
      </xdr:nvGrpSpPr>
      <xdr:grpSpPr>
        <a:xfrm>
          <a:off x="1009650" y="6096000"/>
          <a:ext cx="2466975" cy="1219200"/>
          <a:chOff x="1905000" y="1657350"/>
          <a:chExt cx="2466975" cy="1219200"/>
        </a:xfrm>
      </xdr:grpSpPr>
      <xdr:sp macro="" textlink="">
        <xdr:nvSpPr>
          <xdr:cNvPr id="31" name="직사각형 30">
            <a:extLst>
              <a:ext uri="{FF2B5EF4-FFF2-40B4-BE49-F238E27FC236}">
                <a16:creationId xmlns:a16="http://schemas.microsoft.com/office/drawing/2014/main" xmlns="" id="{00000000-0008-0000-0000-00003D000000}"/>
              </a:ext>
            </a:extLst>
          </xdr:cNvPr>
          <xdr:cNvSpPr/>
        </xdr:nvSpPr>
        <xdr:spPr>
          <a:xfrm>
            <a:off x="2933701" y="2076451"/>
            <a:ext cx="1438274" cy="400050"/>
          </a:xfrm>
          <a:prstGeom prst="rect">
            <a:avLst/>
          </a:prstGeom>
          <a:solidFill>
            <a:schemeClr val="bg1"/>
          </a:solidFill>
          <a:ln w="12700">
            <a:solidFill>
              <a:schemeClr val="accent1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l"/>
            <a:r>
              <a:rPr lang="en-US" altLang="ko-KR" sz="800" b="1">
                <a:solidFill>
                  <a:schemeClr val="tx1"/>
                </a:solidFill>
                <a:latin typeface="+mn-ea"/>
                <a:ea typeface="+mn-ea"/>
                <a:cs typeface="JBold" pitchFamily="18" charset="-127"/>
              </a:rPr>
              <a:t>Financial</a:t>
            </a:r>
            <a:r>
              <a:rPr lang="en-US" altLang="ko-KR" sz="800" b="1" baseline="0">
                <a:solidFill>
                  <a:schemeClr val="tx1"/>
                </a:solidFill>
                <a:latin typeface="+mn-ea"/>
                <a:ea typeface="+mn-ea"/>
                <a:cs typeface="JBold" pitchFamily="18" charset="-127"/>
              </a:rPr>
              <a:t> Report (BS,PL)</a:t>
            </a:r>
            <a:endParaRPr lang="ko-KR" altLang="en-US" sz="800" b="1">
              <a:solidFill>
                <a:schemeClr val="tx1"/>
              </a:solidFill>
              <a:latin typeface="+mn-ea"/>
              <a:ea typeface="+mn-ea"/>
              <a:cs typeface="JBold" pitchFamily="18" charset="-127"/>
            </a:endParaRPr>
          </a:p>
        </xdr:txBody>
      </xdr:sp>
      <xdr:sp macro="" textlink="">
        <xdr:nvSpPr>
          <xdr:cNvPr id="32" name="직사각형 8">
            <a:extLst>
              <a:ext uri="{FF2B5EF4-FFF2-40B4-BE49-F238E27FC236}">
                <a16:creationId xmlns:a16="http://schemas.microsoft.com/office/drawing/2014/main" xmlns="" id="{00000000-0008-0000-0000-00003E000000}"/>
              </a:ext>
            </a:extLst>
          </xdr:cNvPr>
          <xdr:cNvSpPr/>
        </xdr:nvSpPr>
        <xdr:spPr>
          <a:xfrm>
            <a:off x="2457450" y="2076447"/>
            <a:ext cx="476249" cy="790578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12700">
            <a:solidFill>
              <a:schemeClr val="accent1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ko-KR" altLang="en-US" sz="800" b="1">
                <a:solidFill>
                  <a:schemeClr val="tx1"/>
                </a:solidFill>
                <a:latin typeface="+mn-ea"/>
                <a:ea typeface="+mn-ea"/>
                <a:cs typeface="JBold" pitchFamily="18" charset="-127"/>
              </a:rPr>
              <a:t>지사</a:t>
            </a:r>
          </a:p>
        </xdr:txBody>
      </xdr:sp>
      <xdr:sp macro="" textlink="">
        <xdr:nvSpPr>
          <xdr:cNvPr id="33" name="직사각형 8">
            <a:extLst>
              <a:ext uri="{FF2B5EF4-FFF2-40B4-BE49-F238E27FC236}">
                <a16:creationId xmlns:a16="http://schemas.microsoft.com/office/drawing/2014/main" xmlns="" id="{00000000-0008-0000-0000-00003F000000}"/>
              </a:ext>
            </a:extLst>
          </xdr:cNvPr>
          <xdr:cNvSpPr/>
        </xdr:nvSpPr>
        <xdr:spPr>
          <a:xfrm>
            <a:off x="2457450" y="1657350"/>
            <a:ext cx="1914525" cy="421350"/>
          </a:xfrm>
          <a:prstGeom prst="rect">
            <a:avLst/>
          </a:prstGeom>
          <a:solidFill>
            <a:schemeClr val="accent3">
              <a:lumMod val="60000"/>
              <a:lumOff val="40000"/>
            </a:schemeClr>
          </a:solidFill>
          <a:ln w="12700">
            <a:solidFill>
              <a:schemeClr val="bg1">
                <a:lumMod val="50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en-US" altLang="ko-KR" sz="1000" b="1">
                <a:solidFill>
                  <a:schemeClr val="tx1"/>
                </a:solidFill>
                <a:latin typeface="돋움" pitchFamily="50" charset="-127"/>
                <a:ea typeface="돋움" pitchFamily="50" charset="-127"/>
                <a:cs typeface="JBold" pitchFamily="18" charset="-127"/>
              </a:rPr>
              <a:t>Global</a:t>
            </a:r>
            <a:r>
              <a:rPr lang="ko-KR" altLang="en-US" sz="1000" b="1">
                <a:solidFill>
                  <a:schemeClr val="tx1"/>
                </a:solidFill>
                <a:latin typeface="돋움" pitchFamily="50" charset="-127"/>
                <a:ea typeface="돋움" pitchFamily="50" charset="-127"/>
                <a:cs typeface="JBold" pitchFamily="18" charset="-127"/>
              </a:rPr>
              <a:t> </a:t>
            </a:r>
            <a:r>
              <a:rPr lang="en-US" altLang="ko-KR" sz="1000" b="1">
                <a:solidFill>
                  <a:schemeClr val="tx1"/>
                </a:solidFill>
                <a:latin typeface="돋움" pitchFamily="50" charset="-127"/>
                <a:ea typeface="돋움" pitchFamily="50" charset="-127"/>
                <a:cs typeface="JBold" pitchFamily="18" charset="-127"/>
              </a:rPr>
              <a:t>Accounting System</a:t>
            </a:r>
            <a:endParaRPr lang="ko-KR" altLang="en-US" sz="1000" b="1">
              <a:solidFill>
                <a:schemeClr val="tx1"/>
              </a:solidFill>
              <a:latin typeface="돋움" pitchFamily="50" charset="-127"/>
              <a:ea typeface="돋움" pitchFamily="50" charset="-127"/>
              <a:cs typeface="JBold" pitchFamily="18" charset="-127"/>
            </a:endParaRPr>
          </a:p>
        </xdr:txBody>
      </xdr:sp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xmlns="" id="{00000000-0008-0000-0000-00003D000000}"/>
              </a:ext>
            </a:extLst>
          </xdr:cNvPr>
          <xdr:cNvSpPr/>
        </xdr:nvSpPr>
        <xdr:spPr>
          <a:xfrm>
            <a:off x="2933701" y="2466976"/>
            <a:ext cx="1438274" cy="400050"/>
          </a:xfrm>
          <a:prstGeom prst="rect">
            <a:avLst/>
          </a:prstGeom>
          <a:solidFill>
            <a:schemeClr val="bg1"/>
          </a:solidFill>
          <a:ln w="12700">
            <a:solidFill>
              <a:schemeClr val="accent1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l"/>
            <a:r>
              <a:rPr lang="ko-KR" altLang="en-US" sz="800" b="1">
                <a:solidFill>
                  <a:schemeClr val="tx1"/>
                </a:solidFill>
                <a:latin typeface="+mn-ea"/>
                <a:ea typeface="+mn-ea"/>
                <a:cs typeface="JBold" pitchFamily="18" charset="-127"/>
              </a:rPr>
              <a:t>예산부서별 </a:t>
            </a:r>
            <a:r>
              <a:rPr lang="en-US" altLang="ko-KR" sz="800" b="1">
                <a:solidFill>
                  <a:schemeClr val="tx1"/>
                </a:solidFill>
                <a:latin typeface="+mn-ea"/>
                <a:ea typeface="+mn-ea"/>
                <a:cs typeface="JBold" pitchFamily="18" charset="-127"/>
              </a:rPr>
              <a:t>Expense</a:t>
            </a:r>
            <a:endParaRPr lang="ko-KR" altLang="en-US" sz="800" b="1">
              <a:solidFill>
                <a:schemeClr val="tx1"/>
              </a:solidFill>
              <a:latin typeface="+mn-ea"/>
              <a:ea typeface="+mn-ea"/>
              <a:cs typeface="JBold" pitchFamily="18" charset="-127"/>
            </a:endParaRPr>
          </a:p>
        </xdr:txBody>
      </xdr:sp>
      <xdr:sp macro="" textlink="">
        <xdr:nvSpPr>
          <xdr:cNvPr id="35" name="직사각형 8">
            <a:extLst>
              <a:ext uri="{FF2B5EF4-FFF2-40B4-BE49-F238E27FC236}">
                <a16:creationId xmlns:a16="http://schemas.microsoft.com/office/drawing/2014/main" xmlns="" id="{00000000-0008-0000-0000-00003E000000}"/>
              </a:ext>
            </a:extLst>
          </xdr:cNvPr>
          <xdr:cNvSpPr/>
        </xdr:nvSpPr>
        <xdr:spPr>
          <a:xfrm>
            <a:off x="1905000" y="1657351"/>
            <a:ext cx="476249" cy="1219199"/>
          </a:xfrm>
          <a:prstGeom prst="rect">
            <a:avLst/>
          </a:prstGeom>
          <a:solidFill>
            <a:schemeClr val="tx1"/>
          </a:solidFill>
          <a:ln w="127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ko-KR" altLang="en-US" sz="900" b="1">
                <a:solidFill>
                  <a:schemeClr val="bg1"/>
                </a:solidFill>
                <a:latin typeface="+mn-ea"/>
                <a:ea typeface="+mn-ea"/>
                <a:cs typeface="JBold" pitchFamily="18" charset="-127"/>
              </a:rPr>
              <a:t>인</a:t>
            </a:r>
            <a:endParaRPr lang="en-US" altLang="ko-KR" sz="900" b="1">
              <a:solidFill>
                <a:schemeClr val="bg1"/>
              </a:solidFill>
              <a:latin typeface="+mn-ea"/>
              <a:ea typeface="+mn-ea"/>
              <a:cs typeface="JBold" pitchFamily="18" charset="-127"/>
            </a:endParaRPr>
          </a:p>
          <a:p>
            <a:pPr algn="ctr"/>
            <a:r>
              <a:rPr lang="ko-KR" altLang="en-US" sz="900" b="1">
                <a:solidFill>
                  <a:schemeClr val="bg1"/>
                </a:solidFill>
                <a:latin typeface="+mn-ea"/>
                <a:ea typeface="+mn-ea"/>
                <a:cs typeface="JBold" pitchFamily="18" charset="-127"/>
              </a:rPr>
              <a:t>도</a:t>
            </a:r>
            <a:endParaRPr lang="en-US" altLang="ko-KR" sz="900" b="1">
              <a:solidFill>
                <a:schemeClr val="bg1"/>
              </a:solidFill>
              <a:latin typeface="+mn-ea"/>
              <a:ea typeface="+mn-ea"/>
              <a:cs typeface="JBold" pitchFamily="18" charset="-127"/>
            </a:endParaRPr>
          </a:p>
          <a:p>
            <a:pPr algn="ctr"/>
            <a:r>
              <a:rPr lang="ko-KR" altLang="en-US" sz="900" b="1">
                <a:solidFill>
                  <a:schemeClr val="bg1"/>
                </a:solidFill>
                <a:latin typeface="+mn-ea"/>
                <a:ea typeface="+mn-ea"/>
                <a:cs typeface="JBold" pitchFamily="18" charset="-127"/>
              </a:rPr>
              <a:t>네</a:t>
            </a:r>
            <a:endParaRPr lang="en-US" altLang="ko-KR" sz="900" b="1">
              <a:solidFill>
                <a:schemeClr val="bg1"/>
              </a:solidFill>
              <a:latin typeface="+mn-ea"/>
              <a:ea typeface="+mn-ea"/>
              <a:cs typeface="JBold" pitchFamily="18" charset="-127"/>
            </a:endParaRPr>
          </a:p>
          <a:p>
            <a:pPr algn="ctr"/>
            <a:r>
              <a:rPr lang="ko-KR" altLang="en-US" sz="900" b="1">
                <a:solidFill>
                  <a:schemeClr val="bg1"/>
                </a:solidFill>
                <a:latin typeface="+mn-ea"/>
                <a:ea typeface="+mn-ea"/>
                <a:cs typeface="JBold" pitchFamily="18" charset="-127"/>
              </a:rPr>
              <a:t>시</a:t>
            </a:r>
            <a:endParaRPr lang="en-US" altLang="ko-KR" sz="900" b="1">
              <a:solidFill>
                <a:schemeClr val="bg1"/>
              </a:solidFill>
              <a:latin typeface="+mn-ea"/>
              <a:ea typeface="+mn-ea"/>
              <a:cs typeface="JBold" pitchFamily="18" charset="-127"/>
            </a:endParaRPr>
          </a:p>
          <a:p>
            <a:pPr algn="ctr"/>
            <a:r>
              <a:rPr lang="ko-KR" altLang="en-US" sz="900" b="1">
                <a:solidFill>
                  <a:schemeClr val="bg1"/>
                </a:solidFill>
                <a:latin typeface="+mn-ea"/>
                <a:ea typeface="+mn-ea"/>
                <a:cs typeface="JBold" pitchFamily="18" charset="-127"/>
              </a:rPr>
              <a:t>아</a:t>
            </a:r>
          </a:p>
        </xdr:txBody>
      </xdr:sp>
    </xdr:grpSp>
    <xdr:clientData/>
  </xdr:twoCellAnchor>
  <xdr:twoCellAnchor>
    <xdr:from>
      <xdr:col>10</xdr:col>
      <xdr:colOff>104775</xdr:colOff>
      <xdr:row>10</xdr:row>
      <xdr:rowOff>76200</xdr:rowOff>
    </xdr:from>
    <xdr:to>
      <xdr:col>15</xdr:col>
      <xdr:colOff>514350</xdr:colOff>
      <xdr:row>31</xdr:row>
      <xdr:rowOff>66676</xdr:rowOff>
    </xdr:to>
    <xdr:grpSp>
      <xdr:nvGrpSpPr>
        <xdr:cNvPr id="56" name="그룹 55"/>
        <xdr:cNvGrpSpPr/>
      </xdr:nvGrpSpPr>
      <xdr:grpSpPr>
        <a:xfrm>
          <a:off x="4695825" y="2352675"/>
          <a:ext cx="3457575" cy="3590926"/>
          <a:chOff x="10506075" y="1933575"/>
          <a:chExt cx="3457575" cy="3590926"/>
        </a:xfrm>
      </xdr:grpSpPr>
      <xdr:sp macro="" textlink="">
        <xdr:nvSpPr>
          <xdr:cNvPr id="43" name="직사각형 8">
            <a:extLst>
              <a:ext uri="{FF2B5EF4-FFF2-40B4-BE49-F238E27FC236}">
                <a16:creationId xmlns:a16="http://schemas.microsoft.com/office/drawing/2014/main" xmlns="" id="{00000000-0008-0000-0000-00003E000000}"/>
              </a:ext>
            </a:extLst>
          </xdr:cNvPr>
          <xdr:cNvSpPr/>
        </xdr:nvSpPr>
        <xdr:spPr>
          <a:xfrm>
            <a:off x="10506075" y="1933575"/>
            <a:ext cx="3457575" cy="419100"/>
          </a:xfrm>
          <a:prstGeom prst="rect">
            <a:avLst/>
          </a:prstGeom>
          <a:solidFill>
            <a:schemeClr val="tx1"/>
          </a:solidFill>
          <a:ln w="127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ko-KR" altLang="en-US" sz="1050" b="1">
                <a:solidFill>
                  <a:schemeClr val="bg1"/>
                </a:solidFill>
                <a:latin typeface="+mn-ea"/>
                <a:ea typeface="+mn-ea"/>
                <a:cs typeface="JBold" pitchFamily="18" charset="-127"/>
              </a:rPr>
              <a:t>본사 회계관리 시스템 </a:t>
            </a:r>
            <a:r>
              <a:rPr lang="en-US" altLang="ko-KR" sz="1050" b="1">
                <a:solidFill>
                  <a:schemeClr val="bg1"/>
                </a:solidFill>
                <a:latin typeface="+mn-ea"/>
                <a:ea typeface="+mn-ea"/>
                <a:cs typeface="JBold" pitchFamily="18" charset="-127"/>
              </a:rPr>
              <a:t>(K-ONE)</a:t>
            </a:r>
            <a:endParaRPr lang="ko-KR" altLang="en-US" sz="1050" b="1">
              <a:solidFill>
                <a:schemeClr val="bg1"/>
              </a:solidFill>
              <a:latin typeface="+mn-ea"/>
              <a:ea typeface="+mn-ea"/>
              <a:cs typeface="JBold" pitchFamily="18" charset="-127"/>
            </a:endParaRPr>
          </a:p>
        </xdr:txBody>
      </xdr:sp>
      <xdr:sp macro="" textlink="">
        <xdr:nvSpPr>
          <xdr:cNvPr id="44" name="직사각형 8">
            <a:extLst>
              <a:ext uri="{FF2B5EF4-FFF2-40B4-BE49-F238E27FC236}">
                <a16:creationId xmlns:a16="http://schemas.microsoft.com/office/drawing/2014/main" xmlns="" id="{00000000-0008-0000-0000-00003E000000}"/>
              </a:ext>
            </a:extLst>
          </xdr:cNvPr>
          <xdr:cNvSpPr/>
        </xdr:nvSpPr>
        <xdr:spPr>
          <a:xfrm>
            <a:off x="12877800" y="2438400"/>
            <a:ext cx="476249" cy="30861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12700">
            <a:solidFill>
              <a:schemeClr val="accent1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ko-KR" altLang="en-US" sz="900" b="1">
                <a:solidFill>
                  <a:schemeClr val="tx1"/>
                </a:solidFill>
                <a:latin typeface="+mn-ea"/>
                <a:ea typeface="+mn-ea"/>
                <a:cs typeface="JBold" pitchFamily="18" charset="-127"/>
              </a:rPr>
              <a:t>매</a:t>
            </a:r>
            <a:endParaRPr lang="en-US" altLang="ko-KR" sz="900" b="1">
              <a:solidFill>
                <a:schemeClr val="tx1"/>
              </a:solidFill>
              <a:latin typeface="+mn-ea"/>
              <a:ea typeface="+mn-ea"/>
              <a:cs typeface="JBold" pitchFamily="18" charset="-127"/>
            </a:endParaRPr>
          </a:p>
          <a:p>
            <a:pPr algn="ctr"/>
            <a:r>
              <a:rPr lang="ko-KR" altLang="en-US" sz="900" b="1">
                <a:solidFill>
                  <a:schemeClr val="tx1"/>
                </a:solidFill>
                <a:latin typeface="+mn-ea"/>
                <a:ea typeface="+mn-ea"/>
                <a:cs typeface="JBold" pitchFamily="18" charset="-127"/>
              </a:rPr>
              <a:t>출</a:t>
            </a:r>
            <a:endParaRPr lang="en-US" altLang="ko-KR" sz="900" b="1">
              <a:solidFill>
                <a:schemeClr val="tx1"/>
              </a:solidFill>
              <a:latin typeface="+mn-ea"/>
              <a:ea typeface="+mn-ea"/>
              <a:cs typeface="JBold" pitchFamily="18" charset="-127"/>
            </a:endParaRPr>
          </a:p>
          <a:p>
            <a:pPr algn="ctr"/>
            <a:r>
              <a:rPr lang="ko-KR" altLang="en-US" sz="900" b="1">
                <a:solidFill>
                  <a:schemeClr val="tx1"/>
                </a:solidFill>
                <a:latin typeface="+mn-ea"/>
                <a:ea typeface="+mn-ea"/>
                <a:cs typeface="JBold" pitchFamily="18" charset="-127"/>
              </a:rPr>
              <a:t>액</a:t>
            </a:r>
          </a:p>
        </xdr:txBody>
      </xdr:sp>
      <xdr:sp macro="" textlink="">
        <xdr:nvSpPr>
          <xdr:cNvPr id="45" name="직사각형 44">
            <a:extLst>
              <a:ext uri="{FF2B5EF4-FFF2-40B4-BE49-F238E27FC236}">
                <a16:creationId xmlns:a16="http://schemas.microsoft.com/office/drawing/2014/main" xmlns="" id="{00000000-0008-0000-0000-00003D000000}"/>
              </a:ext>
            </a:extLst>
          </xdr:cNvPr>
          <xdr:cNvSpPr/>
        </xdr:nvSpPr>
        <xdr:spPr>
          <a:xfrm>
            <a:off x="13411200" y="2438399"/>
            <a:ext cx="542925" cy="1409701"/>
          </a:xfrm>
          <a:prstGeom prst="rect">
            <a:avLst/>
          </a:prstGeom>
          <a:solidFill>
            <a:schemeClr val="bg1"/>
          </a:solidFill>
          <a:ln w="12700">
            <a:solidFill>
              <a:schemeClr val="accent1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ko-KR" altLang="en-US" sz="900" b="1">
                <a:solidFill>
                  <a:schemeClr val="tx1"/>
                </a:solidFill>
                <a:latin typeface="+mn-ea"/>
                <a:ea typeface="+mn-ea"/>
                <a:cs typeface="JBold" pitchFamily="18" charset="-127"/>
              </a:rPr>
              <a:t>본</a:t>
            </a:r>
            <a:endParaRPr lang="en-US" altLang="ko-KR" sz="900" b="1">
              <a:solidFill>
                <a:schemeClr val="tx1"/>
              </a:solidFill>
              <a:latin typeface="+mn-ea"/>
              <a:ea typeface="+mn-ea"/>
              <a:cs typeface="JBold" pitchFamily="18" charset="-127"/>
            </a:endParaRPr>
          </a:p>
          <a:p>
            <a:pPr algn="ctr"/>
            <a:r>
              <a:rPr lang="ko-KR" altLang="en-US" sz="900" b="1">
                <a:solidFill>
                  <a:schemeClr val="tx1"/>
                </a:solidFill>
                <a:latin typeface="+mn-ea"/>
                <a:ea typeface="+mn-ea"/>
                <a:cs typeface="JBold" pitchFamily="18" charset="-127"/>
              </a:rPr>
              <a:t>사</a:t>
            </a:r>
            <a:endParaRPr lang="en-US" altLang="ko-KR" sz="900" b="1">
              <a:solidFill>
                <a:schemeClr val="tx1"/>
              </a:solidFill>
              <a:latin typeface="+mn-ea"/>
              <a:ea typeface="+mn-ea"/>
              <a:cs typeface="JBold" pitchFamily="18" charset="-127"/>
            </a:endParaRPr>
          </a:p>
          <a:p>
            <a:pPr algn="ctr"/>
            <a:r>
              <a:rPr lang="ko-KR" altLang="en-US" sz="900" b="1">
                <a:solidFill>
                  <a:schemeClr val="tx1"/>
                </a:solidFill>
                <a:latin typeface="+mn-ea"/>
                <a:ea typeface="+mn-ea"/>
                <a:cs typeface="JBold" pitchFamily="18" charset="-127"/>
              </a:rPr>
              <a:t>영</a:t>
            </a:r>
            <a:endParaRPr lang="en-US" altLang="ko-KR" sz="900" b="1">
              <a:solidFill>
                <a:schemeClr val="tx1"/>
              </a:solidFill>
              <a:latin typeface="+mn-ea"/>
              <a:ea typeface="+mn-ea"/>
              <a:cs typeface="JBold" pitchFamily="18" charset="-127"/>
            </a:endParaRPr>
          </a:p>
          <a:p>
            <a:pPr algn="ctr"/>
            <a:r>
              <a:rPr lang="ko-KR" altLang="en-US" sz="900" b="1">
                <a:solidFill>
                  <a:schemeClr val="tx1"/>
                </a:solidFill>
                <a:latin typeface="+mn-ea"/>
                <a:ea typeface="+mn-ea"/>
                <a:cs typeface="JBold" pitchFamily="18" charset="-127"/>
              </a:rPr>
              <a:t>업</a:t>
            </a:r>
            <a:endParaRPr lang="en-US" altLang="ko-KR" sz="900" b="1">
              <a:solidFill>
                <a:schemeClr val="tx1"/>
              </a:solidFill>
              <a:latin typeface="+mn-ea"/>
              <a:ea typeface="+mn-ea"/>
              <a:cs typeface="JBold" pitchFamily="18" charset="-127"/>
            </a:endParaRPr>
          </a:p>
          <a:p>
            <a:pPr algn="ctr"/>
            <a:r>
              <a:rPr lang="ko-KR" altLang="en-US" sz="900" b="1">
                <a:solidFill>
                  <a:schemeClr val="tx1"/>
                </a:solidFill>
                <a:latin typeface="+mn-ea"/>
                <a:ea typeface="+mn-ea"/>
                <a:cs typeface="JBold" pitchFamily="18" charset="-127"/>
              </a:rPr>
              <a:t>팀</a:t>
            </a:r>
          </a:p>
        </xdr:txBody>
      </xdr:sp>
      <xdr:sp macro="" textlink="">
        <xdr:nvSpPr>
          <xdr:cNvPr id="46" name="직사각형 45">
            <a:extLst>
              <a:ext uri="{FF2B5EF4-FFF2-40B4-BE49-F238E27FC236}">
                <a16:creationId xmlns:a16="http://schemas.microsoft.com/office/drawing/2014/main" xmlns="" id="{00000000-0008-0000-0000-00003D000000}"/>
              </a:ext>
            </a:extLst>
          </xdr:cNvPr>
          <xdr:cNvSpPr/>
        </xdr:nvSpPr>
        <xdr:spPr>
          <a:xfrm>
            <a:off x="13411200" y="3876675"/>
            <a:ext cx="542925" cy="523876"/>
          </a:xfrm>
          <a:prstGeom prst="rect">
            <a:avLst/>
          </a:prstGeom>
          <a:solidFill>
            <a:schemeClr val="bg1"/>
          </a:solidFill>
          <a:ln w="12700">
            <a:solidFill>
              <a:schemeClr val="accent1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en-US" altLang="ko-KR" sz="900" b="1">
                <a:solidFill>
                  <a:schemeClr val="tx1"/>
                </a:solidFill>
                <a:latin typeface="+mn-ea"/>
                <a:ea typeface="+mn-ea"/>
                <a:cs typeface="JBold" pitchFamily="18" charset="-127"/>
              </a:rPr>
              <a:t>V</a:t>
            </a:r>
            <a:r>
              <a:rPr lang="ko-KR" altLang="en-US" sz="900" b="1">
                <a:solidFill>
                  <a:schemeClr val="tx1"/>
                </a:solidFill>
                <a:latin typeface="+mn-ea"/>
                <a:ea typeface="+mn-ea"/>
                <a:cs typeface="JBold" pitchFamily="18" charset="-127"/>
              </a:rPr>
              <a:t>지사</a:t>
            </a:r>
          </a:p>
        </xdr:txBody>
      </xdr:sp>
      <xdr:sp macro="" textlink="">
        <xdr:nvSpPr>
          <xdr:cNvPr id="47" name="직사각형 46">
            <a:extLst>
              <a:ext uri="{FF2B5EF4-FFF2-40B4-BE49-F238E27FC236}">
                <a16:creationId xmlns:a16="http://schemas.microsoft.com/office/drawing/2014/main" xmlns="" id="{00000000-0008-0000-0000-00003D000000}"/>
              </a:ext>
            </a:extLst>
          </xdr:cNvPr>
          <xdr:cNvSpPr/>
        </xdr:nvSpPr>
        <xdr:spPr>
          <a:xfrm>
            <a:off x="13411200" y="4438650"/>
            <a:ext cx="542925" cy="523876"/>
          </a:xfrm>
          <a:prstGeom prst="rect">
            <a:avLst/>
          </a:prstGeom>
          <a:solidFill>
            <a:schemeClr val="bg1"/>
          </a:solidFill>
          <a:ln w="12700">
            <a:solidFill>
              <a:schemeClr val="accent1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en-US" altLang="ko-KR" sz="900" b="1">
                <a:solidFill>
                  <a:schemeClr val="tx1"/>
                </a:solidFill>
                <a:latin typeface="+mn-ea"/>
                <a:ea typeface="+mn-ea"/>
                <a:cs typeface="JBold" pitchFamily="18" charset="-127"/>
              </a:rPr>
              <a:t>I</a:t>
            </a:r>
            <a:r>
              <a:rPr lang="ko-KR" altLang="en-US" sz="900" b="1">
                <a:solidFill>
                  <a:schemeClr val="tx1"/>
                </a:solidFill>
                <a:latin typeface="+mn-ea"/>
                <a:ea typeface="+mn-ea"/>
                <a:cs typeface="JBold" pitchFamily="18" charset="-127"/>
              </a:rPr>
              <a:t>지사</a:t>
            </a:r>
          </a:p>
        </xdr:txBody>
      </xdr:sp>
      <xdr:sp macro="" textlink="">
        <xdr:nvSpPr>
          <xdr:cNvPr id="48" name="직사각형 47">
            <a:extLst>
              <a:ext uri="{FF2B5EF4-FFF2-40B4-BE49-F238E27FC236}">
                <a16:creationId xmlns:a16="http://schemas.microsoft.com/office/drawing/2014/main" xmlns="" id="{00000000-0008-0000-0000-00003D000000}"/>
              </a:ext>
            </a:extLst>
          </xdr:cNvPr>
          <xdr:cNvSpPr/>
        </xdr:nvSpPr>
        <xdr:spPr>
          <a:xfrm>
            <a:off x="13411200" y="5000625"/>
            <a:ext cx="542925" cy="523876"/>
          </a:xfrm>
          <a:prstGeom prst="rect">
            <a:avLst/>
          </a:prstGeom>
          <a:solidFill>
            <a:schemeClr val="bg1"/>
          </a:solidFill>
          <a:ln w="12700">
            <a:solidFill>
              <a:schemeClr val="accent1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en-US" altLang="ko-KR" sz="900" b="1">
                <a:solidFill>
                  <a:schemeClr val="tx1"/>
                </a:solidFill>
                <a:latin typeface="+mn-ea"/>
                <a:ea typeface="+mn-ea"/>
                <a:cs typeface="JBold" pitchFamily="18" charset="-127"/>
              </a:rPr>
              <a:t>N</a:t>
            </a:r>
            <a:r>
              <a:rPr lang="ko-KR" altLang="en-US" sz="900" b="1">
                <a:solidFill>
                  <a:schemeClr val="tx1"/>
                </a:solidFill>
                <a:latin typeface="+mn-ea"/>
                <a:ea typeface="+mn-ea"/>
                <a:cs typeface="JBold" pitchFamily="18" charset="-127"/>
              </a:rPr>
              <a:t>지사</a:t>
            </a:r>
          </a:p>
        </xdr:txBody>
      </xdr:sp>
      <xdr:sp macro="" textlink="">
        <xdr:nvSpPr>
          <xdr:cNvPr id="49" name="직사각형 8">
            <a:extLst>
              <a:ext uri="{FF2B5EF4-FFF2-40B4-BE49-F238E27FC236}">
                <a16:creationId xmlns:a16="http://schemas.microsoft.com/office/drawing/2014/main" xmlns="" id="{00000000-0008-0000-0000-00003E000000}"/>
              </a:ext>
            </a:extLst>
          </xdr:cNvPr>
          <xdr:cNvSpPr/>
        </xdr:nvSpPr>
        <xdr:spPr>
          <a:xfrm>
            <a:off x="12334875" y="2438400"/>
            <a:ext cx="476249" cy="30861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12700">
            <a:solidFill>
              <a:schemeClr val="accent1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ko-KR" altLang="en-US" sz="900" b="1">
                <a:solidFill>
                  <a:schemeClr val="tx1"/>
                </a:solidFill>
                <a:latin typeface="+mn-ea"/>
                <a:ea typeface="+mn-ea"/>
                <a:cs typeface="JBold" pitchFamily="18" charset="-127"/>
              </a:rPr>
              <a:t>매</a:t>
            </a:r>
            <a:endParaRPr lang="en-US" altLang="ko-KR" sz="900" b="1">
              <a:solidFill>
                <a:schemeClr val="tx1"/>
              </a:solidFill>
              <a:latin typeface="+mn-ea"/>
              <a:ea typeface="+mn-ea"/>
              <a:cs typeface="JBold" pitchFamily="18" charset="-127"/>
            </a:endParaRPr>
          </a:p>
          <a:p>
            <a:pPr algn="ctr"/>
            <a:r>
              <a:rPr lang="ko-KR" altLang="en-US" sz="900" b="1">
                <a:solidFill>
                  <a:schemeClr val="tx1"/>
                </a:solidFill>
                <a:latin typeface="+mn-ea"/>
                <a:ea typeface="+mn-ea"/>
                <a:cs typeface="JBold" pitchFamily="18" charset="-127"/>
              </a:rPr>
              <a:t>출</a:t>
            </a:r>
            <a:endParaRPr lang="en-US" altLang="ko-KR" sz="900" b="1">
              <a:solidFill>
                <a:schemeClr val="tx1"/>
              </a:solidFill>
              <a:latin typeface="+mn-ea"/>
              <a:ea typeface="+mn-ea"/>
              <a:cs typeface="JBold" pitchFamily="18" charset="-127"/>
            </a:endParaRPr>
          </a:p>
          <a:p>
            <a:pPr algn="ctr"/>
            <a:r>
              <a:rPr lang="ko-KR" altLang="en-US" sz="900" b="1">
                <a:solidFill>
                  <a:schemeClr val="tx1"/>
                </a:solidFill>
                <a:latin typeface="+mn-ea"/>
                <a:ea typeface="+mn-ea"/>
                <a:cs typeface="JBold" pitchFamily="18" charset="-127"/>
              </a:rPr>
              <a:t>원</a:t>
            </a:r>
            <a:endParaRPr lang="en-US" altLang="ko-KR" sz="900" b="1">
              <a:solidFill>
                <a:schemeClr val="tx1"/>
              </a:solidFill>
              <a:latin typeface="+mn-ea"/>
              <a:ea typeface="+mn-ea"/>
              <a:cs typeface="JBold" pitchFamily="18" charset="-127"/>
            </a:endParaRPr>
          </a:p>
          <a:p>
            <a:pPr algn="ctr"/>
            <a:r>
              <a:rPr lang="ko-KR" altLang="en-US" sz="900" b="1">
                <a:solidFill>
                  <a:schemeClr val="tx1"/>
                </a:solidFill>
                <a:latin typeface="+mn-ea"/>
                <a:ea typeface="+mn-ea"/>
                <a:cs typeface="JBold" pitchFamily="18" charset="-127"/>
              </a:rPr>
              <a:t>가</a:t>
            </a:r>
          </a:p>
        </xdr:txBody>
      </xdr:sp>
      <xdr:sp macro="" textlink="">
        <xdr:nvSpPr>
          <xdr:cNvPr id="51" name="직사각형 50">
            <a:extLst>
              <a:ext uri="{FF2B5EF4-FFF2-40B4-BE49-F238E27FC236}">
                <a16:creationId xmlns:a16="http://schemas.microsoft.com/office/drawing/2014/main" xmlns="" id="{00000000-0008-0000-0000-00003D000000}"/>
              </a:ext>
            </a:extLst>
          </xdr:cNvPr>
          <xdr:cNvSpPr/>
        </xdr:nvSpPr>
        <xdr:spPr>
          <a:xfrm>
            <a:off x="11715750" y="2438399"/>
            <a:ext cx="542925" cy="1409701"/>
          </a:xfrm>
          <a:prstGeom prst="rect">
            <a:avLst/>
          </a:prstGeom>
          <a:solidFill>
            <a:schemeClr val="bg1"/>
          </a:solidFill>
          <a:ln w="12700">
            <a:solidFill>
              <a:schemeClr val="accent1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ko-KR" altLang="en-US" sz="900" b="1">
                <a:solidFill>
                  <a:schemeClr val="tx1"/>
                </a:solidFill>
                <a:latin typeface="+mn-ea"/>
                <a:ea typeface="+mn-ea"/>
                <a:cs typeface="JBold" pitchFamily="18" charset="-127"/>
              </a:rPr>
              <a:t>팀</a:t>
            </a:r>
            <a:endParaRPr lang="en-US" altLang="ko-KR" sz="900" b="1">
              <a:solidFill>
                <a:schemeClr val="tx1"/>
              </a:solidFill>
              <a:latin typeface="+mn-ea"/>
              <a:ea typeface="+mn-ea"/>
              <a:cs typeface="JBold" pitchFamily="18" charset="-127"/>
            </a:endParaRPr>
          </a:p>
          <a:p>
            <a:pPr algn="ctr"/>
            <a:endParaRPr lang="en-US" altLang="ko-KR" sz="900" b="1">
              <a:solidFill>
                <a:schemeClr val="tx1"/>
              </a:solidFill>
              <a:latin typeface="+mn-ea"/>
              <a:ea typeface="+mn-ea"/>
              <a:cs typeface="JBold" pitchFamily="18" charset="-127"/>
            </a:endParaRPr>
          </a:p>
          <a:p>
            <a:pPr algn="ctr"/>
            <a:r>
              <a:rPr lang="ko-KR" altLang="en-US" sz="900" b="1">
                <a:solidFill>
                  <a:schemeClr val="tx1"/>
                </a:solidFill>
                <a:latin typeface="+mn-ea"/>
                <a:ea typeface="+mn-ea"/>
                <a:cs typeface="JBold" pitchFamily="18" charset="-127"/>
              </a:rPr>
              <a:t>직</a:t>
            </a:r>
            <a:endParaRPr lang="en-US" altLang="ko-KR" sz="900" b="1">
              <a:solidFill>
                <a:schemeClr val="tx1"/>
              </a:solidFill>
              <a:latin typeface="+mn-ea"/>
              <a:ea typeface="+mn-ea"/>
              <a:cs typeface="JBold" pitchFamily="18" charset="-127"/>
            </a:endParaRPr>
          </a:p>
          <a:p>
            <a:pPr algn="ctr"/>
            <a:r>
              <a:rPr lang="ko-KR" altLang="en-US" sz="900" b="1">
                <a:solidFill>
                  <a:schemeClr val="tx1"/>
                </a:solidFill>
                <a:latin typeface="+mn-ea"/>
                <a:ea typeface="+mn-ea"/>
                <a:cs typeface="JBold" pitchFamily="18" charset="-127"/>
              </a:rPr>
              <a:t>접</a:t>
            </a:r>
            <a:endParaRPr lang="en-US" altLang="ko-KR" sz="900" b="1">
              <a:solidFill>
                <a:schemeClr val="tx1"/>
              </a:solidFill>
              <a:latin typeface="+mn-ea"/>
              <a:ea typeface="+mn-ea"/>
              <a:cs typeface="JBold" pitchFamily="18" charset="-127"/>
            </a:endParaRPr>
          </a:p>
          <a:p>
            <a:pPr algn="ctr"/>
            <a:r>
              <a:rPr lang="ko-KR" altLang="en-US" sz="900" b="1">
                <a:solidFill>
                  <a:schemeClr val="tx1"/>
                </a:solidFill>
                <a:latin typeface="+mn-ea"/>
                <a:ea typeface="+mn-ea"/>
                <a:cs typeface="JBold" pitchFamily="18" charset="-127"/>
              </a:rPr>
              <a:t>비</a:t>
            </a:r>
          </a:p>
        </xdr:txBody>
      </xdr:sp>
      <xdr:sp macro="" textlink="">
        <xdr:nvSpPr>
          <xdr:cNvPr id="53" name="직사각형 52">
            <a:extLst>
              <a:ext uri="{FF2B5EF4-FFF2-40B4-BE49-F238E27FC236}">
                <a16:creationId xmlns:a16="http://schemas.microsoft.com/office/drawing/2014/main" xmlns="" id="{00000000-0008-0000-0000-00003D000000}"/>
              </a:ext>
            </a:extLst>
          </xdr:cNvPr>
          <xdr:cNvSpPr/>
        </xdr:nvSpPr>
        <xdr:spPr>
          <a:xfrm>
            <a:off x="11115675" y="2438399"/>
            <a:ext cx="542925" cy="1409701"/>
          </a:xfrm>
          <a:prstGeom prst="rect">
            <a:avLst/>
          </a:prstGeom>
          <a:solidFill>
            <a:schemeClr val="bg1"/>
          </a:solidFill>
          <a:ln w="12700">
            <a:solidFill>
              <a:schemeClr val="accent1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ko-KR" altLang="en-US" sz="900" b="1">
                <a:solidFill>
                  <a:schemeClr val="tx1"/>
                </a:solidFill>
                <a:latin typeface="+mn-ea"/>
                <a:ea typeface="+mn-ea"/>
                <a:cs typeface="JBold" pitchFamily="18" charset="-127"/>
              </a:rPr>
              <a:t>본</a:t>
            </a:r>
            <a:endParaRPr lang="en-US" altLang="ko-KR" sz="900" b="1">
              <a:solidFill>
                <a:schemeClr val="tx1"/>
              </a:solidFill>
              <a:latin typeface="+mn-ea"/>
              <a:ea typeface="+mn-ea"/>
              <a:cs typeface="JBold" pitchFamily="18" charset="-127"/>
            </a:endParaRPr>
          </a:p>
          <a:p>
            <a:pPr algn="ctr"/>
            <a:r>
              <a:rPr lang="ko-KR" altLang="en-US" sz="900" b="1">
                <a:solidFill>
                  <a:schemeClr val="tx1"/>
                </a:solidFill>
                <a:latin typeface="+mn-ea"/>
                <a:ea typeface="+mn-ea"/>
                <a:cs typeface="JBold" pitchFamily="18" charset="-127"/>
              </a:rPr>
              <a:t>사</a:t>
            </a:r>
            <a:endParaRPr lang="en-US" altLang="ko-KR" sz="900" b="1">
              <a:solidFill>
                <a:schemeClr val="tx1"/>
              </a:solidFill>
              <a:latin typeface="+mn-ea"/>
              <a:ea typeface="+mn-ea"/>
              <a:cs typeface="JBold" pitchFamily="18" charset="-127"/>
            </a:endParaRPr>
          </a:p>
          <a:p>
            <a:pPr algn="ctr"/>
            <a:r>
              <a:rPr lang="ko-KR" altLang="en-US" sz="900" b="1">
                <a:solidFill>
                  <a:schemeClr val="tx1"/>
                </a:solidFill>
                <a:latin typeface="+mn-ea"/>
                <a:ea typeface="+mn-ea"/>
                <a:cs typeface="JBold" pitchFamily="18" charset="-127"/>
              </a:rPr>
              <a:t>지</a:t>
            </a:r>
            <a:endParaRPr lang="en-US" altLang="ko-KR" sz="900" b="1">
              <a:solidFill>
                <a:schemeClr val="tx1"/>
              </a:solidFill>
              <a:latin typeface="+mn-ea"/>
              <a:ea typeface="+mn-ea"/>
              <a:cs typeface="JBold" pitchFamily="18" charset="-127"/>
            </a:endParaRPr>
          </a:p>
          <a:p>
            <a:pPr algn="ctr"/>
            <a:r>
              <a:rPr lang="ko-KR" altLang="en-US" sz="900" b="1">
                <a:solidFill>
                  <a:schemeClr val="tx1"/>
                </a:solidFill>
                <a:latin typeface="+mn-ea"/>
                <a:ea typeface="+mn-ea"/>
                <a:cs typeface="JBold" pitchFamily="18" charset="-127"/>
              </a:rPr>
              <a:t>원</a:t>
            </a:r>
          </a:p>
        </xdr:txBody>
      </xdr:sp>
      <xdr:sp macro="" textlink="">
        <xdr:nvSpPr>
          <xdr:cNvPr id="54" name="직사각형 53">
            <a:extLst>
              <a:ext uri="{FF2B5EF4-FFF2-40B4-BE49-F238E27FC236}">
                <a16:creationId xmlns:a16="http://schemas.microsoft.com/office/drawing/2014/main" xmlns="" id="{00000000-0008-0000-0000-00003D000000}"/>
              </a:ext>
            </a:extLst>
          </xdr:cNvPr>
          <xdr:cNvSpPr/>
        </xdr:nvSpPr>
        <xdr:spPr>
          <a:xfrm>
            <a:off x="10515600" y="2438399"/>
            <a:ext cx="542925" cy="3086101"/>
          </a:xfrm>
          <a:prstGeom prst="rect">
            <a:avLst/>
          </a:prstGeom>
          <a:solidFill>
            <a:schemeClr val="bg1"/>
          </a:solidFill>
          <a:ln w="12700">
            <a:solidFill>
              <a:schemeClr val="accent1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ko-KR" altLang="en-US" sz="900" b="1">
                <a:solidFill>
                  <a:schemeClr val="tx1"/>
                </a:solidFill>
                <a:latin typeface="+mn-ea"/>
                <a:ea typeface="+mn-ea"/>
                <a:cs typeface="JBold" pitchFamily="18" charset="-127"/>
              </a:rPr>
              <a:t>본</a:t>
            </a:r>
            <a:endParaRPr lang="en-US" altLang="ko-KR" sz="900" b="1">
              <a:solidFill>
                <a:schemeClr val="tx1"/>
              </a:solidFill>
              <a:latin typeface="+mn-ea"/>
              <a:ea typeface="+mn-ea"/>
              <a:cs typeface="JBold" pitchFamily="18" charset="-127"/>
            </a:endParaRPr>
          </a:p>
          <a:p>
            <a:pPr algn="ctr"/>
            <a:r>
              <a:rPr lang="ko-KR" altLang="en-US" sz="900" b="1">
                <a:solidFill>
                  <a:schemeClr val="tx1"/>
                </a:solidFill>
                <a:latin typeface="+mn-ea"/>
                <a:ea typeface="+mn-ea"/>
                <a:cs typeface="JBold" pitchFamily="18" charset="-127"/>
              </a:rPr>
              <a:t>사</a:t>
            </a:r>
            <a:endParaRPr lang="en-US" altLang="ko-KR" sz="900" b="1">
              <a:solidFill>
                <a:schemeClr val="tx1"/>
              </a:solidFill>
              <a:latin typeface="+mn-ea"/>
              <a:ea typeface="+mn-ea"/>
              <a:cs typeface="JBold" pitchFamily="18" charset="-127"/>
            </a:endParaRPr>
          </a:p>
          <a:p>
            <a:pPr algn="ctr"/>
            <a:r>
              <a:rPr lang="ko-KR" altLang="en-US" sz="900" b="1">
                <a:solidFill>
                  <a:schemeClr val="tx1"/>
                </a:solidFill>
                <a:latin typeface="+mn-ea"/>
                <a:ea typeface="+mn-ea"/>
                <a:cs typeface="JBold" pitchFamily="18" charset="-127"/>
              </a:rPr>
              <a:t>공</a:t>
            </a:r>
            <a:endParaRPr lang="en-US" altLang="ko-KR" sz="900" b="1">
              <a:solidFill>
                <a:schemeClr val="tx1"/>
              </a:solidFill>
              <a:latin typeface="+mn-ea"/>
              <a:ea typeface="+mn-ea"/>
              <a:cs typeface="JBold" pitchFamily="18" charset="-127"/>
            </a:endParaRPr>
          </a:p>
          <a:p>
            <a:pPr algn="ctr"/>
            <a:r>
              <a:rPr lang="ko-KR" altLang="en-US" sz="900" b="1">
                <a:solidFill>
                  <a:schemeClr val="tx1"/>
                </a:solidFill>
                <a:latin typeface="+mn-ea"/>
                <a:ea typeface="+mn-ea"/>
                <a:cs typeface="JBold" pitchFamily="18" charset="-127"/>
              </a:rPr>
              <a:t>통</a:t>
            </a:r>
          </a:p>
        </xdr:txBody>
      </xdr:sp>
      <xdr:sp macro="" textlink="">
        <xdr:nvSpPr>
          <xdr:cNvPr id="55" name="직사각형 8">
            <a:extLst>
              <a:ext uri="{FF2B5EF4-FFF2-40B4-BE49-F238E27FC236}">
                <a16:creationId xmlns:a16="http://schemas.microsoft.com/office/drawing/2014/main" xmlns="" id="{00000000-0008-0000-0000-00003F000000}"/>
              </a:ext>
            </a:extLst>
          </xdr:cNvPr>
          <xdr:cNvSpPr/>
        </xdr:nvSpPr>
        <xdr:spPr>
          <a:xfrm>
            <a:off x="11115675" y="3886200"/>
            <a:ext cx="1152525" cy="1638300"/>
          </a:xfrm>
          <a:prstGeom prst="rect">
            <a:avLst/>
          </a:prstGeom>
          <a:solidFill>
            <a:schemeClr val="accent6">
              <a:lumMod val="40000"/>
              <a:lumOff val="60000"/>
            </a:schemeClr>
          </a:solidFill>
          <a:ln w="12700">
            <a:solidFill>
              <a:schemeClr val="bg1">
                <a:lumMod val="50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ko-KR" altLang="en-US" sz="1000" b="1">
                <a:solidFill>
                  <a:schemeClr val="tx1"/>
                </a:solidFill>
                <a:latin typeface="돋움" pitchFamily="50" charset="-127"/>
                <a:ea typeface="돋움" pitchFamily="50" charset="-127"/>
                <a:cs typeface="JBold" pitchFamily="18" charset="-127"/>
              </a:rPr>
              <a:t>諸지사비용</a:t>
            </a:r>
            <a:endParaRPr lang="en-US" altLang="ko-KR" sz="1000" b="1">
              <a:solidFill>
                <a:schemeClr val="tx1"/>
              </a:solidFill>
              <a:latin typeface="돋움" pitchFamily="50" charset="-127"/>
              <a:ea typeface="돋움" pitchFamily="50" charset="-127"/>
              <a:cs typeface="JBold" pitchFamily="18" charset="-127"/>
            </a:endParaRPr>
          </a:p>
          <a:p>
            <a:pPr algn="ctr"/>
            <a:r>
              <a:rPr lang="ko-KR" altLang="en-US" sz="1000" b="1">
                <a:solidFill>
                  <a:schemeClr val="tx1"/>
                </a:solidFill>
                <a:latin typeface="돋움" pitchFamily="50" charset="-127"/>
                <a:ea typeface="돋움" pitchFamily="50" charset="-127"/>
                <a:cs typeface="JBold" pitchFamily="18" charset="-127"/>
              </a:rPr>
              <a:t>귀속</a:t>
            </a:r>
            <a:r>
              <a:rPr lang="en-US" altLang="ko-KR" sz="1000" b="1">
                <a:solidFill>
                  <a:schemeClr val="tx1"/>
                </a:solidFill>
                <a:latin typeface="돋움" pitchFamily="50" charset="-127"/>
                <a:ea typeface="돋움" pitchFamily="50" charset="-127"/>
                <a:cs typeface="JBold" pitchFamily="18" charset="-127"/>
              </a:rPr>
              <a:t>&amp;</a:t>
            </a:r>
            <a:r>
              <a:rPr lang="ko-KR" altLang="en-US" sz="1000" b="1">
                <a:solidFill>
                  <a:schemeClr val="tx1"/>
                </a:solidFill>
                <a:latin typeface="돋움" pitchFamily="50" charset="-127"/>
                <a:ea typeface="돋움" pitchFamily="50" charset="-127"/>
                <a:cs typeface="JBold" pitchFamily="18" charset="-127"/>
              </a:rPr>
              <a:t>배부</a:t>
            </a:r>
          </a:p>
        </xdr:txBody>
      </xdr:sp>
    </xdr:grpSp>
    <xdr:clientData/>
  </xdr:twoCellAnchor>
  <xdr:twoCellAnchor>
    <xdr:from>
      <xdr:col>7</xdr:col>
      <xdr:colOff>104775</xdr:colOff>
      <xdr:row>18</xdr:row>
      <xdr:rowOff>114301</xdr:rowOff>
    </xdr:from>
    <xdr:to>
      <xdr:col>11</xdr:col>
      <xdr:colOff>104775</xdr:colOff>
      <xdr:row>26</xdr:row>
      <xdr:rowOff>104775</xdr:rowOff>
    </xdr:to>
    <xdr:cxnSp macro="">
      <xdr:nvCxnSpPr>
        <xdr:cNvPr id="58" name="꺾인 연결선 57"/>
        <xdr:cNvCxnSpPr>
          <a:stCxn id="9" idx="3"/>
          <a:endCxn id="55" idx="1"/>
        </xdr:cNvCxnSpPr>
      </xdr:nvCxnSpPr>
      <xdr:spPr>
        <a:xfrm>
          <a:off x="4981575" y="3067051"/>
          <a:ext cx="2438400" cy="1362074"/>
        </a:xfrm>
        <a:prstGeom prst="bentConnector3">
          <a:avLst/>
        </a:prstGeom>
        <a:ln>
          <a:solidFill>
            <a:srgbClr val="0000FF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104775</xdr:colOff>
      <xdr:row>29</xdr:row>
      <xdr:rowOff>104776</xdr:rowOff>
    </xdr:from>
    <xdr:to>
      <xdr:col>12</xdr:col>
      <xdr:colOff>71438</xdr:colOff>
      <xdr:row>31</xdr:row>
      <xdr:rowOff>66675</xdr:rowOff>
    </xdr:to>
    <xdr:cxnSp macro="">
      <xdr:nvCxnSpPr>
        <xdr:cNvPr id="59" name="꺾인 연결선 58"/>
        <xdr:cNvCxnSpPr>
          <a:stCxn id="27" idx="3"/>
          <a:endCxn id="55" idx="2"/>
        </xdr:cNvCxnSpPr>
      </xdr:nvCxnSpPr>
      <xdr:spPr>
        <a:xfrm>
          <a:off x="4981575" y="4943476"/>
          <a:ext cx="3014663" cy="304799"/>
        </a:xfrm>
        <a:prstGeom prst="bentConnector4">
          <a:avLst>
            <a:gd name="adj1" fmla="val 40442"/>
            <a:gd name="adj2" fmla="val 175000"/>
          </a:avLst>
        </a:prstGeom>
        <a:ln>
          <a:solidFill>
            <a:srgbClr val="0000FF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104775</xdr:colOff>
      <xdr:row>31</xdr:row>
      <xdr:rowOff>66675</xdr:rowOff>
    </xdr:from>
    <xdr:to>
      <xdr:col>12</xdr:col>
      <xdr:colOff>71438</xdr:colOff>
      <xdr:row>38</xdr:row>
      <xdr:rowOff>28576</xdr:rowOff>
    </xdr:to>
    <xdr:cxnSp macro="">
      <xdr:nvCxnSpPr>
        <xdr:cNvPr id="62" name="꺾인 연결선 61"/>
        <xdr:cNvCxnSpPr>
          <a:stCxn id="34" idx="3"/>
          <a:endCxn id="55" idx="2"/>
        </xdr:cNvCxnSpPr>
      </xdr:nvCxnSpPr>
      <xdr:spPr>
        <a:xfrm flipV="1">
          <a:off x="4981575" y="5248275"/>
          <a:ext cx="3014663" cy="1162051"/>
        </a:xfrm>
        <a:prstGeom prst="bentConnector2">
          <a:avLst/>
        </a:prstGeom>
        <a:ln>
          <a:solidFill>
            <a:srgbClr val="0000FF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447675</xdr:colOff>
      <xdr:row>38</xdr:row>
      <xdr:rowOff>142875</xdr:rowOff>
    </xdr:from>
    <xdr:to>
      <xdr:col>14</xdr:col>
      <xdr:colOff>304801</xdr:colOff>
      <xdr:row>42</xdr:row>
      <xdr:rowOff>142875</xdr:rowOff>
    </xdr:to>
    <xdr:sp macro="" textlink="">
      <xdr:nvSpPr>
        <xdr:cNvPr id="65" name="TextBox 64"/>
        <xdr:cNvSpPr txBox="1"/>
      </xdr:nvSpPr>
      <xdr:spPr>
        <a:xfrm>
          <a:off x="5934075" y="6677025"/>
          <a:ext cx="2905126" cy="6858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/>
        <a:lstStyle/>
        <a:p>
          <a:pPr algn="ctr"/>
          <a:r>
            <a:rPr lang="ko-KR" altLang="en-US" sz="1100" b="1">
              <a:solidFill>
                <a:srgbClr val="0000FF"/>
              </a:solidFill>
            </a:rPr>
            <a:t>해외영업지사</a:t>
          </a:r>
          <a:r>
            <a:rPr lang="ko-KR" altLang="en-US" sz="1100" b="1" baseline="0">
              <a:solidFill>
                <a:srgbClr val="0000FF"/>
              </a:solidFill>
            </a:rPr>
            <a:t> 예산부서별 비용집행내역</a:t>
          </a:r>
          <a:endParaRPr lang="en-US" altLang="ko-KR" sz="1100" b="1" baseline="0">
            <a:solidFill>
              <a:srgbClr val="0000FF"/>
            </a:solidFill>
          </a:endParaRPr>
        </a:p>
        <a:p>
          <a:pPr algn="ctr"/>
          <a:r>
            <a:rPr lang="ko-KR" altLang="en-US" sz="1100" b="1" baseline="0">
              <a:solidFill>
                <a:srgbClr val="0000FF"/>
              </a:solidFill>
            </a:rPr>
            <a:t>본사 집계 및 배부</a:t>
          </a:r>
          <a:endParaRPr lang="ko-KR" altLang="en-US" sz="1100" b="1">
            <a:solidFill>
              <a:srgbClr val="0000FF"/>
            </a:solidFill>
          </a:endParaRPr>
        </a:p>
      </xdr:txBody>
    </xdr:sp>
    <xdr:clientData/>
  </xdr:twoCellAnchor>
  <xdr:twoCellAnchor>
    <xdr:from>
      <xdr:col>20</xdr:col>
      <xdr:colOff>447676</xdr:colOff>
      <xdr:row>12</xdr:row>
      <xdr:rowOff>152401</xdr:rowOff>
    </xdr:from>
    <xdr:to>
      <xdr:col>23</xdr:col>
      <xdr:colOff>57150</xdr:colOff>
      <xdr:row>15</xdr:row>
      <xdr:rowOff>38101</xdr:rowOff>
    </xdr:to>
    <xdr:sp macro="" textlink="">
      <xdr:nvSpPr>
        <xdr:cNvPr id="67" name="직사각형 66">
          <a:extLst>
            <a:ext uri="{FF2B5EF4-FFF2-40B4-BE49-F238E27FC236}">
              <a16:creationId xmlns:a16="http://schemas.microsoft.com/office/drawing/2014/main" xmlns="" id="{00000000-0008-0000-0000-00003D000000}"/>
            </a:ext>
          </a:extLst>
        </xdr:cNvPr>
        <xdr:cNvSpPr/>
      </xdr:nvSpPr>
      <xdr:spPr>
        <a:xfrm>
          <a:off x="11201401" y="2771776"/>
          <a:ext cx="1438274" cy="400050"/>
        </a:xfrm>
        <a:prstGeom prst="rect">
          <a:avLst/>
        </a:prstGeom>
        <a:solidFill>
          <a:schemeClr val="bg1"/>
        </a:solidFill>
        <a:ln w="12700">
          <a:solidFill>
            <a:schemeClr val="accent1">
              <a:lumMod val="7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l"/>
          <a:r>
            <a:rPr lang="ko-KR" altLang="en-US" sz="800" b="1">
              <a:solidFill>
                <a:schemeClr val="tx1"/>
              </a:solidFill>
              <a:latin typeface="+mn-ea"/>
              <a:ea typeface="+mn-ea"/>
              <a:cs typeface="JBold" pitchFamily="18" charset="-127"/>
            </a:rPr>
            <a:t>선적현황</a:t>
          </a:r>
        </a:p>
      </xdr:txBody>
    </xdr:sp>
    <xdr:clientData/>
  </xdr:twoCellAnchor>
  <xdr:twoCellAnchor>
    <xdr:from>
      <xdr:col>19</xdr:col>
      <xdr:colOff>581025</xdr:colOff>
      <xdr:row>12</xdr:row>
      <xdr:rowOff>152397</xdr:rowOff>
    </xdr:from>
    <xdr:to>
      <xdr:col>20</xdr:col>
      <xdr:colOff>447674</xdr:colOff>
      <xdr:row>29</xdr:row>
      <xdr:rowOff>28575</xdr:rowOff>
    </xdr:to>
    <xdr:sp macro="" textlink="">
      <xdr:nvSpPr>
        <xdr:cNvPr id="68" name="직사각형 8">
          <a:extLst>
            <a:ext uri="{FF2B5EF4-FFF2-40B4-BE49-F238E27FC236}">
              <a16:creationId xmlns:a16="http://schemas.microsoft.com/office/drawing/2014/main" xmlns="" id="{00000000-0008-0000-0000-00003E000000}"/>
            </a:ext>
          </a:extLst>
        </xdr:cNvPr>
        <xdr:cNvSpPr/>
      </xdr:nvSpPr>
      <xdr:spPr>
        <a:xfrm>
          <a:off x="10725150" y="2771772"/>
          <a:ext cx="476249" cy="2790828"/>
        </a:xfrm>
        <a:prstGeom prst="rect">
          <a:avLst/>
        </a:prstGeom>
        <a:solidFill>
          <a:schemeClr val="tx2">
            <a:lumMod val="20000"/>
            <a:lumOff val="80000"/>
          </a:schemeClr>
        </a:solidFill>
        <a:ln w="12700">
          <a:solidFill>
            <a:schemeClr val="accent1">
              <a:lumMod val="7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ko-KR" altLang="en-US" sz="800" b="1">
              <a:solidFill>
                <a:schemeClr val="tx1"/>
              </a:solidFill>
              <a:latin typeface="+mn-ea"/>
              <a:ea typeface="+mn-ea"/>
              <a:cs typeface="JBold" pitchFamily="18" charset="-127"/>
            </a:rPr>
            <a:t>공장</a:t>
          </a:r>
        </a:p>
      </xdr:txBody>
    </xdr:sp>
    <xdr:clientData/>
  </xdr:twoCellAnchor>
  <xdr:twoCellAnchor>
    <xdr:from>
      <xdr:col>19</xdr:col>
      <xdr:colOff>581025</xdr:colOff>
      <xdr:row>10</xdr:row>
      <xdr:rowOff>76200</xdr:rowOff>
    </xdr:from>
    <xdr:to>
      <xdr:col>23</xdr:col>
      <xdr:colOff>57150</xdr:colOff>
      <xdr:row>12</xdr:row>
      <xdr:rowOff>154650</xdr:rowOff>
    </xdr:to>
    <xdr:sp macro="" textlink="">
      <xdr:nvSpPr>
        <xdr:cNvPr id="69" name="직사각형 8">
          <a:extLst>
            <a:ext uri="{FF2B5EF4-FFF2-40B4-BE49-F238E27FC236}">
              <a16:creationId xmlns:a16="http://schemas.microsoft.com/office/drawing/2014/main" xmlns="" id="{00000000-0008-0000-0000-00003F000000}"/>
            </a:ext>
          </a:extLst>
        </xdr:cNvPr>
        <xdr:cNvSpPr/>
      </xdr:nvSpPr>
      <xdr:spPr>
        <a:xfrm>
          <a:off x="10725150" y="2352675"/>
          <a:ext cx="1914525" cy="421350"/>
        </a:xfrm>
        <a:prstGeom prst="rect">
          <a:avLst/>
        </a:prstGeom>
        <a:solidFill>
          <a:schemeClr val="accent3">
            <a:lumMod val="60000"/>
            <a:lumOff val="40000"/>
          </a:schemeClr>
        </a:solidFill>
        <a:ln w="12700">
          <a:solidFill>
            <a:schemeClr val="bg1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en-US" altLang="ko-KR" sz="1000" b="1">
              <a:solidFill>
                <a:schemeClr val="tx1"/>
              </a:solidFill>
              <a:latin typeface="돋움" pitchFamily="50" charset="-127"/>
              <a:ea typeface="돋움" pitchFamily="50" charset="-127"/>
              <a:cs typeface="JBold" pitchFamily="18" charset="-127"/>
            </a:rPr>
            <a:t>PMS</a:t>
          </a:r>
          <a:endParaRPr lang="ko-KR" altLang="en-US" sz="1000" b="1">
            <a:solidFill>
              <a:schemeClr val="tx1"/>
            </a:solidFill>
            <a:latin typeface="돋움" pitchFamily="50" charset="-127"/>
            <a:ea typeface="돋움" pitchFamily="50" charset="-127"/>
            <a:cs typeface="JBold" pitchFamily="18" charset="-127"/>
          </a:endParaRPr>
        </a:p>
      </xdr:txBody>
    </xdr:sp>
    <xdr:clientData/>
  </xdr:twoCellAnchor>
  <xdr:twoCellAnchor>
    <xdr:from>
      <xdr:col>19</xdr:col>
      <xdr:colOff>28575</xdr:colOff>
      <xdr:row>10</xdr:row>
      <xdr:rowOff>76201</xdr:rowOff>
    </xdr:from>
    <xdr:to>
      <xdr:col>19</xdr:col>
      <xdr:colOff>504824</xdr:colOff>
      <xdr:row>33</xdr:row>
      <xdr:rowOff>142875</xdr:rowOff>
    </xdr:to>
    <xdr:sp macro="" textlink="">
      <xdr:nvSpPr>
        <xdr:cNvPr id="73" name="직사각형 8">
          <a:extLst>
            <a:ext uri="{FF2B5EF4-FFF2-40B4-BE49-F238E27FC236}">
              <a16:creationId xmlns:a16="http://schemas.microsoft.com/office/drawing/2014/main" xmlns="" id="{00000000-0008-0000-0000-00003E000000}"/>
            </a:ext>
          </a:extLst>
        </xdr:cNvPr>
        <xdr:cNvSpPr/>
      </xdr:nvSpPr>
      <xdr:spPr>
        <a:xfrm>
          <a:off x="10172700" y="2352676"/>
          <a:ext cx="476249" cy="4010024"/>
        </a:xfrm>
        <a:prstGeom prst="rect">
          <a:avLst/>
        </a:prstGeom>
        <a:solidFill>
          <a:schemeClr val="tx1"/>
        </a:solidFill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ko-KR" altLang="en-US" sz="900" b="1">
              <a:solidFill>
                <a:schemeClr val="bg1"/>
              </a:solidFill>
              <a:latin typeface="+mn-ea"/>
              <a:ea typeface="+mn-ea"/>
              <a:cs typeface="JBold" pitchFamily="18" charset="-127"/>
            </a:rPr>
            <a:t>해</a:t>
          </a:r>
          <a:endParaRPr lang="en-US" altLang="ko-KR" sz="900" b="1">
            <a:solidFill>
              <a:schemeClr val="bg1"/>
            </a:solidFill>
            <a:latin typeface="+mn-ea"/>
            <a:ea typeface="+mn-ea"/>
            <a:cs typeface="JBold" pitchFamily="18" charset="-127"/>
          </a:endParaRPr>
        </a:p>
        <a:p>
          <a:pPr algn="ctr"/>
          <a:r>
            <a:rPr lang="ko-KR" altLang="en-US" sz="900" b="1">
              <a:solidFill>
                <a:schemeClr val="bg1"/>
              </a:solidFill>
              <a:latin typeface="+mn-ea"/>
              <a:ea typeface="+mn-ea"/>
              <a:cs typeface="JBold" pitchFamily="18" charset="-127"/>
            </a:rPr>
            <a:t>외</a:t>
          </a:r>
          <a:endParaRPr lang="en-US" altLang="ko-KR" sz="900" b="1">
            <a:solidFill>
              <a:schemeClr val="bg1"/>
            </a:solidFill>
            <a:latin typeface="+mn-ea"/>
            <a:ea typeface="+mn-ea"/>
            <a:cs typeface="JBold" pitchFamily="18" charset="-127"/>
          </a:endParaRPr>
        </a:p>
        <a:p>
          <a:pPr algn="ctr"/>
          <a:endParaRPr lang="en-US" altLang="ko-KR" sz="900" b="1">
            <a:solidFill>
              <a:schemeClr val="bg1"/>
            </a:solidFill>
            <a:latin typeface="+mn-ea"/>
            <a:ea typeface="+mn-ea"/>
            <a:cs typeface="JBold" pitchFamily="18" charset="-127"/>
          </a:endParaRPr>
        </a:p>
        <a:p>
          <a:pPr algn="ctr"/>
          <a:r>
            <a:rPr lang="ko-KR" altLang="en-US" sz="900" b="1">
              <a:solidFill>
                <a:schemeClr val="bg1"/>
              </a:solidFill>
              <a:latin typeface="+mn-ea"/>
              <a:ea typeface="+mn-ea"/>
              <a:cs typeface="JBold" pitchFamily="18" charset="-127"/>
            </a:rPr>
            <a:t>생</a:t>
          </a:r>
          <a:endParaRPr lang="en-US" altLang="ko-KR" sz="900" b="1">
            <a:solidFill>
              <a:schemeClr val="bg1"/>
            </a:solidFill>
            <a:latin typeface="+mn-ea"/>
            <a:ea typeface="+mn-ea"/>
            <a:cs typeface="JBold" pitchFamily="18" charset="-127"/>
          </a:endParaRPr>
        </a:p>
        <a:p>
          <a:pPr algn="ctr"/>
          <a:r>
            <a:rPr lang="ko-KR" altLang="en-US" sz="900" b="1">
              <a:solidFill>
                <a:schemeClr val="bg1"/>
              </a:solidFill>
              <a:latin typeface="+mn-ea"/>
              <a:ea typeface="+mn-ea"/>
              <a:cs typeface="JBold" pitchFamily="18" charset="-127"/>
            </a:rPr>
            <a:t>산</a:t>
          </a:r>
          <a:endParaRPr lang="en-US" altLang="ko-KR" sz="900" b="1">
            <a:solidFill>
              <a:schemeClr val="bg1"/>
            </a:solidFill>
            <a:latin typeface="+mn-ea"/>
            <a:ea typeface="+mn-ea"/>
            <a:cs typeface="JBold" pitchFamily="18" charset="-127"/>
          </a:endParaRPr>
        </a:p>
        <a:p>
          <a:pPr algn="ctr"/>
          <a:r>
            <a:rPr lang="ko-KR" altLang="en-US" sz="900" b="1">
              <a:solidFill>
                <a:schemeClr val="bg1"/>
              </a:solidFill>
              <a:latin typeface="+mn-ea"/>
              <a:ea typeface="+mn-ea"/>
              <a:cs typeface="JBold" pitchFamily="18" charset="-127"/>
            </a:rPr>
            <a:t>법</a:t>
          </a:r>
          <a:endParaRPr lang="en-US" altLang="ko-KR" sz="900" b="1">
            <a:solidFill>
              <a:schemeClr val="bg1"/>
            </a:solidFill>
            <a:latin typeface="+mn-ea"/>
            <a:ea typeface="+mn-ea"/>
            <a:cs typeface="JBold" pitchFamily="18" charset="-127"/>
          </a:endParaRPr>
        </a:p>
        <a:p>
          <a:pPr algn="ctr"/>
          <a:r>
            <a:rPr lang="ko-KR" altLang="en-US" sz="900" b="1">
              <a:solidFill>
                <a:schemeClr val="bg1"/>
              </a:solidFill>
              <a:latin typeface="+mn-ea"/>
              <a:ea typeface="+mn-ea"/>
              <a:cs typeface="JBold" pitchFamily="18" charset="-127"/>
            </a:rPr>
            <a:t>인</a:t>
          </a:r>
        </a:p>
      </xdr:txBody>
    </xdr:sp>
    <xdr:clientData/>
  </xdr:twoCellAnchor>
  <xdr:twoCellAnchor>
    <xdr:from>
      <xdr:col>20</xdr:col>
      <xdr:colOff>447676</xdr:colOff>
      <xdr:row>15</xdr:row>
      <xdr:rowOff>38101</xdr:rowOff>
    </xdr:from>
    <xdr:to>
      <xdr:col>23</xdr:col>
      <xdr:colOff>57150</xdr:colOff>
      <xdr:row>17</xdr:row>
      <xdr:rowOff>95251</xdr:rowOff>
    </xdr:to>
    <xdr:sp macro="" textlink="">
      <xdr:nvSpPr>
        <xdr:cNvPr id="74" name="직사각형 73">
          <a:extLst>
            <a:ext uri="{FF2B5EF4-FFF2-40B4-BE49-F238E27FC236}">
              <a16:creationId xmlns:a16="http://schemas.microsoft.com/office/drawing/2014/main" xmlns="" id="{00000000-0008-0000-0000-00003D000000}"/>
            </a:ext>
          </a:extLst>
        </xdr:cNvPr>
        <xdr:cNvSpPr/>
      </xdr:nvSpPr>
      <xdr:spPr>
        <a:xfrm>
          <a:off x="11201401" y="3171826"/>
          <a:ext cx="1438274" cy="400050"/>
        </a:xfrm>
        <a:prstGeom prst="rect">
          <a:avLst/>
        </a:prstGeom>
        <a:solidFill>
          <a:schemeClr val="bg1"/>
        </a:solidFill>
        <a:ln w="12700">
          <a:solidFill>
            <a:schemeClr val="accent1">
              <a:lumMod val="7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l"/>
          <a:r>
            <a:rPr lang="ko-KR" altLang="en-US" sz="800" b="1">
              <a:solidFill>
                <a:schemeClr val="tx1"/>
              </a:solidFill>
              <a:latin typeface="+mn-ea"/>
              <a:ea typeface="+mn-ea"/>
              <a:cs typeface="JBold" pitchFamily="18" charset="-127"/>
            </a:rPr>
            <a:t>생산현황 </a:t>
          </a:r>
          <a:r>
            <a:rPr lang="en-US" altLang="ko-KR" sz="800" b="1">
              <a:solidFill>
                <a:schemeClr val="tx1"/>
              </a:solidFill>
              <a:latin typeface="+mn-ea"/>
              <a:ea typeface="+mn-ea"/>
              <a:cs typeface="JBold" pitchFamily="18" charset="-127"/>
            </a:rPr>
            <a:t>(</a:t>
          </a:r>
          <a:r>
            <a:rPr lang="ko-KR" altLang="en-US" sz="800" b="1">
              <a:solidFill>
                <a:schemeClr val="tx1"/>
              </a:solidFill>
              <a:latin typeface="+mn-ea"/>
              <a:ea typeface="+mn-ea"/>
              <a:cs typeface="JBold" pitchFamily="18" charset="-127"/>
            </a:rPr>
            <a:t>라인별</a:t>
          </a:r>
          <a:r>
            <a:rPr lang="en-US" altLang="ko-KR" sz="800" b="1">
              <a:solidFill>
                <a:schemeClr val="tx1"/>
              </a:solidFill>
              <a:latin typeface="+mn-ea"/>
              <a:ea typeface="+mn-ea"/>
              <a:cs typeface="JBold" pitchFamily="18" charset="-127"/>
            </a:rPr>
            <a:t>,</a:t>
          </a:r>
          <a:r>
            <a:rPr lang="ko-KR" altLang="en-US" sz="800" b="1">
              <a:solidFill>
                <a:schemeClr val="tx1"/>
              </a:solidFill>
              <a:latin typeface="+mn-ea"/>
              <a:ea typeface="+mn-ea"/>
              <a:cs typeface="JBold" pitchFamily="18" charset="-127"/>
            </a:rPr>
            <a:t>공장별</a:t>
          </a:r>
          <a:r>
            <a:rPr lang="en-US" altLang="ko-KR" sz="800" b="1">
              <a:solidFill>
                <a:schemeClr val="tx1"/>
              </a:solidFill>
              <a:latin typeface="+mn-ea"/>
              <a:ea typeface="+mn-ea"/>
              <a:cs typeface="JBold" pitchFamily="18" charset="-127"/>
            </a:rPr>
            <a:t>)</a:t>
          </a:r>
          <a:endParaRPr lang="ko-KR" altLang="en-US" sz="800" b="1">
            <a:solidFill>
              <a:schemeClr val="tx1"/>
            </a:solidFill>
            <a:latin typeface="+mn-ea"/>
            <a:ea typeface="+mn-ea"/>
            <a:cs typeface="JBold" pitchFamily="18" charset="-127"/>
          </a:endParaRPr>
        </a:p>
      </xdr:txBody>
    </xdr:sp>
    <xdr:clientData/>
  </xdr:twoCellAnchor>
  <xdr:twoCellAnchor>
    <xdr:from>
      <xdr:col>20</xdr:col>
      <xdr:colOff>447676</xdr:colOff>
      <xdr:row>22</xdr:row>
      <xdr:rowOff>38101</xdr:rowOff>
    </xdr:from>
    <xdr:to>
      <xdr:col>23</xdr:col>
      <xdr:colOff>57150</xdr:colOff>
      <xdr:row>24</xdr:row>
      <xdr:rowOff>95251</xdr:rowOff>
    </xdr:to>
    <xdr:sp macro="" textlink="">
      <xdr:nvSpPr>
        <xdr:cNvPr id="75" name="직사각형 74">
          <a:extLst>
            <a:ext uri="{FF2B5EF4-FFF2-40B4-BE49-F238E27FC236}">
              <a16:creationId xmlns:a16="http://schemas.microsoft.com/office/drawing/2014/main" xmlns="" id="{00000000-0008-0000-0000-00003D000000}"/>
            </a:ext>
          </a:extLst>
        </xdr:cNvPr>
        <xdr:cNvSpPr/>
      </xdr:nvSpPr>
      <xdr:spPr>
        <a:xfrm>
          <a:off x="11201401" y="4371976"/>
          <a:ext cx="1438274" cy="400050"/>
        </a:xfrm>
        <a:prstGeom prst="rect">
          <a:avLst/>
        </a:prstGeom>
        <a:solidFill>
          <a:schemeClr val="bg1">
            <a:lumMod val="85000"/>
          </a:schemeClr>
        </a:solidFill>
        <a:ln w="12700">
          <a:solidFill>
            <a:schemeClr val="accent1">
              <a:lumMod val="7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l"/>
          <a:r>
            <a:rPr lang="ko-KR" altLang="en-US" sz="800" b="1">
              <a:solidFill>
                <a:schemeClr val="tx1"/>
              </a:solidFill>
              <a:latin typeface="+mn-ea"/>
              <a:ea typeface="+mn-ea"/>
              <a:cs typeface="JBold" pitchFamily="18" charset="-127"/>
            </a:rPr>
            <a:t>재료비 및 외주가공비</a:t>
          </a:r>
        </a:p>
      </xdr:txBody>
    </xdr:sp>
    <xdr:clientData/>
  </xdr:twoCellAnchor>
  <xdr:twoCellAnchor>
    <xdr:from>
      <xdr:col>20</xdr:col>
      <xdr:colOff>447676</xdr:colOff>
      <xdr:row>24</xdr:row>
      <xdr:rowOff>95251</xdr:rowOff>
    </xdr:from>
    <xdr:to>
      <xdr:col>23</xdr:col>
      <xdr:colOff>57150</xdr:colOff>
      <xdr:row>26</xdr:row>
      <xdr:rowOff>152401</xdr:rowOff>
    </xdr:to>
    <xdr:sp macro="" textlink="">
      <xdr:nvSpPr>
        <xdr:cNvPr id="76" name="직사각형 75">
          <a:extLst>
            <a:ext uri="{FF2B5EF4-FFF2-40B4-BE49-F238E27FC236}">
              <a16:creationId xmlns:a16="http://schemas.microsoft.com/office/drawing/2014/main" xmlns="" id="{00000000-0008-0000-0000-00003D000000}"/>
            </a:ext>
          </a:extLst>
        </xdr:cNvPr>
        <xdr:cNvSpPr/>
      </xdr:nvSpPr>
      <xdr:spPr>
        <a:xfrm>
          <a:off x="11201401" y="4772026"/>
          <a:ext cx="1438274" cy="400050"/>
        </a:xfrm>
        <a:prstGeom prst="rect">
          <a:avLst/>
        </a:prstGeom>
        <a:solidFill>
          <a:schemeClr val="bg1">
            <a:lumMod val="85000"/>
          </a:schemeClr>
        </a:solidFill>
        <a:ln w="12700">
          <a:solidFill>
            <a:schemeClr val="accent1">
              <a:lumMod val="7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l"/>
          <a:r>
            <a:rPr lang="ko-KR" altLang="en-US" sz="800" b="1">
              <a:solidFill>
                <a:schemeClr val="tx1"/>
              </a:solidFill>
              <a:latin typeface="+mn-ea"/>
              <a:ea typeface="+mn-ea"/>
              <a:cs typeface="JBold" pitchFamily="18" charset="-127"/>
            </a:rPr>
            <a:t>인건비 </a:t>
          </a:r>
          <a:r>
            <a:rPr lang="en-US" altLang="ko-KR" sz="800" b="1">
              <a:solidFill>
                <a:schemeClr val="tx1"/>
              </a:solidFill>
              <a:latin typeface="+mn-ea"/>
              <a:ea typeface="+mn-ea"/>
              <a:cs typeface="JBold" pitchFamily="18" charset="-127"/>
            </a:rPr>
            <a:t>(</a:t>
          </a:r>
          <a:r>
            <a:rPr lang="ko-KR" altLang="en-US" sz="800" b="1">
              <a:solidFill>
                <a:schemeClr val="tx1"/>
              </a:solidFill>
              <a:latin typeface="+mn-ea"/>
              <a:ea typeface="+mn-ea"/>
              <a:cs typeface="JBold" pitchFamily="18" charset="-127"/>
            </a:rPr>
            <a:t>급여산출</a:t>
          </a:r>
          <a:r>
            <a:rPr lang="en-US" altLang="ko-KR" sz="800" b="1">
              <a:solidFill>
                <a:schemeClr val="tx1"/>
              </a:solidFill>
              <a:latin typeface="+mn-ea"/>
              <a:ea typeface="+mn-ea"/>
              <a:cs typeface="JBold" pitchFamily="18" charset="-127"/>
            </a:rPr>
            <a:t>)</a:t>
          </a:r>
          <a:endParaRPr lang="ko-KR" altLang="en-US" sz="800" b="1">
            <a:solidFill>
              <a:schemeClr val="tx1"/>
            </a:solidFill>
            <a:latin typeface="+mn-ea"/>
            <a:ea typeface="+mn-ea"/>
            <a:cs typeface="JBold" pitchFamily="18" charset="-127"/>
          </a:endParaRPr>
        </a:p>
      </xdr:txBody>
    </xdr:sp>
    <xdr:clientData/>
  </xdr:twoCellAnchor>
  <xdr:twoCellAnchor>
    <xdr:from>
      <xdr:col>20</xdr:col>
      <xdr:colOff>447676</xdr:colOff>
      <xdr:row>26</xdr:row>
      <xdr:rowOff>142876</xdr:rowOff>
    </xdr:from>
    <xdr:to>
      <xdr:col>23</xdr:col>
      <xdr:colOff>57150</xdr:colOff>
      <xdr:row>29</xdr:row>
      <xdr:rowOff>28576</xdr:rowOff>
    </xdr:to>
    <xdr:sp macro="" textlink="">
      <xdr:nvSpPr>
        <xdr:cNvPr id="77" name="직사각형 76">
          <a:extLst>
            <a:ext uri="{FF2B5EF4-FFF2-40B4-BE49-F238E27FC236}">
              <a16:creationId xmlns:a16="http://schemas.microsoft.com/office/drawing/2014/main" xmlns="" id="{00000000-0008-0000-0000-00003D000000}"/>
            </a:ext>
          </a:extLst>
        </xdr:cNvPr>
        <xdr:cNvSpPr/>
      </xdr:nvSpPr>
      <xdr:spPr>
        <a:xfrm>
          <a:off x="11201401" y="5162551"/>
          <a:ext cx="1438274" cy="400050"/>
        </a:xfrm>
        <a:prstGeom prst="rect">
          <a:avLst/>
        </a:prstGeom>
        <a:solidFill>
          <a:schemeClr val="bg1">
            <a:lumMod val="85000"/>
          </a:schemeClr>
        </a:solidFill>
        <a:ln w="12700">
          <a:solidFill>
            <a:schemeClr val="accent1">
              <a:lumMod val="7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l"/>
          <a:r>
            <a:rPr lang="ko-KR" altLang="en-US" sz="800" b="1">
              <a:solidFill>
                <a:schemeClr val="tx1"/>
              </a:solidFill>
              <a:latin typeface="+mn-ea"/>
              <a:ea typeface="+mn-ea"/>
              <a:cs typeface="JBold" pitchFamily="18" charset="-127"/>
            </a:rPr>
            <a:t>기타 제조경비</a:t>
          </a:r>
        </a:p>
      </xdr:txBody>
    </xdr:sp>
    <xdr:clientData/>
  </xdr:twoCellAnchor>
  <xdr:twoCellAnchor>
    <xdr:from>
      <xdr:col>19</xdr:col>
      <xdr:colOff>581025</xdr:colOff>
      <xdr:row>29</xdr:row>
      <xdr:rowOff>28572</xdr:rowOff>
    </xdr:from>
    <xdr:to>
      <xdr:col>20</xdr:col>
      <xdr:colOff>447674</xdr:colOff>
      <xdr:row>33</xdr:row>
      <xdr:rowOff>142875</xdr:rowOff>
    </xdr:to>
    <xdr:sp macro="" textlink="">
      <xdr:nvSpPr>
        <xdr:cNvPr id="78" name="직사각형 8">
          <a:extLst>
            <a:ext uri="{FF2B5EF4-FFF2-40B4-BE49-F238E27FC236}">
              <a16:creationId xmlns:a16="http://schemas.microsoft.com/office/drawing/2014/main" xmlns="" id="{00000000-0008-0000-0000-00003E000000}"/>
            </a:ext>
          </a:extLst>
        </xdr:cNvPr>
        <xdr:cNvSpPr/>
      </xdr:nvSpPr>
      <xdr:spPr>
        <a:xfrm>
          <a:off x="10725150" y="5562597"/>
          <a:ext cx="476249" cy="800103"/>
        </a:xfrm>
        <a:prstGeom prst="rect">
          <a:avLst/>
        </a:prstGeom>
        <a:solidFill>
          <a:schemeClr val="tx2">
            <a:lumMod val="20000"/>
            <a:lumOff val="80000"/>
          </a:schemeClr>
        </a:solidFill>
        <a:ln w="12700">
          <a:solidFill>
            <a:schemeClr val="accent1">
              <a:lumMod val="7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en-US" altLang="ko-KR" sz="800" b="1">
              <a:solidFill>
                <a:schemeClr val="tx1"/>
              </a:solidFill>
              <a:latin typeface="+mn-ea"/>
              <a:ea typeface="+mn-ea"/>
              <a:cs typeface="JBold" pitchFamily="18" charset="-127"/>
            </a:rPr>
            <a:t>Main</a:t>
          </a:r>
        </a:p>
        <a:p>
          <a:pPr algn="ctr"/>
          <a:r>
            <a:rPr lang="en-US" altLang="ko-KR" sz="800" b="1">
              <a:solidFill>
                <a:schemeClr val="tx1"/>
              </a:solidFill>
              <a:latin typeface="+mn-ea"/>
              <a:ea typeface="+mn-ea"/>
              <a:cs typeface="JBold" pitchFamily="18" charset="-127"/>
            </a:rPr>
            <a:t>Office</a:t>
          </a:r>
          <a:endParaRPr lang="ko-KR" altLang="en-US" sz="800" b="1">
            <a:solidFill>
              <a:schemeClr val="tx1"/>
            </a:solidFill>
            <a:latin typeface="+mn-ea"/>
            <a:ea typeface="+mn-ea"/>
            <a:cs typeface="JBold" pitchFamily="18" charset="-127"/>
          </a:endParaRPr>
        </a:p>
      </xdr:txBody>
    </xdr:sp>
    <xdr:clientData/>
  </xdr:twoCellAnchor>
  <xdr:twoCellAnchor>
    <xdr:from>
      <xdr:col>20</xdr:col>
      <xdr:colOff>447676</xdr:colOff>
      <xdr:row>29</xdr:row>
      <xdr:rowOff>28576</xdr:rowOff>
    </xdr:from>
    <xdr:to>
      <xdr:col>23</xdr:col>
      <xdr:colOff>57150</xdr:colOff>
      <xdr:row>31</xdr:row>
      <xdr:rowOff>85726</xdr:rowOff>
    </xdr:to>
    <xdr:sp macro="" textlink="">
      <xdr:nvSpPr>
        <xdr:cNvPr id="79" name="직사각형 78">
          <a:extLst>
            <a:ext uri="{FF2B5EF4-FFF2-40B4-BE49-F238E27FC236}">
              <a16:creationId xmlns:a16="http://schemas.microsoft.com/office/drawing/2014/main" xmlns="" id="{00000000-0008-0000-0000-00003D000000}"/>
            </a:ext>
          </a:extLst>
        </xdr:cNvPr>
        <xdr:cNvSpPr/>
      </xdr:nvSpPr>
      <xdr:spPr>
        <a:xfrm>
          <a:off x="11201401" y="5562601"/>
          <a:ext cx="1438274" cy="400050"/>
        </a:xfrm>
        <a:prstGeom prst="rect">
          <a:avLst/>
        </a:prstGeom>
        <a:solidFill>
          <a:schemeClr val="bg1">
            <a:lumMod val="85000"/>
          </a:schemeClr>
        </a:solidFill>
        <a:ln w="12700">
          <a:solidFill>
            <a:schemeClr val="accent1">
              <a:lumMod val="7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l"/>
          <a:r>
            <a:rPr lang="ko-KR" altLang="en-US" sz="800" b="1">
              <a:solidFill>
                <a:schemeClr val="tx1"/>
              </a:solidFill>
              <a:latin typeface="+mn-ea"/>
              <a:ea typeface="+mn-ea"/>
              <a:cs typeface="JBold" pitchFamily="18" charset="-127"/>
            </a:rPr>
            <a:t>인건비</a:t>
          </a:r>
          <a:r>
            <a:rPr lang="en-US" altLang="ko-KR" sz="800" b="1">
              <a:solidFill>
                <a:schemeClr val="tx1"/>
              </a:solidFill>
              <a:latin typeface="+mn-ea"/>
              <a:ea typeface="+mn-ea"/>
              <a:cs typeface="JBold" pitchFamily="18" charset="-127"/>
            </a:rPr>
            <a:t> (</a:t>
          </a:r>
          <a:r>
            <a:rPr lang="ko-KR" altLang="en-US" sz="800" b="1">
              <a:solidFill>
                <a:schemeClr val="tx1"/>
              </a:solidFill>
              <a:latin typeface="+mn-ea"/>
              <a:ea typeface="+mn-ea"/>
              <a:cs typeface="JBold" pitchFamily="18" charset="-127"/>
            </a:rPr>
            <a:t>급여산출</a:t>
          </a:r>
          <a:r>
            <a:rPr lang="en-US" altLang="ko-KR" sz="800" b="1">
              <a:solidFill>
                <a:schemeClr val="tx1"/>
              </a:solidFill>
              <a:latin typeface="+mn-ea"/>
              <a:ea typeface="+mn-ea"/>
              <a:cs typeface="JBold" pitchFamily="18" charset="-127"/>
            </a:rPr>
            <a:t>)</a:t>
          </a:r>
          <a:endParaRPr lang="ko-KR" altLang="en-US" sz="800" b="1">
            <a:solidFill>
              <a:schemeClr val="tx1"/>
            </a:solidFill>
            <a:latin typeface="+mn-ea"/>
            <a:ea typeface="+mn-ea"/>
            <a:cs typeface="JBold" pitchFamily="18" charset="-127"/>
          </a:endParaRPr>
        </a:p>
      </xdr:txBody>
    </xdr:sp>
    <xdr:clientData/>
  </xdr:twoCellAnchor>
  <xdr:twoCellAnchor>
    <xdr:from>
      <xdr:col>20</xdr:col>
      <xdr:colOff>447676</xdr:colOff>
      <xdr:row>31</xdr:row>
      <xdr:rowOff>85726</xdr:rowOff>
    </xdr:from>
    <xdr:to>
      <xdr:col>23</xdr:col>
      <xdr:colOff>57150</xdr:colOff>
      <xdr:row>33</xdr:row>
      <xdr:rowOff>142876</xdr:rowOff>
    </xdr:to>
    <xdr:sp macro="" textlink="">
      <xdr:nvSpPr>
        <xdr:cNvPr id="80" name="직사각형 79">
          <a:extLst>
            <a:ext uri="{FF2B5EF4-FFF2-40B4-BE49-F238E27FC236}">
              <a16:creationId xmlns:a16="http://schemas.microsoft.com/office/drawing/2014/main" xmlns="" id="{00000000-0008-0000-0000-00003D000000}"/>
            </a:ext>
          </a:extLst>
        </xdr:cNvPr>
        <xdr:cNvSpPr/>
      </xdr:nvSpPr>
      <xdr:spPr>
        <a:xfrm>
          <a:off x="11201401" y="5962651"/>
          <a:ext cx="1438274" cy="400050"/>
        </a:xfrm>
        <a:prstGeom prst="rect">
          <a:avLst/>
        </a:prstGeom>
        <a:solidFill>
          <a:schemeClr val="bg1">
            <a:lumMod val="85000"/>
          </a:schemeClr>
        </a:solidFill>
        <a:ln w="12700">
          <a:solidFill>
            <a:schemeClr val="accent1">
              <a:lumMod val="7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l"/>
          <a:r>
            <a:rPr lang="ko-KR" altLang="en-US" sz="800" b="1">
              <a:solidFill>
                <a:schemeClr val="tx1"/>
              </a:solidFill>
              <a:latin typeface="+mn-ea"/>
              <a:ea typeface="+mn-ea"/>
              <a:cs typeface="JBold" pitchFamily="18" charset="-127"/>
            </a:rPr>
            <a:t>기타 제조경비</a:t>
          </a:r>
        </a:p>
      </xdr:txBody>
    </xdr:sp>
    <xdr:clientData/>
  </xdr:twoCellAnchor>
  <xdr:twoCellAnchor>
    <xdr:from>
      <xdr:col>20</xdr:col>
      <xdr:colOff>447676</xdr:colOff>
      <xdr:row>17</xdr:row>
      <xdr:rowOff>95251</xdr:rowOff>
    </xdr:from>
    <xdr:to>
      <xdr:col>23</xdr:col>
      <xdr:colOff>57150</xdr:colOff>
      <xdr:row>19</xdr:row>
      <xdr:rowOff>152401</xdr:rowOff>
    </xdr:to>
    <xdr:sp macro="" textlink="">
      <xdr:nvSpPr>
        <xdr:cNvPr id="81" name="직사각형 80">
          <a:extLst>
            <a:ext uri="{FF2B5EF4-FFF2-40B4-BE49-F238E27FC236}">
              <a16:creationId xmlns:a16="http://schemas.microsoft.com/office/drawing/2014/main" xmlns="" id="{00000000-0008-0000-0000-00003D000000}"/>
            </a:ext>
          </a:extLst>
        </xdr:cNvPr>
        <xdr:cNvSpPr/>
      </xdr:nvSpPr>
      <xdr:spPr>
        <a:xfrm>
          <a:off x="11201401" y="3571876"/>
          <a:ext cx="1438274" cy="400050"/>
        </a:xfrm>
        <a:prstGeom prst="rect">
          <a:avLst/>
        </a:prstGeom>
        <a:solidFill>
          <a:schemeClr val="bg1"/>
        </a:solidFill>
        <a:ln w="12700">
          <a:solidFill>
            <a:schemeClr val="accent1">
              <a:lumMod val="7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l"/>
          <a:r>
            <a:rPr lang="ko-KR" altLang="en-US" sz="800" b="1">
              <a:solidFill>
                <a:schemeClr val="tx1"/>
              </a:solidFill>
              <a:latin typeface="+mn-ea"/>
              <a:ea typeface="+mn-ea"/>
              <a:cs typeface="JBold" pitchFamily="18" charset="-127"/>
            </a:rPr>
            <a:t>근태현황 </a:t>
          </a:r>
          <a:r>
            <a:rPr lang="en-US" altLang="ko-KR" sz="800" b="1">
              <a:solidFill>
                <a:schemeClr val="tx1"/>
              </a:solidFill>
              <a:latin typeface="+mn-ea"/>
              <a:ea typeface="+mn-ea"/>
              <a:cs typeface="JBold" pitchFamily="18" charset="-127"/>
            </a:rPr>
            <a:t>(MHr)</a:t>
          </a:r>
          <a:endParaRPr lang="ko-KR" altLang="en-US" sz="800" b="1">
            <a:solidFill>
              <a:schemeClr val="tx1"/>
            </a:solidFill>
            <a:latin typeface="+mn-ea"/>
            <a:ea typeface="+mn-ea"/>
            <a:cs typeface="JBold" pitchFamily="18" charset="-127"/>
          </a:endParaRPr>
        </a:p>
      </xdr:txBody>
    </xdr:sp>
    <xdr:clientData/>
  </xdr:twoCellAnchor>
  <xdr:twoCellAnchor>
    <xdr:from>
      <xdr:col>20</xdr:col>
      <xdr:colOff>447676</xdr:colOff>
      <xdr:row>19</xdr:row>
      <xdr:rowOff>152401</xdr:rowOff>
    </xdr:from>
    <xdr:to>
      <xdr:col>23</xdr:col>
      <xdr:colOff>57150</xdr:colOff>
      <xdr:row>22</xdr:row>
      <xdr:rowOff>38101</xdr:rowOff>
    </xdr:to>
    <xdr:sp macro="" textlink="">
      <xdr:nvSpPr>
        <xdr:cNvPr id="82" name="직사각형 81">
          <a:extLst>
            <a:ext uri="{FF2B5EF4-FFF2-40B4-BE49-F238E27FC236}">
              <a16:creationId xmlns:a16="http://schemas.microsoft.com/office/drawing/2014/main" xmlns="" id="{00000000-0008-0000-0000-00003D000000}"/>
            </a:ext>
          </a:extLst>
        </xdr:cNvPr>
        <xdr:cNvSpPr/>
      </xdr:nvSpPr>
      <xdr:spPr>
        <a:xfrm>
          <a:off x="11201401" y="3971926"/>
          <a:ext cx="1438274" cy="400050"/>
        </a:xfrm>
        <a:prstGeom prst="rect">
          <a:avLst/>
        </a:prstGeom>
        <a:solidFill>
          <a:schemeClr val="bg1"/>
        </a:solidFill>
        <a:ln w="12700">
          <a:solidFill>
            <a:schemeClr val="accent1">
              <a:lumMod val="7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l"/>
          <a:r>
            <a:rPr lang="ko-KR" altLang="en-US" sz="800" b="1">
              <a:solidFill>
                <a:schemeClr val="tx1"/>
              </a:solidFill>
              <a:latin typeface="+mn-ea"/>
              <a:ea typeface="+mn-ea"/>
              <a:cs typeface="JBold" pitchFamily="18" charset="-127"/>
            </a:rPr>
            <a:t>기계현황</a:t>
          </a:r>
        </a:p>
      </xdr:txBody>
    </xdr:sp>
    <xdr:clientData/>
  </xdr:twoCellAnchor>
  <xdr:twoCellAnchor>
    <xdr:from>
      <xdr:col>24</xdr:col>
      <xdr:colOff>600075</xdr:colOff>
      <xdr:row>10</xdr:row>
      <xdr:rowOff>114300</xdr:rowOff>
    </xdr:from>
    <xdr:to>
      <xdr:col>27</xdr:col>
      <xdr:colOff>533400</xdr:colOff>
      <xdr:row>15</xdr:row>
      <xdr:rowOff>28575</xdr:rowOff>
    </xdr:to>
    <xdr:sp macro="" textlink="">
      <xdr:nvSpPr>
        <xdr:cNvPr id="87" name="순서도: 문서 86"/>
        <xdr:cNvSpPr/>
      </xdr:nvSpPr>
      <xdr:spPr>
        <a:xfrm>
          <a:off x="15011400" y="2390775"/>
          <a:ext cx="1762125" cy="771525"/>
        </a:xfrm>
        <a:prstGeom prst="flowChartDocument">
          <a:avLst/>
        </a:prstGeom>
        <a:solidFill>
          <a:schemeClr val="bg1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0"/>
        <a:lstStyle/>
        <a:p>
          <a:pPr algn="ctr"/>
          <a:r>
            <a:rPr lang="ko-KR" altLang="en-US" sz="1100">
              <a:solidFill>
                <a:schemeClr val="tx1"/>
              </a:solidFill>
            </a:rPr>
            <a:t>공장별 손익현황</a:t>
          </a:r>
        </a:p>
      </xdr:txBody>
    </xdr:sp>
    <xdr:clientData/>
  </xdr:twoCellAnchor>
  <xdr:twoCellAnchor>
    <xdr:from>
      <xdr:col>24</xdr:col>
      <xdr:colOff>600075</xdr:colOff>
      <xdr:row>16</xdr:row>
      <xdr:rowOff>0</xdr:rowOff>
    </xdr:from>
    <xdr:to>
      <xdr:col>27</xdr:col>
      <xdr:colOff>533400</xdr:colOff>
      <xdr:row>20</xdr:row>
      <xdr:rowOff>85725</xdr:rowOff>
    </xdr:to>
    <xdr:sp macro="" textlink="">
      <xdr:nvSpPr>
        <xdr:cNvPr id="60" name="순서도: 문서 59"/>
        <xdr:cNvSpPr/>
      </xdr:nvSpPr>
      <xdr:spPr>
        <a:xfrm>
          <a:off x="15011400" y="3305175"/>
          <a:ext cx="1762125" cy="771525"/>
        </a:xfrm>
        <a:prstGeom prst="flowChartDocument">
          <a:avLst/>
        </a:prstGeom>
        <a:solidFill>
          <a:schemeClr val="bg1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0"/>
        <a:lstStyle/>
        <a:p>
          <a:pPr algn="ctr"/>
          <a:r>
            <a:rPr lang="ko-KR" altLang="en-US" sz="1100">
              <a:solidFill>
                <a:schemeClr val="tx1"/>
              </a:solidFill>
            </a:rPr>
            <a:t>공장별 생산현황</a:t>
          </a:r>
        </a:p>
      </xdr:txBody>
    </xdr:sp>
    <xdr:clientData/>
  </xdr:twoCellAnchor>
  <xdr:twoCellAnchor>
    <xdr:from>
      <xdr:col>24</xdr:col>
      <xdr:colOff>600075</xdr:colOff>
      <xdr:row>21</xdr:row>
      <xdr:rowOff>85725</xdr:rowOff>
    </xdr:from>
    <xdr:to>
      <xdr:col>27</xdr:col>
      <xdr:colOff>533400</xdr:colOff>
      <xdr:row>26</xdr:row>
      <xdr:rowOff>0</xdr:rowOff>
    </xdr:to>
    <xdr:sp macro="" textlink="">
      <xdr:nvSpPr>
        <xdr:cNvPr id="61" name="순서도: 문서 60"/>
        <xdr:cNvSpPr/>
      </xdr:nvSpPr>
      <xdr:spPr>
        <a:xfrm>
          <a:off x="15011400" y="4248150"/>
          <a:ext cx="1762125" cy="771525"/>
        </a:xfrm>
        <a:prstGeom prst="flowChartDocument">
          <a:avLst/>
        </a:prstGeom>
        <a:solidFill>
          <a:schemeClr val="bg1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0"/>
        <a:lstStyle/>
        <a:p>
          <a:pPr algn="ctr"/>
          <a:r>
            <a:rPr lang="ko-KR" altLang="en-US" sz="1100">
              <a:solidFill>
                <a:schemeClr val="tx1"/>
              </a:solidFill>
            </a:rPr>
            <a:t>생산관리지표</a:t>
          </a:r>
          <a:endParaRPr lang="en-US" altLang="ko-KR" sz="1100">
            <a:solidFill>
              <a:schemeClr val="tx1"/>
            </a:solidFill>
          </a:endParaRPr>
        </a:p>
        <a:p>
          <a:pPr algn="ctr"/>
          <a:r>
            <a:rPr lang="en-US" altLang="ko-KR" sz="1100">
              <a:solidFill>
                <a:schemeClr val="tx1"/>
              </a:solidFill>
            </a:rPr>
            <a:t>(</a:t>
          </a:r>
          <a:r>
            <a:rPr lang="ko-KR" altLang="en-US" sz="1100">
              <a:solidFill>
                <a:schemeClr val="tx1"/>
              </a:solidFill>
            </a:rPr>
            <a:t>생산성</a:t>
          </a:r>
          <a:r>
            <a:rPr lang="en-US" altLang="ko-KR" sz="1100">
              <a:solidFill>
                <a:schemeClr val="tx1"/>
              </a:solidFill>
            </a:rPr>
            <a:t>+</a:t>
          </a:r>
          <a:r>
            <a:rPr lang="ko-KR" altLang="en-US" sz="1100">
              <a:solidFill>
                <a:schemeClr val="tx1"/>
              </a:solidFill>
            </a:rPr>
            <a:t>비용효율</a:t>
          </a:r>
          <a:r>
            <a:rPr lang="en-US" altLang="ko-KR" sz="1100">
              <a:solidFill>
                <a:schemeClr val="tx1"/>
              </a:solidFill>
            </a:rPr>
            <a:t>)</a:t>
          </a:r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24</xdr:col>
      <xdr:colOff>600075</xdr:colOff>
      <xdr:row>29</xdr:row>
      <xdr:rowOff>133350</xdr:rowOff>
    </xdr:from>
    <xdr:to>
      <xdr:col>27</xdr:col>
      <xdr:colOff>533400</xdr:colOff>
      <xdr:row>34</xdr:row>
      <xdr:rowOff>47625</xdr:rowOff>
    </xdr:to>
    <xdr:sp macro="" textlink="">
      <xdr:nvSpPr>
        <xdr:cNvPr id="63" name="순서도: 문서 62"/>
        <xdr:cNvSpPr/>
      </xdr:nvSpPr>
      <xdr:spPr>
        <a:xfrm>
          <a:off x="15011400" y="5667375"/>
          <a:ext cx="1762125" cy="771525"/>
        </a:xfrm>
        <a:prstGeom prst="flowChartDocument">
          <a:avLst/>
        </a:prstGeom>
        <a:solidFill>
          <a:schemeClr val="bg1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0"/>
        <a:lstStyle/>
        <a:p>
          <a:pPr algn="ctr"/>
          <a:r>
            <a:rPr lang="ko-KR" altLang="en-US" sz="1100">
              <a:solidFill>
                <a:schemeClr val="tx1"/>
              </a:solidFill>
            </a:rPr>
            <a:t>대쉬보드</a:t>
          </a:r>
          <a:endParaRPr lang="en-US" altLang="ko-KR" sz="1100">
            <a:solidFill>
              <a:schemeClr val="tx1"/>
            </a:solidFill>
          </a:endParaRPr>
        </a:p>
      </xdr:txBody>
    </xdr:sp>
    <xdr:clientData/>
  </xdr:twoCellAnchor>
  <xdr:twoCellAnchor>
    <xdr:from>
      <xdr:col>23</xdr:col>
      <xdr:colOff>295275</xdr:colOff>
      <xdr:row>18</xdr:row>
      <xdr:rowOff>161925</xdr:rowOff>
    </xdr:from>
    <xdr:to>
      <xdr:col>24</xdr:col>
      <xdr:colOff>428625</xdr:colOff>
      <xdr:row>23</xdr:row>
      <xdr:rowOff>66675</xdr:rowOff>
    </xdr:to>
    <xdr:sp macro="" textlink="">
      <xdr:nvSpPr>
        <xdr:cNvPr id="2" name="오른쪽 화살표 1"/>
        <xdr:cNvSpPr/>
      </xdr:nvSpPr>
      <xdr:spPr>
        <a:xfrm>
          <a:off x="11668125" y="3810000"/>
          <a:ext cx="742950" cy="76200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15</xdr:col>
      <xdr:colOff>257174</xdr:colOff>
      <xdr:row>39</xdr:row>
      <xdr:rowOff>95250</xdr:rowOff>
    </xdr:from>
    <xdr:to>
      <xdr:col>19</xdr:col>
      <xdr:colOff>342899</xdr:colOff>
      <xdr:row>42</xdr:row>
      <xdr:rowOff>47625</xdr:rowOff>
    </xdr:to>
    <xdr:sp macro="" textlink="">
      <xdr:nvSpPr>
        <xdr:cNvPr id="3" name="위로 구부러진 화살표 2"/>
        <xdr:cNvSpPr/>
      </xdr:nvSpPr>
      <xdr:spPr>
        <a:xfrm>
          <a:off x="7896224" y="7343775"/>
          <a:ext cx="1381125" cy="466725"/>
        </a:xfrm>
        <a:prstGeom prst="curvedUpArrow">
          <a:avLst/>
        </a:prstGeom>
        <a:solidFill>
          <a:schemeClr val="tx2">
            <a:lumMod val="40000"/>
            <a:lumOff val="60000"/>
          </a:schemeClr>
        </a:solidFill>
        <a:ln w="19050">
          <a:solidFill>
            <a:srgbClr val="0000F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15</xdr:col>
      <xdr:colOff>257174</xdr:colOff>
      <xdr:row>36</xdr:row>
      <xdr:rowOff>28574</xdr:rowOff>
    </xdr:from>
    <xdr:to>
      <xdr:col>19</xdr:col>
      <xdr:colOff>342899</xdr:colOff>
      <xdr:row>38</xdr:row>
      <xdr:rowOff>152399</xdr:rowOff>
    </xdr:to>
    <xdr:sp macro="" textlink="">
      <xdr:nvSpPr>
        <xdr:cNvPr id="66" name="위로 구부러진 화살표 65"/>
        <xdr:cNvSpPr/>
      </xdr:nvSpPr>
      <xdr:spPr>
        <a:xfrm rot="10800000">
          <a:off x="7896224" y="6762749"/>
          <a:ext cx="1381125" cy="466725"/>
        </a:xfrm>
        <a:prstGeom prst="curvedUpArrow">
          <a:avLst/>
        </a:prstGeom>
        <a:solidFill>
          <a:schemeClr val="tx2">
            <a:lumMod val="40000"/>
            <a:lumOff val="60000"/>
          </a:schemeClr>
        </a:solidFill>
        <a:ln w="19050">
          <a:solidFill>
            <a:srgbClr val="0000F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15</xdr:col>
      <xdr:colOff>104776</xdr:colOff>
      <xdr:row>37</xdr:row>
      <xdr:rowOff>0</xdr:rowOff>
    </xdr:from>
    <xdr:to>
      <xdr:col>19</xdr:col>
      <xdr:colOff>504826</xdr:colOff>
      <xdr:row>41</xdr:row>
      <xdr:rowOff>0</xdr:rowOff>
    </xdr:to>
    <xdr:sp macro="" textlink="">
      <xdr:nvSpPr>
        <xdr:cNvPr id="70" name="TextBox 69"/>
        <xdr:cNvSpPr txBox="1"/>
      </xdr:nvSpPr>
      <xdr:spPr>
        <a:xfrm>
          <a:off x="7743826" y="6905625"/>
          <a:ext cx="1695450" cy="6858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/>
        <a:lstStyle/>
        <a:p>
          <a:pPr algn="ctr"/>
          <a:r>
            <a:rPr lang="en-US" altLang="ko-KR" sz="1400" b="1">
              <a:solidFill>
                <a:schemeClr val="tx1"/>
              </a:solidFill>
            </a:rPr>
            <a:t>Data </a:t>
          </a:r>
          <a:r>
            <a:rPr lang="ko-KR" altLang="en-US" sz="1400" b="1">
              <a:solidFill>
                <a:schemeClr val="tx1"/>
              </a:solidFill>
            </a:rPr>
            <a:t>연동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1"/>
  </sheetPr>
  <dimension ref="C3:P18"/>
  <sheetViews>
    <sheetView showGridLines="0" tabSelected="1" zoomScaleNormal="100" workbookViewId="0">
      <selection activeCell="V18" sqref="V18"/>
    </sheetView>
  </sheetViews>
  <sheetFormatPr defaultRowHeight="16.5"/>
  <cols>
    <col min="1" max="2" width="9.140625" style="543"/>
    <col min="3" max="3" width="3" style="543" customWidth="1"/>
    <col min="4" max="17" width="9.140625" style="543"/>
    <col min="18" max="18" width="3" style="543" customWidth="1"/>
    <col min="19" max="16384" width="9.140625" style="543"/>
  </cols>
  <sheetData>
    <row r="3" spans="3:16" ht="30" customHeight="1">
      <c r="C3" s="542" t="s">
        <v>1374</v>
      </c>
    </row>
    <row r="5" spans="3:16" s="544" customFormat="1" ht="24" customHeight="1">
      <c r="D5" s="545" t="s">
        <v>1350</v>
      </c>
    </row>
    <row r="10" spans="3:16">
      <c r="J10" s="546" t="s">
        <v>1351</v>
      </c>
      <c r="N10" s="546" t="s">
        <v>1351</v>
      </c>
    </row>
    <row r="12" spans="3:16">
      <c r="H12" s="547" t="s">
        <v>1352</v>
      </c>
    </row>
    <row r="14" spans="3:16">
      <c r="N14" s="548"/>
      <c r="P14" s="546" t="s">
        <v>1352</v>
      </c>
    </row>
    <row r="18" spans="4:4" s="544" customFormat="1" ht="24" customHeight="1">
      <c r="D18" s="545" t="s">
        <v>1353</v>
      </c>
    </row>
  </sheetData>
  <phoneticPr fontId="4" type="noConversion"/>
  <printOptions horizontalCentered="1" verticalCentered="1"/>
  <pageMargins left="0.15748031496062992" right="0.15748031496062992" top="0.39370078740157483" bottom="0.39370078740157483" header="0" footer="0"/>
  <pageSetup paperSize="9" scale="96" orientation="landscape" r:id="rId1"/>
  <rowBreaks count="1" manualBreakCount="1">
    <brk id="31" min="2" max="17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1"/>
  </sheetPr>
  <dimension ref="E1:Y35"/>
  <sheetViews>
    <sheetView showGridLines="0" zoomScaleNormal="100" workbookViewId="0"/>
  </sheetViews>
  <sheetFormatPr defaultRowHeight="35.1" customHeight="1"/>
  <cols>
    <col min="1" max="4" width="3.28515625" style="531" customWidth="1"/>
    <col min="5" max="5" width="13.5703125" style="531" customWidth="1"/>
    <col min="6" max="6" width="12.28515625" style="531" customWidth="1"/>
    <col min="7" max="7" width="33.5703125" style="531" customWidth="1"/>
    <col min="8" max="8" width="10.140625" style="531" customWidth="1"/>
    <col min="9" max="9" width="33.5703125" style="531" customWidth="1"/>
    <col min="10" max="10" width="10.140625" style="531" customWidth="1"/>
    <col min="11" max="11" width="33.5703125" style="531" customWidth="1"/>
    <col min="12" max="12" width="10.140625" style="531" customWidth="1"/>
    <col min="13" max="13" width="53.85546875" style="531" bestFit="1" customWidth="1"/>
    <col min="14" max="16384" width="9.140625" style="531"/>
  </cols>
  <sheetData>
    <row r="1" spans="5:25" ht="14.25" customHeight="1"/>
    <row r="2" spans="5:25" ht="14.25" customHeight="1"/>
    <row r="3" spans="5:25" s="533" customFormat="1" ht="35.1" customHeight="1">
      <c r="E3" s="532" t="s">
        <v>1372</v>
      </c>
    </row>
    <row r="4" spans="5:25" ht="18" customHeight="1" thickBot="1"/>
    <row r="5" spans="5:25" ht="35.1" customHeight="1">
      <c r="E5" s="613" t="s">
        <v>1327</v>
      </c>
      <c r="F5" s="613"/>
      <c r="G5" s="557" t="s">
        <v>1354</v>
      </c>
      <c r="H5" s="558"/>
      <c r="I5" s="567" t="s">
        <v>1362</v>
      </c>
      <c r="J5" s="558"/>
      <c r="K5" s="607" t="s">
        <v>1368</v>
      </c>
      <c r="L5" s="608"/>
      <c r="M5" s="549" t="s">
        <v>1330</v>
      </c>
      <c r="N5" s="534"/>
      <c r="O5" s="534"/>
      <c r="P5" s="534"/>
      <c r="Q5" s="534"/>
      <c r="R5" s="534"/>
      <c r="S5" s="534"/>
      <c r="T5" s="534"/>
      <c r="U5" s="534"/>
      <c r="V5" s="534"/>
      <c r="W5" s="534"/>
      <c r="X5" s="534"/>
      <c r="Y5" s="534"/>
    </row>
    <row r="6" spans="5:25" ht="35.1" customHeight="1" thickBot="1">
      <c r="E6" s="614"/>
      <c r="F6" s="614"/>
      <c r="G6" s="582" t="s">
        <v>1328</v>
      </c>
      <c r="H6" s="583" t="s">
        <v>1329</v>
      </c>
      <c r="I6" s="584" t="s">
        <v>1328</v>
      </c>
      <c r="J6" s="583" t="s">
        <v>1329</v>
      </c>
      <c r="K6" s="584" t="s">
        <v>1328</v>
      </c>
      <c r="L6" s="583" t="s">
        <v>1329</v>
      </c>
      <c r="M6" s="550"/>
      <c r="N6" s="534"/>
      <c r="O6" s="534"/>
      <c r="P6" s="534"/>
      <c r="Q6" s="534"/>
      <c r="R6" s="534"/>
      <c r="S6" s="534"/>
      <c r="T6" s="534"/>
      <c r="U6" s="534"/>
      <c r="V6" s="534"/>
      <c r="W6" s="534"/>
      <c r="X6" s="534"/>
      <c r="Y6" s="534"/>
    </row>
    <row r="7" spans="5:25" ht="35.1" customHeight="1">
      <c r="E7" s="535" t="s">
        <v>1331</v>
      </c>
      <c r="F7" s="551" t="s">
        <v>1332</v>
      </c>
      <c r="G7" s="559" t="s">
        <v>1333</v>
      </c>
      <c r="H7" s="560" t="s">
        <v>1334</v>
      </c>
      <c r="I7" s="568" t="s">
        <v>1333</v>
      </c>
      <c r="J7" s="560" t="s">
        <v>1334</v>
      </c>
      <c r="K7" s="594" t="s">
        <v>1359</v>
      </c>
      <c r="L7" s="595" t="s">
        <v>1334</v>
      </c>
      <c r="M7" s="536" t="s">
        <v>1364</v>
      </c>
    </row>
    <row r="8" spans="5:25" ht="35.1" customHeight="1">
      <c r="E8" s="537"/>
      <c r="F8" s="552" t="s">
        <v>1335</v>
      </c>
      <c r="G8" s="574" t="s">
        <v>1363</v>
      </c>
      <c r="H8" s="561" t="s">
        <v>1336</v>
      </c>
      <c r="I8" s="576" t="s">
        <v>1355</v>
      </c>
      <c r="J8" s="561"/>
      <c r="K8" s="596" t="s">
        <v>1355</v>
      </c>
      <c r="L8" s="597"/>
      <c r="M8" s="538" t="s">
        <v>1367</v>
      </c>
    </row>
    <row r="9" spans="5:25" ht="35.1" customHeight="1">
      <c r="E9" s="539" t="s">
        <v>1337</v>
      </c>
      <c r="F9" s="553" t="s">
        <v>1338</v>
      </c>
      <c r="G9" s="570" t="s">
        <v>1339</v>
      </c>
      <c r="H9" s="562" t="s">
        <v>1334</v>
      </c>
      <c r="I9" s="570" t="s">
        <v>1339</v>
      </c>
      <c r="J9" s="562" t="s">
        <v>1334</v>
      </c>
      <c r="K9" s="594" t="s">
        <v>1369</v>
      </c>
      <c r="L9" s="598" t="s">
        <v>1334</v>
      </c>
      <c r="M9" s="538" t="s">
        <v>1361</v>
      </c>
    </row>
    <row r="10" spans="5:25" ht="35.1" customHeight="1">
      <c r="E10" s="540"/>
      <c r="F10" s="554" t="s">
        <v>1335</v>
      </c>
      <c r="G10" s="574" t="s">
        <v>1363</v>
      </c>
      <c r="H10" s="563" t="s">
        <v>1336</v>
      </c>
      <c r="I10" s="577" t="s">
        <v>1356</v>
      </c>
      <c r="J10" s="563"/>
      <c r="K10" s="599" t="s">
        <v>1370</v>
      </c>
      <c r="L10" s="600"/>
      <c r="M10" s="538"/>
    </row>
    <row r="11" spans="5:25" ht="35.1" customHeight="1">
      <c r="E11" s="539" t="s">
        <v>1340</v>
      </c>
      <c r="F11" s="553" t="s">
        <v>1332</v>
      </c>
      <c r="G11" s="564" t="s">
        <v>1333</v>
      </c>
      <c r="H11" s="562" t="s">
        <v>1334</v>
      </c>
      <c r="I11" s="585" t="s">
        <v>1359</v>
      </c>
      <c r="J11" s="586" t="s">
        <v>1334</v>
      </c>
      <c r="K11" s="594" t="s">
        <v>1359</v>
      </c>
      <c r="L11" s="598" t="s">
        <v>1334</v>
      </c>
      <c r="M11" s="538" t="s">
        <v>1360</v>
      </c>
    </row>
    <row r="12" spans="5:25" ht="35.1" customHeight="1">
      <c r="E12" s="537"/>
      <c r="F12" s="552" t="s">
        <v>1335</v>
      </c>
      <c r="G12" s="573" t="s">
        <v>1366</v>
      </c>
      <c r="H12" s="572"/>
      <c r="I12" s="587" t="s">
        <v>1366</v>
      </c>
      <c r="J12" s="588"/>
      <c r="K12" s="601" t="s">
        <v>1366</v>
      </c>
      <c r="L12" s="597"/>
      <c r="M12" s="538"/>
    </row>
    <row r="13" spans="5:25" ht="35.1" customHeight="1">
      <c r="E13" s="578"/>
      <c r="F13" s="579" t="s">
        <v>1371</v>
      </c>
      <c r="G13" s="580" t="s">
        <v>1333</v>
      </c>
      <c r="H13" s="581" t="s">
        <v>1357</v>
      </c>
      <c r="I13" s="589" t="s">
        <v>1359</v>
      </c>
      <c r="J13" s="590" t="s">
        <v>1358</v>
      </c>
      <c r="K13" s="602" t="s">
        <v>1359</v>
      </c>
      <c r="L13" s="603" t="s">
        <v>1358</v>
      </c>
      <c r="M13" s="538"/>
    </row>
    <row r="14" spans="5:25" ht="35.1" customHeight="1">
      <c r="E14" s="537" t="s">
        <v>1341</v>
      </c>
      <c r="F14" s="552" t="s">
        <v>1342</v>
      </c>
      <c r="G14" s="571" t="s">
        <v>1339</v>
      </c>
      <c r="H14" s="572" t="s">
        <v>1334</v>
      </c>
      <c r="I14" s="591" t="s">
        <v>1359</v>
      </c>
      <c r="J14" s="588" t="s">
        <v>1334</v>
      </c>
      <c r="K14" s="604" t="s">
        <v>1359</v>
      </c>
      <c r="L14" s="597" t="s">
        <v>1334</v>
      </c>
      <c r="M14" s="538" t="s">
        <v>1373</v>
      </c>
    </row>
    <row r="15" spans="5:25" ht="35.1" customHeight="1">
      <c r="E15" s="537"/>
      <c r="F15" s="552" t="s">
        <v>1343</v>
      </c>
      <c r="G15" s="573" t="s">
        <v>1339</v>
      </c>
      <c r="H15" s="572" t="s">
        <v>1334</v>
      </c>
      <c r="I15" s="592" t="s">
        <v>1359</v>
      </c>
      <c r="J15" s="588" t="s">
        <v>1334</v>
      </c>
      <c r="K15" s="605" t="s">
        <v>1359</v>
      </c>
      <c r="L15" s="597" t="s">
        <v>1334</v>
      </c>
      <c r="M15" s="538" t="s">
        <v>1373</v>
      </c>
    </row>
    <row r="16" spans="5:25" ht="35.1" customHeight="1">
      <c r="E16" s="539" t="s">
        <v>1344</v>
      </c>
      <c r="F16" s="553" t="s">
        <v>1345</v>
      </c>
      <c r="G16" s="575" t="s">
        <v>1363</v>
      </c>
      <c r="H16" s="562" t="s">
        <v>1346</v>
      </c>
      <c r="I16" s="593" t="s">
        <v>1363</v>
      </c>
      <c r="J16" s="586" t="s">
        <v>1346</v>
      </c>
      <c r="K16" s="606" t="s">
        <v>1363</v>
      </c>
      <c r="L16" s="598" t="s">
        <v>1346</v>
      </c>
      <c r="M16" s="538"/>
    </row>
    <row r="17" spans="5:13" ht="35.1" customHeight="1" thickBot="1">
      <c r="E17" s="541" t="s">
        <v>1347</v>
      </c>
      <c r="F17" s="555" t="s">
        <v>1348</v>
      </c>
      <c r="G17" s="565" t="s">
        <v>1349</v>
      </c>
      <c r="H17" s="566" t="s">
        <v>1346</v>
      </c>
      <c r="I17" s="569" t="s">
        <v>1349</v>
      </c>
      <c r="J17" s="566" t="s">
        <v>1346</v>
      </c>
      <c r="K17" s="569" t="s">
        <v>1349</v>
      </c>
      <c r="L17" s="566" t="s">
        <v>1346</v>
      </c>
      <c r="M17" s="556" t="s">
        <v>1365</v>
      </c>
    </row>
    <row r="18" spans="5:13" ht="35.1" customHeight="1">
      <c r="E18" s="534"/>
      <c r="F18" s="534"/>
      <c r="H18" s="534"/>
      <c r="J18" s="534"/>
      <c r="L18" s="534"/>
    </row>
    <row r="19" spans="5:13" ht="35.1" customHeight="1">
      <c r="E19" s="534"/>
      <c r="H19" s="534"/>
      <c r="J19" s="534"/>
      <c r="L19" s="534"/>
    </row>
    <row r="20" spans="5:13" ht="35.1" customHeight="1">
      <c r="E20" s="534"/>
    </row>
    <row r="21" spans="5:13" ht="35.1" customHeight="1">
      <c r="E21" s="534"/>
    </row>
    <row r="22" spans="5:13" ht="35.1" customHeight="1">
      <c r="E22" s="534"/>
    </row>
    <row r="23" spans="5:13" ht="35.1" customHeight="1">
      <c r="E23" s="534"/>
    </row>
    <row r="24" spans="5:13" ht="35.1" customHeight="1">
      <c r="E24" s="534"/>
    </row>
    <row r="25" spans="5:13" ht="35.1" customHeight="1">
      <c r="E25" s="534"/>
    </row>
    <row r="26" spans="5:13" ht="35.1" customHeight="1">
      <c r="E26" s="534"/>
    </row>
    <row r="27" spans="5:13" ht="35.1" customHeight="1">
      <c r="E27" s="534"/>
    </row>
    <row r="28" spans="5:13" ht="35.1" customHeight="1">
      <c r="E28" s="534"/>
    </row>
    <row r="29" spans="5:13" ht="35.1" customHeight="1">
      <c r="E29" s="534"/>
    </row>
    <row r="30" spans="5:13" ht="35.1" customHeight="1">
      <c r="E30" s="534"/>
    </row>
    <row r="31" spans="5:13" ht="35.1" customHeight="1">
      <c r="E31" s="534"/>
    </row>
    <row r="32" spans="5:13" ht="35.1" customHeight="1">
      <c r="E32" s="534"/>
    </row>
    <row r="33" spans="5:5" ht="35.1" customHeight="1">
      <c r="E33" s="534"/>
    </row>
    <row r="34" spans="5:5" ht="35.1" customHeight="1">
      <c r="E34" s="534"/>
    </row>
    <row r="35" spans="5:5" ht="35.1" customHeight="1">
      <c r="E35" s="534"/>
    </row>
  </sheetData>
  <mergeCells count="1">
    <mergeCell ref="E5:F6"/>
  </mergeCells>
  <phoneticPr fontId="4" type="noConversion"/>
  <printOptions horizontalCentered="1" verticalCentered="1"/>
  <pageMargins left="0.15748031496062992" right="0.15748031496062992" top="0.39370078740157483" bottom="0.39370078740157483" header="0" footer="0"/>
  <pageSetup paperSize="9" scale="70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1"/>
  </sheetPr>
  <dimension ref="A2:Y344"/>
  <sheetViews>
    <sheetView showGridLines="0" zoomScaleNormal="100" workbookViewId="0">
      <selection activeCell="G2" sqref="G2"/>
    </sheetView>
  </sheetViews>
  <sheetFormatPr defaultRowHeight="20.100000000000001" customHeight="1"/>
  <cols>
    <col min="1" max="4" width="5" style="206" customWidth="1"/>
    <col min="5" max="5" width="5" style="214" customWidth="1"/>
    <col min="6" max="11" width="5" style="206" customWidth="1"/>
    <col min="12" max="12" width="32.5703125" style="2" bestFit="1" customWidth="1"/>
    <col min="13" max="13" width="9.140625" style="206"/>
    <col min="14" max="14" width="31" style="2" bestFit="1" customWidth="1"/>
    <col min="15" max="16" width="4" style="2" customWidth="1"/>
    <col min="17" max="17" width="5" style="2" customWidth="1"/>
    <col min="18" max="18" width="5" style="216" customWidth="1"/>
    <col min="19" max="19" width="5" style="217" customWidth="1"/>
    <col min="20" max="22" width="5" style="2" customWidth="1"/>
    <col min="23" max="23" width="30.28515625" style="2" customWidth="1"/>
    <col min="24" max="24" width="9.140625" style="2"/>
    <col min="25" max="25" width="36.7109375" style="2" bestFit="1" customWidth="1"/>
    <col min="26" max="16384" width="9.140625" style="2"/>
  </cols>
  <sheetData>
    <row r="2" spans="7:25" ht="34.5" customHeight="1">
      <c r="G2" s="220" t="s">
        <v>1114</v>
      </c>
    </row>
    <row r="4" spans="7:25" ht="20.100000000000001" customHeight="1">
      <c r="G4" s="208" t="s">
        <v>167</v>
      </c>
      <c r="H4" s="208"/>
      <c r="I4" s="208"/>
      <c r="J4" s="208"/>
      <c r="K4" s="208"/>
      <c r="L4" s="208"/>
      <c r="M4" s="208" t="s">
        <v>1113</v>
      </c>
      <c r="N4" s="208"/>
      <c r="Q4" s="207" t="s">
        <v>166</v>
      </c>
      <c r="R4" s="207"/>
      <c r="S4" s="207"/>
      <c r="T4" s="207"/>
      <c r="U4" s="207"/>
      <c r="V4" s="207"/>
      <c r="W4" s="208" t="s">
        <v>167</v>
      </c>
      <c r="X4" s="209" t="s">
        <v>168</v>
      </c>
      <c r="Y4" s="209" t="s">
        <v>169</v>
      </c>
    </row>
    <row r="5" spans="7:25" ht="20.100000000000001" customHeight="1">
      <c r="G5" s="208"/>
      <c r="H5" s="208"/>
      <c r="I5" s="208"/>
      <c r="J5" s="208"/>
      <c r="K5" s="208"/>
      <c r="L5" s="208"/>
      <c r="M5" s="209" t="s">
        <v>168</v>
      </c>
      <c r="N5" s="209" t="s">
        <v>169</v>
      </c>
      <c r="Q5" s="207" t="s">
        <v>170</v>
      </c>
      <c r="R5" s="207" t="s">
        <v>171</v>
      </c>
      <c r="S5" s="207" t="s">
        <v>172</v>
      </c>
      <c r="T5" s="207" t="s">
        <v>173</v>
      </c>
      <c r="U5" s="207" t="s">
        <v>174</v>
      </c>
      <c r="V5" s="207" t="s">
        <v>175</v>
      </c>
      <c r="W5" s="208" t="s">
        <v>176</v>
      </c>
      <c r="X5" s="209"/>
      <c r="Y5" s="209"/>
    </row>
    <row r="6" spans="7:25" ht="20.100000000000001" customHeight="1">
      <c r="G6" s="210" t="s">
        <v>177</v>
      </c>
      <c r="H6" s="211"/>
      <c r="I6" s="211"/>
      <c r="J6" s="211"/>
      <c r="K6" s="211"/>
      <c r="L6" s="211"/>
      <c r="M6" s="2"/>
      <c r="Q6" s="212" t="str">
        <f>IF(NOT(ISBLANK(G6)),"■","")</f>
        <v>■</v>
      </c>
      <c r="R6" s="212" t="str">
        <f>IF(NOT(ISBLANK(H6)),"■","")</f>
        <v/>
      </c>
      <c r="S6" s="212" t="str">
        <f>IF(NOT(ISBLANK(I6)),"■","")</f>
        <v/>
      </c>
      <c r="T6" s="212" t="str">
        <f>IF(NOT(ISBLANK(J6)),"⊙","")</f>
        <v/>
      </c>
      <c r="U6" s="212" t="str">
        <f>IF(NOT(ISBLANK(K6)),"*","")</f>
        <v/>
      </c>
      <c r="V6" s="212" t="str">
        <f>IF(NOT(ISBLANK(L6)),"-","")</f>
        <v/>
      </c>
      <c r="W6" s="15" t="str">
        <f>G6&amp;H6&amp;I6&amp;J6&amp;K6&amp;L6</f>
        <v>Assets</v>
      </c>
      <c r="X6" s="2" t="str">
        <f>IF(ISBLANK(M6),"",M6)</f>
        <v/>
      </c>
      <c r="Y6" s="2" t="str">
        <f>IF(ISBLANK(N6),"",N6)</f>
        <v/>
      </c>
    </row>
    <row r="7" spans="7:25" ht="20.100000000000001" customHeight="1">
      <c r="G7" s="211"/>
      <c r="H7" s="210" t="s">
        <v>178</v>
      </c>
      <c r="I7" s="211"/>
      <c r="J7" s="211"/>
      <c r="K7" s="211"/>
      <c r="L7" s="211"/>
      <c r="Q7" s="206" t="str">
        <f t="shared" ref="Q7:S72" si="0">IF(NOT(ISBLANK(G7)),"■","")</f>
        <v/>
      </c>
      <c r="R7" s="213" t="str">
        <f t="shared" si="0"/>
        <v>■</v>
      </c>
      <c r="S7" s="214" t="str">
        <f t="shared" si="0"/>
        <v/>
      </c>
      <c r="T7" s="212" t="str">
        <f t="shared" ref="T7:T72" si="1">IF(NOT(ISBLANK(J7)),"⊙","")</f>
        <v/>
      </c>
      <c r="U7" s="206" t="str">
        <f t="shared" ref="U7:U72" si="2">IF(NOT(ISBLANK(K7)),"*","")</f>
        <v/>
      </c>
      <c r="V7" s="212" t="str">
        <f t="shared" ref="V7:V72" si="3">IF(NOT(ISBLANK(L7)),"-","")</f>
        <v/>
      </c>
      <c r="W7" s="15" t="str">
        <f t="shared" ref="W7:W72" si="4">G7&amp;H7&amp;I7&amp;J7&amp;K7&amp;L7</f>
        <v>Ⅰ. Current Assets</v>
      </c>
      <c r="X7" s="2" t="str">
        <f t="shared" ref="X7:Y72" si="5">IF(ISBLANK(M7),"",M7)</f>
        <v/>
      </c>
      <c r="Y7" s="2" t="str">
        <f t="shared" si="5"/>
        <v/>
      </c>
    </row>
    <row r="8" spans="7:25" ht="20.100000000000001" customHeight="1">
      <c r="G8" s="211"/>
      <c r="H8" s="211"/>
      <c r="I8" s="210" t="s">
        <v>179</v>
      </c>
      <c r="J8" s="211"/>
      <c r="K8" s="211"/>
      <c r="L8" s="211"/>
      <c r="Q8" s="206" t="str">
        <f t="shared" si="0"/>
        <v/>
      </c>
      <c r="R8" s="213" t="str">
        <f t="shared" si="0"/>
        <v/>
      </c>
      <c r="S8" s="214" t="str">
        <f t="shared" si="0"/>
        <v>■</v>
      </c>
      <c r="T8" s="212" t="str">
        <f t="shared" si="1"/>
        <v/>
      </c>
      <c r="U8" s="206" t="str">
        <f t="shared" si="2"/>
        <v/>
      </c>
      <c r="V8" s="212" t="str">
        <f t="shared" si="3"/>
        <v/>
      </c>
      <c r="W8" s="15" t="str">
        <f t="shared" si="4"/>
        <v>(1) Quick Assets</v>
      </c>
      <c r="X8" s="2" t="str">
        <f t="shared" si="5"/>
        <v/>
      </c>
      <c r="Y8" s="2" t="str">
        <f t="shared" si="5"/>
        <v/>
      </c>
    </row>
    <row r="9" spans="7:25" ht="20.100000000000001" customHeight="1">
      <c r="G9" s="211"/>
      <c r="H9" s="211"/>
      <c r="I9" s="211"/>
      <c r="J9" s="210" t="s">
        <v>180</v>
      </c>
      <c r="K9" s="210"/>
      <c r="L9" s="211"/>
      <c r="Q9" s="206" t="str">
        <f t="shared" si="0"/>
        <v/>
      </c>
      <c r="R9" s="213" t="str">
        <f t="shared" si="0"/>
        <v/>
      </c>
      <c r="S9" s="214" t="str">
        <f t="shared" si="0"/>
        <v/>
      </c>
      <c r="T9" s="212" t="str">
        <f t="shared" si="1"/>
        <v>⊙</v>
      </c>
      <c r="U9" s="206" t="str">
        <f t="shared" si="2"/>
        <v/>
      </c>
      <c r="V9" s="212" t="str">
        <f t="shared" si="3"/>
        <v/>
      </c>
      <c r="W9" s="15" t="str">
        <f t="shared" si="4"/>
        <v>Cash and cash equivalents</v>
      </c>
      <c r="X9" s="2" t="str">
        <f t="shared" si="5"/>
        <v/>
      </c>
      <c r="Y9" s="2" t="str">
        <f t="shared" si="5"/>
        <v/>
      </c>
    </row>
    <row r="10" spans="7:25" ht="20.100000000000001" customHeight="1">
      <c r="G10" s="211"/>
      <c r="H10" s="211"/>
      <c r="I10" s="211"/>
      <c r="J10" s="211"/>
      <c r="K10" s="210" t="s">
        <v>181</v>
      </c>
      <c r="L10" s="211"/>
      <c r="Q10" s="206" t="str">
        <f t="shared" si="0"/>
        <v/>
      </c>
      <c r="R10" s="213" t="str">
        <f t="shared" si="0"/>
        <v/>
      </c>
      <c r="S10" s="214" t="str">
        <f t="shared" si="0"/>
        <v/>
      </c>
      <c r="T10" s="212" t="str">
        <f t="shared" si="1"/>
        <v/>
      </c>
      <c r="U10" s="206" t="str">
        <f t="shared" si="2"/>
        <v>*</v>
      </c>
      <c r="V10" s="212" t="str">
        <f t="shared" si="3"/>
        <v/>
      </c>
      <c r="W10" s="15" t="str">
        <f t="shared" si="4"/>
        <v>Cash</v>
      </c>
      <c r="X10" s="2" t="str">
        <f t="shared" si="5"/>
        <v/>
      </c>
      <c r="Y10" s="2" t="str">
        <f t="shared" si="5"/>
        <v/>
      </c>
    </row>
    <row r="11" spans="7:25" ht="20.100000000000001" customHeight="1">
      <c r="G11" s="211"/>
      <c r="H11" s="211"/>
      <c r="I11" s="211"/>
      <c r="J11" s="211"/>
      <c r="K11" s="211"/>
      <c r="L11" s="211" t="s">
        <v>181</v>
      </c>
      <c r="M11" s="206" t="s">
        <v>182</v>
      </c>
      <c r="N11" s="2" t="s">
        <v>183</v>
      </c>
      <c r="Q11" s="206" t="str">
        <f t="shared" si="0"/>
        <v/>
      </c>
      <c r="R11" s="213" t="str">
        <f t="shared" si="0"/>
        <v/>
      </c>
      <c r="S11" s="214" t="str">
        <f t="shared" si="0"/>
        <v/>
      </c>
      <c r="T11" s="212" t="str">
        <f t="shared" si="1"/>
        <v/>
      </c>
      <c r="U11" s="206" t="str">
        <f t="shared" si="2"/>
        <v/>
      </c>
      <c r="V11" s="212" t="str">
        <f t="shared" si="3"/>
        <v>-</v>
      </c>
      <c r="W11" s="13" t="str">
        <f t="shared" si="4"/>
        <v>Cash</v>
      </c>
      <c r="X11" s="2" t="str">
        <f t="shared" si="5"/>
        <v>1101101</v>
      </c>
      <c r="Y11" s="2" t="str">
        <f t="shared" si="5"/>
        <v>Cash on hand</v>
      </c>
    </row>
    <row r="12" spans="7:25" ht="20.100000000000001" customHeight="1">
      <c r="G12" s="211"/>
      <c r="H12" s="211"/>
      <c r="I12" s="211"/>
      <c r="J12" s="211"/>
      <c r="K12" s="211"/>
      <c r="L12" s="211" t="s">
        <v>181</v>
      </c>
      <c r="M12" s="206" t="s">
        <v>184</v>
      </c>
      <c r="N12" s="2" t="s">
        <v>185</v>
      </c>
      <c r="Q12" s="206" t="str">
        <f t="shared" si="0"/>
        <v/>
      </c>
      <c r="R12" s="213" t="str">
        <f t="shared" si="0"/>
        <v/>
      </c>
      <c r="S12" s="214" t="str">
        <f t="shared" si="0"/>
        <v/>
      </c>
      <c r="T12" s="212" t="str">
        <f t="shared" si="1"/>
        <v/>
      </c>
      <c r="U12" s="206" t="str">
        <f t="shared" si="2"/>
        <v/>
      </c>
      <c r="V12" s="212" t="str">
        <f t="shared" si="3"/>
        <v>-</v>
      </c>
      <c r="W12" s="13" t="str">
        <f t="shared" si="4"/>
        <v>Cash</v>
      </c>
      <c r="X12" s="2" t="str">
        <f t="shared" si="5"/>
        <v>1105101</v>
      </c>
      <c r="Y12" s="2" t="str">
        <f t="shared" si="5"/>
        <v>Advanced money</v>
      </c>
    </row>
    <row r="13" spans="7:25" ht="20.100000000000001" customHeight="1">
      <c r="G13" s="211"/>
      <c r="H13" s="211"/>
      <c r="I13" s="211"/>
      <c r="J13" s="211"/>
      <c r="K13" s="210" t="s">
        <v>186</v>
      </c>
      <c r="L13" s="211"/>
      <c r="Q13" s="206" t="str">
        <f t="shared" si="0"/>
        <v/>
      </c>
      <c r="R13" s="213" t="str">
        <f t="shared" si="0"/>
        <v/>
      </c>
      <c r="S13" s="214" t="str">
        <f t="shared" si="0"/>
        <v/>
      </c>
      <c r="T13" s="212" t="str">
        <f t="shared" si="1"/>
        <v/>
      </c>
      <c r="U13" s="206" t="str">
        <f t="shared" si="2"/>
        <v>*</v>
      </c>
      <c r="V13" s="212" t="str">
        <f t="shared" si="3"/>
        <v/>
      </c>
      <c r="W13" s="15" t="str">
        <f t="shared" si="4"/>
        <v>Deposit</v>
      </c>
      <c r="X13" s="2" t="str">
        <f t="shared" si="5"/>
        <v/>
      </c>
      <c r="Y13" s="2" t="str">
        <f t="shared" si="5"/>
        <v/>
      </c>
    </row>
    <row r="14" spans="7:25" ht="20.100000000000001" customHeight="1">
      <c r="G14" s="211"/>
      <c r="H14" s="211"/>
      <c r="I14" s="211"/>
      <c r="J14" s="211"/>
      <c r="K14" s="211"/>
      <c r="L14" s="211" t="s">
        <v>186</v>
      </c>
      <c r="M14" s="206" t="s">
        <v>187</v>
      </c>
      <c r="N14" s="2" t="s">
        <v>186</v>
      </c>
      <c r="Q14" s="206" t="str">
        <f t="shared" si="0"/>
        <v/>
      </c>
      <c r="R14" s="213" t="str">
        <f t="shared" si="0"/>
        <v/>
      </c>
      <c r="S14" s="214" t="str">
        <f t="shared" si="0"/>
        <v/>
      </c>
      <c r="T14" s="212" t="str">
        <f t="shared" si="1"/>
        <v/>
      </c>
      <c r="U14" s="206" t="str">
        <f t="shared" si="2"/>
        <v/>
      </c>
      <c r="V14" s="212" t="str">
        <f t="shared" si="3"/>
        <v>-</v>
      </c>
      <c r="W14" s="13" t="str">
        <f t="shared" si="4"/>
        <v>Deposit</v>
      </c>
      <c r="X14" s="2" t="str">
        <f t="shared" si="5"/>
        <v>1103101</v>
      </c>
      <c r="Y14" s="2" t="str">
        <f t="shared" si="5"/>
        <v>Deposit</v>
      </c>
    </row>
    <row r="15" spans="7:25" ht="20.100000000000001" customHeight="1">
      <c r="G15" s="211"/>
      <c r="H15" s="211"/>
      <c r="I15" s="211"/>
      <c r="J15" s="210" t="s">
        <v>188</v>
      </c>
      <c r="K15" s="211"/>
      <c r="L15" s="211"/>
      <c r="Q15" s="206" t="str">
        <f t="shared" si="0"/>
        <v/>
      </c>
      <c r="R15" s="213" t="str">
        <f t="shared" si="0"/>
        <v/>
      </c>
      <c r="S15" s="214" t="str">
        <f t="shared" si="0"/>
        <v/>
      </c>
      <c r="T15" s="212" t="str">
        <f t="shared" si="1"/>
        <v>⊙</v>
      </c>
      <c r="U15" s="206" t="str">
        <f t="shared" si="2"/>
        <v/>
      </c>
      <c r="V15" s="212" t="str">
        <f t="shared" si="3"/>
        <v/>
      </c>
      <c r="W15" s="15" t="str">
        <f t="shared" si="4"/>
        <v>Accounts Receivable</v>
      </c>
      <c r="X15" s="2" t="str">
        <f t="shared" si="5"/>
        <v/>
      </c>
      <c r="Y15" s="2" t="str">
        <f t="shared" si="5"/>
        <v/>
      </c>
    </row>
    <row r="16" spans="7:25" ht="20.100000000000001" customHeight="1">
      <c r="G16" s="211"/>
      <c r="H16" s="211"/>
      <c r="I16" s="211"/>
      <c r="J16" s="211"/>
      <c r="K16" s="211"/>
      <c r="L16" s="211" t="s">
        <v>188</v>
      </c>
      <c r="M16" s="206" t="s">
        <v>189</v>
      </c>
      <c r="N16" s="2" t="s">
        <v>190</v>
      </c>
      <c r="Q16" s="206" t="str">
        <f t="shared" si="0"/>
        <v/>
      </c>
      <c r="R16" s="213" t="str">
        <f t="shared" si="0"/>
        <v/>
      </c>
      <c r="S16" s="214" t="str">
        <f t="shared" si="0"/>
        <v/>
      </c>
      <c r="T16" s="212" t="str">
        <f t="shared" si="1"/>
        <v/>
      </c>
      <c r="U16" s="206" t="str">
        <f t="shared" si="2"/>
        <v/>
      </c>
      <c r="V16" s="212" t="str">
        <f t="shared" si="3"/>
        <v>-</v>
      </c>
      <c r="W16" s="13" t="str">
        <f t="shared" si="4"/>
        <v>Accounts Receivable</v>
      </c>
      <c r="X16" s="2" t="str">
        <f t="shared" si="5"/>
        <v>1131101</v>
      </c>
      <c r="Y16" s="2" t="str">
        <f t="shared" si="5"/>
        <v>Accounts Receivable</v>
      </c>
    </row>
    <row r="17" spans="7:25" ht="20.100000000000001" customHeight="1">
      <c r="G17" s="211"/>
      <c r="H17" s="211"/>
      <c r="I17" s="211"/>
      <c r="J17" s="211"/>
      <c r="K17" s="211"/>
      <c r="L17" s="211" t="s">
        <v>191</v>
      </c>
      <c r="M17" s="206" t="s">
        <v>192</v>
      </c>
      <c r="N17" s="2" t="s">
        <v>193</v>
      </c>
      <c r="Q17" s="206" t="str">
        <f t="shared" si="0"/>
        <v/>
      </c>
      <c r="R17" s="213" t="str">
        <f t="shared" si="0"/>
        <v/>
      </c>
      <c r="S17" s="214" t="str">
        <f t="shared" si="0"/>
        <v/>
      </c>
      <c r="T17" s="212" t="str">
        <f t="shared" si="1"/>
        <v/>
      </c>
      <c r="U17" s="206" t="str">
        <f t="shared" si="2"/>
        <v/>
      </c>
      <c r="V17" s="212" t="str">
        <f t="shared" si="3"/>
        <v>-</v>
      </c>
      <c r="W17" s="13" t="str">
        <f t="shared" si="4"/>
        <v xml:space="preserve"> (Allowance for bad debt)</v>
      </c>
      <c r="X17" s="2" t="str">
        <f t="shared" si="5"/>
        <v>1131606</v>
      </c>
      <c r="Y17" s="2" t="str">
        <f t="shared" si="5"/>
        <v>Allowance for bad debt</v>
      </c>
    </row>
    <row r="18" spans="7:25" ht="20.100000000000001" customHeight="1">
      <c r="G18" s="211"/>
      <c r="H18" s="211"/>
      <c r="I18" s="211"/>
      <c r="J18" s="210" t="s">
        <v>194</v>
      </c>
      <c r="K18" s="211"/>
      <c r="L18" s="211"/>
      <c r="Q18" s="206" t="str">
        <f t="shared" si="0"/>
        <v/>
      </c>
      <c r="R18" s="213" t="str">
        <f t="shared" si="0"/>
        <v/>
      </c>
      <c r="S18" s="214" t="str">
        <f t="shared" si="0"/>
        <v/>
      </c>
      <c r="T18" s="212" t="str">
        <f t="shared" si="1"/>
        <v>⊙</v>
      </c>
      <c r="U18" s="206" t="str">
        <f t="shared" si="2"/>
        <v/>
      </c>
      <c r="V18" s="212" t="str">
        <f t="shared" si="3"/>
        <v/>
      </c>
      <c r="W18" s="15" t="str">
        <f t="shared" si="4"/>
        <v>Other current financial assets</v>
      </c>
      <c r="X18" s="2" t="str">
        <f t="shared" si="5"/>
        <v/>
      </c>
      <c r="Y18" s="2" t="str">
        <f t="shared" si="5"/>
        <v/>
      </c>
    </row>
    <row r="19" spans="7:25" ht="20.100000000000001" customHeight="1">
      <c r="G19" s="211"/>
      <c r="H19" s="211"/>
      <c r="I19" s="211"/>
      <c r="J19" s="211"/>
      <c r="K19" s="210" t="s">
        <v>195</v>
      </c>
      <c r="L19" s="211"/>
      <c r="Q19" s="206" t="str">
        <f t="shared" si="0"/>
        <v/>
      </c>
      <c r="R19" s="213" t="str">
        <f t="shared" si="0"/>
        <v/>
      </c>
      <c r="S19" s="214" t="str">
        <f t="shared" si="0"/>
        <v/>
      </c>
      <c r="T19" s="212" t="str">
        <f t="shared" si="1"/>
        <v/>
      </c>
      <c r="U19" s="206" t="str">
        <f t="shared" si="2"/>
        <v>*</v>
      </c>
      <c r="V19" s="212" t="str">
        <f t="shared" si="3"/>
        <v/>
      </c>
      <c r="W19" s="15" t="str">
        <f t="shared" si="4"/>
        <v>Short-Term Investment</v>
      </c>
      <c r="X19" s="2" t="str">
        <f t="shared" si="5"/>
        <v/>
      </c>
      <c r="Y19" s="2" t="str">
        <f t="shared" si="5"/>
        <v/>
      </c>
    </row>
    <row r="20" spans="7:25" ht="20.100000000000001" customHeight="1">
      <c r="G20" s="211"/>
      <c r="H20" s="211"/>
      <c r="I20" s="211"/>
      <c r="J20" s="211"/>
      <c r="K20" s="211"/>
      <c r="L20" s="211" t="s">
        <v>196</v>
      </c>
      <c r="M20" s="206" t="s">
        <v>197</v>
      </c>
      <c r="N20" s="2" t="s">
        <v>196</v>
      </c>
      <c r="Q20" s="206" t="str">
        <f t="shared" si="0"/>
        <v/>
      </c>
      <c r="R20" s="213" t="str">
        <f t="shared" si="0"/>
        <v/>
      </c>
      <c r="S20" s="214" t="str">
        <f t="shared" si="0"/>
        <v/>
      </c>
      <c r="T20" s="212" t="str">
        <f t="shared" si="1"/>
        <v/>
      </c>
      <c r="U20" s="206" t="str">
        <f t="shared" si="2"/>
        <v/>
      </c>
      <c r="V20" s="212" t="str">
        <f t="shared" si="3"/>
        <v>-</v>
      </c>
      <c r="W20" s="13" t="str">
        <f t="shared" si="4"/>
        <v>Fixed deposit</v>
      </c>
      <c r="X20" s="2" t="str">
        <f t="shared" si="5"/>
        <v>1211101</v>
      </c>
      <c r="Y20" s="2" t="str">
        <f t="shared" si="5"/>
        <v>Fixed deposit</v>
      </c>
    </row>
    <row r="21" spans="7:25" ht="20.100000000000001" customHeight="1">
      <c r="G21" s="211"/>
      <c r="H21" s="211"/>
      <c r="I21" s="211"/>
      <c r="J21" s="211"/>
      <c r="K21" s="210" t="s">
        <v>198</v>
      </c>
      <c r="L21" s="211"/>
      <c r="Q21" s="206" t="str">
        <f t="shared" si="0"/>
        <v/>
      </c>
      <c r="R21" s="213" t="str">
        <f t="shared" si="0"/>
        <v/>
      </c>
      <c r="S21" s="214" t="str">
        <f t="shared" si="0"/>
        <v/>
      </c>
      <c r="T21" s="212" t="str">
        <f t="shared" si="1"/>
        <v/>
      </c>
      <c r="U21" s="206" t="str">
        <f t="shared" si="2"/>
        <v>*</v>
      </c>
      <c r="V21" s="212" t="str">
        <f t="shared" si="3"/>
        <v/>
      </c>
      <c r="W21" s="15" t="str">
        <f t="shared" si="4"/>
        <v>Short-term Loans</v>
      </c>
      <c r="X21" s="2" t="str">
        <f t="shared" si="5"/>
        <v/>
      </c>
      <c r="Y21" s="2" t="str">
        <f t="shared" si="5"/>
        <v/>
      </c>
    </row>
    <row r="22" spans="7:25" ht="20.100000000000001" customHeight="1">
      <c r="G22" s="211"/>
      <c r="H22" s="211"/>
      <c r="I22" s="211"/>
      <c r="J22" s="211"/>
      <c r="K22" s="211"/>
      <c r="L22" s="211" t="s">
        <v>199</v>
      </c>
      <c r="M22" s="206" t="s">
        <v>200</v>
      </c>
      <c r="N22" s="2" t="s">
        <v>199</v>
      </c>
      <c r="Q22" s="206" t="str">
        <f t="shared" si="0"/>
        <v/>
      </c>
      <c r="R22" s="213" t="str">
        <f t="shared" si="0"/>
        <v/>
      </c>
      <c r="S22" s="214" t="str">
        <f t="shared" si="0"/>
        <v/>
      </c>
      <c r="T22" s="212" t="str">
        <f t="shared" si="1"/>
        <v/>
      </c>
      <c r="U22" s="206" t="str">
        <f t="shared" si="2"/>
        <v/>
      </c>
      <c r="V22" s="212" t="str">
        <f t="shared" si="3"/>
        <v>-</v>
      </c>
      <c r="W22" s="13" t="str">
        <f t="shared" si="4"/>
        <v>Short-term Loans</v>
      </c>
      <c r="X22" s="2" t="str">
        <f t="shared" si="5"/>
        <v>1217101</v>
      </c>
      <c r="Y22" s="2" t="str">
        <f t="shared" si="5"/>
        <v>Short-term Loans</v>
      </c>
    </row>
    <row r="23" spans="7:25" ht="20.100000000000001" customHeight="1">
      <c r="G23" s="211"/>
      <c r="H23" s="211"/>
      <c r="I23" s="211"/>
      <c r="J23" s="211"/>
      <c r="K23" s="211"/>
      <c r="L23" s="211" t="s">
        <v>201</v>
      </c>
      <c r="M23" s="206" t="s">
        <v>202</v>
      </c>
      <c r="N23" s="2" t="s">
        <v>203</v>
      </c>
      <c r="Q23" s="206" t="str">
        <f t="shared" si="0"/>
        <v/>
      </c>
      <c r="R23" s="213" t="str">
        <f t="shared" si="0"/>
        <v/>
      </c>
      <c r="S23" s="214" t="str">
        <f t="shared" si="0"/>
        <v/>
      </c>
      <c r="T23" s="212" t="str">
        <f t="shared" si="1"/>
        <v/>
      </c>
      <c r="U23" s="206" t="str">
        <f t="shared" si="2"/>
        <v/>
      </c>
      <c r="V23" s="212" t="str">
        <f t="shared" si="3"/>
        <v>-</v>
      </c>
      <c r="W23" s="13" t="str">
        <f t="shared" si="4"/>
        <v>Loans to Affiliate</v>
      </c>
      <c r="X23" s="2" t="str">
        <f t="shared" si="5"/>
        <v>1217301</v>
      </c>
      <c r="Y23" s="2" t="str">
        <f t="shared" si="5"/>
        <v>Loans to Affiliate</v>
      </c>
    </row>
    <row r="24" spans="7:25" ht="20.100000000000001" customHeight="1">
      <c r="G24" s="211"/>
      <c r="H24" s="211"/>
      <c r="I24" s="211"/>
      <c r="J24" s="211"/>
      <c r="K24" s="211"/>
      <c r="L24" s="211" t="s">
        <v>204</v>
      </c>
      <c r="M24" s="206" t="s">
        <v>205</v>
      </c>
      <c r="N24" s="2" t="s">
        <v>206</v>
      </c>
      <c r="Q24" s="206" t="str">
        <f t="shared" si="0"/>
        <v/>
      </c>
      <c r="R24" s="213" t="str">
        <f t="shared" si="0"/>
        <v/>
      </c>
      <c r="S24" s="214" t="str">
        <f t="shared" si="0"/>
        <v/>
      </c>
      <c r="T24" s="212" t="str">
        <f t="shared" si="1"/>
        <v/>
      </c>
      <c r="U24" s="206" t="str">
        <f t="shared" si="2"/>
        <v/>
      </c>
      <c r="V24" s="212" t="str">
        <f t="shared" si="3"/>
        <v>-</v>
      </c>
      <c r="W24" s="13" t="str">
        <f t="shared" si="4"/>
        <v>Loans to Employee</v>
      </c>
      <c r="X24" s="2" t="str">
        <f t="shared" si="5"/>
        <v>1217501</v>
      </c>
      <c r="Y24" s="2" t="str">
        <f t="shared" si="5"/>
        <v>Loans to Employee</v>
      </c>
    </row>
    <row r="25" spans="7:25" ht="20.100000000000001" customHeight="1">
      <c r="G25" s="211"/>
      <c r="H25" s="211"/>
      <c r="I25" s="211"/>
      <c r="J25" s="211"/>
      <c r="K25" s="211"/>
      <c r="L25" s="211" t="s">
        <v>207</v>
      </c>
      <c r="M25" s="206" t="s">
        <v>208</v>
      </c>
      <c r="N25" s="2" t="s">
        <v>209</v>
      </c>
      <c r="Q25" s="206" t="str">
        <f t="shared" si="0"/>
        <v/>
      </c>
      <c r="R25" s="213" t="str">
        <f t="shared" si="0"/>
        <v/>
      </c>
      <c r="S25" s="214" t="str">
        <f t="shared" si="0"/>
        <v/>
      </c>
      <c r="T25" s="212" t="str">
        <f t="shared" si="1"/>
        <v/>
      </c>
      <c r="U25" s="206" t="str">
        <f t="shared" si="2"/>
        <v/>
      </c>
      <c r="V25" s="212" t="str">
        <f t="shared" si="3"/>
        <v>-</v>
      </c>
      <c r="W25" s="13" t="str">
        <f t="shared" si="4"/>
        <v>Suspense Payment</v>
      </c>
      <c r="X25" s="2" t="str">
        <f t="shared" si="5"/>
        <v>1217601</v>
      </c>
      <c r="Y25" s="2" t="str">
        <f t="shared" si="5"/>
        <v>Suspense Payment</v>
      </c>
    </row>
    <row r="26" spans="7:25" ht="20.100000000000001" customHeight="1">
      <c r="G26" s="211"/>
      <c r="H26" s="211"/>
      <c r="I26" s="211"/>
      <c r="J26" s="210" t="s">
        <v>210</v>
      </c>
      <c r="K26" s="211"/>
      <c r="L26" s="211"/>
      <c r="Q26" s="206" t="str">
        <f t="shared" si="0"/>
        <v/>
      </c>
      <c r="R26" s="213" t="str">
        <f t="shared" si="0"/>
        <v/>
      </c>
      <c r="S26" s="214" t="str">
        <f t="shared" si="0"/>
        <v/>
      </c>
      <c r="T26" s="212" t="str">
        <f t="shared" si="1"/>
        <v>⊙</v>
      </c>
      <c r="U26" s="206" t="str">
        <f t="shared" si="2"/>
        <v/>
      </c>
      <c r="V26" s="212" t="str">
        <f t="shared" si="3"/>
        <v/>
      </c>
      <c r="W26" s="15" t="str">
        <f t="shared" si="4"/>
        <v>Other current assets</v>
      </c>
      <c r="X26" s="2" t="str">
        <f t="shared" si="5"/>
        <v/>
      </c>
      <c r="Y26" s="2" t="str">
        <f t="shared" si="5"/>
        <v/>
      </c>
    </row>
    <row r="27" spans="7:25" ht="20.100000000000001" customHeight="1">
      <c r="G27" s="211"/>
      <c r="H27" s="211"/>
      <c r="I27" s="211"/>
      <c r="J27" s="211"/>
      <c r="K27" s="210" t="s">
        <v>211</v>
      </c>
      <c r="L27" s="211"/>
      <c r="M27" s="206" t="s">
        <v>212</v>
      </c>
      <c r="N27" s="2" t="s">
        <v>213</v>
      </c>
      <c r="Q27" s="206" t="str">
        <f t="shared" si="0"/>
        <v/>
      </c>
      <c r="R27" s="213" t="str">
        <f t="shared" si="0"/>
        <v/>
      </c>
      <c r="S27" s="214" t="str">
        <f t="shared" si="0"/>
        <v/>
      </c>
      <c r="T27" s="212" t="str">
        <f t="shared" si="1"/>
        <v/>
      </c>
      <c r="U27" s="206" t="str">
        <f t="shared" si="2"/>
        <v>*</v>
      </c>
      <c r="V27" s="212" t="str">
        <f t="shared" si="3"/>
        <v/>
      </c>
      <c r="W27" s="15" t="str">
        <f t="shared" si="4"/>
        <v>Other Receivable</v>
      </c>
      <c r="X27" s="2" t="str">
        <f t="shared" si="5"/>
        <v>1251101</v>
      </c>
      <c r="Y27" s="2" t="str">
        <f t="shared" si="5"/>
        <v>Other Receivable - MMK</v>
      </c>
    </row>
    <row r="28" spans="7:25" ht="20.100000000000001" customHeight="1">
      <c r="G28" s="211"/>
      <c r="H28" s="211"/>
      <c r="I28" s="211"/>
      <c r="J28" s="211"/>
      <c r="K28" s="210" t="s">
        <v>214</v>
      </c>
      <c r="L28" s="211"/>
      <c r="M28" s="206" t="s">
        <v>215</v>
      </c>
      <c r="N28" s="2" t="s">
        <v>216</v>
      </c>
      <c r="Q28" s="206" t="str">
        <f t="shared" si="0"/>
        <v/>
      </c>
      <c r="R28" s="213" t="str">
        <f t="shared" si="0"/>
        <v/>
      </c>
      <c r="S28" s="214" t="str">
        <f t="shared" si="0"/>
        <v/>
      </c>
      <c r="T28" s="212" t="str">
        <f t="shared" si="1"/>
        <v/>
      </c>
      <c r="U28" s="206" t="str">
        <f t="shared" si="2"/>
        <v>*</v>
      </c>
      <c r="V28" s="212" t="str">
        <f t="shared" si="3"/>
        <v/>
      </c>
      <c r="W28" s="15" t="str">
        <f t="shared" si="4"/>
        <v>Advanced Payments</v>
      </c>
      <c r="X28" s="2" t="str">
        <f t="shared" si="5"/>
        <v>1253101</v>
      </c>
      <c r="Y28" s="2" t="str">
        <f t="shared" si="5"/>
        <v>Advanced Payments - MMK</v>
      </c>
    </row>
    <row r="29" spans="7:25" ht="20.100000000000001" customHeight="1">
      <c r="G29" s="211"/>
      <c r="H29" s="211"/>
      <c r="I29" s="211"/>
      <c r="J29" s="211"/>
      <c r="K29" s="210" t="s">
        <v>217</v>
      </c>
      <c r="L29" s="211"/>
      <c r="M29" s="2"/>
      <c r="Q29" s="206" t="str">
        <f t="shared" si="0"/>
        <v/>
      </c>
      <c r="R29" s="213" t="str">
        <f t="shared" si="0"/>
        <v/>
      </c>
      <c r="S29" s="214" t="str">
        <f t="shared" si="0"/>
        <v/>
      </c>
      <c r="T29" s="212" t="str">
        <f t="shared" si="1"/>
        <v/>
      </c>
      <c r="U29" s="206" t="str">
        <f t="shared" si="2"/>
        <v>*</v>
      </c>
      <c r="V29" s="212" t="str">
        <f t="shared" si="3"/>
        <v/>
      </c>
      <c r="W29" s="15" t="str">
        <f t="shared" si="4"/>
        <v>Prepaid Tax</v>
      </c>
      <c r="X29" s="2" t="str">
        <f t="shared" si="5"/>
        <v/>
      </c>
      <c r="Y29" s="2" t="str">
        <f t="shared" si="5"/>
        <v/>
      </c>
    </row>
    <row r="30" spans="7:25" ht="20.100000000000001" customHeight="1">
      <c r="G30" s="211"/>
      <c r="H30" s="211"/>
      <c r="I30" s="211"/>
      <c r="J30" s="211"/>
      <c r="K30" s="211"/>
      <c r="L30" s="211" t="s">
        <v>218</v>
      </c>
      <c r="M30" s="2" t="s">
        <v>219</v>
      </c>
      <c r="N30" s="2" t="s">
        <v>220</v>
      </c>
      <c r="Q30" s="206" t="str">
        <f t="shared" si="0"/>
        <v/>
      </c>
      <c r="R30" s="213" t="str">
        <f t="shared" si="0"/>
        <v/>
      </c>
      <c r="S30" s="214" t="str">
        <f t="shared" si="0"/>
        <v/>
      </c>
      <c r="T30" s="212" t="str">
        <f t="shared" si="1"/>
        <v/>
      </c>
      <c r="U30" s="206" t="str">
        <f t="shared" si="2"/>
        <v/>
      </c>
      <c r="V30" s="212" t="str">
        <f t="shared" si="3"/>
        <v>-</v>
      </c>
      <c r="W30" s="13" t="str">
        <f t="shared" si="4"/>
        <v>Prepaid income Tax</v>
      </c>
      <c r="X30" s="2" t="str">
        <f t="shared" si="5"/>
        <v>1255101</v>
      </c>
      <c r="Y30" s="2" t="str">
        <f t="shared" si="5"/>
        <v>Prepaid income Tax - MMK</v>
      </c>
    </row>
    <row r="31" spans="7:25" ht="20.100000000000001" customHeight="1">
      <c r="G31" s="211"/>
      <c r="H31" s="211"/>
      <c r="I31" s="211"/>
      <c r="J31" s="211"/>
      <c r="K31" s="211"/>
      <c r="L31" s="211" t="s">
        <v>221</v>
      </c>
      <c r="M31" s="206" t="s">
        <v>222</v>
      </c>
      <c r="N31" s="2" t="s">
        <v>221</v>
      </c>
      <c r="Q31" s="206" t="str">
        <f t="shared" si="0"/>
        <v/>
      </c>
      <c r="R31" s="213" t="str">
        <f t="shared" si="0"/>
        <v/>
      </c>
      <c r="S31" s="214" t="str">
        <f t="shared" si="0"/>
        <v/>
      </c>
      <c r="T31" s="212" t="str">
        <f t="shared" si="1"/>
        <v/>
      </c>
      <c r="U31" s="206" t="str">
        <f t="shared" si="2"/>
        <v/>
      </c>
      <c r="V31" s="212" t="str">
        <f t="shared" si="3"/>
        <v>-</v>
      </c>
      <c r="W31" s="13" t="str">
        <f t="shared" si="4"/>
        <v>Prepaid Tax</v>
      </c>
      <c r="X31" s="2" t="str">
        <f t="shared" si="5"/>
        <v>1255300</v>
      </c>
      <c r="Y31" s="2" t="str">
        <f t="shared" si="5"/>
        <v>Prepaid Tax</v>
      </c>
    </row>
    <row r="32" spans="7:25" ht="20.100000000000001" customHeight="1">
      <c r="G32" s="211"/>
      <c r="H32" s="211"/>
      <c r="I32" s="211"/>
      <c r="J32" s="211"/>
      <c r="K32" s="211"/>
      <c r="L32" s="211" t="s">
        <v>223</v>
      </c>
      <c r="M32" s="206" t="s">
        <v>224</v>
      </c>
      <c r="N32" s="2" t="s">
        <v>223</v>
      </c>
      <c r="Q32" s="206" t="str">
        <f t="shared" si="0"/>
        <v/>
      </c>
      <c r="R32" s="213" t="str">
        <f t="shared" si="0"/>
        <v/>
      </c>
      <c r="S32" s="214" t="str">
        <f t="shared" si="0"/>
        <v/>
      </c>
      <c r="T32" s="212" t="str">
        <f t="shared" si="1"/>
        <v/>
      </c>
      <c r="U32" s="206" t="str">
        <f t="shared" si="2"/>
        <v/>
      </c>
      <c r="V32" s="212" t="str">
        <f t="shared" si="3"/>
        <v>-</v>
      </c>
      <c r="W32" s="13" t="str">
        <f t="shared" si="4"/>
        <v>Prepaid VAT</v>
      </c>
      <c r="X32" s="2" t="str">
        <f t="shared" si="5"/>
        <v>1255500</v>
      </c>
      <c r="Y32" s="2" t="str">
        <f t="shared" si="5"/>
        <v>Prepaid VAT</v>
      </c>
    </row>
    <row r="33" spans="7:25" ht="20.100000000000001" customHeight="1">
      <c r="G33" s="211"/>
      <c r="H33" s="211"/>
      <c r="I33" s="211"/>
      <c r="J33" s="211"/>
      <c r="K33" s="210" t="s">
        <v>225</v>
      </c>
      <c r="L33" s="211"/>
      <c r="M33" s="206" t="s">
        <v>226</v>
      </c>
      <c r="N33" s="2" t="s">
        <v>227</v>
      </c>
      <c r="Q33" s="206" t="str">
        <f t="shared" si="0"/>
        <v/>
      </c>
      <c r="R33" s="213" t="str">
        <f t="shared" si="0"/>
        <v/>
      </c>
      <c r="S33" s="214" t="str">
        <f t="shared" si="0"/>
        <v/>
      </c>
      <c r="T33" s="212" t="str">
        <f t="shared" si="1"/>
        <v/>
      </c>
      <c r="U33" s="206" t="str">
        <f t="shared" si="2"/>
        <v>*</v>
      </c>
      <c r="V33" s="212" t="str">
        <f t="shared" si="3"/>
        <v/>
      </c>
      <c r="W33" s="15" t="str">
        <f t="shared" si="4"/>
        <v>Accrued Income</v>
      </c>
      <c r="X33" s="2" t="str">
        <f t="shared" si="5"/>
        <v>1256101</v>
      </c>
      <c r="Y33" s="2" t="str">
        <f t="shared" si="5"/>
        <v>Accrued Income - MMK</v>
      </c>
    </row>
    <row r="34" spans="7:25" ht="20.100000000000001" customHeight="1">
      <c r="G34" s="211"/>
      <c r="H34" s="211"/>
      <c r="I34" s="211"/>
      <c r="J34" s="211"/>
      <c r="K34" s="210" t="s">
        <v>228</v>
      </c>
      <c r="L34" s="211"/>
      <c r="M34" s="206" t="s">
        <v>229</v>
      </c>
      <c r="N34" s="2" t="s">
        <v>230</v>
      </c>
      <c r="Q34" s="206" t="str">
        <f t="shared" si="0"/>
        <v/>
      </c>
      <c r="R34" s="213" t="str">
        <f t="shared" si="0"/>
        <v/>
      </c>
      <c r="S34" s="214" t="str">
        <f t="shared" si="0"/>
        <v/>
      </c>
      <c r="T34" s="212" t="str">
        <f t="shared" si="1"/>
        <v/>
      </c>
      <c r="U34" s="206" t="str">
        <f t="shared" si="2"/>
        <v>*</v>
      </c>
      <c r="V34" s="212" t="str">
        <f t="shared" si="3"/>
        <v/>
      </c>
      <c r="W34" s="15" t="str">
        <f t="shared" si="4"/>
        <v>Prepaid expense</v>
      </c>
      <c r="X34" s="2" t="str">
        <f t="shared" si="5"/>
        <v>1257101</v>
      </c>
      <c r="Y34" s="2" t="str">
        <f t="shared" si="5"/>
        <v>Prepaid expense - MMK</v>
      </c>
    </row>
    <row r="35" spans="7:25" ht="20.100000000000001" customHeight="1">
      <c r="G35" s="211"/>
      <c r="H35" s="211"/>
      <c r="I35" s="211"/>
      <c r="J35" s="210" t="s">
        <v>231</v>
      </c>
      <c r="K35" s="210"/>
      <c r="L35" s="211"/>
      <c r="Q35" s="206" t="str">
        <f t="shared" si="0"/>
        <v/>
      </c>
      <c r="R35" s="213" t="str">
        <f t="shared" si="0"/>
        <v/>
      </c>
      <c r="S35" s="214" t="str">
        <f t="shared" si="0"/>
        <v/>
      </c>
      <c r="T35" s="212" t="str">
        <f t="shared" si="1"/>
        <v>⊙</v>
      </c>
      <c r="U35" s="206" t="str">
        <f t="shared" si="2"/>
        <v/>
      </c>
      <c r="V35" s="212" t="str">
        <f t="shared" si="3"/>
        <v/>
      </c>
      <c r="W35" s="15" t="str">
        <f t="shared" si="4"/>
        <v>Investment assets</v>
      </c>
      <c r="X35" s="2" t="str">
        <f t="shared" si="5"/>
        <v/>
      </c>
      <c r="Y35" s="2" t="str">
        <f t="shared" si="5"/>
        <v/>
      </c>
    </row>
    <row r="36" spans="7:25" ht="20.100000000000001" customHeight="1">
      <c r="G36" s="211"/>
      <c r="H36" s="211"/>
      <c r="I36" s="211"/>
      <c r="J36" s="211"/>
      <c r="K36" s="210" t="s">
        <v>232</v>
      </c>
      <c r="L36" s="211"/>
      <c r="M36" s="206" t="s">
        <v>233</v>
      </c>
      <c r="N36" s="2" t="s">
        <v>232</v>
      </c>
      <c r="Q36" s="206" t="str">
        <f t="shared" si="0"/>
        <v/>
      </c>
      <c r="R36" s="213" t="str">
        <f t="shared" si="0"/>
        <v/>
      </c>
      <c r="S36" s="214" t="str">
        <f t="shared" si="0"/>
        <v/>
      </c>
      <c r="T36" s="212" t="str">
        <f t="shared" si="1"/>
        <v/>
      </c>
      <c r="U36" s="206" t="str">
        <f t="shared" si="2"/>
        <v>*</v>
      </c>
      <c r="V36" s="212" t="str">
        <f t="shared" si="3"/>
        <v/>
      </c>
      <c r="W36" s="15" t="str">
        <f t="shared" si="4"/>
        <v>Equity Investments in affiliated companies</v>
      </c>
      <c r="X36" s="2" t="str">
        <f t="shared" si="5"/>
        <v>1311101</v>
      </c>
      <c r="Y36" s="2" t="str">
        <f t="shared" si="5"/>
        <v>Equity Investments in affiliated companies</v>
      </c>
    </row>
    <row r="37" spans="7:25" ht="20.100000000000001" customHeight="1">
      <c r="G37" s="211"/>
      <c r="H37" s="211"/>
      <c r="I37" s="210" t="s">
        <v>234</v>
      </c>
      <c r="J37" s="211"/>
      <c r="K37" s="211"/>
      <c r="L37" s="211"/>
      <c r="Q37" s="206" t="str">
        <f t="shared" si="0"/>
        <v/>
      </c>
      <c r="R37" s="213" t="str">
        <f t="shared" si="0"/>
        <v/>
      </c>
      <c r="S37" s="214" t="str">
        <f t="shared" si="0"/>
        <v>■</v>
      </c>
      <c r="T37" s="212" t="str">
        <f t="shared" si="1"/>
        <v/>
      </c>
      <c r="U37" s="206" t="str">
        <f t="shared" si="2"/>
        <v/>
      </c>
      <c r="V37" s="212" t="str">
        <f t="shared" si="3"/>
        <v/>
      </c>
      <c r="W37" s="15" t="str">
        <f t="shared" si="4"/>
        <v>(2) Inventories</v>
      </c>
      <c r="X37" s="2" t="str">
        <f t="shared" si="5"/>
        <v/>
      </c>
      <c r="Y37" s="2" t="str">
        <f t="shared" si="5"/>
        <v/>
      </c>
    </row>
    <row r="38" spans="7:25" ht="20.100000000000001" customHeight="1">
      <c r="G38" s="211"/>
      <c r="H38" s="211"/>
      <c r="I38" s="211"/>
      <c r="J38" s="210" t="s">
        <v>235</v>
      </c>
      <c r="K38" s="211"/>
      <c r="L38" s="211"/>
      <c r="Q38" s="206" t="str">
        <f t="shared" si="0"/>
        <v/>
      </c>
      <c r="R38" s="213" t="str">
        <f t="shared" si="0"/>
        <v/>
      </c>
      <c r="S38" s="214" t="str">
        <f t="shared" si="0"/>
        <v/>
      </c>
      <c r="T38" s="212" t="str">
        <f t="shared" si="1"/>
        <v>⊙</v>
      </c>
      <c r="U38" s="206" t="str">
        <f t="shared" si="2"/>
        <v/>
      </c>
      <c r="V38" s="212" t="str">
        <f t="shared" si="3"/>
        <v/>
      </c>
      <c r="W38" s="15" t="str">
        <f t="shared" si="4"/>
        <v>Finished goods</v>
      </c>
      <c r="X38" s="2" t="str">
        <f t="shared" si="5"/>
        <v/>
      </c>
      <c r="Y38" s="2" t="str">
        <f t="shared" si="5"/>
        <v/>
      </c>
    </row>
    <row r="39" spans="7:25" ht="20.100000000000001" customHeight="1">
      <c r="G39" s="211"/>
      <c r="H39" s="211"/>
      <c r="I39" s="211"/>
      <c r="J39" s="210" t="s">
        <v>236</v>
      </c>
      <c r="K39" s="211"/>
      <c r="L39" s="211"/>
      <c r="M39" s="2"/>
      <c r="Q39" s="206" t="str">
        <f t="shared" si="0"/>
        <v/>
      </c>
      <c r="R39" s="213" t="str">
        <f t="shared" si="0"/>
        <v/>
      </c>
      <c r="S39" s="214" t="str">
        <f t="shared" si="0"/>
        <v/>
      </c>
      <c r="T39" s="212" t="str">
        <f t="shared" si="1"/>
        <v>⊙</v>
      </c>
      <c r="U39" s="206" t="str">
        <f t="shared" si="2"/>
        <v/>
      </c>
      <c r="V39" s="212" t="str">
        <f t="shared" si="3"/>
        <v/>
      </c>
      <c r="W39" s="15" t="str">
        <f t="shared" si="4"/>
        <v>Materials</v>
      </c>
      <c r="X39" s="2" t="str">
        <f t="shared" si="5"/>
        <v/>
      </c>
      <c r="Y39" s="2" t="str">
        <f t="shared" si="5"/>
        <v/>
      </c>
    </row>
    <row r="40" spans="7:25" ht="20.100000000000001" customHeight="1">
      <c r="G40" s="211"/>
      <c r="H40" s="211"/>
      <c r="I40" s="211"/>
      <c r="J40" s="211"/>
      <c r="K40" s="2"/>
      <c r="L40" s="215" t="s">
        <v>237</v>
      </c>
      <c r="M40" s="2" t="s">
        <v>238</v>
      </c>
      <c r="N40" s="2" t="s">
        <v>239</v>
      </c>
      <c r="Q40" s="206" t="str">
        <f t="shared" si="0"/>
        <v/>
      </c>
      <c r="R40" s="213" t="str">
        <f t="shared" si="0"/>
        <v/>
      </c>
      <c r="S40" s="214" t="str">
        <f t="shared" si="0"/>
        <v/>
      </c>
      <c r="T40" s="212" t="str">
        <f t="shared" si="1"/>
        <v/>
      </c>
      <c r="U40" s="206" t="str">
        <f t="shared" si="2"/>
        <v/>
      </c>
      <c r="V40" s="212" t="str">
        <f t="shared" si="3"/>
        <v>-</v>
      </c>
      <c r="W40" s="13" t="str">
        <f t="shared" si="4"/>
        <v>Fabric</v>
      </c>
      <c r="X40" s="2" t="str">
        <f t="shared" si="5"/>
        <v>1401101</v>
      </c>
      <c r="Y40" s="2" t="str">
        <f t="shared" si="5"/>
        <v>Inv./ Yarn</v>
      </c>
    </row>
    <row r="41" spans="7:25" ht="20.100000000000001" customHeight="1">
      <c r="G41" s="211"/>
      <c r="H41" s="211"/>
      <c r="I41" s="211"/>
      <c r="J41" s="211"/>
      <c r="K41" s="2"/>
      <c r="L41" s="215" t="s">
        <v>237</v>
      </c>
      <c r="M41" s="206" t="s">
        <v>240</v>
      </c>
      <c r="N41" s="2" t="s">
        <v>241</v>
      </c>
      <c r="Q41" s="206" t="str">
        <f t="shared" si="0"/>
        <v/>
      </c>
      <c r="R41" s="213" t="str">
        <f t="shared" si="0"/>
        <v/>
      </c>
      <c r="S41" s="214" t="str">
        <f t="shared" si="0"/>
        <v/>
      </c>
      <c r="T41" s="212" t="str">
        <f t="shared" si="1"/>
        <v/>
      </c>
      <c r="U41" s="206" t="str">
        <f t="shared" si="2"/>
        <v/>
      </c>
      <c r="V41" s="212" t="str">
        <f t="shared" si="3"/>
        <v>-</v>
      </c>
      <c r="W41" s="13" t="str">
        <f t="shared" si="4"/>
        <v>Fabric</v>
      </c>
      <c r="X41" s="2" t="str">
        <f t="shared" si="5"/>
        <v>1401102</v>
      </c>
      <c r="Y41" s="2" t="str">
        <f t="shared" si="5"/>
        <v>Inv./ Fabric</v>
      </c>
    </row>
    <row r="42" spans="7:25" ht="20.100000000000001" customHeight="1">
      <c r="G42" s="211"/>
      <c r="H42" s="211"/>
      <c r="I42" s="211"/>
      <c r="J42" s="211"/>
      <c r="K42" s="211"/>
      <c r="L42" s="211" t="s">
        <v>242</v>
      </c>
      <c r="M42" s="206" t="s">
        <v>243</v>
      </c>
      <c r="N42" s="2" t="s">
        <v>244</v>
      </c>
      <c r="Q42" s="206" t="str">
        <f t="shared" si="0"/>
        <v/>
      </c>
      <c r="R42" s="213" t="str">
        <f t="shared" si="0"/>
        <v/>
      </c>
      <c r="S42" s="214" t="str">
        <f t="shared" si="0"/>
        <v/>
      </c>
      <c r="T42" s="212" t="str">
        <f t="shared" si="1"/>
        <v/>
      </c>
      <c r="U42" s="206" t="str">
        <f t="shared" si="2"/>
        <v/>
      </c>
      <c r="V42" s="212" t="str">
        <f t="shared" si="3"/>
        <v>-</v>
      </c>
      <c r="W42" s="13" t="str">
        <f t="shared" si="4"/>
        <v>Accessory</v>
      </c>
      <c r="X42" s="2" t="str">
        <f t="shared" si="5"/>
        <v>1401200</v>
      </c>
      <c r="Y42" s="2" t="str">
        <f t="shared" si="5"/>
        <v>Inv./ Acc&amp;Packing</v>
      </c>
    </row>
    <row r="43" spans="7:25" ht="20.100000000000001" customHeight="1">
      <c r="G43" s="211"/>
      <c r="H43" s="211"/>
      <c r="I43" s="211"/>
      <c r="J43" s="211"/>
      <c r="K43" s="211"/>
      <c r="L43" s="211" t="s">
        <v>245</v>
      </c>
      <c r="M43" s="206" t="s">
        <v>246</v>
      </c>
      <c r="N43" s="2" t="s">
        <v>247</v>
      </c>
      <c r="Q43" s="206" t="str">
        <f t="shared" si="0"/>
        <v/>
      </c>
      <c r="R43" s="213" t="str">
        <f t="shared" si="0"/>
        <v/>
      </c>
      <c r="S43" s="214" t="str">
        <f t="shared" si="0"/>
        <v/>
      </c>
      <c r="T43" s="212" t="str">
        <f t="shared" si="1"/>
        <v/>
      </c>
      <c r="U43" s="206" t="str">
        <f t="shared" si="2"/>
        <v/>
      </c>
      <c r="V43" s="212" t="str">
        <f t="shared" si="3"/>
        <v>-</v>
      </c>
      <c r="W43" s="13" t="str">
        <f t="shared" si="4"/>
        <v>Sub-processing</v>
      </c>
      <c r="X43" s="2" t="str">
        <f t="shared" si="5"/>
        <v>1401600</v>
      </c>
      <c r="Y43" s="2" t="str">
        <f t="shared" si="5"/>
        <v>Inv./ Print</v>
      </c>
    </row>
    <row r="44" spans="7:25" ht="20.100000000000001" customHeight="1">
      <c r="G44" s="211"/>
      <c r="H44" s="211"/>
      <c r="I44" s="211"/>
      <c r="J44" s="211"/>
      <c r="K44" s="211"/>
      <c r="L44" s="211" t="s">
        <v>245</v>
      </c>
      <c r="M44" s="206" t="s">
        <v>248</v>
      </c>
      <c r="N44" s="2" t="s">
        <v>249</v>
      </c>
      <c r="Q44" s="206" t="str">
        <f t="shared" si="0"/>
        <v/>
      </c>
      <c r="R44" s="213" t="str">
        <f t="shared" si="0"/>
        <v/>
      </c>
      <c r="S44" s="214" t="str">
        <f t="shared" si="0"/>
        <v/>
      </c>
      <c r="T44" s="212" t="str">
        <f t="shared" si="1"/>
        <v/>
      </c>
      <c r="U44" s="206" t="str">
        <f t="shared" si="2"/>
        <v/>
      </c>
      <c r="V44" s="212" t="str">
        <f t="shared" si="3"/>
        <v>-</v>
      </c>
      <c r="W44" s="13" t="str">
        <f t="shared" si="4"/>
        <v>Sub-processing</v>
      </c>
      <c r="X44" s="2" t="str">
        <f t="shared" si="5"/>
        <v>1401700</v>
      </c>
      <c r="Y44" s="2" t="str">
        <f t="shared" si="5"/>
        <v>Inv./ EMB</v>
      </c>
    </row>
    <row r="45" spans="7:25" ht="20.100000000000001" customHeight="1">
      <c r="G45" s="211"/>
      <c r="H45" s="211"/>
      <c r="I45" s="211"/>
      <c r="J45" s="211"/>
      <c r="K45" s="211"/>
      <c r="L45" s="211" t="s">
        <v>245</v>
      </c>
      <c r="M45" s="206" t="s">
        <v>250</v>
      </c>
      <c r="N45" s="2" t="s">
        <v>251</v>
      </c>
      <c r="Q45" s="206" t="str">
        <f t="shared" si="0"/>
        <v/>
      </c>
      <c r="R45" s="213" t="str">
        <f t="shared" si="0"/>
        <v/>
      </c>
      <c r="S45" s="214" t="str">
        <f t="shared" si="0"/>
        <v/>
      </c>
      <c r="T45" s="212" t="str">
        <f t="shared" si="1"/>
        <v/>
      </c>
      <c r="U45" s="206" t="str">
        <f t="shared" si="2"/>
        <v/>
      </c>
      <c r="V45" s="212" t="str">
        <f t="shared" si="3"/>
        <v>-</v>
      </c>
      <c r="W45" s="13" t="str">
        <f t="shared" si="4"/>
        <v>Sub-processing</v>
      </c>
      <c r="X45" s="2" t="str">
        <f t="shared" si="5"/>
        <v>1401800</v>
      </c>
      <c r="Y45" s="2" t="str">
        <f t="shared" si="5"/>
        <v>Inv./ Washing</v>
      </c>
    </row>
    <row r="46" spans="7:25" ht="20.100000000000001" customHeight="1">
      <c r="G46" s="211"/>
      <c r="H46" s="2"/>
      <c r="I46" s="2"/>
      <c r="J46" s="2"/>
      <c r="K46" s="2"/>
      <c r="L46" s="13" t="s">
        <v>252</v>
      </c>
      <c r="M46" s="206" t="s">
        <v>253</v>
      </c>
      <c r="N46" s="2" t="s">
        <v>254</v>
      </c>
      <c r="Q46" s="206" t="str">
        <f t="shared" si="0"/>
        <v/>
      </c>
      <c r="R46" s="213" t="str">
        <f t="shared" si="0"/>
        <v/>
      </c>
      <c r="S46" s="214" t="str">
        <f t="shared" si="0"/>
        <v/>
      </c>
      <c r="T46" s="212" t="str">
        <f t="shared" si="1"/>
        <v/>
      </c>
      <c r="U46" s="206" t="str">
        <f t="shared" si="2"/>
        <v/>
      </c>
      <c r="V46" s="212" t="str">
        <f t="shared" si="3"/>
        <v>-</v>
      </c>
      <c r="W46" s="13" t="str">
        <f t="shared" si="4"/>
        <v>Other materials</v>
      </c>
      <c r="X46" s="2" t="str">
        <f t="shared" si="5"/>
        <v>1401900</v>
      </c>
      <c r="Y46" s="2" t="str">
        <f t="shared" si="5"/>
        <v>Inv./ Others</v>
      </c>
    </row>
    <row r="47" spans="7:25" ht="20.100000000000001" customHeight="1">
      <c r="G47" s="211"/>
      <c r="H47" s="2"/>
      <c r="I47" s="2"/>
      <c r="J47" s="15" t="s">
        <v>255</v>
      </c>
      <c r="K47" s="2"/>
      <c r="M47" s="206" t="s">
        <v>256</v>
      </c>
      <c r="N47" s="2" t="s">
        <v>255</v>
      </c>
      <c r="Q47" s="206" t="str">
        <f t="shared" si="0"/>
        <v/>
      </c>
      <c r="R47" s="213" t="str">
        <f t="shared" si="0"/>
        <v/>
      </c>
      <c r="S47" s="214" t="str">
        <f t="shared" si="0"/>
        <v/>
      </c>
      <c r="T47" s="212" t="str">
        <f t="shared" si="1"/>
        <v>⊙</v>
      </c>
      <c r="U47" s="206" t="str">
        <f t="shared" si="2"/>
        <v/>
      </c>
      <c r="V47" s="212" t="str">
        <f t="shared" si="3"/>
        <v/>
      </c>
      <c r="W47" s="15" t="str">
        <f t="shared" si="4"/>
        <v>Work in process</v>
      </c>
      <c r="X47" s="2" t="str">
        <f t="shared" si="5"/>
        <v>1405100</v>
      </c>
      <c r="Y47" s="2" t="str">
        <f t="shared" si="5"/>
        <v>Work in process</v>
      </c>
    </row>
    <row r="48" spans="7:25" ht="20.100000000000001" customHeight="1">
      <c r="G48" s="211"/>
      <c r="H48" s="2"/>
      <c r="I48" s="2"/>
      <c r="J48" s="15" t="s">
        <v>257</v>
      </c>
      <c r="K48" s="2"/>
      <c r="M48" s="206" t="s">
        <v>258</v>
      </c>
      <c r="N48" s="2" t="s">
        <v>257</v>
      </c>
      <c r="Q48" s="206" t="str">
        <f t="shared" si="0"/>
        <v/>
      </c>
      <c r="R48" s="213" t="str">
        <f t="shared" si="0"/>
        <v/>
      </c>
      <c r="S48" s="214" t="str">
        <f t="shared" si="0"/>
        <v/>
      </c>
      <c r="T48" s="212" t="str">
        <f t="shared" si="1"/>
        <v>⊙</v>
      </c>
      <c r="U48" s="206" t="str">
        <f t="shared" si="2"/>
        <v/>
      </c>
      <c r="V48" s="212" t="str">
        <f t="shared" si="3"/>
        <v/>
      </c>
      <c r="W48" s="15" t="str">
        <f t="shared" si="4"/>
        <v>Semi-finished product</v>
      </c>
      <c r="X48" s="2" t="str">
        <f t="shared" si="5"/>
        <v>1403100</v>
      </c>
      <c r="Y48" s="2" t="str">
        <f t="shared" si="5"/>
        <v>Semi-finished product</v>
      </c>
    </row>
    <row r="49" spans="7:25" ht="20.100000000000001" customHeight="1">
      <c r="G49" s="211"/>
      <c r="H49" s="2"/>
      <c r="I49" s="2"/>
      <c r="J49" s="15" t="s">
        <v>259</v>
      </c>
      <c r="K49" s="2"/>
      <c r="Q49" s="206" t="str">
        <f t="shared" si="0"/>
        <v/>
      </c>
      <c r="R49" s="213" t="str">
        <f t="shared" si="0"/>
        <v/>
      </c>
      <c r="S49" s="214" t="str">
        <f t="shared" si="0"/>
        <v/>
      </c>
      <c r="T49" s="212" t="str">
        <f t="shared" si="1"/>
        <v>⊙</v>
      </c>
      <c r="U49" s="206" t="str">
        <f t="shared" si="2"/>
        <v/>
      </c>
      <c r="V49" s="212" t="str">
        <f t="shared" si="3"/>
        <v/>
      </c>
      <c r="W49" s="15" t="str">
        <f t="shared" si="4"/>
        <v>Goods to arrive</v>
      </c>
      <c r="X49" s="2" t="str">
        <f t="shared" si="5"/>
        <v/>
      </c>
      <c r="Y49" s="2" t="str">
        <f t="shared" si="5"/>
        <v/>
      </c>
    </row>
    <row r="50" spans="7:25" ht="20.100000000000001" customHeight="1">
      <c r="G50" s="211"/>
      <c r="L50" s="215" t="s">
        <v>237</v>
      </c>
      <c r="M50" s="206" t="s">
        <v>260</v>
      </c>
      <c r="N50" s="2" t="s">
        <v>261</v>
      </c>
      <c r="Q50" s="206" t="str">
        <f t="shared" si="0"/>
        <v/>
      </c>
      <c r="R50" s="213" t="str">
        <f t="shared" si="0"/>
        <v/>
      </c>
      <c r="S50" s="214" t="str">
        <f t="shared" si="0"/>
        <v/>
      </c>
      <c r="T50" s="212" t="str">
        <f t="shared" si="1"/>
        <v/>
      </c>
      <c r="U50" s="206" t="str">
        <f t="shared" si="2"/>
        <v/>
      </c>
      <c r="V50" s="212" t="str">
        <f t="shared" si="3"/>
        <v>-</v>
      </c>
      <c r="W50" s="13" t="str">
        <f t="shared" si="4"/>
        <v>Fabric</v>
      </c>
      <c r="X50" s="2" t="str">
        <f t="shared" si="5"/>
        <v>1408111</v>
      </c>
      <c r="Y50" s="2" t="str">
        <f t="shared" si="5"/>
        <v>Goods to arrive (Fabric)</v>
      </c>
    </row>
    <row r="51" spans="7:25" ht="20.100000000000001" customHeight="1">
      <c r="G51" s="211"/>
      <c r="L51" s="211" t="s">
        <v>242</v>
      </c>
      <c r="M51" s="206" t="s">
        <v>262</v>
      </c>
      <c r="N51" s="2" t="s">
        <v>263</v>
      </c>
      <c r="Q51" s="206" t="str">
        <f t="shared" si="0"/>
        <v/>
      </c>
      <c r="R51" s="213" t="str">
        <f t="shared" si="0"/>
        <v/>
      </c>
      <c r="S51" s="214" t="str">
        <f t="shared" si="0"/>
        <v/>
      </c>
      <c r="T51" s="212" t="str">
        <f t="shared" si="1"/>
        <v/>
      </c>
      <c r="U51" s="206" t="str">
        <f t="shared" si="2"/>
        <v/>
      </c>
      <c r="V51" s="212" t="str">
        <f t="shared" si="3"/>
        <v>-</v>
      </c>
      <c r="W51" s="13" t="str">
        <f t="shared" si="4"/>
        <v>Accessory</v>
      </c>
      <c r="X51" s="2" t="str">
        <f t="shared" si="5"/>
        <v>1408121</v>
      </c>
      <c r="Y51" s="2" t="str">
        <f t="shared" si="5"/>
        <v>Goods to arrive (Acc&amp;Packing)</v>
      </c>
    </row>
    <row r="52" spans="7:25" ht="20.100000000000001" customHeight="1">
      <c r="G52" s="211"/>
      <c r="H52" s="2"/>
      <c r="I52" s="2"/>
      <c r="J52" s="2"/>
      <c r="K52" s="2"/>
      <c r="L52" s="211" t="s">
        <v>245</v>
      </c>
      <c r="M52" s="206" t="s">
        <v>264</v>
      </c>
      <c r="N52" s="2" t="s">
        <v>265</v>
      </c>
      <c r="Q52" s="206" t="str">
        <f t="shared" si="0"/>
        <v/>
      </c>
      <c r="R52" s="213" t="str">
        <f t="shared" si="0"/>
        <v/>
      </c>
      <c r="S52" s="214" t="str">
        <f t="shared" si="0"/>
        <v/>
      </c>
      <c r="T52" s="212" t="str">
        <f t="shared" si="1"/>
        <v/>
      </c>
      <c r="U52" s="206" t="str">
        <f t="shared" si="2"/>
        <v/>
      </c>
      <c r="V52" s="212" t="str">
        <f t="shared" si="3"/>
        <v>-</v>
      </c>
      <c r="W52" s="13" t="str">
        <f t="shared" si="4"/>
        <v>Sub-processing</v>
      </c>
      <c r="X52" s="2" t="str">
        <f t="shared" si="5"/>
        <v>1408210</v>
      </c>
      <c r="Y52" s="2" t="str">
        <f t="shared" si="5"/>
        <v>Goods to arrive (Print)</v>
      </c>
    </row>
    <row r="53" spans="7:25" ht="20.100000000000001" customHeight="1">
      <c r="G53" s="211"/>
      <c r="H53" s="2"/>
      <c r="I53" s="2"/>
      <c r="J53" s="2"/>
      <c r="K53" s="2"/>
      <c r="L53" s="211" t="s">
        <v>245</v>
      </c>
      <c r="M53" s="206" t="s">
        <v>266</v>
      </c>
      <c r="N53" s="2" t="s">
        <v>267</v>
      </c>
      <c r="Q53" s="206" t="str">
        <f t="shared" si="0"/>
        <v/>
      </c>
      <c r="R53" s="213" t="str">
        <f t="shared" si="0"/>
        <v/>
      </c>
      <c r="S53" s="214" t="str">
        <f t="shared" si="0"/>
        <v/>
      </c>
      <c r="T53" s="212" t="str">
        <f t="shared" si="1"/>
        <v/>
      </c>
      <c r="U53" s="206" t="str">
        <f t="shared" si="2"/>
        <v/>
      </c>
      <c r="V53" s="212" t="str">
        <f t="shared" si="3"/>
        <v>-</v>
      </c>
      <c r="W53" s="13" t="str">
        <f t="shared" si="4"/>
        <v>Sub-processing</v>
      </c>
      <c r="X53" s="2" t="str">
        <f t="shared" si="5"/>
        <v>1408220</v>
      </c>
      <c r="Y53" s="2" t="str">
        <f t="shared" si="5"/>
        <v>Goods to arrive (EMB)</v>
      </c>
    </row>
    <row r="54" spans="7:25" ht="20.100000000000001" customHeight="1">
      <c r="G54" s="211"/>
      <c r="H54" s="2"/>
      <c r="I54" s="2"/>
      <c r="J54" s="2"/>
      <c r="K54" s="2"/>
      <c r="L54" s="211" t="s">
        <v>245</v>
      </c>
      <c r="M54" s="206" t="s">
        <v>268</v>
      </c>
      <c r="N54" s="2" t="s">
        <v>269</v>
      </c>
      <c r="Q54" s="206" t="str">
        <f t="shared" si="0"/>
        <v/>
      </c>
      <c r="R54" s="213" t="str">
        <f t="shared" si="0"/>
        <v/>
      </c>
      <c r="S54" s="214" t="str">
        <f t="shared" si="0"/>
        <v/>
      </c>
      <c r="T54" s="212" t="str">
        <f t="shared" si="1"/>
        <v/>
      </c>
      <c r="U54" s="206" t="str">
        <f t="shared" si="2"/>
        <v/>
      </c>
      <c r="V54" s="212" t="str">
        <f t="shared" si="3"/>
        <v>-</v>
      </c>
      <c r="W54" s="13" t="str">
        <f t="shared" si="4"/>
        <v>Sub-processing</v>
      </c>
      <c r="X54" s="2" t="str">
        <f t="shared" si="5"/>
        <v>1408230</v>
      </c>
      <c r="Y54" s="2" t="str">
        <f t="shared" si="5"/>
        <v>Goods to arrive (Washing)</v>
      </c>
    </row>
    <row r="55" spans="7:25" ht="20.100000000000001" customHeight="1">
      <c r="G55" s="211"/>
      <c r="L55" s="2" t="s">
        <v>270</v>
      </c>
      <c r="M55" s="206" t="s">
        <v>271</v>
      </c>
      <c r="N55" s="2" t="s">
        <v>272</v>
      </c>
      <c r="Q55" s="206" t="str">
        <f t="shared" si="0"/>
        <v/>
      </c>
      <c r="R55" s="213" t="str">
        <f t="shared" si="0"/>
        <v/>
      </c>
      <c r="S55" s="214" t="str">
        <f t="shared" si="0"/>
        <v/>
      </c>
      <c r="T55" s="212" t="str">
        <f t="shared" si="1"/>
        <v/>
      </c>
      <c r="U55" s="206" t="str">
        <f t="shared" si="2"/>
        <v/>
      </c>
      <c r="V55" s="212" t="str">
        <f t="shared" si="3"/>
        <v>-</v>
      </c>
      <c r="W55" s="13" t="str">
        <f t="shared" si="4"/>
        <v>Furniture &amp; Fixtures</v>
      </c>
      <c r="X55" s="2" t="str">
        <f t="shared" si="5"/>
        <v>1408310</v>
      </c>
      <c r="Y55" s="2" t="str">
        <f t="shared" si="5"/>
        <v>Goods to arrive (Furniture)</v>
      </c>
    </row>
    <row r="56" spans="7:25" ht="20.100000000000001" customHeight="1">
      <c r="G56" s="211"/>
      <c r="L56" s="2" t="s">
        <v>273</v>
      </c>
      <c r="M56" s="206" t="s">
        <v>274</v>
      </c>
      <c r="N56" s="2" t="s">
        <v>275</v>
      </c>
      <c r="Q56" s="206" t="str">
        <f t="shared" si="0"/>
        <v/>
      </c>
      <c r="R56" s="213" t="str">
        <f t="shared" si="0"/>
        <v/>
      </c>
      <c r="S56" s="214" t="str">
        <f t="shared" si="0"/>
        <v/>
      </c>
      <c r="T56" s="212" t="str">
        <f t="shared" si="1"/>
        <v/>
      </c>
      <c r="U56" s="206" t="str">
        <f t="shared" si="2"/>
        <v/>
      </c>
      <c r="V56" s="212" t="str">
        <f t="shared" si="3"/>
        <v>-</v>
      </c>
      <c r="W56" s="13" t="str">
        <f t="shared" si="4"/>
        <v>Machinery</v>
      </c>
      <c r="X56" s="2" t="str">
        <f t="shared" si="5"/>
        <v>1408410</v>
      </c>
      <c r="Y56" s="2" t="str">
        <f t="shared" si="5"/>
        <v>Goods to arrive (Machinery)</v>
      </c>
    </row>
    <row r="57" spans="7:25" ht="20.100000000000001" customHeight="1">
      <c r="G57" s="211"/>
      <c r="H57" s="210" t="s">
        <v>276</v>
      </c>
      <c r="I57" s="211"/>
      <c r="J57" s="211"/>
      <c r="K57" s="211"/>
      <c r="L57" s="211"/>
      <c r="Q57" s="206" t="str">
        <f t="shared" si="0"/>
        <v/>
      </c>
      <c r="R57" s="213" t="str">
        <f t="shared" si="0"/>
        <v>■</v>
      </c>
      <c r="S57" s="214" t="str">
        <f t="shared" si="0"/>
        <v/>
      </c>
      <c r="T57" s="212" t="str">
        <f t="shared" si="1"/>
        <v/>
      </c>
      <c r="U57" s="206" t="str">
        <f t="shared" si="2"/>
        <v/>
      </c>
      <c r="V57" s="212" t="str">
        <f t="shared" si="3"/>
        <v/>
      </c>
      <c r="W57" s="15" t="str">
        <f t="shared" si="4"/>
        <v>Ⅱ. Non-Current Assets</v>
      </c>
      <c r="X57" s="2" t="str">
        <f t="shared" si="5"/>
        <v/>
      </c>
      <c r="Y57" s="2" t="str">
        <f t="shared" si="5"/>
        <v/>
      </c>
    </row>
    <row r="58" spans="7:25" ht="20.100000000000001" customHeight="1">
      <c r="G58" s="211"/>
      <c r="H58" s="2"/>
      <c r="I58" s="210" t="s">
        <v>277</v>
      </c>
      <c r="J58" s="211"/>
      <c r="K58" s="211"/>
      <c r="L58" s="211"/>
      <c r="Q58" s="206" t="str">
        <f t="shared" si="0"/>
        <v/>
      </c>
      <c r="R58" s="213" t="str">
        <f t="shared" si="0"/>
        <v/>
      </c>
      <c r="S58" s="214" t="str">
        <f t="shared" si="0"/>
        <v>■</v>
      </c>
      <c r="T58" s="212" t="str">
        <f t="shared" si="1"/>
        <v/>
      </c>
      <c r="U58" s="206" t="str">
        <f t="shared" si="2"/>
        <v/>
      </c>
      <c r="V58" s="212" t="str">
        <f t="shared" si="3"/>
        <v/>
      </c>
      <c r="W58" s="15" t="str">
        <f t="shared" si="4"/>
        <v>(1) Investments</v>
      </c>
      <c r="X58" s="2" t="str">
        <f t="shared" si="5"/>
        <v/>
      </c>
      <c r="Y58" s="2" t="str">
        <f t="shared" si="5"/>
        <v/>
      </c>
    </row>
    <row r="59" spans="7:25" ht="20.100000000000001" customHeight="1">
      <c r="G59" s="211"/>
      <c r="H59" s="211"/>
      <c r="I59" s="210" t="s">
        <v>278</v>
      </c>
      <c r="J59" s="211"/>
      <c r="K59" s="211"/>
      <c r="L59" s="211"/>
      <c r="Q59" s="206" t="str">
        <f t="shared" si="0"/>
        <v/>
      </c>
      <c r="R59" s="213" t="str">
        <f t="shared" si="0"/>
        <v/>
      </c>
      <c r="S59" s="214" t="str">
        <f t="shared" si="0"/>
        <v>■</v>
      </c>
      <c r="T59" s="212" t="str">
        <f t="shared" si="1"/>
        <v/>
      </c>
      <c r="U59" s="206" t="str">
        <f t="shared" si="2"/>
        <v/>
      </c>
      <c r="V59" s="212" t="str">
        <f t="shared" si="3"/>
        <v/>
      </c>
      <c r="W59" s="15" t="str">
        <f t="shared" si="4"/>
        <v>(2) Tangible Assets</v>
      </c>
      <c r="X59" s="2" t="str">
        <f t="shared" si="5"/>
        <v/>
      </c>
      <c r="Y59" s="2" t="str">
        <f t="shared" si="5"/>
        <v/>
      </c>
    </row>
    <row r="60" spans="7:25" ht="20.100000000000001" customHeight="1">
      <c r="G60" s="211"/>
      <c r="H60" s="211"/>
      <c r="I60" s="211"/>
      <c r="J60" s="15" t="s">
        <v>279</v>
      </c>
      <c r="K60" s="211"/>
      <c r="L60" s="211"/>
      <c r="M60" s="206" t="s">
        <v>280</v>
      </c>
      <c r="N60" s="2" t="s">
        <v>281</v>
      </c>
      <c r="Q60" s="206" t="str">
        <f t="shared" si="0"/>
        <v/>
      </c>
      <c r="R60" s="213" t="str">
        <f t="shared" si="0"/>
        <v/>
      </c>
      <c r="S60" s="214" t="str">
        <f t="shared" si="0"/>
        <v/>
      </c>
      <c r="T60" s="212" t="str">
        <f t="shared" si="1"/>
        <v>⊙</v>
      </c>
      <c r="U60" s="206" t="str">
        <f t="shared" si="2"/>
        <v/>
      </c>
      <c r="V60" s="212" t="str">
        <f t="shared" si="3"/>
        <v/>
      </c>
      <c r="W60" s="15" t="str">
        <f t="shared" si="4"/>
        <v>Land</v>
      </c>
      <c r="X60" s="2" t="str">
        <f t="shared" si="5"/>
        <v>1700101</v>
      </c>
      <c r="Y60" s="2" t="str">
        <f t="shared" si="5"/>
        <v>Land (Cost)</v>
      </c>
    </row>
    <row r="61" spans="7:25" ht="20.100000000000001" customHeight="1">
      <c r="G61" s="211"/>
      <c r="H61" s="211"/>
      <c r="I61" s="211"/>
      <c r="J61" s="15" t="s">
        <v>282</v>
      </c>
      <c r="K61" s="211"/>
      <c r="L61" s="211"/>
      <c r="M61" s="2"/>
      <c r="Q61" s="206" t="str">
        <f t="shared" si="0"/>
        <v/>
      </c>
      <c r="R61" s="213" t="str">
        <f t="shared" si="0"/>
        <v/>
      </c>
      <c r="S61" s="214" t="str">
        <f t="shared" si="0"/>
        <v/>
      </c>
      <c r="T61" s="212" t="str">
        <f t="shared" si="1"/>
        <v>⊙</v>
      </c>
      <c r="U61" s="206" t="str">
        <f t="shared" si="2"/>
        <v/>
      </c>
      <c r="V61" s="212" t="str">
        <f t="shared" si="3"/>
        <v/>
      </c>
      <c r="W61" s="15" t="str">
        <f t="shared" si="4"/>
        <v>Building</v>
      </c>
      <c r="X61" s="2" t="str">
        <f t="shared" si="5"/>
        <v/>
      </c>
      <c r="Y61" s="2" t="str">
        <f t="shared" si="5"/>
        <v/>
      </c>
    </row>
    <row r="62" spans="7:25" ht="20.100000000000001" customHeight="1">
      <c r="G62" s="211"/>
      <c r="H62" s="211"/>
      <c r="I62" s="211"/>
      <c r="J62" s="15"/>
      <c r="K62" s="2"/>
      <c r="L62" s="211" t="s">
        <v>283</v>
      </c>
      <c r="M62" s="206" t="s">
        <v>284</v>
      </c>
      <c r="N62" s="2" t="s">
        <v>285</v>
      </c>
      <c r="Q62" s="206" t="str">
        <f t="shared" si="0"/>
        <v/>
      </c>
      <c r="R62" s="213" t="str">
        <f t="shared" si="0"/>
        <v/>
      </c>
      <c r="S62" s="214" t="str">
        <f t="shared" si="0"/>
        <v/>
      </c>
      <c r="T62" s="212" t="str">
        <f t="shared" si="1"/>
        <v/>
      </c>
      <c r="U62" s="206" t="str">
        <f t="shared" si="2"/>
        <v/>
      </c>
      <c r="V62" s="212" t="str">
        <f t="shared" si="3"/>
        <v>-</v>
      </c>
      <c r="W62" s="13" t="str">
        <f t="shared" si="4"/>
        <v>Building</v>
      </c>
      <c r="X62" s="2" t="str">
        <f t="shared" si="5"/>
        <v>1701101</v>
      </c>
      <c r="Y62" s="2" t="str">
        <f t="shared" si="5"/>
        <v>Building (Cost)</v>
      </c>
    </row>
    <row r="63" spans="7:25" ht="20.100000000000001" customHeight="1">
      <c r="G63" s="211"/>
      <c r="H63" s="211"/>
      <c r="I63" s="211"/>
      <c r="J63" s="211"/>
      <c r="K63" s="2"/>
      <c r="L63" s="211" t="s">
        <v>286</v>
      </c>
      <c r="M63" s="206" t="s">
        <v>287</v>
      </c>
      <c r="N63" s="2" t="s">
        <v>288</v>
      </c>
      <c r="Q63" s="206" t="str">
        <f t="shared" si="0"/>
        <v/>
      </c>
      <c r="R63" s="213" t="str">
        <f t="shared" si="0"/>
        <v/>
      </c>
      <c r="S63" s="214" t="str">
        <f t="shared" si="0"/>
        <v/>
      </c>
      <c r="T63" s="212" t="str">
        <f t="shared" si="1"/>
        <v/>
      </c>
      <c r="U63" s="206" t="str">
        <f t="shared" si="2"/>
        <v/>
      </c>
      <c r="V63" s="212" t="str">
        <f t="shared" si="3"/>
        <v>-</v>
      </c>
      <c r="W63" s="13" t="str">
        <f t="shared" si="4"/>
        <v xml:space="preserve"> (Accumulated Depreciation)</v>
      </c>
      <c r="X63" s="2" t="str">
        <f t="shared" si="5"/>
        <v>1701105</v>
      </c>
      <c r="Y63" s="2" t="str">
        <f t="shared" si="5"/>
        <v>Accu.Dep - Building</v>
      </c>
    </row>
    <row r="64" spans="7:25" ht="20.100000000000001" customHeight="1">
      <c r="G64" s="211"/>
      <c r="H64" s="211"/>
      <c r="I64" s="211"/>
      <c r="J64" s="15" t="s">
        <v>289</v>
      </c>
      <c r="K64" s="211"/>
      <c r="L64" s="211"/>
      <c r="Q64" s="206" t="str">
        <f t="shared" si="0"/>
        <v/>
      </c>
      <c r="R64" s="213" t="str">
        <f t="shared" si="0"/>
        <v/>
      </c>
      <c r="S64" s="214" t="str">
        <f t="shared" si="0"/>
        <v/>
      </c>
      <c r="T64" s="212" t="str">
        <f t="shared" si="1"/>
        <v>⊙</v>
      </c>
      <c r="U64" s="206" t="str">
        <f t="shared" si="2"/>
        <v/>
      </c>
      <c r="V64" s="212" t="str">
        <f t="shared" si="3"/>
        <v/>
      </c>
      <c r="W64" s="15" t="str">
        <f t="shared" si="4"/>
        <v>Construction</v>
      </c>
      <c r="X64" s="2" t="str">
        <f t="shared" si="5"/>
        <v/>
      </c>
      <c r="Y64" s="2" t="str">
        <f t="shared" si="5"/>
        <v/>
      </c>
    </row>
    <row r="65" spans="7:25" ht="20.100000000000001" customHeight="1">
      <c r="G65" s="211"/>
      <c r="H65" s="211"/>
      <c r="I65" s="211"/>
      <c r="J65" s="211"/>
      <c r="K65" s="2"/>
      <c r="L65" s="211" t="s">
        <v>290</v>
      </c>
      <c r="M65" s="206" t="s">
        <v>291</v>
      </c>
      <c r="N65" s="2" t="s">
        <v>292</v>
      </c>
      <c r="Q65" s="206" t="str">
        <f t="shared" si="0"/>
        <v/>
      </c>
      <c r="R65" s="213" t="str">
        <f t="shared" si="0"/>
        <v/>
      </c>
      <c r="S65" s="214" t="str">
        <f t="shared" si="0"/>
        <v/>
      </c>
      <c r="T65" s="212" t="str">
        <f t="shared" si="1"/>
        <v/>
      </c>
      <c r="U65" s="206" t="str">
        <f t="shared" si="2"/>
        <v/>
      </c>
      <c r="V65" s="212" t="str">
        <f t="shared" si="3"/>
        <v>-</v>
      </c>
      <c r="W65" s="13" t="str">
        <f t="shared" si="4"/>
        <v>Construction</v>
      </c>
      <c r="X65" s="2" t="str">
        <f t="shared" si="5"/>
        <v>1702101</v>
      </c>
      <c r="Y65" s="2" t="str">
        <f t="shared" si="5"/>
        <v>Construction (Cost)</v>
      </c>
    </row>
    <row r="66" spans="7:25" ht="20.100000000000001" customHeight="1">
      <c r="G66" s="211"/>
      <c r="H66" s="211"/>
      <c r="I66" s="211"/>
      <c r="J66" s="211"/>
      <c r="K66" s="2"/>
      <c r="L66" s="211" t="s">
        <v>286</v>
      </c>
      <c r="M66" s="206" t="s">
        <v>293</v>
      </c>
      <c r="N66" s="2" t="s">
        <v>294</v>
      </c>
      <c r="Q66" s="206" t="str">
        <f t="shared" si="0"/>
        <v/>
      </c>
      <c r="R66" s="213" t="str">
        <f t="shared" si="0"/>
        <v/>
      </c>
      <c r="S66" s="214" t="str">
        <f t="shared" si="0"/>
        <v/>
      </c>
      <c r="T66" s="212" t="str">
        <f t="shared" si="1"/>
        <v/>
      </c>
      <c r="U66" s="206" t="str">
        <f t="shared" si="2"/>
        <v/>
      </c>
      <c r="V66" s="212" t="str">
        <f t="shared" si="3"/>
        <v>-</v>
      </c>
      <c r="W66" s="13" t="str">
        <f t="shared" si="4"/>
        <v xml:space="preserve"> (Accumulated Depreciation)</v>
      </c>
      <c r="X66" s="2" t="str">
        <f t="shared" si="5"/>
        <v>1702105</v>
      </c>
      <c r="Y66" s="2" t="str">
        <f t="shared" si="5"/>
        <v>Accu.Dep - Construction</v>
      </c>
    </row>
    <row r="67" spans="7:25" ht="20.100000000000001" customHeight="1">
      <c r="G67" s="211"/>
      <c r="H67" s="211"/>
      <c r="I67" s="211"/>
      <c r="J67" s="15" t="s">
        <v>273</v>
      </c>
      <c r="K67" s="211"/>
      <c r="L67" s="211"/>
      <c r="Q67" s="206" t="str">
        <f t="shared" si="0"/>
        <v/>
      </c>
      <c r="R67" s="213" t="str">
        <f t="shared" si="0"/>
        <v/>
      </c>
      <c r="S67" s="214" t="str">
        <f t="shared" si="0"/>
        <v/>
      </c>
      <c r="T67" s="212" t="str">
        <f t="shared" si="1"/>
        <v>⊙</v>
      </c>
      <c r="U67" s="206" t="str">
        <f t="shared" si="2"/>
        <v/>
      </c>
      <c r="V67" s="212" t="str">
        <f t="shared" si="3"/>
        <v/>
      </c>
      <c r="W67" s="15" t="str">
        <f t="shared" si="4"/>
        <v>Machinery</v>
      </c>
      <c r="X67" s="2" t="str">
        <f t="shared" si="5"/>
        <v/>
      </c>
      <c r="Y67" s="2" t="str">
        <f t="shared" si="5"/>
        <v/>
      </c>
    </row>
    <row r="68" spans="7:25" ht="20.100000000000001" customHeight="1">
      <c r="G68" s="211"/>
      <c r="H68" s="211"/>
      <c r="I68" s="211"/>
      <c r="J68" s="211"/>
      <c r="K68" s="2"/>
      <c r="L68" s="211" t="s">
        <v>295</v>
      </c>
      <c r="M68" s="206" t="s">
        <v>296</v>
      </c>
      <c r="N68" s="2" t="s">
        <v>297</v>
      </c>
      <c r="Q68" s="206" t="str">
        <f t="shared" si="0"/>
        <v/>
      </c>
      <c r="R68" s="213" t="str">
        <f t="shared" si="0"/>
        <v/>
      </c>
      <c r="S68" s="214" t="str">
        <f t="shared" si="0"/>
        <v/>
      </c>
      <c r="T68" s="212" t="str">
        <f t="shared" si="1"/>
        <v/>
      </c>
      <c r="U68" s="206" t="str">
        <f t="shared" si="2"/>
        <v/>
      </c>
      <c r="V68" s="212" t="str">
        <f t="shared" si="3"/>
        <v>-</v>
      </c>
      <c r="W68" s="13" t="str">
        <f t="shared" si="4"/>
        <v>Machinery</v>
      </c>
      <c r="X68" s="2" t="str">
        <f t="shared" si="5"/>
        <v>1703101</v>
      </c>
      <c r="Y68" s="2" t="str">
        <f t="shared" si="5"/>
        <v>Machinery (Cost)</v>
      </c>
    </row>
    <row r="69" spans="7:25" ht="20.100000000000001" customHeight="1">
      <c r="G69" s="211"/>
      <c r="H69" s="211"/>
      <c r="I69" s="211"/>
      <c r="J69" s="211"/>
      <c r="K69" s="2"/>
      <c r="L69" s="211" t="s">
        <v>286</v>
      </c>
      <c r="M69" s="206" t="s">
        <v>298</v>
      </c>
      <c r="N69" s="2" t="s">
        <v>299</v>
      </c>
      <c r="Q69" s="206" t="str">
        <f t="shared" si="0"/>
        <v/>
      </c>
      <c r="R69" s="213" t="str">
        <f t="shared" si="0"/>
        <v/>
      </c>
      <c r="S69" s="214" t="str">
        <f t="shared" si="0"/>
        <v/>
      </c>
      <c r="T69" s="212" t="str">
        <f t="shared" si="1"/>
        <v/>
      </c>
      <c r="U69" s="206" t="str">
        <f t="shared" si="2"/>
        <v/>
      </c>
      <c r="V69" s="212" t="str">
        <f t="shared" si="3"/>
        <v>-</v>
      </c>
      <c r="W69" s="13" t="str">
        <f t="shared" si="4"/>
        <v xml:space="preserve"> (Accumulated Depreciation)</v>
      </c>
      <c r="X69" s="2" t="str">
        <f t="shared" si="5"/>
        <v>1703105</v>
      </c>
      <c r="Y69" s="2" t="str">
        <f t="shared" si="5"/>
        <v>Accu.Dep - Machinery</v>
      </c>
    </row>
    <row r="70" spans="7:25" ht="20.100000000000001" customHeight="1">
      <c r="G70" s="211"/>
      <c r="H70" s="211"/>
      <c r="I70" s="211"/>
      <c r="J70" s="15" t="s">
        <v>300</v>
      </c>
      <c r="K70" s="211"/>
      <c r="L70" s="211"/>
      <c r="Q70" s="206" t="str">
        <f t="shared" si="0"/>
        <v/>
      </c>
      <c r="R70" s="213" t="str">
        <f t="shared" si="0"/>
        <v/>
      </c>
      <c r="S70" s="214" t="str">
        <f t="shared" si="0"/>
        <v/>
      </c>
      <c r="T70" s="212" t="str">
        <f t="shared" si="1"/>
        <v>⊙</v>
      </c>
      <c r="U70" s="206" t="str">
        <f t="shared" si="2"/>
        <v/>
      </c>
      <c r="V70" s="212" t="str">
        <f t="shared" si="3"/>
        <v/>
      </c>
      <c r="W70" s="15" t="str">
        <f t="shared" si="4"/>
        <v>Delivery vehicles</v>
      </c>
      <c r="X70" s="2" t="str">
        <f t="shared" si="5"/>
        <v/>
      </c>
      <c r="Y70" s="2" t="str">
        <f t="shared" si="5"/>
        <v/>
      </c>
    </row>
    <row r="71" spans="7:25" ht="20.100000000000001" customHeight="1">
      <c r="G71" s="211"/>
      <c r="H71" s="211"/>
      <c r="I71" s="211"/>
      <c r="J71" s="211"/>
      <c r="K71" s="2"/>
      <c r="L71" s="211" t="s">
        <v>301</v>
      </c>
      <c r="M71" s="206" t="s">
        <v>302</v>
      </c>
      <c r="N71" s="2" t="s">
        <v>303</v>
      </c>
      <c r="Q71" s="206" t="str">
        <f t="shared" si="0"/>
        <v/>
      </c>
      <c r="R71" s="213" t="str">
        <f t="shared" si="0"/>
        <v/>
      </c>
      <c r="S71" s="214" t="str">
        <f t="shared" si="0"/>
        <v/>
      </c>
      <c r="T71" s="212" t="str">
        <f t="shared" si="1"/>
        <v/>
      </c>
      <c r="U71" s="206" t="str">
        <f t="shared" si="2"/>
        <v/>
      </c>
      <c r="V71" s="212" t="str">
        <f t="shared" si="3"/>
        <v>-</v>
      </c>
      <c r="W71" s="13" t="str">
        <f t="shared" si="4"/>
        <v>Delivery vehicles</v>
      </c>
      <c r="X71" s="2" t="str">
        <f t="shared" si="5"/>
        <v>1704101</v>
      </c>
      <c r="Y71" s="2" t="str">
        <f t="shared" si="5"/>
        <v>Delivery vehicles (Cost)</v>
      </c>
    </row>
    <row r="72" spans="7:25" ht="20.100000000000001" customHeight="1">
      <c r="G72" s="211"/>
      <c r="H72" s="211"/>
      <c r="I72" s="211"/>
      <c r="J72" s="211"/>
      <c r="K72" s="2"/>
      <c r="L72" s="211" t="s">
        <v>286</v>
      </c>
      <c r="M72" s="206" t="s">
        <v>304</v>
      </c>
      <c r="N72" s="2" t="s">
        <v>305</v>
      </c>
      <c r="Q72" s="206" t="str">
        <f t="shared" si="0"/>
        <v/>
      </c>
      <c r="R72" s="213" t="str">
        <f t="shared" si="0"/>
        <v/>
      </c>
      <c r="S72" s="214" t="str">
        <f t="shared" si="0"/>
        <v/>
      </c>
      <c r="T72" s="212" t="str">
        <f t="shared" si="1"/>
        <v/>
      </c>
      <c r="U72" s="206" t="str">
        <f t="shared" si="2"/>
        <v/>
      </c>
      <c r="V72" s="212" t="str">
        <f t="shared" si="3"/>
        <v>-</v>
      </c>
      <c r="W72" s="13" t="str">
        <f t="shared" si="4"/>
        <v xml:space="preserve"> (Accumulated Depreciation)</v>
      </c>
      <c r="X72" s="2" t="str">
        <f t="shared" si="5"/>
        <v>1704105</v>
      </c>
      <c r="Y72" s="2" t="str">
        <f t="shared" si="5"/>
        <v>Accu.Dep - Delivery vehicles</v>
      </c>
    </row>
    <row r="73" spans="7:25" ht="20.100000000000001" customHeight="1">
      <c r="G73" s="211"/>
      <c r="H73" s="211"/>
      <c r="I73" s="211"/>
      <c r="J73" s="15" t="s">
        <v>306</v>
      </c>
      <c r="K73" s="211"/>
      <c r="L73" s="211"/>
      <c r="Q73" s="206" t="str">
        <f t="shared" ref="Q73:S136" si="6">IF(NOT(ISBLANK(G73)),"■","")</f>
        <v/>
      </c>
      <c r="R73" s="213" t="str">
        <f t="shared" si="6"/>
        <v/>
      </c>
      <c r="S73" s="214" t="str">
        <f t="shared" si="6"/>
        <v/>
      </c>
      <c r="T73" s="212" t="str">
        <f t="shared" ref="T73:T113" si="7">IF(NOT(ISBLANK(J73)),"⊙","")</f>
        <v>⊙</v>
      </c>
      <c r="U73" s="206" t="str">
        <f t="shared" ref="T73:V136" si="8">IF(NOT(ISBLANK(K73)),"*","")</f>
        <v/>
      </c>
      <c r="V73" s="212" t="str">
        <f t="shared" ref="V73:V113" si="9">IF(NOT(ISBLANK(L73)),"-","")</f>
        <v/>
      </c>
      <c r="W73" s="15" t="str">
        <f t="shared" ref="W73:W113" si="10">G73&amp;H73&amp;I73&amp;J73&amp;K73&amp;L73</f>
        <v>Tools and equipment</v>
      </c>
      <c r="X73" s="2" t="str">
        <f t="shared" ref="X73:Y113" si="11">IF(ISBLANK(M73),"",M73)</f>
        <v/>
      </c>
      <c r="Y73" s="2" t="str">
        <f t="shared" si="11"/>
        <v/>
      </c>
    </row>
    <row r="74" spans="7:25" ht="20.100000000000001" customHeight="1">
      <c r="G74" s="211"/>
      <c r="H74" s="211"/>
      <c r="I74" s="211"/>
      <c r="J74" s="211"/>
      <c r="K74" s="2"/>
      <c r="L74" s="211" t="s">
        <v>307</v>
      </c>
      <c r="M74" s="206" t="s">
        <v>308</v>
      </c>
      <c r="N74" s="2" t="s">
        <v>309</v>
      </c>
      <c r="Q74" s="206" t="str">
        <f t="shared" si="6"/>
        <v/>
      </c>
      <c r="R74" s="213" t="str">
        <f t="shared" si="6"/>
        <v/>
      </c>
      <c r="S74" s="214" t="str">
        <f t="shared" si="6"/>
        <v/>
      </c>
      <c r="T74" s="212" t="str">
        <f t="shared" si="7"/>
        <v/>
      </c>
      <c r="U74" s="206" t="str">
        <f t="shared" si="8"/>
        <v/>
      </c>
      <c r="V74" s="212" t="str">
        <f t="shared" si="9"/>
        <v>-</v>
      </c>
      <c r="W74" s="13" t="str">
        <f t="shared" si="10"/>
        <v>Tools and equipment</v>
      </c>
      <c r="X74" s="2" t="str">
        <f t="shared" si="11"/>
        <v>1705101</v>
      </c>
      <c r="Y74" s="2" t="str">
        <f t="shared" si="11"/>
        <v>Tools and equipment (Cost)</v>
      </c>
    </row>
    <row r="75" spans="7:25" ht="20.100000000000001" customHeight="1">
      <c r="G75" s="211"/>
      <c r="H75" s="211"/>
      <c r="I75" s="211"/>
      <c r="J75" s="211"/>
      <c r="K75" s="2"/>
      <c r="L75" s="211" t="s">
        <v>286</v>
      </c>
      <c r="M75" s="206" t="s">
        <v>310</v>
      </c>
      <c r="N75" s="2" t="s">
        <v>311</v>
      </c>
      <c r="Q75" s="206" t="str">
        <f t="shared" si="6"/>
        <v/>
      </c>
      <c r="R75" s="213" t="str">
        <f t="shared" si="6"/>
        <v/>
      </c>
      <c r="S75" s="214" t="str">
        <f t="shared" si="6"/>
        <v/>
      </c>
      <c r="T75" s="212" t="str">
        <f t="shared" si="7"/>
        <v/>
      </c>
      <c r="U75" s="206" t="str">
        <f t="shared" si="8"/>
        <v/>
      </c>
      <c r="V75" s="212" t="str">
        <f t="shared" si="9"/>
        <v>-</v>
      </c>
      <c r="W75" s="13" t="str">
        <f t="shared" si="10"/>
        <v xml:space="preserve"> (Accumulated Depreciation)</v>
      </c>
      <c r="X75" s="2" t="str">
        <f t="shared" si="11"/>
        <v>1705105</v>
      </c>
      <c r="Y75" s="2" t="str">
        <f t="shared" si="11"/>
        <v>Accu.Dep - Tools and equipment</v>
      </c>
    </row>
    <row r="76" spans="7:25" ht="20.100000000000001" customHeight="1">
      <c r="G76" s="211"/>
      <c r="H76" s="211"/>
      <c r="I76" s="211"/>
      <c r="J76" s="15" t="s">
        <v>270</v>
      </c>
      <c r="K76" s="211"/>
      <c r="L76" s="211"/>
      <c r="Q76" s="206" t="str">
        <f t="shared" si="6"/>
        <v/>
      </c>
      <c r="R76" s="213" t="str">
        <f t="shared" si="6"/>
        <v/>
      </c>
      <c r="S76" s="214" t="str">
        <f t="shared" si="6"/>
        <v/>
      </c>
      <c r="T76" s="212" t="str">
        <f t="shared" si="7"/>
        <v>⊙</v>
      </c>
      <c r="U76" s="206" t="str">
        <f t="shared" si="8"/>
        <v/>
      </c>
      <c r="V76" s="212" t="str">
        <f t="shared" si="9"/>
        <v/>
      </c>
      <c r="W76" s="15" t="str">
        <f t="shared" si="10"/>
        <v>Furniture &amp; Fixtures</v>
      </c>
      <c r="X76" s="2" t="str">
        <f t="shared" si="11"/>
        <v/>
      </c>
      <c r="Y76" s="2" t="str">
        <f t="shared" si="11"/>
        <v/>
      </c>
    </row>
    <row r="77" spans="7:25" ht="20.100000000000001" customHeight="1">
      <c r="G77" s="211"/>
      <c r="H77" s="211"/>
      <c r="I77" s="211"/>
      <c r="J77" s="211"/>
      <c r="K77" s="2"/>
      <c r="L77" s="211" t="s">
        <v>312</v>
      </c>
      <c r="M77" s="206" t="s">
        <v>313</v>
      </c>
      <c r="N77" s="2" t="s">
        <v>314</v>
      </c>
      <c r="Q77" s="206" t="str">
        <f t="shared" si="6"/>
        <v/>
      </c>
      <c r="R77" s="213" t="str">
        <f t="shared" si="6"/>
        <v/>
      </c>
      <c r="S77" s="214" t="str">
        <f t="shared" si="6"/>
        <v/>
      </c>
      <c r="T77" s="212" t="str">
        <f t="shared" si="7"/>
        <v/>
      </c>
      <c r="U77" s="206" t="str">
        <f t="shared" si="8"/>
        <v/>
      </c>
      <c r="V77" s="212" t="str">
        <f t="shared" si="9"/>
        <v>-</v>
      </c>
      <c r="W77" s="13" t="str">
        <f t="shared" si="10"/>
        <v>Furniture &amp; Fixtures</v>
      </c>
      <c r="X77" s="2" t="str">
        <f t="shared" si="11"/>
        <v>1706101</v>
      </c>
      <c r="Y77" s="2" t="str">
        <f t="shared" si="11"/>
        <v>Furniture &amp; Fixtures (Cost)</v>
      </c>
    </row>
    <row r="78" spans="7:25" ht="20.100000000000001" customHeight="1">
      <c r="G78" s="211"/>
      <c r="H78" s="211"/>
      <c r="I78" s="211"/>
      <c r="J78" s="211"/>
      <c r="K78" s="2"/>
      <c r="L78" s="211" t="s">
        <v>286</v>
      </c>
      <c r="M78" s="206" t="s">
        <v>315</v>
      </c>
      <c r="N78" s="2" t="s">
        <v>316</v>
      </c>
      <c r="Q78" s="206" t="str">
        <f t="shared" si="6"/>
        <v/>
      </c>
      <c r="R78" s="213" t="str">
        <f t="shared" si="6"/>
        <v/>
      </c>
      <c r="S78" s="214" t="str">
        <f t="shared" si="6"/>
        <v/>
      </c>
      <c r="T78" s="212" t="str">
        <f t="shared" si="7"/>
        <v/>
      </c>
      <c r="U78" s="206" t="str">
        <f t="shared" si="8"/>
        <v/>
      </c>
      <c r="V78" s="212" t="str">
        <f t="shared" si="9"/>
        <v>-</v>
      </c>
      <c r="W78" s="13" t="str">
        <f t="shared" si="10"/>
        <v xml:space="preserve"> (Accumulated Depreciation)</v>
      </c>
      <c r="X78" s="2" t="str">
        <f t="shared" si="11"/>
        <v>1706105</v>
      </c>
      <c r="Y78" s="2" t="str">
        <f t="shared" si="11"/>
        <v>Accu.Dep - Furniture &amp; Fix.</v>
      </c>
    </row>
    <row r="79" spans="7:25" ht="20.100000000000001" customHeight="1">
      <c r="G79" s="211"/>
      <c r="H79" s="211"/>
      <c r="I79" s="211"/>
      <c r="J79" s="211"/>
      <c r="K79" s="2"/>
      <c r="L79" s="2" t="s">
        <v>317</v>
      </c>
      <c r="M79" s="206" t="s">
        <v>318</v>
      </c>
      <c r="N79" s="2" t="s">
        <v>319</v>
      </c>
      <c r="Q79" s="206" t="str">
        <f t="shared" si="6"/>
        <v/>
      </c>
      <c r="R79" s="213" t="str">
        <f t="shared" si="6"/>
        <v/>
      </c>
      <c r="S79" s="214" t="str">
        <f t="shared" si="6"/>
        <v/>
      </c>
      <c r="T79" s="212" t="str">
        <f t="shared" si="7"/>
        <v/>
      </c>
      <c r="U79" s="206" t="str">
        <f t="shared" si="8"/>
        <v/>
      </c>
      <c r="V79" s="212" t="str">
        <f t="shared" si="9"/>
        <v>-</v>
      </c>
      <c r="W79" s="13" t="str">
        <f t="shared" si="10"/>
        <v>Office Equipment</v>
      </c>
      <c r="X79" s="2" t="str">
        <f t="shared" si="11"/>
        <v>1706811</v>
      </c>
      <c r="Y79" s="2" t="str">
        <f t="shared" si="11"/>
        <v>Office Equipment (Cost)</v>
      </c>
    </row>
    <row r="80" spans="7:25" ht="20.100000000000001" customHeight="1">
      <c r="G80" s="211"/>
      <c r="H80" s="211"/>
      <c r="I80" s="211"/>
      <c r="J80" s="211"/>
      <c r="K80" s="2"/>
      <c r="L80" s="211" t="s">
        <v>286</v>
      </c>
      <c r="M80" s="206" t="s">
        <v>320</v>
      </c>
      <c r="N80" s="2" t="s">
        <v>321</v>
      </c>
      <c r="Q80" s="206" t="str">
        <f t="shared" si="6"/>
        <v/>
      </c>
      <c r="R80" s="213" t="str">
        <f t="shared" si="6"/>
        <v/>
      </c>
      <c r="S80" s="214" t="str">
        <f t="shared" si="6"/>
        <v/>
      </c>
      <c r="T80" s="212" t="str">
        <f t="shared" si="7"/>
        <v/>
      </c>
      <c r="U80" s="206" t="str">
        <f t="shared" si="8"/>
        <v/>
      </c>
      <c r="V80" s="212" t="str">
        <f t="shared" si="9"/>
        <v>-</v>
      </c>
      <c r="W80" s="13" t="str">
        <f t="shared" si="10"/>
        <v xml:space="preserve"> (Accumulated Depreciation)</v>
      </c>
      <c r="X80" s="2" t="str">
        <f t="shared" si="11"/>
        <v>1706815</v>
      </c>
      <c r="Y80" s="2" t="str">
        <f t="shared" si="11"/>
        <v>Accu.Dep - Office Equipment</v>
      </c>
    </row>
    <row r="81" spans="7:25" ht="20.100000000000001" customHeight="1">
      <c r="G81" s="211"/>
      <c r="H81" s="211"/>
      <c r="I81" s="211"/>
      <c r="J81" s="211"/>
      <c r="K81" s="2"/>
      <c r="L81" s="2" t="s">
        <v>322</v>
      </c>
      <c r="M81" s="206" t="s">
        <v>323</v>
      </c>
      <c r="N81" s="2" t="s">
        <v>324</v>
      </c>
      <c r="Q81" s="206" t="str">
        <f t="shared" si="6"/>
        <v/>
      </c>
      <c r="R81" s="213" t="str">
        <f t="shared" si="6"/>
        <v/>
      </c>
      <c r="S81" s="214" t="str">
        <f t="shared" si="6"/>
        <v/>
      </c>
      <c r="T81" s="212" t="str">
        <f t="shared" si="7"/>
        <v/>
      </c>
      <c r="U81" s="206" t="str">
        <f t="shared" si="8"/>
        <v/>
      </c>
      <c r="V81" s="212" t="str">
        <f t="shared" si="9"/>
        <v>-</v>
      </c>
      <c r="W81" s="13" t="str">
        <f t="shared" si="10"/>
        <v>Audio Equipment</v>
      </c>
      <c r="X81" s="2" t="str">
        <f t="shared" si="11"/>
        <v>1706821</v>
      </c>
      <c r="Y81" s="2" t="str">
        <f t="shared" si="11"/>
        <v>Audio Equipment (Cost)</v>
      </c>
    </row>
    <row r="82" spans="7:25" ht="20.100000000000001" customHeight="1">
      <c r="G82" s="211"/>
      <c r="H82" s="211"/>
      <c r="I82" s="211"/>
      <c r="J82" s="211"/>
      <c r="K82" s="2"/>
      <c r="L82" s="211" t="s">
        <v>286</v>
      </c>
      <c r="M82" s="206" t="s">
        <v>325</v>
      </c>
      <c r="N82" s="2" t="s">
        <v>326</v>
      </c>
      <c r="Q82" s="206" t="str">
        <f t="shared" si="6"/>
        <v/>
      </c>
      <c r="R82" s="213" t="str">
        <f t="shared" si="6"/>
        <v/>
      </c>
      <c r="S82" s="214" t="str">
        <f t="shared" si="6"/>
        <v/>
      </c>
      <c r="T82" s="212" t="str">
        <f t="shared" si="7"/>
        <v/>
      </c>
      <c r="U82" s="206" t="str">
        <f t="shared" si="8"/>
        <v/>
      </c>
      <c r="V82" s="212" t="str">
        <f t="shared" si="9"/>
        <v>-</v>
      </c>
      <c r="W82" s="13" t="str">
        <f t="shared" si="10"/>
        <v xml:space="preserve"> (Accumulated Depreciation)</v>
      </c>
      <c r="X82" s="2" t="str">
        <f t="shared" si="11"/>
        <v>1706825</v>
      </c>
      <c r="Y82" s="2" t="str">
        <f t="shared" si="11"/>
        <v>Accu.Dep - Audio Equipment</v>
      </c>
    </row>
    <row r="83" spans="7:25" ht="20.100000000000001" customHeight="1">
      <c r="G83" s="211"/>
      <c r="H83" s="211"/>
      <c r="I83" s="211"/>
      <c r="J83" s="210" t="s">
        <v>327</v>
      </c>
      <c r="K83" s="211"/>
      <c r="L83" s="211"/>
      <c r="Q83" s="206" t="str">
        <f t="shared" si="6"/>
        <v/>
      </c>
      <c r="R83" s="213" t="str">
        <f t="shared" si="6"/>
        <v/>
      </c>
      <c r="S83" s="214" t="str">
        <f t="shared" si="6"/>
        <v/>
      </c>
      <c r="T83" s="212" t="str">
        <f t="shared" si="7"/>
        <v>⊙</v>
      </c>
      <c r="U83" s="206" t="str">
        <f t="shared" si="8"/>
        <v/>
      </c>
      <c r="V83" s="212" t="str">
        <f t="shared" si="9"/>
        <v/>
      </c>
      <c r="W83" s="15" t="str">
        <f t="shared" si="10"/>
        <v>Other Tangible Assets</v>
      </c>
      <c r="X83" s="2" t="str">
        <f t="shared" si="11"/>
        <v/>
      </c>
      <c r="Y83" s="2" t="str">
        <f t="shared" si="11"/>
        <v/>
      </c>
    </row>
    <row r="84" spans="7:25" ht="20.100000000000001" customHeight="1">
      <c r="G84" s="211"/>
      <c r="H84" s="211"/>
      <c r="I84" s="211"/>
      <c r="J84" s="211"/>
      <c r="K84" s="2"/>
      <c r="L84" s="2" t="s">
        <v>328</v>
      </c>
      <c r="M84" s="206" t="s">
        <v>329</v>
      </c>
      <c r="N84" s="2" t="s">
        <v>330</v>
      </c>
      <c r="Q84" s="206" t="str">
        <f t="shared" si="6"/>
        <v/>
      </c>
      <c r="R84" s="213" t="str">
        <f t="shared" si="6"/>
        <v/>
      </c>
      <c r="S84" s="214" t="str">
        <f t="shared" si="6"/>
        <v/>
      </c>
      <c r="T84" s="212" t="str">
        <f t="shared" si="7"/>
        <v/>
      </c>
      <c r="U84" s="206" t="str">
        <f t="shared" si="8"/>
        <v/>
      </c>
      <c r="V84" s="212" t="str">
        <f t="shared" si="9"/>
        <v>-</v>
      </c>
      <c r="W84" s="13" t="str">
        <f t="shared" si="10"/>
        <v>Preliminary</v>
      </c>
      <c r="X84" s="2" t="str">
        <f t="shared" si="11"/>
        <v>1707101</v>
      </c>
      <c r="Y84" s="2" t="str">
        <f t="shared" si="11"/>
        <v>Preliminary (Cost)</v>
      </c>
    </row>
    <row r="85" spans="7:25" ht="20.100000000000001" customHeight="1">
      <c r="G85" s="211"/>
      <c r="H85" s="211"/>
      <c r="I85" s="211"/>
      <c r="J85" s="211"/>
      <c r="K85" s="211"/>
      <c r="L85" s="211" t="s">
        <v>286</v>
      </c>
      <c r="M85" s="206" t="s">
        <v>331</v>
      </c>
      <c r="N85" s="2" t="s">
        <v>332</v>
      </c>
      <c r="Q85" s="206" t="str">
        <f t="shared" si="6"/>
        <v/>
      </c>
      <c r="R85" s="213" t="str">
        <f t="shared" si="6"/>
        <v/>
      </c>
      <c r="S85" s="214" t="str">
        <f t="shared" si="6"/>
        <v/>
      </c>
      <c r="T85" s="212" t="str">
        <f t="shared" si="7"/>
        <v/>
      </c>
      <c r="U85" s="206" t="str">
        <f t="shared" si="8"/>
        <v/>
      </c>
      <c r="V85" s="212" t="str">
        <f t="shared" si="9"/>
        <v>-</v>
      </c>
      <c r="W85" s="13" t="str">
        <f t="shared" si="10"/>
        <v xml:space="preserve"> (Accumulated Depreciation)</v>
      </c>
      <c r="X85" s="2" t="str">
        <f t="shared" si="11"/>
        <v>1707105</v>
      </c>
      <c r="Y85" s="2" t="str">
        <f t="shared" si="11"/>
        <v>Accu.Dep - Preliminary</v>
      </c>
    </row>
    <row r="86" spans="7:25" ht="20.100000000000001" customHeight="1">
      <c r="J86" s="210" t="s">
        <v>333</v>
      </c>
      <c r="M86" s="206" t="s">
        <v>334</v>
      </c>
      <c r="N86" s="2" t="s">
        <v>335</v>
      </c>
      <c r="Q86" s="206" t="str">
        <f t="shared" si="6"/>
        <v/>
      </c>
      <c r="R86" s="213" t="str">
        <f t="shared" si="6"/>
        <v/>
      </c>
      <c r="S86" s="214" t="str">
        <f t="shared" si="6"/>
        <v/>
      </c>
      <c r="T86" s="212" t="str">
        <f t="shared" si="7"/>
        <v>⊙</v>
      </c>
      <c r="U86" s="206" t="str">
        <f t="shared" si="8"/>
        <v/>
      </c>
      <c r="V86" s="212" t="str">
        <f t="shared" si="9"/>
        <v/>
      </c>
      <c r="W86" s="15" t="str">
        <f t="shared" si="10"/>
        <v>Construction in process</v>
      </c>
      <c r="X86" s="2" t="str">
        <f t="shared" si="11"/>
        <v>1708101</v>
      </c>
      <c r="Y86" s="2" t="str">
        <f t="shared" si="11"/>
        <v>Construction in process (Cost)</v>
      </c>
    </row>
    <row r="87" spans="7:25" ht="20.100000000000001" customHeight="1">
      <c r="I87" s="210" t="s">
        <v>336</v>
      </c>
      <c r="Q87" s="206" t="str">
        <f t="shared" si="6"/>
        <v/>
      </c>
      <c r="R87" s="213" t="str">
        <f t="shared" si="6"/>
        <v/>
      </c>
      <c r="S87" s="214" t="str">
        <f t="shared" si="6"/>
        <v>■</v>
      </c>
      <c r="T87" s="212" t="str">
        <f t="shared" si="7"/>
        <v/>
      </c>
      <c r="U87" s="206" t="str">
        <f t="shared" si="8"/>
        <v/>
      </c>
      <c r="V87" s="212" t="str">
        <f t="shared" si="9"/>
        <v/>
      </c>
      <c r="W87" s="15" t="str">
        <f t="shared" si="10"/>
        <v>(3) Other non-current assets</v>
      </c>
      <c r="X87" s="2" t="str">
        <f t="shared" si="11"/>
        <v/>
      </c>
      <c r="Y87" s="2" t="str">
        <f t="shared" si="11"/>
        <v/>
      </c>
    </row>
    <row r="88" spans="7:25" ht="20.100000000000001" customHeight="1">
      <c r="I88" s="210"/>
      <c r="J88" s="210" t="s">
        <v>337</v>
      </c>
      <c r="M88" s="206" t="s">
        <v>338</v>
      </c>
      <c r="N88" s="2" t="s">
        <v>339</v>
      </c>
      <c r="Q88" s="206" t="str">
        <f t="shared" si="6"/>
        <v/>
      </c>
      <c r="R88" s="213" t="str">
        <f t="shared" si="6"/>
        <v/>
      </c>
      <c r="S88" s="214" t="str">
        <f t="shared" si="6"/>
        <v/>
      </c>
      <c r="T88" s="212" t="str">
        <f t="shared" si="7"/>
        <v>⊙</v>
      </c>
      <c r="U88" s="206" t="str">
        <f t="shared" si="8"/>
        <v/>
      </c>
      <c r="V88" s="212" t="str">
        <f t="shared" si="9"/>
        <v/>
      </c>
      <c r="W88" s="15" t="str">
        <f t="shared" si="10"/>
        <v>Long-term Loans</v>
      </c>
      <c r="X88" s="2" t="str">
        <f t="shared" si="11"/>
        <v>1611101</v>
      </c>
      <c r="Y88" s="2" t="str">
        <f t="shared" si="11"/>
        <v>Long-term Loans - MMK</v>
      </c>
    </row>
    <row r="89" spans="7:25" ht="20.100000000000001" customHeight="1">
      <c r="J89" s="210" t="s">
        <v>340</v>
      </c>
      <c r="M89" s="206" t="s">
        <v>341</v>
      </c>
      <c r="N89" s="2" t="s">
        <v>342</v>
      </c>
      <c r="Q89" s="206" t="str">
        <f t="shared" si="6"/>
        <v/>
      </c>
      <c r="R89" s="213" t="str">
        <f t="shared" si="6"/>
        <v/>
      </c>
      <c r="S89" s="214" t="str">
        <f t="shared" si="6"/>
        <v/>
      </c>
      <c r="T89" s="212" t="str">
        <f t="shared" si="7"/>
        <v>⊙</v>
      </c>
      <c r="U89" s="206" t="str">
        <f t="shared" si="8"/>
        <v/>
      </c>
      <c r="V89" s="212" t="str">
        <f t="shared" si="9"/>
        <v/>
      </c>
      <c r="W89" s="15" t="str">
        <f t="shared" si="10"/>
        <v>Security Deposits</v>
      </c>
      <c r="X89" s="2" t="str">
        <f t="shared" si="11"/>
        <v>1811101</v>
      </c>
      <c r="Y89" s="2" t="str">
        <f t="shared" si="11"/>
        <v>Security Deposits - MMK</v>
      </c>
    </row>
    <row r="90" spans="7:25" ht="20.100000000000001" customHeight="1">
      <c r="G90" s="210" t="s">
        <v>343</v>
      </c>
      <c r="Q90" s="206" t="str">
        <f t="shared" si="6"/>
        <v>■</v>
      </c>
      <c r="R90" s="213" t="str">
        <f t="shared" si="6"/>
        <v/>
      </c>
      <c r="S90" s="214" t="str">
        <f t="shared" si="6"/>
        <v/>
      </c>
      <c r="T90" s="212" t="str">
        <f t="shared" si="7"/>
        <v/>
      </c>
      <c r="U90" s="206" t="str">
        <f t="shared" si="8"/>
        <v/>
      </c>
      <c r="V90" s="212" t="str">
        <f t="shared" si="9"/>
        <v/>
      </c>
      <c r="W90" s="15" t="str">
        <f t="shared" si="10"/>
        <v>Liabilities</v>
      </c>
      <c r="X90" s="2" t="str">
        <f t="shared" si="11"/>
        <v/>
      </c>
      <c r="Y90" s="2" t="str">
        <f t="shared" si="11"/>
        <v/>
      </c>
    </row>
    <row r="91" spans="7:25" ht="20.100000000000001" customHeight="1">
      <c r="H91" s="210" t="s">
        <v>344</v>
      </c>
      <c r="Q91" s="206" t="str">
        <f t="shared" si="6"/>
        <v/>
      </c>
      <c r="R91" s="213" t="str">
        <f t="shared" si="6"/>
        <v>■</v>
      </c>
      <c r="S91" s="214" t="str">
        <f t="shared" si="6"/>
        <v/>
      </c>
      <c r="T91" s="212" t="str">
        <f t="shared" si="7"/>
        <v/>
      </c>
      <c r="U91" s="206" t="str">
        <f t="shared" si="8"/>
        <v/>
      </c>
      <c r="V91" s="212" t="str">
        <f t="shared" si="9"/>
        <v/>
      </c>
      <c r="W91" s="15" t="str">
        <f t="shared" si="10"/>
        <v>Ⅰ. Current Liabilities</v>
      </c>
      <c r="X91" s="2" t="str">
        <f t="shared" si="11"/>
        <v/>
      </c>
      <c r="Y91" s="2" t="str">
        <f t="shared" si="11"/>
        <v/>
      </c>
    </row>
    <row r="92" spans="7:25" ht="20.100000000000001" customHeight="1">
      <c r="J92" s="210" t="s">
        <v>345</v>
      </c>
      <c r="M92" s="206" t="s">
        <v>346</v>
      </c>
      <c r="N92" s="2" t="s">
        <v>347</v>
      </c>
      <c r="Q92" s="206" t="str">
        <f t="shared" si="6"/>
        <v/>
      </c>
      <c r="R92" s="213" t="str">
        <f t="shared" si="6"/>
        <v/>
      </c>
      <c r="S92" s="214" t="str">
        <f t="shared" si="6"/>
        <v/>
      </c>
      <c r="T92" s="212" t="str">
        <f t="shared" si="7"/>
        <v>⊙</v>
      </c>
      <c r="U92" s="206" t="str">
        <f t="shared" si="8"/>
        <v/>
      </c>
      <c r="V92" s="212" t="str">
        <f t="shared" si="9"/>
        <v/>
      </c>
      <c r="W92" s="15" t="str">
        <f t="shared" si="10"/>
        <v>Accounts Payable</v>
      </c>
      <c r="X92" s="2" t="str">
        <f t="shared" si="11"/>
        <v>2131101</v>
      </c>
      <c r="Y92" s="2" t="str">
        <f t="shared" si="11"/>
        <v>Accounts Payable - MMK</v>
      </c>
    </row>
    <row r="93" spans="7:25" ht="20.100000000000001" customHeight="1">
      <c r="J93" s="15" t="s">
        <v>348</v>
      </c>
      <c r="M93" s="206" t="s">
        <v>349</v>
      </c>
      <c r="N93" s="2" t="s">
        <v>350</v>
      </c>
      <c r="Q93" s="206" t="str">
        <f t="shared" si="6"/>
        <v/>
      </c>
      <c r="R93" s="213" t="str">
        <f t="shared" si="6"/>
        <v/>
      </c>
      <c r="S93" s="214" t="str">
        <f t="shared" si="6"/>
        <v/>
      </c>
      <c r="T93" s="212" t="str">
        <f t="shared" si="7"/>
        <v>⊙</v>
      </c>
      <c r="U93" s="206" t="str">
        <f t="shared" si="8"/>
        <v/>
      </c>
      <c r="V93" s="212" t="str">
        <f t="shared" si="9"/>
        <v/>
      </c>
      <c r="W93" s="15" t="str">
        <f t="shared" si="10"/>
        <v>Short-term Borrowings</v>
      </c>
      <c r="X93" s="2" t="str">
        <f t="shared" si="11"/>
        <v>2211101</v>
      </c>
      <c r="Y93" s="2" t="str">
        <f t="shared" si="11"/>
        <v>Short-term Borrowings - MMK</v>
      </c>
    </row>
    <row r="94" spans="7:25" ht="20.100000000000001" customHeight="1">
      <c r="J94" s="15" t="s">
        <v>351</v>
      </c>
      <c r="Q94" s="206" t="str">
        <f t="shared" si="6"/>
        <v/>
      </c>
      <c r="R94" s="213" t="str">
        <f t="shared" si="6"/>
        <v/>
      </c>
      <c r="S94" s="214" t="str">
        <f t="shared" si="6"/>
        <v/>
      </c>
      <c r="T94" s="212" t="str">
        <f t="shared" si="7"/>
        <v>⊙</v>
      </c>
      <c r="U94" s="206" t="str">
        <f t="shared" si="8"/>
        <v/>
      </c>
      <c r="V94" s="212" t="str">
        <f t="shared" si="9"/>
        <v/>
      </c>
      <c r="W94" s="15" t="str">
        <f t="shared" si="10"/>
        <v>Other Payable</v>
      </c>
      <c r="X94" s="2" t="str">
        <f t="shared" si="11"/>
        <v/>
      </c>
      <c r="Y94" s="2" t="str">
        <f t="shared" si="11"/>
        <v/>
      </c>
    </row>
    <row r="95" spans="7:25" ht="20.100000000000001" customHeight="1">
      <c r="L95" s="2" t="s">
        <v>351</v>
      </c>
      <c r="M95" s="206" t="s">
        <v>352</v>
      </c>
      <c r="N95" s="2" t="s">
        <v>353</v>
      </c>
      <c r="Q95" s="206" t="str">
        <f t="shared" si="6"/>
        <v/>
      </c>
      <c r="R95" s="213" t="str">
        <f t="shared" si="6"/>
        <v/>
      </c>
      <c r="S95" s="214" t="str">
        <f t="shared" si="6"/>
        <v/>
      </c>
      <c r="T95" s="212" t="str">
        <f t="shared" si="7"/>
        <v/>
      </c>
      <c r="U95" s="206" t="str">
        <f t="shared" si="8"/>
        <v/>
      </c>
      <c r="V95" s="212" t="str">
        <f t="shared" si="9"/>
        <v>-</v>
      </c>
      <c r="W95" s="13" t="str">
        <f t="shared" si="10"/>
        <v>Other Payable</v>
      </c>
      <c r="X95" s="2" t="str">
        <f t="shared" si="11"/>
        <v>2251101</v>
      </c>
      <c r="Y95" s="2" t="str">
        <f t="shared" si="11"/>
        <v>Other Payable - MMK</v>
      </c>
    </row>
    <row r="96" spans="7:25" ht="20.100000000000001" customHeight="1">
      <c r="L96" s="2" t="s">
        <v>354</v>
      </c>
      <c r="M96" s="206" t="s">
        <v>355</v>
      </c>
      <c r="N96" s="2" t="s">
        <v>356</v>
      </c>
      <c r="Q96" s="206" t="str">
        <f t="shared" si="6"/>
        <v/>
      </c>
      <c r="R96" s="213" t="str">
        <f t="shared" si="6"/>
        <v/>
      </c>
      <c r="S96" s="214" t="str">
        <f t="shared" si="6"/>
        <v/>
      </c>
      <c r="T96" s="212" t="str">
        <f t="shared" si="7"/>
        <v/>
      </c>
      <c r="U96" s="206" t="str">
        <f t="shared" si="8"/>
        <v/>
      </c>
      <c r="V96" s="212" t="str">
        <f t="shared" si="9"/>
        <v>-</v>
      </c>
      <c r="W96" s="13" t="str">
        <f t="shared" si="10"/>
        <v>Salary Payable</v>
      </c>
      <c r="X96" s="2" t="str">
        <f t="shared" si="11"/>
        <v>2251501</v>
      </c>
      <c r="Y96" s="2" t="str">
        <f t="shared" si="11"/>
        <v>Salary Payable - MMK</v>
      </c>
    </row>
    <row r="97" spans="7:25" ht="20.100000000000001" customHeight="1">
      <c r="J97" s="15" t="s">
        <v>357</v>
      </c>
      <c r="M97" s="206" t="s">
        <v>358</v>
      </c>
      <c r="N97" s="2" t="s">
        <v>359</v>
      </c>
      <c r="Q97" s="206" t="str">
        <f t="shared" si="6"/>
        <v/>
      </c>
      <c r="R97" s="213" t="str">
        <f t="shared" si="6"/>
        <v/>
      </c>
      <c r="S97" s="214" t="str">
        <f t="shared" si="6"/>
        <v/>
      </c>
      <c r="T97" s="212" t="str">
        <f t="shared" si="7"/>
        <v>⊙</v>
      </c>
      <c r="U97" s="206" t="str">
        <f t="shared" si="8"/>
        <v/>
      </c>
      <c r="V97" s="212" t="str">
        <f t="shared" si="9"/>
        <v/>
      </c>
      <c r="W97" s="15" t="str">
        <f t="shared" si="10"/>
        <v>Advance Received</v>
      </c>
      <c r="X97" s="2" t="str">
        <f t="shared" si="11"/>
        <v>2252101</v>
      </c>
      <c r="Y97" s="2" t="str">
        <f t="shared" si="11"/>
        <v>Advance Received - MMK</v>
      </c>
    </row>
    <row r="98" spans="7:25" ht="20.100000000000001" customHeight="1">
      <c r="J98" s="15" t="s">
        <v>360</v>
      </c>
      <c r="Q98" s="206" t="str">
        <f t="shared" si="6"/>
        <v/>
      </c>
      <c r="R98" s="213" t="str">
        <f t="shared" si="6"/>
        <v/>
      </c>
      <c r="S98" s="214" t="str">
        <f t="shared" si="6"/>
        <v/>
      </c>
      <c r="T98" s="212" t="str">
        <f t="shared" si="7"/>
        <v>⊙</v>
      </c>
      <c r="U98" s="206" t="str">
        <f t="shared" si="8"/>
        <v/>
      </c>
      <c r="V98" s="212" t="str">
        <f t="shared" si="9"/>
        <v/>
      </c>
      <c r="W98" s="15" t="str">
        <f t="shared" si="10"/>
        <v>Withholdings</v>
      </c>
      <c r="X98" s="2" t="str">
        <f t="shared" si="11"/>
        <v/>
      </c>
      <c r="Y98" s="2" t="str">
        <f t="shared" si="11"/>
        <v/>
      </c>
    </row>
    <row r="99" spans="7:25" ht="20.100000000000001" customHeight="1">
      <c r="L99" s="2" t="s">
        <v>361</v>
      </c>
      <c r="M99" s="206" t="s">
        <v>362</v>
      </c>
      <c r="N99" s="2" t="s">
        <v>363</v>
      </c>
      <c r="Q99" s="206" t="str">
        <f t="shared" si="6"/>
        <v/>
      </c>
      <c r="R99" s="213" t="str">
        <f t="shared" si="6"/>
        <v/>
      </c>
      <c r="S99" s="214" t="str">
        <f t="shared" si="6"/>
        <v/>
      </c>
      <c r="T99" s="212" t="str">
        <f t="shared" si="7"/>
        <v/>
      </c>
      <c r="U99" s="206" t="str">
        <f t="shared" si="8"/>
        <v/>
      </c>
      <c r="V99" s="212" t="str">
        <f t="shared" si="9"/>
        <v>-</v>
      </c>
      <c r="W99" s="13" t="str">
        <f t="shared" si="10"/>
        <v>Withholding tax</v>
      </c>
      <c r="X99" s="2" t="str">
        <f t="shared" si="11"/>
        <v>2253501</v>
      </c>
      <c r="Y99" s="2" t="str">
        <f t="shared" si="11"/>
        <v>DR./ Withholding tax - MMK</v>
      </c>
    </row>
    <row r="100" spans="7:25" ht="20.100000000000001" customHeight="1">
      <c r="L100" s="2" t="s">
        <v>364</v>
      </c>
      <c r="M100" s="206" t="s">
        <v>365</v>
      </c>
      <c r="N100" s="2" t="s">
        <v>364</v>
      </c>
      <c r="Q100" s="206" t="str">
        <f t="shared" si="6"/>
        <v/>
      </c>
      <c r="R100" s="213" t="str">
        <f t="shared" si="6"/>
        <v/>
      </c>
      <c r="S100" s="214" t="str">
        <f t="shared" si="6"/>
        <v/>
      </c>
      <c r="T100" s="212" t="str">
        <f t="shared" si="7"/>
        <v/>
      </c>
      <c r="U100" s="206" t="str">
        <f t="shared" si="8"/>
        <v/>
      </c>
      <c r="V100" s="212" t="str">
        <f t="shared" si="9"/>
        <v>-</v>
      </c>
      <c r="W100" s="13" t="str">
        <f t="shared" si="10"/>
        <v>VAT - payable</v>
      </c>
      <c r="X100" s="2" t="str">
        <f t="shared" si="11"/>
        <v>2253600</v>
      </c>
      <c r="Y100" s="2" t="str">
        <f t="shared" si="11"/>
        <v>VAT - payable</v>
      </c>
    </row>
    <row r="101" spans="7:25" ht="20.100000000000001" customHeight="1">
      <c r="L101" s="2" t="s">
        <v>366</v>
      </c>
      <c r="M101" s="206" t="s">
        <v>367</v>
      </c>
      <c r="N101" s="2" t="s">
        <v>366</v>
      </c>
      <c r="Q101" s="206" t="str">
        <f t="shared" si="6"/>
        <v/>
      </c>
      <c r="R101" s="213" t="str">
        <f t="shared" si="6"/>
        <v/>
      </c>
      <c r="S101" s="214" t="str">
        <f t="shared" si="6"/>
        <v/>
      </c>
      <c r="T101" s="212" t="str">
        <f t="shared" si="7"/>
        <v/>
      </c>
      <c r="U101" s="206" t="str">
        <f t="shared" si="8"/>
        <v/>
      </c>
      <c r="V101" s="212" t="str">
        <f t="shared" si="9"/>
        <v>-</v>
      </c>
      <c r="W101" s="13" t="str">
        <f t="shared" si="10"/>
        <v>Taxes Payable</v>
      </c>
      <c r="X101" s="2" t="str">
        <f t="shared" si="11"/>
        <v>2253700</v>
      </c>
      <c r="Y101" s="2" t="str">
        <f t="shared" si="11"/>
        <v>Taxes Payable</v>
      </c>
    </row>
    <row r="102" spans="7:25" ht="20.100000000000001" customHeight="1">
      <c r="J102" s="15" t="s">
        <v>368</v>
      </c>
      <c r="M102" s="206" t="s">
        <v>369</v>
      </c>
      <c r="N102" s="2" t="s">
        <v>370</v>
      </c>
      <c r="Q102" s="206" t="str">
        <f t="shared" si="6"/>
        <v/>
      </c>
      <c r="R102" s="213" t="str">
        <f t="shared" si="6"/>
        <v/>
      </c>
      <c r="S102" s="214" t="str">
        <f t="shared" si="6"/>
        <v/>
      </c>
      <c r="T102" s="212" t="str">
        <f t="shared" si="7"/>
        <v>⊙</v>
      </c>
      <c r="U102" s="206" t="str">
        <f t="shared" si="8"/>
        <v/>
      </c>
      <c r="V102" s="212" t="str">
        <f t="shared" si="9"/>
        <v/>
      </c>
      <c r="W102" s="15" t="str">
        <f t="shared" si="10"/>
        <v>Accrued expenses</v>
      </c>
      <c r="X102" s="2" t="str">
        <f t="shared" si="11"/>
        <v>2256101</v>
      </c>
      <c r="Y102" s="2" t="str">
        <f t="shared" si="11"/>
        <v>Accrued expenses - MMK</v>
      </c>
    </row>
    <row r="103" spans="7:25" ht="20.100000000000001" customHeight="1">
      <c r="H103" s="210" t="s">
        <v>371</v>
      </c>
      <c r="Q103" s="206" t="str">
        <f t="shared" si="6"/>
        <v/>
      </c>
      <c r="R103" s="213" t="str">
        <f t="shared" si="6"/>
        <v>■</v>
      </c>
      <c r="S103" s="214" t="str">
        <f t="shared" si="6"/>
        <v/>
      </c>
      <c r="T103" s="212" t="str">
        <f t="shared" si="7"/>
        <v/>
      </c>
      <c r="U103" s="206" t="str">
        <f t="shared" si="8"/>
        <v/>
      </c>
      <c r="V103" s="212" t="str">
        <f t="shared" si="9"/>
        <v/>
      </c>
      <c r="W103" s="15" t="str">
        <f t="shared" si="10"/>
        <v>Ⅱ. Non-Current Liabilities</v>
      </c>
      <c r="X103" s="2" t="str">
        <f t="shared" si="11"/>
        <v/>
      </c>
      <c r="Y103" s="2" t="str">
        <f t="shared" si="11"/>
        <v/>
      </c>
    </row>
    <row r="104" spans="7:25" ht="20.100000000000001" customHeight="1">
      <c r="J104" s="15" t="s">
        <v>372</v>
      </c>
      <c r="Q104" s="206" t="str">
        <f t="shared" si="6"/>
        <v/>
      </c>
      <c r="R104" s="213" t="str">
        <f t="shared" si="6"/>
        <v/>
      </c>
      <c r="S104" s="214" t="str">
        <f t="shared" si="6"/>
        <v/>
      </c>
      <c r="T104" s="212" t="str">
        <f t="shared" si="7"/>
        <v>⊙</v>
      </c>
      <c r="U104" s="206" t="str">
        <f t="shared" si="8"/>
        <v/>
      </c>
      <c r="V104" s="212" t="str">
        <f t="shared" si="9"/>
        <v/>
      </c>
      <c r="W104" s="15" t="str">
        <f t="shared" si="10"/>
        <v>Long-term Borrowings</v>
      </c>
      <c r="X104" s="2" t="str">
        <f t="shared" si="11"/>
        <v/>
      </c>
      <c r="Y104" s="2" t="str">
        <f t="shared" si="11"/>
        <v/>
      </c>
    </row>
    <row r="105" spans="7:25" ht="20.100000000000001" customHeight="1">
      <c r="L105" s="2" t="s">
        <v>372</v>
      </c>
      <c r="M105" s="206" t="s">
        <v>373</v>
      </c>
      <c r="N105" s="2" t="s">
        <v>374</v>
      </c>
      <c r="Q105" s="206" t="str">
        <f t="shared" si="6"/>
        <v/>
      </c>
      <c r="R105" s="213" t="str">
        <f t="shared" si="6"/>
        <v/>
      </c>
      <c r="S105" s="214" t="str">
        <f t="shared" si="6"/>
        <v/>
      </c>
      <c r="T105" s="212" t="str">
        <f t="shared" si="7"/>
        <v/>
      </c>
      <c r="U105" s="206" t="str">
        <f t="shared" si="8"/>
        <v/>
      </c>
      <c r="V105" s="212" t="str">
        <f t="shared" si="9"/>
        <v>-</v>
      </c>
      <c r="W105" s="13" t="str">
        <f t="shared" si="10"/>
        <v>Long-term Borrowings</v>
      </c>
      <c r="X105" s="2" t="str">
        <f t="shared" si="11"/>
        <v>2611101</v>
      </c>
      <c r="Y105" s="2" t="str">
        <f t="shared" si="11"/>
        <v>Long-term Borrowings - MMK</v>
      </c>
    </row>
    <row r="106" spans="7:25" ht="20.100000000000001" customHeight="1">
      <c r="L106" s="2" t="s">
        <v>375</v>
      </c>
      <c r="M106" s="206" t="s">
        <v>376</v>
      </c>
      <c r="N106" s="2" t="s">
        <v>377</v>
      </c>
      <c r="Q106" s="206" t="str">
        <f t="shared" si="6"/>
        <v/>
      </c>
      <c r="R106" s="213" t="str">
        <f t="shared" si="6"/>
        <v/>
      </c>
      <c r="S106" s="214" t="str">
        <f t="shared" si="6"/>
        <v/>
      </c>
      <c r="T106" s="212" t="str">
        <f t="shared" si="7"/>
        <v/>
      </c>
      <c r="U106" s="206" t="str">
        <f t="shared" si="8"/>
        <v/>
      </c>
      <c r="V106" s="212" t="str">
        <f t="shared" si="9"/>
        <v>-</v>
      </c>
      <c r="W106" s="13" t="str">
        <f t="shared" si="10"/>
        <v>Borrowings from Affiliate</v>
      </c>
      <c r="X106" s="2" t="str">
        <f t="shared" si="11"/>
        <v>2611301</v>
      </c>
      <c r="Y106" s="2" t="str">
        <f t="shared" si="11"/>
        <v>Borrowings from Affiliate - MMK</v>
      </c>
    </row>
    <row r="107" spans="7:25" ht="20.100000000000001" customHeight="1">
      <c r="J107" s="15" t="s">
        <v>378</v>
      </c>
      <c r="M107" s="206" t="s">
        <v>379</v>
      </c>
      <c r="N107" s="2" t="s">
        <v>378</v>
      </c>
      <c r="Q107" s="206" t="str">
        <f t="shared" si="6"/>
        <v/>
      </c>
      <c r="R107" s="213" t="str">
        <f t="shared" si="6"/>
        <v/>
      </c>
      <c r="S107" s="214" t="str">
        <f t="shared" si="6"/>
        <v/>
      </c>
      <c r="T107" s="212" t="str">
        <f t="shared" si="7"/>
        <v>⊙</v>
      </c>
      <c r="U107" s="206" t="str">
        <f t="shared" si="8"/>
        <v/>
      </c>
      <c r="V107" s="212" t="str">
        <f t="shared" si="9"/>
        <v/>
      </c>
      <c r="W107" s="15" t="str">
        <f t="shared" si="10"/>
        <v>Severance allowance</v>
      </c>
      <c r="X107" s="2" t="str">
        <f t="shared" si="11"/>
        <v>2815100</v>
      </c>
      <c r="Y107" s="2" t="str">
        <f t="shared" si="11"/>
        <v>Severance allowance</v>
      </c>
    </row>
    <row r="108" spans="7:25" ht="20.100000000000001" customHeight="1">
      <c r="G108" s="210" t="s">
        <v>380</v>
      </c>
      <c r="Q108" s="206" t="str">
        <f t="shared" si="6"/>
        <v>■</v>
      </c>
      <c r="R108" s="213" t="str">
        <f t="shared" si="6"/>
        <v/>
      </c>
      <c r="S108" s="214" t="str">
        <f t="shared" si="6"/>
        <v/>
      </c>
      <c r="T108" s="212" t="str">
        <f t="shared" si="7"/>
        <v/>
      </c>
      <c r="U108" s="206" t="str">
        <f t="shared" si="8"/>
        <v/>
      </c>
      <c r="V108" s="212" t="str">
        <f t="shared" si="9"/>
        <v/>
      </c>
      <c r="W108" s="15" t="str">
        <f t="shared" si="10"/>
        <v>Capital</v>
      </c>
      <c r="X108" s="2" t="str">
        <f t="shared" si="11"/>
        <v/>
      </c>
      <c r="Y108" s="2" t="str">
        <f t="shared" si="11"/>
        <v/>
      </c>
    </row>
    <row r="109" spans="7:25" ht="20.100000000000001" customHeight="1">
      <c r="J109" s="210" t="s">
        <v>381</v>
      </c>
      <c r="M109" s="206" t="s">
        <v>382</v>
      </c>
      <c r="N109" s="2" t="s">
        <v>383</v>
      </c>
      <c r="Q109" s="206" t="str">
        <f t="shared" si="6"/>
        <v/>
      </c>
      <c r="R109" s="213" t="str">
        <f t="shared" si="6"/>
        <v/>
      </c>
      <c r="S109" s="214" t="str">
        <f t="shared" si="6"/>
        <v/>
      </c>
      <c r="T109" s="212" t="str">
        <f t="shared" si="7"/>
        <v>⊙</v>
      </c>
      <c r="U109" s="206" t="str">
        <f t="shared" si="8"/>
        <v/>
      </c>
      <c r="V109" s="212" t="str">
        <f t="shared" si="9"/>
        <v/>
      </c>
      <c r="W109" s="15" t="str">
        <f t="shared" si="10"/>
        <v>Capital Stock</v>
      </c>
      <c r="X109" s="2" t="str">
        <f t="shared" si="11"/>
        <v>3101100</v>
      </c>
      <c r="Y109" s="2" t="str">
        <f t="shared" si="11"/>
        <v>Capital Stock</v>
      </c>
    </row>
    <row r="110" spans="7:25" ht="20.100000000000001" customHeight="1">
      <c r="J110" s="210" t="s">
        <v>384</v>
      </c>
      <c r="M110" s="206" t="s">
        <v>385</v>
      </c>
      <c r="N110" s="2" t="s">
        <v>386</v>
      </c>
      <c r="Q110" s="206" t="str">
        <f t="shared" si="6"/>
        <v/>
      </c>
      <c r="R110" s="213" t="str">
        <f t="shared" si="6"/>
        <v/>
      </c>
      <c r="S110" s="214" t="str">
        <f t="shared" si="6"/>
        <v/>
      </c>
      <c r="T110" s="212" t="str">
        <f t="shared" si="7"/>
        <v>⊙</v>
      </c>
      <c r="U110" s="206" t="str">
        <f t="shared" si="8"/>
        <v/>
      </c>
      <c r="V110" s="212" t="str">
        <f t="shared" si="9"/>
        <v/>
      </c>
      <c r="W110" s="15" t="str">
        <f t="shared" si="10"/>
        <v>Capital Surplus</v>
      </c>
      <c r="X110" s="2" t="str">
        <f t="shared" si="11"/>
        <v>3301100</v>
      </c>
      <c r="Y110" s="2" t="str">
        <f t="shared" si="11"/>
        <v>Additional paid-in capital</v>
      </c>
    </row>
    <row r="111" spans="7:25" ht="20.100000000000001" customHeight="1">
      <c r="J111" s="210" t="s">
        <v>387</v>
      </c>
      <c r="Q111" s="206" t="str">
        <f t="shared" si="6"/>
        <v/>
      </c>
      <c r="R111" s="213" t="str">
        <f t="shared" si="6"/>
        <v/>
      </c>
      <c r="S111" s="214" t="str">
        <f t="shared" si="6"/>
        <v/>
      </c>
      <c r="T111" s="212" t="str">
        <f t="shared" si="7"/>
        <v>⊙</v>
      </c>
      <c r="U111" s="206" t="str">
        <f t="shared" si="8"/>
        <v/>
      </c>
      <c r="V111" s="212" t="str">
        <f t="shared" si="9"/>
        <v/>
      </c>
      <c r="W111" s="15" t="str">
        <f t="shared" si="10"/>
        <v>Retained Earnings</v>
      </c>
      <c r="X111" s="2" t="str">
        <f t="shared" si="11"/>
        <v/>
      </c>
      <c r="Y111" s="2" t="str">
        <f t="shared" si="11"/>
        <v/>
      </c>
    </row>
    <row r="112" spans="7:25" ht="20.100000000000001" customHeight="1">
      <c r="L112" s="2" t="s">
        <v>388</v>
      </c>
      <c r="M112" s="206" t="s">
        <v>389</v>
      </c>
      <c r="N112" s="2" t="s">
        <v>390</v>
      </c>
      <c r="Q112" s="206" t="str">
        <f t="shared" si="6"/>
        <v/>
      </c>
      <c r="R112" s="213" t="str">
        <f t="shared" si="6"/>
        <v/>
      </c>
      <c r="S112" s="214" t="str">
        <f t="shared" si="6"/>
        <v/>
      </c>
      <c r="T112" s="212" t="str">
        <f t="shared" si="7"/>
        <v/>
      </c>
      <c r="U112" s="206" t="str">
        <f t="shared" si="8"/>
        <v/>
      </c>
      <c r="V112" s="212" t="str">
        <f t="shared" si="9"/>
        <v>-</v>
      </c>
      <c r="W112" s="13" t="str">
        <f t="shared" si="10"/>
        <v>Acc.Retained earnings (by Prior FY)</v>
      </c>
      <c r="X112" s="2" t="str">
        <f t="shared" si="11"/>
        <v>3501101</v>
      </c>
      <c r="Y112" s="2" t="str">
        <f t="shared" si="11"/>
        <v>Acc.Retained earnings (by Prior FY)</v>
      </c>
    </row>
    <row r="113" spans="12:25" ht="20.100000000000001" customHeight="1">
      <c r="L113" s="2" t="s">
        <v>391</v>
      </c>
      <c r="M113" s="206" t="s">
        <v>392</v>
      </c>
      <c r="N113" s="2" t="s">
        <v>391</v>
      </c>
      <c r="Q113" s="206" t="str">
        <f t="shared" si="6"/>
        <v/>
      </c>
      <c r="R113" s="213" t="str">
        <f t="shared" si="6"/>
        <v/>
      </c>
      <c r="S113" s="214" t="str">
        <f t="shared" si="6"/>
        <v/>
      </c>
      <c r="T113" s="212" t="str">
        <f t="shared" si="7"/>
        <v/>
      </c>
      <c r="U113" s="206" t="str">
        <f t="shared" si="8"/>
        <v/>
      </c>
      <c r="V113" s="212" t="str">
        <f t="shared" si="9"/>
        <v>-</v>
      </c>
      <c r="W113" s="13" t="str">
        <f t="shared" si="10"/>
        <v>Net Income</v>
      </c>
      <c r="X113" s="2" t="str">
        <f t="shared" si="11"/>
        <v>3501900</v>
      </c>
      <c r="Y113" s="2" t="str">
        <f t="shared" si="11"/>
        <v>Net Income</v>
      </c>
    </row>
    <row r="114" spans="12:25" ht="20.100000000000001" customHeight="1">
      <c r="Q114" s="206" t="str">
        <f t="shared" si="6"/>
        <v/>
      </c>
      <c r="R114" s="213" t="str">
        <f t="shared" si="6"/>
        <v/>
      </c>
      <c r="S114" s="214" t="str">
        <f t="shared" si="6"/>
        <v/>
      </c>
      <c r="T114" s="206" t="str">
        <f t="shared" si="8"/>
        <v/>
      </c>
      <c r="U114" s="206" t="str">
        <f t="shared" si="8"/>
        <v/>
      </c>
      <c r="V114" s="206" t="str">
        <f t="shared" si="8"/>
        <v/>
      </c>
    </row>
    <row r="115" spans="12:25" ht="20.100000000000001" customHeight="1">
      <c r="Q115" s="206" t="str">
        <f t="shared" si="6"/>
        <v/>
      </c>
      <c r="R115" s="213" t="str">
        <f t="shared" si="6"/>
        <v/>
      </c>
      <c r="S115" s="214" t="str">
        <f t="shared" si="6"/>
        <v/>
      </c>
      <c r="T115" s="206" t="str">
        <f t="shared" si="8"/>
        <v/>
      </c>
      <c r="U115" s="206" t="str">
        <f t="shared" si="8"/>
        <v/>
      </c>
      <c r="V115" s="206" t="str">
        <f t="shared" si="8"/>
        <v/>
      </c>
    </row>
    <row r="116" spans="12:25" ht="20.100000000000001" customHeight="1">
      <c r="Q116" s="206" t="str">
        <f t="shared" si="6"/>
        <v/>
      </c>
      <c r="R116" s="213" t="str">
        <f t="shared" si="6"/>
        <v/>
      </c>
      <c r="S116" s="214" t="str">
        <f t="shared" si="6"/>
        <v/>
      </c>
      <c r="T116" s="206" t="str">
        <f t="shared" si="8"/>
        <v/>
      </c>
      <c r="U116" s="206" t="str">
        <f t="shared" si="8"/>
        <v/>
      </c>
      <c r="V116" s="206" t="str">
        <f t="shared" si="8"/>
        <v/>
      </c>
    </row>
    <row r="117" spans="12:25" ht="20.100000000000001" customHeight="1">
      <c r="Q117" s="206" t="str">
        <f t="shared" si="6"/>
        <v/>
      </c>
      <c r="R117" s="213" t="str">
        <f t="shared" si="6"/>
        <v/>
      </c>
      <c r="S117" s="214" t="str">
        <f t="shared" si="6"/>
        <v/>
      </c>
      <c r="T117" s="206" t="str">
        <f t="shared" si="8"/>
        <v/>
      </c>
      <c r="U117" s="206" t="str">
        <f t="shared" si="8"/>
        <v/>
      </c>
      <c r="V117" s="206" t="str">
        <f t="shared" si="8"/>
        <v/>
      </c>
    </row>
    <row r="118" spans="12:25" ht="20.100000000000001" customHeight="1">
      <c r="Q118" s="206" t="str">
        <f t="shared" si="6"/>
        <v/>
      </c>
      <c r="R118" s="213" t="str">
        <f t="shared" si="6"/>
        <v/>
      </c>
      <c r="S118" s="214" t="str">
        <f t="shared" si="6"/>
        <v/>
      </c>
      <c r="T118" s="206" t="str">
        <f t="shared" si="8"/>
        <v/>
      </c>
      <c r="U118" s="206" t="str">
        <f t="shared" si="8"/>
        <v/>
      </c>
      <c r="V118" s="206" t="str">
        <f t="shared" si="8"/>
        <v/>
      </c>
    </row>
    <row r="119" spans="12:25" ht="20.100000000000001" customHeight="1">
      <c r="Q119" s="206" t="str">
        <f t="shared" si="6"/>
        <v/>
      </c>
      <c r="R119" s="213" t="str">
        <f t="shared" si="6"/>
        <v/>
      </c>
      <c r="S119" s="214" t="str">
        <f t="shared" si="6"/>
        <v/>
      </c>
      <c r="T119" s="206" t="str">
        <f t="shared" si="8"/>
        <v/>
      </c>
      <c r="U119" s="206" t="str">
        <f t="shared" si="8"/>
        <v/>
      </c>
      <c r="V119" s="206" t="str">
        <f t="shared" si="8"/>
        <v/>
      </c>
    </row>
    <row r="120" spans="12:25" ht="20.100000000000001" customHeight="1">
      <c r="Q120" s="206" t="str">
        <f t="shared" si="6"/>
        <v/>
      </c>
      <c r="R120" s="213" t="str">
        <f t="shared" si="6"/>
        <v/>
      </c>
      <c r="S120" s="214" t="str">
        <f t="shared" si="6"/>
        <v/>
      </c>
      <c r="T120" s="206" t="str">
        <f t="shared" si="8"/>
        <v/>
      </c>
      <c r="U120" s="206" t="str">
        <f t="shared" si="8"/>
        <v/>
      </c>
      <c r="V120" s="206" t="str">
        <f t="shared" si="8"/>
        <v/>
      </c>
    </row>
    <row r="121" spans="12:25" ht="20.100000000000001" customHeight="1">
      <c r="Q121" s="206" t="str">
        <f t="shared" si="6"/>
        <v/>
      </c>
      <c r="R121" s="213" t="str">
        <f t="shared" si="6"/>
        <v/>
      </c>
      <c r="S121" s="214" t="str">
        <f t="shared" si="6"/>
        <v/>
      </c>
      <c r="T121" s="206" t="str">
        <f t="shared" si="8"/>
        <v/>
      </c>
      <c r="U121" s="206" t="str">
        <f t="shared" si="8"/>
        <v/>
      </c>
      <c r="V121" s="206" t="str">
        <f t="shared" si="8"/>
        <v/>
      </c>
    </row>
    <row r="122" spans="12:25" ht="20.100000000000001" customHeight="1">
      <c r="Q122" s="206" t="str">
        <f t="shared" si="6"/>
        <v/>
      </c>
      <c r="R122" s="213" t="str">
        <f t="shared" si="6"/>
        <v/>
      </c>
      <c r="S122" s="214" t="str">
        <f t="shared" si="6"/>
        <v/>
      </c>
      <c r="T122" s="206" t="str">
        <f t="shared" si="8"/>
        <v/>
      </c>
      <c r="U122" s="206" t="str">
        <f t="shared" si="8"/>
        <v/>
      </c>
      <c r="V122" s="206" t="str">
        <f t="shared" si="8"/>
        <v/>
      </c>
    </row>
    <row r="123" spans="12:25" ht="20.100000000000001" customHeight="1">
      <c r="Q123" s="206" t="str">
        <f t="shared" si="6"/>
        <v/>
      </c>
      <c r="R123" s="213" t="str">
        <f t="shared" si="6"/>
        <v/>
      </c>
      <c r="S123" s="214" t="str">
        <f t="shared" si="6"/>
        <v/>
      </c>
      <c r="T123" s="206" t="str">
        <f t="shared" si="8"/>
        <v/>
      </c>
      <c r="U123" s="206" t="str">
        <f t="shared" si="8"/>
        <v/>
      </c>
      <c r="V123" s="206" t="str">
        <f t="shared" si="8"/>
        <v/>
      </c>
    </row>
    <row r="124" spans="12:25" ht="20.100000000000001" customHeight="1">
      <c r="Q124" s="206" t="str">
        <f t="shared" si="6"/>
        <v/>
      </c>
      <c r="R124" s="213" t="str">
        <f t="shared" si="6"/>
        <v/>
      </c>
      <c r="S124" s="214" t="str">
        <f t="shared" si="6"/>
        <v/>
      </c>
      <c r="T124" s="206" t="str">
        <f t="shared" si="8"/>
        <v/>
      </c>
      <c r="U124" s="206" t="str">
        <f t="shared" si="8"/>
        <v/>
      </c>
      <c r="V124" s="206" t="str">
        <f t="shared" si="8"/>
        <v/>
      </c>
    </row>
    <row r="125" spans="12:25" ht="20.100000000000001" customHeight="1">
      <c r="Q125" s="206" t="str">
        <f t="shared" si="6"/>
        <v/>
      </c>
      <c r="R125" s="213" t="str">
        <f t="shared" si="6"/>
        <v/>
      </c>
      <c r="S125" s="214" t="str">
        <f t="shared" si="6"/>
        <v/>
      </c>
      <c r="T125" s="206" t="str">
        <f t="shared" si="8"/>
        <v/>
      </c>
      <c r="U125" s="206" t="str">
        <f t="shared" si="8"/>
        <v/>
      </c>
      <c r="V125" s="206" t="str">
        <f t="shared" si="8"/>
        <v/>
      </c>
    </row>
    <row r="126" spans="12:25" ht="20.100000000000001" customHeight="1">
      <c r="Q126" s="206" t="str">
        <f t="shared" si="6"/>
        <v/>
      </c>
      <c r="R126" s="213" t="str">
        <f t="shared" si="6"/>
        <v/>
      </c>
      <c r="S126" s="214" t="str">
        <f t="shared" si="6"/>
        <v/>
      </c>
      <c r="T126" s="206" t="str">
        <f t="shared" si="8"/>
        <v/>
      </c>
      <c r="U126" s="206" t="str">
        <f t="shared" si="8"/>
        <v/>
      </c>
      <c r="V126" s="206" t="str">
        <f t="shared" si="8"/>
        <v/>
      </c>
    </row>
    <row r="127" spans="12:25" ht="20.100000000000001" customHeight="1">
      <c r="Q127" s="206" t="str">
        <f t="shared" si="6"/>
        <v/>
      </c>
      <c r="R127" s="213" t="str">
        <f t="shared" si="6"/>
        <v/>
      </c>
      <c r="S127" s="214" t="str">
        <f t="shared" si="6"/>
        <v/>
      </c>
      <c r="T127" s="206" t="str">
        <f t="shared" si="8"/>
        <v/>
      </c>
      <c r="U127" s="206" t="str">
        <f t="shared" si="8"/>
        <v/>
      </c>
      <c r="V127" s="206" t="str">
        <f t="shared" si="8"/>
        <v/>
      </c>
    </row>
    <row r="128" spans="12:25" ht="20.100000000000001" customHeight="1">
      <c r="Q128" s="206" t="str">
        <f t="shared" si="6"/>
        <v/>
      </c>
      <c r="R128" s="213" t="str">
        <f t="shared" si="6"/>
        <v/>
      </c>
      <c r="S128" s="214" t="str">
        <f t="shared" si="6"/>
        <v/>
      </c>
      <c r="T128" s="206" t="str">
        <f t="shared" si="8"/>
        <v/>
      </c>
      <c r="U128" s="206" t="str">
        <f t="shared" si="8"/>
        <v/>
      </c>
      <c r="V128" s="206" t="str">
        <f t="shared" si="8"/>
        <v/>
      </c>
    </row>
    <row r="129" spans="17:22" ht="20.100000000000001" customHeight="1">
      <c r="Q129" s="206" t="str">
        <f t="shared" si="6"/>
        <v/>
      </c>
      <c r="R129" s="213" t="str">
        <f t="shared" si="6"/>
        <v/>
      </c>
      <c r="S129" s="214" t="str">
        <f t="shared" si="6"/>
        <v/>
      </c>
      <c r="T129" s="206" t="str">
        <f t="shared" si="8"/>
        <v/>
      </c>
      <c r="U129" s="206" t="str">
        <f t="shared" si="8"/>
        <v/>
      </c>
      <c r="V129" s="206" t="str">
        <f t="shared" si="8"/>
        <v/>
      </c>
    </row>
    <row r="130" spans="17:22" ht="20.100000000000001" customHeight="1">
      <c r="Q130" s="206" t="str">
        <f t="shared" si="6"/>
        <v/>
      </c>
      <c r="R130" s="213" t="str">
        <f t="shared" si="6"/>
        <v/>
      </c>
      <c r="S130" s="214" t="str">
        <f t="shared" si="6"/>
        <v/>
      </c>
      <c r="T130" s="206" t="str">
        <f t="shared" si="8"/>
        <v/>
      </c>
      <c r="U130" s="206" t="str">
        <f t="shared" si="8"/>
        <v/>
      </c>
      <c r="V130" s="206" t="str">
        <f t="shared" si="8"/>
        <v/>
      </c>
    </row>
    <row r="131" spans="17:22" ht="20.100000000000001" customHeight="1">
      <c r="Q131" s="206" t="str">
        <f t="shared" si="6"/>
        <v/>
      </c>
      <c r="R131" s="213" t="str">
        <f t="shared" si="6"/>
        <v/>
      </c>
      <c r="S131" s="214" t="str">
        <f t="shared" si="6"/>
        <v/>
      </c>
      <c r="T131" s="206" t="str">
        <f t="shared" si="8"/>
        <v/>
      </c>
      <c r="U131" s="206" t="str">
        <f t="shared" si="8"/>
        <v/>
      </c>
      <c r="V131" s="206" t="str">
        <f t="shared" si="8"/>
        <v/>
      </c>
    </row>
    <row r="132" spans="17:22" ht="20.100000000000001" customHeight="1">
      <c r="Q132" s="206" t="str">
        <f t="shared" si="6"/>
        <v/>
      </c>
      <c r="R132" s="213" t="str">
        <f t="shared" si="6"/>
        <v/>
      </c>
      <c r="S132" s="214" t="str">
        <f t="shared" si="6"/>
        <v/>
      </c>
      <c r="T132" s="206" t="str">
        <f t="shared" si="8"/>
        <v/>
      </c>
      <c r="U132" s="206" t="str">
        <f t="shared" si="8"/>
        <v/>
      </c>
      <c r="V132" s="206" t="str">
        <f t="shared" si="8"/>
        <v/>
      </c>
    </row>
    <row r="133" spans="17:22" ht="20.100000000000001" customHeight="1">
      <c r="Q133" s="206" t="str">
        <f t="shared" si="6"/>
        <v/>
      </c>
      <c r="R133" s="213" t="str">
        <f t="shared" si="6"/>
        <v/>
      </c>
      <c r="S133" s="214" t="str">
        <f t="shared" si="6"/>
        <v/>
      </c>
      <c r="T133" s="206" t="str">
        <f t="shared" si="8"/>
        <v/>
      </c>
      <c r="U133" s="206" t="str">
        <f t="shared" si="8"/>
        <v/>
      </c>
      <c r="V133" s="206" t="str">
        <f t="shared" si="8"/>
        <v/>
      </c>
    </row>
    <row r="134" spans="17:22" ht="20.100000000000001" customHeight="1">
      <c r="Q134" s="206" t="str">
        <f t="shared" si="6"/>
        <v/>
      </c>
      <c r="R134" s="213" t="str">
        <f t="shared" si="6"/>
        <v/>
      </c>
      <c r="S134" s="214" t="str">
        <f t="shared" si="6"/>
        <v/>
      </c>
      <c r="T134" s="206" t="str">
        <f t="shared" si="8"/>
        <v/>
      </c>
      <c r="U134" s="206" t="str">
        <f t="shared" si="8"/>
        <v/>
      </c>
      <c r="V134" s="206" t="str">
        <f t="shared" si="8"/>
        <v/>
      </c>
    </row>
    <row r="135" spans="17:22" ht="20.100000000000001" customHeight="1">
      <c r="Q135" s="206" t="str">
        <f t="shared" si="6"/>
        <v/>
      </c>
      <c r="R135" s="213" t="str">
        <f t="shared" si="6"/>
        <v/>
      </c>
      <c r="S135" s="214" t="str">
        <f t="shared" si="6"/>
        <v/>
      </c>
      <c r="T135" s="206" t="str">
        <f t="shared" si="8"/>
        <v/>
      </c>
      <c r="U135" s="206" t="str">
        <f t="shared" si="8"/>
        <v/>
      </c>
      <c r="V135" s="206" t="str">
        <f t="shared" si="8"/>
        <v/>
      </c>
    </row>
    <row r="136" spans="17:22" ht="20.100000000000001" customHeight="1">
      <c r="Q136" s="206" t="str">
        <f t="shared" si="6"/>
        <v/>
      </c>
      <c r="R136" s="213" t="str">
        <f t="shared" si="6"/>
        <v/>
      </c>
      <c r="S136" s="214" t="str">
        <f t="shared" si="6"/>
        <v/>
      </c>
      <c r="T136" s="206" t="str">
        <f t="shared" si="8"/>
        <v/>
      </c>
      <c r="U136" s="206" t="str">
        <f t="shared" si="8"/>
        <v/>
      </c>
      <c r="V136" s="206" t="str">
        <f t="shared" si="8"/>
        <v/>
      </c>
    </row>
    <row r="137" spans="17:22" ht="20.100000000000001" customHeight="1">
      <c r="Q137" s="206" t="str">
        <f t="shared" ref="Q137:S200" si="12">IF(NOT(ISBLANK(G137)),"■","")</f>
        <v/>
      </c>
      <c r="R137" s="213" t="str">
        <f t="shared" si="12"/>
        <v/>
      </c>
      <c r="S137" s="214" t="str">
        <f t="shared" si="12"/>
        <v/>
      </c>
      <c r="T137" s="206" t="str">
        <f t="shared" ref="T137:V200" si="13">IF(NOT(ISBLANK(J137)),"*","")</f>
        <v/>
      </c>
      <c r="U137" s="206" t="str">
        <f t="shared" si="13"/>
        <v/>
      </c>
      <c r="V137" s="206" t="str">
        <f t="shared" si="13"/>
        <v/>
      </c>
    </row>
    <row r="138" spans="17:22" ht="20.100000000000001" customHeight="1">
      <c r="Q138" s="206" t="str">
        <f t="shared" si="12"/>
        <v/>
      </c>
      <c r="R138" s="213" t="str">
        <f t="shared" si="12"/>
        <v/>
      </c>
      <c r="S138" s="214" t="str">
        <f t="shared" si="12"/>
        <v/>
      </c>
      <c r="T138" s="206" t="str">
        <f t="shared" si="13"/>
        <v/>
      </c>
      <c r="U138" s="206" t="str">
        <f t="shared" si="13"/>
        <v/>
      </c>
      <c r="V138" s="206" t="str">
        <f t="shared" si="13"/>
        <v/>
      </c>
    </row>
    <row r="139" spans="17:22" ht="20.100000000000001" customHeight="1">
      <c r="Q139" s="206" t="str">
        <f t="shared" si="12"/>
        <v/>
      </c>
      <c r="R139" s="213" t="str">
        <f t="shared" si="12"/>
        <v/>
      </c>
      <c r="S139" s="214" t="str">
        <f t="shared" si="12"/>
        <v/>
      </c>
      <c r="T139" s="206" t="str">
        <f t="shared" si="13"/>
        <v/>
      </c>
      <c r="U139" s="206" t="str">
        <f t="shared" si="13"/>
        <v/>
      </c>
      <c r="V139" s="206" t="str">
        <f t="shared" si="13"/>
        <v/>
      </c>
    </row>
    <row r="140" spans="17:22" ht="20.100000000000001" customHeight="1">
      <c r="Q140" s="206" t="str">
        <f t="shared" si="12"/>
        <v/>
      </c>
      <c r="R140" s="213" t="str">
        <f t="shared" si="12"/>
        <v/>
      </c>
      <c r="S140" s="214" t="str">
        <f t="shared" si="12"/>
        <v/>
      </c>
      <c r="T140" s="206" t="str">
        <f t="shared" si="13"/>
        <v/>
      </c>
      <c r="U140" s="206" t="str">
        <f t="shared" si="13"/>
        <v/>
      </c>
      <c r="V140" s="206" t="str">
        <f t="shared" si="13"/>
        <v/>
      </c>
    </row>
    <row r="141" spans="17:22" ht="20.100000000000001" customHeight="1">
      <c r="Q141" s="206" t="str">
        <f t="shared" si="12"/>
        <v/>
      </c>
      <c r="R141" s="213" t="str">
        <f t="shared" si="12"/>
        <v/>
      </c>
      <c r="S141" s="214" t="str">
        <f t="shared" si="12"/>
        <v/>
      </c>
      <c r="T141" s="206" t="str">
        <f t="shared" si="13"/>
        <v/>
      </c>
      <c r="U141" s="206" t="str">
        <f t="shared" si="13"/>
        <v/>
      </c>
      <c r="V141" s="206" t="str">
        <f t="shared" si="13"/>
        <v/>
      </c>
    </row>
    <row r="142" spans="17:22" ht="20.100000000000001" customHeight="1">
      <c r="Q142" s="206" t="str">
        <f t="shared" si="12"/>
        <v/>
      </c>
      <c r="R142" s="213" t="str">
        <f t="shared" si="12"/>
        <v/>
      </c>
      <c r="S142" s="214" t="str">
        <f t="shared" si="12"/>
        <v/>
      </c>
      <c r="T142" s="206" t="str">
        <f t="shared" si="13"/>
        <v/>
      </c>
      <c r="U142" s="206" t="str">
        <f t="shared" si="13"/>
        <v/>
      </c>
      <c r="V142" s="206" t="str">
        <f t="shared" si="13"/>
        <v/>
      </c>
    </row>
    <row r="143" spans="17:22" ht="20.100000000000001" customHeight="1">
      <c r="Q143" s="206" t="str">
        <f t="shared" si="12"/>
        <v/>
      </c>
      <c r="R143" s="213" t="str">
        <f t="shared" si="12"/>
        <v/>
      </c>
      <c r="S143" s="214" t="str">
        <f t="shared" si="12"/>
        <v/>
      </c>
      <c r="T143" s="206" t="str">
        <f t="shared" si="13"/>
        <v/>
      </c>
      <c r="U143" s="206" t="str">
        <f t="shared" si="13"/>
        <v/>
      </c>
      <c r="V143" s="206" t="str">
        <f t="shared" si="13"/>
        <v/>
      </c>
    </row>
    <row r="144" spans="17:22" ht="20.100000000000001" customHeight="1">
      <c r="Q144" s="206" t="str">
        <f t="shared" si="12"/>
        <v/>
      </c>
      <c r="R144" s="213" t="str">
        <f t="shared" si="12"/>
        <v/>
      </c>
      <c r="S144" s="214" t="str">
        <f t="shared" si="12"/>
        <v/>
      </c>
      <c r="T144" s="206" t="str">
        <f t="shared" si="13"/>
        <v/>
      </c>
      <c r="U144" s="206" t="str">
        <f t="shared" si="13"/>
        <v/>
      </c>
      <c r="V144" s="206" t="str">
        <f t="shared" si="13"/>
        <v/>
      </c>
    </row>
    <row r="145" spans="17:22" ht="20.100000000000001" customHeight="1">
      <c r="Q145" s="206" t="str">
        <f t="shared" si="12"/>
        <v/>
      </c>
      <c r="R145" s="213" t="str">
        <f t="shared" si="12"/>
        <v/>
      </c>
      <c r="S145" s="214" t="str">
        <f t="shared" si="12"/>
        <v/>
      </c>
      <c r="T145" s="206" t="str">
        <f t="shared" si="13"/>
        <v/>
      </c>
      <c r="U145" s="206" t="str">
        <f t="shared" si="13"/>
        <v/>
      </c>
      <c r="V145" s="206" t="str">
        <f t="shared" si="13"/>
        <v/>
      </c>
    </row>
    <row r="146" spans="17:22" ht="20.100000000000001" customHeight="1">
      <c r="Q146" s="206" t="str">
        <f t="shared" si="12"/>
        <v/>
      </c>
      <c r="R146" s="213" t="str">
        <f t="shared" si="12"/>
        <v/>
      </c>
      <c r="S146" s="214" t="str">
        <f t="shared" si="12"/>
        <v/>
      </c>
      <c r="T146" s="206" t="str">
        <f t="shared" si="13"/>
        <v/>
      </c>
      <c r="U146" s="206" t="str">
        <f t="shared" si="13"/>
        <v/>
      </c>
      <c r="V146" s="206" t="str">
        <f t="shared" si="13"/>
        <v/>
      </c>
    </row>
    <row r="147" spans="17:22" ht="20.100000000000001" customHeight="1">
      <c r="Q147" s="206" t="str">
        <f t="shared" si="12"/>
        <v/>
      </c>
      <c r="R147" s="213" t="str">
        <f t="shared" si="12"/>
        <v/>
      </c>
      <c r="S147" s="214" t="str">
        <f t="shared" si="12"/>
        <v/>
      </c>
      <c r="T147" s="206" t="str">
        <f t="shared" si="13"/>
        <v/>
      </c>
      <c r="U147" s="206" t="str">
        <f t="shared" si="13"/>
        <v/>
      </c>
      <c r="V147" s="206" t="str">
        <f t="shared" si="13"/>
        <v/>
      </c>
    </row>
    <row r="148" spans="17:22" ht="20.100000000000001" customHeight="1">
      <c r="Q148" s="206" t="str">
        <f t="shared" si="12"/>
        <v/>
      </c>
      <c r="R148" s="213" t="str">
        <f t="shared" si="12"/>
        <v/>
      </c>
      <c r="S148" s="214" t="str">
        <f t="shared" si="12"/>
        <v/>
      </c>
      <c r="T148" s="206" t="str">
        <f t="shared" si="13"/>
        <v/>
      </c>
      <c r="U148" s="206" t="str">
        <f t="shared" si="13"/>
        <v/>
      </c>
      <c r="V148" s="206" t="str">
        <f t="shared" si="13"/>
        <v/>
      </c>
    </row>
    <row r="149" spans="17:22" ht="20.100000000000001" customHeight="1">
      <c r="Q149" s="206" t="str">
        <f t="shared" si="12"/>
        <v/>
      </c>
      <c r="R149" s="213" t="str">
        <f t="shared" si="12"/>
        <v/>
      </c>
      <c r="S149" s="214" t="str">
        <f t="shared" si="12"/>
        <v/>
      </c>
      <c r="T149" s="206" t="str">
        <f t="shared" si="13"/>
        <v/>
      </c>
      <c r="U149" s="206" t="str">
        <f t="shared" si="13"/>
        <v/>
      </c>
      <c r="V149" s="206" t="str">
        <f t="shared" si="13"/>
        <v/>
      </c>
    </row>
    <row r="150" spans="17:22" ht="20.100000000000001" customHeight="1">
      <c r="Q150" s="206" t="str">
        <f t="shared" si="12"/>
        <v/>
      </c>
      <c r="R150" s="213" t="str">
        <f t="shared" si="12"/>
        <v/>
      </c>
      <c r="S150" s="214" t="str">
        <f t="shared" si="12"/>
        <v/>
      </c>
      <c r="T150" s="206" t="str">
        <f t="shared" si="13"/>
        <v/>
      </c>
      <c r="U150" s="206" t="str">
        <f t="shared" si="13"/>
        <v/>
      </c>
      <c r="V150" s="206" t="str">
        <f t="shared" si="13"/>
        <v/>
      </c>
    </row>
    <row r="151" spans="17:22" ht="20.100000000000001" customHeight="1">
      <c r="Q151" s="206" t="str">
        <f t="shared" si="12"/>
        <v/>
      </c>
      <c r="R151" s="213" t="str">
        <f t="shared" si="12"/>
        <v/>
      </c>
      <c r="S151" s="214" t="str">
        <f t="shared" si="12"/>
        <v/>
      </c>
      <c r="T151" s="206" t="str">
        <f t="shared" si="13"/>
        <v/>
      </c>
      <c r="U151" s="206" t="str">
        <f t="shared" si="13"/>
        <v/>
      </c>
      <c r="V151" s="206" t="str">
        <f t="shared" si="13"/>
        <v/>
      </c>
    </row>
    <row r="152" spans="17:22" ht="20.100000000000001" customHeight="1">
      <c r="Q152" s="206" t="str">
        <f t="shared" si="12"/>
        <v/>
      </c>
      <c r="R152" s="213" t="str">
        <f t="shared" si="12"/>
        <v/>
      </c>
      <c r="S152" s="214" t="str">
        <f t="shared" si="12"/>
        <v/>
      </c>
      <c r="T152" s="206" t="str">
        <f t="shared" si="13"/>
        <v/>
      </c>
      <c r="U152" s="206" t="str">
        <f t="shared" si="13"/>
        <v/>
      </c>
      <c r="V152" s="206" t="str">
        <f t="shared" si="13"/>
        <v/>
      </c>
    </row>
    <row r="153" spans="17:22" ht="20.100000000000001" customHeight="1">
      <c r="Q153" s="206" t="str">
        <f t="shared" si="12"/>
        <v/>
      </c>
      <c r="R153" s="213" t="str">
        <f t="shared" si="12"/>
        <v/>
      </c>
      <c r="S153" s="214" t="str">
        <f t="shared" si="12"/>
        <v/>
      </c>
      <c r="T153" s="206" t="str">
        <f t="shared" si="13"/>
        <v/>
      </c>
      <c r="U153" s="206" t="str">
        <f t="shared" si="13"/>
        <v/>
      </c>
      <c r="V153" s="206" t="str">
        <f t="shared" si="13"/>
        <v/>
      </c>
    </row>
    <row r="154" spans="17:22" ht="20.100000000000001" customHeight="1">
      <c r="Q154" s="206" t="str">
        <f t="shared" si="12"/>
        <v/>
      </c>
      <c r="R154" s="213" t="str">
        <f t="shared" si="12"/>
        <v/>
      </c>
      <c r="S154" s="214" t="str">
        <f t="shared" si="12"/>
        <v/>
      </c>
      <c r="T154" s="206" t="str">
        <f t="shared" si="13"/>
        <v/>
      </c>
      <c r="U154" s="206" t="str">
        <f t="shared" si="13"/>
        <v/>
      </c>
      <c r="V154" s="206" t="str">
        <f t="shared" si="13"/>
        <v/>
      </c>
    </row>
    <row r="155" spans="17:22" ht="20.100000000000001" customHeight="1">
      <c r="Q155" s="206" t="str">
        <f t="shared" si="12"/>
        <v/>
      </c>
      <c r="R155" s="213" t="str">
        <f t="shared" si="12"/>
        <v/>
      </c>
      <c r="S155" s="214" t="str">
        <f t="shared" si="12"/>
        <v/>
      </c>
      <c r="T155" s="206" t="str">
        <f t="shared" si="13"/>
        <v/>
      </c>
      <c r="U155" s="206" t="str">
        <f t="shared" si="13"/>
        <v/>
      </c>
      <c r="V155" s="206" t="str">
        <f t="shared" si="13"/>
        <v/>
      </c>
    </row>
    <row r="156" spans="17:22" ht="20.100000000000001" customHeight="1">
      <c r="Q156" s="206" t="str">
        <f t="shared" si="12"/>
        <v/>
      </c>
      <c r="R156" s="213" t="str">
        <f t="shared" si="12"/>
        <v/>
      </c>
      <c r="S156" s="214" t="str">
        <f t="shared" si="12"/>
        <v/>
      </c>
      <c r="T156" s="206" t="str">
        <f t="shared" si="13"/>
        <v/>
      </c>
      <c r="U156" s="206" t="str">
        <f t="shared" si="13"/>
        <v/>
      </c>
      <c r="V156" s="206" t="str">
        <f t="shared" si="13"/>
        <v/>
      </c>
    </row>
    <row r="157" spans="17:22" ht="20.100000000000001" customHeight="1">
      <c r="Q157" s="206" t="str">
        <f t="shared" si="12"/>
        <v/>
      </c>
      <c r="R157" s="213" t="str">
        <f t="shared" si="12"/>
        <v/>
      </c>
      <c r="S157" s="214" t="str">
        <f t="shared" si="12"/>
        <v/>
      </c>
      <c r="T157" s="206" t="str">
        <f t="shared" si="13"/>
        <v/>
      </c>
      <c r="U157" s="206" t="str">
        <f t="shared" si="13"/>
        <v/>
      </c>
      <c r="V157" s="206" t="str">
        <f t="shared" si="13"/>
        <v/>
      </c>
    </row>
    <row r="158" spans="17:22" ht="20.100000000000001" customHeight="1">
      <c r="Q158" s="206" t="str">
        <f t="shared" si="12"/>
        <v/>
      </c>
      <c r="R158" s="213" t="str">
        <f t="shared" si="12"/>
        <v/>
      </c>
      <c r="S158" s="214" t="str">
        <f t="shared" si="12"/>
        <v/>
      </c>
      <c r="T158" s="206" t="str">
        <f t="shared" si="13"/>
        <v/>
      </c>
      <c r="U158" s="206" t="str">
        <f t="shared" si="13"/>
        <v/>
      </c>
      <c r="V158" s="206" t="str">
        <f t="shared" si="13"/>
        <v/>
      </c>
    </row>
    <row r="159" spans="17:22" ht="20.100000000000001" customHeight="1">
      <c r="Q159" s="206" t="str">
        <f t="shared" si="12"/>
        <v/>
      </c>
      <c r="R159" s="213" t="str">
        <f t="shared" si="12"/>
        <v/>
      </c>
      <c r="S159" s="214" t="str">
        <f t="shared" si="12"/>
        <v/>
      </c>
      <c r="T159" s="206" t="str">
        <f t="shared" si="13"/>
        <v/>
      </c>
      <c r="U159" s="206" t="str">
        <f t="shared" si="13"/>
        <v/>
      </c>
      <c r="V159" s="206" t="str">
        <f t="shared" si="13"/>
        <v/>
      </c>
    </row>
    <row r="160" spans="17:22" ht="20.100000000000001" customHeight="1">
      <c r="Q160" s="206" t="str">
        <f t="shared" si="12"/>
        <v/>
      </c>
      <c r="R160" s="213" t="str">
        <f t="shared" si="12"/>
        <v/>
      </c>
      <c r="S160" s="214" t="str">
        <f t="shared" si="12"/>
        <v/>
      </c>
      <c r="T160" s="206" t="str">
        <f t="shared" si="13"/>
        <v/>
      </c>
      <c r="U160" s="206" t="str">
        <f t="shared" si="13"/>
        <v/>
      </c>
      <c r="V160" s="206" t="str">
        <f t="shared" si="13"/>
        <v/>
      </c>
    </row>
    <row r="161" spans="17:22" ht="20.100000000000001" customHeight="1">
      <c r="Q161" s="206" t="str">
        <f t="shared" si="12"/>
        <v/>
      </c>
      <c r="R161" s="213" t="str">
        <f t="shared" si="12"/>
        <v/>
      </c>
      <c r="S161" s="214" t="str">
        <f t="shared" si="12"/>
        <v/>
      </c>
      <c r="T161" s="206" t="str">
        <f t="shared" si="13"/>
        <v/>
      </c>
      <c r="U161" s="206" t="str">
        <f t="shared" si="13"/>
        <v/>
      </c>
      <c r="V161" s="206" t="str">
        <f t="shared" si="13"/>
        <v/>
      </c>
    </row>
    <row r="162" spans="17:22" ht="20.100000000000001" customHeight="1">
      <c r="Q162" s="206" t="str">
        <f t="shared" si="12"/>
        <v/>
      </c>
      <c r="R162" s="213" t="str">
        <f t="shared" si="12"/>
        <v/>
      </c>
      <c r="S162" s="214" t="str">
        <f t="shared" si="12"/>
        <v/>
      </c>
      <c r="T162" s="206" t="str">
        <f t="shared" si="13"/>
        <v/>
      </c>
      <c r="U162" s="206" t="str">
        <f t="shared" si="13"/>
        <v/>
      </c>
      <c r="V162" s="206" t="str">
        <f t="shared" si="13"/>
        <v/>
      </c>
    </row>
    <row r="163" spans="17:22" ht="20.100000000000001" customHeight="1">
      <c r="Q163" s="206" t="str">
        <f t="shared" si="12"/>
        <v/>
      </c>
      <c r="R163" s="213" t="str">
        <f t="shared" si="12"/>
        <v/>
      </c>
      <c r="S163" s="214" t="str">
        <f t="shared" si="12"/>
        <v/>
      </c>
      <c r="T163" s="206" t="str">
        <f t="shared" si="13"/>
        <v/>
      </c>
      <c r="U163" s="206" t="str">
        <f t="shared" si="13"/>
        <v/>
      </c>
      <c r="V163" s="206" t="str">
        <f t="shared" si="13"/>
        <v/>
      </c>
    </row>
    <row r="164" spans="17:22" ht="20.100000000000001" customHeight="1">
      <c r="Q164" s="206" t="str">
        <f t="shared" si="12"/>
        <v/>
      </c>
      <c r="R164" s="213" t="str">
        <f t="shared" si="12"/>
        <v/>
      </c>
      <c r="S164" s="214" t="str">
        <f t="shared" si="12"/>
        <v/>
      </c>
      <c r="T164" s="206" t="str">
        <f t="shared" si="13"/>
        <v/>
      </c>
      <c r="U164" s="206" t="str">
        <f t="shared" si="13"/>
        <v/>
      </c>
      <c r="V164" s="206" t="str">
        <f t="shared" si="13"/>
        <v/>
      </c>
    </row>
    <row r="165" spans="17:22" ht="20.100000000000001" customHeight="1">
      <c r="Q165" s="206" t="str">
        <f t="shared" si="12"/>
        <v/>
      </c>
      <c r="R165" s="213" t="str">
        <f t="shared" si="12"/>
        <v/>
      </c>
      <c r="S165" s="214" t="str">
        <f t="shared" si="12"/>
        <v/>
      </c>
      <c r="T165" s="206" t="str">
        <f t="shared" si="13"/>
        <v/>
      </c>
      <c r="U165" s="206" t="str">
        <f t="shared" si="13"/>
        <v/>
      </c>
      <c r="V165" s="206" t="str">
        <f t="shared" si="13"/>
        <v/>
      </c>
    </row>
    <row r="166" spans="17:22" ht="20.100000000000001" customHeight="1">
      <c r="Q166" s="206" t="str">
        <f t="shared" si="12"/>
        <v/>
      </c>
      <c r="R166" s="213" t="str">
        <f t="shared" si="12"/>
        <v/>
      </c>
      <c r="S166" s="214" t="str">
        <f t="shared" si="12"/>
        <v/>
      </c>
      <c r="T166" s="206" t="str">
        <f t="shared" si="13"/>
        <v/>
      </c>
      <c r="U166" s="206" t="str">
        <f t="shared" si="13"/>
        <v/>
      </c>
      <c r="V166" s="206" t="str">
        <f t="shared" si="13"/>
        <v/>
      </c>
    </row>
    <row r="167" spans="17:22" ht="20.100000000000001" customHeight="1">
      <c r="Q167" s="206" t="str">
        <f t="shared" si="12"/>
        <v/>
      </c>
      <c r="R167" s="213" t="str">
        <f t="shared" si="12"/>
        <v/>
      </c>
      <c r="S167" s="214" t="str">
        <f t="shared" si="12"/>
        <v/>
      </c>
      <c r="T167" s="206" t="str">
        <f t="shared" si="13"/>
        <v/>
      </c>
      <c r="U167" s="206" t="str">
        <f t="shared" si="13"/>
        <v/>
      </c>
      <c r="V167" s="206" t="str">
        <f t="shared" si="13"/>
        <v/>
      </c>
    </row>
    <row r="168" spans="17:22" ht="20.100000000000001" customHeight="1">
      <c r="Q168" s="206" t="str">
        <f t="shared" si="12"/>
        <v/>
      </c>
      <c r="R168" s="213" t="str">
        <f t="shared" si="12"/>
        <v/>
      </c>
      <c r="S168" s="214" t="str">
        <f t="shared" si="12"/>
        <v/>
      </c>
      <c r="T168" s="206" t="str">
        <f t="shared" si="13"/>
        <v/>
      </c>
      <c r="U168" s="206" t="str">
        <f t="shared" si="13"/>
        <v/>
      </c>
      <c r="V168" s="206" t="str">
        <f t="shared" si="13"/>
        <v/>
      </c>
    </row>
    <row r="169" spans="17:22" ht="20.100000000000001" customHeight="1">
      <c r="Q169" s="206" t="str">
        <f t="shared" si="12"/>
        <v/>
      </c>
      <c r="R169" s="213" t="str">
        <f t="shared" si="12"/>
        <v/>
      </c>
      <c r="S169" s="214" t="str">
        <f t="shared" si="12"/>
        <v/>
      </c>
      <c r="T169" s="206" t="str">
        <f t="shared" si="13"/>
        <v/>
      </c>
      <c r="U169" s="206" t="str">
        <f t="shared" si="13"/>
        <v/>
      </c>
      <c r="V169" s="206" t="str">
        <f t="shared" si="13"/>
        <v/>
      </c>
    </row>
    <row r="170" spans="17:22" ht="20.100000000000001" customHeight="1">
      <c r="Q170" s="206" t="str">
        <f t="shared" si="12"/>
        <v/>
      </c>
      <c r="R170" s="213" t="str">
        <f t="shared" si="12"/>
        <v/>
      </c>
      <c r="S170" s="214" t="str">
        <f t="shared" si="12"/>
        <v/>
      </c>
      <c r="T170" s="206" t="str">
        <f t="shared" si="13"/>
        <v/>
      </c>
      <c r="U170" s="206" t="str">
        <f t="shared" si="13"/>
        <v/>
      </c>
      <c r="V170" s="206" t="str">
        <f t="shared" si="13"/>
        <v/>
      </c>
    </row>
    <row r="171" spans="17:22" ht="20.100000000000001" customHeight="1">
      <c r="Q171" s="206" t="str">
        <f t="shared" si="12"/>
        <v/>
      </c>
      <c r="R171" s="213" t="str">
        <f t="shared" si="12"/>
        <v/>
      </c>
      <c r="S171" s="214" t="str">
        <f t="shared" si="12"/>
        <v/>
      </c>
      <c r="T171" s="206" t="str">
        <f t="shared" si="13"/>
        <v/>
      </c>
      <c r="U171" s="206" t="str">
        <f t="shared" si="13"/>
        <v/>
      </c>
      <c r="V171" s="206" t="str">
        <f t="shared" si="13"/>
        <v/>
      </c>
    </row>
    <row r="172" spans="17:22" ht="20.100000000000001" customHeight="1">
      <c r="Q172" s="206" t="str">
        <f t="shared" si="12"/>
        <v/>
      </c>
      <c r="R172" s="213" t="str">
        <f t="shared" si="12"/>
        <v/>
      </c>
      <c r="S172" s="214" t="str">
        <f t="shared" si="12"/>
        <v/>
      </c>
      <c r="T172" s="206" t="str">
        <f t="shared" si="13"/>
        <v/>
      </c>
      <c r="U172" s="206" t="str">
        <f t="shared" si="13"/>
        <v/>
      </c>
      <c r="V172" s="206" t="str">
        <f t="shared" si="13"/>
        <v/>
      </c>
    </row>
    <row r="173" spans="17:22" ht="20.100000000000001" customHeight="1">
      <c r="Q173" s="206" t="str">
        <f t="shared" si="12"/>
        <v/>
      </c>
      <c r="R173" s="213" t="str">
        <f t="shared" si="12"/>
        <v/>
      </c>
      <c r="S173" s="214" t="str">
        <f t="shared" si="12"/>
        <v/>
      </c>
      <c r="T173" s="206" t="str">
        <f t="shared" si="13"/>
        <v/>
      </c>
      <c r="U173" s="206" t="str">
        <f t="shared" si="13"/>
        <v/>
      </c>
      <c r="V173" s="206" t="str">
        <f t="shared" si="13"/>
        <v/>
      </c>
    </row>
    <row r="174" spans="17:22" ht="20.100000000000001" customHeight="1">
      <c r="Q174" s="206" t="str">
        <f t="shared" si="12"/>
        <v/>
      </c>
      <c r="R174" s="213" t="str">
        <f t="shared" si="12"/>
        <v/>
      </c>
      <c r="S174" s="214" t="str">
        <f t="shared" si="12"/>
        <v/>
      </c>
      <c r="T174" s="206" t="str">
        <f t="shared" si="13"/>
        <v/>
      </c>
      <c r="U174" s="206" t="str">
        <f t="shared" si="13"/>
        <v/>
      </c>
      <c r="V174" s="206" t="str">
        <f t="shared" si="13"/>
        <v/>
      </c>
    </row>
    <row r="175" spans="17:22" ht="20.100000000000001" customHeight="1">
      <c r="Q175" s="206" t="str">
        <f t="shared" si="12"/>
        <v/>
      </c>
      <c r="R175" s="213" t="str">
        <f t="shared" si="12"/>
        <v/>
      </c>
      <c r="S175" s="214" t="str">
        <f t="shared" si="12"/>
        <v/>
      </c>
      <c r="T175" s="206" t="str">
        <f t="shared" si="13"/>
        <v/>
      </c>
      <c r="U175" s="206" t="str">
        <f t="shared" si="13"/>
        <v/>
      </c>
      <c r="V175" s="206" t="str">
        <f t="shared" si="13"/>
        <v/>
      </c>
    </row>
    <row r="176" spans="17:22" ht="20.100000000000001" customHeight="1">
      <c r="Q176" s="206" t="str">
        <f t="shared" si="12"/>
        <v/>
      </c>
      <c r="R176" s="213" t="str">
        <f t="shared" si="12"/>
        <v/>
      </c>
      <c r="S176" s="214" t="str">
        <f t="shared" si="12"/>
        <v/>
      </c>
      <c r="T176" s="206" t="str">
        <f t="shared" si="13"/>
        <v/>
      </c>
      <c r="U176" s="206" t="str">
        <f t="shared" si="13"/>
        <v/>
      </c>
      <c r="V176" s="206" t="str">
        <f t="shared" si="13"/>
        <v/>
      </c>
    </row>
    <row r="177" spans="17:22" ht="20.100000000000001" customHeight="1">
      <c r="Q177" s="206" t="str">
        <f t="shared" si="12"/>
        <v/>
      </c>
      <c r="R177" s="213" t="str">
        <f t="shared" si="12"/>
        <v/>
      </c>
      <c r="S177" s="214" t="str">
        <f t="shared" si="12"/>
        <v/>
      </c>
      <c r="T177" s="206" t="str">
        <f t="shared" si="13"/>
        <v/>
      </c>
      <c r="U177" s="206" t="str">
        <f t="shared" si="13"/>
        <v/>
      </c>
      <c r="V177" s="206" t="str">
        <f t="shared" si="13"/>
        <v/>
      </c>
    </row>
    <row r="178" spans="17:22" ht="20.100000000000001" customHeight="1">
      <c r="Q178" s="206" t="str">
        <f t="shared" si="12"/>
        <v/>
      </c>
      <c r="R178" s="213" t="str">
        <f t="shared" si="12"/>
        <v/>
      </c>
      <c r="S178" s="214" t="str">
        <f t="shared" si="12"/>
        <v/>
      </c>
      <c r="T178" s="206" t="str">
        <f t="shared" si="13"/>
        <v/>
      </c>
      <c r="U178" s="206" t="str">
        <f t="shared" si="13"/>
        <v/>
      </c>
      <c r="V178" s="206" t="str">
        <f t="shared" si="13"/>
        <v/>
      </c>
    </row>
    <row r="179" spans="17:22" ht="20.100000000000001" customHeight="1">
      <c r="Q179" s="206" t="str">
        <f t="shared" si="12"/>
        <v/>
      </c>
      <c r="R179" s="213" t="str">
        <f t="shared" si="12"/>
        <v/>
      </c>
      <c r="S179" s="214" t="str">
        <f t="shared" si="12"/>
        <v/>
      </c>
      <c r="T179" s="206" t="str">
        <f t="shared" si="13"/>
        <v/>
      </c>
      <c r="U179" s="206" t="str">
        <f t="shared" si="13"/>
        <v/>
      </c>
      <c r="V179" s="206" t="str">
        <f t="shared" si="13"/>
        <v/>
      </c>
    </row>
    <row r="180" spans="17:22" ht="20.100000000000001" customHeight="1">
      <c r="Q180" s="206" t="str">
        <f t="shared" si="12"/>
        <v/>
      </c>
      <c r="R180" s="213" t="str">
        <f t="shared" si="12"/>
        <v/>
      </c>
      <c r="S180" s="214" t="str">
        <f t="shared" si="12"/>
        <v/>
      </c>
      <c r="T180" s="206" t="str">
        <f t="shared" si="13"/>
        <v/>
      </c>
      <c r="U180" s="206" t="str">
        <f t="shared" si="13"/>
        <v/>
      </c>
      <c r="V180" s="206" t="str">
        <f t="shared" si="13"/>
        <v/>
      </c>
    </row>
    <row r="181" spans="17:22" ht="20.100000000000001" customHeight="1">
      <c r="Q181" s="206" t="str">
        <f t="shared" si="12"/>
        <v/>
      </c>
      <c r="R181" s="213" t="str">
        <f t="shared" si="12"/>
        <v/>
      </c>
      <c r="S181" s="214" t="str">
        <f t="shared" si="12"/>
        <v/>
      </c>
      <c r="T181" s="206" t="str">
        <f t="shared" si="13"/>
        <v/>
      </c>
      <c r="U181" s="206" t="str">
        <f t="shared" si="13"/>
        <v/>
      </c>
      <c r="V181" s="206" t="str">
        <f t="shared" si="13"/>
        <v/>
      </c>
    </row>
    <row r="182" spans="17:22" ht="20.100000000000001" customHeight="1">
      <c r="Q182" s="206" t="str">
        <f t="shared" si="12"/>
        <v/>
      </c>
      <c r="R182" s="213" t="str">
        <f t="shared" si="12"/>
        <v/>
      </c>
      <c r="S182" s="214" t="str">
        <f t="shared" si="12"/>
        <v/>
      </c>
      <c r="T182" s="206" t="str">
        <f t="shared" si="13"/>
        <v/>
      </c>
      <c r="U182" s="206" t="str">
        <f t="shared" si="13"/>
        <v/>
      </c>
      <c r="V182" s="206" t="str">
        <f t="shared" si="13"/>
        <v/>
      </c>
    </row>
    <row r="183" spans="17:22" ht="20.100000000000001" customHeight="1">
      <c r="Q183" s="206" t="str">
        <f t="shared" si="12"/>
        <v/>
      </c>
      <c r="R183" s="213" t="str">
        <f t="shared" si="12"/>
        <v/>
      </c>
      <c r="S183" s="214" t="str">
        <f t="shared" si="12"/>
        <v/>
      </c>
      <c r="T183" s="206" t="str">
        <f t="shared" si="13"/>
        <v/>
      </c>
      <c r="U183" s="206" t="str">
        <f t="shared" si="13"/>
        <v/>
      </c>
      <c r="V183" s="206" t="str">
        <f t="shared" si="13"/>
        <v/>
      </c>
    </row>
    <row r="184" spans="17:22" ht="20.100000000000001" customHeight="1">
      <c r="Q184" s="206" t="str">
        <f t="shared" si="12"/>
        <v/>
      </c>
      <c r="R184" s="213" t="str">
        <f t="shared" si="12"/>
        <v/>
      </c>
      <c r="S184" s="214" t="str">
        <f t="shared" si="12"/>
        <v/>
      </c>
      <c r="T184" s="206" t="str">
        <f t="shared" si="13"/>
        <v/>
      </c>
      <c r="U184" s="206" t="str">
        <f t="shared" si="13"/>
        <v/>
      </c>
      <c r="V184" s="206" t="str">
        <f t="shared" si="13"/>
        <v/>
      </c>
    </row>
    <row r="185" spans="17:22" ht="20.100000000000001" customHeight="1">
      <c r="Q185" s="206" t="str">
        <f t="shared" si="12"/>
        <v/>
      </c>
      <c r="R185" s="213" t="str">
        <f t="shared" si="12"/>
        <v/>
      </c>
      <c r="S185" s="214" t="str">
        <f t="shared" si="12"/>
        <v/>
      </c>
      <c r="T185" s="206" t="str">
        <f t="shared" si="13"/>
        <v/>
      </c>
      <c r="U185" s="206" t="str">
        <f t="shared" si="13"/>
        <v/>
      </c>
      <c r="V185" s="206" t="str">
        <f t="shared" si="13"/>
        <v/>
      </c>
    </row>
    <row r="186" spans="17:22" ht="20.100000000000001" customHeight="1">
      <c r="Q186" s="206" t="str">
        <f t="shared" si="12"/>
        <v/>
      </c>
      <c r="R186" s="213" t="str">
        <f t="shared" si="12"/>
        <v/>
      </c>
      <c r="S186" s="214" t="str">
        <f t="shared" si="12"/>
        <v/>
      </c>
      <c r="T186" s="206" t="str">
        <f t="shared" si="13"/>
        <v/>
      </c>
      <c r="U186" s="206" t="str">
        <f t="shared" si="13"/>
        <v/>
      </c>
      <c r="V186" s="206" t="str">
        <f t="shared" si="13"/>
        <v/>
      </c>
    </row>
    <row r="187" spans="17:22" ht="20.100000000000001" customHeight="1">
      <c r="Q187" s="206" t="str">
        <f t="shared" si="12"/>
        <v/>
      </c>
      <c r="R187" s="213" t="str">
        <f t="shared" si="12"/>
        <v/>
      </c>
      <c r="S187" s="214" t="str">
        <f t="shared" si="12"/>
        <v/>
      </c>
      <c r="T187" s="206" t="str">
        <f t="shared" si="13"/>
        <v/>
      </c>
      <c r="U187" s="206" t="str">
        <f t="shared" si="13"/>
        <v/>
      </c>
      <c r="V187" s="206" t="str">
        <f t="shared" si="13"/>
        <v/>
      </c>
    </row>
    <row r="188" spans="17:22" ht="20.100000000000001" customHeight="1">
      <c r="Q188" s="206" t="str">
        <f t="shared" si="12"/>
        <v/>
      </c>
      <c r="R188" s="213" t="str">
        <f t="shared" si="12"/>
        <v/>
      </c>
      <c r="S188" s="214" t="str">
        <f t="shared" si="12"/>
        <v/>
      </c>
      <c r="T188" s="206" t="str">
        <f t="shared" si="13"/>
        <v/>
      </c>
      <c r="U188" s="206" t="str">
        <f t="shared" si="13"/>
        <v/>
      </c>
      <c r="V188" s="206" t="str">
        <f t="shared" si="13"/>
        <v/>
      </c>
    </row>
    <row r="189" spans="17:22" ht="20.100000000000001" customHeight="1">
      <c r="Q189" s="206" t="str">
        <f t="shared" si="12"/>
        <v/>
      </c>
      <c r="R189" s="213" t="str">
        <f t="shared" si="12"/>
        <v/>
      </c>
      <c r="S189" s="214" t="str">
        <f t="shared" si="12"/>
        <v/>
      </c>
      <c r="T189" s="206" t="str">
        <f t="shared" si="13"/>
        <v/>
      </c>
      <c r="U189" s="206" t="str">
        <f t="shared" si="13"/>
        <v/>
      </c>
      <c r="V189" s="206" t="str">
        <f t="shared" si="13"/>
        <v/>
      </c>
    </row>
    <row r="190" spans="17:22" ht="20.100000000000001" customHeight="1">
      <c r="Q190" s="206" t="str">
        <f t="shared" si="12"/>
        <v/>
      </c>
      <c r="R190" s="213" t="str">
        <f t="shared" si="12"/>
        <v/>
      </c>
      <c r="S190" s="214" t="str">
        <f t="shared" si="12"/>
        <v/>
      </c>
      <c r="T190" s="206" t="str">
        <f t="shared" si="13"/>
        <v/>
      </c>
      <c r="U190" s="206" t="str">
        <f t="shared" si="13"/>
        <v/>
      </c>
      <c r="V190" s="206" t="str">
        <f t="shared" si="13"/>
        <v/>
      </c>
    </row>
    <row r="191" spans="17:22" ht="20.100000000000001" customHeight="1">
      <c r="Q191" s="206" t="str">
        <f t="shared" si="12"/>
        <v/>
      </c>
      <c r="R191" s="213" t="str">
        <f t="shared" si="12"/>
        <v/>
      </c>
      <c r="S191" s="214" t="str">
        <f t="shared" si="12"/>
        <v/>
      </c>
      <c r="T191" s="206" t="str">
        <f t="shared" si="13"/>
        <v/>
      </c>
      <c r="U191" s="206" t="str">
        <f t="shared" si="13"/>
        <v/>
      </c>
      <c r="V191" s="206" t="str">
        <f t="shared" si="13"/>
        <v/>
      </c>
    </row>
    <row r="192" spans="17:22" ht="20.100000000000001" customHeight="1">
      <c r="Q192" s="206" t="str">
        <f t="shared" si="12"/>
        <v/>
      </c>
      <c r="R192" s="213" t="str">
        <f t="shared" si="12"/>
        <v/>
      </c>
      <c r="S192" s="214" t="str">
        <f t="shared" si="12"/>
        <v/>
      </c>
      <c r="T192" s="206" t="str">
        <f t="shared" si="13"/>
        <v/>
      </c>
      <c r="U192" s="206" t="str">
        <f t="shared" si="13"/>
        <v/>
      </c>
      <c r="V192" s="206" t="str">
        <f t="shared" si="13"/>
        <v/>
      </c>
    </row>
    <row r="193" spans="17:22" ht="20.100000000000001" customHeight="1">
      <c r="Q193" s="206" t="str">
        <f t="shared" si="12"/>
        <v/>
      </c>
      <c r="R193" s="213" t="str">
        <f t="shared" si="12"/>
        <v/>
      </c>
      <c r="S193" s="214" t="str">
        <f t="shared" si="12"/>
        <v/>
      </c>
      <c r="T193" s="206" t="str">
        <f t="shared" si="13"/>
        <v/>
      </c>
      <c r="U193" s="206" t="str">
        <f t="shared" si="13"/>
        <v/>
      </c>
      <c r="V193" s="206" t="str">
        <f t="shared" si="13"/>
        <v/>
      </c>
    </row>
    <row r="194" spans="17:22" ht="20.100000000000001" customHeight="1">
      <c r="Q194" s="206" t="str">
        <f t="shared" si="12"/>
        <v/>
      </c>
      <c r="R194" s="213" t="str">
        <f t="shared" si="12"/>
        <v/>
      </c>
      <c r="S194" s="214" t="str">
        <f t="shared" si="12"/>
        <v/>
      </c>
      <c r="T194" s="206" t="str">
        <f t="shared" si="13"/>
        <v/>
      </c>
      <c r="U194" s="206" t="str">
        <f t="shared" si="13"/>
        <v/>
      </c>
      <c r="V194" s="206" t="str">
        <f t="shared" si="13"/>
        <v/>
      </c>
    </row>
    <row r="195" spans="17:22" ht="20.100000000000001" customHeight="1">
      <c r="Q195" s="206" t="str">
        <f t="shared" si="12"/>
        <v/>
      </c>
      <c r="R195" s="213" t="str">
        <f t="shared" si="12"/>
        <v/>
      </c>
      <c r="S195" s="214" t="str">
        <f t="shared" si="12"/>
        <v/>
      </c>
      <c r="T195" s="206" t="str">
        <f t="shared" si="13"/>
        <v/>
      </c>
      <c r="U195" s="206" t="str">
        <f t="shared" si="13"/>
        <v/>
      </c>
      <c r="V195" s="206" t="str">
        <f t="shared" si="13"/>
        <v/>
      </c>
    </row>
    <row r="196" spans="17:22" ht="20.100000000000001" customHeight="1">
      <c r="Q196" s="206" t="str">
        <f t="shared" si="12"/>
        <v/>
      </c>
      <c r="R196" s="213" t="str">
        <f t="shared" si="12"/>
        <v/>
      </c>
      <c r="S196" s="214" t="str">
        <f t="shared" si="12"/>
        <v/>
      </c>
      <c r="T196" s="206" t="str">
        <f t="shared" si="13"/>
        <v/>
      </c>
      <c r="U196" s="206" t="str">
        <f t="shared" si="13"/>
        <v/>
      </c>
      <c r="V196" s="206" t="str">
        <f t="shared" si="13"/>
        <v/>
      </c>
    </row>
    <row r="197" spans="17:22" ht="20.100000000000001" customHeight="1">
      <c r="Q197" s="206" t="str">
        <f t="shared" si="12"/>
        <v/>
      </c>
      <c r="R197" s="213" t="str">
        <f t="shared" si="12"/>
        <v/>
      </c>
      <c r="S197" s="214" t="str">
        <f t="shared" si="12"/>
        <v/>
      </c>
      <c r="T197" s="206" t="str">
        <f t="shared" si="13"/>
        <v/>
      </c>
      <c r="U197" s="206" t="str">
        <f t="shared" si="13"/>
        <v/>
      </c>
      <c r="V197" s="206" t="str">
        <f t="shared" si="13"/>
        <v/>
      </c>
    </row>
    <row r="198" spans="17:22" ht="20.100000000000001" customHeight="1">
      <c r="Q198" s="206" t="str">
        <f t="shared" si="12"/>
        <v/>
      </c>
      <c r="R198" s="213" t="str">
        <f t="shared" si="12"/>
        <v/>
      </c>
      <c r="S198" s="214" t="str">
        <f t="shared" si="12"/>
        <v/>
      </c>
      <c r="T198" s="206" t="str">
        <f t="shared" si="13"/>
        <v/>
      </c>
      <c r="U198" s="206" t="str">
        <f t="shared" si="13"/>
        <v/>
      </c>
      <c r="V198" s="206" t="str">
        <f t="shared" si="13"/>
        <v/>
      </c>
    </row>
    <row r="199" spans="17:22" ht="20.100000000000001" customHeight="1">
      <c r="Q199" s="206" t="str">
        <f t="shared" si="12"/>
        <v/>
      </c>
      <c r="R199" s="213" t="str">
        <f t="shared" si="12"/>
        <v/>
      </c>
      <c r="S199" s="214" t="str">
        <f t="shared" si="12"/>
        <v/>
      </c>
      <c r="T199" s="206" t="str">
        <f t="shared" si="13"/>
        <v/>
      </c>
      <c r="U199" s="206" t="str">
        <f t="shared" si="13"/>
        <v/>
      </c>
      <c r="V199" s="206" t="str">
        <f t="shared" si="13"/>
        <v/>
      </c>
    </row>
    <row r="200" spans="17:22" ht="20.100000000000001" customHeight="1">
      <c r="Q200" s="206" t="str">
        <f t="shared" si="12"/>
        <v/>
      </c>
      <c r="R200" s="213" t="str">
        <f t="shared" si="12"/>
        <v/>
      </c>
      <c r="S200" s="214" t="str">
        <f t="shared" si="12"/>
        <v/>
      </c>
      <c r="T200" s="206" t="str">
        <f t="shared" si="13"/>
        <v/>
      </c>
      <c r="U200" s="206" t="str">
        <f t="shared" si="13"/>
        <v/>
      </c>
      <c r="V200" s="206" t="str">
        <f t="shared" si="13"/>
        <v/>
      </c>
    </row>
    <row r="201" spans="17:22" ht="20.100000000000001" customHeight="1">
      <c r="Q201" s="206" t="str">
        <f t="shared" ref="Q201:S264" si="14">IF(NOT(ISBLANK(G201)),"■","")</f>
        <v/>
      </c>
      <c r="R201" s="213" t="str">
        <f t="shared" si="14"/>
        <v/>
      </c>
      <c r="S201" s="214" t="str">
        <f t="shared" si="14"/>
        <v/>
      </c>
      <c r="T201" s="206" t="str">
        <f t="shared" ref="T201:V264" si="15">IF(NOT(ISBLANK(J201)),"*","")</f>
        <v/>
      </c>
      <c r="U201" s="206" t="str">
        <f t="shared" si="15"/>
        <v/>
      </c>
      <c r="V201" s="206" t="str">
        <f t="shared" si="15"/>
        <v/>
      </c>
    </row>
    <row r="202" spans="17:22" ht="20.100000000000001" customHeight="1">
      <c r="Q202" s="206" t="str">
        <f t="shared" si="14"/>
        <v/>
      </c>
      <c r="R202" s="213" t="str">
        <f t="shared" si="14"/>
        <v/>
      </c>
      <c r="S202" s="214" t="str">
        <f t="shared" si="14"/>
        <v/>
      </c>
      <c r="T202" s="206" t="str">
        <f t="shared" si="15"/>
        <v/>
      </c>
      <c r="U202" s="206" t="str">
        <f t="shared" si="15"/>
        <v/>
      </c>
      <c r="V202" s="206" t="str">
        <f t="shared" si="15"/>
        <v/>
      </c>
    </row>
    <row r="203" spans="17:22" ht="20.100000000000001" customHeight="1">
      <c r="Q203" s="206" t="str">
        <f t="shared" si="14"/>
        <v/>
      </c>
      <c r="R203" s="213" t="str">
        <f t="shared" si="14"/>
        <v/>
      </c>
      <c r="S203" s="214" t="str">
        <f t="shared" si="14"/>
        <v/>
      </c>
      <c r="T203" s="206" t="str">
        <f t="shared" si="15"/>
        <v/>
      </c>
      <c r="U203" s="206" t="str">
        <f t="shared" si="15"/>
        <v/>
      </c>
      <c r="V203" s="206" t="str">
        <f t="shared" si="15"/>
        <v/>
      </c>
    </row>
    <row r="204" spans="17:22" ht="20.100000000000001" customHeight="1">
      <c r="Q204" s="206" t="str">
        <f t="shared" si="14"/>
        <v/>
      </c>
      <c r="R204" s="213" t="str">
        <f t="shared" si="14"/>
        <v/>
      </c>
      <c r="S204" s="214" t="str">
        <f t="shared" si="14"/>
        <v/>
      </c>
      <c r="T204" s="206" t="str">
        <f t="shared" si="15"/>
        <v/>
      </c>
      <c r="U204" s="206" t="str">
        <f t="shared" si="15"/>
        <v/>
      </c>
      <c r="V204" s="206" t="str">
        <f t="shared" si="15"/>
        <v/>
      </c>
    </row>
    <row r="205" spans="17:22" ht="20.100000000000001" customHeight="1">
      <c r="Q205" s="206" t="str">
        <f t="shared" si="14"/>
        <v/>
      </c>
      <c r="R205" s="213" t="str">
        <f t="shared" si="14"/>
        <v/>
      </c>
      <c r="S205" s="214" t="str">
        <f t="shared" si="14"/>
        <v/>
      </c>
      <c r="T205" s="206" t="str">
        <f t="shared" si="15"/>
        <v/>
      </c>
      <c r="U205" s="206" t="str">
        <f t="shared" si="15"/>
        <v/>
      </c>
      <c r="V205" s="206" t="str">
        <f t="shared" si="15"/>
        <v/>
      </c>
    </row>
    <row r="206" spans="17:22" ht="20.100000000000001" customHeight="1">
      <c r="Q206" s="206" t="str">
        <f t="shared" si="14"/>
        <v/>
      </c>
      <c r="R206" s="213" t="str">
        <f t="shared" si="14"/>
        <v/>
      </c>
      <c r="S206" s="214" t="str">
        <f t="shared" si="14"/>
        <v/>
      </c>
      <c r="T206" s="206" t="str">
        <f t="shared" si="15"/>
        <v/>
      </c>
      <c r="U206" s="206" t="str">
        <f t="shared" si="15"/>
        <v/>
      </c>
      <c r="V206" s="206" t="str">
        <f t="shared" si="15"/>
        <v/>
      </c>
    </row>
    <row r="207" spans="17:22" ht="20.100000000000001" customHeight="1">
      <c r="Q207" s="206" t="str">
        <f t="shared" si="14"/>
        <v/>
      </c>
      <c r="R207" s="213" t="str">
        <f t="shared" si="14"/>
        <v/>
      </c>
      <c r="S207" s="214" t="str">
        <f t="shared" si="14"/>
        <v/>
      </c>
      <c r="T207" s="206" t="str">
        <f t="shared" si="15"/>
        <v/>
      </c>
      <c r="U207" s="206" t="str">
        <f t="shared" si="15"/>
        <v/>
      </c>
      <c r="V207" s="206" t="str">
        <f t="shared" si="15"/>
        <v/>
      </c>
    </row>
    <row r="208" spans="17:22" ht="20.100000000000001" customHeight="1">
      <c r="Q208" s="206" t="str">
        <f t="shared" si="14"/>
        <v/>
      </c>
      <c r="R208" s="213" t="str">
        <f t="shared" si="14"/>
        <v/>
      </c>
      <c r="S208" s="214" t="str">
        <f t="shared" si="14"/>
        <v/>
      </c>
      <c r="T208" s="206" t="str">
        <f t="shared" si="15"/>
        <v/>
      </c>
      <c r="U208" s="206" t="str">
        <f t="shared" si="15"/>
        <v/>
      </c>
      <c r="V208" s="206" t="str">
        <f t="shared" si="15"/>
        <v/>
      </c>
    </row>
    <row r="209" spans="17:22" ht="20.100000000000001" customHeight="1">
      <c r="Q209" s="206" t="str">
        <f t="shared" si="14"/>
        <v/>
      </c>
      <c r="R209" s="213" t="str">
        <f t="shared" si="14"/>
        <v/>
      </c>
      <c r="S209" s="214" t="str">
        <f t="shared" si="14"/>
        <v/>
      </c>
      <c r="T209" s="206" t="str">
        <f t="shared" si="15"/>
        <v/>
      </c>
      <c r="U209" s="206" t="str">
        <f t="shared" si="15"/>
        <v/>
      </c>
      <c r="V209" s="206" t="str">
        <f t="shared" si="15"/>
        <v/>
      </c>
    </row>
    <row r="210" spans="17:22" ht="20.100000000000001" customHeight="1">
      <c r="Q210" s="206" t="str">
        <f t="shared" si="14"/>
        <v/>
      </c>
      <c r="R210" s="213" t="str">
        <f t="shared" si="14"/>
        <v/>
      </c>
      <c r="S210" s="214" t="str">
        <f t="shared" si="14"/>
        <v/>
      </c>
      <c r="T210" s="206" t="str">
        <f t="shared" si="15"/>
        <v/>
      </c>
      <c r="U210" s="206" t="str">
        <f t="shared" si="15"/>
        <v/>
      </c>
      <c r="V210" s="206" t="str">
        <f t="shared" si="15"/>
        <v/>
      </c>
    </row>
    <row r="211" spans="17:22" ht="20.100000000000001" customHeight="1">
      <c r="Q211" s="206" t="str">
        <f t="shared" si="14"/>
        <v/>
      </c>
      <c r="R211" s="213" t="str">
        <f t="shared" si="14"/>
        <v/>
      </c>
      <c r="S211" s="214" t="str">
        <f t="shared" si="14"/>
        <v/>
      </c>
      <c r="T211" s="206" t="str">
        <f t="shared" si="15"/>
        <v/>
      </c>
      <c r="U211" s="206" t="str">
        <f t="shared" si="15"/>
        <v/>
      </c>
      <c r="V211" s="206" t="str">
        <f t="shared" si="15"/>
        <v/>
      </c>
    </row>
    <row r="212" spans="17:22" ht="20.100000000000001" customHeight="1">
      <c r="Q212" s="206" t="str">
        <f t="shared" si="14"/>
        <v/>
      </c>
      <c r="R212" s="213" t="str">
        <f t="shared" si="14"/>
        <v/>
      </c>
      <c r="S212" s="214" t="str">
        <f t="shared" si="14"/>
        <v/>
      </c>
      <c r="T212" s="206" t="str">
        <f t="shared" si="15"/>
        <v/>
      </c>
      <c r="U212" s="206" t="str">
        <f t="shared" si="15"/>
        <v/>
      </c>
      <c r="V212" s="206" t="str">
        <f t="shared" si="15"/>
        <v/>
      </c>
    </row>
    <row r="213" spans="17:22" ht="20.100000000000001" customHeight="1">
      <c r="Q213" s="206" t="str">
        <f t="shared" si="14"/>
        <v/>
      </c>
      <c r="R213" s="213" t="str">
        <f t="shared" si="14"/>
        <v/>
      </c>
      <c r="S213" s="214" t="str">
        <f t="shared" si="14"/>
        <v/>
      </c>
      <c r="T213" s="206" t="str">
        <f t="shared" si="15"/>
        <v/>
      </c>
      <c r="U213" s="206" t="str">
        <f t="shared" si="15"/>
        <v/>
      </c>
      <c r="V213" s="206" t="str">
        <f t="shared" si="15"/>
        <v/>
      </c>
    </row>
    <row r="214" spans="17:22" ht="20.100000000000001" customHeight="1">
      <c r="Q214" s="206" t="str">
        <f t="shared" si="14"/>
        <v/>
      </c>
      <c r="R214" s="213" t="str">
        <f t="shared" si="14"/>
        <v/>
      </c>
      <c r="S214" s="214" t="str">
        <f t="shared" si="14"/>
        <v/>
      </c>
      <c r="T214" s="206" t="str">
        <f t="shared" si="15"/>
        <v/>
      </c>
      <c r="U214" s="206" t="str">
        <f t="shared" si="15"/>
        <v/>
      </c>
      <c r="V214" s="206" t="str">
        <f t="shared" si="15"/>
        <v/>
      </c>
    </row>
    <row r="215" spans="17:22" ht="20.100000000000001" customHeight="1">
      <c r="Q215" s="206" t="str">
        <f t="shared" si="14"/>
        <v/>
      </c>
      <c r="R215" s="213" t="str">
        <f t="shared" si="14"/>
        <v/>
      </c>
      <c r="S215" s="214" t="str">
        <f t="shared" si="14"/>
        <v/>
      </c>
      <c r="T215" s="206" t="str">
        <f t="shared" si="15"/>
        <v/>
      </c>
      <c r="U215" s="206" t="str">
        <f t="shared" si="15"/>
        <v/>
      </c>
      <c r="V215" s="206" t="str">
        <f t="shared" si="15"/>
        <v/>
      </c>
    </row>
    <row r="216" spans="17:22" ht="20.100000000000001" customHeight="1">
      <c r="Q216" s="206" t="str">
        <f t="shared" si="14"/>
        <v/>
      </c>
      <c r="R216" s="213" t="str">
        <f t="shared" si="14"/>
        <v/>
      </c>
      <c r="S216" s="214" t="str">
        <f t="shared" si="14"/>
        <v/>
      </c>
      <c r="T216" s="206" t="str">
        <f t="shared" si="15"/>
        <v/>
      </c>
      <c r="U216" s="206" t="str">
        <f t="shared" si="15"/>
        <v/>
      </c>
      <c r="V216" s="206" t="str">
        <f t="shared" si="15"/>
        <v/>
      </c>
    </row>
    <row r="217" spans="17:22" ht="20.100000000000001" customHeight="1">
      <c r="Q217" s="206" t="str">
        <f t="shared" si="14"/>
        <v/>
      </c>
      <c r="R217" s="213" t="str">
        <f t="shared" si="14"/>
        <v/>
      </c>
      <c r="S217" s="214" t="str">
        <f t="shared" si="14"/>
        <v/>
      </c>
      <c r="T217" s="206" t="str">
        <f t="shared" si="15"/>
        <v/>
      </c>
      <c r="U217" s="206" t="str">
        <f t="shared" si="15"/>
        <v/>
      </c>
      <c r="V217" s="206" t="str">
        <f t="shared" si="15"/>
        <v/>
      </c>
    </row>
    <row r="218" spans="17:22" ht="20.100000000000001" customHeight="1">
      <c r="Q218" s="206" t="str">
        <f t="shared" si="14"/>
        <v/>
      </c>
      <c r="R218" s="213" t="str">
        <f t="shared" si="14"/>
        <v/>
      </c>
      <c r="S218" s="214" t="str">
        <f t="shared" si="14"/>
        <v/>
      </c>
      <c r="T218" s="206" t="str">
        <f t="shared" si="15"/>
        <v/>
      </c>
      <c r="U218" s="206" t="str">
        <f t="shared" si="15"/>
        <v/>
      </c>
      <c r="V218" s="206" t="str">
        <f t="shared" si="15"/>
        <v/>
      </c>
    </row>
    <row r="219" spans="17:22" ht="20.100000000000001" customHeight="1">
      <c r="Q219" s="206" t="str">
        <f t="shared" si="14"/>
        <v/>
      </c>
      <c r="R219" s="213" t="str">
        <f t="shared" si="14"/>
        <v/>
      </c>
      <c r="S219" s="214" t="str">
        <f t="shared" si="14"/>
        <v/>
      </c>
      <c r="T219" s="206" t="str">
        <f t="shared" si="15"/>
        <v/>
      </c>
      <c r="U219" s="206" t="str">
        <f t="shared" si="15"/>
        <v/>
      </c>
      <c r="V219" s="206" t="str">
        <f t="shared" si="15"/>
        <v/>
      </c>
    </row>
    <row r="220" spans="17:22" ht="20.100000000000001" customHeight="1">
      <c r="Q220" s="206" t="str">
        <f t="shared" si="14"/>
        <v/>
      </c>
      <c r="R220" s="213" t="str">
        <f t="shared" si="14"/>
        <v/>
      </c>
      <c r="S220" s="214" t="str">
        <f t="shared" si="14"/>
        <v/>
      </c>
      <c r="T220" s="206" t="str">
        <f t="shared" si="15"/>
        <v/>
      </c>
      <c r="U220" s="206" t="str">
        <f t="shared" si="15"/>
        <v/>
      </c>
      <c r="V220" s="206" t="str">
        <f t="shared" si="15"/>
        <v/>
      </c>
    </row>
    <row r="221" spans="17:22" ht="20.100000000000001" customHeight="1">
      <c r="Q221" s="206" t="str">
        <f t="shared" si="14"/>
        <v/>
      </c>
      <c r="R221" s="213" t="str">
        <f t="shared" si="14"/>
        <v/>
      </c>
      <c r="S221" s="214" t="str">
        <f t="shared" si="14"/>
        <v/>
      </c>
      <c r="T221" s="206" t="str">
        <f t="shared" si="15"/>
        <v/>
      </c>
      <c r="U221" s="206" t="str">
        <f t="shared" si="15"/>
        <v/>
      </c>
      <c r="V221" s="206" t="str">
        <f t="shared" si="15"/>
        <v/>
      </c>
    </row>
    <row r="222" spans="17:22" ht="20.100000000000001" customHeight="1">
      <c r="Q222" s="206" t="str">
        <f t="shared" si="14"/>
        <v/>
      </c>
      <c r="R222" s="213" t="str">
        <f t="shared" si="14"/>
        <v/>
      </c>
      <c r="S222" s="214" t="str">
        <f t="shared" si="14"/>
        <v/>
      </c>
      <c r="T222" s="206" t="str">
        <f t="shared" si="15"/>
        <v/>
      </c>
      <c r="U222" s="206" t="str">
        <f t="shared" si="15"/>
        <v/>
      </c>
      <c r="V222" s="206" t="str">
        <f t="shared" si="15"/>
        <v/>
      </c>
    </row>
    <row r="223" spans="17:22" ht="20.100000000000001" customHeight="1">
      <c r="Q223" s="206" t="str">
        <f t="shared" si="14"/>
        <v/>
      </c>
      <c r="R223" s="213" t="str">
        <f t="shared" si="14"/>
        <v/>
      </c>
      <c r="S223" s="214" t="str">
        <f t="shared" si="14"/>
        <v/>
      </c>
      <c r="T223" s="206" t="str">
        <f t="shared" si="15"/>
        <v/>
      </c>
      <c r="U223" s="206" t="str">
        <f t="shared" si="15"/>
        <v/>
      </c>
      <c r="V223" s="206" t="str">
        <f t="shared" si="15"/>
        <v/>
      </c>
    </row>
    <row r="224" spans="17:22" ht="20.100000000000001" customHeight="1">
      <c r="Q224" s="206" t="str">
        <f t="shared" si="14"/>
        <v/>
      </c>
      <c r="R224" s="213" t="str">
        <f t="shared" si="14"/>
        <v/>
      </c>
      <c r="S224" s="214" t="str">
        <f t="shared" si="14"/>
        <v/>
      </c>
      <c r="T224" s="206" t="str">
        <f t="shared" si="15"/>
        <v/>
      </c>
      <c r="U224" s="206" t="str">
        <f t="shared" si="15"/>
        <v/>
      </c>
      <c r="V224" s="206" t="str">
        <f t="shared" si="15"/>
        <v/>
      </c>
    </row>
    <row r="225" spans="17:22" ht="20.100000000000001" customHeight="1">
      <c r="Q225" s="206" t="str">
        <f t="shared" si="14"/>
        <v/>
      </c>
      <c r="R225" s="213" t="str">
        <f t="shared" si="14"/>
        <v/>
      </c>
      <c r="S225" s="214" t="str">
        <f t="shared" si="14"/>
        <v/>
      </c>
      <c r="T225" s="206" t="str">
        <f t="shared" si="15"/>
        <v/>
      </c>
      <c r="U225" s="206" t="str">
        <f t="shared" si="15"/>
        <v/>
      </c>
      <c r="V225" s="206" t="str">
        <f t="shared" si="15"/>
        <v/>
      </c>
    </row>
    <row r="226" spans="17:22" ht="20.100000000000001" customHeight="1">
      <c r="Q226" s="206" t="str">
        <f t="shared" si="14"/>
        <v/>
      </c>
      <c r="R226" s="213" t="str">
        <f t="shared" si="14"/>
        <v/>
      </c>
      <c r="S226" s="214" t="str">
        <f t="shared" si="14"/>
        <v/>
      </c>
      <c r="T226" s="206" t="str">
        <f t="shared" si="15"/>
        <v/>
      </c>
      <c r="U226" s="206" t="str">
        <f t="shared" si="15"/>
        <v/>
      </c>
      <c r="V226" s="206" t="str">
        <f t="shared" si="15"/>
        <v/>
      </c>
    </row>
    <row r="227" spans="17:22" ht="20.100000000000001" customHeight="1">
      <c r="Q227" s="206" t="str">
        <f t="shared" si="14"/>
        <v/>
      </c>
      <c r="R227" s="213" t="str">
        <f t="shared" si="14"/>
        <v/>
      </c>
      <c r="S227" s="214" t="str">
        <f t="shared" si="14"/>
        <v/>
      </c>
      <c r="T227" s="206" t="str">
        <f t="shared" si="15"/>
        <v/>
      </c>
      <c r="U227" s="206" t="str">
        <f t="shared" si="15"/>
        <v/>
      </c>
      <c r="V227" s="206" t="str">
        <f t="shared" si="15"/>
        <v/>
      </c>
    </row>
    <row r="228" spans="17:22" ht="20.100000000000001" customHeight="1">
      <c r="Q228" s="206" t="str">
        <f t="shared" si="14"/>
        <v/>
      </c>
      <c r="R228" s="213" t="str">
        <f t="shared" si="14"/>
        <v/>
      </c>
      <c r="S228" s="214" t="str">
        <f t="shared" si="14"/>
        <v/>
      </c>
      <c r="T228" s="206" t="str">
        <f t="shared" si="15"/>
        <v/>
      </c>
      <c r="U228" s="206" t="str">
        <f t="shared" si="15"/>
        <v/>
      </c>
      <c r="V228" s="206" t="str">
        <f t="shared" si="15"/>
        <v/>
      </c>
    </row>
    <row r="229" spans="17:22" ht="20.100000000000001" customHeight="1">
      <c r="Q229" s="206" t="str">
        <f t="shared" si="14"/>
        <v/>
      </c>
      <c r="R229" s="213" t="str">
        <f t="shared" si="14"/>
        <v/>
      </c>
      <c r="S229" s="214" t="str">
        <f t="shared" si="14"/>
        <v/>
      </c>
      <c r="T229" s="206" t="str">
        <f t="shared" si="15"/>
        <v/>
      </c>
      <c r="U229" s="206" t="str">
        <f t="shared" si="15"/>
        <v/>
      </c>
      <c r="V229" s="206" t="str">
        <f t="shared" si="15"/>
        <v/>
      </c>
    </row>
    <row r="230" spans="17:22" ht="20.100000000000001" customHeight="1">
      <c r="Q230" s="206" t="str">
        <f t="shared" si="14"/>
        <v/>
      </c>
      <c r="R230" s="213" t="str">
        <f t="shared" si="14"/>
        <v/>
      </c>
      <c r="S230" s="214" t="str">
        <f t="shared" si="14"/>
        <v/>
      </c>
      <c r="T230" s="206" t="str">
        <f t="shared" si="15"/>
        <v/>
      </c>
      <c r="U230" s="206" t="str">
        <f t="shared" si="15"/>
        <v/>
      </c>
      <c r="V230" s="206" t="str">
        <f t="shared" si="15"/>
        <v/>
      </c>
    </row>
    <row r="231" spans="17:22" ht="20.100000000000001" customHeight="1">
      <c r="Q231" s="206" t="str">
        <f t="shared" si="14"/>
        <v/>
      </c>
      <c r="R231" s="213" t="str">
        <f t="shared" si="14"/>
        <v/>
      </c>
      <c r="S231" s="214" t="str">
        <f t="shared" si="14"/>
        <v/>
      </c>
      <c r="T231" s="206" t="str">
        <f t="shared" si="15"/>
        <v/>
      </c>
      <c r="U231" s="206" t="str">
        <f t="shared" si="15"/>
        <v/>
      </c>
      <c r="V231" s="206" t="str">
        <f t="shared" si="15"/>
        <v/>
      </c>
    </row>
    <row r="232" spans="17:22" ht="20.100000000000001" customHeight="1">
      <c r="Q232" s="206" t="str">
        <f t="shared" si="14"/>
        <v/>
      </c>
      <c r="R232" s="213" t="str">
        <f t="shared" si="14"/>
        <v/>
      </c>
      <c r="S232" s="214" t="str">
        <f t="shared" si="14"/>
        <v/>
      </c>
      <c r="T232" s="206" t="str">
        <f t="shared" si="15"/>
        <v/>
      </c>
      <c r="U232" s="206" t="str">
        <f t="shared" si="15"/>
        <v/>
      </c>
      <c r="V232" s="206" t="str">
        <f t="shared" si="15"/>
        <v/>
      </c>
    </row>
    <row r="233" spans="17:22" ht="20.100000000000001" customHeight="1">
      <c r="Q233" s="206" t="str">
        <f t="shared" si="14"/>
        <v/>
      </c>
      <c r="R233" s="213" t="str">
        <f t="shared" si="14"/>
        <v/>
      </c>
      <c r="S233" s="214" t="str">
        <f t="shared" si="14"/>
        <v/>
      </c>
      <c r="T233" s="206" t="str">
        <f t="shared" si="15"/>
        <v/>
      </c>
      <c r="U233" s="206" t="str">
        <f t="shared" si="15"/>
        <v/>
      </c>
      <c r="V233" s="206" t="str">
        <f t="shared" si="15"/>
        <v/>
      </c>
    </row>
    <row r="234" spans="17:22" ht="20.100000000000001" customHeight="1">
      <c r="Q234" s="206" t="str">
        <f t="shared" si="14"/>
        <v/>
      </c>
      <c r="R234" s="213" t="str">
        <f t="shared" si="14"/>
        <v/>
      </c>
      <c r="S234" s="214" t="str">
        <f t="shared" si="14"/>
        <v/>
      </c>
      <c r="T234" s="206" t="str">
        <f t="shared" si="15"/>
        <v/>
      </c>
      <c r="U234" s="206" t="str">
        <f t="shared" si="15"/>
        <v/>
      </c>
      <c r="V234" s="206" t="str">
        <f t="shared" si="15"/>
        <v/>
      </c>
    </row>
    <row r="235" spans="17:22" ht="20.100000000000001" customHeight="1">
      <c r="Q235" s="206" t="str">
        <f t="shared" si="14"/>
        <v/>
      </c>
      <c r="R235" s="213" t="str">
        <f t="shared" si="14"/>
        <v/>
      </c>
      <c r="S235" s="214" t="str">
        <f t="shared" si="14"/>
        <v/>
      </c>
      <c r="T235" s="206" t="str">
        <f t="shared" si="15"/>
        <v/>
      </c>
      <c r="U235" s="206" t="str">
        <f t="shared" si="15"/>
        <v/>
      </c>
      <c r="V235" s="206" t="str">
        <f t="shared" si="15"/>
        <v/>
      </c>
    </row>
    <row r="236" spans="17:22" ht="20.100000000000001" customHeight="1">
      <c r="Q236" s="206" t="str">
        <f t="shared" si="14"/>
        <v/>
      </c>
      <c r="R236" s="213" t="str">
        <f t="shared" si="14"/>
        <v/>
      </c>
      <c r="S236" s="214" t="str">
        <f t="shared" si="14"/>
        <v/>
      </c>
      <c r="T236" s="206" t="str">
        <f t="shared" si="15"/>
        <v/>
      </c>
      <c r="U236" s="206" t="str">
        <f t="shared" si="15"/>
        <v/>
      </c>
      <c r="V236" s="206" t="str">
        <f t="shared" si="15"/>
        <v/>
      </c>
    </row>
    <row r="237" spans="17:22" ht="20.100000000000001" customHeight="1">
      <c r="Q237" s="206" t="str">
        <f t="shared" si="14"/>
        <v/>
      </c>
      <c r="R237" s="213" t="str">
        <f t="shared" si="14"/>
        <v/>
      </c>
      <c r="S237" s="214" t="str">
        <f t="shared" si="14"/>
        <v/>
      </c>
      <c r="T237" s="206" t="str">
        <f t="shared" si="15"/>
        <v/>
      </c>
      <c r="U237" s="206" t="str">
        <f t="shared" si="15"/>
        <v/>
      </c>
      <c r="V237" s="206" t="str">
        <f t="shared" si="15"/>
        <v/>
      </c>
    </row>
    <row r="238" spans="17:22" ht="20.100000000000001" customHeight="1">
      <c r="Q238" s="206" t="str">
        <f t="shared" si="14"/>
        <v/>
      </c>
      <c r="R238" s="213" t="str">
        <f t="shared" si="14"/>
        <v/>
      </c>
      <c r="S238" s="214" t="str">
        <f t="shared" si="14"/>
        <v/>
      </c>
      <c r="T238" s="206" t="str">
        <f t="shared" si="15"/>
        <v/>
      </c>
      <c r="U238" s="206" t="str">
        <f t="shared" si="15"/>
        <v/>
      </c>
      <c r="V238" s="206" t="str">
        <f t="shared" si="15"/>
        <v/>
      </c>
    </row>
    <row r="239" spans="17:22" ht="20.100000000000001" customHeight="1">
      <c r="Q239" s="206" t="str">
        <f t="shared" si="14"/>
        <v/>
      </c>
      <c r="R239" s="213" t="str">
        <f t="shared" si="14"/>
        <v/>
      </c>
      <c r="S239" s="214" t="str">
        <f t="shared" si="14"/>
        <v/>
      </c>
      <c r="T239" s="206" t="str">
        <f t="shared" si="15"/>
        <v/>
      </c>
      <c r="U239" s="206" t="str">
        <f t="shared" si="15"/>
        <v/>
      </c>
      <c r="V239" s="206" t="str">
        <f t="shared" si="15"/>
        <v/>
      </c>
    </row>
    <row r="240" spans="17:22" ht="20.100000000000001" customHeight="1">
      <c r="Q240" s="206" t="str">
        <f t="shared" si="14"/>
        <v/>
      </c>
      <c r="R240" s="213" t="str">
        <f t="shared" si="14"/>
        <v/>
      </c>
      <c r="S240" s="214" t="str">
        <f t="shared" si="14"/>
        <v/>
      </c>
      <c r="T240" s="206" t="str">
        <f t="shared" si="15"/>
        <v/>
      </c>
      <c r="U240" s="206" t="str">
        <f t="shared" si="15"/>
        <v/>
      </c>
      <c r="V240" s="206" t="str">
        <f t="shared" si="15"/>
        <v/>
      </c>
    </row>
    <row r="241" spans="17:22" ht="20.100000000000001" customHeight="1">
      <c r="Q241" s="206" t="str">
        <f t="shared" si="14"/>
        <v/>
      </c>
      <c r="R241" s="213" t="str">
        <f t="shared" si="14"/>
        <v/>
      </c>
      <c r="S241" s="214" t="str">
        <f t="shared" si="14"/>
        <v/>
      </c>
      <c r="T241" s="206" t="str">
        <f t="shared" si="15"/>
        <v/>
      </c>
      <c r="U241" s="206" t="str">
        <f t="shared" si="15"/>
        <v/>
      </c>
      <c r="V241" s="206" t="str">
        <f t="shared" si="15"/>
        <v/>
      </c>
    </row>
    <row r="242" spans="17:22" ht="20.100000000000001" customHeight="1">
      <c r="Q242" s="206" t="str">
        <f t="shared" si="14"/>
        <v/>
      </c>
      <c r="R242" s="213" t="str">
        <f t="shared" si="14"/>
        <v/>
      </c>
      <c r="S242" s="214" t="str">
        <f t="shared" si="14"/>
        <v/>
      </c>
      <c r="T242" s="206" t="str">
        <f t="shared" si="15"/>
        <v/>
      </c>
      <c r="U242" s="206" t="str">
        <f t="shared" si="15"/>
        <v/>
      </c>
      <c r="V242" s="206" t="str">
        <f t="shared" si="15"/>
        <v/>
      </c>
    </row>
    <row r="243" spans="17:22" ht="20.100000000000001" customHeight="1">
      <c r="Q243" s="206" t="str">
        <f t="shared" si="14"/>
        <v/>
      </c>
      <c r="R243" s="213" t="str">
        <f t="shared" si="14"/>
        <v/>
      </c>
      <c r="S243" s="214" t="str">
        <f t="shared" si="14"/>
        <v/>
      </c>
      <c r="T243" s="206" t="str">
        <f t="shared" si="15"/>
        <v/>
      </c>
      <c r="U243" s="206" t="str">
        <f t="shared" si="15"/>
        <v/>
      </c>
      <c r="V243" s="206" t="str">
        <f t="shared" si="15"/>
        <v/>
      </c>
    </row>
    <row r="244" spans="17:22" ht="20.100000000000001" customHeight="1">
      <c r="Q244" s="206" t="str">
        <f t="shared" si="14"/>
        <v/>
      </c>
      <c r="R244" s="213" t="str">
        <f t="shared" si="14"/>
        <v/>
      </c>
      <c r="S244" s="214" t="str">
        <f t="shared" si="14"/>
        <v/>
      </c>
      <c r="T244" s="206" t="str">
        <f t="shared" si="15"/>
        <v/>
      </c>
      <c r="U244" s="206" t="str">
        <f t="shared" si="15"/>
        <v/>
      </c>
      <c r="V244" s="206" t="str">
        <f t="shared" si="15"/>
        <v/>
      </c>
    </row>
    <row r="245" spans="17:22" ht="20.100000000000001" customHeight="1">
      <c r="Q245" s="206" t="str">
        <f t="shared" si="14"/>
        <v/>
      </c>
      <c r="R245" s="213" t="str">
        <f t="shared" si="14"/>
        <v/>
      </c>
      <c r="S245" s="214" t="str">
        <f t="shared" si="14"/>
        <v/>
      </c>
      <c r="T245" s="206" t="str">
        <f t="shared" si="15"/>
        <v/>
      </c>
      <c r="U245" s="206" t="str">
        <f t="shared" si="15"/>
        <v/>
      </c>
      <c r="V245" s="206" t="str">
        <f t="shared" si="15"/>
        <v/>
      </c>
    </row>
    <row r="246" spans="17:22" ht="20.100000000000001" customHeight="1">
      <c r="Q246" s="206" t="str">
        <f t="shared" si="14"/>
        <v/>
      </c>
      <c r="R246" s="213" t="str">
        <f t="shared" si="14"/>
        <v/>
      </c>
      <c r="S246" s="214" t="str">
        <f t="shared" si="14"/>
        <v/>
      </c>
      <c r="T246" s="206" t="str">
        <f t="shared" si="15"/>
        <v/>
      </c>
      <c r="U246" s="206" t="str">
        <f t="shared" si="15"/>
        <v/>
      </c>
      <c r="V246" s="206" t="str">
        <f t="shared" si="15"/>
        <v/>
      </c>
    </row>
    <row r="247" spans="17:22" ht="20.100000000000001" customHeight="1">
      <c r="Q247" s="206" t="str">
        <f t="shared" si="14"/>
        <v/>
      </c>
      <c r="R247" s="213" t="str">
        <f t="shared" si="14"/>
        <v/>
      </c>
      <c r="S247" s="214" t="str">
        <f t="shared" si="14"/>
        <v/>
      </c>
      <c r="T247" s="206" t="str">
        <f t="shared" si="15"/>
        <v/>
      </c>
      <c r="U247" s="206" t="str">
        <f t="shared" si="15"/>
        <v/>
      </c>
      <c r="V247" s="206" t="str">
        <f t="shared" si="15"/>
        <v/>
      </c>
    </row>
    <row r="248" spans="17:22" ht="20.100000000000001" customHeight="1">
      <c r="Q248" s="206" t="str">
        <f t="shared" si="14"/>
        <v/>
      </c>
      <c r="R248" s="213" t="str">
        <f t="shared" si="14"/>
        <v/>
      </c>
      <c r="S248" s="214" t="str">
        <f t="shared" si="14"/>
        <v/>
      </c>
      <c r="T248" s="206" t="str">
        <f t="shared" si="15"/>
        <v/>
      </c>
      <c r="U248" s="206" t="str">
        <f t="shared" si="15"/>
        <v/>
      </c>
      <c r="V248" s="206" t="str">
        <f t="shared" si="15"/>
        <v/>
      </c>
    </row>
    <row r="249" spans="17:22" ht="20.100000000000001" customHeight="1">
      <c r="Q249" s="206" t="str">
        <f t="shared" si="14"/>
        <v/>
      </c>
      <c r="R249" s="213" t="str">
        <f t="shared" si="14"/>
        <v/>
      </c>
      <c r="S249" s="214" t="str">
        <f t="shared" si="14"/>
        <v/>
      </c>
      <c r="T249" s="206" t="str">
        <f t="shared" si="15"/>
        <v/>
      </c>
      <c r="U249" s="206" t="str">
        <f t="shared" si="15"/>
        <v/>
      </c>
      <c r="V249" s="206" t="str">
        <f t="shared" si="15"/>
        <v/>
      </c>
    </row>
    <row r="250" spans="17:22" ht="20.100000000000001" customHeight="1">
      <c r="Q250" s="206" t="str">
        <f t="shared" si="14"/>
        <v/>
      </c>
      <c r="R250" s="213" t="str">
        <f t="shared" si="14"/>
        <v/>
      </c>
      <c r="S250" s="214" t="str">
        <f t="shared" si="14"/>
        <v/>
      </c>
      <c r="T250" s="206" t="str">
        <f t="shared" si="15"/>
        <v/>
      </c>
      <c r="U250" s="206" t="str">
        <f t="shared" si="15"/>
        <v/>
      </c>
      <c r="V250" s="206" t="str">
        <f t="shared" si="15"/>
        <v/>
      </c>
    </row>
    <row r="251" spans="17:22" ht="20.100000000000001" customHeight="1">
      <c r="Q251" s="206" t="str">
        <f t="shared" si="14"/>
        <v/>
      </c>
      <c r="R251" s="213" t="str">
        <f t="shared" si="14"/>
        <v/>
      </c>
      <c r="S251" s="214" t="str">
        <f t="shared" si="14"/>
        <v/>
      </c>
      <c r="T251" s="206" t="str">
        <f t="shared" si="15"/>
        <v/>
      </c>
      <c r="U251" s="206" t="str">
        <f t="shared" si="15"/>
        <v/>
      </c>
      <c r="V251" s="206" t="str">
        <f t="shared" si="15"/>
        <v/>
      </c>
    </row>
    <row r="252" spans="17:22" ht="20.100000000000001" customHeight="1">
      <c r="Q252" s="206" t="str">
        <f t="shared" si="14"/>
        <v/>
      </c>
      <c r="R252" s="213" t="str">
        <f t="shared" si="14"/>
        <v/>
      </c>
      <c r="S252" s="214" t="str">
        <f t="shared" si="14"/>
        <v/>
      </c>
      <c r="T252" s="206" t="str">
        <f t="shared" si="15"/>
        <v/>
      </c>
      <c r="U252" s="206" t="str">
        <f t="shared" si="15"/>
        <v/>
      </c>
      <c r="V252" s="206" t="str">
        <f t="shared" si="15"/>
        <v/>
      </c>
    </row>
    <row r="253" spans="17:22" ht="20.100000000000001" customHeight="1">
      <c r="Q253" s="206" t="str">
        <f t="shared" si="14"/>
        <v/>
      </c>
      <c r="R253" s="213" t="str">
        <f t="shared" si="14"/>
        <v/>
      </c>
      <c r="S253" s="214" t="str">
        <f t="shared" si="14"/>
        <v/>
      </c>
      <c r="T253" s="206" t="str">
        <f t="shared" si="15"/>
        <v/>
      </c>
      <c r="U253" s="206" t="str">
        <f t="shared" si="15"/>
        <v/>
      </c>
      <c r="V253" s="206" t="str">
        <f t="shared" si="15"/>
        <v/>
      </c>
    </row>
    <row r="254" spans="17:22" ht="20.100000000000001" customHeight="1">
      <c r="Q254" s="206" t="str">
        <f t="shared" si="14"/>
        <v/>
      </c>
      <c r="R254" s="213" t="str">
        <f t="shared" si="14"/>
        <v/>
      </c>
      <c r="S254" s="214" t="str">
        <f t="shared" si="14"/>
        <v/>
      </c>
      <c r="T254" s="206" t="str">
        <f t="shared" si="15"/>
        <v/>
      </c>
      <c r="U254" s="206" t="str">
        <f t="shared" si="15"/>
        <v/>
      </c>
      <c r="V254" s="206" t="str">
        <f t="shared" si="15"/>
        <v/>
      </c>
    </row>
    <row r="255" spans="17:22" ht="20.100000000000001" customHeight="1">
      <c r="Q255" s="206" t="str">
        <f t="shared" si="14"/>
        <v/>
      </c>
      <c r="R255" s="213" t="str">
        <f t="shared" si="14"/>
        <v/>
      </c>
      <c r="S255" s="214" t="str">
        <f t="shared" si="14"/>
        <v/>
      </c>
      <c r="T255" s="206" t="str">
        <f t="shared" si="15"/>
        <v/>
      </c>
      <c r="U255" s="206" t="str">
        <f t="shared" si="15"/>
        <v/>
      </c>
      <c r="V255" s="206" t="str">
        <f t="shared" si="15"/>
        <v/>
      </c>
    </row>
    <row r="256" spans="17:22" ht="20.100000000000001" customHeight="1">
      <c r="Q256" s="206" t="str">
        <f t="shared" si="14"/>
        <v/>
      </c>
      <c r="R256" s="213" t="str">
        <f t="shared" si="14"/>
        <v/>
      </c>
      <c r="S256" s="214" t="str">
        <f t="shared" si="14"/>
        <v/>
      </c>
      <c r="T256" s="206" t="str">
        <f t="shared" si="15"/>
        <v/>
      </c>
      <c r="U256" s="206" t="str">
        <f t="shared" si="15"/>
        <v/>
      </c>
      <c r="V256" s="206" t="str">
        <f t="shared" si="15"/>
        <v/>
      </c>
    </row>
    <row r="257" spans="17:22" ht="20.100000000000001" customHeight="1">
      <c r="Q257" s="206" t="str">
        <f t="shared" si="14"/>
        <v/>
      </c>
      <c r="R257" s="213" t="str">
        <f t="shared" si="14"/>
        <v/>
      </c>
      <c r="S257" s="214" t="str">
        <f t="shared" si="14"/>
        <v/>
      </c>
      <c r="T257" s="206" t="str">
        <f t="shared" si="15"/>
        <v/>
      </c>
      <c r="U257" s="206" t="str">
        <f t="shared" si="15"/>
        <v/>
      </c>
      <c r="V257" s="206" t="str">
        <f t="shared" si="15"/>
        <v/>
      </c>
    </row>
    <row r="258" spans="17:22" ht="20.100000000000001" customHeight="1">
      <c r="Q258" s="206" t="str">
        <f t="shared" si="14"/>
        <v/>
      </c>
      <c r="R258" s="213" t="str">
        <f t="shared" si="14"/>
        <v/>
      </c>
      <c r="S258" s="214" t="str">
        <f t="shared" si="14"/>
        <v/>
      </c>
      <c r="T258" s="206" t="str">
        <f t="shared" si="15"/>
        <v/>
      </c>
      <c r="U258" s="206" t="str">
        <f t="shared" si="15"/>
        <v/>
      </c>
      <c r="V258" s="206" t="str">
        <f t="shared" si="15"/>
        <v/>
      </c>
    </row>
    <row r="259" spans="17:22" ht="20.100000000000001" customHeight="1">
      <c r="Q259" s="206" t="str">
        <f t="shared" si="14"/>
        <v/>
      </c>
      <c r="R259" s="213" t="str">
        <f t="shared" si="14"/>
        <v/>
      </c>
      <c r="S259" s="214" t="str">
        <f t="shared" si="14"/>
        <v/>
      </c>
      <c r="T259" s="206" t="str">
        <f t="shared" si="15"/>
        <v/>
      </c>
      <c r="U259" s="206" t="str">
        <f t="shared" si="15"/>
        <v/>
      </c>
      <c r="V259" s="206" t="str">
        <f t="shared" si="15"/>
        <v/>
      </c>
    </row>
    <row r="260" spans="17:22" ht="20.100000000000001" customHeight="1">
      <c r="Q260" s="206" t="str">
        <f t="shared" si="14"/>
        <v/>
      </c>
      <c r="R260" s="213" t="str">
        <f t="shared" si="14"/>
        <v/>
      </c>
      <c r="S260" s="214" t="str">
        <f t="shared" si="14"/>
        <v/>
      </c>
      <c r="T260" s="206" t="str">
        <f t="shared" si="15"/>
        <v/>
      </c>
      <c r="U260" s="206" t="str">
        <f t="shared" si="15"/>
        <v/>
      </c>
      <c r="V260" s="206" t="str">
        <f t="shared" si="15"/>
        <v/>
      </c>
    </row>
    <row r="261" spans="17:22" ht="20.100000000000001" customHeight="1">
      <c r="Q261" s="206" t="str">
        <f t="shared" si="14"/>
        <v/>
      </c>
      <c r="R261" s="213" t="str">
        <f t="shared" si="14"/>
        <v/>
      </c>
      <c r="S261" s="214" t="str">
        <f t="shared" si="14"/>
        <v/>
      </c>
      <c r="T261" s="206" t="str">
        <f t="shared" si="15"/>
        <v/>
      </c>
      <c r="U261" s="206" t="str">
        <f t="shared" si="15"/>
        <v/>
      </c>
      <c r="V261" s="206" t="str">
        <f t="shared" si="15"/>
        <v/>
      </c>
    </row>
    <row r="262" spans="17:22" ht="20.100000000000001" customHeight="1">
      <c r="Q262" s="206" t="str">
        <f t="shared" si="14"/>
        <v/>
      </c>
      <c r="R262" s="213" t="str">
        <f t="shared" si="14"/>
        <v/>
      </c>
      <c r="S262" s="214" t="str">
        <f t="shared" si="14"/>
        <v/>
      </c>
      <c r="T262" s="206" t="str">
        <f t="shared" si="15"/>
        <v/>
      </c>
      <c r="U262" s="206" t="str">
        <f t="shared" si="15"/>
        <v/>
      </c>
      <c r="V262" s="206" t="str">
        <f t="shared" si="15"/>
        <v/>
      </c>
    </row>
    <row r="263" spans="17:22" ht="20.100000000000001" customHeight="1">
      <c r="Q263" s="206" t="str">
        <f t="shared" si="14"/>
        <v/>
      </c>
      <c r="R263" s="213" t="str">
        <f t="shared" si="14"/>
        <v/>
      </c>
      <c r="S263" s="214" t="str">
        <f t="shared" si="14"/>
        <v/>
      </c>
      <c r="T263" s="206" t="str">
        <f t="shared" si="15"/>
        <v/>
      </c>
      <c r="U263" s="206" t="str">
        <f t="shared" si="15"/>
        <v/>
      </c>
      <c r="V263" s="206" t="str">
        <f t="shared" si="15"/>
        <v/>
      </c>
    </row>
    <row r="264" spans="17:22" ht="20.100000000000001" customHeight="1">
      <c r="Q264" s="206" t="str">
        <f t="shared" si="14"/>
        <v/>
      </c>
      <c r="R264" s="213" t="str">
        <f t="shared" si="14"/>
        <v/>
      </c>
      <c r="S264" s="214" t="str">
        <f t="shared" si="14"/>
        <v/>
      </c>
      <c r="T264" s="206" t="str">
        <f t="shared" si="15"/>
        <v/>
      </c>
      <c r="U264" s="206" t="str">
        <f t="shared" si="15"/>
        <v/>
      </c>
      <c r="V264" s="206" t="str">
        <f t="shared" si="15"/>
        <v/>
      </c>
    </row>
    <row r="265" spans="17:22" ht="20.100000000000001" customHeight="1">
      <c r="Q265" s="206" t="str">
        <f t="shared" ref="Q265:S328" si="16">IF(NOT(ISBLANK(G265)),"■","")</f>
        <v/>
      </c>
      <c r="R265" s="213" t="str">
        <f t="shared" si="16"/>
        <v/>
      </c>
      <c r="S265" s="214" t="str">
        <f t="shared" si="16"/>
        <v/>
      </c>
      <c r="T265" s="206" t="str">
        <f t="shared" ref="T265:V328" si="17">IF(NOT(ISBLANK(J265)),"*","")</f>
        <v/>
      </c>
      <c r="U265" s="206" t="str">
        <f t="shared" si="17"/>
        <v/>
      </c>
      <c r="V265" s="206" t="str">
        <f t="shared" si="17"/>
        <v/>
      </c>
    </row>
    <row r="266" spans="17:22" ht="20.100000000000001" customHeight="1">
      <c r="Q266" s="206" t="str">
        <f t="shared" si="16"/>
        <v/>
      </c>
      <c r="R266" s="213" t="str">
        <f t="shared" si="16"/>
        <v/>
      </c>
      <c r="S266" s="214" t="str">
        <f t="shared" si="16"/>
        <v/>
      </c>
      <c r="T266" s="206" t="str">
        <f t="shared" si="17"/>
        <v/>
      </c>
      <c r="U266" s="206" t="str">
        <f t="shared" si="17"/>
        <v/>
      </c>
      <c r="V266" s="206" t="str">
        <f t="shared" si="17"/>
        <v/>
      </c>
    </row>
    <row r="267" spans="17:22" ht="20.100000000000001" customHeight="1">
      <c r="Q267" s="206" t="str">
        <f t="shared" si="16"/>
        <v/>
      </c>
      <c r="R267" s="213" t="str">
        <f t="shared" si="16"/>
        <v/>
      </c>
      <c r="S267" s="214" t="str">
        <f t="shared" si="16"/>
        <v/>
      </c>
      <c r="T267" s="206" t="str">
        <f t="shared" si="17"/>
        <v/>
      </c>
      <c r="U267" s="206" t="str">
        <f t="shared" si="17"/>
        <v/>
      </c>
      <c r="V267" s="206" t="str">
        <f t="shared" si="17"/>
        <v/>
      </c>
    </row>
    <row r="268" spans="17:22" ht="20.100000000000001" customHeight="1">
      <c r="Q268" s="206" t="str">
        <f t="shared" si="16"/>
        <v/>
      </c>
      <c r="R268" s="213" t="str">
        <f t="shared" si="16"/>
        <v/>
      </c>
      <c r="S268" s="214" t="str">
        <f t="shared" si="16"/>
        <v/>
      </c>
      <c r="T268" s="206" t="str">
        <f t="shared" si="17"/>
        <v/>
      </c>
      <c r="U268" s="206" t="str">
        <f t="shared" si="17"/>
        <v/>
      </c>
      <c r="V268" s="206" t="str">
        <f t="shared" si="17"/>
        <v/>
      </c>
    </row>
    <row r="269" spans="17:22" ht="20.100000000000001" customHeight="1">
      <c r="Q269" s="206" t="str">
        <f t="shared" si="16"/>
        <v/>
      </c>
      <c r="R269" s="213" t="str">
        <f t="shared" si="16"/>
        <v/>
      </c>
      <c r="S269" s="214" t="str">
        <f t="shared" si="16"/>
        <v/>
      </c>
      <c r="T269" s="206" t="str">
        <f t="shared" si="17"/>
        <v/>
      </c>
      <c r="U269" s="206" t="str">
        <f t="shared" si="17"/>
        <v/>
      </c>
      <c r="V269" s="206" t="str">
        <f t="shared" si="17"/>
        <v/>
      </c>
    </row>
    <row r="270" spans="17:22" ht="20.100000000000001" customHeight="1">
      <c r="Q270" s="206" t="str">
        <f t="shared" si="16"/>
        <v/>
      </c>
      <c r="R270" s="213" t="str">
        <f t="shared" si="16"/>
        <v/>
      </c>
      <c r="S270" s="214" t="str">
        <f t="shared" si="16"/>
        <v/>
      </c>
      <c r="T270" s="206" t="str">
        <f t="shared" si="17"/>
        <v/>
      </c>
      <c r="U270" s="206" t="str">
        <f t="shared" si="17"/>
        <v/>
      </c>
      <c r="V270" s="206" t="str">
        <f t="shared" si="17"/>
        <v/>
      </c>
    </row>
    <row r="271" spans="17:22" ht="20.100000000000001" customHeight="1">
      <c r="Q271" s="206" t="str">
        <f t="shared" si="16"/>
        <v/>
      </c>
      <c r="R271" s="213" t="str">
        <f t="shared" si="16"/>
        <v/>
      </c>
      <c r="S271" s="214" t="str">
        <f t="shared" si="16"/>
        <v/>
      </c>
      <c r="T271" s="206" t="str">
        <f t="shared" si="17"/>
        <v/>
      </c>
      <c r="U271" s="206" t="str">
        <f t="shared" si="17"/>
        <v/>
      </c>
      <c r="V271" s="206" t="str">
        <f t="shared" si="17"/>
        <v/>
      </c>
    </row>
    <row r="272" spans="17:22" ht="20.100000000000001" customHeight="1">
      <c r="Q272" s="206" t="str">
        <f t="shared" si="16"/>
        <v/>
      </c>
      <c r="R272" s="213" t="str">
        <f t="shared" si="16"/>
        <v/>
      </c>
      <c r="S272" s="214" t="str">
        <f t="shared" si="16"/>
        <v/>
      </c>
      <c r="T272" s="206" t="str">
        <f t="shared" si="17"/>
        <v/>
      </c>
      <c r="U272" s="206" t="str">
        <f t="shared" si="17"/>
        <v/>
      </c>
      <c r="V272" s="206" t="str">
        <f t="shared" si="17"/>
        <v/>
      </c>
    </row>
    <row r="273" spans="17:22" ht="20.100000000000001" customHeight="1">
      <c r="Q273" s="206" t="str">
        <f t="shared" si="16"/>
        <v/>
      </c>
      <c r="R273" s="213" t="str">
        <f t="shared" si="16"/>
        <v/>
      </c>
      <c r="S273" s="214" t="str">
        <f t="shared" si="16"/>
        <v/>
      </c>
      <c r="T273" s="206" t="str">
        <f t="shared" si="17"/>
        <v/>
      </c>
      <c r="U273" s="206" t="str">
        <f t="shared" si="17"/>
        <v/>
      </c>
      <c r="V273" s="206" t="str">
        <f t="shared" si="17"/>
        <v/>
      </c>
    </row>
    <row r="274" spans="17:22" ht="20.100000000000001" customHeight="1">
      <c r="Q274" s="206" t="str">
        <f t="shared" si="16"/>
        <v/>
      </c>
      <c r="R274" s="213" t="str">
        <f t="shared" si="16"/>
        <v/>
      </c>
      <c r="S274" s="214" t="str">
        <f t="shared" si="16"/>
        <v/>
      </c>
      <c r="T274" s="206" t="str">
        <f t="shared" si="17"/>
        <v/>
      </c>
      <c r="U274" s="206" t="str">
        <f t="shared" si="17"/>
        <v/>
      </c>
      <c r="V274" s="206" t="str">
        <f t="shared" si="17"/>
        <v/>
      </c>
    </row>
    <row r="275" spans="17:22" ht="20.100000000000001" customHeight="1">
      <c r="Q275" s="206" t="str">
        <f t="shared" si="16"/>
        <v/>
      </c>
      <c r="R275" s="213" t="str">
        <f t="shared" si="16"/>
        <v/>
      </c>
      <c r="S275" s="214" t="str">
        <f t="shared" si="16"/>
        <v/>
      </c>
      <c r="T275" s="206" t="str">
        <f t="shared" si="17"/>
        <v/>
      </c>
      <c r="U275" s="206" t="str">
        <f t="shared" si="17"/>
        <v/>
      </c>
      <c r="V275" s="206" t="str">
        <f t="shared" si="17"/>
        <v/>
      </c>
    </row>
    <row r="276" spans="17:22" ht="20.100000000000001" customHeight="1">
      <c r="Q276" s="206" t="str">
        <f t="shared" si="16"/>
        <v/>
      </c>
      <c r="R276" s="213" t="str">
        <f t="shared" si="16"/>
        <v/>
      </c>
      <c r="S276" s="214" t="str">
        <f t="shared" si="16"/>
        <v/>
      </c>
      <c r="T276" s="206" t="str">
        <f t="shared" si="17"/>
        <v/>
      </c>
      <c r="U276" s="206" t="str">
        <f t="shared" si="17"/>
        <v/>
      </c>
      <c r="V276" s="206" t="str">
        <f t="shared" si="17"/>
        <v/>
      </c>
    </row>
    <row r="277" spans="17:22" ht="20.100000000000001" customHeight="1">
      <c r="Q277" s="206" t="str">
        <f t="shared" si="16"/>
        <v/>
      </c>
      <c r="R277" s="213" t="str">
        <f t="shared" si="16"/>
        <v/>
      </c>
      <c r="S277" s="214" t="str">
        <f t="shared" si="16"/>
        <v/>
      </c>
      <c r="T277" s="206" t="str">
        <f t="shared" si="17"/>
        <v/>
      </c>
      <c r="U277" s="206" t="str">
        <f t="shared" si="17"/>
        <v/>
      </c>
      <c r="V277" s="206" t="str">
        <f t="shared" si="17"/>
        <v/>
      </c>
    </row>
    <row r="278" spans="17:22" ht="20.100000000000001" customHeight="1">
      <c r="Q278" s="206" t="str">
        <f t="shared" si="16"/>
        <v/>
      </c>
      <c r="R278" s="213" t="str">
        <f t="shared" si="16"/>
        <v/>
      </c>
      <c r="S278" s="214" t="str">
        <f t="shared" si="16"/>
        <v/>
      </c>
      <c r="T278" s="206" t="str">
        <f t="shared" si="17"/>
        <v/>
      </c>
      <c r="U278" s="206" t="str">
        <f t="shared" si="17"/>
        <v/>
      </c>
      <c r="V278" s="206" t="str">
        <f t="shared" si="17"/>
        <v/>
      </c>
    </row>
    <row r="279" spans="17:22" ht="20.100000000000001" customHeight="1">
      <c r="Q279" s="206" t="str">
        <f t="shared" si="16"/>
        <v/>
      </c>
      <c r="R279" s="213" t="str">
        <f t="shared" si="16"/>
        <v/>
      </c>
      <c r="S279" s="214" t="str">
        <f t="shared" si="16"/>
        <v/>
      </c>
      <c r="T279" s="206" t="str">
        <f t="shared" si="17"/>
        <v/>
      </c>
      <c r="U279" s="206" t="str">
        <f t="shared" si="17"/>
        <v/>
      </c>
      <c r="V279" s="206" t="str">
        <f t="shared" si="17"/>
        <v/>
      </c>
    </row>
    <row r="280" spans="17:22" ht="20.100000000000001" customHeight="1">
      <c r="Q280" s="206" t="str">
        <f t="shared" si="16"/>
        <v/>
      </c>
      <c r="R280" s="213" t="str">
        <f t="shared" si="16"/>
        <v/>
      </c>
      <c r="S280" s="214" t="str">
        <f t="shared" si="16"/>
        <v/>
      </c>
      <c r="T280" s="206" t="str">
        <f t="shared" si="17"/>
        <v/>
      </c>
      <c r="U280" s="206" t="str">
        <f t="shared" si="17"/>
        <v/>
      </c>
      <c r="V280" s="206" t="str">
        <f t="shared" si="17"/>
        <v/>
      </c>
    </row>
    <row r="281" spans="17:22" ht="20.100000000000001" customHeight="1">
      <c r="Q281" s="206" t="str">
        <f t="shared" si="16"/>
        <v/>
      </c>
      <c r="R281" s="213" t="str">
        <f t="shared" si="16"/>
        <v/>
      </c>
      <c r="S281" s="214" t="str">
        <f t="shared" si="16"/>
        <v/>
      </c>
      <c r="T281" s="206" t="str">
        <f t="shared" si="17"/>
        <v/>
      </c>
      <c r="U281" s="206" t="str">
        <f t="shared" si="17"/>
        <v/>
      </c>
      <c r="V281" s="206" t="str">
        <f t="shared" si="17"/>
        <v/>
      </c>
    </row>
    <row r="282" spans="17:22" ht="20.100000000000001" customHeight="1">
      <c r="Q282" s="206" t="str">
        <f t="shared" si="16"/>
        <v/>
      </c>
      <c r="R282" s="213" t="str">
        <f t="shared" si="16"/>
        <v/>
      </c>
      <c r="S282" s="214" t="str">
        <f t="shared" si="16"/>
        <v/>
      </c>
      <c r="T282" s="206" t="str">
        <f t="shared" si="17"/>
        <v/>
      </c>
      <c r="U282" s="206" t="str">
        <f t="shared" si="17"/>
        <v/>
      </c>
      <c r="V282" s="206" t="str">
        <f t="shared" si="17"/>
        <v/>
      </c>
    </row>
    <row r="283" spans="17:22" ht="20.100000000000001" customHeight="1">
      <c r="Q283" s="206" t="str">
        <f t="shared" si="16"/>
        <v/>
      </c>
      <c r="R283" s="213" t="str">
        <f t="shared" si="16"/>
        <v/>
      </c>
      <c r="S283" s="214" t="str">
        <f t="shared" si="16"/>
        <v/>
      </c>
      <c r="T283" s="206" t="str">
        <f t="shared" si="17"/>
        <v/>
      </c>
      <c r="U283" s="206" t="str">
        <f t="shared" si="17"/>
        <v/>
      </c>
      <c r="V283" s="206" t="str">
        <f t="shared" si="17"/>
        <v/>
      </c>
    </row>
    <row r="284" spans="17:22" ht="20.100000000000001" customHeight="1">
      <c r="Q284" s="206" t="str">
        <f t="shared" si="16"/>
        <v/>
      </c>
      <c r="R284" s="213" t="str">
        <f t="shared" si="16"/>
        <v/>
      </c>
      <c r="S284" s="214" t="str">
        <f t="shared" si="16"/>
        <v/>
      </c>
      <c r="T284" s="206" t="str">
        <f t="shared" si="17"/>
        <v/>
      </c>
      <c r="U284" s="206" t="str">
        <f t="shared" si="17"/>
        <v/>
      </c>
      <c r="V284" s="206" t="str">
        <f t="shared" si="17"/>
        <v/>
      </c>
    </row>
    <row r="285" spans="17:22" ht="20.100000000000001" customHeight="1">
      <c r="Q285" s="206" t="str">
        <f t="shared" si="16"/>
        <v/>
      </c>
      <c r="R285" s="213" t="str">
        <f t="shared" si="16"/>
        <v/>
      </c>
      <c r="S285" s="214" t="str">
        <f t="shared" si="16"/>
        <v/>
      </c>
      <c r="T285" s="206" t="str">
        <f t="shared" si="17"/>
        <v/>
      </c>
      <c r="U285" s="206" t="str">
        <f t="shared" si="17"/>
        <v/>
      </c>
      <c r="V285" s="206" t="str">
        <f t="shared" si="17"/>
        <v/>
      </c>
    </row>
    <row r="286" spans="17:22" ht="20.100000000000001" customHeight="1">
      <c r="Q286" s="206" t="str">
        <f t="shared" si="16"/>
        <v/>
      </c>
      <c r="R286" s="213" t="str">
        <f t="shared" si="16"/>
        <v/>
      </c>
      <c r="S286" s="214" t="str">
        <f t="shared" si="16"/>
        <v/>
      </c>
      <c r="T286" s="206" t="str">
        <f t="shared" si="17"/>
        <v/>
      </c>
      <c r="U286" s="206" t="str">
        <f t="shared" si="17"/>
        <v/>
      </c>
      <c r="V286" s="206" t="str">
        <f t="shared" si="17"/>
        <v/>
      </c>
    </row>
    <row r="287" spans="17:22" ht="20.100000000000001" customHeight="1">
      <c r="Q287" s="206" t="str">
        <f t="shared" si="16"/>
        <v/>
      </c>
      <c r="R287" s="213" t="str">
        <f t="shared" si="16"/>
        <v/>
      </c>
      <c r="S287" s="214" t="str">
        <f t="shared" si="16"/>
        <v/>
      </c>
      <c r="T287" s="206" t="str">
        <f t="shared" si="17"/>
        <v/>
      </c>
      <c r="U287" s="206" t="str">
        <f t="shared" si="17"/>
        <v/>
      </c>
      <c r="V287" s="206" t="str">
        <f t="shared" si="17"/>
        <v/>
      </c>
    </row>
    <row r="288" spans="17:22" ht="20.100000000000001" customHeight="1">
      <c r="Q288" s="206" t="str">
        <f t="shared" si="16"/>
        <v/>
      </c>
      <c r="R288" s="213" t="str">
        <f t="shared" si="16"/>
        <v/>
      </c>
      <c r="S288" s="214" t="str">
        <f t="shared" si="16"/>
        <v/>
      </c>
      <c r="T288" s="206" t="str">
        <f t="shared" si="17"/>
        <v/>
      </c>
      <c r="U288" s="206" t="str">
        <f t="shared" si="17"/>
        <v/>
      </c>
      <c r="V288" s="206" t="str">
        <f t="shared" si="17"/>
        <v/>
      </c>
    </row>
    <row r="289" spans="17:22" ht="20.100000000000001" customHeight="1">
      <c r="Q289" s="206" t="str">
        <f t="shared" si="16"/>
        <v/>
      </c>
      <c r="R289" s="213" t="str">
        <f t="shared" si="16"/>
        <v/>
      </c>
      <c r="S289" s="214" t="str">
        <f t="shared" si="16"/>
        <v/>
      </c>
      <c r="T289" s="206" t="str">
        <f t="shared" si="17"/>
        <v/>
      </c>
      <c r="U289" s="206" t="str">
        <f t="shared" si="17"/>
        <v/>
      </c>
      <c r="V289" s="206" t="str">
        <f t="shared" si="17"/>
        <v/>
      </c>
    </row>
    <row r="290" spans="17:22" ht="20.100000000000001" customHeight="1">
      <c r="Q290" s="206" t="str">
        <f t="shared" si="16"/>
        <v/>
      </c>
      <c r="R290" s="213" t="str">
        <f t="shared" si="16"/>
        <v/>
      </c>
      <c r="S290" s="214" t="str">
        <f t="shared" si="16"/>
        <v/>
      </c>
      <c r="T290" s="206" t="str">
        <f t="shared" si="17"/>
        <v/>
      </c>
      <c r="U290" s="206" t="str">
        <f t="shared" si="17"/>
        <v/>
      </c>
      <c r="V290" s="206" t="str">
        <f t="shared" si="17"/>
        <v/>
      </c>
    </row>
    <row r="291" spans="17:22" ht="20.100000000000001" customHeight="1">
      <c r="Q291" s="206" t="str">
        <f t="shared" si="16"/>
        <v/>
      </c>
      <c r="R291" s="213" t="str">
        <f t="shared" si="16"/>
        <v/>
      </c>
      <c r="S291" s="214" t="str">
        <f t="shared" si="16"/>
        <v/>
      </c>
      <c r="T291" s="206" t="str">
        <f t="shared" si="17"/>
        <v/>
      </c>
      <c r="U291" s="206" t="str">
        <f t="shared" si="17"/>
        <v/>
      </c>
      <c r="V291" s="206" t="str">
        <f t="shared" si="17"/>
        <v/>
      </c>
    </row>
    <row r="292" spans="17:22" ht="20.100000000000001" customHeight="1">
      <c r="Q292" s="206" t="str">
        <f t="shared" si="16"/>
        <v/>
      </c>
      <c r="R292" s="213" t="str">
        <f t="shared" si="16"/>
        <v/>
      </c>
      <c r="S292" s="214" t="str">
        <f t="shared" si="16"/>
        <v/>
      </c>
      <c r="T292" s="206" t="str">
        <f t="shared" si="17"/>
        <v/>
      </c>
      <c r="U292" s="206" t="str">
        <f t="shared" si="17"/>
        <v/>
      </c>
      <c r="V292" s="206" t="str">
        <f t="shared" si="17"/>
        <v/>
      </c>
    </row>
    <row r="293" spans="17:22" ht="20.100000000000001" customHeight="1">
      <c r="Q293" s="206" t="str">
        <f t="shared" si="16"/>
        <v/>
      </c>
      <c r="R293" s="213" t="str">
        <f t="shared" si="16"/>
        <v/>
      </c>
      <c r="S293" s="214" t="str">
        <f t="shared" si="16"/>
        <v/>
      </c>
      <c r="T293" s="206" t="str">
        <f t="shared" si="17"/>
        <v/>
      </c>
      <c r="U293" s="206" t="str">
        <f t="shared" si="17"/>
        <v/>
      </c>
      <c r="V293" s="206" t="str">
        <f t="shared" si="17"/>
        <v/>
      </c>
    </row>
    <row r="294" spans="17:22" ht="20.100000000000001" customHeight="1">
      <c r="Q294" s="206" t="str">
        <f t="shared" si="16"/>
        <v/>
      </c>
      <c r="R294" s="213" t="str">
        <f t="shared" si="16"/>
        <v/>
      </c>
      <c r="S294" s="214" t="str">
        <f t="shared" si="16"/>
        <v/>
      </c>
      <c r="T294" s="206" t="str">
        <f t="shared" si="17"/>
        <v/>
      </c>
      <c r="U294" s="206" t="str">
        <f t="shared" si="17"/>
        <v/>
      </c>
      <c r="V294" s="206" t="str">
        <f t="shared" si="17"/>
        <v/>
      </c>
    </row>
    <row r="295" spans="17:22" ht="20.100000000000001" customHeight="1">
      <c r="Q295" s="206" t="str">
        <f t="shared" si="16"/>
        <v/>
      </c>
      <c r="R295" s="213" t="str">
        <f t="shared" si="16"/>
        <v/>
      </c>
      <c r="S295" s="214" t="str">
        <f t="shared" si="16"/>
        <v/>
      </c>
      <c r="T295" s="206" t="str">
        <f t="shared" si="17"/>
        <v/>
      </c>
      <c r="U295" s="206" t="str">
        <f t="shared" si="17"/>
        <v/>
      </c>
      <c r="V295" s="206" t="str">
        <f t="shared" si="17"/>
        <v/>
      </c>
    </row>
    <row r="296" spans="17:22" ht="20.100000000000001" customHeight="1">
      <c r="Q296" s="206" t="str">
        <f t="shared" si="16"/>
        <v/>
      </c>
      <c r="R296" s="213" t="str">
        <f t="shared" si="16"/>
        <v/>
      </c>
      <c r="S296" s="214" t="str">
        <f t="shared" si="16"/>
        <v/>
      </c>
      <c r="T296" s="206" t="str">
        <f t="shared" si="17"/>
        <v/>
      </c>
      <c r="U296" s="206" t="str">
        <f t="shared" si="17"/>
        <v/>
      </c>
      <c r="V296" s="206" t="str">
        <f t="shared" si="17"/>
        <v/>
      </c>
    </row>
    <row r="297" spans="17:22" ht="20.100000000000001" customHeight="1">
      <c r="Q297" s="206" t="str">
        <f t="shared" si="16"/>
        <v/>
      </c>
      <c r="R297" s="213" t="str">
        <f t="shared" si="16"/>
        <v/>
      </c>
      <c r="S297" s="214" t="str">
        <f t="shared" si="16"/>
        <v/>
      </c>
      <c r="T297" s="206" t="str">
        <f t="shared" si="17"/>
        <v/>
      </c>
      <c r="U297" s="206" t="str">
        <f t="shared" si="17"/>
        <v/>
      </c>
      <c r="V297" s="206" t="str">
        <f t="shared" si="17"/>
        <v/>
      </c>
    </row>
    <row r="298" spans="17:22" ht="20.100000000000001" customHeight="1">
      <c r="Q298" s="206" t="str">
        <f t="shared" si="16"/>
        <v/>
      </c>
      <c r="R298" s="213" t="str">
        <f t="shared" si="16"/>
        <v/>
      </c>
      <c r="S298" s="214" t="str">
        <f t="shared" si="16"/>
        <v/>
      </c>
      <c r="T298" s="206" t="str">
        <f t="shared" si="17"/>
        <v/>
      </c>
      <c r="U298" s="206" t="str">
        <f t="shared" si="17"/>
        <v/>
      </c>
      <c r="V298" s="206" t="str">
        <f t="shared" si="17"/>
        <v/>
      </c>
    </row>
    <row r="299" spans="17:22" ht="20.100000000000001" customHeight="1">
      <c r="Q299" s="206" t="str">
        <f t="shared" si="16"/>
        <v/>
      </c>
      <c r="R299" s="213" t="str">
        <f t="shared" si="16"/>
        <v/>
      </c>
      <c r="S299" s="214" t="str">
        <f t="shared" si="16"/>
        <v/>
      </c>
      <c r="T299" s="206" t="str">
        <f t="shared" si="17"/>
        <v/>
      </c>
      <c r="U299" s="206" t="str">
        <f t="shared" si="17"/>
        <v/>
      </c>
      <c r="V299" s="206" t="str">
        <f t="shared" si="17"/>
        <v/>
      </c>
    </row>
    <row r="300" spans="17:22" ht="20.100000000000001" customHeight="1">
      <c r="Q300" s="206" t="str">
        <f t="shared" si="16"/>
        <v/>
      </c>
      <c r="R300" s="213" t="str">
        <f t="shared" si="16"/>
        <v/>
      </c>
      <c r="S300" s="214" t="str">
        <f t="shared" si="16"/>
        <v/>
      </c>
      <c r="T300" s="206" t="str">
        <f t="shared" si="17"/>
        <v/>
      </c>
      <c r="U300" s="206" t="str">
        <f t="shared" si="17"/>
        <v/>
      </c>
      <c r="V300" s="206" t="str">
        <f t="shared" si="17"/>
        <v/>
      </c>
    </row>
    <row r="301" spans="17:22" ht="20.100000000000001" customHeight="1">
      <c r="Q301" s="206" t="str">
        <f t="shared" si="16"/>
        <v/>
      </c>
      <c r="R301" s="213" t="str">
        <f t="shared" si="16"/>
        <v/>
      </c>
      <c r="S301" s="214" t="str">
        <f t="shared" si="16"/>
        <v/>
      </c>
      <c r="T301" s="206" t="str">
        <f t="shared" si="17"/>
        <v/>
      </c>
      <c r="U301" s="206" t="str">
        <f t="shared" si="17"/>
        <v/>
      </c>
      <c r="V301" s="206" t="str">
        <f t="shared" si="17"/>
        <v/>
      </c>
    </row>
    <row r="302" spans="17:22" ht="20.100000000000001" customHeight="1">
      <c r="Q302" s="206" t="str">
        <f t="shared" si="16"/>
        <v/>
      </c>
      <c r="R302" s="213" t="str">
        <f t="shared" si="16"/>
        <v/>
      </c>
      <c r="S302" s="214" t="str">
        <f t="shared" si="16"/>
        <v/>
      </c>
      <c r="T302" s="206" t="str">
        <f t="shared" si="17"/>
        <v/>
      </c>
      <c r="U302" s="206" t="str">
        <f t="shared" si="17"/>
        <v/>
      </c>
      <c r="V302" s="206" t="str">
        <f t="shared" si="17"/>
        <v/>
      </c>
    </row>
    <row r="303" spans="17:22" ht="20.100000000000001" customHeight="1">
      <c r="Q303" s="206" t="str">
        <f t="shared" si="16"/>
        <v/>
      </c>
      <c r="R303" s="213" t="str">
        <f t="shared" si="16"/>
        <v/>
      </c>
      <c r="S303" s="214" t="str">
        <f t="shared" si="16"/>
        <v/>
      </c>
      <c r="T303" s="206" t="str">
        <f t="shared" si="17"/>
        <v/>
      </c>
      <c r="U303" s="206" t="str">
        <f t="shared" si="17"/>
        <v/>
      </c>
      <c r="V303" s="206" t="str">
        <f t="shared" si="17"/>
        <v/>
      </c>
    </row>
    <row r="304" spans="17:22" ht="20.100000000000001" customHeight="1">
      <c r="Q304" s="206" t="str">
        <f t="shared" si="16"/>
        <v/>
      </c>
      <c r="R304" s="213" t="str">
        <f t="shared" si="16"/>
        <v/>
      </c>
      <c r="S304" s="214" t="str">
        <f t="shared" si="16"/>
        <v/>
      </c>
      <c r="T304" s="206" t="str">
        <f t="shared" si="17"/>
        <v/>
      </c>
      <c r="U304" s="206" t="str">
        <f t="shared" si="17"/>
        <v/>
      </c>
      <c r="V304" s="206" t="str">
        <f t="shared" si="17"/>
        <v/>
      </c>
    </row>
    <row r="305" spans="17:22" ht="20.100000000000001" customHeight="1">
      <c r="Q305" s="206" t="str">
        <f t="shared" si="16"/>
        <v/>
      </c>
      <c r="R305" s="213" t="str">
        <f t="shared" si="16"/>
        <v/>
      </c>
      <c r="S305" s="214" t="str">
        <f t="shared" si="16"/>
        <v/>
      </c>
      <c r="T305" s="206" t="str">
        <f t="shared" si="17"/>
        <v/>
      </c>
      <c r="U305" s="206" t="str">
        <f t="shared" si="17"/>
        <v/>
      </c>
      <c r="V305" s="206" t="str">
        <f t="shared" si="17"/>
        <v/>
      </c>
    </row>
    <row r="306" spans="17:22" ht="20.100000000000001" customHeight="1">
      <c r="Q306" s="206" t="str">
        <f t="shared" si="16"/>
        <v/>
      </c>
      <c r="R306" s="213" t="str">
        <f t="shared" si="16"/>
        <v/>
      </c>
      <c r="S306" s="214" t="str">
        <f t="shared" si="16"/>
        <v/>
      </c>
      <c r="T306" s="206" t="str">
        <f t="shared" si="17"/>
        <v/>
      </c>
      <c r="U306" s="206" t="str">
        <f t="shared" si="17"/>
        <v/>
      </c>
      <c r="V306" s="206" t="str">
        <f t="shared" si="17"/>
        <v/>
      </c>
    </row>
    <row r="307" spans="17:22" ht="20.100000000000001" customHeight="1">
      <c r="Q307" s="206" t="str">
        <f t="shared" si="16"/>
        <v/>
      </c>
      <c r="R307" s="213" t="str">
        <f t="shared" si="16"/>
        <v/>
      </c>
      <c r="S307" s="214" t="str">
        <f t="shared" si="16"/>
        <v/>
      </c>
      <c r="T307" s="206" t="str">
        <f t="shared" si="17"/>
        <v/>
      </c>
      <c r="U307" s="206" t="str">
        <f t="shared" si="17"/>
        <v/>
      </c>
      <c r="V307" s="206" t="str">
        <f t="shared" si="17"/>
        <v/>
      </c>
    </row>
    <row r="308" spans="17:22" ht="20.100000000000001" customHeight="1">
      <c r="Q308" s="206" t="str">
        <f t="shared" si="16"/>
        <v/>
      </c>
      <c r="R308" s="213" t="str">
        <f t="shared" si="16"/>
        <v/>
      </c>
      <c r="S308" s="214" t="str">
        <f t="shared" si="16"/>
        <v/>
      </c>
      <c r="T308" s="206" t="str">
        <f t="shared" si="17"/>
        <v/>
      </c>
      <c r="U308" s="206" t="str">
        <f t="shared" si="17"/>
        <v/>
      </c>
      <c r="V308" s="206" t="str">
        <f t="shared" si="17"/>
        <v/>
      </c>
    </row>
    <row r="309" spans="17:22" ht="20.100000000000001" customHeight="1">
      <c r="Q309" s="206" t="str">
        <f t="shared" si="16"/>
        <v/>
      </c>
      <c r="R309" s="213" t="str">
        <f t="shared" si="16"/>
        <v/>
      </c>
      <c r="S309" s="214" t="str">
        <f t="shared" si="16"/>
        <v/>
      </c>
      <c r="T309" s="206" t="str">
        <f t="shared" si="17"/>
        <v/>
      </c>
      <c r="U309" s="206" t="str">
        <f t="shared" si="17"/>
        <v/>
      </c>
      <c r="V309" s="206" t="str">
        <f t="shared" si="17"/>
        <v/>
      </c>
    </row>
    <row r="310" spans="17:22" ht="20.100000000000001" customHeight="1">
      <c r="Q310" s="206" t="str">
        <f t="shared" si="16"/>
        <v/>
      </c>
      <c r="R310" s="213" t="str">
        <f t="shared" si="16"/>
        <v/>
      </c>
      <c r="S310" s="214" t="str">
        <f t="shared" si="16"/>
        <v/>
      </c>
      <c r="T310" s="206" t="str">
        <f t="shared" si="17"/>
        <v/>
      </c>
      <c r="U310" s="206" t="str">
        <f t="shared" si="17"/>
        <v/>
      </c>
      <c r="V310" s="206" t="str">
        <f t="shared" si="17"/>
        <v/>
      </c>
    </row>
    <row r="311" spans="17:22" ht="20.100000000000001" customHeight="1">
      <c r="Q311" s="206" t="str">
        <f t="shared" si="16"/>
        <v/>
      </c>
      <c r="R311" s="213" t="str">
        <f t="shared" si="16"/>
        <v/>
      </c>
      <c r="S311" s="214" t="str">
        <f t="shared" si="16"/>
        <v/>
      </c>
      <c r="T311" s="206" t="str">
        <f t="shared" si="17"/>
        <v/>
      </c>
      <c r="U311" s="206" t="str">
        <f t="shared" si="17"/>
        <v/>
      </c>
      <c r="V311" s="206" t="str">
        <f t="shared" si="17"/>
        <v/>
      </c>
    </row>
    <row r="312" spans="17:22" ht="20.100000000000001" customHeight="1">
      <c r="Q312" s="206" t="str">
        <f t="shared" si="16"/>
        <v/>
      </c>
      <c r="R312" s="213" t="str">
        <f t="shared" si="16"/>
        <v/>
      </c>
      <c r="S312" s="214" t="str">
        <f t="shared" si="16"/>
        <v/>
      </c>
      <c r="T312" s="206" t="str">
        <f t="shared" si="17"/>
        <v/>
      </c>
      <c r="U312" s="206" t="str">
        <f t="shared" si="17"/>
        <v/>
      </c>
      <c r="V312" s="206" t="str">
        <f t="shared" si="17"/>
        <v/>
      </c>
    </row>
    <row r="313" spans="17:22" ht="20.100000000000001" customHeight="1">
      <c r="Q313" s="206" t="str">
        <f t="shared" si="16"/>
        <v/>
      </c>
      <c r="R313" s="213" t="str">
        <f t="shared" si="16"/>
        <v/>
      </c>
      <c r="S313" s="214" t="str">
        <f t="shared" si="16"/>
        <v/>
      </c>
      <c r="T313" s="206" t="str">
        <f t="shared" si="17"/>
        <v/>
      </c>
      <c r="U313" s="206" t="str">
        <f t="shared" si="17"/>
        <v/>
      </c>
      <c r="V313" s="206" t="str">
        <f t="shared" si="17"/>
        <v/>
      </c>
    </row>
    <row r="314" spans="17:22" ht="20.100000000000001" customHeight="1">
      <c r="Q314" s="206" t="str">
        <f t="shared" si="16"/>
        <v/>
      </c>
      <c r="R314" s="213" t="str">
        <f t="shared" si="16"/>
        <v/>
      </c>
      <c r="S314" s="214" t="str">
        <f t="shared" si="16"/>
        <v/>
      </c>
      <c r="T314" s="206" t="str">
        <f t="shared" si="17"/>
        <v/>
      </c>
      <c r="U314" s="206" t="str">
        <f t="shared" si="17"/>
        <v/>
      </c>
      <c r="V314" s="206" t="str">
        <f t="shared" si="17"/>
        <v/>
      </c>
    </row>
    <row r="315" spans="17:22" ht="20.100000000000001" customHeight="1">
      <c r="Q315" s="206" t="str">
        <f t="shared" si="16"/>
        <v/>
      </c>
      <c r="R315" s="213" t="str">
        <f t="shared" si="16"/>
        <v/>
      </c>
      <c r="S315" s="214" t="str">
        <f t="shared" si="16"/>
        <v/>
      </c>
      <c r="T315" s="206" t="str">
        <f t="shared" si="17"/>
        <v/>
      </c>
      <c r="U315" s="206" t="str">
        <f t="shared" si="17"/>
        <v/>
      </c>
      <c r="V315" s="206" t="str">
        <f t="shared" si="17"/>
        <v/>
      </c>
    </row>
    <row r="316" spans="17:22" ht="20.100000000000001" customHeight="1">
      <c r="Q316" s="206" t="str">
        <f t="shared" si="16"/>
        <v/>
      </c>
      <c r="R316" s="213" t="str">
        <f t="shared" si="16"/>
        <v/>
      </c>
      <c r="S316" s="214" t="str">
        <f t="shared" si="16"/>
        <v/>
      </c>
      <c r="T316" s="206" t="str">
        <f t="shared" si="17"/>
        <v/>
      </c>
      <c r="U316" s="206" t="str">
        <f t="shared" si="17"/>
        <v/>
      </c>
      <c r="V316" s="206" t="str">
        <f t="shared" si="17"/>
        <v/>
      </c>
    </row>
    <row r="317" spans="17:22" ht="20.100000000000001" customHeight="1">
      <c r="Q317" s="206" t="str">
        <f t="shared" si="16"/>
        <v/>
      </c>
      <c r="R317" s="213" t="str">
        <f t="shared" si="16"/>
        <v/>
      </c>
      <c r="S317" s="214" t="str">
        <f t="shared" si="16"/>
        <v/>
      </c>
      <c r="T317" s="206" t="str">
        <f t="shared" si="17"/>
        <v/>
      </c>
      <c r="U317" s="206" t="str">
        <f t="shared" si="17"/>
        <v/>
      </c>
      <c r="V317" s="206" t="str">
        <f t="shared" si="17"/>
        <v/>
      </c>
    </row>
    <row r="318" spans="17:22" ht="20.100000000000001" customHeight="1">
      <c r="Q318" s="206" t="str">
        <f t="shared" si="16"/>
        <v/>
      </c>
      <c r="R318" s="213" t="str">
        <f t="shared" si="16"/>
        <v/>
      </c>
      <c r="S318" s="214" t="str">
        <f t="shared" si="16"/>
        <v/>
      </c>
      <c r="T318" s="206" t="str">
        <f t="shared" si="17"/>
        <v/>
      </c>
      <c r="U318" s="206" t="str">
        <f t="shared" si="17"/>
        <v/>
      </c>
      <c r="V318" s="206" t="str">
        <f t="shared" si="17"/>
        <v/>
      </c>
    </row>
    <row r="319" spans="17:22" ht="20.100000000000001" customHeight="1">
      <c r="Q319" s="206" t="str">
        <f t="shared" si="16"/>
        <v/>
      </c>
      <c r="R319" s="213" t="str">
        <f t="shared" si="16"/>
        <v/>
      </c>
      <c r="S319" s="214" t="str">
        <f t="shared" si="16"/>
        <v/>
      </c>
      <c r="T319" s="206" t="str">
        <f t="shared" si="17"/>
        <v/>
      </c>
      <c r="U319" s="206" t="str">
        <f t="shared" si="17"/>
        <v/>
      </c>
      <c r="V319" s="206" t="str">
        <f t="shared" si="17"/>
        <v/>
      </c>
    </row>
    <row r="320" spans="17:22" ht="20.100000000000001" customHeight="1">
      <c r="Q320" s="206" t="str">
        <f t="shared" si="16"/>
        <v/>
      </c>
      <c r="R320" s="213" t="str">
        <f t="shared" si="16"/>
        <v/>
      </c>
      <c r="S320" s="214" t="str">
        <f t="shared" si="16"/>
        <v/>
      </c>
      <c r="T320" s="206" t="str">
        <f t="shared" si="17"/>
        <v/>
      </c>
      <c r="U320" s="206" t="str">
        <f t="shared" si="17"/>
        <v/>
      </c>
      <c r="V320" s="206" t="str">
        <f t="shared" si="17"/>
        <v/>
      </c>
    </row>
    <row r="321" spans="17:22" ht="20.100000000000001" customHeight="1">
      <c r="Q321" s="206" t="str">
        <f t="shared" si="16"/>
        <v/>
      </c>
      <c r="R321" s="213" t="str">
        <f t="shared" si="16"/>
        <v/>
      </c>
      <c r="S321" s="214" t="str">
        <f t="shared" si="16"/>
        <v/>
      </c>
      <c r="T321" s="206" t="str">
        <f t="shared" si="17"/>
        <v/>
      </c>
      <c r="U321" s="206" t="str">
        <f t="shared" si="17"/>
        <v/>
      </c>
      <c r="V321" s="206" t="str">
        <f t="shared" si="17"/>
        <v/>
      </c>
    </row>
    <row r="322" spans="17:22" ht="20.100000000000001" customHeight="1">
      <c r="Q322" s="206" t="str">
        <f t="shared" si="16"/>
        <v/>
      </c>
      <c r="R322" s="213" t="str">
        <f t="shared" si="16"/>
        <v/>
      </c>
      <c r="S322" s="214" t="str">
        <f t="shared" si="16"/>
        <v/>
      </c>
      <c r="T322" s="206" t="str">
        <f t="shared" si="17"/>
        <v/>
      </c>
      <c r="U322" s="206" t="str">
        <f t="shared" si="17"/>
        <v/>
      </c>
      <c r="V322" s="206" t="str">
        <f t="shared" si="17"/>
        <v/>
      </c>
    </row>
    <row r="323" spans="17:22" ht="20.100000000000001" customHeight="1">
      <c r="Q323" s="206" t="str">
        <f t="shared" si="16"/>
        <v/>
      </c>
      <c r="R323" s="213" t="str">
        <f t="shared" si="16"/>
        <v/>
      </c>
      <c r="S323" s="214" t="str">
        <f t="shared" si="16"/>
        <v/>
      </c>
      <c r="T323" s="206" t="str">
        <f t="shared" si="17"/>
        <v/>
      </c>
      <c r="U323" s="206" t="str">
        <f t="shared" si="17"/>
        <v/>
      </c>
      <c r="V323" s="206" t="str">
        <f t="shared" si="17"/>
        <v/>
      </c>
    </row>
    <row r="324" spans="17:22" ht="20.100000000000001" customHeight="1">
      <c r="Q324" s="206" t="str">
        <f t="shared" si="16"/>
        <v/>
      </c>
      <c r="R324" s="213" t="str">
        <f t="shared" si="16"/>
        <v/>
      </c>
      <c r="S324" s="214" t="str">
        <f t="shared" si="16"/>
        <v/>
      </c>
      <c r="T324" s="206" t="str">
        <f t="shared" si="17"/>
        <v/>
      </c>
      <c r="U324" s="206" t="str">
        <f t="shared" si="17"/>
        <v/>
      </c>
      <c r="V324" s="206" t="str">
        <f t="shared" si="17"/>
        <v/>
      </c>
    </row>
    <row r="325" spans="17:22" ht="20.100000000000001" customHeight="1">
      <c r="Q325" s="206" t="str">
        <f t="shared" si="16"/>
        <v/>
      </c>
      <c r="R325" s="213" t="str">
        <f t="shared" si="16"/>
        <v/>
      </c>
      <c r="S325" s="214" t="str">
        <f t="shared" si="16"/>
        <v/>
      </c>
      <c r="T325" s="206" t="str">
        <f t="shared" si="17"/>
        <v/>
      </c>
      <c r="U325" s="206" t="str">
        <f t="shared" si="17"/>
        <v/>
      </c>
      <c r="V325" s="206" t="str">
        <f t="shared" si="17"/>
        <v/>
      </c>
    </row>
    <row r="326" spans="17:22" ht="20.100000000000001" customHeight="1">
      <c r="Q326" s="206" t="str">
        <f t="shared" si="16"/>
        <v/>
      </c>
      <c r="R326" s="213" t="str">
        <f t="shared" si="16"/>
        <v/>
      </c>
      <c r="S326" s="214" t="str">
        <f t="shared" si="16"/>
        <v/>
      </c>
      <c r="T326" s="206" t="str">
        <f t="shared" si="17"/>
        <v/>
      </c>
      <c r="U326" s="206" t="str">
        <f t="shared" si="17"/>
        <v/>
      </c>
      <c r="V326" s="206" t="str">
        <f t="shared" si="17"/>
        <v/>
      </c>
    </row>
    <row r="327" spans="17:22" ht="20.100000000000001" customHeight="1">
      <c r="Q327" s="206" t="str">
        <f t="shared" si="16"/>
        <v/>
      </c>
      <c r="R327" s="213" t="str">
        <f t="shared" si="16"/>
        <v/>
      </c>
      <c r="S327" s="214" t="str">
        <f t="shared" si="16"/>
        <v/>
      </c>
      <c r="T327" s="206" t="str">
        <f t="shared" si="17"/>
        <v/>
      </c>
      <c r="U327" s="206" t="str">
        <f t="shared" si="17"/>
        <v/>
      </c>
      <c r="V327" s="206" t="str">
        <f t="shared" si="17"/>
        <v/>
      </c>
    </row>
    <row r="328" spans="17:22" ht="20.100000000000001" customHeight="1">
      <c r="Q328" s="206" t="str">
        <f t="shared" si="16"/>
        <v/>
      </c>
      <c r="R328" s="213" t="str">
        <f t="shared" si="16"/>
        <v/>
      </c>
      <c r="S328" s="214" t="str">
        <f t="shared" si="16"/>
        <v/>
      </c>
      <c r="T328" s="206" t="str">
        <f t="shared" si="17"/>
        <v/>
      </c>
      <c r="U328" s="206" t="str">
        <f t="shared" si="17"/>
        <v/>
      </c>
      <c r="V328" s="206" t="str">
        <f t="shared" si="17"/>
        <v/>
      </c>
    </row>
    <row r="329" spans="17:22" ht="20.100000000000001" customHeight="1">
      <c r="Q329" s="206" t="str">
        <f t="shared" ref="Q329:S344" si="18">IF(NOT(ISBLANK(G329)),"■","")</f>
        <v/>
      </c>
      <c r="R329" s="213" t="str">
        <f t="shared" si="18"/>
        <v/>
      </c>
      <c r="S329" s="214" t="str">
        <f t="shared" si="18"/>
        <v/>
      </c>
      <c r="T329" s="206" t="str">
        <f t="shared" ref="T329:V344" si="19">IF(NOT(ISBLANK(J329)),"*","")</f>
        <v/>
      </c>
      <c r="U329" s="206" t="str">
        <f t="shared" si="19"/>
        <v/>
      </c>
      <c r="V329" s="206" t="str">
        <f t="shared" si="19"/>
        <v/>
      </c>
    </row>
    <row r="330" spans="17:22" ht="20.100000000000001" customHeight="1">
      <c r="Q330" s="206" t="str">
        <f t="shared" si="18"/>
        <v/>
      </c>
      <c r="R330" s="213" t="str">
        <f t="shared" si="18"/>
        <v/>
      </c>
      <c r="S330" s="214" t="str">
        <f t="shared" si="18"/>
        <v/>
      </c>
      <c r="T330" s="206" t="str">
        <f t="shared" si="19"/>
        <v/>
      </c>
      <c r="U330" s="206" t="str">
        <f t="shared" si="19"/>
        <v/>
      </c>
      <c r="V330" s="206" t="str">
        <f t="shared" si="19"/>
        <v/>
      </c>
    </row>
    <row r="331" spans="17:22" ht="20.100000000000001" customHeight="1">
      <c r="Q331" s="206" t="str">
        <f t="shared" si="18"/>
        <v/>
      </c>
      <c r="R331" s="213" t="str">
        <f t="shared" si="18"/>
        <v/>
      </c>
      <c r="S331" s="214" t="str">
        <f t="shared" si="18"/>
        <v/>
      </c>
      <c r="T331" s="206" t="str">
        <f t="shared" si="19"/>
        <v/>
      </c>
      <c r="U331" s="206" t="str">
        <f t="shared" si="19"/>
        <v/>
      </c>
      <c r="V331" s="206" t="str">
        <f t="shared" si="19"/>
        <v/>
      </c>
    </row>
    <row r="332" spans="17:22" ht="20.100000000000001" customHeight="1">
      <c r="Q332" s="206" t="str">
        <f t="shared" si="18"/>
        <v/>
      </c>
      <c r="R332" s="213" t="str">
        <f t="shared" si="18"/>
        <v/>
      </c>
      <c r="S332" s="214" t="str">
        <f t="shared" si="18"/>
        <v/>
      </c>
      <c r="T332" s="206" t="str">
        <f t="shared" si="19"/>
        <v/>
      </c>
      <c r="U332" s="206" t="str">
        <f t="shared" si="19"/>
        <v/>
      </c>
      <c r="V332" s="206" t="str">
        <f t="shared" si="19"/>
        <v/>
      </c>
    </row>
    <row r="333" spans="17:22" ht="20.100000000000001" customHeight="1">
      <c r="Q333" s="206" t="str">
        <f t="shared" si="18"/>
        <v/>
      </c>
      <c r="R333" s="213" t="str">
        <f t="shared" si="18"/>
        <v/>
      </c>
      <c r="S333" s="214" t="str">
        <f t="shared" si="18"/>
        <v/>
      </c>
      <c r="T333" s="206" t="str">
        <f t="shared" si="19"/>
        <v/>
      </c>
      <c r="U333" s="206" t="str">
        <f t="shared" si="19"/>
        <v/>
      </c>
      <c r="V333" s="206" t="str">
        <f t="shared" si="19"/>
        <v/>
      </c>
    </row>
    <row r="334" spans="17:22" ht="20.100000000000001" customHeight="1">
      <c r="Q334" s="206" t="str">
        <f t="shared" si="18"/>
        <v/>
      </c>
      <c r="R334" s="213" t="str">
        <f t="shared" si="18"/>
        <v/>
      </c>
      <c r="S334" s="214" t="str">
        <f t="shared" si="18"/>
        <v/>
      </c>
      <c r="T334" s="206" t="str">
        <f t="shared" si="19"/>
        <v/>
      </c>
      <c r="U334" s="206" t="str">
        <f t="shared" si="19"/>
        <v/>
      </c>
      <c r="V334" s="206" t="str">
        <f t="shared" si="19"/>
        <v/>
      </c>
    </row>
    <row r="335" spans="17:22" ht="20.100000000000001" customHeight="1">
      <c r="Q335" s="206" t="str">
        <f t="shared" si="18"/>
        <v/>
      </c>
      <c r="R335" s="213" t="str">
        <f t="shared" si="18"/>
        <v/>
      </c>
      <c r="S335" s="214" t="str">
        <f t="shared" si="18"/>
        <v/>
      </c>
      <c r="T335" s="206" t="str">
        <f t="shared" si="19"/>
        <v/>
      </c>
      <c r="U335" s="206" t="str">
        <f t="shared" si="19"/>
        <v/>
      </c>
      <c r="V335" s="206" t="str">
        <f t="shared" si="19"/>
        <v/>
      </c>
    </row>
    <row r="336" spans="17:22" ht="20.100000000000001" customHeight="1">
      <c r="Q336" s="206" t="str">
        <f t="shared" si="18"/>
        <v/>
      </c>
      <c r="R336" s="213" t="str">
        <f t="shared" si="18"/>
        <v/>
      </c>
      <c r="S336" s="214" t="str">
        <f t="shared" si="18"/>
        <v/>
      </c>
      <c r="T336" s="206" t="str">
        <f t="shared" si="19"/>
        <v/>
      </c>
      <c r="U336" s="206" t="str">
        <f t="shared" si="19"/>
        <v/>
      </c>
      <c r="V336" s="206" t="str">
        <f t="shared" si="19"/>
        <v/>
      </c>
    </row>
    <row r="337" spans="17:22" ht="20.100000000000001" customHeight="1">
      <c r="Q337" s="206" t="str">
        <f t="shared" si="18"/>
        <v/>
      </c>
      <c r="R337" s="213" t="str">
        <f t="shared" si="18"/>
        <v/>
      </c>
      <c r="S337" s="214" t="str">
        <f t="shared" si="18"/>
        <v/>
      </c>
      <c r="T337" s="206" t="str">
        <f t="shared" si="19"/>
        <v/>
      </c>
      <c r="U337" s="206" t="str">
        <f t="shared" si="19"/>
        <v/>
      </c>
      <c r="V337" s="206" t="str">
        <f t="shared" si="19"/>
        <v/>
      </c>
    </row>
    <row r="338" spans="17:22" ht="20.100000000000001" customHeight="1">
      <c r="Q338" s="206" t="str">
        <f t="shared" si="18"/>
        <v/>
      </c>
      <c r="R338" s="213" t="str">
        <f t="shared" si="18"/>
        <v/>
      </c>
      <c r="S338" s="214" t="str">
        <f t="shared" si="18"/>
        <v/>
      </c>
      <c r="T338" s="206" t="str">
        <f t="shared" si="19"/>
        <v/>
      </c>
      <c r="U338" s="206" t="str">
        <f t="shared" si="19"/>
        <v/>
      </c>
      <c r="V338" s="206" t="str">
        <f t="shared" si="19"/>
        <v/>
      </c>
    </row>
    <row r="339" spans="17:22" ht="20.100000000000001" customHeight="1">
      <c r="Q339" s="206" t="str">
        <f t="shared" si="18"/>
        <v/>
      </c>
      <c r="R339" s="213" t="str">
        <f t="shared" si="18"/>
        <v/>
      </c>
      <c r="S339" s="214" t="str">
        <f t="shared" si="18"/>
        <v/>
      </c>
      <c r="T339" s="206" t="str">
        <f t="shared" si="19"/>
        <v/>
      </c>
      <c r="U339" s="206" t="str">
        <f t="shared" si="19"/>
        <v/>
      </c>
      <c r="V339" s="206" t="str">
        <f t="shared" si="19"/>
        <v/>
      </c>
    </row>
    <row r="340" spans="17:22" ht="20.100000000000001" customHeight="1">
      <c r="Q340" s="206" t="str">
        <f t="shared" si="18"/>
        <v/>
      </c>
      <c r="R340" s="213" t="str">
        <f t="shared" si="18"/>
        <v/>
      </c>
      <c r="S340" s="214" t="str">
        <f t="shared" si="18"/>
        <v/>
      </c>
      <c r="T340" s="206" t="str">
        <f t="shared" si="19"/>
        <v/>
      </c>
      <c r="U340" s="206" t="str">
        <f t="shared" si="19"/>
        <v/>
      </c>
      <c r="V340" s="206" t="str">
        <f t="shared" si="19"/>
        <v/>
      </c>
    </row>
    <row r="341" spans="17:22" ht="20.100000000000001" customHeight="1">
      <c r="Q341" s="206" t="str">
        <f t="shared" si="18"/>
        <v/>
      </c>
      <c r="R341" s="213" t="str">
        <f t="shared" si="18"/>
        <v/>
      </c>
      <c r="S341" s="214" t="str">
        <f t="shared" si="18"/>
        <v/>
      </c>
      <c r="T341" s="206" t="str">
        <f t="shared" si="19"/>
        <v/>
      </c>
      <c r="U341" s="206" t="str">
        <f t="shared" si="19"/>
        <v/>
      </c>
      <c r="V341" s="206" t="str">
        <f t="shared" si="19"/>
        <v/>
      </c>
    </row>
    <row r="342" spans="17:22" ht="20.100000000000001" customHeight="1">
      <c r="Q342" s="206" t="str">
        <f t="shared" si="18"/>
        <v/>
      </c>
      <c r="R342" s="213" t="str">
        <f t="shared" si="18"/>
        <v/>
      </c>
      <c r="S342" s="214" t="str">
        <f t="shared" si="18"/>
        <v/>
      </c>
      <c r="T342" s="206" t="str">
        <f t="shared" si="19"/>
        <v/>
      </c>
      <c r="U342" s="206" t="str">
        <f t="shared" si="19"/>
        <v/>
      </c>
      <c r="V342" s="206" t="str">
        <f t="shared" si="19"/>
        <v/>
      </c>
    </row>
    <row r="343" spans="17:22" ht="20.100000000000001" customHeight="1">
      <c r="Q343" s="206" t="str">
        <f t="shared" si="18"/>
        <v/>
      </c>
      <c r="R343" s="213" t="str">
        <f t="shared" si="18"/>
        <v/>
      </c>
      <c r="S343" s="214" t="str">
        <f t="shared" si="18"/>
        <v/>
      </c>
      <c r="T343" s="206" t="str">
        <f t="shared" si="19"/>
        <v/>
      </c>
      <c r="U343" s="206" t="str">
        <f t="shared" si="19"/>
        <v/>
      </c>
      <c r="V343" s="206" t="str">
        <f t="shared" si="19"/>
        <v/>
      </c>
    </row>
    <row r="344" spans="17:22" ht="20.100000000000001" customHeight="1">
      <c r="Q344" s="206" t="str">
        <f t="shared" si="18"/>
        <v/>
      </c>
      <c r="R344" s="213" t="str">
        <f t="shared" si="18"/>
        <v/>
      </c>
      <c r="S344" s="214" t="str">
        <f t="shared" si="18"/>
        <v/>
      </c>
      <c r="T344" s="206" t="str">
        <f t="shared" si="19"/>
        <v/>
      </c>
      <c r="U344" s="206" t="str">
        <f t="shared" si="19"/>
        <v/>
      </c>
      <c r="V344" s="206" t="str">
        <f t="shared" si="19"/>
        <v/>
      </c>
    </row>
  </sheetData>
  <phoneticPr fontId="4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1"/>
  </sheetPr>
  <dimension ref="A2:Y342"/>
  <sheetViews>
    <sheetView showGridLines="0" topLeftCell="A142" workbookViewId="0"/>
  </sheetViews>
  <sheetFormatPr defaultRowHeight="20.100000000000001" customHeight="1"/>
  <cols>
    <col min="1" max="4" width="5" style="206" customWidth="1"/>
    <col min="5" max="5" width="5" style="214" customWidth="1"/>
    <col min="6" max="11" width="5" style="206" customWidth="1"/>
    <col min="12" max="12" width="32.5703125" style="2" bestFit="1" customWidth="1"/>
    <col min="13" max="13" width="9.140625" style="206"/>
    <col min="14" max="14" width="31" style="2" bestFit="1" customWidth="1"/>
    <col min="15" max="16" width="3.42578125" style="2" customWidth="1"/>
    <col min="17" max="17" width="5" style="2" customWidth="1"/>
    <col min="18" max="18" width="5" style="216" customWidth="1"/>
    <col min="19" max="21" width="5" style="217" customWidth="1"/>
    <col min="22" max="22" width="5" style="2" customWidth="1"/>
    <col min="23" max="23" width="30.28515625" style="2" customWidth="1"/>
    <col min="24" max="24" width="9.140625" style="2"/>
    <col min="25" max="25" width="36.7109375" style="2" bestFit="1" customWidth="1"/>
    <col min="26" max="16384" width="9.140625" style="2"/>
  </cols>
  <sheetData>
    <row r="2" spans="7:25" ht="34.5" customHeight="1">
      <c r="G2" s="220" t="s">
        <v>1115</v>
      </c>
      <c r="T2" s="2"/>
      <c r="U2" s="2"/>
    </row>
    <row r="3" spans="7:25" ht="15" customHeight="1">
      <c r="G3" s="220"/>
      <c r="T3" s="2"/>
      <c r="U3" s="2"/>
    </row>
    <row r="4" spans="7:25" ht="20.100000000000001" customHeight="1">
      <c r="G4" s="208" t="s">
        <v>167</v>
      </c>
      <c r="H4" s="208"/>
      <c r="I4" s="208"/>
      <c r="J4" s="208"/>
      <c r="K4" s="208"/>
      <c r="L4" s="208"/>
      <c r="M4" s="208" t="s">
        <v>1113</v>
      </c>
      <c r="N4" s="208"/>
      <c r="Q4" s="207" t="s">
        <v>166</v>
      </c>
      <c r="R4" s="207"/>
      <c r="S4" s="207"/>
      <c r="T4" s="207"/>
      <c r="U4" s="207"/>
      <c r="V4" s="207"/>
      <c r="W4" s="208" t="s">
        <v>167</v>
      </c>
      <c r="X4" s="209" t="s">
        <v>168</v>
      </c>
      <c r="Y4" s="209" t="s">
        <v>169</v>
      </c>
    </row>
    <row r="5" spans="7:25" ht="20.100000000000001" customHeight="1">
      <c r="G5" s="208"/>
      <c r="H5" s="208"/>
      <c r="I5" s="208"/>
      <c r="J5" s="208"/>
      <c r="K5" s="208"/>
      <c r="L5" s="208"/>
      <c r="M5" s="209" t="s">
        <v>168</v>
      </c>
      <c r="N5" s="209" t="s">
        <v>169</v>
      </c>
      <c r="Q5" s="207" t="s">
        <v>170</v>
      </c>
      <c r="R5" s="207" t="s">
        <v>171</v>
      </c>
      <c r="S5" s="207" t="s">
        <v>172</v>
      </c>
      <c r="T5" s="207" t="s">
        <v>173</v>
      </c>
      <c r="U5" s="207" t="s">
        <v>174</v>
      </c>
      <c r="V5" s="207" t="s">
        <v>175</v>
      </c>
      <c r="W5" s="208" t="s">
        <v>176</v>
      </c>
      <c r="X5" s="209"/>
      <c r="Y5" s="209"/>
    </row>
    <row r="6" spans="7:25" ht="20.100000000000001" customHeight="1">
      <c r="G6" s="210" t="s">
        <v>393</v>
      </c>
      <c r="H6" s="211"/>
      <c r="I6" s="211"/>
      <c r="J6" s="211"/>
      <c r="K6" s="211"/>
      <c r="L6" s="211"/>
      <c r="M6" s="2"/>
      <c r="Q6" s="212" t="str">
        <f>IF(NOT(ISBLANK(G6)),"■","")</f>
        <v>■</v>
      </c>
      <c r="R6" s="212" t="str">
        <f>IF(NOT(ISBLANK(H6)),"■","")</f>
        <v/>
      </c>
      <c r="S6" s="212" t="str">
        <f>IF(NOT(ISBLANK(I6)),"■","")</f>
        <v/>
      </c>
      <c r="T6" s="212" t="str">
        <f>IF(NOT(ISBLANK(J6)),"⊙","")</f>
        <v/>
      </c>
      <c r="U6" s="212" t="str">
        <f>IF(NOT(ISBLANK(K6)),"*","")</f>
        <v/>
      </c>
      <c r="V6" s="212" t="str">
        <f>IF(NOT(ISBLANK(L6)),"-","")</f>
        <v/>
      </c>
      <c r="W6" s="15" t="str">
        <f>G6&amp;H6&amp;I6&amp;J6&amp;K6&amp;L6</f>
        <v>Sales</v>
      </c>
      <c r="X6" s="2" t="str">
        <f>IF(ISBLANK(M6),"",M6)</f>
        <v/>
      </c>
      <c r="Y6" s="2" t="str">
        <f>IF(ISBLANK(N6),"",N6)</f>
        <v/>
      </c>
    </row>
    <row r="7" spans="7:25" ht="20.100000000000001" customHeight="1">
      <c r="G7" s="211"/>
      <c r="H7" s="210" t="s">
        <v>394</v>
      </c>
      <c r="J7" s="211"/>
      <c r="K7" s="211"/>
      <c r="L7" s="211"/>
      <c r="M7" s="206" t="s">
        <v>395</v>
      </c>
      <c r="N7" s="2" t="s">
        <v>396</v>
      </c>
      <c r="Q7" s="212" t="str">
        <f t="shared" ref="Q7:S70" si="0">IF(NOT(ISBLANK(G7)),"■","")</f>
        <v/>
      </c>
      <c r="R7" s="212" t="str">
        <f t="shared" si="0"/>
        <v>■</v>
      </c>
      <c r="S7" s="212" t="str">
        <f t="shared" si="0"/>
        <v/>
      </c>
      <c r="T7" s="212" t="str">
        <f t="shared" ref="T7:T70" si="1">IF(NOT(ISBLANK(J7)),"⊙","")</f>
        <v/>
      </c>
      <c r="U7" s="212" t="str">
        <f t="shared" ref="U7:U70" si="2">IF(NOT(ISBLANK(K7)),"*","")</f>
        <v/>
      </c>
      <c r="V7" s="212" t="str">
        <f t="shared" ref="V7:V70" si="3">IF(NOT(ISBLANK(L7)),"-","")</f>
        <v/>
      </c>
      <c r="W7" s="15" t="str">
        <f t="shared" ref="W7:W70" si="4">G7&amp;H7&amp;I7&amp;J7&amp;K7&amp;L7</f>
        <v>Export</v>
      </c>
      <c r="X7" s="2" t="str">
        <f t="shared" ref="X7:Y70" si="5">IF(ISBLANK(M7),"",M7)</f>
        <v>5000101</v>
      </c>
      <c r="Y7" s="2" t="str">
        <f t="shared" si="5"/>
        <v>Export</v>
      </c>
    </row>
    <row r="8" spans="7:25" ht="20.100000000000001" customHeight="1">
      <c r="G8" s="211"/>
      <c r="H8" s="210" t="s">
        <v>397</v>
      </c>
      <c r="J8" s="211"/>
      <c r="K8" s="211"/>
      <c r="L8" s="211"/>
      <c r="M8" s="206" t="s">
        <v>398</v>
      </c>
      <c r="N8" s="2" t="s">
        <v>399</v>
      </c>
      <c r="Q8" s="212" t="str">
        <f t="shared" si="0"/>
        <v/>
      </c>
      <c r="R8" s="212" t="str">
        <f t="shared" si="0"/>
        <v>■</v>
      </c>
      <c r="S8" s="212" t="str">
        <f t="shared" si="0"/>
        <v/>
      </c>
      <c r="T8" s="212" t="str">
        <f t="shared" si="1"/>
        <v/>
      </c>
      <c r="U8" s="212" t="str">
        <f t="shared" si="2"/>
        <v/>
      </c>
      <c r="V8" s="212" t="str">
        <f t="shared" si="3"/>
        <v/>
      </c>
      <c r="W8" s="15" t="str">
        <f t="shared" si="4"/>
        <v>Domestic</v>
      </c>
      <c r="X8" s="2" t="str">
        <f t="shared" si="5"/>
        <v>5000501</v>
      </c>
      <c r="Y8" s="2" t="str">
        <f t="shared" si="5"/>
        <v>Domestic Sales</v>
      </c>
    </row>
    <row r="9" spans="7:25" ht="20.100000000000001" customHeight="1">
      <c r="G9" s="211"/>
      <c r="H9" s="210" t="s">
        <v>400</v>
      </c>
      <c r="J9" s="210"/>
      <c r="K9" s="210"/>
      <c r="L9" s="211"/>
      <c r="M9" s="206" t="s">
        <v>401</v>
      </c>
      <c r="N9" s="2" t="s">
        <v>402</v>
      </c>
      <c r="Q9" s="212" t="str">
        <f t="shared" si="0"/>
        <v/>
      </c>
      <c r="R9" s="212" t="str">
        <f t="shared" si="0"/>
        <v>■</v>
      </c>
      <c r="S9" s="212" t="str">
        <f t="shared" si="0"/>
        <v/>
      </c>
      <c r="T9" s="212" t="str">
        <f t="shared" si="1"/>
        <v/>
      </c>
      <c r="U9" s="212" t="str">
        <f t="shared" si="2"/>
        <v/>
      </c>
      <c r="V9" s="212" t="str">
        <f t="shared" si="3"/>
        <v/>
      </c>
      <c r="W9" s="15" t="str">
        <f t="shared" si="4"/>
        <v>Others</v>
      </c>
      <c r="X9" s="2" t="str">
        <f t="shared" si="5"/>
        <v>5000901</v>
      </c>
      <c r="Y9" s="2" t="str">
        <f t="shared" si="5"/>
        <v>Other Sales</v>
      </c>
    </row>
    <row r="10" spans="7:25" ht="20.100000000000001" customHeight="1">
      <c r="G10" s="210" t="s">
        <v>403</v>
      </c>
      <c r="H10" s="211"/>
      <c r="I10" s="211"/>
      <c r="J10" s="211"/>
      <c r="K10" s="210"/>
      <c r="L10" s="211"/>
      <c r="Q10" s="212" t="str">
        <f t="shared" si="0"/>
        <v>■</v>
      </c>
      <c r="R10" s="212" t="str">
        <f t="shared" si="0"/>
        <v/>
      </c>
      <c r="S10" s="212" t="str">
        <f t="shared" si="0"/>
        <v/>
      </c>
      <c r="T10" s="212" t="str">
        <f t="shared" si="1"/>
        <v/>
      </c>
      <c r="U10" s="212" t="str">
        <f t="shared" si="2"/>
        <v/>
      </c>
      <c r="V10" s="212" t="str">
        <f t="shared" si="3"/>
        <v/>
      </c>
      <c r="W10" s="15" t="str">
        <f t="shared" si="4"/>
        <v>Cost of Goods Sold</v>
      </c>
      <c r="X10" s="2" t="str">
        <f t="shared" si="5"/>
        <v/>
      </c>
      <c r="Y10" s="2" t="str">
        <f t="shared" si="5"/>
        <v/>
      </c>
    </row>
    <row r="11" spans="7:25" ht="20.100000000000001" customHeight="1">
      <c r="G11" s="211"/>
      <c r="H11" s="210" t="s">
        <v>404</v>
      </c>
      <c r="I11" s="211"/>
      <c r="K11" s="211"/>
      <c r="L11" s="211"/>
      <c r="Q11" s="212" t="str">
        <f t="shared" si="0"/>
        <v/>
      </c>
      <c r="R11" s="212" t="str">
        <f t="shared" si="0"/>
        <v>■</v>
      </c>
      <c r="S11" s="212" t="str">
        <f t="shared" si="0"/>
        <v/>
      </c>
      <c r="T11" s="212" t="str">
        <f t="shared" si="1"/>
        <v/>
      </c>
      <c r="U11" s="212" t="str">
        <f t="shared" si="2"/>
        <v/>
      </c>
      <c r="V11" s="212" t="str">
        <f t="shared" si="3"/>
        <v/>
      </c>
      <c r="W11" s="15" t="str">
        <f t="shared" si="4"/>
        <v>Materials</v>
      </c>
      <c r="X11" s="2" t="str">
        <f t="shared" si="5"/>
        <v/>
      </c>
      <c r="Y11" s="2" t="str">
        <f t="shared" si="5"/>
        <v/>
      </c>
    </row>
    <row r="12" spans="7:25" ht="20.100000000000001" customHeight="1">
      <c r="G12" s="211"/>
      <c r="H12" s="211"/>
      <c r="I12" s="211"/>
      <c r="K12" s="211"/>
      <c r="L12" s="211" t="s">
        <v>405</v>
      </c>
      <c r="M12" s="206" t="s">
        <v>406</v>
      </c>
      <c r="N12" s="2" t="s">
        <v>407</v>
      </c>
      <c r="Q12" s="212" t="str">
        <f t="shared" si="0"/>
        <v/>
      </c>
      <c r="R12" s="212" t="str">
        <f t="shared" si="0"/>
        <v/>
      </c>
      <c r="S12" s="212" t="str">
        <f t="shared" si="0"/>
        <v/>
      </c>
      <c r="T12" s="212" t="str">
        <f t="shared" si="1"/>
        <v/>
      </c>
      <c r="U12" s="212" t="str">
        <f t="shared" si="2"/>
        <v/>
      </c>
      <c r="V12" s="212" t="str">
        <f t="shared" si="3"/>
        <v>-</v>
      </c>
      <c r="W12" s="2" t="str">
        <f t="shared" si="4"/>
        <v>Fabric</v>
      </c>
      <c r="X12" s="2" t="str">
        <f t="shared" si="5"/>
        <v>4110100</v>
      </c>
      <c r="Y12" s="2" t="str">
        <f t="shared" si="5"/>
        <v>Materials / Fab</v>
      </c>
    </row>
    <row r="13" spans="7:25" ht="20.100000000000001" customHeight="1">
      <c r="G13" s="211"/>
      <c r="H13" s="211"/>
      <c r="I13" s="211"/>
      <c r="K13" s="210"/>
      <c r="L13" s="211" t="s">
        <v>408</v>
      </c>
      <c r="M13" s="206" t="s">
        <v>409</v>
      </c>
      <c r="N13" s="2" t="s">
        <v>410</v>
      </c>
      <c r="Q13" s="212" t="str">
        <f t="shared" si="0"/>
        <v/>
      </c>
      <c r="R13" s="212" t="str">
        <f t="shared" si="0"/>
        <v/>
      </c>
      <c r="S13" s="212" t="str">
        <f t="shared" si="0"/>
        <v/>
      </c>
      <c r="T13" s="212" t="str">
        <f t="shared" si="1"/>
        <v/>
      </c>
      <c r="U13" s="212" t="str">
        <f t="shared" si="2"/>
        <v/>
      </c>
      <c r="V13" s="212" t="str">
        <f t="shared" si="3"/>
        <v>-</v>
      </c>
      <c r="W13" s="2" t="str">
        <f t="shared" si="4"/>
        <v>Accessory</v>
      </c>
      <c r="X13" s="2" t="str">
        <f t="shared" si="5"/>
        <v>4110200</v>
      </c>
      <c r="Y13" s="2" t="str">
        <f t="shared" si="5"/>
        <v>Materials / Acc</v>
      </c>
    </row>
    <row r="14" spans="7:25" ht="20.100000000000001" customHeight="1">
      <c r="G14" s="211"/>
      <c r="H14" s="211"/>
      <c r="I14" s="211"/>
      <c r="K14" s="211"/>
      <c r="L14" s="211" t="s">
        <v>408</v>
      </c>
      <c r="M14" s="206" t="s">
        <v>409</v>
      </c>
      <c r="N14" s="2" t="s">
        <v>411</v>
      </c>
      <c r="Q14" s="212" t="str">
        <f t="shared" si="0"/>
        <v/>
      </c>
      <c r="R14" s="212" t="str">
        <f t="shared" si="0"/>
        <v/>
      </c>
      <c r="S14" s="212" t="str">
        <f t="shared" si="0"/>
        <v/>
      </c>
      <c r="T14" s="212" t="str">
        <f t="shared" si="1"/>
        <v/>
      </c>
      <c r="U14" s="212" t="str">
        <f t="shared" si="2"/>
        <v/>
      </c>
      <c r="V14" s="212" t="str">
        <f t="shared" si="3"/>
        <v>-</v>
      </c>
      <c r="W14" s="2" t="str">
        <f t="shared" si="4"/>
        <v>Accessory</v>
      </c>
      <c r="X14" s="2" t="str">
        <f t="shared" si="5"/>
        <v>4110200</v>
      </c>
      <c r="Y14" s="2" t="str">
        <f t="shared" si="5"/>
        <v>Materials / Package</v>
      </c>
    </row>
    <row r="15" spans="7:25" ht="20.100000000000001" customHeight="1">
      <c r="G15" s="211"/>
      <c r="H15" s="211"/>
      <c r="I15" s="210"/>
      <c r="K15" s="211"/>
      <c r="L15" s="211" t="s">
        <v>412</v>
      </c>
      <c r="M15" s="206" t="s">
        <v>413</v>
      </c>
      <c r="N15" s="2" t="s">
        <v>414</v>
      </c>
      <c r="Q15" s="212" t="str">
        <f t="shared" si="0"/>
        <v/>
      </c>
      <c r="R15" s="212" t="str">
        <f t="shared" si="0"/>
        <v/>
      </c>
      <c r="S15" s="212" t="str">
        <f t="shared" si="0"/>
        <v/>
      </c>
      <c r="T15" s="212" t="str">
        <f t="shared" si="1"/>
        <v/>
      </c>
      <c r="U15" s="212" t="str">
        <f t="shared" si="2"/>
        <v/>
      </c>
      <c r="V15" s="212" t="str">
        <f t="shared" si="3"/>
        <v>-</v>
      </c>
      <c r="W15" s="2" t="str">
        <f t="shared" si="4"/>
        <v>Sub-processing</v>
      </c>
      <c r="X15" s="2" t="str">
        <f t="shared" si="5"/>
        <v>4110600</v>
      </c>
      <c r="Y15" s="2" t="str">
        <f t="shared" si="5"/>
        <v>Materials / Print</v>
      </c>
    </row>
    <row r="16" spans="7:25" ht="20.100000000000001" customHeight="1">
      <c r="G16" s="211"/>
      <c r="H16" s="211"/>
      <c r="I16" s="211"/>
      <c r="K16" s="211"/>
      <c r="L16" s="211" t="s">
        <v>412</v>
      </c>
      <c r="M16" s="206" t="s">
        <v>415</v>
      </c>
      <c r="N16" s="2" t="s">
        <v>416</v>
      </c>
      <c r="Q16" s="212" t="str">
        <f t="shared" si="0"/>
        <v/>
      </c>
      <c r="R16" s="212" t="str">
        <f t="shared" si="0"/>
        <v/>
      </c>
      <c r="S16" s="212" t="str">
        <f t="shared" si="0"/>
        <v/>
      </c>
      <c r="T16" s="212" t="str">
        <f t="shared" si="1"/>
        <v/>
      </c>
      <c r="U16" s="212" t="str">
        <f t="shared" si="2"/>
        <v/>
      </c>
      <c r="V16" s="212" t="str">
        <f t="shared" si="3"/>
        <v>-</v>
      </c>
      <c r="W16" s="2" t="str">
        <f t="shared" si="4"/>
        <v>Sub-processing</v>
      </c>
      <c r="X16" s="2" t="str">
        <f t="shared" si="5"/>
        <v>4110700</v>
      </c>
      <c r="Y16" s="2" t="str">
        <f t="shared" si="5"/>
        <v>Materials / EMB</v>
      </c>
    </row>
    <row r="17" spans="1:25" ht="20.100000000000001" customHeight="1">
      <c r="G17" s="211"/>
      <c r="H17" s="211"/>
      <c r="I17" s="211"/>
      <c r="K17" s="211"/>
      <c r="L17" s="211" t="s">
        <v>412</v>
      </c>
      <c r="M17" s="206" t="s">
        <v>417</v>
      </c>
      <c r="N17" s="2" t="s">
        <v>418</v>
      </c>
      <c r="Q17" s="212" t="str">
        <f t="shared" si="0"/>
        <v/>
      </c>
      <c r="R17" s="212" t="str">
        <f t="shared" si="0"/>
        <v/>
      </c>
      <c r="S17" s="212" t="str">
        <f t="shared" si="0"/>
        <v/>
      </c>
      <c r="T17" s="212" t="str">
        <f t="shared" si="1"/>
        <v/>
      </c>
      <c r="U17" s="212" t="str">
        <f t="shared" si="2"/>
        <v/>
      </c>
      <c r="V17" s="212" t="str">
        <f t="shared" si="3"/>
        <v>-</v>
      </c>
      <c r="W17" s="2" t="str">
        <f t="shared" si="4"/>
        <v>Sub-processing</v>
      </c>
      <c r="X17" s="2" t="str">
        <f t="shared" si="5"/>
        <v>4110800</v>
      </c>
      <c r="Y17" s="2" t="str">
        <f t="shared" si="5"/>
        <v>Materials / Washing</v>
      </c>
    </row>
    <row r="18" spans="1:25" ht="20.100000000000001" customHeight="1">
      <c r="G18" s="211"/>
      <c r="H18" s="211"/>
      <c r="I18" s="210"/>
      <c r="K18" s="211"/>
      <c r="L18" s="211" t="s">
        <v>419</v>
      </c>
      <c r="M18" s="206" t="s">
        <v>420</v>
      </c>
      <c r="N18" s="2" t="s">
        <v>421</v>
      </c>
      <c r="Q18" s="212" t="str">
        <f t="shared" si="0"/>
        <v/>
      </c>
      <c r="R18" s="212" t="str">
        <f t="shared" si="0"/>
        <v/>
      </c>
      <c r="S18" s="212" t="str">
        <f t="shared" si="0"/>
        <v/>
      </c>
      <c r="T18" s="212" t="str">
        <f t="shared" si="1"/>
        <v/>
      </c>
      <c r="U18" s="212" t="str">
        <f t="shared" si="2"/>
        <v/>
      </c>
      <c r="V18" s="212" t="str">
        <f t="shared" si="3"/>
        <v>-</v>
      </c>
      <c r="W18" s="2" t="str">
        <f t="shared" si="4"/>
        <v>Other materials</v>
      </c>
      <c r="X18" s="2" t="str">
        <f t="shared" si="5"/>
        <v>4110900</v>
      </c>
      <c r="Y18" s="2" t="str">
        <f t="shared" si="5"/>
        <v>Materials / Others</v>
      </c>
    </row>
    <row r="19" spans="1:25" s="15" customFormat="1" ht="20.100000000000001" customHeight="1">
      <c r="A19" s="218"/>
      <c r="B19" s="218"/>
      <c r="C19" s="218"/>
      <c r="D19" s="218"/>
      <c r="E19" s="219"/>
      <c r="F19" s="218"/>
      <c r="G19" s="210"/>
      <c r="H19" s="210" t="s">
        <v>422</v>
      </c>
      <c r="I19" s="210"/>
      <c r="J19" s="218"/>
      <c r="K19" s="210"/>
      <c r="L19" s="210"/>
      <c r="M19" s="218"/>
      <c r="Q19" s="212" t="str">
        <f t="shared" si="0"/>
        <v/>
      </c>
      <c r="R19" s="212" t="str">
        <f t="shared" si="0"/>
        <v>■</v>
      </c>
      <c r="S19" s="212" t="str">
        <f t="shared" si="0"/>
        <v/>
      </c>
      <c r="T19" s="212" t="str">
        <f t="shared" si="1"/>
        <v/>
      </c>
      <c r="U19" s="212" t="str">
        <f t="shared" si="2"/>
        <v/>
      </c>
      <c r="V19" s="212" t="str">
        <f t="shared" si="3"/>
        <v/>
      </c>
      <c r="W19" s="15" t="str">
        <f t="shared" si="4"/>
        <v>Outsourced processing expense</v>
      </c>
      <c r="X19" s="15" t="str">
        <f t="shared" si="5"/>
        <v/>
      </c>
      <c r="Y19" s="15" t="str">
        <f t="shared" si="5"/>
        <v/>
      </c>
    </row>
    <row r="20" spans="1:25" ht="20.100000000000001" customHeight="1">
      <c r="G20" s="211"/>
      <c r="H20" s="211"/>
      <c r="I20" s="211"/>
      <c r="K20" s="211"/>
      <c r="L20" s="211" t="s">
        <v>3</v>
      </c>
      <c r="M20" s="206" t="s">
        <v>423</v>
      </c>
      <c r="N20" s="2" t="s">
        <v>424</v>
      </c>
      <c r="Q20" s="212" t="str">
        <f t="shared" si="0"/>
        <v/>
      </c>
      <c r="R20" s="212" t="str">
        <f t="shared" si="0"/>
        <v/>
      </c>
      <c r="S20" s="212" t="str">
        <f t="shared" si="0"/>
        <v/>
      </c>
      <c r="T20" s="212" t="str">
        <f t="shared" si="1"/>
        <v/>
      </c>
      <c r="U20" s="212" t="str">
        <f t="shared" si="2"/>
        <v/>
      </c>
      <c r="V20" s="212" t="str">
        <f t="shared" si="3"/>
        <v>-</v>
      </c>
      <c r="W20" s="2" t="str">
        <f t="shared" si="4"/>
        <v>Sewing</v>
      </c>
      <c r="X20" s="2" t="str">
        <f t="shared" si="5"/>
        <v>4160100</v>
      </c>
      <c r="Y20" s="2" t="str">
        <f t="shared" si="5"/>
        <v>Outsourcing./ Sewing</v>
      </c>
    </row>
    <row r="21" spans="1:25" ht="20.100000000000001" customHeight="1">
      <c r="G21" s="211"/>
      <c r="H21" s="211"/>
      <c r="I21" s="211"/>
      <c r="K21" s="210"/>
      <c r="L21" s="211" t="s">
        <v>412</v>
      </c>
      <c r="M21" s="206" t="s">
        <v>425</v>
      </c>
      <c r="N21" s="2" t="s">
        <v>426</v>
      </c>
      <c r="Q21" s="212" t="str">
        <f t="shared" si="0"/>
        <v/>
      </c>
      <c r="R21" s="212" t="str">
        <f t="shared" si="0"/>
        <v/>
      </c>
      <c r="S21" s="212" t="str">
        <f t="shared" si="0"/>
        <v/>
      </c>
      <c r="T21" s="212" t="str">
        <f t="shared" si="1"/>
        <v/>
      </c>
      <c r="U21" s="212" t="str">
        <f t="shared" si="2"/>
        <v/>
      </c>
      <c r="V21" s="212" t="str">
        <f t="shared" si="3"/>
        <v>-</v>
      </c>
      <c r="W21" s="2" t="str">
        <f t="shared" si="4"/>
        <v>Sub-processing</v>
      </c>
      <c r="X21" s="2" t="str">
        <f t="shared" si="5"/>
        <v>4160501</v>
      </c>
      <c r="Y21" s="2" t="str">
        <f t="shared" si="5"/>
        <v>Outsourcing./ Print</v>
      </c>
    </row>
    <row r="22" spans="1:25" ht="20.100000000000001" customHeight="1">
      <c r="G22" s="211"/>
      <c r="H22" s="211"/>
      <c r="I22" s="211"/>
      <c r="K22" s="211"/>
      <c r="L22" s="211" t="s">
        <v>412</v>
      </c>
      <c r="M22" s="206" t="s">
        <v>427</v>
      </c>
      <c r="N22" s="2" t="s">
        <v>428</v>
      </c>
      <c r="Q22" s="212" t="str">
        <f t="shared" si="0"/>
        <v/>
      </c>
      <c r="R22" s="212" t="str">
        <f t="shared" si="0"/>
        <v/>
      </c>
      <c r="S22" s="212" t="str">
        <f t="shared" si="0"/>
        <v/>
      </c>
      <c r="T22" s="212" t="str">
        <f t="shared" si="1"/>
        <v/>
      </c>
      <c r="U22" s="212" t="str">
        <f t="shared" si="2"/>
        <v/>
      </c>
      <c r="V22" s="212" t="str">
        <f t="shared" si="3"/>
        <v>-</v>
      </c>
      <c r="W22" s="2" t="str">
        <f t="shared" si="4"/>
        <v>Sub-processing</v>
      </c>
      <c r="X22" s="2" t="str">
        <f t="shared" si="5"/>
        <v>4160503</v>
      </c>
      <c r="Y22" s="2" t="str">
        <f t="shared" si="5"/>
        <v>Outsourcing./ EMB</v>
      </c>
    </row>
    <row r="23" spans="1:25" ht="20.100000000000001" customHeight="1">
      <c r="G23" s="211"/>
      <c r="H23" s="211"/>
      <c r="I23" s="211"/>
      <c r="K23" s="211"/>
      <c r="L23" s="211" t="s">
        <v>412</v>
      </c>
      <c r="M23" s="206" t="s">
        <v>429</v>
      </c>
      <c r="N23" s="2" t="s">
        <v>430</v>
      </c>
      <c r="Q23" s="212" t="str">
        <f t="shared" si="0"/>
        <v/>
      </c>
      <c r="R23" s="212" t="str">
        <f t="shared" si="0"/>
        <v/>
      </c>
      <c r="S23" s="212" t="str">
        <f t="shared" si="0"/>
        <v/>
      </c>
      <c r="T23" s="212" t="str">
        <f t="shared" si="1"/>
        <v/>
      </c>
      <c r="U23" s="212" t="str">
        <f t="shared" si="2"/>
        <v/>
      </c>
      <c r="V23" s="212" t="str">
        <f t="shared" si="3"/>
        <v>-</v>
      </c>
      <c r="W23" s="2" t="str">
        <f t="shared" si="4"/>
        <v>Sub-processing</v>
      </c>
      <c r="X23" s="2" t="str">
        <f t="shared" si="5"/>
        <v>4160505</v>
      </c>
      <c r="Y23" s="2" t="str">
        <f t="shared" si="5"/>
        <v>Outsourcing./ Washing</v>
      </c>
    </row>
    <row r="24" spans="1:25" ht="20.100000000000001" customHeight="1">
      <c r="G24" s="211"/>
      <c r="H24" s="211"/>
      <c r="I24" s="211"/>
      <c r="K24" s="211"/>
      <c r="L24" s="211" t="s">
        <v>431</v>
      </c>
      <c r="M24" s="206" t="s">
        <v>432</v>
      </c>
      <c r="N24" s="2" t="s">
        <v>433</v>
      </c>
      <c r="Q24" s="212" t="str">
        <f t="shared" si="0"/>
        <v/>
      </c>
      <c r="R24" s="212" t="str">
        <f t="shared" si="0"/>
        <v/>
      </c>
      <c r="S24" s="212" t="str">
        <f t="shared" si="0"/>
        <v/>
      </c>
      <c r="T24" s="212" t="str">
        <f t="shared" si="1"/>
        <v/>
      </c>
      <c r="U24" s="212" t="str">
        <f t="shared" si="2"/>
        <v/>
      </c>
      <c r="V24" s="212" t="str">
        <f t="shared" si="3"/>
        <v>-</v>
      </c>
      <c r="W24" s="2" t="str">
        <f t="shared" si="4"/>
        <v>Others</v>
      </c>
      <c r="X24" s="2" t="str">
        <f t="shared" si="5"/>
        <v>4160900</v>
      </c>
      <c r="Y24" s="2" t="str">
        <f t="shared" si="5"/>
        <v>Outsourcing./ Others</v>
      </c>
    </row>
    <row r="25" spans="1:25" s="15" customFormat="1" ht="20.100000000000001" customHeight="1">
      <c r="A25" s="218"/>
      <c r="B25" s="218"/>
      <c r="C25" s="218"/>
      <c r="D25" s="218"/>
      <c r="E25" s="219"/>
      <c r="F25" s="218"/>
      <c r="G25" s="210"/>
      <c r="H25" s="210" t="s">
        <v>434</v>
      </c>
      <c r="I25" s="210"/>
      <c r="J25" s="218"/>
      <c r="K25" s="210"/>
      <c r="L25" s="210"/>
      <c r="M25" s="218"/>
      <c r="Q25" s="212" t="str">
        <f t="shared" si="0"/>
        <v/>
      </c>
      <c r="R25" s="212" t="str">
        <f t="shared" si="0"/>
        <v>■</v>
      </c>
      <c r="S25" s="212" t="str">
        <f t="shared" si="0"/>
        <v/>
      </c>
      <c r="T25" s="212" t="str">
        <f t="shared" si="1"/>
        <v/>
      </c>
      <c r="U25" s="212" t="str">
        <f t="shared" si="2"/>
        <v/>
      </c>
      <c r="V25" s="212" t="str">
        <f t="shared" si="3"/>
        <v/>
      </c>
      <c r="W25" s="15" t="str">
        <f t="shared" si="4"/>
        <v>Water, Electric and Fuel</v>
      </c>
      <c r="X25" s="15" t="str">
        <f t="shared" si="5"/>
        <v/>
      </c>
      <c r="Y25" s="15" t="str">
        <f t="shared" si="5"/>
        <v/>
      </c>
    </row>
    <row r="26" spans="1:25" ht="20.100000000000001" customHeight="1">
      <c r="G26" s="211"/>
      <c r="H26" s="211"/>
      <c r="I26" s="210"/>
      <c r="K26" s="211"/>
      <c r="L26" s="211" t="s">
        <v>435</v>
      </c>
      <c r="M26" s="206" t="s">
        <v>436</v>
      </c>
      <c r="N26" s="2" t="s">
        <v>437</v>
      </c>
      <c r="Q26" s="212" t="str">
        <f t="shared" si="0"/>
        <v/>
      </c>
      <c r="R26" s="212" t="str">
        <f t="shared" si="0"/>
        <v/>
      </c>
      <c r="S26" s="212" t="str">
        <f t="shared" si="0"/>
        <v/>
      </c>
      <c r="T26" s="212" t="str">
        <f t="shared" si="1"/>
        <v/>
      </c>
      <c r="U26" s="212" t="str">
        <f t="shared" si="2"/>
        <v/>
      </c>
      <c r="V26" s="212" t="str">
        <f t="shared" si="3"/>
        <v>-</v>
      </c>
      <c r="W26" s="2" t="str">
        <f t="shared" si="4"/>
        <v>Water</v>
      </c>
      <c r="X26" s="2" t="str">
        <f t="shared" si="5"/>
        <v>4180500</v>
      </c>
      <c r="Y26" s="2" t="str">
        <f t="shared" si="5"/>
        <v>C.Water</v>
      </c>
    </row>
    <row r="27" spans="1:25" ht="20.100000000000001" customHeight="1">
      <c r="G27" s="211"/>
      <c r="H27" s="211"/>
      <c r="I27" s="211"/>
      <c r="K27" s="210"/>
      <c r="L27" s="211" t="s">
        <v>438</v>
      </c>
      <c r="M27" s="206" t="s">
        <v>439</v>
      </c>
      <c r="N27" s="2" t="s">
        <v>440</v>
      </c>
      <c r="Q27" s="212" t="str">
        <f t="shared" si="0"/>
        <v/>
      </c>
      <c r="R27" s="212" t="str">
        <f t="shared" si="0"/>
        <v/>
      </c>
      <c r="S27" s="212" t="str">
        <f t="shared" si="0"/>
        <v/>
      </c>
      <c r="T27" s="212" t="str">
        <f t="shared" si="1"/>
        <v/>
      </c>
      <c r="U27" s="212" t="str">
        <f t="shared" si="2"/>
        <v/>
      </c>
      <c r="V27" s="212" t="str">
        <f t="shared" si="3"/>
        <v>-</v>
      </c>
      <c r="W27" s="2" t="str">
        <f t="shared" si="4"/>
        <v>Electric</v>
      </c>
      <c r="X27" s="2" t="str">
        <f t="shared" si="5"/>
        <v>4180300</v>
      </c>
      <c r="Y27" s="2" t="str">
        <f t="shared" si="5"/>
        <v>C.Electric</v>
      </c>
    </row>
    <row r="28" spans="1:25" ht="20.100000000000001" customHeight="1">
      <c r="G28" s="211"/>
      <c r="H28" s="211"/>
      <c r="I28" s="211"/>
      <c r="K28" s="210"/>
      <c r="L28" s="211" t="s">
        <v>441</v>
      </c>
      <c r="M28" s="206" t="s">
        <v>442</v>
      </c>
      <c r="N28" s="2" t="s">
        <v>443</v>
      </c>
      <c r="Q28" s="212" t="str">
        <f t="shared" si="0"/>
        <v/>
      </c>
      <c r="R28" s="212" t="str">
        <f t="shared" si="0"/>
        <v/>
      </c>
      <c r="S28" s="212" t="str">
        <f t="shared" si="0"/>
        <v/>
      </c>
      <c r="T28" s="212" t="str">
        <f t="shared" si="1"/>
        <v/>
      </c>
      <c r="U28" s="212" t="str">
        <f t="shared" si="2"/>
        <v/>
      </c>
      <c r="V28" s="212" t="str">
        <f t="shared" si="3"/>
        <v>-</v>
      </c>
      <c r="W28" s="2" t="str">
        <f t="shared" si="4"/>
        <v>Fuel</v>
      </c>
      <c r="X28" s="2" t="str">
        <f t="shared" si="5"/>
        <v>4180100</v>
      </c>
      <c r="Y28" s="2" t="str">
        <f t="shared" si="5"/>
        <v>C.Fuel</v>
      </c>
    </row>
    <row r="29" spans="1:25" s="15" customFormat="1" ht="20.100000000000001" customHeight="1">
      <c r="A29" s="218"/>
      <c r="B29" s="218"/>
      <c r="C29" s="218"/>
      <c r="D29" s="218"/>
      <c r="E29" s="219"/>
      <c r="F29" s="218"/>
      <c r="G29" s="210"/>
      <c r="H29" s="210" t="s">
        <v>444</v>
      </c>
      <c r="I29" s="210"/>
      <c r="J29" s="218"/>
      <c r="K29" s="210"/>
      <c r="L29" s="210"/>
      <c r="Q29" s="212" t="str">
        <f t="shared" si="0"/>
        <v/>
      </c>
      <c r="R29" s="212" t="str">
        <f t="shared" si="0"/>
        <v>■</v>
      </c>
      <c r="S29" s="212" t="str">
        <f t="shared" si="0"/>
        <v/>
      </c>
      <c r="T29" s="212" t="str">
        <f t="shared" si="1"/>
        <v/>
      </c>
      <c r="U29" s="212" t="str">
        <f t="shared" si="2"/>
        <v/>
      </c>
      <c r="V29" s="212" t="str">
        <f t="shared" si="3"/>
        <v/>
      </c>
      <c r="W29" s="15" t="str">
        <f t="shared" si="4"/>
        <v>Personnel expense</v>
      </c>
      <c r="X29" s="15" t="str">
        <f t="shared" si="5"/>
        <v/>
      </c>
      <c r="Y29" s="15" t="str">
        <f t="shared" si="5"/>
        <v/>
      </c>
    </row>
    <row r="30" spans="1:25" s="15" customFormat="1" ht="20.100000000000001" customHeight="1">
      <c r="A30" s="218"/>
      <c r="B30" s="218"/>
      <c r="C30" s="218"/>
      <c r="D30" s="218"/>
      <c r="E30" s="219"/>
      <c r="F30" s="218"/>
      <c r="G30" s="210"/>
      <c r="H30" s="210"/>
      <c r="I30" s="210" t="s">
        <v>445</v>
      </c>
      <c r="J30" s="218"/>
      <c r="K30" s="210"/>
      <c r="L30" s="210"/>
      <c r="Q30" s="212" t="str">
        <f t="shared" si="0"/>
        <v/>
      </c>
      <c r="R30" s="212" t="str">
        <f t="shared" si="0"/>
        <v/>
      </c>
      <c r="S30" s="212" t="str">
        <f t="shared" si="0"/>
        <v>■</v>
      </c>
      <c r="T30" s="212" t="str">
        <f t="shared" si="1"/>
        <v/>
      </c>
      <c r="U30" s="212" t="str">
        <f t="shared" si="2"/>
        <v/>
      </c>
      <c r="V30" s="212" t="str">
        <f t="shared" si="3"/>
        <v/>
      </c>
      <c r="W30" s="15" t="str">
        <f t="shared" si="4"/>
        <v>Salary</v>
      </c>
      <c r="X30" s="15" t="str">
        <f t="shared" si="5"/>
        <v/>
      </c>
      <c r="Y30" s="15" t="str">
        <f t="shared" si="5"/>
        <v/>
      </c>
    </row>
    <row r="31" spans="1:25" ht="20.100000000000001" customHeight="1">
      <c r="G31" s="211"/>
      <c r="H31" s="211"/>
      <c r="I31" s="211"/>
      <c r="L31" s="211" t="s">
        <v>446</v>
      </c>
      <c r="M31" s="206" t="s">
        <v>447</v>
      </c>
      <c r="N31" s="2" t="s">
        <v>448</v>
      </c>
      <c r="Q31" s="212" t="str">
        <f t="shared" si="0"/>
        <v/>
      </c>
      <c r="R31" s="212" t="str">
        <f t="shared" si="0"/>
        <v/>
      </c>
      <c r="S31" s="212" t="str">
        <f t="shared" si="0"/>
        <v/>
      </c>
      <c r="T31" s="212" t="str">
        <f t="shared" si="1"/>
        <v/>
      </c>
      <c r="U31" s="212" t="str">
        <f t="shared" si="2"/>
        <v/>
      </c>
      <c r="V31" s="212" t="str">
        <f t="shared" si="3"/>
        <v>-</v>
      </c>
      <c r="W31" s="2" t="str">
        <f t="shared" si="4"/>
        <v>Basic Salary</v>
      </c>
      <c r="X31" s="2" t="str">
        <f t="shared" si="5"/>
        <v>4311101</v>
      </c>
      <c r="Y31" s="2" t="str">
        <f t="shared" si="5"/>
        <v>C.Basic Salary / Korean</v>
      </c>
    </row>
    <row r="32" spans="1:25" ht="20.100000000000001" customHeight="1">
      <c r="G32" s="211"/>
      <c r="H32" s="211"/>
      <c r="I32" s="211"/>
      <c r="L32" s="211" t="s">
        <v>446</v>
      </c>
      <c r="M32" s="206" t="s">
        <v>449</v>
      </c>
      <c r="N32" s="2" t="s">
        <v>450</v>
      </c>
      <c r="Q32" s="212" t="str">
        <f t="shared" si="0"/>
        <v/>
      </c>
      <c r="R32" s="212" t="str">
        <f t="shared" si="0"/>
        <v/>
      </c>
      <c r="S32" s="212" t="str">
        <f t="shared" si="0"/>
        <v/>
      </c>
      <c r="T32" s="212" t="str">
        <f t="shared" si="1"/>
        <v/>
      </c>
      <c r="U32" s="212" t="str">
        <f t="shared" si="2"/>
        <v/>
      </c>
      <c r="V32" s="212" t="str">
        <f t="shared" si="3"/>
        <v>-</v>
      </c>
      <c r="W32" s="2" t="str">
        <f t="shared" si="4"/>
        <v>Basic Salary</v>
      </c>
      <c r="X32" s="2" t="str">
        <f t="shared" si="5"/>
        <v>4311102</v>
      </c>
      <c r="Y32" s="2" t="str">
        <f t="shared" si="5"/>
        <v>C.Basic Salary / Foreigner</v>
      </c>
    </row>
    <row r="33" spans="7:25" ht="20.100000000000001" customHeight="1">
      <c r="G33" s="211"/>
      <c r="H33" s="211"/>
      <c r="I33" s="211"/>
      <c r="L33" s="211" t="s">
        <v>446</v>
      </c>
      <c r="M33" s="206" t="s">
        <v>451</v>
      </c>
      <c r="N33" s="2" t="s">
        <v>452</v>
      </c>
      <c r="Q33" s="212" t="str">
        <f t="shared" si="0"/>
        <v/>
      </c>
      <c r="R33" s="212" t="str">
        <f t="shared" si="0"/>
        <v/>
      </c>
      <c r="S33" s="212" t="str">
        <f t="shared" si="0"/>
        <v/>
      </c>
      <c r="T33" s="212" t="str">
        <f t="shared" si="1"/>
        <v/>
      </c>
      <c r="U33" s="212" t="str">
        <f t="shared" si="2"/>
        <v/>
      </c>
      <c r="V33" s="212" t="str">
        <f t="shared" si="3"/>
        <v>-</v>
      </c>
      <c r="W33" s="2" t="str">
        <f t="shared" si="4"/>
        <v>Basic Salary</v>
      </c>
      <c r="X33" s="2" t="str">
        <f t="shared" si="5"/>
        <v>4311103</v>
      </c>
      <c r="Y33" s="2" t="str">
        <f t="shared" si="5"/>
        <v>C.Basic Salary / Local</v>
      </c>
    </row>
    <row r="34" spans="7:25" ht="20.100000000000001" customHeight="1">
      <c r="G34" s="211"/>
      <c r="H34" s="211"/>
      <c r="I34" s="211"/>
      <c r="L34" s="211" t="s">
        <v>453</v>
      </c>
      <c r="M34" s="206" t="s">
        <v>454</v>
      </c>
      <c r="N34" s="2" t="s">
        <v>455</v>
      </c>
      <c r="Q34" s="212" t="str">
        <f t="shared" si="0"/>
        <v/>
      </c>
      <c r="R34" s="212" t="str">
        <f t="shared" si="0"/>
        <v/>
      </c>
      <c r="S34" s="212" t="str">
        <f t="shared" si="0"/>
        <v/>
      </c>
      <c r="T34" s="212" t="str">
        <f t="shared" si="1"/>
        <v/>
      </c>
      <c r="U34" s="212" t="str">
        <f t="shared" si="2"/>
        <v/>
      </c>
      <c r="V34" s="212" t="str">
        <f t="shared" si="3"/>
        <v>-</v>
      </c>
      <c r="W34" s="2" t="str">
        <f t="shared" si="4"/>
        <v>Overtime</v>
      </c>
      <c r="X34" s="2" t="str">
        <f t="shared" si="5"/>
        <v>4311151</v>
      </c>
      <c r="Y34" s="2" t="str">
        <f t="shared" si="5"/>
        <v>C.Overtime / Korean</v>
      </c>
    </row>
    <row r="35" spans="7:25" ht="20.100000000000001" customHeight="1">
      <c r="G35" s="211"/>
      <c r="H35" s="210"/>
      <c r="I35" s="211"/>
      <c r="L35" s="211" t="s">
        <v>453</v>
      </c>
      <c r="M35" s="206" t="s">
        <v>456</v>
      </c>
      <c r="N35" s="2" t="s">
        <v>457</v>
      </c>
      <c r="Q35" s="212" t="str">
        <f t="shared" si="0"/>
        <v/>
      </c>
      <c r="R35" s="212" t="str">
        <f t="shared" si="0"/>
        <v/>
      </c>
      <c r="S35" s="212" t="str">
        <f t="shared" si="0"/>
        <v/>
      </c>
      <c r="T35" s="212" t="str">
        <f t="shared" si="1"/>
        <v/>
      </c>
      <c r="U35" s="212" t="str">
        <f t="shared" si="2"/>
        <v/>
      </c>
      <c r="V35" s="212" t="str">
        <f t="shared" si="3"/>
        <v>-</v>
      </c>
      <c r="W35" s="2" t="str">
        <f t="shared" si="4"/>
        <v>Overtime</v>
      </c>
      <c r="X35" s="2" t="str">
        <f t="shared" si="5"/>
        <v>4311152</v>
      </c>
      <c r="Y35" s="2" t="str">
        <f t="shared" si="5"/>
        <v>C.Overtime / Foreigner</v>
      </c>
    </row>
    <row r="36" spans="7:25" ht="20.100000000000001" customHeight="1">
      <c r="G36" s="211"/>
      <c r="H36" s="211"/>
      <c r="I36" s="210"/>
      <c r="L36" s="211" t="s">
        <v>453</v>
      </c>
      <c r="M36" s="206" t="s">
        <v>458</v>
      </c>
      <c r="N36" s="2" t="s">
        <v>459</v>
      </c>
      <c r="Q36" s="212" t="str">
        <f t="shared" si="0"/>
        <v/>
      </c>
      <c r="R36" s="212" t="str">
        <f t="shared" si="0"/>
        <v/>
      </c>
      <c r="S36" s="212" t="str">
        <f t="shared" si="0"/>
        <v/>
      </c>
      <c r="T36" s="212" t="str">
        <f t="shared" si="1"/>
        <v/>
      </c>
      <c r="U36" s="212" t="str">
        <f t="shared" si="2"/>
        <v/>
      </c>
      <c r="V36" s="212" t="str">
        <f t="shared" si="3"/>
        <v>-</v>
      </c>
      <c r="W36" s="2" t="str">
        <f t="shared" si="4"/>
        <v>Overtime</v>
      </c>
      <c r="X36" s="2" t="str">
        <f t="shared" si="5"/>
        <v>4311153</v>
      </c>
      <c r="Y36" s="2" t="str">
        <f t="shared" si="5"/>
        <v>C.Overtime / Local</v>
      </c>
    </row>
    <row r="37" spans="7:25" ht="20.100000000000001" customHeight="1">
      <c r="G37" s="211"/>
      <c r="H37" s="211"/>
      <c r="I37" s="210"/>
      <c r="L37" s="211" t="s">
        <v>460</v>
      </c>
      <c r="M37" s="2" t="s">
        <v>461</v>
      </c>
      <c r="N37" s="2" t="s">
        <v>462</v>
      </c>
      <c r="Q37" s="212" t="str">
        <f t="shared" si="0"/>
        <v/>
      </c>
      <c r="R37" s="212" t="str">
        <f t="shared" si="0"/>
        <v/>
      </c>
      <c r="S37" s="212" t="str">
        <f t="shared" si="0"/>
        <v/>
      </c>
      <c r="T37" s="212" t="str">
        <f t="shared" si="1"/>
        <v/>
      </c>
      <c r="U37" s="212" t="str">
        <f t="shared" si="2"/>
        <v/>
      </c>
      <c r="V37" s="212" t="str">
        <f t="shared" si="3"/>
        <v>-</v>
      </c>
      <c r="W37" s="2" t="str">
        <f t="shared" si="4"/>
        <v>Incentive</v>
      </c>
      <c r="X37" s="2" t="str">
        <f t="shared" si="5"/>
        <v>4311201</v>
      </c>
      <c r="Y37" s="2" t="str">
        <f t="shared" si="5"/>
        <v>C.Incentive / Korean</v>
      </c>
    </row>
    <row r="38" spans="7:25" ht="20.100000000000001" customHeight="1">
      <c r="G38" s="211"/>
      <c r="H38" s="211"/>
      <c r="I38" s="211"/>
      <c r="L38" s="211" t="s">
        <v>460</v>
      </c>
      <c r="M38" s="2" t="s">
        <v>463</v>
      </c>
      <c r="N38" s="2" t="s">
        <v>464</v>
      </c>
      <c r="Q38" s="212" t="str">
        <f t="shared" si="0"/>
        <v/>
      </c>
      <c r="R38" s="212" t="str">
        <f t="shared" si="0"/>
        <v/>
      </c>
      <c r="S38" s="212" t="str">
        <f t="shared" si="0"/>
        <v/>
      </c>
      <c r="T38" s="212" t="str">
        <f t="shared" si="1"/>
        <v/>
      </c>
      <c r="U38" s="212" t="str">
        <f t="shared" si="2"/>
        <v/>
      </c>
      <c r="V38" s="212" t="str">
        <f t="shared" si="3"/>
        <v>-</v>
      </c>
      <c r="W38" s="2" t="str">
        <f t="shared" si="4"/>
        <v>Incentive</v>
      </c>
      <c r="X38" s="2" t="str">
        <f t="shared" si="5"/>
        <v>4311202</v>
      </c>
      <c r="Y38" s="2" t="str">
        <f t="shared" si="5"/>
        <v>C.Incentive / Foreigner</v>
      </c>
    </row>
    <row r="39" spans="7:25" ht="20.100000000000001" customHeight="1">
      <c r="G39" s="211"/>
      <c r="H39" s="211"/>
      <c r="I39" s="211"/>
      <c r="L39" s="211" t="s">
        <v>460</v>
      </c>
      <c r="M39" s="206" t="s">
        <v>465</v>
      </c>
      <c r="N39" s="2" t="s">
        <v>466</v>
      </c>
      <c r="Q39" s="212" t="str">
        <f t="shared" si="0"/>
        <v/>
      </c>
      <c r="R39" s="212" t="str">
        <f t="shared" si="0"/>
        <v/>
      </c>
      <c r="S39" s="212" t="str">
        <f t="shared" si="0"/>
        <v/>
      </c>
      <c r="T39" s="212" t="str">
        <f t="shared" si="1"/>
        <v/>
      </c>
      <c r="U39" s="212" t="str">
        <f t="shared" si="2"/>
        <v/>
      </c>
      <c r="V39" s="212" t="str">
        <f t="shared" si="3"/>
        <v>-</v>
      </c>
      <c r="W39" s="2" t="str">
        <f t="shared" si="4"/>
        <v>Incentive</v>
      </c>
      <c r="X39" s="2" t="str">
        <f t="shared" si="5"/>
        <v>4311203</v>
      </c>
      <c r="Y39" s="2" t="str">
        <f t="shared" si="5"/>
        <v>C.Incentive / Local</v>
      </c>
    </row>
    <row r="40" spans="7:25" ht="20.100000000000001" customHeight="1">
      <c r="G40" s="211"/>
      <c r="H40" s="211"/>
      <c r="I40" s="211"/>
      <c r="L40" s="211" t="s">
        <v>467</v>
      </c>
      <c r="M40" s="206" t="s">
        <v>468</v>
      </c>
      <c r="N40" s="2" t="s">
        <v>469</v>
      </c>
      <c r="Q40" s="212" t="str">
        <f t="shared" si="0"/>
        <v/>
      </c>
      <c r="R40" s="212" t="str">
        <f t="shared" si="0"/>
        <v/>
      </c>
      <c r="S40" s="212" t="str">
        <f t="shared" si="0"/>
        <v/>
      </c>
      <c r="T40" s="212" t="str">
        <f t="shared" si="1"/>
        <v/>
      </c>
      <c r="U40" s="212" t="str">
        <f t="shared" si="2"/>
        <v/>
      </c>
      <c r="V40" s="212" t="str">
        <f t="shared" si="3"/>
        <v>-</v>
      </c>
      <c r="W40" s="2" t="str">
        <f t="shared" si="4"/>
        <v>Bonus</v>
      </c>
      <c r="X40" s="2" t="str">
        <f t="shared" si="5"/>
        <v>4311251</v>
      </c>
      <c r="Y40" s="2" t="str">
        <f t="shared" si="5"/>
        <v>C.Bonus / Korean</v>
      </c>
    </row>
    <row r="41" spans="7:25" ht="20.100000000000001" customHeight="1">
      <c r="G41" s="211"/>
      <c r="H41" s="211"/>
      <c r="I41" s="211"/>
      <c r="L41" s="211" t="s">
        <v>467</v>
      </c>
      <c r="M41" s="206" t="s">
        <v>470</v>
      </c>
      <c r="N41" s="2" t="s">
        <v>471</v>
      </c>
      <c r="Q41" s="212" t="str">
        <f t="shared" si="0"/>
        <v/>
      </c>
      <c r="R41" s="212" t="str">
        <f t="shared" si="0"/>
        <v/>
      </c>
      <c r="S41" s="212" t="str">
        <f t="shared" si="0"/>
        <v/>
      </c>
      <c r="T41" s="212" t="str">
        <f t="shared" si="1"/>
        <v/>
      </c>
      <c r="U41" s="212" t="str">
        <f t="shared" si="2"/>
        <v/>
      </c>
      <c r="V41" s="212" t="str">
        <f t="shared" si="3"/>
        <v>-</v>
      </c>
      <c r="W41" s="2" t="str">
        <f t="shared" si="4"/>
        <v>Bonus</v>
      </c>
      <c r="X41" s="2" t="str">
        <f t="shared" si="5"/>
        <v>4311252</v>
      </c>
      <c r="Y41" s="2" t="str">
        <f t="shared" si="5"/>
        <v>C.Bonus / Foreigner</v>
      </c>
    </row>
    <row r="42" spans="7:25" ht="20.100000000000001" customHeight="1">
      <c r="G42" s="211"/>
      <c r="H42" s="211"/>
      <c r="I42" s="211"/>
      <c r="L42" s="211" t="s">
        <v>467</v>
      </c>
      <c r="M42" s="206" t="s">
        <v>472</v>
      </c>
      <c r="N42" s="2" t="s">
        <v>473</v>
      </c>
      <c r="Q42" s="212" t="str">
        <f t="shared" si="0"/>
        <v/>
      </c>
      <c r="R42" s="212" t="str">
        <f t="shared" si="0"/>
        <v/>
      </c>
      <c r="S42" s="212" t="str">
        <f t="shared" si="0"/>
        <v/>
      </c>
      <c r="T42" s="212" t="str">
        <f t="shared" si="1"/>
        <v/>
      </c>
      <c r="U42" s="212" t="str">
        <f t="shared" si="2"/>
        <v/>
      </c>
      <c r="V42" s="212" t="str">
        <f t="shared" si="3"/>
        <v>-</v>
      </c>
      <c r="W42" s="2" t="str">
        <f t="shared" si="4"/>
        <v>Bonus</v>
      </c>
      <c r="X42" s="2" t="str">
        <f t="shared" si="5"/>
        <v>4311253</v>
      </c>
      <c r="Y42" s="2" t="str">
        <f t="shared" si="5"/>
        <v>C.Bonus / Local</v>
      </c>
    </row>
    <row r="43" spans="7:25" ht="20.100000000000001" customHeight="1">
      <c r="G43" s="211"/>
      <c r="H43" s="211"/>
      <c r="I43" s="211"/>
      <c r="L43" s="211" t="s">
        <v>474</v>
      </c>
      <c r="M43" s="206" t="s">
        <v>475</v>
      </c>
      <c r="N43" s="2" t="s">
        <v>476</v>
      </c>
      <c r="Q43" s="212" t="str">
        <f t="shared" si="0"/>
        <v/>
      </c>
      <c r="R43" s="212" t="str">
        <f t="shared" si="0"/>
        <v/>
      </c>
      <c r="S43" s="212" t="str">
        <f t="shared" si="0"/>
        <v/>
      </c>
      <c r="T43" s="212" t="str">
        <f t="shared" si="1"/>
        <v/>
      </c>
      <c r="U43" s="212" t="str">
        <f t="shared" si="2"/>
        <v/>
      </c>
      <c r="V43" s="212" t="str">
        <f t="shared" si="3"/>
        <v>-</v>
      </c>
      <c r="W43" s="2" t="str">
        <f t="shared" si="4"/>
        <v>Annual Leave</v>
      </c>
      <c r="X43" s="2" t="str">
        <f t="shared" si="5"/>
        <v>4311301</v>
      </c>
      <c r="Y43" s="2" t="str">
        <f t="shared" si="5"/>
        <v>C.Annual Leave / Korean</v>
      </c>
    </row>
    <row r="44" spans="7:25" ht="20.100000000000001" customHeight="1">
      <c r="G44" s="211"/>
      <c r="H44" s="2"/>
      <c r="I44" s="2"/>
      <c r="L44" s="211" t="s">
        <v>474</v>
      </c>
      <c r="M44" s="206" t="s">
        <v>477</v>
      </c>
      <c r="N44" s="2" t="s">
        <v>478</v>
      </c>
      <c r="Q44" s="212" t="str">
        <f t="shared" si="0"/>
        <v/>
      </c>
      <c r="R44" s="212" t="str">
        <f t="shared" si="0"/>
        <v/>
      </c>
      <c r="S44" s="212" t="str">
        <f t="shared" si="0"/>
        <v/>
      </c>
      <c r="T44" s="212" t="str">
        <f t="shared" si="1"/>
        <v/>
      </c>
      <c r="U44" s="212" t="str">
        <f t="shared" si="2"/>
        <v/>
      </c>
      <c r="V44" s="212" t="str">
        <f t="shared" si="3"/>
        <v>-</v>
      </c>
      <c r="W44" s="2" t="str">
        <f t="shared" si="4"/>
        <v>Annual Leave</v>
      </c>
      <c r="X44" s="2" t="str">
        <f t="shared" si="5"/>
        <v>4311302</v>
      </c>
      <c r="Y44" s="2" t="str">
        <f t="shared" si="5"/>
        <v>C.Annual Leave / Foreigner</v>
      </c>
    </row>
    <row r="45" spans="7:25" ht="20.100000000000001" customHeight="1">
      <c r="G45" s="211"/>
      <c r="H45" s="2"/>
      <c r="I45" s="15"/>
      <c r="L45" s="211" t="s">
        <v>474</v>
      </c>
      <c r="M45" s="206" t="s">
        <v>479</v>
      </c>
      <c r="N45" s="2" t="s">
        <v>480</v>
      </c>
      <c r="Q45" s="212" t="str">
        <f t="shared" si="0"/>
        <v/>
      </c>
      <c r="R45" s="212" t="str">
        <f t="shared" si="0"/>
        <v/>
      </c>
      <c r="S45" s="212" t="str">
        <f t="shared" si="0"/>
        <v/>
      </c>
      <c r="T45" s="212" t="str">
        <f t="shared" si="1"/>
        <v/>
      </c>
      <c r="U45" s="212" t="str">
        <f t="shared" si="2"/>
        <v/>
      </c>
      <c r="V45" s="212" t="str">
        <f t="shared" si="3"/>
        <v>-</v>
      </c>
      <c r="W45" s="2" t="str">
        <f t="shared" si="4"/>
        <v>Annual Leave</v>
      </c>
      <c r="X45" s="2" t="str">
        <f t="shared" si="5"/>
        <v>4311303</v>
      </c>
      <c r="Y45" s="2" t="str">
        <f t="shared" si="5"/>
        <v>C.Annual Leave / Local</v>
      </c>
    </row>
    <row r="46" spans="7:25" ht="20.100000000000001" customHeight="1">
      <c r="G46" s="211"/>
      <c r="H46" s="2"/>
      <c r="I46" s="15"/>
      <c r="L46" s="2" t="s">
        <v>481</v>
      </c>
      <c r="M46" s="206" t="s">
        <v>482</v>
      </c>
      <c r="N46" s="2" t="s">
        <v>483</v>
      </c>
      <c r="Q46" s="212" t="str">
        <f t="shared" si="0"/>
        <v/>
      </c>
      <c r="R46" s="212" t="str">
        <f t="shared" si="0"/>
        <v/>
      </c>
      <c r="S46" s="212" t="str">
        <f t="shared" si="0"/>
        <v/>
      </c>
      <c r="T46" s="212" t="str">
        <f t="shared" si="1"/>
        <v/>
      </c>
      <c r="U46" s="212" t="str">
        <f t="shared" si="2"/>
        <v/>
      </c>
      <c r="V46" s="212" t="str">
        <f t="shared" si="3"/>
        <v>-</v>
      </c>
      <c r="W46" s="2" t="str">
        <f t="shared" si="4"/>
        <v>Other Salaries</v>
      </c>
      <c r="X46" s="2" t="str">
        <f t="shared" si="5"/>
        <v>4311351</v>
      </c>
      <c r="Y46" s="2" t="str">
        <f t="shared" si="5"/>
        <v>C.Other salaries / Korean</v>
      </c>
    </row>
    <row r="47" spans="7:25" ht="20.100000000000001" customHeight="1">
      <c r="G47" s="211"/>
      <c r="H47" s="2"/>
      <c r="I47" s="15"/>
      <c r="L47" s="2" t="s">
        <v>481</v>
      </c>
      <c r="M47" s="206" t="s">
        <v>484</v>
      </c>
      <c r="N47" s="2" t="s">
        <v>485</v>
      </c>
      <c r="Q47" s="212" t="str">
        <f t="shared" si="0"/>
        <v/>
      </c>
      <c r="R47" s="212" t="str">
        <f t="shared" si="0"/>
        <v/>
      </c>
      <c r="S47" s="212" t="str">
        <f t="shared" si="0"/>
        <v/>
      </c>
      <c r="T47" s="212" t="str">
        <f t="shared" si="1"/>
        <v/>
      </c>
      <c r="U47" s="212" t="str">
        <f t="shared" si="2"/>
        <v/>
      </c>
      <c r="V47" s="212" t="str">
        <f t="shared" si="3"/>
        <v>-</v>
      </c>
      <c r="W47" s="2" t="str">
        <f t="shared" si="4"/>
        <v>Other Salaries</v>
      </c>
      <c r="X47" s="2" t="str">
        <f t="shared" si="5"/>
        <v>4311352</v>
      </c>
      <c r="Y47" s="2" t="str">
        <f t="shared" si="5"/>
        <v>C.Other salaries / Foreigner</v>
      </c>
    </row>
    <row r="48" spans="7:25" ht="20.100000000000001" customHeight="1">
      <c r="G48" s="211"/>
      <c r="L48" s="2" t="s">
        <v>481</v>
      </c>
      <c r="M48" s="206" t="s">
        <v>486</v>
      </c>
      <c r="N48" s="2" t="s">
        <v>487</v>
      </c>
      <c r="Q48" s="212" t="str">
        <f t="shared" si="0"/>
        <v/>
      </c>
      <c r="R48" s="212" t="str">
        <f t="shared" si="0"/>
        <v/>
      </c>
      <c r="S48" s="212" t="str">
        <f t="shared" si="0"/>
        <v/>
      </c>
      <c r="T48" s="212" t="str">
        <f t="shared" si="1"/>
        <v/>
      </c>
      <c r="U48" s="212" t="str">
        <f t="shared" si="2"/>
        <v/>
      </c>
      <c r="V48" s="212" t="str">
        <f t="shared" si="3"/>
        <v>-</v>
      </c>
      <c r="W48" s="2" t="str">
        <f t="shared" si="4"/>
        <v>Other Salaries</v>
      </c>
      <c r="X48" s="2" t="str">
        <f t="shared" si="5"/>
        <v>4311353</v>
      </c>
      <c r="Y48" s="2" t="str">
        <f t="shared" si="5"/>
        <v>C.Other salaries / Local</v>
      </c>
    </row>
    <row r="49" spans="1:25" ht="20.100000000000001" customHeight="1">
      <c r="G49" s="211"/>
      <c r="I49" s="210" t="s">
        <v>488</v>
      </c>
      <c r="L49" s="211"/>
      <c r="M49" s="206" t="s">
        <v>489</v>
      </c>
      <c r="N49" s="2" t="s">
        <v>490</v>
      </c>
      <c r="Q49" s="212" t="str">
        <f t="shared" si="0"/>
        <v/>
      </c>
      <c r="R49" s="212" t="str">
        <f t="shared" si="0"/>
        <v/>
      </c>
      <c r="S49" s="212" t="str">
        <f t="shared" si="0"/>
        <v>■</v>
      </c>
      <c r="T49" s="212" t="str">
        <f t="shared" si="1"/>
        <v/>
      </c>
      <c r="U49" s="212" t="str">
        <f t="shared" si="2"/>
        <v/>
      </c>
      <c r="V49" s="212" t="str">
        <f t="shared" si="3"/>
        <v/>
      </c>
      <c r="W49" s="15" t="str">
        <f t="shared" si="4"/>
        <v>Retirement Salary</v>
      </c>
      <c r="X49" s="2" t="str">
        <f t="shared" si="5"/>
        <v>4318101</v>
      </c>
      <c r="Y49" s="2" t="str">
        <f t="shared" si="5"/>
        <v>C.Retirement Salary / Korean</v>
      </c>
    </row>
    <row r="50" spans="1:25" ht="20.100000000000001" customHeight="1">
      <c r="G50" s="211"/>
      <c r="H50" s="2"/>
      <c r="I50" s="210" t="s">
        <v>488</v>
      </c>
      <c r="K50" s="2"/>
      <c r="L50" s="211"/>
      <c r="M50" s="206" t="s">
        <v>491</v>
      </c>
      <c r="N50" s="2" t="s">
        <v>492</v>
      </c>
      <c r="Q50" s="212" t="str">
        <f t="shared" si="0"/>
        <v/>
      </c>
      <c r="R50" s="212" t="str">
        <f t="shared" si="0"/>
        <v/>
      </c>
      <c r="S50" s="212" t="str">
        <f t="shared" si="0"/>
        <v>■</v>
      </c>
      <c r="T50" s="212" t="str">
        <f t="shared" si="1"/>
        <v/>
      </c>
      <c r="U50" s="212" t="str">
        <f t="shared" si="2"/>
        <v/>
      </c>
      <c r="V50" s="212" t="str">
        <f t="shared" si="3"/>
        <v/>
      </c>
      <c r="W50" s="15" t="str">
        <f t="shared" si="4"/>
        <v>Retirement Salary</v>
      </c>
      <c r="X50" s="2" t="str">
        <f t="shared" si="5"/>
        <v>4318102</v>
      </c>
      <c r="Y50" s="2" t="str">
        <f t="shared" si="5"/>
        <v>C.Retirement Salary / Foreigner</v>
      </c>
    </row>
    <row r="51" spans="1:25" ht="20.100000000000001" customHeight="1">
      <c r="G51" s="211"/>
      <c r="H51" s="2"/>
      <c r="I51" s="210" t="s">
        <v>488</v>
      </c>
      <c r="K51" s="2"/>
      <c r="L51" s="211"/>
      <c r="M51" s="206" t="s">
        <v>493</v>
      </c>
      <c r="N51" s="2" t="s">
        <v>494</v>
      </c>
      <c r="Q51" s="212" t="str">
        <f t="shared" si="0"/>
        <v/>
      </c>
      <c r="R51" s="212" t="str">
        <f t="shared" si="0"/>
        <v/>
      </c>
      <c r="S51" s="212" t="str">
        <f t="shared" si="0"/>
        <v>■</v>
      </c>
      <c r="T51" s="212" t="str">
        <f t="shared" si="1"/>
        <v/>
      </c>
      <c r="U51" s="212" t="str">
        <f t="shared" si="2"/>
        <v/>
      </c>
      <c r="V51" s="212" t="str">
        <f t="shared" si="3"/>
        <v/>
      </c>
      <c r="W51" s="15" t="str">
        <f t="shared" si="4"/>
        <v>Retirement Salary</v>
      </c>
      <c r="X51" s="2" t="str">
        <f t="shared" si="5"/>
        <v>4318103</v>
      </c>
      <c r="Y51" s="2" t="str">
        <f t="shared" si="5"/>
        <v>C.Retirement Salary / Local</v>
      </c>
    </row>
    <row r="52" spans="1:25" s="15" customFormat="1" ht="20.100000000000001" customHeight="1">
      <c r="A52" s="218"/>
      <c r="B52" s="218"/>
      <c r="C52" s="218"/>
      <c r="D52" s="218"/>
      <c r="E52" s="219"/>
      <c r="F52" s="218"/>
      <c r="G52" s="210"/>
      <c r="H52" s="15" t="s">
        <v>495</v>
      </c>
      <c r="I52" s="218"/>
      <c r="J52" s="218"/>
      <c r="L52" s="210"/>
      <c r="M52" s="218"/>
      <c r="Q52" s="212" t="str">
        <f t="shared" si="0"/>
        <v/>
      </c>
      <c r="R52" s="212" t="str">
        <f t="shared" si="0"/>
        <v>■</v>
      </c>
      <c r="S52" s="212" t="str">
        <f t="shared" si="0"/>
        <v/>
      </c>
      <c r="T52" s="212" t="str">
        <f t="shared" si="1"/>
        <v/>
      </c>
      <c r="U52" s="212" t="str">
        <f t="shared" si="2"/>
        <v/>
      </c>
      <c r="V52" s="212" t="str">
        <f t="shared" si="3"/>
        <v/>
      </c>
      <c r="W52" s="15" t="str">
        <f t="shared" si="4"/>
        <v>Welfare</v>
      </c>
      <c r="X52" s="15" t="str">
        <f t="shared" si="5"/>
        <v/>
      </c>
      <c r="Y52" s="15" t="str">
        <f t="shared" si="5"/>
        <v/>
      </c>
    </row>
    <row r="53" spans="1:25" s="15" customFormat="1" ht="20.100000000000001" customHeight="1">
      <c r="A53" s="218"/>
      <c r="B53" s="218"/>
      <c r="C53" s="218"/>
      <c r="D53" s="218"/>
      <c r="E53" s="219"/>
      <c r="F53" s="218"/>
      <c r="G53" s="210"/>
      <c r="I53" s="210" t="s">
        <v>496</v>
      </c>
      <c r="J53" s="218"/>
      <c r="L53" s="210"/>
      <c r="M53" s="218"/>
      <c r="Q53" s="212" t="str">
        <f t="shared" si="0"/>
        <v/>
      </c>
      <c r="R53" s="212" t="str">
        <f t="shared" si="0"/>
        <v/>
      </c>
      <c r="S53" s="212" t="str">
        <f t="shared" si="0"/>
        <v>■</v>
      </c>
      <c r="T53" s="212" t="str">
        <f t="shared" si="1"/>
        <v/>
      </c>
      <c r="U53" s="212" t="str">
        <f t="shared" si="2"/>
        <v/>
      </c>
      <c r="V53" s="212" t="str">
        <f t="shared" si="3"/>
        <v/>
      </c>
      <c r="W53" s="15" t="str">
        <f t="shared" si="4"/>
        <v>Personnel</v>
      </c>
      <c r="X53" s="15" t="str">
        <f t="shared" si="5"/>
        <v/>
      </c>
      <c r="Y53" s="15" t="str">
        <f t="shared" si="5"/>
        <v/>
      </c>
    </row>
    <row r="54" spans="1:25" ht="20.100000000000001" customHeight="1">
      <c r="G54" s="211"/>
      <c r="L54" s="2" t="s">
        <v>497</v>
      </c>
      <c r="M54" s="206" t="s">
        <v>498</v>
      </c>
      <c r="N54" s="2" t="s">
        <v>499</v>
      </c>
      <c r="Q54" s="212" t="str">
        <f t="shared" si="0"/>
        <v/>
      </c>
      <c r="R54" s="212" t="str">
        <f t="shared" si="0"/>
        <v/>
      </c>
      <c r="S54" s="212" t="str">
        <f t="shared" si="0"/>
        <v/>
      </c>
      <c r="T54" s="212" t="str">
        <f t="shared" si="1"/>
        <v/>
      </c>
      <c r="U54" s="212" t="str">
        <f t="shared" si="2"/>
        <v/>
      </c>
      <c r="V54" s="212" t="str">
        <f t="shared" si="3"/>
        <v>-</v>
      </c>
      <c r="W54" s="2" t="str">
        <f t="shared" si="4"/>
        <v>Social-insurance</v>
      </c>
      <c r="X54" s="2" t="str">
        <f t="shared" si="5"/>
        <v>4331111</v>
      </c>
      <c r="Y54" s="2" t="str">
        <f t="shared" si="5"/>
        <v>C.Social-insur./ Korean</v>
      </c>
    </row>
    <row r="55" spans="1:25" ht="20.100000000000001" customHeight="1">
      <c r="G55" s="211"/>
      <c r="L55" s="2" t="s">
        <v>497</v>
      </c>
      <c r="M55" s="206" t="s">
        <v>500</v>
      </c>
      <c r="N55" s="2" t="s">
        <v>501</v>
      </c>
      <c r="Q55" s="212" t="str">
        <f t="shared" si="0"/>
        <v/>
      </c>
      <c r="R55" s="212" t="str">
        <f t="shared" si="0"/>
        <v/>
      </c>
      <c r="S55" s="212" t="str">
        <f t="shared" si="0"/>
        <v/>
      </c>
      <c r="T55" s="212" t="str">
        <f t="shared" si="1"/>
        <v/>
      </c>
      <c r="U55" s="212" t="str">
        <f t="shared" si="2"/>
        <v/>
      </c>
      <c r="V55" s="212" t="str">
        <f t="shared" si="3"/>
        <v>-</v>
      </c>
      <c r="W55" s="2" t="str">
        <f t="shared" si="4"/>
        <v>Social-insurance</v>
      </c>
      <c r="X55" s="2" t="str">
        <f t="shared" si="5"/>
        <v>4331112</v>
      </c>
      <c r="Y55" s="2" t="str">
        <f t="shared" si="5"/>
        <v>C.Social-insur./ Foreigner</v>
      </c>
    </row>
    <row r="56" spans="1:25" ht="20.100000000000001" customHeight="1">
      <c r="G56" s="211"/>
      <c r="H56" s="211"/>
      <c r="I56" s="211"/>
      <c r="K56" s="211"/>
      <c r="L56" s="2" t="s">
        <v>497</v>
      </c>
      <c r="M56" s="206" t="s">
        <v>502</v>
      </c>
      <c r="N56" s="2" t="s">
        <v>503</v>
      </c>
      <c r="Q56" s="212" t="str">
        <f t="shared" si="0"/>
        <v/>
      </c>
      <c r="R56" s="212" t="str">
        <f t="shared" si="0"/>
        <v/>
      </c>
      <c r="S56" s="212" t="str">
        <f t="shared" si="0"/>
        <v/>
      </c>
      <c r="T56" s="212" t="str">
        <f t="shared" si="1"/>
        <v/>
      </c>
      <c r="U56" s="212" t="str">
        <f t="shared" si="2"/>
        <v/>
      </c>
      <c r="V56" s="212" t="str">
        <f t="shared" si="3"/>
        <v>-</v>
      </c>
      <c r="W56" s="2" t="str">
        <f t="shared" si="4"/>
        <v>Social-insurance</v>
      </c>
      <c r="X56" s="2" t="str">
        <f t="shared" si="5"/>
        <v>4331113</v>
      </c>
      <c r="Y56" s="2" t="str">
        <f t="shared" si="5"/>
        <v>C.Social-insur./ Local</v>
      </c>
    </row>
    <row r="57" spans="1:25" ht="20.100000000000001" customHeight="1">
      <c r="G57" s="211"/>
      <c r="H57" s="210"/>
      <c r="I57" s="211"/>
      <c r="K57" s="211"/>
      <c r="L57" s="2" t="s">
        <v>504</v>
      </c>
      <c r="M57" s="206" t="s">
        <v>505</v>
      </c>
      <c r="N57" s="2" t="s">
        <v>506</v>
      </c>
      <c r="Q57" s="212" t="str">
        <f t="shared" si="0"/>
        <v/>
      </c>
      <c r="R57" s="212" t="str">
        <f t="shared" si="0"/>
        <v/>
      </c>
      <c r="S57" s="212" t="str">
        <f t="shared" si="0"/>
        <v/>
      </c>
      <c r="T57" s="212" t="str">
        <f t="shared" si="1"/>
        <v/>
      </c>
      <c r="U57" s="212" t="str">
        <f t="shared" si="2"/>
        <v/>
      </c>
      <c r="V57" s="212" t="str">
        <f t="shared" si="3"/>
        <v>-</v>
      </c>
      <c r="W57" s="2" t="str">
        <f t="shared" si="4"/>
        <v>Medical-insurance</v>
      </c>
      <c r="X57" s="2" t="str">
        <f t="shared" si="5"/>
        <v>4331131</v>
      </c>
      <c r="Y57" s="2" t="str">
        <f t="shared" si="5"/>
        <v>C.Medical-insur./ Korean</v>
      </c>
    </row>
    <row r="58" spans="1:25" ht="20.100000000000001" customHeight="1">
      <c r="G58" s="211"/>
      <c r="H58" s="210"/>
      <c r="I58" s="211"/>
      <c r="K58" s="211"/>
      <c r="L58" s="2" t="s">
        <v>504</v>
      </c>
      <c r="M58" s="206" t="s">
        <v>507</v>
      </c>
      <c r="N58" s="2" t="s">
        <v>508</v>
      </c>
      <c r="Q58" s="212" t="str">
        <f t="shared" si="0"/>
        <v/>
      </c>
      <c r="R58" s="212" t="str">
        <f t="shared" si="0"/>
        <v/>
      </c>
      <c r="S58" s="212" t="str">
        <f t="shared" si="0"/>
        <v/>
      </c>
      <c r="T58" s="212" t="str">
        <f t="shared" si="1"/>
        <v/>
      </c>
      <c r="U58" s="212" t="str">
        <f t="shared" si="2"/>
        <v/>
      </c>
      <c r="V58" s="212" t="str">
        <f t="shared" si="3"/>
        <v>-</v>
      </c>
      <c r="W58" s="2" t="str">
        <f t="shared" si="4"/>
        <v>Medical-insurance</v>
      </c>
      <c r="X58" s="2" t="str">
        <f t="shared" si="5"/>
        <v>4331132</v>
      </c>
      <c r="Y58" s="2" t="str">
        <f t="shared" si="5"/>
        <v>C.Medical-insur./ Foreigner</v>
      </c>
    </row>
    <row r="59" spans="1:25" ht="20.100000000000001" customHeight="1">
      <c r="G59" s="211"/>
      <c r="H59" s="211"/>
      <c r="I59" s="15"/>
      <c r="K59" s="211"/>
      <c r="L59" s="2" t="s">
        <v>504</v>
      </c>
      <c r="M59" s="206" t="s">
        <v>509</v>
      </c>
      <c r="N59" s="2" t="s">
        <v>510</v>
      </c>
      <c r="Q59" s="212" t="str">
        <f t="shared" si="0"/>
        <v/>
      </c>
      <c r="R59" s="212" t="str">
        <f t="shared" si="0"/>
        <v/>
      </c>
      <c r="S59" s="212" t="str">
        <f t="shared" si="0"/>
        <v/>
      </c>
      <c r="T59" s="212" t="str">
        <f t="shared" si="1"/>
        <v/>
      </c>
      <c r="U59" s="212" t="str">
        <f t="shared" si="2"/>
        <v/>
      </c>
      <c r="V59" s="212" t="str">
        <f t="shared" si="3"/>
        <v>-</v>
      </c>
      <c r="W59" s="2" t="str">
        <f t="shared" si="4"/>
        <v>Medical-insurance</v>
      </c>
      <c r="X59" s="2" t="str">
        <f t="shared" si="5"/>
        <v>4331133</v>
      </c>
      <c r="Y59" s="2" t="str">
        <f t="shared" si="5"/>
        <v>C.Medical-insur./ Local</v>
      </c>
    </row>
    <row r="60" spans="1:25" ht="20.100000000000001" customHeight="1">
      <c r="G60" s="211"/>
      <c r="H60" s="211"/>
      <c r="I60" s="15"/>
      <c r="K60" s="211"/>
      <c r="L60" s="211" t="s">
        <v>511</v>
      </c>
      <c r="M60" s="2" t="s">
        <v>512</v>
      </c>
      <c r="N60" s="2" t="s">
        <v>513</v>
      </c>
      <c r="Q60" s="212" t="str">
        <f t="shared" si="0"/>
        <v/>
      </c>
      <c r="R60" s="212" t="str">
        <f t="shared" si="0"/>
        <v/>
      </c>
      <c r="S60" s="212" t="str">
        <f t="shared" si="0"/>
        <v/>
      </c>
      <c r="T60" s="212" t="str">
        <f t="shared" si="1"/>
        <v/>
      </c>
      <c r="U60" s="212" t="str">
        <f t="shared" si="2"/>
        <v/>
      </c>
      <c r="V60" s="212" t="str">
        <f t="shared" si="3"/>
        <v>-</v>
      </c>
      <c r="W60" s="2" t="str">
        <f t="shared" si="4"/>
        <v>Unemployment-insurance</v>
      </c>
      <c r="X60" s="2" t="str">
        <f t="shared" si="5"/>
        <v>4331151</v>
      </c>
      <c r="Y60" s="2" t="str">
        <f t="shared" si="5"/>
        <v>C.Unemployment-insur./ Korean</v>
      </c>
    </row>
    <row r="61" spans="1:25" ht="20.100000000000001" customHeight="1">
      <c r="G61" s="211"/>
      <c r="H61" s="211"/>
      <c r="I61" s="15"/>
      <c r="K61" s="2"/>
      <c r="L61" s="211" t="s">
        <v>511</v>
      </c>
      <c r="M61" s="206" t="s">
        <v>514</v>
      </c>
      <c r="N61" s="2" t="s">
        <v>515</v>
      </c>
      <c r="Q61" s="212" t="str">
        <f t="shared" si="0"/>
        <v/>
      </c>
      <c r="R61" s="212" t="str">
        <f t="shared" si="0"/>
        <v/>
      </c>
      <c r="S61" s="212" t="str">
        <f t="shared" si="0"/>
        <v/>
      </c>
      <c r="T61" s="212" t="str">
        <f t="shared" si="1"/>
        <v/>
      </c>
      <c r="U61" s="212" t="str">
        <f t="shared" si="2"/>
        <v/>
      </c>
      <c r="V61" s="212" t="str">
        <f t="shared" si="3"/>
        <v>-</v>
      </c>
      <c r="W61" s="2" t="str">
        <f t="shared" si="4"/>
        <v>Unemployment-insurance</v>
      </c>
      <c r="X61" s="2" t="str">
        <f t="shared" si="5"/>
        <v>4331152</v>
      </c>
      <c r="Y61" s="2" t="str">
        <f t="shared" si="5"/>
        <v>C.Unemployment-insur./ Foreigner</v>
      </c>
    </row>
    <row r="62" spans="1:25" ht="20.100000000000001" customHeight="1">
      <c r="G62" s="211"/>
      <c r="H62" s="211"/>
      <c r="I62" s="211"/>
      <c r="K62" s="2"/>
      <c r="L62" s="211" t="s">
        <v>511</v>
      </c>
      <c r="M62" s="206" t="s">
        <v>516</v>
      </c>
      <c r="N62" s="2" t="s">
        <v>517</v>
      </c>
      <c r="Q62" s="212" t="str">
        <f t="shared" si="0"/>
        <v/>
      </c>
      <c r="R62" s="212" t="str">
        <f t="shared" si="0"/>
        <v/>
      </c>
      <c r="S62" s="212" t="str">
        <f t="shared" si="0"/>
        <v/>
      </c>
      <c r="T62" s="212" t="str">
        <f t="shared" si="1"/>
        <v/>
      </c>
      <c r="U62" s="212" t="str">
        <f t="shared" si="2"/>
        <v/>
      </c>
      <c r="V62" s="212" t="str">
        <f t="shared" si="3"/>
        <v>-</v>
      </c>
      <c r="W62" s="2" t="str">
        <f t="shared" si="4"/>
        <v>Unemployment-insurance</v>
      </c>
      <c r="X62" s="2" t="str">
        <f t="shared" si="5"/>
        <v>4331153</v>
      </c>
      <c r="Y62" s="2" t="str">
        <f t="shared" si="5"/>
        <v>C.Unemployment-insur./ Local</v>
      </c>
    </row>
    <row r="63" spans="1:25" ht="20.100000000000001" customHeight="1">
      <c r="G63" s="211"/>
      <c r="H63" s="211"/>
      <c r="I63" s="15"/>
      <c r="K63" s="211"/>
      <c r="L63" s="211" t="s">
        <v>518</v>
      </c>
      <c r="M63" s="206" t="s">
        <v>519</v>
      </c>
      <c r="N63" s="2" t="s">
        <v>520</v>
      </c>
      <c r="Q63" s="212" t="str">
        <f t="shared" si="0"/>
        <v/>
      </c>
      <c r="R63" s="212" t="str">
        <f t="shared" si="0"/>
        <v/>
      </c>
      <c r="S63" s="212" t="str">
        <f t="shared" si="0"/>
        <v/>
      </c>
      <c r="T63" s="212" t="str">
        <f t="shared" si="1"/>
        <v/>
      </c>
      <c r="U63" s="212" t="str">
        <f t="shared" si="2"/>
        <v/>
      </c>
      <c r="V63" s="212" t="str">
        <f t="shared" si="3"/>
        <v>-</v>
      </c>
      <c r="W63" s="2" t="str">
        <f t="shared" si="4"/>
        <v>Occupational-insurance</v>
      </c>
      <c r="X63" s="2" t="str">
        <f t="shared" si="5"/>
        <v>4331171</v>
      </c>
      <c r="Y63" s="2" t="str">
        <f t="shared" si="5"/>
        <v>C.Occupational./ Korean</v>
      </c>
    </row>
    <row r="64" spans="1:25" ht="20.100000000000001" customHeight="1">
      <c r="G64" s="211"/>
      <c r="H64" s="211"/>
      <c r="I64" s="211"/>
      <c r="K64" s="2"/>
      <c r="L64" s="211" t="s">
        <v>518</v>
      </c>
      <c r="M64" s="206" t="s">
        <v>521</v>
      </c>
      <c r="N64" s="2" t="s">
        <v>522</v>
      </c>
      <c r="Q64" s="212" t="str">
        <f t="shared" si="0"/>
        <v/>
      </c>
      <c r="R64" s="212" t="str">
        <f t="shared" si="0"/>
        <v/>
      </c>
      <c r="S64" s="212" t="str">
        <f t="shared" si="0"/>
        <v/>
      </c>
      <c r="T64" s="212" t="str">
        <f t="shared" si="1"/>
        <v/>
      </c>
      <c r="U64" s="212" t="str">
        <f t="shared" si="2"/>
        <v/>
      </c>
      <c r="V64" s="212" t="str">
        <f t="shared" si="3"/>
        <v>-</v>
      </c>
      <c r="W64" s="2" t="str">
        <f t="shared" si="4"/>
        <v>Occupational-insurance</v>
      </c>
      <c r="X64" s="2" t="str">
        <f t="shared" si="5"/>
        <v>4331172</v>
      </c>
      <c r="Y64" s="2" t="str">
        <f t="shared" si="5"/>
        <v>C.Occupational./ Foreigner</v>
      </c>
    </row>
    <row r="65" spans="1:25" ht="20.100000000000001" customHeight="1">
      <c r="G65" s="211"/>
      <c r="H65" s="211"/>
      <c r="I65" s="211"/>
      <c r="K65" s="2"/>
      <c r="L65" s="211" t="s">
        <v>518</v>
      </c>
      <c r="M65" s="206" t="s">
        <v>523</v>
      </c>
      <c r="N65" s="2" t="s">
        <v>524</v>
      </c>
      <c r="Q65" s="212" t="str">
        <f t="shared" si="0"/>
        <v/>
      </c>
      <c r="R65" s="212" t="str">
        <f t="shared" si="0"/>
        <v/>
      </c>
      <c r="S65" s="212" t="str">
        <f t="shared" si="0"/>
        <v/>
      </c>
      <c r="T65" s="212" t="str">
        <f t="shared" si="1"/>
        <v/>
      </c>
      <c r="U65" s="212" t="str">
        <f t="shared" si="2"/>
        <v/>
      </c>
      <c r="V65" s="212" t="str">
        <f t="shared" si="3"/>
        <v>-</v>
      </c>
      <c r="W65" s="2" t="str">
        <f t="shared" si="4"/>
        <v>Occupational-insurance</v>
      </c>
      <c r="X65" s="2" t="str">
        <f t="shared" si="5"/>
        <v>4331173</v>
      </c>
      <c r="Y65" s="2" t="str">
        <f t="shared" si="5"/>
        <v>C.Occupational./ Local</v>
      </c>
    </row>
    <row r="66" spans="1:25" ht="20.100000000000001" customHeight="1">
      <c r="G66" s="211"/>
      <c r="H66" s="211"/>
      <c r="I66" s="15"/>
      <c r="K66" s="211"/>
      <c r="L66" s="211" t="s">
        <v>525</v>
      </c>
      <c r="M66" s="206" t="s">
        <v>526</v>
      </c>
      <c r="N66" s="2" t="s">
        <v>527</v>
      </c>
      <c r="Q66" s="212" t="str">
        <f t="shared" si="0"/>
        <v/>
      </c>
      <c r="R66" s="212" t="str">
        <f t="shared" si="0"/>
        <v/>
      </c>
      <c r="S66" s="212" t="str">
        <f t="shared" si="0"/>
        <v/>
      </c>
      <c r="T66" s="212" t="str">
        <f t="shared" si="1"/>
        <v/>
      </c>
      <c r="U66" s="212" t="str">
        <f t="shared" si="2"/>
        <v/>
      </c>
      <c r="V66" s="212" t="str">
        <f t="shared" si="3"/>
        <v>-</v>
      </c>
      <c r="W66" s="2" t="str">
        <f t="shared" si="4"/>
        <v>Housing support</v>
      </c>
      <c r="X66" s="2" t="str">
        <f t="shared" si="5"/>
        <v>4331211</v>
      </c>
      <c r="Y66" s="2" t="str">
        <f t="shared" si="5"/>
        <v>C.Housing support / Korean</v>
      </c>
    </row>
    <row r="67" spans="1:25" ht="20.100000000000001" customHeight="1">
      <c r="G67" s="211"/>
      <c r="H67" s="211"/>
      <c r="I67" s="211"/>
      <c r="K67" s="2"/>
      <c r="L67" s="211" t="s">
        <v>525</v>
      </c>
      <c r="M67" s="206" t="s">
        <v>528</v>
      </c>
      <c r="N67" s="2" t="s">
        <v>529</v>
      </c>
      <c r="Q67" s="212" t="str">
        <f t="shared" si="0"/>
        <v/>
      </c>
      <c r="R67" s="212" t="str">
        <f t="shared" si="0"/>
        <v/>
      </c>
      <c r="S67" s="212" t="str">
        <f t="shared" si="0"/>
        <v/>
      </c>
      <c r="T67" s="212" t="str">
        <f t="shared" si="1"/>
        <v/>
      </c>
      <c r="U67" s="212" t="str">
        <f t="shared" si="2"/>
        <v/>
      </c>
      <c r="V67" s="212" t="str">
        <f t="shared" si="3"/>
        <v>-</v>
      </c>
      <c r="W67" s="2" t="str">
        <f t="shared" si="4"/>
        <v>Housing support</v>
      </c>
      <c r="X67" s="2" t="str">
        <f t="shared" si="5"/>
        <v>4331212</v>
      </c>
      <c r="Y67" s="2" t="str">
        <f t="shared" si="5"/>
        <v>C.Housing support / Foreigner</v>
      </c>
    </row>
    <row r="68" spans="1:25" ht="20.100000000000001" customHeight="1">
      <c r="G68" s="211"/>
      <c r="H68" s="211"/>
      <c r="I68" s="211"/>
      <c r="K68" s="2"/>
      <c r="L68" s="211" t="s">
        <v>525</v>
      </c>
      <c r="M68" s="206" t="s">
        <v>530</v>
      </c>
      <c r="N68" s="2" t="s">
        <v>531</v>
      </c>
      <c r="Q68" s="212" t="str">
        <f t="shared" si="0"/>
        <v/>
      </c>
      <c r="R68" s="212" t="str">
        <f t="shared" si="0"/>
        <v/>
      </c>
      <c r="S68" s="212" t="str">
        <f t="shared" si="0"/>
        <v/>
      </c>
      <c r="T68" s="212" t="str">
        <f t="shared" si="1"/>
        <v/>
      </c>
      <c r="U68" s="212" t="str">
        <f t="shared" si="2"/>
        <v/>
      </c>
      <c r="V68" s="212" t="str">
        <f t="shared" si="3"/>
        <v>-</v>
      </c>
      <c r="W68" s="2" t="str">
        <f t="shared" si="4"/>
        <v>Housing support</v>
      </c>
      <c r="X68" s="2" t="str">
        <f t="shared" si="5"/>
        <v>4331213</v>
      </c>
      <c r="Y68" s="2" t="str">
        <f t="shared" si="5"/>
        <v>C.Housing support / Local</v>
      </c>
    </row>
    <row r="69" spans="1:25" s="15" customFormat="1" ht="20.100000000000001" customHeight="1">
      <c r="A69" s="218"/>
      <c r="B69" s="218"/>
      <c r="C69" s="218"/>
      <c r="D69" s="218"/>
      <c r="E69" s="219"/>
      <c r="F69" s="218"/>
      <c r="G69" s="210"/>
      <c r="H69" s="210"/>
      <c r="I69" s="210" t="s">
        <v>532</v>
      </c>
      <c r="J69" s="218"/>
      <c r="L69" s="210"/>
      <c r="M69" s="218"/>
      <c r="Q69" s="212" t="str">
        <f t="shared" si="0"/>
        <v/>
      </c>
      <c r="R69" s="212" t="str">
        <f t="shared" si="0"/>
        <v/>
      </c>
      <c r="S69" s="212" t="str">
        <f t="shared" si="0"/>
        <v>■</v>
      </c>
      <c r="T69" s="212" t="str">
        <f t="shared" si="1"/>
        <v/>
      </c>
      <c r="U69" s="212" t="str">
        <f t="shared" si="2"/>
        <v/>
      </c>
      <c r="V69" s="212" t="str">
        <f t="shared" si="3"/>
        <v/>
      </c>
      <c r="W69" s="15" t="str">
        <f t="shared" si="4"/>
        <v>Other Welfare</v>
      </c>
      <c r="X69" s="15" t="str">
        <f t="shared" si="5"/>
        <v/>
      </c>
      <c r="Y69" s="15" t="str">
        <f t="shared" si="5"/>
        <v/>
      </c>
    </row>
    <row r="70" spans="1:25" ht="20.100000000000001" customHeight="1">
      <c r="G70" s="211"/>
      <c r="H70" s="211"/>
      <c r="I70" s="15"/>
      <c r="K70" s="211"/>
      <c r="L70" s="211" t="s">
        <v>533</v>
      </c>
      <c r="M70" s="206" t="s">
        <v>534</v>
      </c>
      <c r="N70" s="2" t="s">
        <v>535</v>
      </c>
      <c r="Q70" s="212" t="str">
        <f t="shared" si="0"/>
        <v/>
      </c>
      <c r="R70" s="212" t="str">
        <f t="shared" si="0"/>
        <v/>
      </c>
      <c r="S70" s="212" t="str">
        <f t="shared" si="0"/>
        <v/>
      </c>
      <c r="T70" s="212" t="str">
        <f t="shared" si="1"/>
        <v/>
      </c>
      <c r="U70" s="212" t="str">
        <f t="shared" si="2"/>
        <v/>
      </c>
      <c r="V70" s="212" t="str">
        <f t="shared" si="3"/>
        <v>-</v>
      </c>
      <c r="W70" s="2" t="str">
        <f t="shared" si="4"/>
        <v>Meal (Canteen)</v>
      </c>
      <c r="X70" s="2" t="str">
        <f t="shared" si="5"/>
        <v>4338111</v>
      </c>
      <c r="Y70" s="2" t="str">
        <f t="shared" si="5"/>
        <v>C.Meal (Canteen) / Korean</v>
      </c>
    </row>
    <row r="71" spans="1:25" ht="20.100000000000001" customHeight="1">
      <c r="G71" s="211"/>
      <c r="H71" s="211"/>
      <c r="I71" s="211"/>
      <c r="K71" s="2"/>
      <c r="L71" s="211" t="s">
        <v>533</v>
      </c>
      <c r="M71" s="206" t="s">
        <v>536</v>
      </c>
      <c r="N71" s="2" t="s">
        <v>537</v>
      </c>
      <c r="Q71" s="212" t="str">
        <f t="shared" ref="Q71:S134" si="6">IF(NOT(ISBLANK(G71)),"■","")</f>
        <v/>
      </c>
      <c r="R71" s="212" t="str">
        <f t="shared" si="6"/>
        <v/>
      </c>
      <c r="S71" s="212" t="str">
        <f t="shared" si="6"/>
        <v/>
      </c>
      <c r="T71" s="212" t="str">
        <f t="shared" ref="T71:T134" si="7">IF(NOT(ISBLANK(J71)),"⊙","")</f>
        <v/>
      </c>
      <c r="U71" s="212" t="str">
        <f t="shared" ref="U71:U134" si="8">IF(NOT(ISBLANK(K71)),"*","")</f>
        <v/>
      </c>
      <c r="V71" s="212" t="str">
        <f t="shared" ref="V71:V134" si="9">IF(NOT(ISBLANK(L71)),"-","")</f>
        <v>-</v>
      </c>
      <c r="W71" s="2" t="str">
        <f t="shared" ref="W71:W134" si="10">G71&amp;H71&amp;I71&amp;J71&amp;K71&amp;L71</f>
        <v>Meal (Canteen)</v>
      </c>
      <c r="X71" s="2" t="str">
        <f t="shared" ref="X71:Y134" si="11">IF(ISBLANK(M71),"",M71)</f>
        <v>4338112</v>
      </c>
      <c r="Y71" s="2" t="str">
        <f t="shared" si="11"/>
        <v>C.Meal (Canteen) / Foreigner</v>
      </c>
    </row>
    <row r="72" spans="1:25" ht="20.100000000000001" customHeight="1">
      <c r="G72" s="211"/>
      <c r="H72" s="211"/>
      <c r="I72" s="211"/>
      <c r="K72" s="2"/>
      <c r="L72" s="211" t="s">
        <v>533</v>
      </c>
      <c r="M72" s="206" t="s">
        <v>538</v>
      </c>
      <c r="N72" s="2" t="s">
        <v>539</v>
      </c>
      <c r="Q72" s="212" t="str">
        <f t="shared" si="6"/>
        <v/>
      </c>
      <c r="R72" s="212" t="str">
        <f t="shared" si="6"/>
        <v/>
      </c>
      <c r="S72" s="212" t="str">
        <f t="shared" si="6"/>
        <v/>
      </c>
      <c r="T72" s="212" t="str">
        <f t="shared" si="7"/>
        <v/>
      </c>
      <c r="U72" s="212" t="str">
        <f t="shared" si="8"/>
        <v/>
      </c>
      <c r="V72" s="212" t="str">
        <f t="shared" si="9"/>
        <v>-</v>
      </c>
      <c r="W72" s="2" t="str">
        <f t="shared" si="10"/>
        <v>Meal (Canteen)</v>
      </c>
      <c r="X72" s="2" t="str">
        <f t="shared" si="11"/>
        <v>4338113</v>
      </c>
      <c r="Y72" s="2" t="str">
        <f t="shared" si="11"/>
        <v>C.Meal (Canteen) / Local</v>
      </c>
    </row>
    <row r="73" spans="1:25" ht="20.100000000000001" customHeight="1">
      <c r="G73" s="211"/>
      <c r="H73" s="211"/>
      <c r="I73" s="15"/>
      <c r="K73" s="211"/>
      <c r="L73" s="211" t="s">
        <v>540</v>
      </c>
      <c r="M73" s="206" t="s">
        <v>541</v>
      </c>
      <c r="N73" s="2" t="s">
        <v>542</v>
      </c>
      <c r="Q73" s="212" t="str">
        <f t="shared" si="6"/>
        <v/>
      </c>
      <c r="R73" s="212" t="str">
        <f t="shared" si="6"/>
        <v/>
      </c>
      <c r="S73" s="212" t="str">
        <f t="shared" si="6"/>
        <v/>
      </c>
      <c r="T73" s="212" t="str">
        <f t="shared" si="7"/>
        <v/>
      </c>
      <c r="U73" s="212" t="str">
        <f t="shared" si="8"/>
        <v/>
      </c>
      <c r="V73" s="212" t="str">
        <f t="shared" si="9"/>
        <v>-</v>
      </c>
      <c r="W73" s="2" t="str">
        <f t="shared" si="10"/>
        <v>Dormitory</v>
      </c>
      <c r="X73" s="2" t="str">
        <f t="shared" si="11"/>
        <v>4338131</v>
      </c>
      <c r="Y73" s="2" t="str">
        <f t="shared" si="11"/>
        <v>C.Dormitory / Korean</v>
      </c>
    </row>
    <row r="74" spans="1:25" ht="20.100000000000001" customHeight="1">
      <c r="G74" s="211"/>
      <c r="H74" s="211"/>
      <c r="I74" s="211"/>
      <c r="K74" s="2"/>
      <c r="L74" s="211" t="s">
        <v>540</v>
      </c>
      <c r="M74" s="206" t="s">
        <v>543</v>
      </c>
      <c r="N74" s="2" t="s">
        <v>544</v>
      </c>
      <c r="Q74" s="212" t="str">
        <f t="shared" si="6"/>
        <v/>
      </c>
      <c r="R74" s="212" t="str">
        <f t="shared" si="6"/>
        <v/>
      </c>
      <c r="S74" s="212" t="str">
        <f t="shared" si="6"/>
        <v/>
      </c>
      <c r="T74" s="212" t="str">
        <f t="shared" si="7"/>
        <v/>
      </c>
      <c r="U74" s="212" t="str">
        <f t="shared" si="8"/>
        <v/>
      </c>
      <c r="V74" s="212" t="str">
        <f t="shared" si="9"/>
        <v>-</v>
      </c>
      <c r="W74" s="2" t="str">
        <f t="shared" si="10"/>
        <v>Dormitory</v>
      </c>
      <c r="X74" s="2" t="str">
        <f t="shared" si="11"/>
        <v>4338132</v>
      </c>
      <c r="Y74" s="2" t="str">
        <f t="shared" si="11"/>
        <v>C.Dormitory / Foreigner</v>
      </c>
    </row>
    <row r="75" spans="1:25" ht="20.100000000000001" customHeight="1">
      <c r="G75" s="211"/>
      <c r="H75" s="211"/>
      <c r="I75" s="211"/>
      <c r="K75" s="2"/>
      <c r="L75" s="211" t="s">
        <v>540</v>
      </c>
      <c r="M75" s="206" t="s">
        <v>545</v>
      </c>
      <c r="N75" s="2" t="s">
        <v>546</v>
      </c>
      <c r="Q75" s="212" t="str">
        <f t="shared" si="6"/>
        <v/>
      </c>
      <c r="R75" s="212" t="str">
        <f t="shared" si="6"/>
        <v/>
      </c>
      <c r="S75" s="212" t="str">
        <f t="shared" si="6"/>
        <v/>
      </c>
      <c r="T75" s="212" t="str">
        <f t="shared" si="7"/>
        <v/>
      </c>
      <c r="U75" s="212" t="str">
        <f t="shared" si="8"/>
        <v/>
      </c>
      <c r="V75" s="212" t="str">
        <f t="shared" si="9"/>
        <v>-</v>
      </c>
      <c r="W75" s="2" t="str">
        <f t="shared" si="10"/>
        <v>Dormitory</v>
      </c>
      <c r="X75" s="2" t="str">
        <f t="shared" si="11"/>
        <v>4338133</v>
      </c>
      <c r="Y75" s="2" t="str">
        <f t="shared" si="11"/>
        <v>C.Dormitory / Local</v>
      </c>
    </row>
    <row r="76" spans="1:25" ht="20.100000000000001" customHeight="1">
      <c r="G76" s="211"/>
      <c r="H76" s="211"/>
      <c r="I76" s="15"/>
      <c r="K76" s="211"/>
      <c r="L76" s="211" t="s">
        <v>547</v>
      </c>
      <c r="M76" s="206" t="s">
        <v>548</v>
      </c>
      <c r="N76" s="2" t="s">
        <v>549</v>
      </c>
      <c r="Q76" s="212" t="str">
        <f t="shared" si="6"/>
        <v/>
      </c>
      <c r="R76" s="212" t="str">
        <f t="shared" si="6"/>
        <v/>
      </c>
      <c r="S76" s="212" t="str">
        <f t="shared" si="6"/>
        <v/>
      </c>
      <c r="T76" s="212" t="str">
        <f t="shared" si="7"/>
        <v/>
      </c>
      <c r="U76" s="212" t="str">
        <f t="shared" si="8"/>
        <v/>
      </c>
      <c r="V76" s="212" t="str">
        <f t="shared" si="9"/>
        <v>-</v>
      </c>
      <c r="W76" s="2" t="str">
        <f t="shared" si="10"/>
        <v>Get-together</v>
      </c>
      <c r="X76" s="2" t="str">
        <f t="shared" si="11"/>
        <v>4338151</v>
      </c>
      <c r="Y76" s="2" t="str">
        <f t="shared" si="11"/>
        <v>C.Get-together / Korean</v>
      </c>
    </row>
    <row r="77" spans="1:25" ht="20.100000000000001" customHeight="1">
      <c r="G77" s="211"/>
      <c r="H77" s="211"/>
      <c r="I77" s="211"/>
      <c r="K77" s="2"/>
      <c r="L77" s="211" t="s">
        <v>547</v>
      </c>
      <c r="M77" s="206" t="s">
        <v>550</v>
      </c>
      <c r="N77" s="2" t="s">
        <v>551</v>
      </c>
      <c r="Q77" s="212" t="str">
        <f t="shared" si="6"/>
        <v/>
      </c>
      <c r="R77" s="212" t="str">
        <f t="shared" si="6"/>
        <v/>
      </c>
      <c r="S77" s="212" t="str">
        <f t="shared" si="6"/>
        <v/>
      </c>
      <c r="T77" s="212" t="str">
        <f t="shared" si="7"/>
        <v/>
      </c>
      <c r="U77" s="212" t="str">
        <f t="shared" si="8"/>
        <v/>
      </c>
      <c r="V77" s="212" t="str">
        <f t="shared" si="9"/>
        <v>-</v>
      </c>
      <c r="W77" s="2" t="str">
        <f t="shared" si="10"/>
        <v>Get-together</v>
      </c>
      <c r="X77" s="2" t="str">
        <f t="shared" si="11"/>
        <v>4338152</v>
      </c>
      <c r="Y77" s="2" t="str">
        <f t="shared" si="11"/>
        <v>C.Get-together / Foreigner</v>
      </c>
    </row>
    <row r="78" spans="1:25" ht="20.100000000000001" customHeight="1">
      <c r="G78" s="211"/>
      <c r="H78" s="211"/>
      <c r="I78" s="211"/>
      <c r="K78" s="2"/>
      <c r="L78" s="211" t="s">
        <v>547</v>
      </c>
      <c r="M78" s="206" t="s">
        <v>552</v>
      </c>
      <c r="N78" s="2" t="s">
        <v>553</v>
      </c>
      <c r="Q78" s="212" t="str">
        <f t="shared" si="6"/>
        <v/>
      </c>
      <c r="R78" s="212" t="str">
        <f t="shared" si="6"/>
        <v/>
      </c>
      <c r="S78" s="212" t="str">
        <f t="shared" si="6"/>
        <v/>
      </c>
      <c r="T78" s="212" t="str">
        <f t="shared" si="7"/>
        <v/>
      </c>
      <c r="U78" s="212" t="str">
        <f t="shared" si="8"/>
        <v/>
      </c>
      <c r="V78" s="212" t="str">
        <f t="shared" si="9"/>
        <v>-</v>
      </c>
      <c r="W78" s="2" t="str">
        <f t="shared" si="10"/>
        <v>Get-together</v>
      </c>
      <c r="X78" s="2" t="str">
        <f t="shared" si="11"/>
        <v>4338153</v>
      </c>
      <c r="Y78" s="2" t="str">
        <f t="shared" si="11"/>
        <v>C.Get-together / Local</v>
      </c>
    </row>
    <row r="79" spans="1:25" ht="20.100000000000001" customHeight="1">
      <c r="G79" s="211"/>
      <c r="H79" s="211"/>
      <c r="I79" s="211"/>
      <c r="K79" s="2"/>
      <c r="L79" s="2" t="s">
        <v>554</v>
      </c>
      <c r="M79" s="206" t="s">
        <v>555</v>
      </c>
      <c r="N79" s="2" t="s">
        <v>556</v>
      </c>
      <c r="Q79" s="212" t="str">
        <f t="shared" si="6"/>
        <v/>
      </c>
      <c r="R79" s="212" t="str">
        <f t="shared" si="6"/>
        <v/>
      </c>
      <c r="S79" s="212" t="str">
        <f t="shared" si="6"/>
        <v/>
      </c>
      <c r="T79" s="212" t="str">
        <f t="shared" si="7"/>
        <v/>
      </c>
      <c r="U79" s="212" t="str">
        <f t="shared" si="8"/>
        <v/>
      </c>
      <c r="V79" s="212" t="str">
        <f t="shared" si="9"/>
        <v>-</v>
      </c>
      <c r="W79" s="2" t="str">
        <f t="shared" si="10"/>
        <v>Beverage</v>
      </c>
      <c r="X79" s="2" t="str">
        <f t="shared" si="11"/>
        <v>4338171</v>
      </c>
      <c r="Y79" s="2" t="str">
        <f t="shared" si="11"/>
        <v>C.Beverage / Korean</v>
      </c>
    </row>
    <row r="80" spans="1:25" ht="20.100000000000001" customHeight="1">
      <c r="G80" s="211"/>
      <c r="H80" s="211"/>
      <c r="I80" s="211"/>
      <c r="K80" s="2"/>
      <c r="L80" s="2" t="s">
        <v>554</v>
      </c>
      <c r="M80" s="206" t="s">
        <v>557</v>
      </c>
      <c r="N80" s="2" t="s">
        <v>558</v>
      </c>
      <c r="Q80" s="212" t="str">
        <f t="shared" si="6"/>
        <v/>
      </c>
      <c r="R80" s="212" t="str">
        <f t="shared" si="6"/>
        <v/>
      </c>
      <c r="S80" s="212" t="str">
        <f t="shared" si="6"/>
        <v/>
      </c>
      <c r="T80" s="212" t="str">
        <f t="shared" si="7"/>
        <v/>
      </c>
      <c r="U80" s="212" t="str">
        <f t="shared" si="8"/>
        <v/>
      </c>
      <c r="V80" s="212" t="str">
        <f t="shared" si="9"/>
        <v>-</v>
      </c>
      <c r="W80" s="2" t="str">
        <f t="shared" si="10"/>
        <v>Beverage</v>
      </c>
      <c r="X80" s="2" t="str">
        <f t="shared" si="11"/>
        <v>4338172</v>
      </c>
      <c r="Y80" s="2" t="str">
        <f t="shared" si="11"/>
        <v>C.Beverage / Foreigner</v>
      </c>
    </row>
    <row r="81" spans="1:25" ht="20.100000000000001" customHeight="1">
      <c r="G81" s="211"/>
      <c r="H81" s="211"/>
      <c r="I81" s="211"/>
      <c r="K81" s="2"/>
      <c r="L81" s="2" t="s">
        <v>554</v>
      </c>
      <c r="M81" s="206" t="s">
        <v>559</v>
      </c>
      <c r="N81" s="2" t="s">
        <v>560</v>
      </c>
      <c r="Q81" s="212" t="str">
        <f t="shared" si="6"/>
        <v/>
      </c>
      <c r="R81" s="212" t="str">
        <f t="shared" si="6"/>
        <v/>
      </c>
      <c r="S81" s="212" t="str">
        <f t="shared" si="6"/>
        <v/>
      </c>
      <c r="T81" s="212" t="str">
        <f t="shared" si="7"/>
        <v/>
      </c>
      <c r="U81" s="212" t="str">
        <f t="shared" si="8"/>
        <v/>
      </c>
      <c r="V81" s="212" t="str">
        <f t="shared" si="9"/>
        <v>-</v>
      </c>
      <c r="W81" s="2" t="str">
        <f t="shared" si="10"/>
        <v>Beverage</v>
      </c>
      <c r="X81" s="2" t="str">
        <f t="shared" si="11"/>
        <v>4338173</v>
      </c>
      <c r="Y81" s="2" t="str">
        <f t="shared" si="11"/>
        <v>C.Beverage / Local</v>
      </c>
    </row>
    <row r="82" spans="1:25" ht="20.100000000000001" customHeight="1">
      <c r="G82" s="211"/>
      <c r="H82" s="211"/>
      <c r="I82" s="211"/>
      <c r="K82" s="2"/>
      <c r="L82" s="211" t="s">
        <v>561</v>
      </c>
      <c r="M82" s="206" t="s">
        <v>562</v>
      </c>
      <c r="N82" s="2" t="s">
        <v>563</v>
      </c>
      <c r="Q82" s="212" t="str">
        <f t="shared" si="6"/>
        <v/>
      </c>
      <c r="R82" s="212" t="str">
        <f t="shared" si="6"/>
        <v/>
      </c>
      <c r="S82" s="212" t="str">
        <f t="shared" si="6"/>
        <v/>
      </c>
      <c r="T82" s="212" t="str">
        <f t="shared" si="7"/>
        <v/>
      </c>
      <c r="U82" s="212" t="str">
        <f t="shared" si="8"/>
        <v/>
      </c>
      <c r="V82" s="212" t="str">
        <f t="shared" si="9"/>
        <v>-</v>
      </c>
      <c r="W82" s="2" t="str">
        <f t="shared" si="10"/>
        <v>Congratulations &amp; condolences</v>
      </c>
      <c r="X82" s="2" t="str">
        <f t="shared" si="11"/>
        <v>4338190</v>
      </c>
      <c r="Y82" s="2" t="str">
        <f t="shared" si="11"/>
        <v>C.Congratulations &amp; condolences</v>
      </c>
    </row>
    <row r="83" spans="1:25" ht="20.100000000000001" customHeight="1">
      <c r="G83" s="211"/>
      <c r="H83" s="211"/>
      <c r="I83" s="210"/>
      <c r="K83" s="211"/>
      <c r="L83" s="211" t="s">
        <v>564</v>
      </c>
      <c r="M83" s="206" t="s">
        <v>565</v>
      </c>
      <c r="N83" s="2" t="s">
        <v>566</v>
      </c>
      <c r="Q83" s="212" t="str">
        <f t="shared" si="6"/>
        <v/>
      </c>
      <c r="R83" s="212" t="str">
        <f t="shared" si="6"/>
        <v/>
      </c>
      <c r="S83" s="212" t="str">
        <f t="shared" si="6"/>
        <v/>
      </c>
      <c r="T83" s="212" t="str">
        <f t="shared" si="7"/>
        <v/>
      </c>
      <c r="U83" s="212" t="str">
        <f t="shared" si="8"/>
        <v/>
      </c>
      <c r="V83" s="212" t="str">
        <f t="shared" si="9"/>
        <v>-</v>
      </c>
      <c r="W83" s="2" t="str">
        <f t="shared" si="10"/>
        <v>Medical service</v>
      </c>
      <c r="X83" s="2" t="str">
        <f t="shared" si="11"/>
        <v>4338211</v>
      </c>
      <c r="Y83" s="2" t="str">
        <f t="shared" si="11"/>
        <v>C.Medical service / Korean</v>
      </c>
    </row>
    <row r="84" spans="1:25" ht="20.100000000000001" customHeight="1">
      <c r="G84" s="211"/>
      <c r="H84" s="211"/>
      <c r="I84" s="211"/>
      <c r="K84" s="2"/>
      <c r="L84" s="211" t="s">
        <v>564</v>
      </c>
      <c r="M84" s="206" t="s">
        <v>567</v>
      </c>
      <c r="N84" s="2" t="s">
        <v>568</v>
      </c>
      <c r="Q84" s="212" t="str">
        <f t="shared" si="6"/>
        <v/>
      </c>
      <c r="R84" s="212" t="str">
        <f t="shared" si="6"/>
        <v/>
      </c>
      <c r="S84" s="212" t="str">
        <f t="shared" si="6"/>
        <v/>
      </c>
      <c r="T84" s="212" t="str">
        <f t="shared" si="7"/>
        <v/>
      </c>
      <c r="U84" s="212" t="str">
        <f t="shared" si="8"/>
        <v/>
      </c>
      <c r="V84" s="212" t="str">
        <f t="shared" si="9"/>
        <v>-</v>
      </c>
      <c r="W84" s="2" t="str">
        <f t="shared" si="10"/>
        <v>Medical service</v>
      </c>
      <c r="X84" s="2" t="str">
        <f t="shared" si="11"/>
        <v>4338212</v>
      </c>
      <c r="Y84" s="2" t="str">
        <f t="shared" si="11"/>
        <v>C.Medical service / Foreigner</v>
      </c>
    </row>
    <row r="85" spans="1:25" ht="20.100000000000001" customHeight="1">
      <c r="G85" s="211"/>
      <c r="H85" s="211"/>
      <c r="I85" s="211"/>
      <c r="K85" s="211"/>
      <c r="L85" s="211" t="s">
        <v>564</v>
      </c>
      <c r="M85" s="206" t="s">
        <v>569</v>
      </c>
      <c r="N85" s="2" t="s">
        <v>570</v>
      </c>
      <c r="Q85" s="212" t="str">
        <f t="shared" si="6"/>
        <v/>
      </c>
      <c r="R85" s="212" t="str">
        <f t="shared" si="6"/>
        <v/>
      </c>
      <c r="S85" s="212" t="str">
        <f t="shared" si="6"/>
        <v/>
      </c>
      <c r="T85" s="212" t="str">
        <f t="shared" si="7"/>
        <v/>
      </c>
      <c r="U85" s="212" t="str">
        <f t="shared" si="8"/>
        <v/>
      </c>
      <c r="V85" s="212" t="str">
        <f t="shared" si="9"/>
        <v>-</v>
      </c>
      <c r="W85" s="2" t="str">
        <f t="shared" si="10"/>
        <v>Medical service</v>
      </c>
      <c r="X85" s="2" t="str">
        <f t="shared" si="11"/>
        <v>4338213</v>
      </c>
      <c r="Y85" s="2" t="str">
        <f t="shared" si="11"/>
        <v>C.Medical service / Local</v>
      </c>
    </row>
    <row r="86" spans="1:25" ht="20.100000000000001" customHeight="1">
      <c r="I86" s="210"/>
      <c r="L86" s="2" t="s">
        <v>571</v>
      </c>
      <c r="M86" s="206" t="s">
        <v>572</v>
      </c>
      <c r="N86" s="2" t="s">
        <v>573</v>
      </c>
      <c r="Q86" s="212" t="str">
        <f t="shared" si="6"/>
        <v/>
      </c>
      <c r="R86" s="212" t="str">
        <f t="shared" si="6"/>
        <v/>
      </c>
      <c r="S86" s="212" t="str">
        <f t="shared" si="6"/>
        <v/>
      </c>
      <c r="T86" s="212" t="str">
        <f t="shared" si="7"/>
        <v/>
      </c>
      <c r="U86" s="212" t="str">
        <f t="shared" si="8"/>
        <v/>
      </c>
      <c r="V86" s="212" t="str">
        <f t="shared" si="9"/>
        <v>-</v>
      </c>
      <c r="W86" s="2" t="str">
        <f t="shared" si="10"/>
        <v>Trade union fee</v>
      </c>
      <c r="X86" s="2" t="str">
        <f t="shared" si="11"/>
        <v>4338231</v>
      </c>
      <c r="Y86" s="2" t="str">
        <f t="shared" si="11"/>
        <v>C.Trade union fee</v>
      </c>
    </row>
    <row r="87" spans="1:25" ht="20.100000000000001" customHeight="1">
      <c r="H87" s="210"/>
      <c r="L87" s="2" t="s">
        <v>574</v>
      </c>
      <c r="M87" s="206" t="s">
        <v>575</v>
      </c>
      <c r="N87" s="2" t="s">
        <v>576</v>
      </c>
      <c r="Q87" s="212" t="str">
        <f t="shared" si="6"/>
        <v/>
      </c>
      <c r="R87" s="212" t="str">
        <f t="shared" si="6"/>
        <v/>
      </c>
      <c r="S87" s="212" t="str">
        <f t="shared" si="6"/>
        <v/>
      </c>
      <c r="T87" s="212" t="str">
        <f t="shared" si="7"/>
        <v/>
      </c>
      <c r="U87" s="212" t="str">
        <f t="shared" si="8"/>
        <v/>
      </c>
      <c r="V87" s="212" t="str">
        <f t="shared" si="9"/>
        <v>-</v>
      </c>
      <c r="W87" s="2" t="str">
        <f t="shared" si="10"/>
        <v>Trade union support</v>
      </c>
      <c r="X87" s="2" t="str">
        <f t="shared" si="11"/>
        <v>4338232</v>
      </c>
      <c r="Y87" s="2" t="str">
        <f t="shared" si="11"/>
        <v>C.Trade union support</v>
      </c>
    </row>
    <row r="88" spans="1:25" ht="20.100000000000001" customHeight="1">
      <c r="H88" s="210"/>
      <c r="I88" s="210"/>
      <c r="L88" s="2" t="s">
        <v>577</v>
      </c>
      <c r="M88" s="206" t="s">
        <v>578</v>
      </c>
      <c r="N88" s="2" t="s">
        <v>579</v>
      </c>
      <c r="Q88" s="212" t="str">
        <f t="shared" si="6"/>
        <v/>
      </c>
      <c r="R88" s="212" t="str">
        <f t="shared" si="6"/>
        <v/>
      </c>
      <c r="S88" s="212" t="str">
        <f t="shared" si="6"/>
        <v/>
      </c>
      <c r="T88" s="212" t="str">
        <f t="shared" si="7"/>
        <v/>
      </c>
      <c r="U88" s="212" t="str">
        <f t="shared" si="8"/>
        <v/>
      </c>
      <c r="V88" s="212" t="str">
        <f t="shared" si="9"/>
        <v>-</v>
      </c>
      <c r="W88" s="2" t="str">
        <f t="shared" si="10"/>
        <v>Other Welfares</v>
      </c>
      <c r="X88" s="2" t="str">
        <f t="shared" si="11"/>
        <v>4338900</v>
      </c>
      <c r="Y88" s="2" t="str">
        <f t="shared" si="11"/>
        <v>C.Welfare / Others</v>
      </c>
    </row>
    <row r="89" spans="1:25" s="15" customFormat="1" ht="20.100000000000001" customHeight="1">
      <c r="A89" s="218"/>
      <c r="B89" s="218"/>
      <c r="C89" s="218"/>
      <c r="D89" s="218"/>
      <c r="E89" s="219"/>
      <c r="F89" s="218"/>
      <c r="G89" s="218"/>
      <c r="H89" s="210" t="s">
        <v>580</v>
      </c>
      <c r="I89" s="218"/>
      <c r="J89" s="218"/>
      <c r="K89" s="218"/>
      <c r="M89" s="218"/>
      <c r="Q89" s="212" t="str">
        <f t="shared" si="6"/>
        <v/>
      </c>
      <c r="R89" s="212" t="str">
        <f t="shared" si="6"/>
        <v>■</v>
      </c>
      <c r="S89" s="212" t="str">
        <f t="shared" si="6"/>
        <v/>
      </c>
      <c r="T89" s="212" t="str">
        <f t="shared" si="7"/>
        <v/>
      </c>
      <c r="U89" s="212" t="str">
        <f t="shared" si="8"/>
        <v/>
      </c>
      <c r="V89" s="212" t="str">
        <f t="shared" si="9"/>
        <v/>
      </c>
      <c r="W89" s="15" t="str">
        <f t="shared" si="10"/>
        <v>Travel expense</v>
      </c>
      <c r="X89" s="15" t="str">
        <f t="shared" si="11"/>
        <v/>
      </c>
      <c r="Y89" s="15" t="str">
        <f t="shared" si="11"/>
        <v/>
      </c>
    </row>
    <row r="90" spans="1:25" ht="20.100000000000001" customHeight="1">
      <c r="H90" s="210"/>
      <c r="L90" s="2" t="s">
        <v>581</v>
      </c>
      <c r="M90" s="206" t="s">
        <v>582</v>
      </c>
      <c r="N90" s="2" t="s">
        <v>583</v>
      </c>
      <c r="Q90" s="212" t="str">
        <f t="shared" si="6"/>
        <v/>
      </c>
      <c r="R90" s="212" t="str">
        <f t="shared" si="6"/>
        <v/>
      </c>
      <c r="S90" s="212" t="str">
        <f t="shared" si="6"/>
        <v/>
      </c>
      <c r="T90" s="212" t="str">
        <f t="shared" si="7"/>
        <v/>
      </c>
      <c r="U90" s="212" t="str">
        <f t="shared" si="8"/>
        <v/>
      </c>
      <c r="V90" s="212" t="str">
        <f t="shared" si="9"/>
        <v>-</v>
      </c>
      <c r="W90" s="2" t="str">
        <f t="shared" si="10"/>
        <v>Overseas</v>
      </c>
      <c r="X90" s="2" t="str">
        <f t="shared" si="11"/>
        <v>4350101</v>
      </c>
      <c r="Y90" s="2" t="str">
        <f t="shared" si="11"/>
        <v xml:space="preserve">C.Overseas / Air ticket </v>
      </c>
    </row>
    <row r="91" spans="1:25" ht="20.100000000000001" customHeight="1">
      <c r="G91" s="210"/>
      <c r="L91" s="2" t="s">
        <v>581</v>
      </c>
      <c r="M91" s="206" t="s">
        <v>584</v>
      </c>
      <c r="N91" s="2" t="s">
        <v>585</v>
      </c>
      <c r="Q91" s="212" t="str">
        <f t="shared" si="6"/>
        <v/>
      </c>
      <c r="R91" s="212" t="str">
        <f t="shared" si="6"/>
        <v/>
      </c>
      <c r="S91" s="212" t="str">
        <f t="shared" si="6"/>
        <v/>
      </c>
      <c r="T91" s="212" t="str">
        <f t="shared" si="7"/>
        <v/>
      </c>
      <c r="U91" s="212" t="str">
        <f t="shared" si="8"/>
        <v/>
      </c>
      <c r="V91" s="212" t="str">
        <f t="shared" si="9"/>
        <v>-</v>
      </c>
      <c r="W91" s="2" t="str">
        <f t="shared" si="10"/>
        <v>Overseas</v>
      </c>
      <c r="X91" s="2" t="str">
        <f t="shared" si="11"/>
        <v>4350103</v>
      </c>
      <c r="Y91" s="2" t="str">
        <f t="shared" si="11"/>
        <v>C.Overseas / Biz trip exp.</v>
      </c>
    </row>
    <row r="92" spans="1:25" ht="20.100000000000001" customHeight="1">
      <c r="L92" s="2" t="s">
        <v>581</v>
      </c>
      <c r="M92" s="206" t="s">
        <v>586</v>
      </c>
      <c r="N92" s="2" t="s">
        <v>587</v>
      </c>
      <c r="Q92" s="212" t="str">
        <f t="shared" si="6"/>
        <v/>
      </c>
      <c r="R92" s="212" t="str">
        <f t="shared" si="6"/>
        <v/>
      </c>
      <c r="S92" s="212" t="str">
        <f t="shared" si="6"/>
        <v/>
      </c>
      <c r="T92" s="212" t="str">
        <f t="shared" si="7"/>
        <v/>
      </c>
      <c r="U92" s="212" t="str">
        <f t="shared" si="8"/>
        <v/>
      </c>
      <c r="V92" s="212" t="str">
        <f t="shared" si="9"/>
        <v>-</v>
      </c>
      <c r="W92" s="2" t="str">
        <f t="shared" si="10"/>
        <v>Overseas</v>
      </c>
      <c r="X92" s="2" t="str">
        <f t="shared" si="11"/>
        <v>4350104</v>
      </c>
      <c r="Y92" s="2" t="str">
        <f t="shared" si="11"/>
        <v>C.Overseas / Room charge</v>
      </c>
    </row>
    <row r="93" spans="1:25" ht="20.100000000000001" customHeight="1">
      <c r="H93" s="210"/>
      <c r="L93" s="2" t="s">
        <v>588</v>
      </c>
      <c r="M93" s="206" t="s">
        <v>589</v>
      </c>
      <c r="N93" s="2" t="s">
        <v>590</v>
      </c>
      <c r="Q93" s="212" t="str">
        <f t="shared" si="6"/>
        <v/>
      </c>
      <c r="R93" s="212" t="str">
        <f t="shared" si="6"/>
        <v/>
      </c>
      <c r="S93" s="212" t="str">
        <f t="shared" si="6"/>
        <v/>
      </c>
      <c r="T93" s="212" t="str">
        <f t="shared" si="7"/>
        <v/>
      </c>
      <c r="U93" s="212" t="str">
        <f t="shared" si="8"/>
        <v/>
      </c>
      <c r="V93" s="212" t="str">
        <f t="shared" si="9"/>
        <v>-</v>
      </c>
      <c r="W93" s="2" t="str">
        <f t="shared" si="10"/>
        <v>Domestic</v>
      </c>
      <c r="X93" s="2" t="str">
        <f t="shared" si="11"/>
        <v>4350203</v>
      </c>
      <c r="Y93" s="2" t="str">
        <f t="shared" si="11"/>
        <v>C.Local / Public Transportation</v>
      </c>
    </row>
    <row r="94" spans="1:25" ht="20.100000000000001" customHeight="1">
      <c r="H94" s="15"/>
      <c r="L94" s="2" t="s">
        <v>588</v>
      </c>
      <c r="M94" s="206" t="s">
        <v>591</v>
      </c>
      <c r="N94" s="2" t="s">
        <v>592</v>
      </c>
      <c r="Q94" s="212" t="str">
        <f t="shared" si="6"/>
        <v/>
      </c>
      <c r="R94" s="212" t="str">
        <f t="shared" si="6"/>
        <v/>
      </c>
      <c r="S94" s="212" t="str">
        <f t="shared" si="6"/>
        <v/>
      </c>
      <c r="T94" s="212" t="str">
        <f t="shared" si="7"/>
        <v/>
      </c>
      <c r="U94" s="212" t="str">
        <f t="shared" si="8"/>
        <v/>
      </c>
      <c r="V94" s="212" t="str">
        <f t="shared" si="9"/>
        <v>-</v>
      </c>
      <c r="W94" s="2" t="str">
        <f t="shared" si="10"/>
        <v>Domestic</v>
      </c>
      <c r="X94" s="2" t="str">
        <f t="shared" si="11"/>
        <v>4350204</v>
      </c>
      <c r="Y94" s="2" t="str">
        <f t="shared" si="11"/>
        <v>C.Local / Room charge</v>
      </c>
    </row>
    <row r="95" spans="1:25" ht="20.100000000000001" customHeight="1">
      <c r="H95" s="15"/>
      <c r="L95" s="2" t="s">
        <v>593</v>
      </c>
      <c r="M95" s="206" t="s">
        <v>594</v>
      </c>
      <c r="N95" s="2" t="s">
        <v>595</v>
      </c>
      <c r="Q95" s="212" t="str">
        <f t="shared" si="6"/>
        <v/>
      </c>
      <c r="R95" s="212" t="str">
        <f t="shared" si="6"/>
        <v/>
      </c>
      <c r="S95" s="212" t="str">
        <f t="shared" si="6"/>
        <v/>
      </c>
      <c r="T95" s="212" t="str">
        <f t="shared" si="7"/>
        <v/>
      </c>
      <c r="U95" s="212" t="str">
        <f t="shared" si="8"/>
        <v/>
      </c>
      <c r="V95" s="212" t="str">
        <f t="shared" si="9"/>
        <v>-</v>
      </c>
      <c r="W95" s="2" t="str">
        <f t="shared" si="10"/>
        <v>Other Travel expense</v>
      </c>
      <c r="X95" s="2" t="str">
        <f t="shared" si="11"/>
        <v>4350900</v>
      </c>
      <c r="Y95" s="2" t="str">
        <f t="shared" si="11"/>
        <v>C.Traveling / Others</v>
      </c>
    </row>
    <row r="96" spans="1:25" ht="20.100000000000001" customHeight="1">
      <c r="H96" s="15" t="s">
        <v>596</v>
      </c>
      <c r="M96" s="206" t="s">
        <v>597</v>
      </c>
      <c r="N96" s="2" t="s">
        <v>598</v>
      </c>
      <c r="Q96" s="212" t="str">
        <f t="shared" si="6"/>
        <v/>
      </c>
      <c r="R96" s="212" t="str">
        <f t="shared" si="6"/>
        <v>■</v>
      </c>
      <c r="S96" s="212" t="str">
        <f t="shared" si="6"/>
        <v/>
      </c>
      <c r="T96" s="212" t="str">
        <f t="shared" si="7"/>
        <v/>
      </c>
      <c r="U96" s="212" t="str">
        <f t="shared" si="8"/>
        <v/>
      </c>
      <c r="V96" s="212" t="str">
        <f t="shared" si="9"/>
        <v/>
      </c>
      <c r="W96" s="15" t="str">
        <f t="shared" si="10"/>
        <v>Taxes &amp; Dues</v>
      </c>
      <c r="X96" s="2" t="str">
        <f t="shared" si="11"/>
        <v>4370000</v>
      </c>
      <c r="Y96" s="2" t="str">
        <f t="shared" si="11"/>
        <v>C.Taxes &amp; Dues</v>
      </c>
    </row>
    <row r="97" spans="1:25" s="15" customFormat="1" ht="20.100000000000001" customHeight="1">
      <c r="A97" s="218"/>
      <c r="B97" s="218"/>
      <c r="C97" s="218"/>
      <c r="D97" s="218"/>
      <c r="E97" s="219"/>
      <c r="F97" s="218"/>
      <c r="G97" s="218"/>
      <c r="H97" s="15" t="s">
        <v>599</v>
      </c>
      <c r="I97" s="218"/>
      <c r="J97" s="218"/>
      <c r="K97" s="218"/>
      <c r="M97" s="218"/>
      <c r="Q97" s="212" t="str">
        <f t="shared" si="6"/>
        <v/>
      </c>
      <c r="R97" s="212" t="str">
        <f t="shared" si="6"/>
        <v>■</v>
      </c>
      <c r="S97" s="212" t="str">
        <f t="shared" si="6"/>
        <v/>
      </c>
      <c r="T97" s="212" t="str">
        <f t="shared" si="7"/>
        <v/>
      </c>
      <c r="U97" s="212" t="str">
        <f t="shared" si="8"/>
        <v/>
      </c>
      <c r="V97" s="212" t="str">
        <f t="shared" si="9"/>
        <v/>
      </c>
      <c r="W97" s="15" t="str">
        <f t="shared" si="10"/>
        <v>Communication expense</v>
      </c>
      <c r="X97" s="15" t="str">
        <f t="shared" si="11"/>
        <v/>
      </c>
      <c r="Y97" s="15" t="str">
        <f t="shared" si="11"/>
        <v/>
      </c>
    </row>
    <row r="98" spans="1:25" ht="20.100000000000001" customHeight="1">
      <c r="L98" s="2" t="s">
        <v>600</v>
      </c>
      <c r="M98" s="206" t="s">
        <v>601</v>
      </c>
      <c r="N98" s="2" t="s">
        <v>602</v>
      </c>
      <c r="Q98" s="212" t="str">
        <f t="shared" si="6"/>
        <v/>
      </c>
      <c r="R98" s="212" t="str">
        <f t="shared" si="6"/>
        <v/>
      </c>
      <c r="S98" s="212" t="str">
        <f t="shared" si="6"/>
        <v/>
      </c>
      <c r="T98" s="212" t="str">
        <f t="shared" si="7"/>
        <v/>
      </c>
      <c r="U98" s="212" t="str">
        <f t="shared" si="8"/>
        <v/>
      </c>
      <c r="V98" s="212" t="str">
        <f t="shared" si="9"/>
        <v>-</v>
      </c>
      <c r="W98" s="2" t="str">
        <f t="shared" si="10"/>
        <v>Telephone</v>
      </c>
      <c r="X98" s="2" t="str">
        <f t="shared" si="11"/>
        <v>4390101</v>
      </c>
      <c r="Y98" s="2" t="str">
        <f t="shared" si="11"/>
        <v>C../ Telephone / Domestic</v>
      </c>
    </row>
    <row r="99" spans="1:25" ht="20.100000000000001" customHeight="1">
      <c r="H99" s="15"/>
      <c r="L99" s="2" t="s">
        <v>600</v>
      </c>
      <c r="M99" s="206" t="s">
        <v>603</v>
      </c>
      <c r="N99" s="2" t="s">
        <v>604</v>
      </c>
      <c r="Q99" s="212" t="str">
        <f t="shared" si="6"/>
        <v/>
      </c>
      <c r="R99" s="212" t="str">
        <f t="shared" si="6"/>
        <v/>
      </c>
      <c r="S99" s="212" t="str">
        <f t="shared" si="6"/>
        <v/>
      </c>
      <c r="T99" s="212" t="str">
        <f t="shared" si="7"/>
        <v/>
      </c>
      <c r="U99" s="212" t="str">
        <f t="shared" si="8"/>
        <v/>
      </c>
      <c r="V99" s="212" t="str">
        <f t="shared" si="9"/>
        <v>-</v>
      </c>
      <c r="W99" s="2" t="str">
        <f t="shared" si="10"/>
        <v>Telephone</v>
      </c>
      <c r="X99" s="2" t="str">
        <f t="shared" si="11"/>
        <v>4390103</v>
      </c>
      <c r="Y99" s="2" t="str">
        <f t="shared" si="11"/>
        <v>C../ Telephone / International</v>
      </c>
    </row>
    <row r="100" spans="1:25" ht="20.100000000000001" customHeight="1">
      <c r="H100" s="15"/>
      <c r="L100" s="2" t="s">
        <v>605</v>
      </c>
      <c r="M100" s="206" t="s">
        <v>606</v>
      </c>
      <c r="N100" s="2" t="s">
        <v>607</v>
      </c>
      <c r="Q100" s="212" t="str">
        <f t="shared" si="6"/>
        <v/>
      </c>
      <c r="R100" s="212" t="str">
        <f t="shared" si="6"/>
        <v/>
      </c>
      <c r="S100" s="212" t="str">
        <f t="shared" si="6"/>
        <v/>
      </c>
      <c r="T100" s="212" t="str">
        <f t="shared" si="7"/>
        <v/>
      </c>
      <c r="U100" s="212" t="str">
        <f t="shared" si="8"/>
        <v/>
      </c>
      <c r="V100" s="212" t="str">
        <f t="shared" si="9"/>
        <v>-</v>
      </c>
      <c r="W100" s="2" t="str">
        <f t="shared" si="10"/>
        <v>Mobile</v>
      </c>
      <c r="X100" s="2" t="str">
        <f t="shared" si="11"/>
        <v>4390200</v>
      </c>
      <c r="Y100" s="2" t="str">
        <f t="shared" si="11"/>
        <v>C.Communication / Mobile Phone</v>
      </c>
    </row>
    <row r="101" spans="1:25" ht="20.100000000000001" customHeight="1">
      <c r="L101" s="2" t="s">
        <v>608</v>
      </c>
      <c r="M101" s="206" t="s">
        <v>609</v>
      </c>
      <c r="N101" s="2" t="s">
        <v>610</v>
      </c>
      <c r="Q101" s="212" t="str">
        <f t="shared" si="6"/>
        <v/>
      </c>
      <c r="R101" s="212" t="str">
        <f t="shared" si="6"/>
        <v/>
      </c>
      <c r="S101" s="212" t="str">
        <f t="shared" si="6"/>
        <v/>
      </c>
      <c r="T101" s="212" t="str">
        <f t="shared" si="7"/>
        <v/>
      </c>
      <c r="U101" s="212" t="str">
        <f t="shared" si="8"/>
        <v/>
      </c>
      <c r="V101" s="212" t="str">
        <f t="shared" si="9"/>
        <v>-</v>
      </c>
      <c r="W101" s="2" t="str">
        <f t="shared" si="10"/>
        <v>Internet</v>
      </c>
      <c r="X101" s="2" t="str">
        <f t="shared" si="11"/>
        <v>4390300</v>
      </c>
      <c r="Y101" s="2" t="str">
        <f t="shared" si="11"/>
        <v>C.Communication / Internet</v>
      </c>
    </row>
    <row r="102" spans="1:25" ht="20.100000000000001" customHeight="1">
      <c r="L102" s="2" t="s">
        <v>611</v>
      </c>
      <c r="M102" s="206" t="s">
        <v>612</v>
      </c>
      <c r="N102" s="2" t="s">
        <v>613</v>
      </c>
      <c r="Q102" s="212" t="str">
        <f t="shared" si="6"/>
        <v/>
      </c>
      <c r="R102" s="212" t="str">
        <f t="shared" si="6"/>
        <v/>
      </c>
      <c r="S102" s="212" t="str">
        <f t="shared" si="6"/>
        <v/>
      </c>
      <c r="T102" s="212" t="str">
        <f t="shared" si="7"/>
        <v/>
      </c>
      <c r="U102" s="212" t="str">
        <f t="shared" si="8"/>
        <v/>
      </c>
      <c r="V102" s="212" t="str">
        <f t="shared" si="9"/>
        <v>-</v>
      </c>
      <c r="W102" s="2" t="str">
        <f t="shared" si="10"/>
        <v>Postage &amp; Delivery</v>
      </c>
      <c r="X102" s="2" t="str">
        <f t="shared" si="11"/>
        <v>4390400</v>
      </c>
      <c r="Y102" s="2" t="str">
        <f t="shared" si="11"/>
        <v>C.Communication / Postage &amp; Delivery</v>
      </c>
    </row>
    <row r="103" spans="1:25" ht="20.100000000000001" customHeight="1">
      <c r="L103" s="2" t="s">
        <v>614</v>
      </c>
      <c r="M103" s="206" t="s">
        <v>615</v>
      </c>
      <c r="N103" s="2" t="s">
        <v>616</v>
      </c>
      <c r="Q103" s="212" t="str">
        <f t="shared" si="6"/>
        <v/>
      </c>
      <c r="R103" s="212" t="str">
        <f t="shared" si="6"/>
        <v/>
      </c>
      <c r="S103" s="212" t="str">
        <f t="shared" si="6"/>
        <v/>
      </c>
      <c r="T103" s="212" t="str">
        <f t="shared" si="7"/>
        <v/>
      </c>
      <c r="U103" s="212" t="str">
        <f t="shared" si="8"/>
        <v/>
      </c>
      <c r="V103" s="212" t="str">
        <f t="shared" si="9"/>
        <v>-</v>
      </c>
      <c r="W103" s="2" t="str">
        <f t="shared" si="10"/>
        <v>Other Communication expense</v>
      </c>
      <c r="X103" s="2" t="str">
        <f t="shared" si="11"/>
        <v>4390900</v>
      </c>
      <c r="Y103" s="2" t="str">
        <f t="shared" si="11"/>
        <v>C.Communication / Others</v>
      </c>
    </row>
    <row r="104" spans="1:25" s="15" customFormat="1" ht="20.100000000000001" customHeight="1">
      <c r="A104" s="218"/>
      <c r="B104" s="218"/>
      <c r="C104" s="218"/>
      <c r="D104" s="218"/>
      <c r="E104" s="219"/>
      <c r="F104" s="218"/>
      <c r="G104" s="218"/>
      <c r="H104" s="15" t="s">
        <v>617</v>
      </c>
      <c r="I104" s="218"/>
      <c r="J104" s="218"/>
      <c r="K104" s="218"/>
      <c r="M104" s="218"/>
      <c r="Q104" s="212" t="str">
        <f t="shared" si="6"/>
        <v/>
      </c>
      <c r="R104" s="212" t="str">
        <f t="shared" si="6"/>
        <v>■</v>
      </c>
      <c r="S104" s="212" t="str">
        <f t="shared" si="6"/>
        <v/>
      </c>
      <c r="T104" s="212" t="str">
        <f t="shared" si="7"/>
        <v/>
      </c>
      <c r="U104" s="212" t="str">
        <f t="shared" si="8"/>
        <v/>
      </c>
      <c r="V104" s="212" t="str">
        <f t="shared" si="9"/>
        <v/>
      </c>
      <c r="W104" s="15" t="str">
        <f t="shared" si="10"/>
        <v>Rent</v>
      </c>
      <c r="X104" s="15" t="str">
        <f t="shared" si="11"/>
        <v/>
      </c>
      <c r="Y104" s="15" t="str">
        <f t="shared" si="11"/>
        <v/>
      </c>
    </row>
    <row r="105" spans="1:25" ht="20.100000000000001" customHeight="1">
      <c r="H105" s="15"/>
      <c r="L105" s="2" t="s">
        <v>282</v>
      </c>
      <c r="M105" s="206" t="s">
        <v>618</v>
      </c>
      <c r="N105" s="2" t="s">
        <v>619</v>
      </c>
      <c r="Q105" s="212" t="str">
        <f t="shared" si="6"/>
        <v/>
      </c>
      <c r="R105" s="212" t="str">
        <f t="shared" si="6"/>
        <v/>
      </c>
      <c r="S105" s="212" t="str">
        <f t="shared" si="6"/>
        <v/>
      </c>
      <c r="T105" s="212" t="str">
        <f t="shared" si="7"/>
        <v/>
      </c>
      <c r="U105" s="212" t="str">
        <f t="shared" si="8"/>
        <v/>
      </c>
      <c r="V105" s="212" t="str">
        <f t="shared" si="9"/>
        <v>-</v>
      </c>
      <c r="W105" s="2" t="str">
        <f t="shared" si="10"/>
        <v>Building</v>
      </c>
      <c r="X105" s="2" t="str">
        <f t="shared" si="11"/>
        <v>4410100</v>
      </c>
      <c r="Y105" s="2" t="str">
        <f t="shared" si="11"/>
        <v>C.Rent / Building</v>
      </c>
    </row>
    <row r="106" spans="1:25" ht="20.100000000000001" customHeight="1">
      <c r="L106" s="2" t="s">
        <v>279</v>
      </c>
      <c r="M106" s="206" t="s">
        <v>620</v>
      </c>
      <c r="N106" s="2" t="s">
        <v>621</v>
      </c>
      <c r="Q106" s="212" t="str">
        <f t="shared" si="6"/>
        <v/>
      </c>
      <c r="R106" s="212" t="str">
        <f t="shared" si="6"/>
        <v/>
      </c>
      <c r="S106" s="212" t="str">
        <f t="shared" si="6"/>
        <v/>
      </c>
      <c r="T106" s="212" t="str">
        <f t="shared" si="7"/>
        <v/>
      </c>
      <c r="U106" s="212" t="str">
        <f t="shared" si="8"/>
        <v/>
      </c>
      <c r="V106" s="212" t="str">
        <f t="shared" si="9"/>
        <v>-</v>
      </c>
      <c r="W106" s="2" t="str">
        <f t="shared" si="10"/>
        <v>Land</v>
      </c>
      <c r="X106" s="2" t="str">
        <f t="shared" si="11"/>
        <v>4410200</v>
      </c>
      <c r="Y106" s="2" t="str">
        <f t="shared" si="11"/>
        <v>C.Rent / Land</v>
      </c>
    </row>
    <row r="107" spans="1:25" ht="20.100000000000001" customHeight="1">
      <c r="H107" s="15"/>
      <c r="L107" s="2" t="s">
        <v>622</v>
      </c>
      <c r="M107" s="206" t="s">
        <v>623</v>
      </c>
      <c r="N107" s="2" t="s">
        <v>624</v>
      </c>
      <c r="Q107" s="212" t="str">
        <f t="shared" si="6"/>
        <v/>
      </c>
      <c r="R107" s="212" t="str">
        <f t="shared" si="6"/>
        <v/>
      </c>
      <c r="S107" s="212" t="str">
        <f t="shared" si="6"/>
        <v/>
      </c>
      <c r="T107" s="212" t="str">
        <f t="shared" si="7"/>
        <v/>
      </c>
      <c r="U107" s="212" t="str">
        <f t="shared" si="8"/>
        <v/>
      </c>
      <c r="V107" s="212" t="str">
        <f t="shared" si="9"/>
        <v>-</v>
      </c>
      <c r="W107" s="2" t="str">
        <f t="shared" si="10"/>
        <v>Domitory</v>
      </c>
      <c r="X107" s="2" t="str">
        <f t="shared" si="11"/>
        <v>4410301</v>
      </c>
      <c r="Y107" s="2" t="str">
        <f t="shared" si="11"/>
        <v>C.Rent / Domitory / Korean</v>
      </c>
    </row>
    <row r="108" spans="1:25" ht="20.100000000000001" customHeight="1">
      <c r="L108" s="2" t="s">
        <v>622</v>
      </c>
      <c r="M108" s="206" t="s">
        <v>625</v>
      </c>
      <c r="N108" s="2" t="s">
        <v>626</v>
      </c>
      <c r="Q108" s="212" t="str">
        <f t="shared" si="6"/>
        <v/>
      </c>
      <c r="R108" s="212" t="str">
        <f t="shared" si="6"/>
        <v/>
      </c>
      <c r="S108" s="212" t="str">
        <f t="shared" si="6"/>
        <v/>
      </c>
      <c r="T108" s="212" t="str">
        <f t="shared" si="7"/>
        <v/>
      </c>
      <c r="U108" s="212" t="str">
        <f t="shared" si="8"/>
        <v/>
      </c>
      <c r="V108" s="212" t="str">
        <f t="shared" si="9"/>
        <v>-</v>
      </c>
      <c r="W108" s="2" t="str">
        <f t="shared" si="10"/>
        <v>Domitory</v>
      </c>
      <c r="X108" s="2" t="str">
        <f t="shared" si="11"/>
        <v>4410303</v>
      </c>
      <c r="Y108" s="2" t="str">
        <f t="shared" si="11"/>
        <v>C.Rent / Domitory / Local</v>
      </c>
    </row>
    <row r="109" spans="1:25" ht="20.100000000000001" customHeight="1">
      <c r="L109" s="2" t="s">
        <v>627</v>
      </c>
      <c r="M109" s="206" t="s">
        <v>628</v>
      </c>
      <c r="N109" s="2" t="s">
        <v>629</v>
      </c>
      <c r="Q109" s="212" t="str">
        <f t="shared" si="6"/>
        <v/>
      </c>
      <c r="R109" s="212" t="str">
        <f t="shared" si="6"/>
        <v/>
      </c>
      <c r="S109" s="212" t="str">
        <f t="shared" si="6"/>
        <v/>
      </c>
      <c r="T109" s="212" t="str">
        <f t="shared" si="7"/>
        <v/>
      </c>
      <c r="U109" s="212" t="str">
        <f t="shared" si="8"/>
        <v/>
      </c>
      <c r="V109" s="212" t="str">
        <f t="shared" si="9"/>
        <v>-</v>
      </c>
      <c r="W109" s="2" t="str">
        <f t="shared" si="10"/>
        <v>Car</v>
      </c>
      <c r="X109" s="2" t="str">
        <f t="shared" si="11"/>
        <v>4410401</v>
      </c>
      <c r="Y109" s="2" t="str">
        <f t="shared" si="11"/>
        <v>C.Rent / Car / Korean</v>
      </c>
    </row>
    <row r="110" spans="1:25" ht="20.100000000000001" customHeight="1">
      <c r="H110" s="15"/>
      <c r="L110" s="2" t="s">
        <v>627</v>
      </c>
      <c r="M110" s="206" t="s">
        <v>630</v>
      </c>
      <c r="N110" s="2" t="s">
        <v>631</v>
      </c>
      <c r="Q110" s="212" t="str">
        <f t="shared" si="6"/>
        <v/>
      </c>
      <c r="R110" s="212" t="str">
        <f t="shared" si="6"/>
        <v/>
      </c>
      <c r="S110" s="212" t="str">
        <f t="shared" si="6"/>
        <v/>
      </c>
      <c r="T110" s="212" t="str">
        <f t="shared" si="7"/>
        <v/>
      </c>
      <c r="U110" s="212" t="str">
        <f t="shared" si="8"/>
        <v/>
      </c>
      <c r="V110" s="212" t="str">
        <f t="shared" si="9"/>
        <v>-</v>
      </c>
      <c r="W110" s="2" t="str">
        <f t="shared" si="10"/>
        <v>Car</v>
      </c>
      <c r="X110" s="2" t="str">
        <f t="shared" si="11"/>
        <v>4410403</v>
      </c>
      <c r="Y110" s="2" t="str">
        <f t="shared" si="11"/>
        <v>C.Rent / Car / Local</v>
      </c>
    </row>
    <row r="111" spans="1:25" ht="20.100000000000001" customHeight="1">
      <c r="G111" s="210"/>
      <c r="L111" s="2" t="s">
        <v>632</v>
      </c>
      <c r="M111" s="206" t="s">
        <v>633</v>
      </c>
      <c r="N111" s="2" t="s">
        <v>634</v>
      </c>
      <c r="Q111" s="212" t="str">
        <f t="shared" si="6"/>
        <v/>
      </c>
      <c r="R111" s="212" t="str">
        <f t="shared" si="6"/>
        <v/>
      </c>
      <c r="S111" s="212" t="str">
        <f t="shared" si="6"/>
        <v/>
      </c>
      <c r="T111" s="212" t="str">
        <f t="shared" si="7"/>
        <v/>
      </c>
      <c r="U111" s="212" t="str">
        <f t="shared" si="8"/>
        <v/>
      </c>
      <c r="V111" s="212" t="str">
        <f t="shared" si="9"/>
        <v>-</v>
      </c>
      <c r="W111" s="2" t="str">
        <f t="shared" si="10"/>
        <v>Container</v>
      </c>
      <c r="X111" s="2" t="str">
        <f t="shared" si="11"/>
        <v>4410510</v>
      </c>
      <c r="Y111" s="2" t="str">
        <f t="shared" si="11"/>
        <v>C.Rent / Container</v>
      </c>
    </row>
    <row r="112" spans="1:25" ht="20.100000000000001" customHeight="1">
      <c r="H112" s="210"/>
      <c r="L112" s="2" t="s">
        <v>635</v>
      </c>
      <c r="M112" s="206" t="s">
        <v>636</v>
      </c>
      <c r="N112" s="2" t="s">
        <v>637</v>
      </c>
      <c r="Q112" s="212" t="str">
        <f t="shared" si="6"/>
        <v/>
      </c>
      <c r="R112" s="212" t="str">
        <f t="shared" si="6"/>
        <v/>
      </c>
      <c r="S112" s="212" t="str">
        <f t="shared" si="6"/>
        <v/>
      </c>
      <c r="T112" s="212" t="str">
        <f t="shared" si="7"/>
        <v/>
      </c>
      <c r="U112" s="212" t="str">
        <f t="shared" si="8"/>
        <v/>
      </c>
      <c r="V112" s="212" t="str">
        <f t="shared" si="9"/>
        <v>-</v>
      </c>
      <c r="W112" s="2" t="str">
        <f t="shared" si="10"/>
        <v>Machinary</v>
      </c>
      <c r="X112" s="2" t="str">
        <f t="shared" si="11"/>
        <v>4410530</v>
      </c>
      <c r="Y112" s="2" t="str">
        <f t="shared" si="11"/>
        <v>C.Rent / Sewing Machine</v>
      </c>
    </row>
    <row r="113" spans="1:25" ht="20.100000000000001" customHeight="1">
      <c r="H113" s="210"/>
      <c r="L113" s="2" t="s">
        <v>638</v>
      </c>
      <c r="M113" s="206" t="s">
        <v>639</v>
      </c>
      <c r="N113" s="2" t="s">
        <v>640</v>
      </c>
      <c r="Q113" s="212" t="str">
        <f t="shared" si="6"/>
        <v/>
      </c>
      <c r="R113" s="212" t="str">
        <f t="shared" si="6"/>
        <v/>
      </c>
      <c r="S113" s="212" t="str">
        <f t="shared" si="6"/>
        <v/>
      </c>
      <c r="T113" s="212" t="str">
        <f t="shared" si="7"/>
        <v/>
      </c>
      <c r="U113" s="212" t="str">
        <f t="shared" si="8"/>
        <v/>
      </c>
      <c r="V113" s="212" t="str">
        <f t="shared" si="9"/>
        <v>-</v>
      </c>
      <c r="W113" s="2" t="str">
        <f t="shared" si="10"/>
        <v>Office Machine</v>
      </c>
      <c r="X113" s="2" t="str">
        <f t="shared" si="11"/>
        <v>4410550</v>
      </c>
      <c r="Y113" s="2" t="str">
        <f t="shared" si="11"/>
        <v>C.Rent / Photocopier</v>
      </c>
    </row>
    <row r="114" spans="1:25" ht="20.100000000000001" customHeight="1">
      <c r="H114" s="210"/>
      <c r="L114" s="2" t="s">
        <v>641</v>
      </c>
      <c r="M114" s="206" t="s">
        <v>642</v>
      </c>
      <c r="N114" s="2" t="s">
        <v>643</v>
      </c>
      <c r="Q114" s="212" t="str">
        <f t="shared" si="6"/>
        <v/>
      </c>
      <c r="R114" s="212" t="str">
        <f t="shared" si="6"/>
        <v/>
      </c>
      <c r="S114" s="212" t="str">
        <f t="shared" si="6"/>
        <v/>
      </c>
      <c r="T114" s="212" t="str">
        <f t="shared" si="7"/>
        <v/>
      </c>
      <c r="U114" s="212" t="str">
        <f t="shared" si="8"/>
        <v/>
      </c>
      <c r="V114" s="212" t="str">
        <f t="shared" si="9"/>
        <v>-</v>
      </c>
      <c r="W114" s="2" t="str">
        <f t="shared" si="10"/>
        <v>Other Rent</v>
      </c>
      <c r="X114" s="2" t="str">
        <f t="shared" si="11"/>
        <v>4410901</v>
      </c>
      <c r="Y114" s="2" t="str">
        <f t="shared" si="11"/>
        <v>C.Rent / Others</v>
      </c>
    </row>
    <row r="115" spans="1:25" s="15" customFormat="1" ht="20.100000000000001" customHeight="1">
      <c r="A115" s="218"/>
      <c r="B115" s="218"/>
      <c r="C115" s="218"/>
      <c r="D115" s="218"/>
      <c r="E115" s="219"/>
      <c r="F115" s="218"/>
      <c r="G115" s="218"/>
      <c r="H115" s="210" t="s">
        <v>644</v>
      </c>
      <c r="I115" s="218"/>
      <c r="J115" s="218"/>
      <c r="K115" s="218"/>
      <c r="M115" s="218"/>
      <c r="Q115" s="212" t="str">
        <f t="shared" si="6"/>
        <v/>
      </c>
      <c r="R115" s="212" t="str">
        <f t="shared" si="6"/>
        <v>■</v>
      </c>
      <c r="S115" s="212" t="str">
        <f t="shared" si="6"/>
        <v/>
      </c>
      <c r="T115" s="212" t="str">
        <f t="shared" si="7"/>
        <v/>
      </c>
      <c r="U115" s="212" t="str">
        <f t="shared" si="8"/>
        <v/>
      </c>
      <c r="V115" s="212" t="str">
        <f t="shared" si="9"/>
        <v/>
      </c>
      <c r="W115" s="15" t="str">
        <f t="shared" si="10"/>
        <v>Depreciation</v>
      </c>
      <c r="X115" s="15" t="str">
        <f t="shared" si="11"/>
        <v/>
      </c>
      <c r="Y115" s="15" t="str">
        <f t="shared" si="11"/>
        <v/>
      </c>
    </row>
    <row r="116" spans="1:25" ht="20.100000000000001" customHeight="1">
      <c r="L116" s="2" t="s">
        <v>282</v>
      </c>
      <c r="M116" s="206" t="s">
        <v>645</v>
      </c>
      <c r="N116" s="2" t="s">
        <v>646</v>
      </c>
      <c r="Q116" s="212" t="str">
        <f t="shared" si="6"/>
        <v/>
      </c>
      <c r="R116" s="212" t="str">
        <f t="shared" si="6"/>
        <v/>
      </c>
      <c r="S116" s="212" t="str">
        <f t="shared" si="6"/>
        <v/>
      </c>
      <c r="T116" s="212" t="str">
        <f t="shared" si="7"/>
        <v/>
      </c>
      <c r="U116" s="212" t="str">
        <f t="shared" si="8"/>
        <v/>
      </c>
      <c r="V116" s="212" t="str">
        <f t="shared" si="9"/>
        <v>-</v>
      </c>
      <c r="W116" s="2" t="str">
        <f t="shared" si="10"/>
        <v>Building</v>
      </c>
      <c r="X116" s="2" t="str">
        <f t="shared" si="11"/>
        <v>4431000</v>
      </c>
      <c r="Y116" s="2" t="str">
        <f t="shared" si="11"/>
        <v>C.Dep./ Building</v>
      </c>
    </row>
    <row r="117" spans="1:25" ht="20.100000000000001" customHeight="1">
      <c r="L117" s="2" t="s">
        <v>289</v>
      </c>
      <c r="M117" s="206" t="s">
        <v>647</v>
      </c>
      <c r="N117" s="2" t="s">
        <v>648</v>
      </c>
      <c r="Q117" s="212" t="str">
        <f t="shared" si="6"/>
        <v/>
      </c>
      <c r="R117" s="212" t="str">
        <f t="shared" si="6"/>
        <v/>
      </c>
      <c r="S117" s="212" t="str">
        <f t="shared" si="6"/>
        <v/>
      </c>
      <c r="T117" s="212" t="str">
        <f t="shared" si="7"/>
        <v/>
      </c>
      <c r="U117" s="212" t="str">
        <f t="shared" si="8"/>
        <v/>
      </c>
      <c r="V117" s="212" t="str">
        <f t="shared" si="9"/>
        <v>-</v>
      </c>
      <c r="W117" s="2" t="str">
        <f t="shared" si="10"/>
        <v>Construction</v>
      </c>
      <c r="X117" s="2" t="str">
        <f t="shared" si="11"/>
        <v>4432000</v>
      </c>
      <c r="Y117" s="2" t="str">
        <f t="shared" si="11"/>
        <v>C.Dep./ Construction</v>
      </c>
    </row>
    <row r="118" spans="1:25" ht="20.100000000000001" customHeight="1">
      <c r="L118" s="2" t="s">
        <v>273</v>
      </c>
      <c r="M118" s="206" t="s">
        <v>649</v>
      </c>
      <c r="N118" s="2" t="s">
        <v>650</v>
      </c>
      <c r="Q118" s="212" t="str">
        <f t="shared" si="6"/>
        <v/>
      </c>
      <c r="R118" s="212" t="str">
        <f t="shared" si="6"/>
        <v/>
      </c>
      <c r="S118" s="212" t="str">
        <f t="shared" si="6"/>
        <v/>
      </c>
      <c r="T118" s="212" t="str">
        <f t="shared" si="7"/>
        <v/>
      </c>
      <c r="U118" s="212" t="str">
        <f t="shared" si="8"/>
        <v/>
      </c>
      <c r="V118" s="212" t="str">
        <f t="shared" si="9"/>
        <v>-</v>
      </c>
      <c r="W118" s="2" t="str">
        <f t="shared" si="10"/>
        <v>Machinery</v>
      </c>
      <c r="X118" s="2" t="str">
        <f t="shared" si="11"/>
        <v>4433000</v>
      </c>
      <c r="Y118" s="2" t="str">
        <f t="shared" si="11"/>
        <v>C.Dep./ Machinery</v>
      </c>
    </row>
    <row r="119" spans="1:25" ht="20.100000000000001" customHeight="1">
      <c r="L119" s="2" t="s">
        <v>651</v>
      </c>
      <c r="M119" s="206" t="s">
        <v>652</v>
      </c>
      <c r="N119" s="2" t="s">
        <v>653</v>
      </c>
      <c r="Q119" s="212" t="str">
        <f t="shared" si="6"/>
        <v/>
      </c>
      <c r="R119" s="212" t="str">
        <f t="shared" si="6"/>
        <v/>
      </c>
      <c r="S119" s="212" t="str">
        <f t="shared" si="6"/>
        <v/>
      </c>
      <c r="T119" s="212" t="str">
        <f t="shared" si="7"/>
        <v/>
      </c>
      <c r="U119" s="212" t="str">
        <f t="shared" si="8"/>
        <v/>
      </c>
      <c r="V119" s="212" t="str">
        <f t="shared" si="9"/>
        <v>-</v>
      </c>
      <c r="W119" s="2" t="str">
        <f t="shared" si="10"/>
        <v>Delivery equipment</v>
      </c>
      <c r="X119" s="2" t="str">
        <f t="shared" si="11"/>
        <v>4434000</v>
      </c>
      <c r="Y119" s="2" t="str">
        <f t="shared" si="11"/>
        <v>C.Dep./ Delivery equipment</v>
      </c>
    </row>
    <row r="120" spans="1:25" ht="20.100000000000001" customHeight="1">
      <c r="L120" s="2" t="s">
        <v>654</v>
      </c>
      <c r="M120" s="206" t="s">
        <v>655</v>
      </c>
      <c r="N120" s="2" t="s">
        <v>656</v>
      </c>
      <c r="Q120" s="212" t="str">
        <f t="shared" si="6"/>
        <v/>
      </c>
      <c r="R120" s="212" t="str">
        <f t="shared" si="6"/>
        <v/>
      </c>
      <c r="S120" s="212" t="str">
        <f t="shared" si="6"/>
        <v/>
      </c>
      <c r="T120" s="212" t="str">
        <f t="shared" si="7"/>
        <v/>
      </c>
      <c r="U120" s="212" t="str">
        <f t="shared" si="8"/>
        <v/>
      </c>
      <c r="V120" s="212" t="str">
        <f t="shared" si="9"/>
        <v>-</v>
      </c>
      <c r="W120" s="2" t="str">
        <f t="shared" si="10"/>
        <v>Tools &amp; equipments</v>
      </c>
      <c r="X120" s="2" t="str">
        <f t="shared" si="11"/>
        <v>4435000</v>
      </c>
      <c r="Y120" s="2" t="str">
        <f t="shared" si="11"/>
        <v>C.Dep./ Tools &amp; equipments</v>
      </c>
    </row>
    <row r="121" spans="1:25" ht="20.100000000000001" customHeight="1">
      <c r="L121" s="2" t="s">
        <v>270</v>
      </c>
      <c r="M121" s="206" t="s">
        <v>657</v>
      </c>
      <c r="N121" s="2" t="s">
        <v>658</v>
      </c>
      <c r="Q121" s="212" t="str">
        <f t="shared" si="6"/>
        <v/>
      </c>
      <c r="R121" s="212" t="str">
        <f t="shared" si="6"/>
        <v/>
      </c>
      <c r="S121" s="212" t="str">
        <f t="shared" si="6"/>
        <v/>
      </c>
      <c r="T121" s="212" t="str">
        <f t="shared" si="7"/>
        <v/>
      </c>
      <c r="U121" s="212" t="str">
        <f t="shared" si="8"/>
        <v/>
      </c>
      <c r="V121" s="212" t="str">
        <f t="shared" si="9"/>
        <v>-</v>
      </c>
      <c r="W121" s="2" t="str">
        <f t="shared" si="10"/>
        <v>Furniture &amp; Fixtures</v>
      </c>
      <c r="X121" s="2" t="str">
        <f t="shared" si="11"/>
        <v>4436001</v>
      </c>
      <c r="Y121" s="2" t="str">
        <f t="shared" si="11"/>
        <v>C.Dep./ Furniture &amp; Fixtures</v>
      </c>
    </row>
    <row r="122" spans="1:25" ht="20.100000000000001" customHeight="1">
      <c r="L122" s="2" t="s">
        <v>270</v>
      </c>
      <c r="M122" s="206" t="s">
        <v>659</v>
      </c>
      <c r="N122" s="2" t="s">
        <v>660</v>
      </c>
      <c r="Q122" s="212" t="str">
        <f t="shared" si="6"/>
        <v/>
      </c>
      <c r="R122" s="212" t="str">
        <f t="shared" si="6"/>
        <v/>
      </c>
      <c r="S122" s="212" t="str">
        <f t="shared" si="6"/>
        <v/>
      </c>
      <c r="T122" s="212" t="str">
        <f t="shared" si="7"/>
        <v/>
      </c>
      <c r="U122" s="212" t="str">
        <f t="shared" si="8"/>
        <v/>
      </c>
      <c r="V122" s="212" t="str">
        <f t="shared" si="9"/>
        <v>-</v>
      </c>
      <c r="W122" s="2" t="str">
        <f t="shared" si="10"/>
        <v>Furniture &amp; Fixtures</v>
      </c>
      <c r="X122" s="2" t="str">
        <f t="shared" si="11"/>
        <v>4436002</v>
      </c>
      <c r="Y122" s="2" t="str">
        <f t="shared" si="11"/>
        <v>C.Dep./ Furniture &amp; Fixtures for Res.</v>
      </c>
    </row>
    <row r="123" spans="1:25" ht="20.100000000000001" customHeight="1">
      <c r="L123" s="2" t="s">
        <v>270</v>
      </c>
      <c r="M123" s="206" t="s">
        <v>661</v>
      </c>
      <c r="N123" s="2" t="s">
        <v>662</v>
      </c>
      <c r="Q123" s="212" t="str">
        <f t="shared" si="6"/>
        <v/>
      </c>
      <c r="R123" s="212" t="str">
        <f t="shared" si="6"/>
        <v/>
      </c>
      <c r="S123" s="212" t="str">
        <f t="shared" si="6"/>
        <v/>
      </c>
      <c r="T123" s="212" t="str">
        <f t="shared" si="7"/>
        <v/>
      </c>
      <c r="U123" s="212" t="str">
        <f t="shared" si="8"/>
        <v/>
      </c>
      <c r="V123" s="212" t="str">
        <f t="shared" si="9"/>
        <v>-</v>
      </c>
      <c r="W123" s="2" t="str">
        <f t="shared" si="10"/>
        <v>Furniture &amp; Fixtures</v>
      </c>
      <c r="X123" s="2" t="str">
        <f t="shared" si="11"/>
        <v>4436810</v>
      </c>
      <c r="Y123" s="2" t="str">
        <f t="shared" si="11"/>
        <v>C.Dep./ Office equipment</v>
      </c>
    </row>
    <row r="124" spans="1:25" ht="20.100000000000001" customHeight="1">
      <c r="L124" s="2" t="s">
        <v>270</v>
      </c>
      <c r="M124" s="206" t="s">
        <v>663</v>
      </c>
      <c r="N124" s="2" t="s">
        <v>664</v>
      </c>
      <c r="Q124" s="212" t="str">
        <f t="shared" si="6"/>
        <v/>
      </c>
      <c r="R124" s="212" t="str">
        <f t="shared" si="6"/>
        <v/>
      </c>
      <c r="S124" s="212" t="str">
        <f t="shared" si="6"/>
        <v/>
      </c>
      <c r="T124" s="212" t="str">
        <f t="shared" si="7"/>
        <v/>
      </c>
      <c r="U124" s="212" t="str">
        <f t="shared" si="8"/>
        <v/>
      </c>
      <c r="V124" s="212" t="str">
        <f t="shared" si="9"/>
        <v>-</v>
      </c>
      <c r="W124" s="2" t="str">
        <f t="shared" si="10"/>
        <v>Furniture &amp; Fixtures</v>
      </c>
      <c r="X124" s="2" t="str">
        <f t="shared" si="11"/>
        <v>4436820</v>
      </c>
      <c r="Y124" s="2" t="str">
        <f t="shared" si="11"/>
        <v>C.Dep./ Audio equipment</v>
      </c>
    </row>
    <row r="125" spans="1:25" ht="20.100000000000001" customHeight="1">
      <c r="L125" s="2" t="s">
        <v>665</v>
      </c>
      <c r="M125" s="206" t="s">
        <v>666</v>
      </c>
      <c r="N125" s="2" t="s">
        <v>667</v>
      </c>
      <c r="Q125" s="212" t="str">
        <f t="shared" si="6"/>
        <v/>
      </c>
      <c r="R125" s="212" t="str">
        <f t="shared" si="6"/>
        <v/>
      </c>
      <c r="S125" s="212" t="str">
        <f t="shared" si="6"/>
        <v/>
      </c>
      <c r="T125" s="212" t="str">
        <f t="shared" si="7"/>
        <v/>
      </c>
      <c r="U125" s="212" t="str">
        <f t="shared" si="8"/>
        <v/>
      </c>
      <c r="V125" s="212" t="str">
        <f t="shared" si="9"/>
        <v>-</v>
      </c>
      <c r="W125" s="2" t="str">
        <f t="shared" si="10"/>
        <v>Other Tangible Assets</v>
      </c>
      <c r="X125" s="2" t="str">
        <f t="shared" si="11"/>
        <v>4437100</v>
      </c>
      <c r="Y125" s="2" t="str">
        <f t="shared" si="11"/>
        <v>C.Dep./ Preliminary</v>
      </c>
    </row>
    <row r="126" spans="1:25" s="15" customFormat="1" ht="20.100000000000001" customHeight="1">
      <c r="A126" s="218"/>
      <c r="B126" s="218"/>
      <c r="C126" s="218"/>
      <c r="D126" s="218"/>
      <c r="E126" s="219"/>
      <c r="F126" s="218"/>
      <c r="G126" s="218"/>
      <c r="H126" s="210" t="s">
        <v>668</v>
      </c>
      <c r="I126" s="218"/>
      <c r="J126" s="218"/>
      <c r="K126" s="218"/>
      <c r="M126" s="218"/>
      <c r="Q126" s="212" t="str">
        <f t="shared" si="6"/>
        <v/>
      </c>
      <c r="R126" s="212" t="str">
        <f t="shared" si="6"/>
        <v>■</v>
      </c>
      <c r="S126" s="212" t="str">
        <f t="shared" si="6"/>
        <v/>
      </c>
      <c r="T126" s="212" t="str">
        <f t="shared" si="7"/>
        <v/>
      </c>
      <c r="U126" s="212" t="str">
        <f t="shared" si="8"/>
        <v/>
      </c>
      <c r="V126" s="212" t="str">
        <f t="shared" si="9"/>
        <v/>
      </c>
      <c r="W126" s="15" t="str">
        <f t="shared" si="10"/>
        <v>Repairing expense</v>
      </c>
      <c r="X126" s="15" t="str">
        <f t="shared" si="11"/>
        <v/>
      </c>
      <c r="Y126" s="15" t="str">
        <f t="shared" si="11"/>
        <v/>
      </c>
    </row>
    <row r="127" spans="1:25" ht="20.100000000000001" customHeight="1">
      <c r="L127" s="2" t="s">
        <v>283</v>
      </c>
      <c r="M127" s="206" t="s">
        <v>669</v>
      </c>
      <c r="N127" s="2" t="s">
        <v>670</v>
      </c>
      <c r="Q127" s="212" t="str">
        <f t="shared" si="6"/>
        <v/>
      </c>
      <c r="R127" s="212" t="str">
        <f t="shared" si="6"/>
        <v/>
      </c>
      <c r="S127" s="212" t="str">
        <f t="shared" si="6"/>
        <v/>
      </c>
      <c r="T127" s="212" t="str">
        <f t="shared" si="7"/>
        <v/>
      </c>
      <c r="U127" s="212" t="str">
        <f t="shared" si="8"/>
        <v/>
      </c>
      <c r="V127" s="212" t="str">
        <f t="shared" si="9"/>
        <v>-</v>
      </c>
      <c r="W127" s="2" t="str">
        <f t="shared" si="10"/>
        <v>Building</v>
      </c>
      <c r="X127" s="2" t="str">
        <f t="shared" si="11"/>
        <v>4450001</v>
      </c>
      <c r="Y127" s="2" t="str">
        <f t="shared" si="11"/>
        <v>C.Repair./ Building</v>
      </c>
    </row>
    <row r="128" spans="1:25" ht="20.100000000000001" customHeight="1">
      <c r="L128" s="2" t="s">
        <v>295</v>
      </c>
      <c r="M128" s="206" t="s">
        <v>671</v>
      </c>
      <c r="N128" s="2" t="s">
        <v>672</v>
      </c>
      <c r="Q128" s="212" t="str">
        <f t="shared" si="6"/>
        <v/>
      </c>
      <c r="R128" s="212" t="str">
        <f t="shared" si="6"/>
        <v/>
      </c>
      <c r="S128" s="212" t="str">
        <f t="shared" si="6"/>
        <v/>
      </c>
      <c r="T128" s="212" t="str">
        <f t="shared" si="7"/>
        <v/>
      </c>
      <c r="U128" s="212" t="str">
        <f t="shared" si="8"/>
        <v/>
      </c>
      <c r="V128" s="212" t="str">
        <f t="shared" si="9"/>
        <v>-</v>
      </c>
      <c r="W128" s="2" t="str">
        <f t="shared" si="10"/>
        <v>Machinery</v>
      </c>
      <c r="X128" s="2" t="str">
        <f t="shared" si="11"/>
        <v>4450002</v>
      </c>
      <c r="Y128" s="2" t="str">
        <f t="shared" si="11"/>
        <v>C.Repair./ Machinery</v>
      </c>
    </row>
    <row r="129" spans="1:25" ht="20.100000000000001" customHeight="1">
      <c r="L129" s="2" t="s">
        <v>673</v>
      </c>
      <c r="M129" s="206" t="s">
        <v>674</v>
      </c>
      <c r="N129" s="2" t="s">
        <v>675</v>
      </c>
      <c r="Q129" s="212" t="str">
        <f t="shared" si="6"/>
        <v/>
      </c>
      <c r="R129" s="212" t="str">
        <f t="shared" si="6"/>
        <v/>
      </c>
      <c r="S129" s="212" t="str">
        <f t="shared" si="6"/>
        <v/>
      </c>
      <c r="T129" s="212" t="str">
        <f t="shared" si="7"/>
        <v/>
      </c>
      <c r="U129" s="212" t="str">
        <f t="shared" si="8"/>
        <v/>
      </c>
      <c r="V129" s="212" t="str">
        <f t="shared" si="9"/>
        <v>-</v>
      </c>
      <c r="W129" s="2" t="str">
        <f t="shared" si="10"/>
        <v>Delivery equipment</v>
      </c>
      <c r="X129" s="2" t="str">
        <f t="shared" si="11"/>
        <v>4450003</v>
      </c>
      <c r="Y129" s="2" t="str">
        <f t="shared" si="11"/>
        <v>C.Repair./ Delivery equipment</v>
      </c>
    </row>
    <row r="130" spans="1:25" ht="20.100000000000001" customHeight="1">
      <c r="L130" s="2" t="s">
        <v>676</v>
      </c>
      <c r="M130" s="206" t="s">
        <v>677</v>
      </c>
      <c r="N130" s="2" t="s">
        <v>678</v>
      </c>
      <c r="Q130" s="212" t="str">
        <f t="shared" si="6"/>
        <v/>
      </c>
      <c r="R130" s="212" t="str">
        <f t="shared" si="6"/>
        <v/>
      </c>
      <c r="S130" s="212" t="str">
        <f t="shared" si="6"/>
        <v/>
      </c>
      <c r="T130" s="212" t="str">
        <f t="shared" si="7"/>
        <v/>
      </c>
      <c r="U130" s="212" t="str">
        <f t="shared" si="8"/>
        <v/>
      </c>
      <c r="V130" s="212" t="str">
        <f t="shared" si="9"/>
        <v>-</v>
      </c>
      <c r="W130" s="2" t="str">
        <f t="shared" si="10"/>
        <v>Equipments</v>
      </c>
      <c r="X130" s="2" t="str">
        <f t="shared" si="11"/>
        <v>4450004</v>
      </c>
      <c r="Y130" s="2" t="str">
        <f t="shared" si="11"/>
        <v>C.Repair./ Equipment</v>
      </c>
    </row>
    <row r="131" spans="1:25" ht="20.100000000000001" customHeight="1">
      <c r="L131" s="2" t="s">
        <v>289</v>
      </c>
      <c r="M131" s="206" t="s">
        <v>679</v>
      </c>
      <c r="N131" s="2" t="s">
        <v>680</v>
      </c>
      <c r="Q131" s="212" t="str">
        <f t="shared" si="6"/>
        <v/>
      </c>
      <c r="R131" s="212" t="str">
        <f t="shared" si="6"/>
        <v/>
      </c>
      <c r="S131" s="212" t="str">
        <f t="shared" si="6"/>
        <v/>
      </c>
      <c r="T131" s="212" t="str">
        <f t="shared" si="7"/>
        <v/>
      </c>
      <c r="U131" s="212" t="str">
        <f t="shared" si="8"/>
        <v/>
      </c>
      <c r="V131" s="212" t="str">
        <f t="shared" si="9"/>
        <v>-</v>
      </c>
      <c r="W131" s="2" t="str">
        <f t="shared" si="10"/>
        <v>Construction</v>
      </c>
      <c r="X131" s="2" t="str">
        <f t="shared" si="11"/>
        <v>4450005</v>
      </c>
      <c r="Y131" s="2" t="str">
        <f t="shared" si="11"/>
        <v>C.Repair./ Construction</v>
      </c>
    </row>
    <row r="132" spans="1:25" ht="20.100000000000001" customHeight="1">
      <c r="L132" s="2" t="s">
        <v>654</v>
      </c>
      <c r="M132" s="206" t="s">
        <v>681</v>
      </c>
      <c r="N132" s="2" t="s">
        <v>682</v>
      </c>
      <c r="Q132" s="212" t="str">
        <f t="shared" si="6"/>
        <v/>
      </c>
      <c r="R132" s="212" t="str">
        <f t="shared" si="6"/>
        <v/>
      </c>
      <c r="S132" s="212" t="str">
        <f t="shared" si="6"/>
        <v/>
      </c>
      <c r="T132" s="212" t="str">
        <f t="shared" si="7"/>
        <v/>
      </c>
      <c r="U132" s="212" t="str">
        <f t="shared" si="8"/>
        <v/>
      </c>
      <c r="V132" s="212" t="str">
        <f t="shared" si="9"/>
        <v>-</v>
      </c>
      <c r="W132" s="2" t="str">
        <f t="shared" si="10"/>
        <v>Tools &amp; equipments</v>
      </c>
      <c r="X132" s="2" t="str">
        <f t="shared" si="11"/>
        <v>4450006</v>
      </c>
      <c r="Y132" s="2" t="str">
        <f t="shared" si="11"/>
        <v>C.Repair./ Tools &amp; equipment</v>
      </c>
    </row>
    <row r="133" spans="1:25" ht="20.100000000000001" customHeight="1">
      <c r="L133" s="2" t="s">
        <v>683</v>
      </c>
      <c r="M133" s="206" t="s">
        <v>684</v>
      </c>
      <c r="N133" s="2" t="s">
        <v>685</v>
      </c>
      <c r="Q133" s="212" t="str">
        <f t="shared" si="6"/>
        <v/>
      </c>
      <c r="R133" s="212" t="str">
        <f t="shared" si="6"/>
        <v/>
      </c>
      <c r="S133" s="212" t="str">
        <f t="shared" si="6"/>
        <v/>
      </c>
      <c r="T133" s="212" t="str">
        <f t="shared" si="7"/>
        <v/>
      </c>
      <c r="U133" s="212" t="str">
        <f t="shared" si="8"/>
        <v/>
      </c>
      <c r="V133" s="212" t="str">
        <f t="shared" si="9"/>
        <v>-</v>
      </c>
      <c r="W133" s="2" t="str">
        <f t="shared" si="10"/>
        <v>Other Repairing expense</v>
      </c>
      <c r="X133" s="2" t="str">
        <f t="shared" si="11"/>
        <v>4450009</v>
      </c>
      <c r="Y133" s="2" t="str">
        <f t="shared" si="11"/>
        <v>C.Repair./ Others</v>
      </c>
    </row>
    <row r="134" spans="1:25" s="15" customFormat="1" ht="20.100000000000001" customHeight="1">
      <c r="A134" s="218"/>
      <c r="B134" s="218"/>
      <c r="C134" s="218"/>
      <c r="D134" s="218"/>
      <c r="E134" s="219"/>
      <c r="F134" s="218"/>
      <c r="G134" s="218"/>
      <c r="H134" s="210" t="s">
        <v>686</v>
      </c>
      <c r="K134" s="218"/>
      <c r="M134" s="218"/>
      <c r="Q134" s="212" t="str">
        <f t="shared" si="6"/>
        <v/>
      </c>
      <c r="R134" s="212" t="str">
        <f t="shared" si="6"/>
        <v>■</v>
      </c>
      <c r="S134" s="212" t="str">
        <f t="shared" si="6"/>
        <v/>
      </c>
      <c r="T134" s="212" t="str">
        <f t="shared" si="7"/>
        <v/>
      </c>
      <c r="U134" s="212" t="str">
        <f t="shared" si="8"/>
        <v/>
      </c>
      <c r="V134" s="212" t="str">
        <f t="shared" si="9"/>
        <v/>
      </c>
      <c r="W134" s="15" t="str">
        <f t="shared" si="10"/>
        <v>Insurance</v>
      </c>
      <c r="X134" s="15" t="str">
        <f t="shared" si="11"/>
        <v/>
      </c>
      <c r="Y134" s="15" t="str">
        <f t="shared" si="11"/>
        <v/>
      </c>
    </row>
    <row r="135" spans="1:25" ht="20.100000000000001" customHeight="1">
      <c r="L135" s="2" t="s">
        <v>687</v>
      </c>
      <c r="M135" s="206" t="s">
        <v>688</v>
      </c>
      <c r="N135" s="2" t="s">
        <v>689</v>
      </c>
      <c r="Q135" s="212" t="str">
        <f t="shared" ref="Q135:S198" si="12">IF(NOT(ISBLANK(G135)),"■","")</f>
        <v/>
      </c>
      <c r="R135" s="212" t="str">
        <f t="shared" si="12"/>
        <v/>
      </c>
      <c r="S135" s="212" t="str">
        <f t="shared" si="12"/>
        <v/>
      </c>
      <c r="T135" s="212" t="str">
        <f t="shared" ref="T135:T198" si="13">IF(NOT(ISBLANK(J135)),"⊙","")</f>
        <v/>
      </c>
      <c r="U135" s="212" t="str">
        <f t="shared" ref="U135:U198" si="14">IF(NOT(ISBLANK(K135)),"*","")</f>
        <v/>
      </c>
      <c r="V135" s="212" t="str">
        <f t="shared" ref="V135:V198" si="15">IF(NOT(ISBLANK(L135)),"-","")</f>
        <v>-</v>
      </c>
      <c r="W135" s="2" t="str">
        <f t="shared" ref="W135:W198" si="16">G135&amp;H135&amp;I135&amp;J135&amp;K135&amp;L135</f>
        <v>Fire</v>
      </c>
      <c r="X135" s="2" t="str">
        <f t="shared" ref="X135:Y198" si="17">IF(ISBLANK(M135),"",M135)</f>
        <v>4470001</v>
      </c>
      <c r="Y135" s="2" t="str">
        <f t="shared" si="17"/>
        <v>C.Insurance / Fire</v>
      </c>
    </row>
    <row r="136" spans="1:25" ht="20.100000000000001" customHeight="1">
      <c r="L136" s="2" t="s">
        <v>627</v>
      </c>
      <c r="M136" s="206" t="s">
        <v>690</v>
      </c>
      <c r="N136" s="2" t="s">
        <v>691</v>
      </c>
      <c r="Q136" s="212" t="str">
        <f t="shared" si="12"/>
        <v/>
      </c>
      <c r="R136" s="212" t="str">
        <f t="shared" si="12"/>
        <v/>
      </c>
      <c r="S136" s="212" t="str">
        <f t="shared" si="12"/>
        <v/>
      </c>
      <c r="T136" s="212" t="str">
        <f t="shared" si="13"/>
        <v/>
      </c>
      <c r="U136" s="212" t="str">
        <f t="shared" si="14"/>
        <v/>
      </c>
      <c r="V136" s="212" t="str">
        <f t="shared" si="15"/>
        <v>-</v>
      </c>
      <c r="W136" s="2" t="str">
        <f t="shared" si="16"/>
        <v>Car</v>
      </c>
      <c r="X136" s="2" t="str">
        <f t="shared" si="17"/>
        <v>4470002</v>
      </c>
      <c r="Y136" s="2" t="str">
        <f t="shared" si="17"/>
        <v>C.Insurance / Car</v>
      </c>
    </row>
    <row r="137" spans="1:25" ht="20.100000000000001" customHeight="1">
      <c r="L137" s="2" t="s">
        <v>692</v>
      </c>
      <c r="M137" s="206" t="s">
        <v>693</v>
      </c>
      <c r="N137" s="2" t="s">
        <v>694</v>
      </c>
      <c r="Q137" s="212" t="str">
        <f t="shared" si="12"/>
        <v/>
      </c>
      <c r="R137" s="212" t="str">
        <f t="shared" si="12"/>
        <v/>
      </c>
      <c r="S137" s="212" t="str">
        <f t="shared" si="12"/>
        <v/>
      </c>
      <c r="T137" s="212" t="str">
        <f t="shared" si="13"/>
        <v/>
      </c>
      <c r="U137" s="212" t="str">
        <f t="shared" si="14"/>
        <v/>
      </c>
      <c r="V137" s="212" t="str">
        <f t="shared" si="15"/>
        <v>-</v>
      </c>
      <c r="W137" s="2" t="str">
        <f t="shared" si="16"/>
        <v>Export</v>
      </c>
      <c r="X137" s="2" t="str">
        <f t="shared" si="17"/>
        <v>4470003</v>
      </c>
      <c r="Y137" s="2" t="str">
        <f t="shared" si="17"/>
        <v>C.Insurance / Export</v>
      </c>
    </row>
    <row r="138" spans="1:25" ht="20.100000000000001" customHeight="1">
      <c r="I138" s="2"/>
      <c r="J138" s="2"/>
      <c r="L138" s="2" t="s">
        <v>695</v>
      </c>
      <c r="M138" s="206" t="s">
        <v>696</v>
      </c>
      <c r="N138" s="2" t="s">
        <v>697</v>
      </c>
      <c r="Q138" s="212" t="str">
        <f t="shared" si="12"/>
        <v/>
      </c>
      <c r="R138" s="212" t="str">
        <f t="shared" si="12"/>
        <v/>
      </c>
      <c r="S138" s="212" t="str">
        <f t="shared" si="12"/>
        <v/>
      </c>
      <c r="T138" s="212" t="str">
        <f t="shared" si="13"/>
        <v/>
      </c>
      <c r="U138" s="212" t="str">
        <f t="shared" si="14"/>
        <v/>
      </c>
      <c r="V138" s="212" t="str">
        <f t="shared" si="15"/>
        <v>-</v>
      </c>
      <c r="W138" s="2" t="str">
        <f t="shared" si="16"/>
        <v>Other Insurance</v>
      </c>
      <c r="X138" s="2" t="str">
        <f t="shared" si="17"/>
        <v>4470009</v>
      </c>
      <c r="Y138" s="2" t="str">
        <f t="shared" si="17"/>
        <v>C.Insurance / Others</v>
      </c>
    </row>
    <row r="139" spans="1:25" ht="20.100000000000001" customHeight="1">
      <c r="H139" s="210" t="s">
        <v>698</v>
      </c>
      <c r="I139" s="2"/>
      <c r="J139" s="2"/>
      <c r="M139" s="206" t="s">
        <v>699</v>
      </c>
      <c r="N139" s="2" t="s">
        <v>700</v>
      </c>
      <c r="Q139" s="212" t="str">
        <f t="shared" si="12"/>
        <v/>
      </c>
      <c r="R139" s="212" t="str">
        <f t="shared" si="12"/>
        <v>■</v>
      </c>
      <c r="S139" s="212" t="str">
        <f t="shared" si="12"/>
        <v/>
      </c>
      <c r="T139" s="212" t="str">
        <f t="shared" si="13"/>
        <v/>
      </c>
      <c r="U139" s="212" t="str">
        <f t="shared" si="14"/>
        <v/>
      </c>
      <c r="V139" s="212" t="str">
        <f t="shared" si="15"/>
        <v/>
      </c>
      <c r="W139" s="15" t="str">
        <f t="shared" si="16"/>
        <v>Entertainment</v>
      </c>
      <c r="X139" s="2" t="str">
        <f t="shared" si="17"/>
        <v>4490000</v>
      </c>
      <c r="Y139" s="2" t="str">
        <f t="shared" si="17"/>
        <v>C.Entertainment</v>
      </c>
    </row>
    <row r="140" spans="1:25" ht="20.100000000000001" customHeight="1">
      <c r="H140" s="210" t="s">
        <v>701</v>
      </c>
      <c r="I140" s="2"/>
      <c r="J140" s="2"/>
      <c r="Q140" s="212" t="str">
        <f t="shared" si="12"/>
        <v/>
      </c>
      <c r="R140" s="212" t="str">
        <f t="shared" si="12"/>
        <v>■</v>
      </c>
      <c r="S140" s="212" t="str">
        <f t="shared" si="12"/>
        <v/>
      </c>
      <c r="T140" s="212" t="str">
        <f t="shared" si="13"/>
        <v/>
      </c>
      <c r="U140" s="212" t="str">
        <f t="shared" si="14"/>
        <v/>
      </c>
      <c r="V140" s="212" t="str">
        <f t="shared" si="15"/>
        <v/>
      </c>
      <c r="W140" s="15" t="str">
        <f t="shared" si="16"/>
        <v>Advertising expense</v>
      </c>
      <c r="X140" s="2" t="str">
        <f t="shared" si="17"/>
        <v/>
      </c>
      <c r="Y140" s="2" t="str">
        <f t="shared" si="17"/>
        <v/>
      </c>
    </row>
    <row r="141" spans="1:25" ht="20.100000000000001" customHeight="1">
      <c r="I141" s="2"/>
      <c r="J141" s="2"/>
      <c r="L141" s="2" t="s">
        <v>702</v>
      </c>
      <c r="M141" s="206" t="s">
        <v>703</v>
      </c>
      <c r="N141" s="2" t="s">
        <v>704</v>
      </c>
      <c r="Q141" s="212" t="str">
        <f t="shared" si="12"/>
        <v/>
      </c>
      <c r="R141" s="212" t="str">
        <f t="shared" si="12"/>
        <v/>
      </c>
      <c r="S141" s="212" t="str">
        <f t="shared" si="12"/>
        <v/>
      </c>
      <c r="T141" s="212" t="str">
        <f t="shared" si="13"/>
        <v/>
      </c>
      <c r="U141" s="212" t="str">
        <f t="shared" si="14"/>
        <v/>
      </c>
      <c r="V141" s="212" t="str">
        <f t="shared" si="15"/>
        <v>-</v>
      </c>
      <c r="W141" s="2" t="str">
        <f t="shared" si="16"/>
        <v>Recruit</v>
      </c>
      <c r="X141" s="2" t="str">
        <f t="shared" si="17"/>
        <v>4510001</v>
      </c>
      <c r="Y141" s="2" t="str">
        <f t="shared" si="17"/>
        <v>C.Advertising / Recruit</v>
      </c>
    </row>
    <row r="142" spans="1:25" ht="20.100000000000001" customHeight="1">
      <c r="I142" s="2"/>
      <c r="J142" s="2"/>
      <c r="L142" s="2" t="s">
        <v>705</v>
      </c>
      <c r="M142" s="206" t="s">
        <v>706</v>
      </c>
      <c r="N142" s="2" t="s">
        <v>707</v>
      </c>
      <c r="Q142" s="212" t="str">
        <f t="shared" si="12"/>
        <v/>
      </c>
      <c r="R142" s="212" t="str">
        <f t="shared" si="12"/>
        <v/>
      </c>
      <c r="S142" s="212" t="str">
        <f t="shared" si="12"/>
        <v/>
      </c>
      <c r="T142" s="212" t="str">
        <f t="shared" si="13"/>
        <v/>
      </c>
      <c r="U142" s="212" t="str">
        <f t="shared" si="14"/>
        <v/>
      </c>
      <c r="V142" s="212" t="str">
        <f t="shared" si="15"/>
        <v>-</v>
      </c>
      <c r="W142" s="2" t="str">
        <f t="shared" si="16"/>
        <v>Other Advertising expense</v>
      </c>
      <c r="X142" s="2" t="str">
        <f t="shared" si="17"/>
        <v>4510009</v>
      </c>
      <c r="Y142" s="2" t="str">
        <f t="shared" si="17"/>
        <v>C.Advertising / Others</v>
      </c>
    </row>
    <row r="143" spans="1:25" ht="20.100000000000001" customHeight="1">
      <c r="H143" s="210" t="s">
        <v>708</v>
      </c>
      <c r="I143" s="2"/>
      <c r="J143" s="2"/>
      <c r="M143" s="206" t="s">
        <v>709</v>
      </c>
      <c r="N143" s="2" t="s">
        <v>710</v>
      </c>
      <c r="Q143" s="212" t="str">
        <f t="shared" si="12"/>
        <v/>
      </c>
      <c r="R143" s="212" t="str">
        <f t="shared" si="12"/>
        <v>■</v>
      </c>
      <c r="S143" s="212" t="str">
        <f t="shared" si="12"/>
        <v/>
      </c>
      <c r="T143" s="212" t="str">
        <f t="shared" si="13"/>
        <v/>
      </c>
      <c r="U143" s="212" t="str">
        <f t="shared" si="14"/>
        <v/>
      </c>
      <c r="V143" s="212" t="str">
        <f t="shared" si="15"/>
        <v/>
      </c>
      <c r="W143" s="15" t="str">
        <f t="shared" si="16"/>
        <v>Development expense</v>
      </c>
      <c r="X143" s="2" t="str">
        <f t="shared" si="17"/>
        <v>4530000</v>
      </c>
      <c r="Y143" s="2" t="str">
        <f t="shared" si="17"/>
        <v>C.Development exp.</v>
      </c>
    </row>
    <row r="144" spans="1:25" ht="20.100000000000001" customHeight="1">
      <c r="H144" s="210" t="s">
        <v>711</v>
      </c>
      <c r="I144" s="2"/>
      <c r="J144" s="2"/>
      <c r="M144" s="206" t="s">
        <v>712</v>
      </c>
      <c r="N144" s="2" t="s">
        <v>713</v>
      </c>
      <c r="Q144" s="212" t="str">
        <f t="shared" si="12"/>
        <v/>
      </c>
      <c r="R144" s="212" t="str">
        <f t="shared" si="12"/>
        <v>■</v>
      </c>
      <c r="S144" s="212" t="str">
        <f t="shared" si="12"/>
        <v/>
      </c>
      <c r="T144" s="212" t="str">
        <f t="shared" si="13"/>
        <v/>
      </c>
      <c r="U144" s="212" t="str">
        <f t="shared" si="14"/>
        <v/>
      </c>
      <c r="V144" s="212" t="str">
        <f t="shared" si="15"/>
        <v/>
      </c>
      <c r="W144" s="15" t="str">
        <f t="shared" si="16"/>
        <v>Samples expense</v>
      </c>
      <c r="X144" s="2" t="str">
        <f t="shared" si="17"/>
        <v>4550000</v>
      </c>
      <c r="Y144" s="2" t="str">
        <f t="shared" si="17"/>
        <v>C.Samples exp.</v>
      </c>
    </row>
    <row r="145" spans="8:25" ht="20.100000000000001" customHeight="1">
      <c r="H145" s="210" t="s">
        <v>714</v>
      </c>
      <c r="I145" s="2"/>
      <c r="J145" s="2"/>
      <c r="Q145" s="212" t="str">
        <f t="shared" si="12"/>
        <v/>
      </c>
      <c r="R145" s="212" t="str">
        <f t="shared" si="12"/>
        <v>■</v>
      </c>
      <c r="S145" s="212" t="str">
        <f t="shared" si="12"/>
        <v/>
      </c>
      <c r="T145" s="212" t="str">
        <f t="shared" si="13"/>
        <v/>
      </c>
      <c r="U145" s="212" t="str">
        <f t="shared" si="14"/>
        <v/>
      </c>
      <c r="V145" s="212" t="str">
        <f t="shared" si="15"/>
        <v/>
      </c>
      <c r="W145" s="15" t="str">
        <f t="shared" si="16"/>
        <v>Freight charge</v>
      </c>
      <c r="X145" s="2" t="str">
        <f t="shared" si="17"/>
        <v/>
      </c>
      <c r="Y145" s="2" t="str">
        <f t="shared" si="17"/>
        <v/>
      </c>
    </row>
    <row r="146" spans="8:25" ht="20.100000000000001" customHeight="1">
      <c r="I146" s="2"/>
      <c r="J146" s="2"/>
      <c r="L146" s="2" t="s">
        <v>715</v>
      </c>
      <c r="M146" s="206" t="s">
        <v>716</v>
      </c>
      <c r="N146" s="2" t="s">
        <v>717</v>
      </c>
      <c r="Q146" s="212" t="str">
        <f t="shared" si="12"/>
        <v/>
      </c>
      <c r="R146" s="212" t="str">
        <f t="shared" si="12"/>
        <v/>
      </c>
      <c r="S146" s="212" t="str">
        <f t="shared" si="12"/>
        <v/>
      </c>
      <c r="T146" s="212" t="str">
        <f t="shared" si="13"/>
        <v/>
      </c>
      <c r="U146" s="212" t="str">
        <f t="shared" si="14"/>
        <v/>
      </c>
      <c r="V146" s="212" t="str">
        <f t="shared" si="15"/>
        <v>-</v>
      </c>
      <c r="W146" s="2" t="str">
        <f t="shared" si="16"/>
        <v>Air</v>
      </c>
      <c r="X146" s="2" t="str">
        <f t="shared" si="17"/>
        <v>4570001</v>
      </c>
      <c r="Y146" s="2" t="str">
        <f t="shared" si="17"/>
        <v>C.Freight chg./ Air</v>
      </c>
    </row>
    <row r="147" spans="8:25" ht="20.100000000000001" customHeight="1">
      <c r="I147" s="2"/>
      <c r="J147" s="2"/>
      <c r="L147" s="2" t="s">
        <v>718</v>
      </c>
      <c r="M147" s="206" t="s">
        <v>719</v>
      </c>
      <c r="N147" s="2" t="s">
        <v>720</v>
      </c>
      <c r="Q147" s="212" t="str">
        <f t="shared" si="12"/>
        <v/>
      </c>
      <c r="R147" s="212" t="str">
        <f t="shared" si="12"/>
        <v/>
      </c>
      <c r="S147" s="212" t="str">
        <f t="shared" si="12"/>
        <v/>
      </c>
      <c r="T147" s="212" t="str">
        <f t="shared" si="13"/>
        <v/>
      </c>
      <c r="U147" s="212" t="str">
        <f t="shared" si="14"/>
        <v/>
      </c>
      <c r="V147" s="212" t="str">
        <f t="shared" si="15"/>
        <v>-</v>
      </c>
      <c r="W147" s="2" t="str">
        <f t="shared" si="16"/>
        <v>Vesssel</v>
      </c>
      <c r="X147" s="2" t="str">
        <f t="shared" si="17"/>
        <v>4570003</v>
      </c>
      <c r="Y147" s="2" t="str">
        <f t="shared" si="17"/>
        <v>C.Freight chg./ Vessel</v>
      </c>
    </row>
    <row r="148" spans="8:25" ht="20.100000000000001" customHeight="1">
      <c r="I148" s="2"/>
      <c r="J148" s="2"/>
      <c r="L148" s="2" t="s">
        <v>721</v>
      </c>
      <c r="M148" s="206" t="s">
        <v>722</v>
      </c>
      <c r="N148" s="2" t="s">
        <v>723</v>
      </c>
      <c r="Q148" s="212" t="str">
        <f t="shared" si="12"/>
        <v/>
      </c>
      <c r="R148" s="212" t="str">
        <f t="shared" si="12"/>
        <v/>
      </c>
      <c r="S148" s="212" t="str">
        <f t="shared" si="12"/>
        <v/>
      </c>
      <c r="T148" s="212" t="str">
        <f t="shared" si="13"/>
        <v/>
      </c>
      <c r="U148" s="212" t="str">
        <f t="shared" si="14"/>
        <v/>
      </c>
      <c r="V148" s="212" t="str">
        <f t="shared" si="15"/>
        <v>-</v>
      </c>
      <c r="W148" s="2" t="str">
        <f t="shared" si="16"/>
        <v>Trucking</v>
      </c>
      <c r="X148" s="2" t="str">
        <f t="shared" si="17"/>
        <v>4570005</v>
      </c>
      <c r="Y148" s="2" t="str">
        <f t="shared" si="17"/>
        <v>C.Freight chg./ Trucking</v>
      </c>
    </row>
    <row r="149" spans="8:25" ht="20.100000000000001" customHeight="1">
      <c r="H149" s="210" t="s">
        <v>724</v>
      </c>
      <c r="I149" s="2"/>
      <c r="J149" s="2"/>
      <c r="Q149" s="212" t="str">
        <f t="shared" si="12"/>
        <v/>
      </c>
      <c r="R149" s="212" t="str">
        <f t="shared" si="12"/>
        <v>■</v>
      </c>
      <c r="S149" s="212" t="str">
        <f t="shared" si="12"/>
        <v/>
      </c>
      <c r="T149" s="212" t="str">
        <f t="shared" si="13"/>
        <v/>
      </c>
      <c r="U149" s="212" t="str">
        <f t="shared" si="14"/>
        <v/>
      </c>
      <c r="V149" s="212" t="str">
        <f t="shared" si="15"/>
        <v/>
      </c>
      <c r="W149" s="15" t="str">
        <f t="shared" si="16"/>
        <v>Commission</v>
      </c>
      <c r="X149" s="2" t="str">
        <f t="shared" si="17"/>
        <v/>
      </c>
      <c r="Y149" s="2" t="str">
        <f t="shared" si="17"/>
        <v/>
      </c>
    </row>
    <row r="150" spans="8:25" ht="20.100000000000001" customHeight="1">
      <c r="H150" s="210"/>
      <c r="I150" s="2"/>
      <c r="J150" s="2"/>
      <c r="L150" s="2" t="s">
        <v>725</v>
      </c>
      <c r="M150" s="206" t="s">
        <v>726</v>
      </c>
      <c r="N150" s="2" t="s">
        <v>727</v>
      </c>
      <c r="Q150" s="212" t="str">
        <f t="shared" si="12"/>
        <v/>
      </c>
      <c r="R150" s="212" t="str">
        <f t="shared" si="12"/>
        <v/>
      </c>
      <c r="S150" s="212" t="str">
        <f t="shared" si="12"/>
        <v/>
      </c>
      <c r="T150" s="212" t="str">
        <f t="shared" si="13"/>
        <v/>
      </c>
      <c r="U150" s="212" t="str">
        <f t="shared" si="14"/>
        <v/>
      </c>
      <c r="V150" s="212" t="str">
        <f t="shared" si="15"/>
        <v>-</v>
      </c>
      <c r="W150" s="2" t="str">
        <f t="shared" si="16"/>
        <v>Import &amp; export expense</v>
      </c>
      <c r="X150" s="2" t="str">
        <f t="shared" si="17"/>
        <v>4590101</v>
      </c>
      <c r="Y150" s="2" t="str">
        <f t="shared" si="17"/>
        <v>C.Import &amp; export exp./ Import</v>
      </c>
    </row>
    <row r="151" spans="8:25" ht="20.100000000000001" customHeight="1">
      <c r="H151" s="210"/>
      <c r="I151" s="2"/>
      <c r="J151" s="2"/>
      <c r="L151" s="2" t="s">
        <v>725</v>
      </c>
      <c r="M151" s="206" t="s">
        <v>728</v>
      </c>
      <c r="N151" s="2" t="s">
        <v>729</v>
      </c>
      <c r="Q151" s="212" t="str">
        <f t="shared" si="12"/>
        <v/>
      </c>
      <c r="R151" s="212" t="str">
        <f t="shared" si="12"/>
        <v/>
      </c>
      <c r="S151" s="212" t="str">
        <f t="shared" si="12"/>
        <v/>
      </c>
      <c r="T151" s="212" t="str">
        <f t="shared" si="13"/>
        <v/>
      </c>
      <c r="U151" s="212" t="str">
        <f t="shared" si="14"/>
        <v/>
      </c>
      <c r="V151" s="212" t="str">
        <f t="shared" si="15"/>
        <v>-</v>
      </c>
      <c r="W151" s="2" t="str">
        <f t="shared" si="16"/>
        <v>Import &amp; export expense</v>
      </c>
      <c r="X151" s="2" t="str">
        <f t="shared" si="17"/>
        <v>4590105</v>
      </c>
      <c r="Y151" s="2" t="str">
        <f t="shared" si="17"/>
        <v>C.Import &amp; export exp./ Export</v>
      </c>
    </row>
    <row r="152" spans="8:25" ht="20.100000000000001" customHeight="1">
      <c r="H152" s="210"/>
      <c r="I152" s="2"/>
      <c r="J152" s="2"/>
      <c r="L152" s="2" t="s">
        <v>725</v>
      </c>
      <c r="M152" s="206" t="s">
        <v>730</v>
      </c>
      <c r="N152" s="2" t="s">
        <v>731</v>
      </c>
      <c r="Q152" s="212" t="str">
        <f t="shared" si="12"/>
        <v/>
      </c>
      <c r="R152" s="212" t="str">
        <f t="shared" si="12"/>
        <v/>
      </c>
      <c r="S152" s="212" t="str">
        <f t="shared" si="12"/>
        <v/>
      </c>
      <c r="T152" s="212" t="str">
        <f t="shared" si="13"/>
        <v/>
      </c>
      <c r="U152" s="212" t="str">
        <f t="shared" si="14"/>
        <v/>
      </c>
      <c r="V152" s="212" t="str">
        <f t="shared" si="15"/>
        <v>-</v>
      </c>
      <c r="W152" s="2" t="str">
        <f t="shared" si="16"/>
        <v>Import &amp; export expense</v>
      </c>
      <c r="X152" s="2" t="str">
        <f t="shared" si="17"/>
        <v>4590109</v>
      </c>
      <c r="Y152" s="2" t="str">
        <f t="shared" si="17"/>
        <v>C.Import &amp; export exp./ Others</v>
      </c>
    </row>
    <row r="153" spans="8:25" ht="20.100000000000001" customHeight="1">
      <c r="I153" s="2"/>
      <c r="J153" s="2"/>
      <c r="L153" s="2" t="s">
        <v>732</v>
      </c>
      <c r="M153" s="206" t="s">
        <v>733</v>
      </c>
      <c r="N153" s="2" t="s">
        <v>734</v>
      </c>
      <c r="Q153" s="212" t="str">
        <f t="shared" si="12"/>
        <v/>
      </c>
      <c r="R153" s="212" t="str">
        <f t="shared" si="12"/>
        <v/>
      </c>
      <c r="S153" s="212" t="str">
        <f t="shared" si="12"/>
        <v/>
      </c>
      <c r="T153" s="212" t="str">
        <f t="shared" si="13"/>
        <v/>
      </c>
      <c r="U153" s="212" t="str">
        <f t="shared" si="14"/>
        <v/>
      </c>
      <c r="V153" s="212" t="str">
        <f t="shared" si="15"/>
        <v>-</v>
      </c>
      <c r="W153" s="2" t="str">
        <f t="shared" si="16"/>
        <v>Bank fee</v>
      </c>
      <c r="X153" s="2" t="str">
        <f t="shared" si="17"/>
        <v>4590201</v>
      </c>
      <c r="Y153" s="2" t="str">
        <f t="shared" si="17"/>
        <v>C.Commission / Bank fee</v>
      </c>
    </row>
    <row r="154" spans="8:25" ht="20.100000000000001" customHeight="1">
      <c r="I154" s="2"/>
      <c r="J154" s="2"/>
      <c r="L154" s="2" t="s">
        <v>735</v>
      </c>
      <c r="M154" s="206" t="s">
        <v>736</v>
      </c>
      <c r="N154" s="2" t="s">
        <v>737</v>
      </c>
      <c r="Q154" s="212" t="str">
        <f t="shared" si="12"/>
        <v/>
      </c>
      <c r="R154" s="212" t="str">
        <f t="shared" si="12"/>
        <v/>
      </c>
      <c r="S154" s="212" t="str">
        <f t="shared" si="12"/>
        <v/>
      </c>
      <c r="T154" s="212" t="str">
        <f t="shared" si="13"/>
        <v/>
      </c>
      <c r="U154" s="212" t="str">
        <f t="shared" si="14"/>
        <v/>
      </c>
      <c r="V154" s="212" t="str">
        <f t="shared" si="15"/>
        <v>-</v>
      </c>
      <c r="W154" s="2" t="str">
        <f t="shared" si="16"/>
        <v>Service charges</v>
      </c>
      <c r="X154" s="2" t="str">
        <f t="shared" si="17"/>
        <v>4590301</v>
      </c>
      <c r="Y154" s="2" t="str">
        <f t="shared" si="17"/>
        <v>C.Commission / Service Charges</v>
      </c>
    </row>
    <row r="155" spans="8:25" ht="20.100000000000001" customHeight="1">
      <c r="I155" s="2"/>
      <c r="J155" s="2"/>
      <c r="L155" s="2" t="s">
        <v>738</v>
      </c>
      <c r="M155" s="206" t="s">
        <v>739</v>
      </c>
      <c r="N155" s="2" t="s">
        <v>740</v>
      </c>
      <c r="Q155" s="212" t="str">
        <f t="shared" si="12"/>
        <v/>
      </c>
      <c r="R155" s="212" t="str">
        <f t="shared" si="12"/>
        <v/>
      </c>
      <c r="S155" s="212" t="str">
        <f t="shared" si="12"/>
        <v/>
      </c>
      <c r="T155" s="212" t="str">
        <f t="shared" si="13"/>
        <v/>
      </c>
      <c r="U155" s="212" t="str">
        <f t="shared" si="14"/>
        <v/>
      </c>
      <c r="V155" s="212" t="str">
        <f t="shared" si="15"/>
        <v>-</v>
      </c>
      <c r="W155" s="2" t="str">
        <f t="shared" si="16"/>
        <v>Visa fee</v>
      </c>
      <c r="X155" s="2" t="str">
        <f t="shared" si="17"/>
        <v>4590303</v>
      </c>
      <c r="Y155" s="2" t="str">
        <f t="shared" si="17"/>
        <v>C.Commission / Visa fee</v>
      </c>
    </row>
    <row r="156" spans="8:25" ht="20.100000000000001" customHeight="1">
      <c r="I156" s="2"/>
      <c r="J156" s="2"/>
      <c r="L156" s="2" t="s">
        <v>741</v>
      </c>
      <c r="M156" s="206" t="s">
        <v>742</v>
      </c>
      <c r="N156" s="2" t="s">
        <v>743</v>
      </c>
      <c r="Q156" s="212" t="str">
        <f t="shared" si="12"/>
        <v/>
      </c>
      <c r="R156" s="212" t="str">
        <f t="shared" si="12"/>
        <v/>
      </c>
      <c r="S156" s="212" t="str">
        <f t="shared" si="12"/>
        <v/>
      </c>
      <c r="T156" s="212" t="str">
        <f t="shared" si="13"/>
        <v/>
      </c>
      <c r="U156" s="212" t="str">
        <f t="shared" si="14"/>
        <v/>
      </c>
      <c r="V156" s="212" t="str">
        <f t="shared" si="15"/>
        <v>-</v>
      </c>
      <c r="W156" s="2" t="str">
        <f t="shared" si="16"/>
        <v>Other Commissions</v>
      </c>
      <c r="X156" s="2" t="str">
        <f t="shared" si="17"/>
        <v>4590901</v>
      </c>
      <c r="Y156" s="2" t="str">
        <f t="shared" si="17"/>
        <v>C.Commission / Others</v>
      </c>
    </row>
    <row r="157" spans="8:25" ht="20.100000000000001" customHeight="1">
      <c r="H157" s="210" t="s">
        <v>744</v>
      </c>
      <c r="I157" s="2"/>
      <c r="J157" s="2"/>
      <c r="Q157" s="212" t="str">
        <f t="shared" si="12"/>
        <v/>
      </c>
      <c r="R157" s="212" t="str">
        <f t="shared" si="12"/>
        <v>■</v>
      </c>
      <c r="S157" s="212" t="str">
        <f t="shared" si="12"/>
        <v/>
      </c>
      <c r="T157" s="212" t="str">
        <f t="shared" si="13"/>
        <v/>
      </c>
      <c r="U157" s="212" t="str">
        <f t="shared" si="14"/>
        <v/>
      </c>
      <c r="V157" s="212" t="str">
        <f t="shared" si="15"/>
        <v/>
      </c>
      <c r="W157" s="15" t="str">
        <f t="shared" si="16"/>
        <v>Consumable supplies</v>
      </c>
      <c r="X157" s="2" t="str">
        <f t="shared" si="17"/>
        <v/>
      </c>
      <c r="Y157" s="2" t="str">
        <f t="shared" si="17"/>
        <v/>
      </c>
    </row>
    <row r="158" spans="8:25" ht="20.100000000000001" customHeight="1">
      <c r="I158" s="2"/>
      <c r="J158" s="2"/>
      <c r="L158" s="2" t="s">
        <v>745</v>
      </c>
      <c r="M158" s="206" t="s">
        <v>746</v>
      </c>
      <c r="N158" s="2" t="s">
        <v>747</v>
      </c>
      <c r="Q158" s="212" t="str">
        <f t="shared" si="12"/>
        <v/>
      </c>
      <c r="R158" s="212" t="str">
        <f t="shared" si="12"/>
        <v/>
      </c>
      <c r="S158" s="212" t="str">
        <f t="shared" si="12"/>
        <v/>
      </c>
      <c r="T158" s="212" t="str">
        <f t="shared" si="13"/>
        <v/>
      </c>
      <c r="U158" s="212" t="str">
        <f t="shared" si="14"/>
        <v/>
      </c>
      <c r="V158" s="212" t="str">
        <f t="shared" si="15"/>
        <v>-</v>
      </c>
      <c r="W158" s="2" t="str">
        <f t="shared" si="16"/>
        <v>Sewing</v>
      </c>
      <c r="X158" s="2" t="str">
        <f t="shared" si="17"/>
        <v>4610101</v>
      </c>
      <c r="Y158" s="2" t="str">
        <f t="shared" si="17"/>
        <v>C.Consumable./ Sewing</v>
      </c>
    </row>
    <row r="159" spans="8:25" ht="20.100000000000001" customHeight="1">
      <c r="I159" s="2"/>
      <c r="J159" s="2"/>
      <c r="L159" s="2" t="s">
        <v>97</v>
      </c>
      <c r="M159" s="206" t="s">
        <v>748</v>
      </c>
      <c r="N159" s="2" t="s">
        <v>749</v>
      </c>
      <c r="Q159" s="212" t="str">
        <f t="shared" si="12"/>
        <v/>
      </c>
      <c r="R159" s="212" t="str">
        <f t="shared" si="12"/>
        <v/>
      </c>
      <c r="S159" s="212" t="str">
        <f t="shared" si="12"/>
        <v/>
      </c>
      <c r="T159" s="212" t="str">
        <f t="shared" si="13"/>
        <v/>
      </c>
      <c r="U159" s="212" t="str">
        <f t="shared" si="14"/>
        <v/>
      </c>
      <c r="V159" s="212" t="str">
        <f t="shared" si="15"/>
        <v>-</v>
      </c>
      <c r="W159" s="2" t="str">
        <f t="shared" si="16"/>
        <v>Cutting</v>
      </c>
      <c r="X159" s="2" t="str">
        <f t="shared" si="17"/>
        <v>4610103</v>
      </c>
      <c r="Y159" s="2" t="str">
        <f t="shared" si="17"/>
        <v>C.Consumable./ Cutting</v>
      </c>
    </row>
    <row r="160" spans="8:25" ht="20.100000000000001" customHeight="1">
      <c r="I160" s="2"/>
      <c r="J160" s="2"/>
      <c r="L160" s="2" t="s">
        <v>750</v>
      </c>
      <c r="M160" s="206" t="s">
        <v>751</v>
      </c>
      <c r="N160" s="2" t="s">
        <v>752</v>
      </c>
      <c r="Q160" s="212" t="str">
        <f t="shared" si="12"/>
        <v/>
      </c>
      <c r="R160" s="212" t="str">
        <f t="shared" si="12"/>
        <v/>
      </c>
      <c r="S160" s="212" t="str">
        <f t="shared" si="12"/>
        <v/>
      </c>
      <c r="T160" s="212" t="str">
        <f t="shared" si="13"/>
        <v/>
      </c>
      <c r="U160" s="212" t="str">
        <f t="shared" si="14"/>
        <v/>
      </c>
      <c r="V160" s="212" t="str">
        <f t="shared" si="15"/>
        <v>-</v>
      </c>
      <c r="W160" s="2" t="str">
        <f t="shared" si="16"/>
        <v>Packing</v>
      </c>
      <c r="X160" s="2" t="str">
        <f t="shared" si="17"/>
        <v>4610105</v>
      </c>
      <c r="Y160" s="2" t="str">
        <f t="shared" si="17"/>
        <v>C.Consumable./ Packing</v>
      </c>
    </row>
    <row r="161" spans="7:25" ht="20.100000000000001" customHeight="1">
      <c r="I161" s="2"/>
      <c r="J161" s="2"/>
      <c r="L161" s="2" t="s">
        <v>753</v>
      </c>
      <c r="M161" s="206" t="s">
        <v>754</v>
      </c>
      <c r="N161" s="2" t="s">
        <v>755</v>
      </c>
      <c r="Q161" s="212" t="str">
        <f t="shared" si="12"/>
        <v/>
      </c>
      <c r="R161" s="212" t="str">
        <f t="shared" si="12"/>
        <v/>
      </c>
      <c r="S161" s="212" t="str">
        <f t="shared" si="12"/>
        <v/>
      </c>
      <c r="T161" s="212" t="str">
        <f t="shared" si="13"/>
        <v/>
      </c>
      <c r="U161" s="212" t="str">
        <f t="shared" si="14"/>
        <v/>
      </c>
      <c r="V161" s="212" t="str">
        <f t="shared" si="15"/>
        <v>-</v>
      </c>
      <c r="W161" s="2" t="str">
        <f t="shared" si="16"/>
        <v>Stationery</v>
      </c>
      <c r="X161" s="2" t="str">
        <f t="shared" si="17"/>
        <v>4610501</v>
      </c>
      <c r="Y161" s="2" t="str">
        <f t="shared" si="17"/>
        <v>C.Consumable./ Stationery</v>
      </c>
    </row>
    <row r="162" spans="7:25" ht="20.100000000000001" customHeight="1">
      <c r="I162" s="2"/>
      <c r="J162" s="2"/>
      <c r="L162" s="2" t="s">
        <v>756</v>
      </c>
      <c r="M162" s="206" t="s">
        <v>757</v>
      </c>
      <c r="N162" s="2" t="s">
        <v>758</v>
      </c>
      <c r="Q162" s="212" t="str">
        <f t="shared" si="12"/>
        <v/>
      </c>
      <c r="R162" s="212" t="str">
        <f t="shared" si="12"/>
        <v/>
      </c>
      <c r="S162" s="212" t="str">
        <f t="shared" si="12"/>
        <v/>
      </c>
      <c r="T162" s="212" t="str">
        <f t="shared" si="13"/>
        <v/>
      </c>
      <c r="U162" s="212" t="str">
        <f t="shared" si="14"/>
        <v/>
      </c>
      <c r="V162" s="212" t="str">
        <f t="shared" si="15"/>
        <v>-</v>
      </c>
      <c r="W162" s="2" t="str">
        <f t="shared" si="16"/>
        <v>Computer</v>
      </c>
      <c r="X162" s="2" t="str">
        <f t="shared" si="17"/>
        <v>4610503</v>
      </c>
      <c r="Y162" s="2" t="str">
        <f t="shared" si="17"/>
        <v>C.Consumable./ Computer</v>
      </c>
    </row>
    <row r="163" spans="7:25" ht="20.100000000000001" customHeight="1">
      <c r="I163" s="2"/>
      <c r="J163" s="2"/>
      <c r="L163" s="2" t="s">
        <v>759</v>
      </c>
      <c r="M163" s="206" t="s">
        <v>760</v>
      </c>
      <c r="N163" s="2" t="s">
        <v>761</v>
      </c>
      <c r="Q163" s="212" t="str">
        <f t="shared" si="12"/>
        <v/>
      </c>
      <c r="R163" s="212" t="str">
        <f t="shared" si="12"/>
        <v/>
      </c>
      <c r="S163" s="212" t="str">
        <f t="shared" si="12"/>
        <v/>
      </c>
      <c r="T163" s="212" t="str">
        <f t="shared" si="13"/>
        <v/>
      </c>
      <c r="U163" s="212" t="str">
        <f t="shared" si="14"/>
        <v/>
      </c>
      <c r="V163" s="212" t="str">
        <f t="shared" si="15"/>
        <v>-</v>
      </c>
      <c r="W163" s="2" t="str">
        <f t="shared" si="16"/>
        <v>Others</v>
      </c>
      <c r="X163" s="2" t="str">
        <f t="shared" si="17"/>
        <v>4610900</v>
      </c>
      <c r="Y163" s="2" t="str">
        <f t="shared" si="17"/>
        <v>C.Consumable./ Others</v>
      </c>
    </row>
    <row r="164" spans="7:25" ht="20.100000000000001" customHeight="1">
      <c r="H164" s="210" t="s">
        <v>762</v>
      </c>
      <c r="I164" s="2"/>
      <c r="J164" s="2"/>
      <c r="Q164" s="212" t="str">
        <f t="shared" si="12"/>
        <v/>
      </c>
      <c r="R164" s="212" t="str">
        <f t="shared" si="12"/>
        <v>■</v>
      </c>
      <c r="S164" s="212" t="str">
        <f t="shared" si="12"/>
        <v/>
      </c>
      <c r="T164" s="212" t="str">
        <f t="shared" si="13"/>
        <v/>
      </c>
      <c r="U164" s="212" t="str">
        <f t="shared" si="14"/>
        <v/>
      </c>
      <c r="V164" s="212" t="str">
        <f t="shared" si="15"/>
        <v/>
      </c>
      <c r="W164" s="15" t="str">
        <f t="shared" si="16"/>
        <v>Vehicle maintenance expense</v>
      </c>
      <c r="X164" s="2" t="str">
        <f t="shared" si="17"/>
        <v/>
      </c>
      <c r="Y164" s="2" t="str">
        <f t="shared" si="17"/>
        <v/>
      </c>
    </row>
    <row r="165" spans="7:25" ht="20.100000000000001" customHeight="1">
      <c r="I165" s="2"/>
      <c r="J165" s="2"/>
      <c r="L165" s="2" t="s">
        <v>763</v>
      </c>
      <c r="M165" s="206" t="s">
        <v>764</v>
      </c>
      <c r="N165" s="2" t="s">
        <v>765</v>
      </c>
      <c r="Q165" s="212" t="str">
        <f t="shared" si="12"/>
        <v/>
      </c>
      <c r="R165" s="212" t="str">
        <f t="shared" si="12"/>
        <v/>
      </c>
      <c r="S165" s="212" t="str">
        <f t="shared" si="12"/>
        <v/>
      </c>
      <c r="T165" s="212" t="str">
        <f t="shared" si="13"/>
        <v/>
      </c>
      <c r="U165" s="212" t="str">
        <f t="shared" si="14"/>
        <v/>
      </c>
      <c r="V165" s="212" t="str">
        <f t="shared" si="15"/>
        <v>-</v>
      </c>
      <c r="W165" s="2" t="str">
        <f t="shared" si="16"/>
        <v>Gas</v>
      </c>
      <c r="X165" s="2" t="str">
        <f t="shared" si="17"/>
        <v>4630001</v>
      </c>
      <c r="Y165" s="2" t="str">
        <f t="shared" si="17"/>
        <v>C.V.maintenance / Fuel</v>
      </c>
    </row>
    <row r="166" spans="7:25" ht="20.100000000000001" customHeight="1">
      <c r="I166" s="2"/>
      <c r="J166" s="2"/>
      <c r="L166" s="2" t="s">
        <v>766</v>
      </c>
      <c r="M166" s="206" t="s">
        <v>767</v>
      </c>
      <c r="N166" s="2" t="s">
        <v>768</v>
      </c>
      <c r="Q166" s="212" t="str">
        <f t="shared" si="12"/>
        <v/>
      </c>
      <c r="R166" s="212" t="str">
        <f t="shared" si="12"/>
        <v/>
      </c>
      <c r="S166" s="212" t="str">
        <f t="shared" si="12"/>
        <v/>
      </c>
      <c r="T166" s="212" t="str">
        <f t="shared" si="13"/>
        <v/>
      </c>
      <c r="U166" s="212" t="str">
        <f t="shared" si="14"/>
        <v/>
      </c>
      <c r="V166" s="212" t="str">
        <f t="shared" si="15"/>
        <v>-</v>
      </c>
      <c r="W166" s="2" t="str">
        <f t="shared" si="16"/>
        <v>Toll fee</v>
      </c>
      <c r="X166" s="2" t="str">
        <f t="shared" si="17"/>
        <v>4630003</v>
      </c>
      <c r="Y166" s="2" t="str">
        <f t="shared" si="17"/>
        <v>C.V.maintenance / Toll fee</v>
      </c>
    </row>
    <row r="167" spans="7:25" ht="20.100000000000001" customHeight="1">
      <c r="I167" s="2"/>
      <c r="J167" s="2"/>
      <c r="L167" s="2" t="s">
        <v>769</v>
      </c>
      <c r="M167" s="206" t="s">
        <v>770</v>
      </c>
      <c r="N167" s="2" t="s">
        <v>771</v>
      </c>
      <c r="Q167" s="212" t="str">
        <f t="shared" si="12"/>
        <v/>
      </c>
      <c r="R167" s="212" t="str">
        <f t="shared" si="12"/>
        <v/>
      </c>
      <c r="S167" s="212" t="str">
        <f t="shared" si="12"/>
        <v/>
      </c>
      <c r="T167" s="212" t="str">
        <f t="shared" si="13"/>
        <v/>
      </c>
      <c r="U167" s="212" t="str">
        <f t="shared" si="14"/>
        <v/>
      </c>
      <c r="V167" s="212" t="str">
        <f t="shared" si="15"/>
        <v>-</v>
      </c>
      <c r="W167" s="2" t="str">
        <f t="shared" si="16"/>
        <v>Maintenance</v>
      </c>
      <c r="X167" s="2" t="str">
        <f t="shared" si="17"/>
        <v>4630005</v>
      </c>
      <c r="Y167" s="2" t="str">
        <f t="shared" si="17"/>
        <v>C.V.maintenance / Maintenance</v>
      </c>
    </row>
    <row r="168" spans="7:25" ht="20.100000000000001" customHeight="1">
      <c r="I168" s="2"/>
      <c r="J168" s="2"/>
      <c r="L168" s="2" t="s">
        <v>772</v>
      </c>
      <c r="M168" s="206" t="s">
        <v>773</v>
      </c>
      <c r="N168" s="2" t="s">
        <v>774</v>
      </c>
      <c r="Q168" s="212" t="str">
        <f t="shared" si="12"/>
        <v/>
      </c>
      <c r="R168" s="212" t="str">
        <f t="shared" si="12"/>
        <v/>
      </c>
      <c r="S168" s="212" t="str">
        <f t="shared" si="12"/>
        <v/>
      </c>
      <c r="T168" s="212" t="str">
        <f t="shared" si="13"/>
        <v/>
      </c>
      <c r="U168" s="212" t="str">
        <f t="shared" si="14"/>
        <v/>
      </c>
      <c r="V168" s="212" t="str">
        <f t="shared" si="15"/>
        <v>-</v>
      </c>
      <c r="W168" s="2" t="str">
        <f t="shared" si="16"/>
        <v>Other Vehicle maintenance exp.</v>
      </c>
      <c r="X168" s="2" t="str">
        <f t="shared" si="17"/>
        <v>4630009</v>
      </c>
      <c r="Y168" s="2" t="str">
        <f t="shared" si="17"/>
        <v>C.V.maintenance / Others</v>
      </c>
    </row>
    <row r="169" spans="7:25" ht="20.100000000000001" customHeight="1">
      <c r="H169" s="210" t="s">
        <v>775</v>
      </c>
      <c r="I169" s="2"/>
      <c r="J169" s="2"/>
      <c r="M169" s="206" t="s">
        <v>776</v>
      </c>
      <c r="N169" s="2" t="s">
        <v>777</v>
      </c>
      <c r="Q169" s="212" t="str">
        <f t="shared" si="12"/>
        <v/>
      </c>
      <c r="R169" s="212" t="str">
        <f t="shared" si="12"/>
        <v>■</v>
      </c>
      <c r="S169" s="212" t="str">
        <f t="shared" si="12"/>
        <v/>
      </c>
      <c r="T169" s="212" t="str">
        <f t="shared" si="13"/>
        <v/>
      </c>
      <c r="U169" s="212" t="str">
        <f t="shared" si="14"/>
        <v/>
      </c>
      <c r="V169" s="212" t="str">
        <f t="shared" si="15"/>
        <v/>
      </c>
      <c r="W169" s="15" t="str">
        <f t="shared" si="16"/>
        <v>Book &amp; Printing expense</v>
      </c>
      <c r="X169" s="2" t="str">
        <f t="shared" si="17"/>
        <v>4650000</v>
      </c>
      <c r="Y169" s="2" t="str">
        <f t="shared" si="17"/>
        <v>C.Book &amp; Printing exp.</v>
      </c>
    </row>
    <row r="170" spans="7:25" ht="20.100000000000001" customHeight="1">
      <c r="H170" s="210" t="s">
        <v>778</v>
      </c>
      <c r="I170" s="2"/>
      <c r="J170" s="2"/>
      <c r="M170" s="206" t="s">
        <v>779</v>
      </c>
      <c r="N170" s="2" t="s">
        <v>780</v>
      </c>
      <c r="Q170" s="212" t="str">
        <f t="shared" si="12"/>
        <v/>
      </c>
      <c r="R170" s="212" t="str">
        <f t="shared" si="12"/>
        <v>■</v>
      </c>
      <c r="S170" s="212" t="str">
        <f t="shared" si="12"/>
        <v/>
      </c>
      <c r="T170" s="212" t="str">
        <f t="shared" si="13"/>
        <v/>
      </c>
      <c r="U170" s="212" t="str">
        <f t="shared" si="14"/>
        <v/>
      </c>
      <c r="V170" s="212" t="str">
        <f t="shared" si="15"/>
        <v/>
      </c>
      <c r="W170" s="15" t="str">
        <f t="shared" si="16"/>
        <v>Training expense</v>
      </c>
      <c r="X170" s="2" t="str">
        <f t="shared" si="17"/>
        <v>4670000</v>
      </c>
      <c r="Y170" s="2" t="str">
        <f t="shared" si="17"/>
        <v>C.Training exp.</v>
      </c>
    </row>
    <row r="171" spans="7:25" ht="20.100000000000001" customHeight="1">
      <c r="H171" s="210" t="s">
        <v>781</v>
      </c>
      <c r="I171" s="2"/>
      <c r="J171" s="2"/>
      <c r="M171" s="206" t="s">
        <v>782</v>
      </c>
      <c r="N171" s="2" t="s">
        <v>783</v>
      </c>
      <c r="Q171" s="212" t="str">
        <f t="shared" si="12"/>
        <v/>
      </c>
      <c r="R171" s="212" t="str">
        <f t="shared" si="12"/>
        <v>■</v>
      </c>
      <c r="S171" s="212" t="str">
        <f t="shared" si="12"/>
        <v/>
      </c>
      <c r="T171" s="212" t="str">
        <f t="shared" si="13"/>
        <v/>
      </c>
      <c r="U171" s="212" t="str">
        <f t="shared" si="14"/>
        <v/>
      </c>
      <c r="V171" s="212" t="str">
        <f t="shared" si="15"/>
        <v/>
      </c>
      <c r="W171" s="15" t="str">
        <f t="shared" si="16"/>
        <v>Bad debt expense</v>
      </c>
      <c r="X171" s="2" t="str">
        <f t="shared" si="17"/>
        <v>4710000</v>
      </c>
      <c r="Y171" s="2" t="str">
        <f t="shared" si="17"/>
        <v>C.Bad debt expense</v>
      </c>
    </row>
    <row r="172" spans="7:25" ht="20.100000000000001" customHeight="1">
      <c r="H172" s="210" t="s">
        <v>784</v>
      </c>
      <c r="I172" s="2"/>
      <c r="J172" s="2"/>
      <c r="M172" s="206" t="s">
        <v>785</v>
      </c>
      <c r="N172" s="2" t="s">
        <v>786</v>
      </c>
      <c r="Q172" s="212" t="str">
        <f t="shared" si="12"/>
        <v/>
      </c>
      <c r="R172" s="212" t="str">
        <f t="shared" si="12"/>
        <v>■</v>
      </c>
      <c r="S172" s="212" t="str">
        <f t="shared" si="12"/>
        <v/>
      </c>
      <c r="T172" s="212" t="str">
        <f t="shared" si="13"/>
        <v/>
      </c>
      <c r="U172" s="212" t="str">
        <f t="shared" si="14"/>
        <v/>
      </c>
      <c r="V172" s="212" t="str">
        <f t="shared" si="15"/>
        <v/>
      </c>
      <c r="W172" s="15" t="str">
        <f t="shared" si="16"/>
        <v>Other COGM</v>
      </c>
      <c r="X172" s="2" t="str">
        <f t="shared" si="17"/>
        <v>4770000</v>
      </c>
      <c r="Y172" s="2" t="str">
        <f t="shared" si="17"/>
        <v>COGM / Others</v>
      </c>
    </row>
    <row r="173" spans="7:25" ht="20.100000000000001" customHeight="1">
      <c r="G173" s="210" t="s">
        <v>787</v>
      </c>
      <c r="Q173" s="212" t="str">
        <f t="shared" si="12"/>
        <v>■</v>
      </c>
      <c r="R173" s="212" t="str">
        <f t="shared" si="12"/>
        <v/>
      </c>
      <c r="S173" s="212" t="str">
        <f t="shared" si="12"/>
        <v/>
      </c>
      <c r="T173" s="212" t="str">
        <f t="shared" si="13"/>
        <v/>
      </c>
      <c r="U173" s="212" t="str">
        <f t="shared" si="14"/>
        <v/>
      </c>
      <c r="V173" s="212" t="str">
        <f t="shared" si="15"/>
        <v/>
      </c>
      <c r="W173" s="15" t="str">
        <f t="shared" si="16"/>
        <v>Gross Profit</v>
      </c>
      <c r="X173" s="2" t="str">
        <f t="shared" si="17"/>
        <v/>
      </c>
      <c r="Y173" s="2" t="str">
        <f t="shared" si="17"/>
        <v/>
      </c>
    </row>
    <row r="174" spans="7:25" ht="20.100000000000001" customHeight="1">
      <c r="G174" s="210" t="s">
        <v>788</v>
      </c>
      <c r="I174" s="2"/>
      <c r="J174" s="2"/>
      <c r="Q174" s="212" t="str">
        <f t="shared" si="12"/>
        <v>■</v>
      </c>
      <c r="R174" s="212" t="str">
        <f t="shared" si="12"/>
        <v/>
      </c>
      <c r="S174" s="212" t="str">
        <f t="shared" si="12"/>
        <v/>
      </c>
      <c r="T174" s="212" t="str">
        <f t="shared" si="13"/>
        <v/>
      </c>
      <c r="U174" s="212" t="str">
        <f t="shared" si="14"/>
        <v/>
      </c>
      <c r="V174" s="212" t="str">
        <f t="shared" si="15"/>
        <v/>
      </c>
      <c r="W174" s="15" t="str">
        <f t="shared" si="16"/>
        <v>Administrative expense</v>
      </c>
      <c r="X174" s="2" t="str">
        <f t="shared" si="17"/>
        <v/>
      </c>
      <c r="Y174" s="2" t="str">
        <f t="shared" si="17"/>
        <v/>
      </c>
    </row>
    <row r="175" spans="7:25" ht="20.100000000000001" customHeight="1">
      <c r="H175" s="210" t="s">
        <v>444</v>
      </c>
      <c r="I175" s="211"/>
      <c r="K175" s="210"/>
      <c r="L175" s="211"/>
      <c r="Q175" s="212" t="str">
        <f t="shared" si="12"/>
        <v/>
      </c>
      <c r="R175" s="212" t="str">
        <f t="shared" si="12"/>
        <v>■</v>
      </c>
      <c r="S175" s="212" t="str">
        <f t="shared" si="12"/>
        <v/>
      </c>
      <c r="T175" s="212" t="str">
        <f t="shared" si="13"/>
        <v/>
      </c>
      <c r="U175" s="212" t="str">
        <f t="shared" si="14"/>
        <v/>
      </c>
      <c r="V175" s="212" t="str">
        <f t="shared" si="15"/>
        <v/>
      </c>
      <c r="W175" s="15" t="str">
        <f t="shared" si="16"/>
        <v>Personnel expense</v>
      </c>
      <c r="X175" s="2" t="str">
        <f t="shared" si="17"/>
        <v/>
      </c>
      <c r="Y175" s="2" t="str">
        <f t="shared" si="17"/>
        <v/>
      </c>
    </row>
    <row r="176" spans="7:25" ht="20.100000000000001" customHeight="1">
      <c r="H176" s="211"/>
      <c r="I176" s="210" t="s">
        <v>445</v>
      </c>
      <c r="K176" s="211"/>
      <c r="L176" s="211"/>
      <c r="Q176" s="212" t="str">
        <f t="shared" si="12"/>
        <v/>
      </c>
      <c r="R176" s="212" t="str">
        <f t="shared" si="12"/>
        <v/>
      </c>
      <c r="S176" s="212" t="str">
        <f t="shared" si="12"/>
        <v>■</v>
      </c>
      <c r="T176" s="212" t="str">
        <f t="shared" si="13"/>
        <v/>
      </c>
      <c r="U176" s="212" t="str">
        <f t="shared" si="14"/>
        <v/>
      </c>
      <c r="V176" s="212" t="str">
        <f t="shared" si="15"/>
        <v/>
      </c>
      <c r="W176" s="15" t="str">
        <f t="shared" si="16"/>
        <v>Salary</v>
      </c>
      <c r="X176" s="2" t="str">
        <f t="shared" si="17"/>
        <v/>
      </c>
      <c r="Y176" s="2" t="str">
        <f t="shared" si="17"/>
        <v/>
      </c>
    </row>
    <row r="177" spans="8:25" ht="20.100000000000001" customHeight="1">
      <c r="H177" s="211"/>
      <c r="I177" s="211"/>
      <c r="L177" s="211" t="s">
        <v>446</v>
      </c>
      <c r="M177" s="206" t="s">
        <v>789</v>
      </c>
      <c r="N177" s="2" t="s">
        <v>790</v>
      </c>
      <c r="Q177" s="212" t="str">
        <f t="shared" si="12"/>
        <v/>
      </c>
      <c r="R177" s="212" t="str">
        <f t="shared" si="12"/>
        <v/>
      </c>
      <c r="S177" s="212" t="str">
        <f t="shared" si="12"/>
        <v/>
      </c>
      <c r="T177" s="212" t="str">
        <f t="shared" si="13"/>
        <v/>
      </c>
      <c r="U177" s="212" t="str">
        <f t="shared" si="14"/>
        <v/>
      </c>
      <c r="V177" s="212" t="str">
        <f t="shared" si="15"/>
        <v>-</v>
      </c>
      <c r="W177" s="2" t="str">
        <f t="shared" si="16"/>
        <v>Basic Salary</v>
      </c>
      <c r="X177" s="2" t="str">
        <f t="shared" si="17"/>
        <v>8311101</v>
      </c>
      <c r="Y177" s="2" t="str">
        <f t="shared" si="17"/>
        <v>Basic Salary / Korean</v>
      </c>
    </row>
    <row r="178" spans="8:25" ht="20.100000000000001" customHeight="1">
      <c r="H178" s="211"/>
      <c r="I178" s="211"/>
      <c r="L178" s="211" t="s">
        <v>446</v>
      </c>
      <c r="M178" s="206" t="s">
        <v>791</v>
      </c>
      <c r="N178" s="2" t="s">
        <v>792</v>
      </c>
      <c r="Q178" s="212" t="str">
        <f t="shared" si="12"/>
        <v/>
      </c>
      <c r="R178" s="212" t="str">
        <f t="shared" si="12"/>
        <v/>
      </c>
      <c r="S178" s="212" t="str">
        <f t="shared" si="12"/>
        <v/>
      </c>
      <c r="T178" s="212" t="str">
        <f t="shared" si="13"/>
        <v/>
      </c>
      <c r="U178" s="212" t="str">
        <f t="shared" si="14"/>
        <v/>
      </c>
      <c r="V178" s="212" t="str">
        <f t="shared" si="15"/>
        <v>-</v>
      </c>
      <c r="W178" s="2" t="str">
        <f t="shared" si="16"/>
        <v>Basic Salary</v>
      </c>
      <c r="X178" s="2" t="str">
        <f t="shared" si="17"/>
        <v>8311102</v>
      </c>
      <c r="Y178" s="2" t="str">
        <f t="shared" si="17"/>
        <v>Basic Salary / Foreigner</v>
      </c>
    </row>
    <row r="179" spans="8:25" ht="20.100000000000001" customHeight="1">
      <c r="H179" s="211"/>
      <c r="I179" s="211"/>
      <c r="L179" s="211" t="s">
        <v>446</v>
      </c>
      <c r="M179" s="206" t="s">
        <v>793</v>
      </c>
      <c r="N179" s="2" t="s">
        <v>794</v>
      </c>
      <c r="Q179" s="212" t="str">
        <f t="shared" si="12"/>
        <v/>
      </c>
      <c r="R179" s="212" t="str">
        <f t="shared" si="12"/>
        <v/>
      </c>
      <c r="S179" s="212" t="str">
        <f t="shared" si="12"/>
        <v/>
      </c>
      <c r="T179" s="212" t="str">
        <f t="shared" si="13"/>
        <v/>
      </c>
      <c r="U179" s="212" t="str">
        <f t="shared" si="14"/>
        <v/>
      </c>
      <c r="V179" s="212" t="str">
        <f t="shared" si="15"/>
        <v>-</v>
      </c>
      <c r="W179" s="2" t="str">
        <f t="shared" si="16"/>
        <v>Basic Salary</v>
      </c>
      <c r="X179" s="2" t="str">
        <f t="shared" si="17"/>
        <v>8311103</v>
      </c>
      <c r="Y179" s="2" t="str">
        <f t="shared" si="17"/>
        <v>Basic Salary / Local</v>
      </c>
    </row>
    <row r="180" spans="8:25" ht="20.100000000000001" customHeight="1">
      <c r="H180" s="211"/>
      <c r="I180" s="211"/>
      <c r="L180" s="211" t="s">
        <v>453</v>
      </c>
      <c r="M180" s="206" t="s">
        <v>795</v>
      </c>
      <c r="N180" s="2" t="s">
        <v>796</v>
      </c>
      <c r="Q180" s="212" t="str">
        <f t="shared" si="12"/>
        <v/>
      </c>
      <c r="R180" s="212" t="str">
        <f t="shared" si="12"/>
        <v/>
      </c>
      <c r="S180" s="212" t="str">
        <f t="shared" si="12"/>
        <v/>
      </c>
      <c r="T180" s="212" t="str">
        <f t="shared" si="13"/>
        <v/>
      </c>
      <c r="U180" s="212" t="str">
        <f t="shared" si="14"/>
        <v/>
      </c>
      <c r="V180" s="212" t="str">
        <f t="shared" si="15"/>
        <v>-</v>
      </c>
      <c r="W180" s="2" t="str">
        <f t="shared" si="16"/>
        <v>Overtime</v>
      </c>
      <c r="X180" s="2" t="str">
        <f t="shared" si="17"/>
        <v>8311151</v>
      </c>
      <c r="Y180" s="2" t="str">
        <f t="shared" si="17"/>
        <v>Overtime / Korean</v>
      </c>
    </row>
    <row r="181" spans="8:25" ht="20.100000000000001" customHeight="1">
      <c r="H181" s="210"/>
      <c r="I181" s="211"/>
      <c r="L181" s="211" t="s">
        <v>453</v>
      </c>
      <c r="M181" s="206" t="s">
        <v>797</v>
      </c>
      <c r="N181" s="2" t="s">
        <v>798</v>
      </c>
      <c r="Q181" s="212" t="str">
        <f t="shared" si="12"/>
        <v/>
      </c>
      <c r="R181" s="212" t="str">
        <f t="shared" si="12"/>
        <v/>
      </c>
      <c r="S181" s="212" t="str">
        <f t="shared" si="12"/>
        <v/>
      </c>
      <c r="T181" s="212" t="str">
        <f t="shared" si="13"/>
        <v/>
      </c>
      <c r="U181" s="212" t="str">
        <f t="shared" si="14"/>
        <v/>
      </c>
      <c r="V181" s="212" t="str">
        <f t="shared" si="15"/>
        <v>-</v>
      </c>
      <c r="W181" s="2" t="str">
        <f t="shared" si="16"/>
        <v>Overtime</v>
      </c>
      <c r="X181" s="2" t="str">
        <f t="shared" si="17"/>
        <v>8311152</v>
      </c>
      <c r="Y181" s="2" t="str">
        <f t="shared" si="17"/>
        <v>Overtime / Foreigner</v>
      </c>
    </row>
    <row r="182" spans="8:25" ht="20.100000000000001" customHeight="1">
      <c r="H182" s="211"/>
      <c r="I182" s="210"/>
      <c r="L182" s="211" t="s">
        <v>453</v>
      </c>
      <c r="M182" s="206" t="s">
        <v>799</v>
      </c>
      <c r="N182" s="2" t="s">
        <v>800</v>
      </c>
      <c r="Q182" s="212" t="str">
        <f t="shared" si="12"/>
        <v/>
      </c>
      <c r="R182" s="212" t="str">
        <f t="shared" si="12"/>
        <v/>
      </c>
      <c r="S182" s="212" t="str">
        <f t="shared" si="12"/>
        <v/>
      </c>
      <c r="T182" s="212" t="str">
        <f t="shared" si="13"/>
        <v/>
      </c>
      <c r="U182" s="212" t="str">
        <f t="shared" si="14"/>
        <v/>
      </c>
      <c r="V182" s="212" t="str">
        <f t="shared" si="15"/>
        <v>-</v>
      </c>
      <c r="W182" s="2" t="str">
        <f t="shared" si="16"/>
        <v>Overtime</v>
      </c>
      <c r="X182" s="2" t="str">
        <f t="shared" si="17"/>
        <v>8311153</v>
      </c>
      <c r="Y182" s="2" t="str">
        <f t="shared" si="17"/>
        <v>Overtime / Local</v>
      </c>
    </row>
    <row r="183" spans="8:25" ht="20.100000000000001" customHeight="1">
      <c r="H183" s="211"/>
      <c r="I183" s="210"/>
      <c r="L183" s="211" t="s">
        <v>460</v>
      </c>
      <c r="M183" s="206" t="s">
        <v>801</v>
      </c>
      <c r="N183" s="2" t="s">
        <v>802</v>
      </c>
      <c r="Q183" s="212" t="str">
        <f t="shared" si="12"/>
        <v/>
      </c>
      <c r="R183" s="212" t="str">
        <f t="shared" si="12"/>
        <v/>
      </c>
      <c r="S183" s="212" t="str">
        <f t="shared" si="12"/>
        <v/>
      </c>
      <c r="T183" s="212" t="str">
        <f t="shared" si="13"/>
        <v/>
      </c>
      <c r="U183" s="212" t="str">
        <f t="shared" si="14"/>
        <v/>
      </c>
      <c r="V183" s="212" t="str">
        <f t="shared" si="15"/>
        <v>-</v>
      </c>
      <c r="W183" s="2" t="str">
        <f t="shared" si="16"/>
        <v>Incentive</v>
      </c>
      <c r="X183" s="2" t="str">
        <f t="shared" si="17"/>
        <v>8311201</v>
      </c>
      <c r="Y183" s="2" t="str">
        <f t="shared" si="17"/>
        <v>Incentive / Korean</v>
      </c>
    </row>
    <row r="184" spans="8:25" ht="20.100000000000001" customHeight="1">
      <c r="H184" s="211"/>
      <c r="I184" s="211"/>
      <c r="L184" s="211" t="s">
        <v>460</v>
      </c>
      <c r="M184" s="206" t="s">
        <v>803</v>
      </c>
      <c r="N184" s="2" t="s">
        <v>804</v>
      </c>
      <c r="Q184" s="212" t="str">
        <f t="shared" si="12"/>
        <v/>
      </c>
      <c r="R184" s="212" t="str">
        <f t="shared" si="12"/>
        <v/>
      </c>
      <c r="S184" s="212" t="str">
        <f t="shared" si="12"/>
        <v/>
      </c>
      <c r="T184" s="212" t="str">
        <f t="shared" si="13"/>
        <v/>
      </c>
      <c r="U184" s="212" t="str">
        <f t="shared" si="14"/>
        <v/>
      </c>
      <c r="V184" s="212" t="str">
        <f t="shared" si="15"/>
        <v>-</v>
      </c>
      <c r="W184" s="2" t="str">
        <f t="shared" si="16"/>
        <v>Incentive</v>
      </c>
      <c r="X184" s="2" t="str">
        <f t="shared" si="17"/>
        <v>8311202</v>
      </c>
      <c r="Y184" s="2" t="str">
        <f t="shared" si="17"/>
        <v>Incentive / Foreigner</v>
      </c>
    </row>
    <row r="185" spans="8:25" ht="20.100000000000001" customHeight="1">
      <c r="H185" s="211"/>
      <c r="I185" s="211"/>
      <c r="L185" s="211" t="s">
        <v>460</v>
      </c>
      <c r="M185" s="206" t="s">
        <v>805</v>
      </c>
      <c r="N185" s="2" t="s">
        <v>806</v>
      </c>
      <c r="Q185" s="212" t="str">
        <f t="shared" si="12"/>
        <v/>
      </c>
      <c r="R185" s="212" t="str">
        <f t="shared" si="12"/>
        <v/>
      </c>
      <c r="S185" s="212" t="str">
        <f t="shared" si="12"/>
        <v/>
      </c>
      <c r="T185" s="212" t="str">
        <f t="shared" si="13"/>
        <v/>
      </c>
      <c r="U185" s="212" t="str">
        <f t="shared" si="14"/>
        <v/>
      </c>
      <c r="V185" s="212" t="str">
        <f t="shared" si="15"/>
        <v>-</v>
      </c>
      <c r="W185" s="2" t="str">
        <f t="shared" si="16"/>
        <v>Incentive</v>
      </c>
      <c r="X185" s="2" t="str">
        <f t="shared" si="17"/>
        <v>8311203</v>
      </c>
      <c r="Y185" s="2" t="str">
        <f t="shared" si="17"/>
        <v>Incentive / Local</v>
      </c>
    </row>
    <row r="186" spans="8:25" ht="20.100000000000001" customHeight="1">
      <c r="H186" s="211"/>
      <c r="I186" s="211"/>
      <c r="L186" s="211" t="s">
        <v>467</v>
      </c>
      <c r="M186" s="206" t="s">
        <v>807</v>
      </c>
      <c r="N186" s="2" t="s">
        <v>808</v>
      </c>
      <c r="Q186" s="212" t="str">
        <f t="shared" si="12"/>
        <v/>
      </c>
      <c r="R186" s="212" t="str">
        <f t="shared" si="12"/>
        <v/>
      </c>
      <c r="S186" s="212" t="str">
        <f t="shared" si="12"/>
        <v/>
      </c>
      <c r="T186" s="212" t="str">
        <f t="shared" si="13"/>
        <v/>
      </c>
      <c r="U186" s="212" t="str">
        <f t="shared" si="14"/>
        <v/>
      </c>
      <c r="V186" s="212" t="str">
        <f t="shared" si="15"/>
        <v>-</v>
      </c>
      <c r="W186" s="2" t="str">
        <f t="shared" si="16"/>
        <v>Bonus</v>
      </c>
      <c r="X186" s="2" t="str">
        <f t="shared" si="17"/>
        <v>8311251</v>
      </c>
      <c r="Y186" s="2" t="str">
        <f t="shared" si="17"/>
        <v>Bonus / Korean</v>
      </c>
    </row>
    <row r="187" spans="8:25" ht="20.100000000000001" customHeight="1">
      <c r="H187" s="211"/>
      <c r="I187" s="211"/>
      <c r="L187" s="211" t="s">
        <v>467</v>
      </c>
      <c r="M187" s="206" t="s">
        <v>809</v>
      </c>
      <c r="N187" s="2" t="s">
        <v>810</v>
      </c>
      <c r="Q187" s="212" t="str">
        <f t="shared" si="12"/>
        <v/>
      </c>
      <c r="R187" s="212" t="str">
        <f t="shared" si="12"/>
        <v/>
      </c>
      <c r="S187" s="212" t="str">
        <f t="shared" si="12"/>
        <v/>
      </c>
      <c r="T187" s="212" t="str">
        <f t="shared" si="13"/>
        <v/>
      </c>
      <c r="U187" s="212" t="str">
        <f t="shared" si="14"/>
        <v/>
      </c>
      <c r="V187" s="212" t="str">
        <f t="shared" si="15"/>
        <v>-</v>
      </c>
      <c r="W187" s="2" t="str">
        <f t="shared" si="16"/>
        <v>Bonus</v>
      </c>
      <c r="X187" s="2" t="str">
        <f t="shared" si="17"/>
        <v>8311252</v>
      </c>
      <c r="Y187" s="2" t="str">
        <f t="shared" si="17"/>
        <v>Bonus / Foreigner</v>
      </c>
    </row>
    <row r="188" spans="8:25" ht="20.100000000000001" customHeight="1">
      <c r="H188" s="211"/>
      <c r="I188" s="211"/>
      <c r="L188" s="211" t="s">
        <v>467</v>
      </c>
      <c r="M188" s="206" t="s">
        <v>811</v>
      </c>
      <c r="N188" s="2" t="s">
        <v>812</v>
      </c>
      <c r="Q188" s="212" t="str">
        <f t="shared" si="12"/>
        <v/>
      </c>
      <c r="R188" s="212" t="str">
        <f t="shared" si="12"/>
        <v/>
      </c>
      <c r="S188" s="212" t="str">
        <f t="shared" si="12"/>
        <v/>
      </c>
      <c r="T188" s="212" t="str">
        <f t="shared" si="13"/>
        <v/>
      </c>
      <c r="U188" s="212" t="str">
        <f t="shared" si="14"/>
        <v/>
      </c>
      <c r="V188" s="212" t="str">
        <f t="shared" si="15"/>
        <v>-</v>
      </c>
      <c r="W188" s="2" t="str">
        <f t="shared" si="16"/>
        <v>Bonus</v>
      </c>
      <c r="X188" s="2" t="str">
        <f t="shared" si="17"/>
        <v>8311253</v>
      </c>
      <c r="Y188" s="2" t="str">
        <f t="shared" si="17"/>
        <v>Bonus / Local</v>
      </c>
    </row>
    <row r="189" spans="8:25" ht="20.100000000000001" customHeight="1">
      <c r="H189" s="211"/>
      <c r="I189" s="211"/>
      <c r="L189" s="211" t="s">
        <v>474</v>
      </c>
      <c r="M189" s="206" t="s">
        <v>813</v>
      </c>
      <c r="N189" s="2" t="s">
        <v>814</v>
      </c>
      <c r="Q189" s="212" t="str">
        <f t="shared" si="12"/>
        <v/>
      </c>
      <c r="R189" s="212" t="str">
        <f t="shared" si="12"/>
        <v/>
      </c>
      <c r="S189" s="212" t="str">
        <f t="shared" si="12"/>
        <v/>
      </c>
      <c r="T189" s="212" t="str">
        <f t="shared" si="13"/>
        <v/>
      </c>
      <c r="U189" s="212" t="str">
        <f t="shared" si="14"/>
        <v/>
      </c>
      <c r="V189" s="212" t="str">
        <f t="shared" si="15"/>
        <v>-</v>
      </c>
      <c r="W189" s="2" t="str">
        <f t="shared" si="16"/>
        <v>Annual Leave</v>
      </c>
      <c r="X189" s="2" t="str">
        <f t="shared" si="17"/>
        <v>8311301</v>
      </c>
      <c r="Y189" s="2" t="str">
        <f t="shared" si="17"/>
        <v>Annual Leave / Korean</v>
      </c>
    </row>
    <row r="190" spans="8:25" ht="20.100000000000001" customHeight="1">
      <c r="H190" s="2"/>
      <c r="I190" s="2"/>
      <c r="L190" s="211" t="s">
        <v>474</v>
      </c>
      <c r="M190" s="206" t="s">
        <v>815</v>
      </c>
      <c r="N190" s="2" t="s">
        <v>816</v>
      </c>
      <c r="Q190" s="212" t="str">
        <f t="shared" si="12"/>
        <v/>
      </c>
      <c r="R190" s="212" t="str">
        <f t="shared" si="12"/>
        <v/>
      </c>
      <c r="S190" s="212" t="str">
        <f t="shared" si="12"/>
        <v/>
      </c>
      <c r="T190" s="212" t="str">
        <f t="shared" si="13"/>
        <v/>
      </c>
      <c r="U190" s="212" t="str">
        <f t="shared" si="14"/>
        <v/>
      </c>
      <c r="V190" s="212" t="str">
        <f t="shared" si="15"/>
        <v>-</v>
      </c>
      <c r="W190" s="2" t="str">
        <f t="shared" si="16"/>
        <v>Annual Leave</v>
      </c>
      <c r="X190" s="2" t="str">
        <f t="shared" si="17"/>
        <v>8311302</v>
      </c>
      <c r="Y190" s="2" t="str">
        <f t="shared" si="17"/>
        <v>Annual Leave / Foreigner</v>
      </c>
    </row>
    <row r="191" spans="8:25" ht="20.100000000000001" customHeight="1">
      <c r="H191" s="2"/>
      <c r="I191" s="15"/>
      <c r="L191" s="211" t="s">
        <v>474</v>
      </c>
      <c r="M191" s="206" t="s">
        <v>817</v>
      </c>
      <c r="N191" s="2" t="s">
        <v>818</v>
      </c>
      <c r="Q191" s="212" t="str">
        <f t="shared" si="12"/>
        <v/>
      </c>
      <c r="R191" s="212" t="str">
        <f t="shared" si="12"/>
        <v/>
      </c>
      <c r="S191" s="212" t="str">
        <f t="shared" si="12"/>
        <v/>
      </c>
      <c r="T191" s="212" t="str">
        <f t="shared" si="13"/>
        <v/>
      </c>
      <c r="U191" s="212" t="str">
        <f t="shared" si="14"/>
        <v/>
      </c>
      <c r="V191" s="212" t="str">
        <f t="shared" si="15"/>
        <v>-</v>
      </c>
      <c r="W191" s="2" t="str">
        <f t="shared" si="16"/>
        <v>Annual Leave</v>
      </c>
      <c r="X191" s="2" t="str">
        <f t="shared" si="17"/>
        <v>8311303</v>
      </c>
      <c r="Y191" s="2" t="str">
        <f t="shared" si="17"/>
        <v>Annual Leave / Local</v>
      </c>
    </row>
    <row r="192" spans="8:25" ht="20.100000000000001" customHeight="1">
      <c r="H192" s="2"/>
      <c r="I192" s="15"/>
      <c r="L192" s="2" t="s">
        <v>481</v>
      </c>
      <c r="M192" s="206" t="s">
        <v>819</v>
      </c>
      <c r="N192" s="2" t="s">
        <v>820</v>
      </c>
      <c r="Q192" s="212" t="str">
        <f t="shared" si="12"/>
        <v/>
      </c>
      <c r="R192" s="212" t="str">
        <f t="shared" si="12"/>
        <v/>
      </c>
      <c r="S192" s="212" t="str">
        <f t="shared" si="12"/>
        <v/>
      </c>
      <c r="T192" s="212" t="str">
        <f t="shared" si="13"/>
        <v/>
      </c>
      <c r="U192" s="212" t="str">
        <f t="shared" si="14"/>
        <v/>
      </c>
      <c r="V192" s="212" t="str">
        <f t="shared" si="15"/>
        <v>-</v>
      </c>
      <c r="W192" s="2" t="str">
        <f t="shared" si="16"/>
        <v>Other Salaries</v>
      </c>
      <c r="X192" s="2" t="str">
        <f t="shared" si="17"/>
        <v>8311351</v>
      </c>
      <c r="Y192" s="2" t="str">
        <f t="shared" si="17"/>
        <v>Other salaries / Korean</v>
      </c>
    </row>
    <row r="193" spans="8:25" ht="20.100000000000001" customHeight="1">
      <c r="H193" s="2"/>
      <c r="I193" s="15"/>
      <c r="L193" s="2" t="s">
        <v>481</v>
      </c>
      <c r="M193" s="206" t="s">
        <v>821</v>
      </c>
      <c r="N193" s="2" t="s">
        <v>822</v>
      </c>
      <c r="Q193" s="212" t="str">
        <f t="shared" si="12"/>
        <v/>
      </c>
      <c r="R193" s="212" t="str">
        <f t="shared" si="12"/>
        <v/>
      </c>
      <c r="S193" s="212" t="str">
        <f t="shared" si="12"/>
        <v/>
      </c>
      <c r="T193" s="212" t="str">
        <f t="shared" si="13"/>
        <v/>
      </c>
      <c r="U193" s="212" t="str">
        <f t="shared" si="14"/>
        <v/>
      </c>
      <c r="V193" s="212" t="str">
        <f t="shared" si="15"/>
        <v>-</v>
      </c>
      <c r="W193" s="2" t="str">
        <f t="shared" si="16"/>
        <v>Other Salaries</v>
      </c>
      <c r="X193" s="2" t="str">
        <f t="shared" si="17"/>
        <v>8311352</v>
      </c>
      <c r="Y193" s="2" t="str">
        <f t="shared" si="17"/>
        <v>Other salaries / Foreigner</v>
      </c>
    </row>
    <row r="194" spans="8:25" ht="20.100000000000001" customHeight="1">
      <c r="L194" s="2" t="s">
        <v>481</v>
      </c>
      <c r="M194" s="206" t="s">
        <v>823</v>
      </c>
      <c r="N194" s="2" t="s">
        <v>824</v>
      </c>
      <c r="Q194" s="212" t="str">
        <f t="shared" si="12"/>
        <v/>
      </c>
      <c r="R194" s="212" t="str">
        <f t="shared" si="12"/>
        <v/>
      </c>
      <c r="S194" s="212" t="str">
        <f t="shared" si="12"/>
        <v/>
      </c>
      <c r="T194" s="212" t="str">
        <f t="shared" si="13"/>
        <v/>
      </c>
      <c r="U194" s="212" t="str">
        <f t="shared" si="14"/>
        <v/>
      </c>
      <c r="V194" s="212" t="str">
        <f t="shared" si="15"/>
        <v>-</v>
      </c>
      <c r="W194" s="2" t="str">
        <f t="shared" si="16"/>
        <v>Other Salaries</v>
      </c>
      <c r="X194" s="2" t="str">
        <f t="shared" si="17"/>
        <v>8311353</v>
      </c>
      <c r="Y194" s="2" t="str">
        <f t="shared" si="17"/>
        <v>Other salaries / Local</v>
      </c>
    </row>
    <row r="195" spans="8:25" ht="20.100000000000001" customHeight="1">
      <c r="I195" s="210" t="s">
        <v>488</v>
      </c>
      <c r="L195" s="211"/>
      <c r="M195" s="206" t="s">
        <v>825</v>
      </c>
      <c r="N195" s="2" t="s">
        <v>826</v>
      </c>
      <c r="Q195" s="212" t="str">
        <f t="shared" si="12"/>
        <v/>
      </c>
      <c r="R195" s="212" t="str">
        <f t="shared" si="12"/>
        <v/>
      </c>
      <c r="S195" s="212" t="str">
        <f t="shared" si="12"/>
        <v>■</v>
      </c>
      <c r="T195" s="212" t="str">
        <f t="shared" si="13"/>
        <v/>
      </c>
      <c r="U195" s="212" t="str">
        <f t="shared" si="14"/>
        <v/>
      </c>
      <c r="V195" s="212" t="str">
        <f t="shared" si="15"/>
        <v/>
      </c>
      <c r="W195" s="15" t="str">
        <f t="shared" si="16"/>
        <v>Retirement Salary</v>
      </c>
      <c r="X195" s="2" t="str">
        <f t="shared" si="17"/>
        <v>8318101</v>
      </c>
      <c r="Y195" s="2" t="str">
        <f t="shared" si="17"/>
        <v>Retirement Salary / Korean</v>
      </c>
    </row>
    <row r="196" spans="8:25" ht="20.100000000000001" customHeight="1">
      <c r="H196" s="2"/>
      <c r="I196" s="210" t="s">
        <v>488</v>
      </c>
      <c r="K196" s="2"/>
      <c r="L196" s="211"/>
      <c r="M196" s="206" t="s">
        <v>827</v>
      </c>
      <c r="N196" s="2" t="s">
        <v>828</v>
      </c>
      <c r="Q196" s="212" t="str">
        <f t="shared" si="12"/>
        <v/>
      </c>
      <c r="R196" s="212" t="str">
        <f t="shared" si="12"/>
        <v/>
      </c>
      <c r="S196" s="212" t="str">
        <f t="shared" si="12"/>
        <v>■</v>
      </c>
      <c r="T196" s="212" t="str">
        <f t="shared" si="13"/>
        <v/>
      </c>
      <c r="U196" s="212" t="str">
        <f t="shared" si="14"/>
        <v/>
      </c>
      <c r="V196" s="212" t="str">
        <f t="shared" si="15"/>
        <v/>
      </c>
      <c r="W196" s="15" t="str">
        <f t="shared" si="16"/>
        <v>Retirement Salary</v>
      </c>
      <c r="X196" s="2" t="str">
        <f t="shared" si="17"/>
        <v>8318102</v>
      </c>
      <c r="Y196" s="2" t="str">
        <f t="shared" si="17"/>
        <v>Retirement Salary / Foreigner</v>
      </c>
    </row>
    <row r="197" spans="8:25" ht="20.100000000000001" customHeight="1">
      <c r="H197" s="2"/>
      <c r="I197" s="210" t="s">
        <v>488</v>
      </c>
      <c r="K197" s="2"/>
      <c r="L197" s="211"/>
      <c r="M197" s="206" t="s">
        <v>829</v>
      </c>
      <c r="N197" s="2" t="s">
        <v>830</v>
      </c>
      <c r="Q197" s="212" t="str">
        <f t="shared" si="12"/>
        <v/>
      </c>
      <c r="R197" s="212" t="str">
        <f t="shared" si="12"/>
        <v/>
      </c>
      <c r="S197" s="212" t="str">
        <f t="shared" si="12"/>
        <v>■</v>
      </c>
      <c r="T197" s="212" t="str">
        <f t="shared" si="13"/>
        <v/>
      </c>
      <c r="U197" s="212" t="str">
        <f t="shared" si="14"/>
        <v/>
      </c>
      <c r="V197" s="212" t="str">
        <f t="shared" si="15"/>
        <v/>
      </c>
      <c r="W197" s="15" t="str">
        <f t="shared" si="16"/>
        <v>Retirement Salary</v>
      </c>
      <c r="X197" s="2" t="str">
        <f t="shared" si="17"/>
        <v>8318103</v>
      </c>
      <c r="Y197" s="2" t="str">
        <f t="shared" si="17"/>
        <v>Retirement Salary / Local</v>
      </c>
    </row>
    <row r="198" spans="8:25" ht="20.100000000000001" customHeight="1">
      <c r="H198" s="15" t="s">
        <v>495</v>
      </c>
      <c r="K198" s="2"/>
      <c r="L198" s="211"/>
      <c r="Q198" s="212" t="str">
        <f t="shared" si="12"/>
        <v/>
      </c>
      <c r="R198" s="212" t="str">
        <f t="shared" si="12"/>
        <v>■</v>
      </c>
      <c r="S198" s="212" t="str">
        <f t="shared" si="12"/>
        <v/>
      </c>
      <c r="T198" s="212" t="str">
        <f t="shared" si="13"/>
        <v/>
      </c>
      <c r="U198" s="212" t="str">
        <f t="shared" si="14"/>
        <v/>
      </c>
      <c r="V198" s="212" t="str">
        <f t="shared" si="15"/>
        <v/>
      </c>
      <c r="W198" s="15" t="str">
        <f t="shared" si="16"/>
        <v>Welfare</v>
      </c>
      <c r="X198" s="2" t="str">
        <f t="shared" si="17"/>
        <v/>
      </c>
      <c r="Y198" s="2" t="str">
        <f t="shared" si="17"/>
        <v/>
      </c>
    </row>
    <row r="199" spans="8:25" ht="20.100000000000001" customHeight="1">
      <c r="H199" s="15"/>
      <c r="I199" s="210" t="s">
        <v>496</v>
      </c>
      <c r="K199" s="2"/>
      <c r="L199" s="211"/>
      <c r="Q199" s="212" t="str">
        <f t="shared" ref="Q199:S262" si="18">IF(NOT(ISBLANK(G199)),"■","")</f>
        <v/>
      </c>
      <c r="R199" s="212" t="str">
        <f t="shared" si="18"/>
        <v/>
      </c>
      <c r="S199" s="212" t="str">
        <f t="shared" si="18"/>
        <v>■</v>
      </c>
      <c r="T199" s="212" t="str">
        <f t="shared" ref="T199:T262" si="19">IF(NOT(ISBLANK(J199)),"⊙","")</f>
        <v/>
      </c>
      <c r="U199" s="212" t="str">
        <f t="shared" ref="U199:U262" si="20">IF(NOT(ISBLANK(K199)),"*","")</f>
        <v/>
      </c>
      <c r="V199" s="212" t="str">
        <f t="shared" ref="V199:V262" si="21">IF(NOT(ISBLANK(L199)),"-","")</f>
        <v/>
      </c>
      <c r="W199" s="15" t="str">
        <f t="shared" ref="W199:W262" si="22">G199&amp;H199&amp;I199&amp;J199&amp;K199&amp;L199</f>
        <v>Personnel</v>
      </c>
      <c r="X199" s="2" t="str">
        <f t="shared" ref="X199:Y262" si="23">IF(ISBLANK(M199),"",M199)</f>
        <v/>
      </c>
      <c r="Y199" s="2" t="str">
        <f t="shared" si="23"/>
        <v/>
      </c>
    </row>
    <row r="200" spans="8:25" ht="20.100000000000001" customHeight="1">
      <c r="L200" s="2" t="s">
        <v>497</v>
      </c>
      <c r="M200" s="206" t="s">
        <v>831</v>
      </c>
      <c r="N200" s="2" t="s">
        <v>832</v>
      </c>
      <c r="Q200" s="212" t="str">
        <f t="shared" si="18"/>
        <v/>
      </c>
      <c r="R200" s="212" t="str">
        <f t="shared" si="18"/>
        <v/>
      </c>
      <c r="S200" s="212" t="str">
        <f t="shared" si="18"/>
        <v/>
      </c>
      <c r="T200" s="212" t="str">
        <f t="shared" si="19"/>
        <v/>
      </c>
      <c r="U200" s="212" t="str">
        <f t="shared" si="20"/>
        <v/>
      </c>
      <c r="V200" s="212" t="str">
        <f t="shared" si="21"/>
        <v>-</v>
      </c>
      <c r="W200" s="2" t="str">
        <f t="shared" si="22"/>
        <v>Social-insurance</v>
      </c>
      <c r="X200" s="2" t="str">
        <f t="shared" si="23"/>
        <v>8331111</v>
      </c>
      <c r="Y200" s="2" t="str">
        <f t="shared" si="23"/>
        <v>Social-insur./ Korean</v>
      </c>
    </row>
    <row r="201" spans="8:25" ht="20.100000000000001" customHeight="1">
      <c r="L201" s="2" t="s">
        <v>497</v>
      </c>
      <c r="M201" s="206" t="s">
        <v>833</v>
      </c>
      <c r="N201" s="2" t="s">
        <v>834</v>
      </c>
      <c r="Q201" s="212" t="str">
        <f t="shared" si="18"/>
        <v/>
      </c>
      <c r="R201" s="212" t="str">
        <f t="shared" si="18"/>
        <v/>
      </c>
      <c r="S201" s="212" t="str">
        <f t="shared" si="18"/>
        <v/>
      </c>
      <c r="T201" s="212" t="str">
        <f t="shared" si="19"/>
        <v/>
      </c>
      <c r="U201" s="212" t="str">
        <f t="shared" si="20"/>
        <v/>
      </c>
      <c r="V201" s="212" t="str">
        <f t="shared" si="21"/>
        <v>-</v>
      </c>
      <c r="W201" s="2" t="str">
        <f t="shared" si="22"/>
        <v>Social-insurance</v>
      </c>
      <c r="X201" s="2" t="str">
        <f t="shared" si="23"/>
        <v>8331112</v>
      </c>
      <c r="Y201" s="2" t="str">
        <f t="shared" si="23"/>
        <v>Social-insur./ Foreigner</v>
      </c>
    </row>
    <row r="202" spans="8:25" ht="20.100000000000001" customHeight="1">
      <c r="H202" s="211"/>
      <c r="I202" s="211"/>
      <c r="K202" s="211"/>
      <c r="L202" s="2" t="s">
        <v>497</v>
      </c>
      <c r="M202" s="206" t="s">
        <v>835</v>
      </c>
      <c r="N202" s="2" t="s">
        <v>836</v>
      </c>
      <c r="Q202" s="212" t="str">
        <f t="shared" si="18"/>
        <v/>
      </c>
      <c r="R202" s="212" t="str">
        <f t="shared" si="18"/>
        <v/>
      </c>
      <c r="S202" s="212" t="str">
        <f t="shared" si="18"/>
        <v/>
      </c>
      <c r="T202" s="212" t="str">
        <f t="shared" si="19"/>
        <v/>
      </c>
      <c r="U202" s="212" t="str">
        <f t="shared" si="20"/>
        <v/>
      </c>
      <c r="V202" s="212" t="str">
        <f t="shared" si="21"/>
        <v>-</v>
      </c>
      <c r="W202" s="2" t="str">
        <f t="shared" si="22"/>
        <v>Social-insurance</v>
      </c>
      <c r="X202" s="2" t="str">
        <f t="shared" si="23"/>
        <v>8331113</v>
      </c>
      <c r="Y202" s="2" t="str">
        <f t="shared" si="23"/>
        <v>Social-insur./ Local</v>
      </c>
    </row>
    <row r="203" spans="8:25" ht="20.100000000000001" customHeight="1">
      <c r="H203" s="210"/>
      <c r="I203" s="211"/>
      <c r="K203" s="211"/>
      <c r="L203" s="2" t="s">
        <v>504</v>
      </c>
      <c r="M203" s="206" t="s">
        <v>837</v>
      </c>
      <c r="N203" s="2" t="s">
        <v>838</v>
      </c>
      <c r="Q203" s="212" t="str">
        <f t="shared" si="18"/>
        <v/>
      </c>
      <c r="R203" s="212" t="str">
        <f t="shared" si="18"/>
        <v/>
      </c>
      <c r="S203" s="212" t="str">
        <f t="shared" si="18"/>
        <v/>
      </c>
      <c r="T203" s="212" t="str">
        <f t="shared" si="19"/>
        <v/>
      </c>
      <c r="U203" s="212" t="str">
        <f t="shared" si="20"/>
        <v/>
      </c>
      <c r="V203" s="212" t="str">
        <f t="shared" si="21"/>
        <v>-</v>
      </c>
      <c r="W203" s="2" t="str">
        <f t="shared" si="22"/>
        <v>Medical-insurance</v>
      </c>
      <c r="X203" s="2" t="str">
        <f t="shared" si="23"/>
        <v>8331131</v>
      </c>
      <c r="Y203" s="2" t="str">
        <f t="shared" si="23"/>
        <v>Medical-insur./ Korean</v>
      </c>
    </row>
    <row r="204" spans="8:25" ht="20.100000000000001" customHeight="1">
      <c r="H204" s="210"/>
      <c r="I204" s="211"/>
      <c r="K204" s="211"/>
      <c r="L204" s="2" t="s">
        <v>504</v>
      </c>
      <c r="M204" s="206" t="s">
        <v>839</v>
      </c>
      <c r="N204" s="2" t="s">
        <v>840</v>
      </c>
      <c r="Q204" s="212" t="str">
        <f t="shared" si="18"/>
        <v/>
      </c>
      <c r="R204" s="212" t="str">
        <f t="shared" si="18"/>
        <v/>
      </c>
      <c r="S204" s="212" t="str">
        <f t="shared" si="18"/>
        <v/>
      </c>
      <c r="T204" s="212" t="str">
        <f t="shared" si="19"/>
        <v/>
      </c>
      <c r="U204" s="212" t="str">
        <f t="shared" si="20"/>
        <v/>
      </c>
      <c r="V204" s="212" t="str">
        <f t="shared" si="21"/>
        <v>-</v>
      </c>
      <c r="W204" s="2" t="str">
        <f t="shared" si="22"/>
        <v>Medical-insurance</v>
      </c>
      <c r="X204" s="2" t="str">
        <f t="shared" si="23"/>
        <v>8331132</v>
      </c>
      <c r="Y204" s="2" t="str">
        <f t="shared" si="23"/>
        <v>Medical-insur./ Foreigner</v>
      </c>
    </row>
    <row r="205" spans="8:25" ht="20.100000000000001" customHeight="1">
      <c r="H205" s="211"/>
      <c r="I205" s="15"/>
      <c r="K205" s="211"/>
      <c r="L205" s="2" t="s">
        <v>504</v>
      </c>
      <c r="M205" s="206" t="s">
        <v>841</v>
      </c>
      <c r="N205" s="2" t="s">
        <v>842</v>
      </c>
      <c r="Q205" s="212" t="str">
        <f t="shared" si="18"/>
        <v/>
      </c>
      <c r="R205" s="212" t="str">
        <f t="shared" si="18"/>
        <v/>
      </c>
      <c r="S205" s="212" t="str">
        <f t="shared" si="18"/>
        <v/>
      </c>
      <c r="T205" s="212" t="str">
        <f t="shared" si="19"/>
        <v/>
      </c>
      <c r="U205" s="212" t="str">
        <f t="shared" si="20"/>
        <v/>
      </c>
      <c r="V205" s="212" t="str">
        <f t="shared" si="21"/>
        <v>-</v>
      </c>
      <c r="W205" s="2" t="str">
        <f t="shared" si="22"/>
        <v>Medical-insurance</v>
      </c>
      <c r="X205" s="2" t="str">
        <f t="shared" si="23"/>
        <v>8331133</v>
      </c>
      <c r="Y205" s="2" t="str">
        <f t="shared" si="23"/>
        <v>Medical-insur./ Local</v>
      </c>
    </row>
    <row r="206" spans="8:25" ht="20.100000000000001" customHeight="1">
      <c r="H206" s="211"/>
      <c r="I206" s="15"/>
      <c r="K206" s="211"/>
      <c r="L206" s="211" t="s">
        <v>511</v>
      </c>
      <c r="M206" s="206" t="s">
        <v>843</v>
      </c>
      <c r="N206" s="2" t="s">
        <v>844</v>
      </c>
      <c r="Q206" s="212" t="str">
        <f t="shared" si="18"/>
        <v/>
      </c>
      <c r="R206" s="212" t="str">
        <f t="shared" si="18"/>
        <v/>
      </c>
      <c r="S206" s="212" t="str">
        <f t="shared" si="18"/>
        <v/>
      </c>
      <c r="T206" s="212" t="str">
        <f t="shared" si="19"/>
        <v/>
      </c>
      <c r="U206" s="212" t="str">
        <f t="shared" si="20"/>
        <v/>
      </c>
      <c r="V206" s="212" t="str">
        <f t="shared" si="21"/>
        <v>-</v>
      </c>
      <c r="W206" s="2" t="str">
        <f t="shared" si="22"/>
        <v>Unemployment-insurance</v>
      </c>
      <c r="X206" s="2" t="str">
        <f t="shared" si="23"/>
        <v>8331151</v>
      </c>
      <c r="Y206" s="2" t="str">
        <f t="shared" si="23"/>
        <v>Unemployment-insur./ Korean</v>
      </c>
    </row>
    <row r="207" spans="8:25" ht="20.100000000000001" customHeight="1">
      <c r="H207" s="211"/>
      <c r="I207" s="15"/>
      <c r="K207" s="2"/>
      <c r="L207" s="211" t="s">
        <v>511</v>
      </c>
      <c r="M207" s="206" t="s">
        <v>845</v>
      </c>
      <c r="N207" s="2" t="s">
        <v>846</v>
      </c>
      <c r="Q207" s="212" t="str">
        <f t="shared" si="18"/>
        <v/>
      </c>
      <c r="R207" s="212" t="str">
        <f t="shared" si="18"/>
        <v/>
      </c>
      <c r="S207" s="212" t="str">
        <f t="shared" si="18"/>
        <v/>
      </c>
      <c r="T207" s="212" t="str">
        <f t="shared" si="19"/>
        <v/>
      </c>
      <c r="U207" s="212" t="str">
        <f t="shared" si="20"/>
        <v/>
      </c>
      <c r="V207" s="212" t="str">
        <f t="shared" si="21"/>
        <v>-</v>
      </c>
      <c r="W207" s="2" t="str">
        <f t="shared" si="22"/>
        <v>Unemployment-insurance</v>
      </c>
      <c r="X207" s="2" t="str">
        <f t="shared" si="23"/>
        <v>8331152</v>
      </c>
      <c r="Y207" s="2" t="str">
        <f t="shared" si="23"/>
        <v>Unemployment-insur./ Foreigner</v>
      </c>
    </row>
    <row r="208" spans="8:25" ht="20.100000000000001" customHeight="1">
      <c r="H208" s="211"/>
      <c r="I208" s="211"/>
      <c r="K208" s="2"/>
      <c r="L208" s="211" t="s">
        <v>511</v>
      </c>
      <c r="M208" s="206" t="s">
        <v>847</v>
      </c>
      <c r="N208" s="2" t="s">
        <v>848</v>
      </c>
      <c r="Q208" s="212" t="str">
        <f t="shared" si="18"/>
        <v/>
      </c>
      <c r="R208" s="212" t="str">
        <f t="shared" si="18"/>
        <v/>
      </c>
      <c r="S208" s="212" t="str">
        <f t="shared" si="18"/>
        <v/>
      </c>
      <c r="T208" s="212" t="str">
        <f t="shared" si="19"/>
        <v/>
      </c>
      <c r="U208" s="212" t="str">
        <f t="shared" si="20"/>
        <v/>
      </c>
      <c r="V208" s="212" t="str">
        <f t="shared" si="21"/>
        <v>-</v>
      </c>
      <c r="W208" s="2" t="str">
        <f t="shared" si="22"/>
        <v>Unemployment-insurance</v>
      </c>
      <c r="X208" s="2" t="str">
        <f t="shared" si="23"/>
        <v>8331153</v>
      </c>
      <c r="Y208" s="2" t="str">
        <f t="shared" si="23"/>
        <v>Unemployment-insur./ Local</v>
      </c>
    </row>
    <row r="209" spans="8:25" ht="20.100000000000001" customHeight="1">
      <c r="H209" s="211"/>
      <c r="I209" s="15"/>
      <c r="K209" s="211"/>
      <c r="L209" s="211" t="s">
        <v>518</v>
      </c>
      <c r="M209" s="206" t="s">
        <v>849</v>
      </c>
      <c r="N209" s="2" t="s">
        <v>850</v>
      </c>
      <c r="Q209" s="212" t="str">
        <f t="shared" si="18"/>
        <v/>
      </c>
      <c r="R209" s="212" t="str">
        <f t="shared" si="18"/>
        <v/>
      </c>
      <c r="S209" s="212" t="str">
        <f t="shared" si="18"/>
        <v/>
      </c>
      <c r="T209" s="212" t="str">
        <f t="shared" si="19"/>
        <v/>
      </c>
      <c r="U209" s="212" t="str">
        <f t="shared" si="20"/>
        <v/>
      </c>
      <c r="V209" s="212" t="str">
        <f t="shared" si="21"/>
        <v>-</v>
      </c>
      <c r="W209" s="2" t="str">
        <f t="shared" si="22"/>
        <v>Occupational-insurance</v>
      </c>
      <c r="X209" s="2" t="str">
        <f t="shared" si="23"/>
        <v>8331171</v>
      </c>
      <c r="Y209" s="2" t="str">
        <f t="shared" si="23"/>
        <v>Occupational./ Korean</v>
      </c>
    </row>
    <row r="210" spans="8:25" ht="20.100000000000001" customHeight="1">
      <c r="H210" s="211"/>
      <c r="I210" s="211"/>
      <c r="K210" s="2"/>
      <c r="L210" s="211" t="s">
        <v>518</v>
      </c>
      <c r="M210" s="206" t="s">
        <v>851</v>
      </c>
      <c r="N210" s="2" t="s">
        <v>852</v>
      </c>
      <c r="Q210" s="212" t="str">
        <f t="shared" si="18"/>
        <v/>
      </c>
      <c r="R210" s="212" t="str">
        <f t="shared" si="18"/>
        <v/>
      </c>
      <c r="S210" s="212" t="str">
        <f t="shared" si="18"/>
        <v/>
      </c>
      <c r="T210" s="212" t="str">
        <f t="shared" si="19"/>
        <v/>
      </c>
      <c r="U210" s="212" t="str">
        <f t="shared" si="20"/>
        <v/>
      </c>
      <c r="V210" s="212" t="str">
        <f t="shared" si="21"/>
        <v>-</v>
      </c>
      <c r="W210" s="2" t="str">
        <f t="shared" si="22"/>
        <v>Occupational-insurance</v>
      </c>
      <c r="X210" s="2" t="str">
        <f t="shared" si="23"/>
        <v>8331172</v>
      </c>
      <c r="Y210" s="2" t="str">
        <f t="shared" si="23"/>
        <v>Occupational./ Foreigner</v>
      </c>
    </row>
    <row r="211" spans="8:25" ht="20.100000000000001" customHeight="1">
      <c r="H211" s="211"/>
      <c r="I211" s="211"/>
      <c r="K211" s="2"/>
      <c r="L211" s="211" t="s">
        <v>518</v>
      </c>
      <c r="M211" s="206" t="s">
        <v>853</v>
      </c>
      <c r="N211" s="2" t="s">
        <v>854</v>
      </c>
      <c r="Q211" s="212" t="str">
        <f t="shared" si="18"/>
        <v/>
      </c>
      <c r="R211" s="212" t="str">
        <f t="shared" si="18"/>
        <v/>
      </c>
      <c r="S211" s="212" t="str">
        <f t="shared" si="18"/>
        <v/>
      </c>
      <c r="T211" s="212" t="str">
        <f t="shared" si="19"/>
        <v/>
      </c>
      <c r="U211" s="212" t="str">
        <f t="shared" si="20"/>
        <v/>
      </c>
      <c r="V211" s="212" t="str">
        <f t="shared" si="21"/>
        <v>-</v>
      </c>
      <c r="W211" s="2" t="str">
        <f t="shared" si="22"/>
        <v>Occupational-insurance</v>
      </c>
      <c r="X211" s="2" t="str">
        <f t="shared" si="23"/>
        <v>8331173</v>
      </c>
      <c r="Y211" s="2" t="str">
        <f t="shared" si="23"/>
        <v>Occupational./ Local</v>
      </c>
    </row>
    <row r="212" spans="8:25" ht="20.100000000000001" customHeight="1">
      <c r="H212" s="211"/>
      <c r="I212" s="15"/>
      <c r="K212" s="211"/>
      <c r="L212" s="211" t="s">
        <v>525</v>
      </c>
      <c r="M212" s="206" t="s">
        <v>855</v>
      </c>
      <c r="N212" s="2" t="s">
        <v>856</v>
      </c>
      <c r="Q212" s="212" t="str">
        <f t="shared" si="18"/>
        <v/>
      </c>
      <c r="R212" s="212" t="str">
        <f t="shared" si="18"/>
        <v/>
      </c>
      <c r="S212" s="212" t="str">
        <f t="shared" si="18"/>
        <v/>
      </c>
      <c r="T212" s="212" t="str">
        <f t="shared" si="19"/>
        <v/>
      </c>
      <c r="U212" s="212" t="str">
        <f t="shared" si="20"/>
        <v/>
      </c>
      <c r="V212" s="212" t="str">
        <f t="shared" si="21"/>
        <v>-</v>
      </c>
      <c r="W212" s="2" t="str">
        <f t="shared" si="22"/>
        <v>Housing support</v>
      </c>
      <c r="X212" s="2" t="str">
        <f t="shared" si="23"/>
        <v>8331211</v>
      </c>
      <c r="Y212" s="2" t="str">
        <f t="shared" si="23"/>
        <v>Housing support / Korean</v>
      </c>
    </row>
    <row r="213" spans="8:25" ht="20.100000000000001" customHeight="1">
      <c r="H213" s="211"/>
      <c r="I213" s="211"/>
      <c r="K213" s="2"/>
      <c r="L213" s="211" t="s">
        <v>525</v>
      </c>
      <c r="M213" s="206" t="s">
        <v>857</v>
      </c>
      <c r="N213" s="2" t="s">
        <v>858</v>
      </c>
      <c r="Q213" s="212" t="str">
        <f t="shared" si="18"/>
        <v/>
      </c>
      <c r="R213" s="212" t="str">
        <f t="shared" si="18"/>
        <v/>
      </c>
      <c r="S213" s="212" t="str">
        <f t="shared" si="18"/>
        <v/>
      </c>
      <c r="T213" s="212" t="str">
        <f t="shared" si="19"/>
        <v/>
      </c>
      <c r="U213" s="212" t="str">
        <f t="shared" si="20"/>
        <v/>
      </c>
      <c r="V213" s="212" t="str">
        <f t="shared" si="21"/>
        <v>-</v>
      </c>
      <c r="W213" s="2" t="str">
        <f t="shared" si="22"/>
        <v>Housing support</v>
      </c>
      <c r="X213" s="2" t="str">
        <f t="shared" si="23"/>
        <v>8331212</v>
      </c>
      <c r="Y213" s="2" t="str">
        <f t="shared" si="23"/>
        <v>Housing support / Foreigner</v>
      </c>
    </row>
    <row r="214" spans="8:25" ht="20.100000000000001" customHeight="1">
      <c r="H214" s="211"/>
      <c r="I214" s="211"/>
      <c r="K214" s="2"/>
      <c r="L214" s="211" t="s">
        <v>525</v>
      </c>
      <c r="M214" s="206" t="s">
        <v>859</v>
      </c>
      <c r="N214" s="2" t="s">
        <v>860</v>
      </c>
      <c r="Q214" s="212" t="str">
        <f t="shared" si="18"/>
        <v/>
      </c>
      <c r="R214" s="212" t="str">
        <f t="shared" si="18"/>
        <v/>
      </c>
      <c r="S214" s="212" t="str">
        <f t="shared" si="18"/>
        <v/>
      </c>
      <c r="T214" s="212" t="str">
        <f t="shared" si="19"/>
        <v/>
      </c>
      <c r="U214" s="212" t="str">
        <f t="shared" si="20"/>
        <v/>
      </c>
      <c r="V214" s="212" t="str">
        <f t="shared" si="21"/>
        <v>-</v>
      </c>
      <c r="W214" s="2" t="str">
        <f t="shared" si="22"/>
        <v>Housing support</v>
      </c>
      <c r="X214" s="2" t="str">
        <f t="shared" si="23"/>
        <v>8331213</v>
      </c>
      <c r="Y214" s="2" t="str">
        <f t="shared" si="23"/>
        <v>Housing support / Local</v>
      </c>
    </row>
    <row r="215" spans="8:25" ht="20.100000000000001" customHeight="1">
      <c r="H215" s="211"/>
      <c r="I215" s="210" t="s">
        <v>532</v>
      </c>
      <c r="K215" s="2"/>
      <c r="L215" s="211"/>
      <c r="Q215" s="212" t="str">
        <f t="shared" si="18"/>
        <v/>
      </c>
      <c r="R215" s="212" t="str">
        <f t="shared" si="18"/>
        <v/>
      </c>
      <c r="S215" s="212" t="str">
        <f t="shared" si="18"/>
        <v>■</v>
      </c>
      <c r="T215" s="212" t="str">
        <f t="shared" si="19"/>
        <v/>
      </c>
      <c r="U215" s="212" t="str">
        <f t="shared" si="20"/>
        <v/>
      </c>
      <c r="V215" s="212" t="str">
        <f t="shared" si="21"/>
        <v/>
      </c>
      <c r="W215" s="15" t="str">
        <f t="shared" si="22"/>
        <v>Other Welfare</v>
      </c>
      <c r="X215" s="2" t="str">
        <f t="shared" si="23"/>
        <v/>
      </c>
      <c r="Y215" s="2" t="str">
        <f t="shared" si="23"/>
        <v/>
      </c>
    </row>
    <row r="216" spans="8:25" ht="20.100000000000001" customHeight="1">
      <c r="H216" s="211"/>
      <c r="I216" s="15"/>
      <c r="K216" s="211"/>
      <c r="L216" s="211" t="s">
        <v>533</v>
      </c>
      <c r="M216" s="206" t="s">
        <v>861</v>
      </c>
      <c r="N216" s="2" t="s">
        <v>862</v>
      </c>
      <c r="Q216" s="212" t="str">
        <f t="shared" si="18"/>
        <v/>
      </c>
      <c r="R216" s="212" t="str">
        <f t="shared" si="18"/>
        <v/>
      </c>
      <c r="S216" s="212" t="str">
        <f t="shared" si="18"/>
        <v/>
      </c>
      <c r="T216" s="212" t="str">
        <f t="shared" si="19"/>
        <v/>
      </c>
      <c r="U216" s="212" t="str">
        <f t="shared" si="20"/>
        <v/>
      </c>
      <c r="V216" s="212" t="str">
        <f t="shared" si="21"/>
        <v>-</v>
      </c>
      <c r="W216" s="2" t="str">
        <f t="shared" si="22"/>
        <v>Meal (Canteen)</v>
      </c>
      <c r="X216" s="2" t="str">
        <f t="shared" si="23"/>
        <v>8338111</v>
      </c>
      <c r="Y216" s="2" t="str">
        <f t="shared" si="23"/>
        <v>Meal (Canteen) / Korean</v>
      </c>
    </row>
    <row r="217" spans="8:25" ht="20.100000000000001" customHeight="1">
      <c r="H217" s="211"/>
      <c r="I217" s="211"/>
      <c r="K217" s="2"/>
      <c r="L217" s="211" t="s">
        <v>533</v>
      </c>
      <c r="M217" s="206" t="s">
        <v>863</v>
      </c>
      <c r="N217" s="2" t="s">
        <v>864</v>
      </c>
      <c r="Q217" s="212" t="str">
        <f t="shared" si="18"/>
        <v/>
      </c>
      <c r="R217" s="212" t="str">
        <f t="shared" si="18"/>
        <v/>
      </c>
      <c r="S217" s="212" t="str">
        <f t="shared" si="18"/>
        <v/>
      </c>
      <c r="T217" s="212" t="str">
        <f t="shared" si="19"/>
        <v/>
      </c>
      <c r="U217" s="212" t="str">
        <f t="shared" si="20"/>
        <v/>
      </c>
      <c r="V217" s="212" t="str">
        <f t="shared" si="21"/>
        <v>-</v>
      </c>
      <c r="W217" s="2" t="str">
        <f t="shared" si="22"/>
        <v>Meal (Canteen)</v>
      </c>
      <c r="X217" s="2" t="str">
        <f t="shared" si="23"/>
        <v>8338112</v>
      </c>
      <c r="Y217" s="2" t="str">
        <f t="shared" si="23"/>
        <v>Meal (Canteen) / Foreigner</v>
      </c>
    </row>
    <row r="218" spans="8:25" ht="20.100000000000001" customHeight="1">
      <c r="H218" s="211"/>
      <c r="I218" s="211"/>
      <c r="K218" s="2"/>
      <c r="L218" s="211" t="s">
        <v>533</v>
      </c>
      <c r="M218" s="206" t="s">
        <v>865</v>
      </c>
      <c r="N218" s="2" t="s">
        <v>866</v>
      </c>
      <c r="Q218" s="212" t="str">
        <f t="shared" si="18"/>
        <v/>
      </c>
      <c r="R218" s="212" t="str">
        <f t="shared" si="18"/>
        <v/>
      </c>
      <c r="S218" s="212" t="str">
        <f t="shared" si="18"/>
        <v/>
      </c>
      <c r="T218" s="212" t="str">
        <f t="shared" si="19"/>
        <v/>
      </c>
      <c r="U218" s="212" t="str">
        <f t="shared" si="20"/>
        <v/>
      </c>
      <c r="V218" s="212" t="str">
        <f t="shared" si="21"/>
        <v>-</v>
      </c>
      <c r="W218" s="2" t="str">
        <f t="shared" si="22"/>
        <v>Meal (Canteen)</v>
      </c>
      <c r="X218" s="2" t="str">
        <f t="shared" si="23"/>
        <v>8338113</v>
      </c>
      <c r="Y218" s="2" t="str">
        <f t="shared" si="23"/>
        <v>Meal (Canteen) / Local</v>
      </c>
    </row>
    <row r="219" spans="8:25" ht="20.100000000000001" customHeight="1">
      <c r="H219" s="211"/>
      <c r="I219" s="15"/>
      <c r="K219" s="211"/>
      <c r="L219" s="211" t="s">
        <v>540</v>
      </c>
      <c r="M219" s="206" t="s">
        <v>867</v>
      </c>
      <c r="N219" s="2" t="s">
        <v>868</v>
      </c>
      <c r="Q219" s="212" t="str">
        <f t="shared" si="18"/>
        <v/>
      </c>
      <c r="R219" s="212" t="str">
        <f t="shared" si="18"/>
        <v/>
      </c>
      <c r="S219" s="212" t="str">
        <f t="shared" si="18"/>
        <v/>
      </c>
      <c r="T219" s="212" t="str">
        <f t="shared" si="19"/>
        <v/>
      </c>
      <c r="U219" s="212" t="str">
        <f t="shared" si="20"/>
        <v/>
      </c>
      <c r="V219" s="212" t="str">
        <f t="shared" si="21"/>
        <v>-</v>
      </c>
      <c r="W219" s="2" t="str">
        <f t="shared" si="22"/>
        <v>Dormitory</v>
      </c>
      <c r="X219" s="2" t="str">
        <f t="shared" si="23"/>
        <v>8338131</v>
      </c>
      <c r="Y219" s="2" t="str">
        <f t="shared" si="23"/>
        <v>Dormitory / Korean</v>
      </c>
    </row>
    <row r="220" spans="8:25" ht="20.100000000000001" customHeight="1">
      <c r="H220" s="211"/>
      <c r="I220" s="211"/>
      <c r="K220" s="2"/>
      <c r="L220" s="211" t="s">
        <v>540</v>
      </c>
      <c r="M220" s="206" t="s">
        <v>869</v>
      </c>
      <c r="N220" s="2" t="s">
        <v>870</v>
      </c>
      <c r="Q220" s="212" t="str">
        <f t="shared" si="18"/>
        <v/>
      </c>
      <c r="R220" s="212" t="str">
        <f t="shared" si="18"/>
        <v/>
      </c>
      <c r="S220" s="212" t="str">
        <f t="shared" si="18"/>
        <v/>
      </c>
      <c r="T220" s="212" t="str">
        <f t="shared" si="19"/>
        <v/>
      </c>
      <c r="U220" s="212" t="str">
        <f t="shared" si="20"/>
        <v/>
      </c>
      <c r="V220" s="212" t="str">
        <f t="shared" si="21"/>
        <v>-</v>
      </c>
      <c r="W220" s="2" t="str">
        <f t="shared" si="22"/>
        <v>Dormitory</v>
      </c>
      <c r="X220" s="2" t="str">
        <f t="shared" si="23"/>
        <v>8338132</v>
      </c>
      <c r="Y220" s="2" t="str">
        <f t="shared" si="23"/>
        <v>Dormitory / Foreigner</v>
      </c>
    </row>
    <row r="221" spans="8:25" ht="20.100000000000001" customHeight="1">
      <c r="H221" s="211"/>
      <c r="I221" s="211"/>
      <c r="K221" s="2"/>
      <c r="L221" s="211" t="s">
        <v>540</v>
      </c>
      <c r="M221" s="206" t="s">
        <v>871</v>
      </c>
      <c r="N221" s="2" t="s">
        <v>872</v>
      </c>
      <c r="Q221" s="212" t="str">
        <f t="shared" si="18"/>
        <v/>
      </c>
      <c r="R221" s="212" t="str">
        <f t="shared" si="18"/>
        <v/>
      </c>
      <c r="S221" s="212" t="str">
        <f t="shared" si="18"/>
        <v/>
      </c>
      <c r="T221" s="212" t="str">
        <f t="shared" si="19"/>
        <v/>
      </c>
      <c r="U221" s="212" t="str">
        <f t="shared" si="20"/>
        <v/>
      </c>
      <c r="V221" s="212" t="str">
        <f t="shared" si="21"/>
        <v>-</v>
      </c>
      <c r="W221" s="2" t="str">
        <f t="shared" si="22"/>
        <v>Dormitory</v>
      </c>
      <c r="X221" s="2" t="str">
        <f t="shared" si="23"/>
        <v>8338133</v>
      </c>
      <c r="Y221" s="2" t="str">
        <f t="shared" si="23"/>
        <v>Dormitory / Local</v>
      </c>
    </row>
    <row r="222" spans="8:25" ht="20.100000000000001" customHeight="1">
      <c r="H222" s="211"/>
      <c r="I222" s="15"/>
      <c r="K222" s="211"/>
      <c r="L222" s="211" t="s">
        <v>547</v>
      </c>
      <c r="M222" s="206" t="s">
        <v>873</v>
      </c>
      <c r="N222" s="2" t="s">
        <v>874</v>
      </c>
      <c r="Q222" s="212" t="str">
        <f t="shared" si="18"/>
        <v/>
      </c>
      <c r="R222" s="212" t="str">
        <f t="shared" si="18"/>
        <v/>
      </c>
      <c r="S222" s="212" t="str">
        <f t="shared" si="18"/>
        <v/>
      </c>
      <c r="T222" s="212" t="str">
        <f t="shared" si="19"/>
        <v/>
      </c>
      <c r="U222" s="212" t="str">
        <f t="shared" si="20"/>
        <v/>
      </c>
      <c r="V222" s="212" t="str">
        <f t="shared" si="21"/>
        <v>-</v>
      </c>
      <c r="W222" s="2" t="str">
        <f t="shared" si="22"/>
        <v>Get-together</v>
      </c>
      <c r="X222" s="2" t="str">
        <f t="shared" si="23"/>
        <v>8338151</v>
      </c>
      <c r="Y222" s="2" t="str">
        <f t="shared" si="23"/>
        <v>Get-together / Korean</v>
      </c>
    </row>
    <row r="223" spans="8:25" ht="20.100000000000001" customHeight="1">
      <c r="H223" s="211"/>
      <c r="I223" s="211"/>
      <c r="K223" s="2"/>
      <c r="L223" s="211" t="s">
        <v>547</v>
      </c>
      <c r="M223" s="206" t="s">
        <v>875</v>
      </c>
      <c r="N223" s="2" t="s">
        <v>876</v>
      </c>
      <c r="Q223" s="212" t="str">
        <f t="shared" si="18"/>
        <v/>
      </c>
      <c r="R223" s="212" t="str">
        <f t="shared" si="18"/>
        <v/>
      </c>
      <c r="S223" s="212" t="str">
        <f t="shared" si="18"/>
        <v/>
      </c>
      <c r="T223" s="212" t="str">
        <f t="shared" si="19"/>
        <v/>
      </c>
      <c r="U223" s="212" t="str">
        <f t="shared" si="20"/>
        <v/>
      </c>
      <c r="V223" s="212" t="str">
        <f t="shared" si="21"/>
        <v>-</v>
      </c>
      <c r="W223" s="2" t="str">
        <f t="shared" si="22"/>
        <v>Get-together</v>
      </c>
      <c r="X223" s="2" t="str">
        <f t="shared" si="23"/>
        <v>8338152</v>
      </c>
      <c r="Y223" s="2" t="str">
        <f t="shared" si="23"/>
        <v>Get-together / Foreigner</v>
      </c>
    </row>
    <row r="224" spans="8:25" ht="20.100000000000001" customHeight="1">
      <c r="H224" s="211"/>
      <c r="I224" s="211"/>
      <c r="K224" s="2"/>
      <c r="L224" s="211" t="s">
        <v>547</v>
      </c>
      <c r="M224" s="206" t="s">
        <v>877</v>
      </c>
      <c r="N224" s="2" t="s">
        <v>878</v>
      </c>
      <c r="Q224" s="212" t="str">
        <f t="shared" si="18"/>
        <v/>
      </c>
      <c r="R224" s="212" t="str">
        <f t="shared" si="18"/>
        <v/>
      </c>
      <c r="S224" s="212" t="str">
        <f t="shared" si="18"/>
        <v/>
      </c>
      <c r="T224" s="212" t="str">
        <f t="shared" si="19"/>
        <v/>
      </c>
      <c r="U224" s="212" t="str">
        <f t="shared" si="20"/>
        <v/>
      </c>
      <c r="V224" s="212" t="str">
        <f t="shared" si="21"/>
        <v>-</v>
      </c>
      <c r="W224" s="2" t="str">
        <f t="shared" si="22"/>
        <v>Get-together</v>
      </c>
      <c r="X224" s="2" t="str">
        <f t="shared" si="23"/>
        <v>8338153</v>
      </c>
      <c r="Y224" s="2" t="str">
        <f t="shared" si="23"/>
        <v>Get-together / Local</v>
      </c>
    </row>
    <row r="225" spans="8:25" ht="20.100000000000001" customHeight="1">
      <c r="H225" s="211"/>
      <c r="I225" s="211"/>
      <c r="K225" s="2"/>
      <c r="L225" s="2" t="s">
        <v>554</v>
      </c>
      <c r="M225" s="206" t="s">
        <v>879</v>
      </c>
      <c r="N225" s="2" t="s">
        <v>880</v>
      </c>
      <c r="Q225" s="212" t="str">
        <f t="shared" si="18"/>
        <v/>
      </c>
      <c r="R225" s="212" t="str">
        <f t="shared" si="18"/>
        <v/>
      </c>
      <c r="S225" s="212" t="str">
        <f t="shared" si="18"/>
        <v/>
      </c>
      <c r="T225" s="212" t="str">
        <f t="shared" si="19"/>
        <v/>
      </c>
      <c r="U225" s="212" t="str">
        <f t="shared" si="20"/>
        <v/>
      </c>
      <c r="V225" s="212" t="str">
        <f t="shared" si="21"/>
        <v>-</v>
      </c>
      <c r="W225" s="2" t="str">
        <f t="shared" si="22"/>
        <v>Beverage</v>
      </c>
      <c r="X225" s="2" t="str">
        <f t="shared" si="23"/>
        <v>8338171</v>
      </c>
      <c r="Y225" s="2" t="str">
        <f t="shared" si="23"/>
        <v>Beverage / Korean</v>
      </c>
    </row>
    <row r="226" spans="8:25" ht="20.100000000000001" customHeight="1">
      <c r="H226" s="211"/>
      <c r="I226" s="211"/>
      <c r="K226" s="2"/>
      <c r="L226" s="2" t="s">
        <v>554</v>
      </c>
      <c r="M226" s="206" t="s">
        <v>881</v>
      </c>
      <c r="N226" s="2" t="s">
        <v>882</v>
      </c>
      <c r="Q226" s="212" t="str">
        <f t="shared" si="18"/>
        <v/>
      </c>
      <c r="R226" s="212" t="str">
        <f t="shared" si="18"/>
        <v/>
      </c>
      <c r="S226" s="212" t="str">
        <f t="shared" si="18"/>
        <v/>
      </c>
      <c r="T226" s="212" t="str">
        <f t="shared" si="19"/>
        <v/>
      </c>
      <c r="U226" s="212" t="str">
        <f t="shared" si="20"/>
        <v/>
      </c>
      <c r="V226" s="212" t="str">
        <f t="shared" si="21"/>
        <v>-</v>
      </c>
      <c r="W226" s="2" t="str">
        <f t="shared" si="22"/>
        <v>Beverage</v>
      </c>
      <c r="X226" s="2" t="str">
        <f t="shared" si="23"/>
        <v>8338172</v>
      </c>
      <c r="Y226" s="2" t="str">
        <f t="shared" si="23"/>
        <v>Beverage / Foreigner</v>
      </c>
    </row>
    <row r="227" spans="8:25" ht="20.100000000000001" customHeight="1">
      <c r="H227" s="211"/>
      <c r="I227" s="211"/>
      <c r="K227" s="2"/>
      <c r="L227" s="2" t="s">
        <v>554</v>
      </c>
      <c r="M227" s="206" t="s">
        <v>883</v>
      </c>
      <c r="N227" s="2" t="s">
        <v>884</v>
      </c>
      <c r="Q227" s="212" t="str">
        <f t="shared" si="18"/>
        <v/>
      </c>
      <c r="R227" s="212" t="str">
        <f t="shared" si="18"/>
        <v/>
      </c>
      <c r="S227" s="212" t="str">
        <f t="shared" si="18"/>
        <v/>
      </c>
      <c r="T227" s="212" t="str">
        <f t="shared" si="19"/>
        <v/>
      </c>
      <c r="U227" s="212" t="str">
        <f t="shared" si="20"/>
        <v/>
      </c>
      <c r="V227" s="212" t="str">
        <f t="shared" si="21"/>
        <v>-</v>
      </c>
      <c r="W227" s="2" t="str">
        <f t="shared" si="22"/>
        <v>Beverage</v>
      </c>
      <c r="X227" s="2" t="str">
        <f t="shared" si="23"/>
        <v>8338173</v>
      </c>
      <c r="Y227" s="2" t="str">
        <f t="shared" si="23"/>
        <v>Beverage / Local</v>
      </c>
    </row>
    <row r="228" spans="8:25" ht="20.100000000000001" customHeight="1">
      <c r="H228" s="211"/>
      <c r="I228" s="211"/>
      <c r="K228" s="2"/>
      <c r="L228" s="211" t="s">
        <v>561</v>
      </c>
      <c r="M228" s="206" t="s">
        <v>885</v>
      </c>
      <c r="N228" s="2" t="s">
        <v>886</v>
      </c>
      <c r="Q228" s="212" t="str">
        <f t="shared" si="18"/>
        <v/>
      </c>
      <c r="R228" s="212" t="str">
        <f t="shared" si="18"/>
        <v/>
      </c>
      <c r="S228" s="212" t="str">
        <f t="shared" si="18"/>
        <v/>
      </c>
      <c r="T228" s="212" t="str">
        <f t="shared" si="19"/>
        <v/>
      </c>
      <c r="U228" s="212" t="str">
        <f t="shared" si="20"/>
        <v/>
      </c>
      <c r="V228" s="212" t="str">
        <f t="shared" si="21"/>
        <v>-</v>
      </c>
      <c r="W228" s="2" t="str">
        <f t="shared" si="22"/>
        <v>Congratulations &amp; condolences</v>
      </c>
      <c r="X228" s="2" t="str">
        <f t="shared" si="23"/>
        <v>8338190</v>
      </c>
      <c r="Y228" s="2" t="str">
        <f t="shared" si="23"/>
        <v>Congratulations &amp; condolences</v>
      </c>
    </row>
    <row r="229" spans="8:25" ht="20.100000000000001" customHeight="1">
      <c r="H229" s="211"/>
      <c r="I229" s="210"/>
      <c r="K229" s="211"/>
      <c r="L229" s="211" t="s">
        <v>564</v>
      </c>
      <c r="M229" s="206" t="s">
        <v>887</v>
      </c>
      <c r="N229" s="2" t="s">
        <v>888</v>
      </c>
      <c r="Q229" s="212" t="str">
        <f t="shared" si="18"/>
        <v/>
      </c>
      <c r="R229" s="212" t="str">
        <f t="shared" si="18"/>
        <v/>
      </c>
      <c r="S229" s="212" t="str">
        <f t="shared" si="18"/>
        <v/>
      </c>
      <c r="T229" s="212" t="str">
        <f t="shared" si="19"/>
        <v/>
      </c>
      <c r="U229" s="212" t="str">
        <f t="shared" si="20"/>
        <v/>
      </c>
      <c r="V229" s="212" t="str">
        <f t="shared" si="21"/>
        <v>-</v>
      </c>
      <c r="W229" s="2" t="str">
        <f t="shared" si="22"/>
        <v>Medical service</v>
      </c>
      <c r="X229" s="2" t="str">
        <f t="shared" si="23"/>
        <v>8338211</v>
      </c>
      <c r="Y229" s="2" t="str">
        <f t="shared" si="23"/>
        <v>Medical service / Korean</v>
      </c>
    </row>
    <row r="230" spans="8:25" ht="20.100000000000001" customHeight="1">
      <c r="H230" s="211"/>
      <c r="I230" s="211"/>
      <c r="K230" s="2"/>
      <c r="L230" s="211" t="s">
        <v>564</v>
      </c>
      <c r="M230" s="206" t="s">
        <v>889</v>
      </c>
      <c r="N230" s="2" t="s">
        <v>890</v>
      </c>
      <c r="Q230" s="212" t="str">
        <f t="shared" si="18"/>
        <v/>
      </c>
      <c r="R230" s="212" t="str">
        <f t="shared" si="18"/>
        <v/>
      </c>
      <c r="S230" s="212" t="str">
        <f t="shared" si="18"/>
        <v/>
      </c>
      <c r="T230" s="212" t="str">
        <f t="shared" si="19"/>
        <v/>
      </c>
      <c r="U230" s="212" t="str">
        <f t="shared" si="20"/>
        <v/>
      </c>
      <c r="V230" s="212" t="str">
        <f t="shared" si="21"/>
        <v>-</v>
      </c>
      <c r="W230" s="2" t="str">
        <f t="shared" si="22"/>
        <v>Medical service</v>
      </c>
      <c r="X230" s="2" t="str">
        <f t="shared" si="23"/>
        <v>8338212</v>
      </c>
      <c r="Y230" s="2" t="str">
        <f t="shared" si="23"/>
        <v>Medical service / Foreigner</v>
      </c>
    </row>
    <row r="231" spans="8:25" ht="20.100000000000001" customHeight="1">
      <c r="H231" s="211"/>
      <c r="I231" s="211"/>
      <c r="K231" s="211"/>
      <c r="L231" s="211" t="s">
        <v>564</v>
      </c>
      <c r="M231" s="206" t="s">
        <v>891</v>
      </c>
      <c r="N231" s="2" t="s">
        <v>892</v>
      </c>
      <c r="Q231" s="212" t="str">
        <f t="shared" si="18"/>
        <v/>
      </c>
      <c r="R231" s="212" t="str">
        <f t="shared" si="18"/>
        <v/>
      </c>
      <c r="S231" s="212" t="str">
        <f t="shared" si="18"/>
        <v/>
      </c>
      <c r="T231" s="212" t="str">
        <f t="shared" si="19"/>
        <v/>
      </c>
      <c r="U231" s="212" t="str">
        <f t="shared" si="20"/>
        <v/>
      </c>
      <c r="V231" s="212" t="str">
        <f t="shared" si="21"/>
        <v>-</v>
      </c>
      <c r="W231" s="2" t="str">
        <f t="shared" si="22"/>
        <v>Medical service</v>
      </c>
      <c r="X231" s="2" t="str">
        <f t="shared" si="23"/>
        <v>8338213</v>
      </c>
      <c r="Y231" s="2" t="str">
        <f t="shared" si="23"/>
        <v>Medical service / Local</v>
      </c>
    </row>
    <row r="232" spans="8:25" ht="20.100000000000001" customHeight="1">
      <c r="I232" s="210"/>
      <c r="L232" s="2" t="s">
        <v>571</v>
      </c>
      <c r="M232" s="206" t="s">
        <v>893</v>
      </c>
      <c r="N232" s="2" t="s">
        <v>894</v>
      </c>
      <c r="Q232" s="212" t="str">
        <f t="shared" si="18"/>
        <v/>
      </c>
      <c r="R232" s="212" t="str">
        <f t="shared" si="18"/>
        <v/>
      </c>
      <c r="S232" s="212" t="str">
        <f t="shared" si="18"/>
        <v/>
      </c>
      <c r="T232" s="212" t="str">
        <f t="shared" si="19"/>
        <v/>
      </c>
      <c r="U232" s="212" t="str">
        <f t="shared" si="20"/>
        <v/>
      </c>
      <c r="V232" s="212" t="str">
        <f t="shared" si="21"/>
        <v>-</v>
      </c>
      <c r="W232" s="2" t="str">
        <f t="shared" si="22"/>
        <v>Trade union fee</v>
      </c>
      <c r="X232" s="2" t="str">
        <f t="shared" si="23"/>
        <v>8338231</v>
      </c>
      <c r="Y232" s="2" t="str">
        <f t="shared" si="23"/>
        <v>Trade union fee</v>
      </c>
    </row>
    <row r="233" spans="8:25" ht="20.100000000000001" customHeight="1">
      <c r="H233" s="210"/>
      <c r="L233" s="2" t="s">
        <v>574</v>
      </c>
      <c r="M233" s="206" t="s">
        <v>895</v>
      </c>
      <c r="N233" s="2" t="s">
        <v>896</v>
      </c>
      <c r="Q233" s="212" t="str">
        <f t="shared" si="18"/>
        <v/>
      </c>
      <c r="R233" s="212" t="str">
        <f t="shared" si="18"/>
        <v/>
      </c>
      <c r="S233" s="212" t="str">
        <f t="shared" si="18"/>
        <v/>
      </c>
      <c r="T233" s="212" t="str">
        <f t="shared" si="19"/>
        <v/>
      </c>
      <c r="U233" s="212" t="str">
        <f t="shared" si="20"/>
        <v/>
      </c>
      <c r="V233" s="212" t="str">
        <f t="shared" si="21"/>
        <v>-</v>
      </c>
      <c r="W233" s="2" t="str">
        <f t="shared" si="22"/>
        <v>Trade union support</v>
      </c>
      <c r="X233" s="2" t="str">
        <f t="shared" si="23"/>
        <v>8338232</v>
      </c>
      <c r="Y233" s="2" t="str">
        <f t="shared" si="23"/>
        <v>Trade union support</v>
      </c>
    </row>
    <row r="234" spans="8:25" ht="20.100000000000001" customHeight="1">
      <c r="H234" s="210"/>
      <c r="I234" s="210"/>
      <c r="L234" s="2" t="s">
        <v>577</v>
      </c>
      <c r="M234" s="206" t="s">
        <v>897</v>
      </c>
      <c r="N234" s="2" t="s">
        <v>898</v>
      </c>
      <c r="Q234" s="212" t="str">
        <f t="shared" si="18"/>
        <v/>
      </c>
      <c r="R234" s="212" t="str">
        <f t="shared" si="18"/>
        <v/>
      </c>
      <c r="S234" s="212" t="str">
        <f t="shared" si="18"/>
        <v/>
      </c>
      <c r="T234" s="212" t="str">
        <f t="shared" si="19"/>
        <v/>
      </c>
      <c r="U234" s="212" t="str">
        <f t="shared" si="20"/>
        <v/>
      </c>
      <c r="V234" s="212" t="str">
        <f t="shared" si="21"/>
        <v>-</v>
      </c>
      <c r="W234" s="2" t="str">
        <f t="shared" si="22"/>
        <v>Other Welfares</v>
      </c>
      <c r="X234" s="2" t="str">
        <f t="shared" si="23"/>
        <v>8338900</v>
      </c>
      <c r="Y234" s="2" t="str">
        <f t="shared" si="23"/>
        <v>Welfare / Others</v>
      </c>
    </row>
    <row r="235" spans="8:25" ht="20.100000000000001" customHeight="1">
      <c r="H235" s="210" t="s">
        <v>580</v>
      </c>
      <c r="Q235" s="212" t="str">
        <f t="shared" si="18"/>
        <v/>
      </c>
      <c r="R235" s="212" t="str">
        <f t="shared" si="18"/>
        <v>■</v>
      </c>
      <c r="S235" s="212" t="str">
        <f t="shared" si="18"/>
        <v/>
      </c>
      <c r="T235" s="212" t="str">
        <f t="shared" si="19"/>
        <v/>
      </c>
      <c r="U235" s="212" t="str">
        <f t="shared" si="20"/>
        <v/>
      </c>
      <c r="V235" s="212" t="str">
        <f t="shared" si="21"/>
        <v/>
      </c>
      <c r="W235" s="15" t="str">
        <f t="shared" si="22"/>
        <v>Travel expense</v>
      </c>
      <c r="X235" s="2" t="str">
        <f t="shared" si="23"/>
        <v/>
      </c>
      <c r="Y235" s="2" t="str">
        <f t="shared" si="23"/>
        <v/>
      </c>
    </row>
    <row r="236" spans="8:25" ht="20.100000000000001" customHeight="1">
      <c r="H236" s="210"/>
      <c r="L236" s="2" t="s">
        <v>581</v>
      </c>
      <c r="M236" s="206" t="s">
        <v>899</v>
      </c>
      <c r="N236" s="2" t="s">
        <v>900</v>
      </c>
      <c r="Q236" s="212" t="str">
        <f t="shared" si="18"/>
        <v/>
      </c>
      <c r="R236" s="212" t="str">
        <f t="shared" si="18"/>
        <v/>
      </c>
      <c r="S236" s="212" t="str">
        <f t="shared" si="18"/>
        <v/>
      </c>
      <c r="T236" s="212" t="str">
        <f t="shared" si="19"/>
        <v/>
      </c>
      <c r="U236" s="212" t="str">
        <f t="shared" si="20"/>
        <v/>
      </c>
      <c r="V236" s="212" t="str">
        <f t="shared" si="21"/>
        <v>-</v>
      </c>
      <c r="W236" s="2" t="str">
        <f t="shared" si="22"/>
        <v>Overseas</v>
      </c>
      <c r="X236" s="2" t="str">
        <f t="shared" si="23"/>
        <v>8350101</v>
      </c>
      <c r="Y236" s="2" t="str">
        <f t="shared" si="23"/>
        <v xml:space="preserve">Overseas / Air ticket </v>
      </c>
    </row>
    <row r="237" spans="8:25" ht="20.100000000000001" customHeight="1">
      <c r="L237" s="2" t="s">
        <v>581</v>
      </c>
      <c r="M237" s="206" t="s">
        <v>901</v>
      </c>
      <c r="N237" s="2" t="s">
        <v>902</v>
      </c>
      <c r="Q237" s="212" t="str">
        <f t="shared" si="18"/>
        <v/>
      </c>
      <c r="R237" s="212" t="str">
        <f t="shared" si="18"/>
        <v/>
      </c>
      <c r="S237" s="212" t="str">
        <f t="shared" si="18"/>
        <v/>
      </c>
      <c r="T237" s="212" t="str">
        <f t="shared" si="19"/>
        <v/>
      </c>
      <c r="U237" s="212" t="str">
        <f t="shared" si="20"/>
        <v/>
      </c>
      <c r="V237" s="212" t="str">
        <f t="shared" si="21"/>
        <v>-</v>
      </c>
      <c r="W237" s="2" t="str">
        <f t="shared" si="22"/>
        <v>Overseas</v>
      </c>
      <c r="X237" s="2" t="str">
        <f t="shared" si="23"/>
        <v>8350103</v>
      </c>
      <c r="Y237" s="2" t="str">
        <f t="shared" si="23"/>
        <v>Overseas / Biz trip exp.</v>
      </c>
    </row>
    <row r="238" spans="8:25" ht="20.100000000000001" customHeight="1">
      <c r="L238" s="2" t="s">
        <v>581</v>
      </c>
      <c r="M238" s="206" t="s">
        <v>903</v>
      </c>
      <c r="N238" s="2" t="s">
        <v>904</v>
      </c>
      <c r="Q238" s="212" t="str">
        <f t="shared" si="18"/>
        <v/>
      </c>
      <c r="R238" s="212" t="str">
        <f t="shared" si="18"/>
        <v/>
      </c>
      <c r="S238" s="212" t="str">
        <f t="shared" si="18"/>
        <v/>
      </c>
      <c r="T238" s="212" t="str">
        <f t="shared" si="19"/>
        <v/>
      </c>
      <c r="U238" s="212" t="str">
        <f t="shared" si="20"/>
        <v/>
      </c>
      <c r="V238" s="212" t="str">
        <f t="shared" si="21"/>
        <v>-</v>
      </c>
      <c r="W238" s="2" t="str">
        <f t="shared" si="22"/>
        <v>Overseas</v>
      </c>
      <c r="X238" s="2" t="str">
        <f t="shared" si="23"/>
        <v>8350104</v>
      </c>
      <c r="Y238" s="2" t="str">
        <f t="shared" si="23"/>
        <v>Overseas / Room charge</v>
      </c>
    </row>
    <row r="239" spans="8:25" ht="20.100000000000001" customHeight="1">
      <c r="H239" s="210"/>
      <c r="L239" s="2" t="s">
        <v>588</v>
      </c>
      <c r="M239" s="206" t="s">
        <v>905</v>
      </c>
      <c r="N239" s="2" t="s">
        <v>906</v>
      </c>
      <c r="Q239" s="212" t="str">
        <f t="shared" si="18"/>
        <v/>
      </c>
      <c r="R239" s="212" t="str">
        <f t="shared" si="18"/>
        <v/>
      </c>
      <c r="S239" s="212" t="str">
        <f t="shared" si="18"/>
        <v/>
      </c>
      <c r="T239" s="212" t="str">
        <f t="shared" si="19"/>
        <v/>
      </c>
      <c r="U239" s="212" t="str">
        <f t="shared" si="20"/>
        <v/>
      </c>
      <c r="V239" s="212" t="str">
        <f t="shared" si="21"/>
        <v>-</v>
      </c>
      <c r="W239" s="2" t="str">
        <f t="shared" si="22"/>
        <v>Domestic</v>
      </c>
      <c r="X239" s="2" t="str">
        <f t="shared" si="23"/>
        <v>8350203</v>
      </c>
      <c r="Y239" s="2" t="str">
        <f t="shared" si="23"/>
        <v>Local / Public Transportation</v>
      </c>
    </row>
    <row r="240" spans="8:25" ht="20.100000000000001" customHeight="1">
      <c r="H240" s="15"/>
      <c r="L240" s="2" t="s">
        <v>588</v>
      </c>
      <c r="M240" s="206" t="s">
        <v>907</v>
      </c>
      <c r="N240" s="2" t="s">
        <v>908</v>
      </c>
      <c r="Q240" s="212" t="str">
        <f t="shared" si="18"/>
        <v/>
      </c>
      <c r="R240" s="212" t="str">
        <f t="shared" si="18"/>
        <v/>
      </c>
      <c r="S240" s="212" t="str">
        <f t="shared" si="18"/>
        <v/>
      </c>
      <c r="T240" s="212" t="str">
        <f t="shared" si="19"/>
        <v/>
      </c>
      <c r="U240" s="212" t="str">
        <f t="shared" si="20"/>
        <v/>
      </c>
      <c r="V240" s="212" t="str">
        <f t="shared" si="21"/>
        <v>-</v>
      </c>
      <c r="W240" s="2" t="str">
        <f t="shared" si="22"/>
        <v>Domestic</v>
      </c>
      <c r="X240" s="2" t="str">
        <f t="shared" si="23"/>
        <v>8350204</v>
      </c>
      <c r="Y240" s="2" t="str">
        <f t="shared" si="23"/>
        <v>Local / Room charge</v>
      </c>
    </row>
    <row r="241" spans="8:25" ht="20.100000000000001" customHeight="1">
      <c r="H241" s="15"/>
      <c r="L241" s="2" t="s">
        <v>593</v>
      </c>
      <c r="M241" s="206" t="s">
        <v>909</v>
      </c>
      <c r="N241" s="2" t="s">
        <v>910</v>
      </c>
      <c r="Q241" s="212" t="str">
        <f t="shared" si="18"/>
        <v/>
      </c>
      <c r="R241" s="212" t="str">
        <f t="shared" si="18"/>
        <v/>
      </c>
      <c r="S241" s="212" t="str">
        <f t="shared" si="18"/>
        <v/>
      </c>
      <c r="T241" s="212" t="str">
        <f t="shared" si="19"/>
        <v/>
      </c>
      <c r="U241" s="212" t="str">
        <f t="shared" si="20"/>
        <v/>
      </c>
      <c r="V241" s="212" t="str">
        <f t="shared" si="21"/>
        <v>-</v>
      </c>
      <c r="W241" s="2" t="str">
        <f t="shared" si="22"/>
        <v>Other Travel expense</v>
      </c>
      <c r="X241" s="2" t="str">
        <f t="shared" si="23"/>
        <v>8350900</v>
      </c>
      <c r="Y241" s="2" t="str">
        <f t="shared" si="23"/>
        <v>Traveling / Others</v>
      </c>
    </row>
    <row r="242" spans="8:25" ht="20.100000000000001" customHeight="1">
      <c r="H242" s="15" t="s">
        <v>596</v>
      </c>
      <c r="M242" s="206" t="s">
        <v>911</v>
      </c>
      <c r="N242" s="2" t="s">
        <v>596</v>
      </c>
      <c r="Q242" s="212" t="str">
        <f t="shared" si="18"/>
        <v/>
      </c>
      <c r="R242" s="212" t="str">
        <f t="shared" si="18"/>
        <v>■</v>
      </c>
      <c r="S242" s="212" t="str">
        <f t="shared" si="18"/>
        <v/>
      </c>
      <c r="T242" s="212" t="str">
        <f t="shared" si="19"/>
        <v/>
      </c>
      <c r="U242" s="212" t="str">
        <f t="shared" si="20"/>
        <v/>
      </c>
      <c r="V242" s="212" t="str">
        <f t="shared" si="21"/>
        <v/>
      </c>
      <c r="W242" s="15" t="str">
        <f t="shared" si="22"/>
        <v>Taxes &amp; Dues</v>
      </c>
      <c r="X242" s="2" t="str">
        <f t="shared" si="23"/>
        <v>8370000</v>
      </c>
      <c r="Y242" s="2" t="str">
        <f t="shared" si="23"/>
        <v>Taxes &amp; Dues</v>
      </c>
    </row>
    <row r="243" spans="8:25" ht="20.100000000000001" customHeight="1">
      <c r="H243" s="15" t="s">
        <v>599</v>
      </c>
      <c r="Q243" s="212" t="str">
        <f t="shared" si="18"/>
        <v/>
      </c>
      <c r="R243" s="212" t="str">
        <f t="shared" si="18"/>
        <v>■</v>
      </c>
      <c r="S243" s="212" t="str">
        <f t="shared" si="18"/>
        <v/>
      </c>
      <c r="T243" s="212" t="str">
        <f t="shared" si="19"/>
        <v/>
      </c>
      <c r="U243" s="212" t="str">
        <f t="shared" si="20"/>
        <v/>
      </c>
      <c r="V243" s="212" t="str">
        <f t="shared" si="21"/>
        <v/>
      </c>
      <c r="W243" s="15" t="str">
        <f t="shared" si="22"/>
        <v>Communication expense</v>
      </c>
      <c r="X243" s="2" t="str">
        <f t="shared" si="23"/>
        <v/>
      </c>
      <c r="Y243" s="2" t="str">
        <f t="shared" si="23"/>
        <v/>
      </c>
    </row>
    <row r="244" spans="8:25" ht="20.100000000000001" customHeight="1">
      <c r="L244" s="2" t="s">
        <v>600</v>
      </c>
      <c r="M244" s="206" t="s">
        <v>912</v>
      </c>
      <c r="N244" s="2" t="s">
        <v>913</v>
      </c>
      <c r="Q244" s="212" t="str">
        <f t="shared" si="18"/>
        <v/>
      </c>
      <c r="R244" s="212" t="str">
        <f t="shared" si="18"/>
        <v/>
      </c>
      <c r="S244" s="212" t="str">
        <f t="shared" si="18"/>
        <v/>
      </c>
      <c r="T244" s="212" t="str">
        <f t="shared" si="19"/>
        <v/>
      </c>
      <c r="U244" s="212" t="str">
        <f t="shared" si="20"/>
        <v/>
      </c>
      <c r="V244" s="212" t="str">
        <f t="shared" si="21"/>
        <v>-</v>
      </c>
      <c r="W244" s="2" t="str">
        <f t="shared" si="22"/>
        <v>Telephone</v>
      </c>
      <c r="X244" s="2" t="str">
        <f t="shared" si="23"/>
        <v>8390101</v>
      </c>
      <c r="Y244" s="2" t="str">
        <f t="shared" si="23"/>
        <v>Telephone / Domestic</v>
      </c>
    </row>
    <row r="245" spans="8:25" ht="20.100000000000001" customHeight="1">
      <c r="H245" s="15"/>
      <c r="L245" s="2" t="s">
        <v>600</v>
      </c>
      <c r="M245" s="206" t="s">
        <v>914</v>
      </c>
      <c r="N245" s="2" t="s">
        <v>915</v>
      </c>
      <c r="Q245" s="212" t="str">
        <f t="shared" si="18"/>
        <v/>
      </c>
      <c r="R245" s="212" t="str">
        <f t="shared" si="18"/>
        <v/>
      </c>
      <c r="S245" s="212" t="str">
        <f t="shared" si="18"/>
        <v/>
      </c>
      <c r="T245" s="212" t="str">
        <f t="shared" si="19"/>
        <v/>
      </c>
      <c r="U245" s="212" t="str">
        <f t="shared" si="20"/>
        <v/>
      </c>
      <c r="V245" s="212" t="str">
        <f t="shared" si="21"/>
        <v>-</v>
      </c>
      <c r="W245" s="2" t="str">
        <f t="shared" si="22"/>
        <v>Telephone</v>
      </c>
      <c r="X245" s="2" t="str">
        <f t="shared" si="23"/>
        <v>8390103</v>
      </c>
      <c r="Y245" s="2" t="str">
        <f t="shared" si="23"/>
        <v>Telephone / International</v>
      </c>
    </row>
    <row r="246" spans="8:25" ht="20.100000000000001" customHeight="1">
      <c r="H246" s="15"/>
      <c r="L246" s="2" t="s">
        <v>605</v>
      </c>
      <c r="M246" s="206" t="s">
        <v>916</v>
      </c>
      <c r="N246" s="2" t="s">
        <v>917</v>
      </c>
      <c r="Q246" s="212" t="str">
        <f t="shared" si="18"/>
        <v/>
      </c>
      <c r="R246" s="212" t="str">
        <f t="shared" si="18"/>
        <v/>
      </c>
      <c r="S246" s="212" t="str">
        <f t="shared" si="18"/>
        <v/>
      </c>
      <c r="T246" s="212" t="str">
        <f t="shared" si="19"/>
        <v/>
      </c>
      <c r="U246" s="212" t="str">
        <f t="shared" si="20"/>
        <v/>
      </c>
      <c r="V246" s="212" t="str">
        <f t="shared" si="21"/>
        <v>-</v>
      </c>
      <c r="W246" s="2" t="str">
        <f t="shared" si="22"/>
        <v>Mobile</v>
      </c>
      <c r="X246" s="2" t="str">
        <f t="shared" si="23"/>
        <v>8390200</v>
      </c>
      <c r="Y246" s="2" t="str">
        <f t="shared" si="23"/>
        <v>Communication / Mobile Phone</v>
      </c>
    </row>
    <row r="247" spans="8:25" ht="20.100000000000001" customHeight="1">
      <c r="L247" s="2" t="s">
        <v>608</v>
      </c>
      <c r="M247" s="206" t="s">
        <v>918</v>
      </c>
      <c r="N247" s="2" t="s">
        <v>919</v>
      </c>
      <c r="Q247" s="212" t="str">
        <f t="shared" si="18"/>
        <v/>
      </c>
      <c r="R247" s="212" t="str">
        <f t="shared" si="18"/>
        <v/>
      </c>
      <c r="S247" s="212" t="str">
        <f t="shared" si="18"/>
        <v/>
      </c>
      <c r="T247" s="212" t="str">
        <f t="shared" si="19"/>
        <v/>
      </c>
      <c r="U247" s="212" t="str">
        <f t="shared" si="20"/>
        <v/>
      </c>
      <c r="V247" s="212" t="str">
        <f t="shared" si="21"/>
        <v>-</v>
      </c>
      <c r="W247" s="2" t="str">
        <f t="shared" si="22"/>
        <v>Internet</v>
      </c>
      <c r="X247" s="2" t="str">
        <f t="shared" si="23"/>
        <v>8390300</v>
      </c>
      <c r="Y247" s="2" t="str">
        <f t="shared" si="23"/>
        <v>Communication / Internet</v>
      </c>
    </row>
    <row r="248" spans="8:25" ht="20.100000000000001" customHeight="1">
      <c r="L248" s="2" t="s">
        <v>611</v>
      </c>
      <c r="M248" s="206" t="s">
        <v>920</v>
      </c>
      <c r="N248" s="2" t="s">
        <v>921</v>
      </c>
      <c r="Q248" s="212" t="str">
        <f t="shared" si="18"/>
        <v/>
      </c>
      <c r="R248" s="212" t="str">
        <f t="shared" si="18"/>
        <v/>
      </c>
      <c r="S248" s="212" t="str">
        <f t="shared" si="18"/>
        <v/>
      </c>
      <c r="T248" s="212" t="str">
        <f t="shared" si="19"/>
        <v/>
      </c>
      <c r="U248" s="212" t="str">
        <f t="shared" si="20"/>
        <v/>
      </c>
      <c r="V248" s="212" t="str">
        <f t="shared" si="21"/>
        <v>-</v>
      </c>
      <c r="W248" s="2" t="str">
        <f t="shared" si="22"/>
        <v>Postage &amp; Delivery</v>
      </c>
      <c r="X248" s="2" t="str">
        <f t="shared" si="23"/>
        <v>8390400</v>
      </c>
      <c r="Y248" s="2" t="str">
        <f t="shared" si="23"/>
        <v>Communication / Postage &amp; Delivery</v>
      </c>
    </row>
    <row r="249" spans="8:25" ht="20.100000000000001" customHeight="1">
      <c r="L249" s="2" t="s">
        <v>614</v>
      </c>
      <c r="M249" s="206" t="s">
        <v>922</v>
      </c>
      <c r="N249" s="2" t="s">
        <v>923</v>
      </c>
      <c r="Q249" s="212" t="str">
        <f t="shared" si="18"/>
        <v/>
      </c>
      <c r="R249" s="212" t="str">
        <f t="shared" si="18"/>
        <v/>
      </c>
      <c r="S249" s="212" t="str">
        <f t="shared" si="18"/>
        <v/>
      </c>
      <c r="T249" s="212" t="str">
        <f t="shared" si="19"/>
        <v/>
      </c>
      <c r="U249" s="212" t="str">
        <f t="shared" si="20"/>
        <v/>
      </c>
      <c r="V249" s="212" t="str">
        <f t="shared" si="21"/>
        <v>-</v>
      </c>
      <c r="W249" s="2" t="str">
        <f t="shared" si="22"/>
        <v>Other Communication expense</v>
      </c>
      <c r="X249" s="2" t="str">
        <f t="shared" si="23"/>
        <v>8390900</v>
      </c>
      <c r="Y249" s="2" t="str">
        <f t="shared" si="23"/>
        <v>Communication / Others</v>
      </c>
    </row>
    <row r="250" spans="8:25" ht="20.100000000000001" customHeight="1">
      <c r="H250" s="15" t="s">
        <v>617</v>
      </c>
      <c r="Q250" s="212" t="str">
        <f t="shared" si="18"/>
        <v/>
      </c>
      <c r="R250" s="212" t="str">
        <f t="shared" si="18"/>
        <v>■</v>
      </c>
      <c r="S250" s="212" t="str">
        <f t="shared" si="18"/>
        <v/>
      </c>
      <c r="T250" s="212" t="str">
        <f t="shared" si="19"/>
        <v/>
      </c>
      <c r="U250" s="212" t="str">
        <f t="shared" si="20"/>
        <v/>
      </c>
      <c r="V250" s="212" t="str">
        <f t="shared" si="21"/>
        <v/>
      </c>
      <c r="W250" s="15" t="str">
        <f t="shared" si="22"/>
        <v>Rent</v>
      </c>
      <c r="X250" s="2" t="str">
        <f t="shared" si="23"/>
        <v/>
      </c>
      <c r="Y250" s="2" t="str">
        <f t="shared" si="23"/>
        <v/>
      </c>
    </row>
    <row r="251" spans="8:25" ht="20.100000000000001" customHeight="1">
      <c r="H251" s="15"/>
      <c r="L251" s="2" t="s">
        <v>282</v>
      </c>
      <c r="M251" s="206" t="s">
        <v>924</v>
      </c>
      <c r="N251" s="2" t="s">
        <v>925</v>
      </c>
      <c r="Q251" s="212" t="str">
        <f t="shared" si="18"/>
        <v/>
      </c>
      <c r="R251" s="212" t="str">
        <f t="shared" si="18"/>
        <v/>
      </c>
      <c r="S251" s="212" t="str">
        <f t="shared" si="18"/>
        <v/>
      </c>
      <c r="T251" s="212" t="str">
        <f t="shared" si="19"/>
        <v/>
      </c>
      <c r="U251" s="212" t="str">
        <f t="shared" si="20"/>
        <v/>
      </c>
      <c r="V251" s="212" t="str">
        <f t="shared" si="21"/>
        <v>-</v>
      </c>
      <c r="W251" s="2" t="str">
        <f t="shared" si="22"/>
        <v>Building</v>
      </c>
      <c r="X251" s="2" t="str">
        <f t="shared" si="23"/>
        <v>8410100</v>
      </c>
      <c r="Y251" s="2" t="str">
        <f t="shared" si="23"/>
        <v>Rent / Building</v>
      </c>
    </row>
    <row r="252" spans="8:25" ht="20.100000000000001" customHeight="1">
      <c r="L252" s="2" t="s">
        <v>279</v>
      </c>
      <c r="M252" s="206" t="s">
        <v>926</v>
      </c>
      <c r="N252" s="2" t="s">
        <v>927</v>
      </c>
      <c r="Q252" s="212" t="str">
        <f t="shared" si="18"/>
        <v/>
      </c>
      <c r="R252" s="212" t="str">
        <f t="shared" si="18"/>
        <v/>
      </c>
      <c r="S252" s="212" t="str">
        <f t="shared" si="18"/>
        <v/>
      </c>
      <c r="T252" s="212" t="str">
        <f t="shared" si="19"/>
        <v/>
      </c>
      <c r="U252" s="212" t="str">
        <f t="shared" si="20"/>
        <v/>
      </c>
      <c r="V252" s="212" t="str">
        <f t="shared" si="21"/>
        <v>-</v>
      </c>
      <c r="W252" s="2" t="str">
        <f t="shared" si="22"/>
        <v>Land</v>
      </c>
      <c r="X252" s="2" t="str">
        <f t="shared" si="23"/>
        <v>8410200</v>
      </c>
      <c r="Y252" s="2" t="str">
        <f t="shared" si="23"/>
        <v>Rent / Land</v>
      </c>
    </row>
    <row r="253" spans="8:25" ht="20.100000000000001" customHeight="1">
      <c r="H253" s="15"/>
      <c r="L253" s="2" t="s">
        <v>622</v>
      </c>
      <c r="M253" s="206" t="s">
        <v>928</v>
      </c>
      <c r="N253" s="2" t="s">
        <v>929</v>
      </c>
      <c r="Q253" s="212" t="str">
        <f t="shared" si="18"/>
        <v/>
      </c>
      <c r="R253" s="212" t="str">
        <f t="shared" si="18"/>
        <v/>
      </c>
      <c r="S253" s="212" t="str">
        <f t="shared" si="18"/>
        <v/>
      </c>
      <c r="T253" s="212" t="str">
        <f t="shared" si="19"/>
        <v/>
      </c>
      <c r="U253" s="212" t="str">
        <f t="shared" si="20"/>
        <v/>
      </c>
      <c r="V253" s="212" t="str">
        <f t="shared" si="21"/>
        <v>-</v>
      </c>
      <c r="W253" s="2" t="str">
        <f t="shared" si="22"/>
        <v>Domitory</v>
      </c>
      <c r="X253" s="2" t="str">
        <f t="shared" si="23"/>
        <v>8410301</v>
      </c>
      <c r="Y253" s="2" t="str">
        <f t="shared" si="23"/>
        <v>Rent / Domitory / Korean</v>
      </c>
    </row>
    <row r="254" spans="8:25" ht="20.100000000000001" customHeight="1">
      <c r="L254" s="2" t="s">
        <v>622</v>
      </c>
      <c r="M254" s="206" t="s">
        <v>930</v>
      </c>
      <c r="N254" s="2" t="s">
        <v>931</v>
      </c>
      <c r="Q254" s="212" t="str">
        <f t="shared" si="18"/>
        <v/>
      </c>
      <c r="R254" s="212" t="str">
        <f t="shared" si="18"/>
        <v/>
      </c>
      <c r="S254" s="212" t="str">
        <f t="shared" si="18"/>
        <v/>
      </c>
      <c r="T254" s="212" t="str">
        <f t="shared" si="19"/>
        <v/>
      </c>
      <c r="U254" s="212" t="str">
        <f t="shared" si="20"/>
        <v/>
      </c>
      <c r="V254" s="212" t="str">
        <f t="shared" si="21"/>
        <v>-</v>
      </c>
      <c r="W254" s="2" t="str">
        <f t="shared" si="22"/>
        <v>Domitory</v>
      </c>
      <c r="X254" s="2" t="str">
        <f t="shared" si="23"/>
        <v>8410303</v>
      </c>
      <c r="Y254" s="2" t="str">
        <f t="shared" si="23"/>
        <v>Rent / Domitory / Local</v>
      </c>
    </row>
    <row r="255" spans="8:25" ht="20.100000000000001" customHeight="1">
      <c r="L255" s="2" t="s">
        <v>627</v>
      </c>
      <c r="M255" s="206" t="s">
        <v>932</v>
      </c>
      <c r="N255" s="2" t="s">
        <v>933</v>
      </c>
      <c r="Q255" s="212" t="str">
        <f t="shared" si="18"/>
        <v/>
      </c>
      <c r="R255" s="212" t="str">
        <f t="shared" si="18"/>
        <v/>
      </c>
      <c r="S255" s="212" t="str">
        <f t="shared" si="18"/>
        <v/>
      </c>
      <c r="T255" s="212" t="str">
        <f t="shared" si="19"/>
        <v/>
      </c>
      <c r="U255" s="212" t="str">
        <f t="shared" si="20"/>
        <v/>
      </c>
      <c r="V255" s="212" t="str">
        <f t="shared" si="21"/>
        <v>-</v>
      </c>
      <c r="W255" s="2" t="str">
        <f t="shared" si="22"/>
        <v>Car</v>
      </c>
      <c r="X255" s="2" t="str">
        <f t="shared" si="23"/>
        <v>8410401</v>
      </c>
      <c r="Y255" s="2" t="str">
        <f t="shared" si="23"/>
        <v>Rent / Car / Korean</v>
      </c>
    </row>
    <row r="256" spans="8:25" ht="20.100000000000001" customHeight="1">
      <c r="H256" s="15"/>
      <c r="L256" s="2" t="s">
        <v>627</v>
      </c>
      <c r="M256" s="206" t="s">
        <v>934</v>
      </c>
      <c r="N256" s="2" t="s">
        <v>935</v>
      </c>
      <c r="Q256" s="212" t="str">
        <f t="shared" si="18"/>
        <v/>
      </c>
      <c r="R256" s="212" t="str">
        <f t="shared" si="18"/>
        <v/>
      </c>
      <c r="S256" s="212" t="str">
        <f t="shared" si="18"/>
        <v/>
      </c>
      <c r="T256" s="212" t="str">
        <f t="shared" si="19"/>
        <v/>
      </c>
      <c r="U256" s="212" t="str">
        <f t="shared" si="20"/>
        <v/>
      </c>
      <c r="V256" s="212" t="str">
        <f t="shared" si="21"/>
        <v>-</v>
      </c>
      <c r="W256" s="2" t="str">
        <f t="shared" si="22"/>
        <v>Car</v>
      </c>
      <c r="X256" s="2" t="str">
        <f t="shared" si="23"/>
        <v>8410403</v>
      </c>
      <c r="Y256" s="2" t="str">
        <f t="shared" si="23"/>
        <v>Rent / Car / Local</v>
      </c>
    </row>
    <row r="257" spans="8:25" ht="20.100000000000001" customHeight="1">
      <c r="L257" s="2" t="s">
        <v>632</v>
      </c>
      <c r="M257" s="206" t="s">
        <v>936</v>
      </c>
      <c r="N257" s="2" t="s">
        <v>937</v>
      </c>
      <c r="Q257" s="212" t="str">
        <f t="shared" si="18"/>
        <v/>
      </c>
      <c r="R257" s="212" t="str">
        <f t="shared" si="18"/>
        <v/>
      </c>
      <c r="S257" s="212" t="str">
        <f t="shared" si="18"/>
        <v/>
      </c>
      <c r="T257" s="212" t="str">
        <f t="shared" si="19"/>
        <v/>
      </c>
      <c r="U257" s="212" t="str">
        <f t="shared" si="20"/>
        <v/>
      </c>
      <c r="V257" s="212" t="str">
        <f t="shared" si="21"/>
        <v>-</v>
      </c>
      <c r="W257" s="2" t="str">
        <f t="shared" si="22"/>
        <v>Container</v>
      </c>
      <c r="X257" s="2" t="str">
        <f t="shared" si="23"/>
        <v>8410510</v>
      </c>
      <c r="Y257" s="2" t="str">
        <f t="shared" si="23"/>
        <v>Rent / Container</v>
      </c>
    </row>
    <row r="258" spans="8:25" ht="20.100000000000001" customHeight="1">
      <c r="H258" s="210"/>
      <c r="L258" s="2" t="s">
        <v>635</v>
      </c>
      <c r="M258" s="206" t="s">
        <v>938</v>
      </c>
      <c r="N258" s="2" t="s">
        <v>939</v>
      </c>
      <c r="Q258" s="212" t="str">
        <f t="shared" si="18"/>
        <v/>
      </c>
      <c r="R258" s="212" t="str">
        <f t="shared" si="18"/>
        <v/>
      </c>
      <c r="S258" s="212" t="str">
        <f t="shared" si="18"/>
        <v/>
      </c>
      <c r="T258" s="212" t="str">
        <f t="shared" si="19"/>
        <v/>
      </c>
      <c r="U258" s="212" t="str">
        <f t="shared" si="20"/>
        <v/>
      </c>
      <c r="V258" s="212" t="str">
        <f t="shared" si="21"/>
        <v>-</v>
      </c>
      <c r="W258" s="2" t="str">
        <f t="shared" si="22"/>
        <v>Machinary</v>
      </c>
      <c r="X258" s="2" t="str">
        <f t="shared" si="23"/>
        <v>8410530</v>
      </c>
      <c r="Y258" s="2" t="str">
        <f t="shared" si="23"/>
        <v>Rent / Sewing Machine</v>
      </c>
    </row>
    <row r="259" spans="8:25" ht="20.100000000000001" customHeight="1">
      <c r="H259" s="210"/>
      <c r="L259" s="2" t="s">
        <v>638</v>
      </c>
      <c r="M259" s="206" t="s">
        <v>940</v>
      </c>
      <c r="N259" s="2" t="s">
        <v>941</v>
      </c>
      <c r="Q259" s="212" t="str">
        <f t="shared" si="18"/>
        <v/>
      </c>
      <c r="R259" s="212" t="str">
        <f t="shared" si="18"/>
        <v/>
      </c>
      <c r="S259" s="212" t="str">
        <f t="shared" si="18"/>
        <v/>
      </c>
      <c r="T259" s="212" t="str">
        <f t="shared" si="19"/>
        <v/>
      </c>
      <c r="U259" s="212" t="str">
        <f t="shared" si="20"/>
        <v/>
      </c>
      <c r="V259" s="212" t="str">
        <f t="shared" si="21"/>
        <v>-</v>
      </c>
      <c r="W259" s="2" t="str">
        <f t="shared" si="22"/>
        <v>Office Machine</v>
      </c>
      <c r="X259" s="2" t="str">
        <f t="shared" si="23"/>
        <v>8410550</v>
      </c>
      <c r="Y259" s="2" t="str">
        <f t="shared" si="23"/>
        <v>Rent / Photocopier</v>
      </c>
    </row>
    <row r="260" spans="8:25" ht="20.100000000000001" customHeight="1">
      <c r="H260" s="210"/>
      <c r="L260" s="2" t="s">
        <v>641</v>
      </c>
      <c r="M260" s="206" t="s">
        <v>942</v>
      </c>
      <c r="N260" s="2" t="s">
        <v>943</v>
      </c>
      <c r="Q260" s="212" t="str">
        <f t="shared" si="18"/>
        <v/>
      </c>
      <c r="R260" s="212" t="str">
        <f t="shared" si="18"/>
        <v/>
      </c>
      <c r="S260" s="212" t="str">
        <f t="shared" si="18"/>
        <v/>
      </c>
      <c r="T260" s="212" t="str">
        <f t="shared" si="19"/>
        <v/>
      </c>
      <c r="U260" s="212" t="str">
        <f t="shared" si="20"/>
        <v/>
      </c>
      <c r="V260" s="212" t="str">
        <f t="shared" si="21"/>
        <v>-</v>
      </c>
      <c r="W260" s="2" t="str">
        <f t="shared" si="22"/>
        <v>Other Rent</v>
      </c>
      <c r="X260" s="2" t="str">
        <f t="shared" si="23"/>
        <v>8410901</v>
      </c>
      <c r="Y260" s="2" t="str">
        <f t="shared" si="23"/>
        <v>Rent / Others</v>
      </c>
    </row>
    <row r="261" spans="8:25" ht="20.100000000000001" customHeight="1">
      <c r="H261" s="210" t="s">
        <v>644</v>
      </c>
      <c r="Q261" s="212" t="str">
        <f t="shared" si="18"/>
        <v/>
      </c>
      <c r="R261" s="212" t="str">
        <f t="shared" si="18"/>
        <v>■</v>
      </c>
      <c r="S261" s="212" t="str">
        <f t="shared" si="18"/>
        <v/>
      </c>
      <c r="T261" s="212" t="str">
        <f t="shared" si="19"/>
        <v/>
      </c>
      <c r="U261" s="212" t="str">
        <f t="shared" si="20"/>
        <v/>
      </c>
      <c r="V261" s="212" t="str">
        <f t="shared" si="21"/>
        <v/>
      </c>
      <c r="W261" s="15" t="str">
        <f t="shared" si="22"/>
        <v>Depreciation</v>
      </c>
      <c r="X261" s="2" t="str">
        <f t="shared" si="23"/>
        <v/>
      </c>
      <c r="Y261" s="2" t="str">
        <f t="shared" si="23"/>
        <v/>
      </c>
    </row>
    <row r="262" spans="8:25" ht="20.100000000000001" customHeight="1">
      <c r="L262" s="2" t="s">
        <v>282</v>
      </c>
      <c r="M262" s="206" t="s">
        <v>944</v>
      </c>
      <c r="N262" s="2" t="s">
        <v>945</v>
      </c>
      <c r="Q262" s="212" t="str">
        <f t="shared" si="18"/>
        <v/>
      </c>
      <c r="R262" s="212" t="str">
        <f t="shared" si="18"/>
        <v/>
      </c>
      <c r="S262" s="212" t="str">
        <f t="shared" si="18"/>
        <v/>
      </c>
      <c r="T262" s="212" t="str">
        <f t="shared" si="19"/>
        <v/>
      </c>
      <c r="U262" s="212" t="str">
        <f t="shared" si="20"/>
        <v/>
      </c>
      <c r="V262" s="212" t="str">
        <f t="shared" si="21"/>
        <v>-</v>
      </c>
      <c r="W262" s="2" t="str">
        <f t="shared" si="22"/>
        <v>Building</v>
      </c>
      <c r="X262" s="2" t="str">
        <f t="shared" si="23"/>
        <v>8431000</v>
      </c>
      <c r="Y262" s="2" t="str">
        <f t="shared" si="23"/>
        <v>Dep./ Building</v>
      </c>
    </row>
    <row r="263" spans="8:25" ht="20.100000000000001" customHeight="1">
      <c r="L263" s="2" t="s">
        <v>289</v>
      </c>
      <c r="M263" s="206" t="s">
        <v>946</v>
      </c>
      <c r="N263" s="2" t="s">
        <v>947</v>
      </c>
      <c r="Q263" s="212" t="str">
        <f t="shared" ref="Q263:S326" si="24">IF(NOT(ISBLANK(G263)),"■","")</f>
        <v/>
      </c>
      <c r="R263" s="212" t="str">
        <f t="shared" si="24"/>
        <v/>
      </c>
      <c r="S263" s="212" t="str">
        <f t="shared" si="24"/>
        <v/>
      </c>
      <c r="T263" s="212" t="str">
        <f t="shared" ref="T263:T326" si="25">IF(NOT(ISBLANK(J263)),"⊙","")</f>
        <v/>
      </c>
      <c r="U263" s="212" t="str">
        <f t="shared" ref="U263:U326" si="26">IF(NOT(ISBLANK(K263)),"*","")</f>
        <v/>
      </c>
      <c r="V263" s="212" t="str">
        <f t="shared" ref="V263:V326" si="27">IF(NOT(ISBLANK(L263)),"-","")</f>
        <v>-</v>
      </c>
      <c r="W263" s="2" t="str">
        <f t="shared" ref="W263:W326" si="28">G263&amp;H263&amp;I263&amp;J263&amp;K263&amp;L263</f>
        <v>Construction</v>
      </c>
      <c r="X263" s="2" t="str">
        <f t="shared" ref="X263:Y326" si="29">IF(ISBLANK(M263),"",M263)</f>
        <v>8432000</v>
      </c>
      <c r="Y263" s="2" t="str">
        <f t="shared" si="29"/>
        <v>Dep./ Construction</v>
      </c>
    </row>
    <row r="264" spans="8:25" ht="20.100000000000001" customHeight="1">
      <c r="L264" s="2" t="s">
        <v>273</v>
      </c>
      <c r="M264" s="206" t="s">
        <v>948</v>
      </c>
      <c r="N264" s="2" t="s">
        <v>949</v>
      </c>
      <c r="Q264" s="212" t="str">
        <f t="shared" si="24"/>
        <v/>
      </c>
      <c r="R264" s="212" t="str">
        <f t="shared" si="24"/>
        <v/>
      </c>
      <c r="S264" s="212" t="str">
        <f t="shared" si="24"/>
        <v/>
      </c>
      <c r="T264" s="212" t="str">
        <f t="shared" si="25"/>
        <v/>
      </c>
      <c r="U264" s="212" t="str">
        <f t="shared" si="26"/>
        <v/>
      </c>
      <c r="V264" s="212" t="str">
        <f t="shared" si="27"/>
        <v>-</v>
      </c>
      <c r="W264" s="2" t="str">
        <f t="shared" si="28"/>
        <v>Machinery</v>
      </c>
      <c r="X264" s="2" t="str">
        <f t="shared" si="29"/>
        <v>8433000</v>
      </c>
      <c r="Y264" s="2" t="str">
        <f t="shared" si="29"/>
        <v>Dep./ Machinery</v>
      </c>
    </row>
    <row r="265" spans="8:25" ht="20.100000000000001" customHeight="1">
      <c r="L265" s="2" t="s">
        <v>651</v>
      </c>
      <c r="M265" s="206" t="s">
        <v>950</v>
      </c>
      <c r="N265" s="2" t="s">
        <v>951</v>
      </c>
      <c r="Q265" s="212" t="str">
        <f t="shared" si="24"/>
        <v/>
      </c>
      <c r="R265" s="212" t="str">
        <f t="shared" si="24"/>
        <v/>
      </c>
      <c r="S265" s="212" t="str">
        <f t="shared" si="24"/>
        <v/>
      </c>
      <c r="T265" s="212" t="str">
        <f t="shared" si="25"/>
        <v/>
      </c>
      <c r="U265" s="212" t="str">
        <f t="shared" si="26"/>
        <v/>
      </c>
      <c r="V265" s="212" t="str">
        <f t="shared" si="27"/>
        <v>-</v>
      </c>
      <c r="W265" s="2" t="str">
        <f t="shared" si="28"/>
        <v>Delivery equipment</v>
      </c>
      <c r="X265" s="2" t="str">
        <f t="shared" si="29"/>
        <v>8434000</v>
      </c>
      <c r="Y265" s="2" t="str">
        <f t="shared" si="29"/>
        <v>Dep./ Delivery equipment</v>
      </c>
    </row>
    <row r="266" spans="8:25" ht="20.100000000000001" customHeight="1">
      <c r="L266" s="2" t="s">
        <v>654</v>
      </c>
      <c r="M266" s="206" t="s">
        <v>952</v>
      </c>
      <c r="N266" s="2" t="s">
        <v>953</v>
      </c>
      <c r="Q266" s="212" t="str">
        <f t="shared" si="24"/>
        <v/>
      </c>
      <c r="R266" s="212" t="str">
        <f t="shared" si="24"/>
        <v/>
      </c>
      <c r="S266" s="212" t="str">
        <f t="shared" si="24"/>
        <v/>
      </c>
      <c r="T266" s="212" t="str">
        <f t="shared" si="25"/>
        <v/>
      </c>
      <c r="U266" s="212" t="str">
        <f t="shared" si="26"/>
        <v/>
      </c>
      <c r="V266" s="212" t="str">
        <f t="shared" si="27"/>
        <v>-</v>
      </c>
      <c r="W266" s="2" t="str">
        <f t="shared" si="28"/>
        <v>Tools &amp; equipments</v>
      </c>
      <c r="X266" s="2" t="str">
        <f t="shared" si="29"/>
        <v>8435000</v>
      </c>
      <c r="Y266" s="2" t="str">
        <f t="shared" si="29"/>
        <v>Dep./ Tools &amp; equipments</v>
      </c>
    </row>
    <row r="267" spans="8:25" ht="20.100000000000001" customHeight="1">
      <c r="L267" s="2" t="s">
        <v>270</v>
      </c>
      <c r="M267" s="206" t="s">
        <v>954</v>
      </c>
      <c r="N267" s="2" t="s">
        <v>955</v>
      </c>
      <c r="Q267" s="212" t="str">
        <f t="shared" si="24"/>
        <v/>
      </c>
      <c r="R267" s="212" t="str">
        <f t="shared" si="24"/>
        <v/>
      </c>
      <c r="S267" s="212" t="str">
        <f t="shared" si="24"/>
        <v/>
      </c>
      <c r="T267" s="212" t="str">
        <f t="shared" si="25"/>
        <v/>
      </c>
      <c r="U267" s="212" t="str">
        <f t="shared" si="26"/>
        <v/>
      </c>
      <c r="V267" s="212" t="str">
        <f t="shared" si="27"/>
        <v>-</v>
      </c>
      <c r="W267" s="2" t="str">
        <f t="shared" si="28"/>
        <v>Furniture &amp; Fixtures</v>
      </c>
      <c r="X267" s="2" t="str">
        <f t="shared" si="29"/>
        <v>8436001</v>
      </c>
      <c r="Y267" s="2" t="str">
        <f t="shared" si="29"/>
        <v>Dep./ Furniture &amp; Fixtures</v>
      </c>
    </row>
    <row r="268" spans="8:25" ht="20.100000000000001" customHeight="1">
      <c r="L268" s="2" t="s">
        <v>270</v>
      </c>
      <c r="M268" s="206" t="s">
        <v>956</v>
      </c>
      <c r="N268" s="2" t="s">
        <v>957</v>
      </c>
      <c r="Q268" s="212" t="str">
        <f t="shared" si="24"/>
        <v/>
      </c>
      <c r="R268" s="212" t="str">
        <f t="shared" si="24"/>
        <v/>
      </c>
      <c r="S268" s="212" t="str">
        <f t="shared" si="24"/>
        <v/>
      </c>
      <c r="T268" s="212" t="str">
        <f t="shared" si="25"/>
        <v/>
      </c>
      <c r="U268" s="212" t="str">
        <f t="shared" si="26"/>
        <v/>
      </c>
      <c r="V268" s="212" t="str">
        <f t="shared" si="27"/>
        <v>-</v>
      </c>
      <c r="W268" s="2" t="str">
        <f t="shared" si="28"/>
        <v>Furniture &amp; Fixtures</v>
      </c>
      <c r="X268" s="2" t="str">
        <f t="shared" si="29"/>
        <v>8436002</v>
      </c>
      <c r="Y268" s="2" t="str">
        <f t="shared" si="29"/>
        <v>Dep./ Furniture &amp; Fixtures for Res.</v>
      </c>
    </row>
    <row r="269" spans="8:25" ht="20.100000000000001" customHeight="1">
      <c r="L269" s="2" t="s">
        <v>270</v>
      </c>
      <c r="M269" s="206" t="s">
        <v>958</v>
      </c>
      <c r="N269" s="2" t="s">
        <v>959</v>
      </c>
      <c r="Q269" s="212" t="str">
        <f t="shared" si="24"/>
        <v/>
      </c>
      <c r="R269" s="212" t="str">
        <f t="shared" si="24"/>
        <v/>
      </c>
      <c r="S269" s="212" t="str">
        <f t="shared" si="24"/>
        <v/>
      </c>
      <c r="T269" s="212" t="str">
        <f t="shared" si="25"/>
        <v/>
      </c>
      <c r="U269" s="212" t="str">
        <f t="shared" si="26"/>
        <v/>
      </c>
      <c r="V269" s="212" t="str">
        <f t="shared" si="27"/>
        <v>-</v>
      </c>
      <c r="W269" s="2" t="str">
        <f t="shared" si="28"/>
        <v>Furniture &amp; Fixtures</v>
      </c>
      <c r="X269" s="2" t="str">
        <f t="shared" si="29"/>
        <v>8436810</v>
      </c>
      <c r="Y269" s="2" t="str">
        <f t="shared" si="29"/>
        <v>Dep./ Office equipment</v>
      </c>
    </row>
    <row r="270" spans="8:25" ht="20.100000000000001" customHeight="1">
      <c r="L270" s="2" t="s">
        <v>270</v>
      </c>
      <c r="M270" s="206" t="s">
        <v>960</v>
      </c>
      <c r="N270" s="2" t="s">
        <v>961</v>
      </c>
      <c r="Q270" s="212" t="str">
        <f t="shared" si="24"/>
        <v/>
      </c>
      <c r="R270" s="212" t="str">
        <f t="shared" si="24"/>
        <v/>
      </c>
      <c r="S270" s="212" t="str">
        <f t="shared" si="24"/>
        <v/>
      </c>
      <c r="T270" s="212" t="str">
        <f t="shared" si="25"/>
        <v/>
      </c>
      <c r="U270" s="212" t="str">
        <f t="shared" si="26"/>
        <v/>
      </c>
      <c r="V270" s="212" t="str">
        <f t="shared" si="27"/>
        <v>-</v>
      </c>
      <c r="W270" s="2" t="str">
        <f t="shared" si="28"/>
        <v>Furniture &amp; Fixtures</v>
      </c>
      <c r="X270" s="2" t="str">
        <f t="shared" si="29"/>
        <v>8436820</v>
      </c>
      <c r="Y270" s="2" t="str">
        <f t="shared" si="29"/>
        <v>Dep./ Audio equipment</v>
      </c>
    </row>
    <row r="271" spans="8:25" ht="20.100000000000001" customHeight="1">
      <c r="L271" s="2" t="s">
        <v>665</v>
      </c>
      <c r="M271" s="206" t="s">
        <v>962</v>
      </c>
      <c r="N271" s="2" t="s">
        <v>963</v>
      </c>
      <c r="Q271" s="212" t="str">
        <f t="shared" si="24"/>
        <v/>
      </c>
      <c r="R271" s="212" t="str">
        <f t="shared" si="24"/>
        <v/>
      </c>
      <c r="S271" s="212" t="str">
        <f t="shared" si="24"/>
        <v/>
      </c>
      <c r="T271" s="212" t="str">
        <f t="shared" si="25"/>
        <v/>
      </c>
      <c r="U271" s="212" t="str">
        <f t="shared" si="26"/>
        <v/>
      </c>
      <c r="V271" s="212" t="str">
        <f t="shared" si="27"/>
        <v>-</v>
      </c>
      <c r="W271" s="2" t="str">
        <f t="shared" si="28"/>
        <v>Other Tangible Assets</v>
      </c>
      <c r="X271" s="2" t="str">
        <f t="shared" si="29"/>
        <v>8437100</v>
      </c>
      <c r="Y271" s="2" t="str">
        <f t="shared" si="29"/>
        <v>Dep./ Preliminary</v>
      </c>
    </row>
    <row r="272" spans="8:25" ht="20.100000000000001" customHeight="1">
      <c r="H272" s="210" t="s">
        <v>668</v>
      </c>
      <c r="Q272" s="212" t="str">
        <f t="shared" si="24"/>
        <v/>
      </c>
      <c r="R272" s="212" t="str">
        <f t="shared" si="24"/>
        <v>■</v>
      </c>
      <c r="S272" s="212" t="str">
        <f t="shared" si="24"/>
        <v/>
      </c>
      <c r="T272" s="212" t="str">
        <f t="shared" si="25"/>
        <v/>
      </c>
      <c r="U272" s="212" t="str">
        <f t="shared" si="26"/>
        <v/>
      </c>
      <c r="V272" s="212" t="str">
        <f t="shared" si="27"/>
        <v/>
      </c>
      <c r="W272" s="15" t="str">
        <f t="shared" si="28"/>
        <v>Repairing expense</v>
      </c>
      <c r="X272" s="2" t="str">
        <f t="shared" si="29"/>
        <v/>
      </c>
      <c r="Y272" s="2" t="str">
        <f t="shared" si="29"/>
        <v/>
      </c>
    </row>
    <row r="273" spans="8:25" ht="20.100000000000001" customHeight="1">
      <c r="L273" s="2" t="s">
        <v>283</v>
      </c>
      <c r="M273" s="206" t="s">
        <v>964</v>
      </c>
      <c r="N273" s="2" t="s">
        <v>965</v>
      </c>
      <c r="Q273" s="212" t="str">
        <f t="shared" si="24"/>
        <v/>
      </c>
      <c r="R273" s="212" t="str">
        <f t="shared" si="24"/>
        <v/>
      </c>
      <c r="S273" s="212" t="str">
        <f t="shared" si="24"/>
        <v/>
      </c>
      <c r="T273" s="212" t="str">
        <f t="shared" si="25"/>
        <v/>
      </c>
      <c r="U273" s="212" t="str">
        <f t="shared" si="26"/>
        <v/>
      </c>
      <c r="V273" s="212" t="str">
        <f t="shared" si="27"/>
        <v>-</v>
      </c>
      <c r="W273" s="2" t="str">
        <f t="shared" si="28"/>
        <v>Building</v>
      </c>
      <c r="X273" s="2" t="str">
        <f t="shared" si="29"/>
        <v>8450001</v>
      </c>
      <c r="Y273" s="2" t="str">
        <f t="shared" si="29"/>
        <v>Repair./ Building</v>
      </c>
    </row>
    <row r="274" spans="8:25" ht="20.100000000000001" customHeight="1">
      <c r="L274" s="2" t="s">
        <v>295</v>
      </c>
      <c r="M274" s="206" t="s">
        <v>966</v>
      </c>
      <c r="N274" s="2" t="s">
        <v>967</v>
      </c>
      <c r="Q274" s="212" t="str">
        <f t="shared" si="24"/>
        <v/>
      </c>
      <c r="R274" s="212" t="str">
        <f t="shared" si="24"/>
        <v/>
      </c>
      <c r="S274" s="212" t="str">
        <f t="shared" si="24"/>
        <v/>
      </c>
      <c r="T274" s="212" t="str">
        <f t="shared" si="25"/>
        <v/>
      </c>
      <c r="U274" s="212" t="str">
        <f t="shared" si="26"/>
        <v/>
      </c>
      <c r="V274" s="212" t="str">
        <f t="shared" si="27"/>
        <v>-</v>
      </c>
      <c r="W274" s="2" t="str">
        <f t="shared" si="28"/>
        <v>Machinery</v>
      </c>
      <c r="X274" s="2" t="str">
        <f t="shared" si="29"/>
        <v>8450002</v>
      </c>
      <c r="Y274" s="2" t="str">
        <f t="shared" si="29"/>
        <v>Repair./ Machinery</v>
      </c>
    </row>
    <row r="275" spans="8:25" ht="20.100000000000001" customHeight="1">
      <c r="L275" s="2" t="s">
        <v>673</v>
      </c>
      <c r="M275" s="206" t="s">
        <v>968</v>
      </c>
      <c r="N275" s="2" t="s">
        <v>969</v>
      </c>
      <c r="Q275" s="212" t="str">
        <f t="shared" si="24"/>
        <v/>
      </c>
      <c r="R275" s="212" t="str">
        <f t="shared" si="24"/>
        <v/>
      </c>
      <c r="S275" s="212" t="str">
        <f t="shared" si="24"/>
        <v/>
      </c>
      <c r="T275" s="212" t="str">
        <f t="shared" si="25"/>
        <v/>
      </c>
      <c r="U275" s="212" t="str">
        <f t="shared" si="26"/>
        <v/>
      </c>
      <c r="V275" s="212" t="str">
        <f t="shared" si="27"/>
        <v>-</v>
      </c>
      <c r="W275" s="2" t="str">
        <f t="shared" si="28"/>
        <v>Delivery equipment</v>
      </c>
      <c r="X275" s="2" t="str">
        <f t="shared" si="29"/>
        <v>8450003</v>
      </c>
      <c r="Y275" s="2" t="str">
        <f t="shared" si="29"/>
        <v>Repair./ Delivery equipment</v>
      </c>
    </row>
    <row r="276" spans="8:25" ht="20.100000000000001" customHeight="1">
      <c r="L276" s="2" t="s">
        <v>676</v>
      </c>
      <c r="M276" s="206" t="s">
        <v>970</v>
      </c>
      <c r="N276" s="2" t="s">
        <v>971</v>
      </c>
      <c r="Q276" s="212" t="str">
        <f t="shared" si="24"/>
        <v/>
      </c>
      <c r="R276" s="212" t="str">
        <f t="shared" si="24"/>
        <v/>
      </c>
      <c r="S276" s="212" t="str">
        <f t="shared" si="24"/>
        <v/>
      </c>
      <c r="T276" s="212" t="str">
        <f t="shared" si="25"/>
        <v/>
      </c>
      <c r="U276" s="212" t="str">
        <f t="shared" si="26"/>
        <v/>
      </c>
      <c r="V276" s="212" t="str">
        <f t="shared" si="27"/>
        <v>-</v>
      </c>
      <c r="W276" s="2" t="str">
        <f t="shared" si="28"/>
        <v>Equipments</v>
      </c>
      <c r="X276" s="2" t="str">
        <f t="shared" si="29"/>
        <v>8450004</v>
      </c>
      <c r="Y276" s="2" t="str">
        <f t="shared" si="29"/>
        <v>Repair./ Equipment</v>
      </c>
    </row>
    <row r="277" spans="8:25" ht="20.100000000000001" customHeight="1">
      <c r="L277" s="2" t="s">
        <v>289</v>
      </c>
      <c r="M277" s="206" t="s">
        <v>972</v>
      </c>
      <c r="N277" s="2" t="s">
        <v>973</v>
      </c>
      <c r="Q277" s="212" t="str">
        <f t="shared" si="24"/>
        <v/>
      </c>
      <c r="R277" s="212" t="str">
        <f t="shared" si="24"/>
        <v/>
      </c>
      <c r="S277" s="212" t="str">
        <f t="shared" si="24"/>
        <v/>
      </c>
      <c r="T277" s="212" t="str">
        <f t="shared" si="25"/>
        <v/>
      </c>
      <c r="U277" s="212" t="str">
        <f t="shared" si="26"/>
        <v/>
      </c>
      <c r="V277" s="212" t="str">
        <f t="shared" si="27"/>
        <v>-</v>
      </c>
      <c r="W277" s="2" t="str">
        <f t="shared" si="28"/>
        <v>Construction</v>
      </c>
      <c r="X277" s="2" t="str">
        <f t="shared" si="29"/>
        <v>8450005</v>
      </c>
      <c r="Y277" s="2" t="str">
        <f t="shared" si="29"/>
        <v>Repair./ Construction</v>
      </c>
    </row>
    <row r="278" spans="8:25" ht="20.100000000000001" customHeight="1">
      <c r="L278" s="2" t="s">
        <v>654</v>
      </c>
      <c r="M278" s="206" t="s">
        <v>974</v>
      </c>
      <c r="N278" s="2" t="s">
        <v>975</v>
      </c>
      <c r="Q278" s="212" t="str">
        <f t="shared" si="24"/>
        <v/>
      </c>
      <c r="R278" s="212" t="str">
        <f t="shared" si="24"/>
        <v/>
      </c>
      <c r="S278" s="212" t="str">
        <f t="shared" si="24"/>
        <v/>
      </c>
      <c r="T278" s="212" t="str">
        <f t="shared" si="25"/>
        <v/>
      </c>
      <c r="U278" s="212" t="str">
        <f t="shared" si="26"/>
        <v/>
      </c>
      <c r="V278" s="212" t="str">
        <f t="shared" si="27"/>
        <v>-</v>
      </c>
      <c r="W278" s="2" t="str">
        <f t="shared" si="28"/>
        <v>Tools &amp; equipments</v>
      </c>
      <c r="X278" s="2" t="str">
        <f t="shared" si="29"/>
        <v>8450006</v>
      </c>
      <c r="Y278" s="2" t="str">
        <f t="shared" si="29"/>
        <v>Repair./ Tools &amp; equipments</v>
      </c>
    </row>
    <row r="279" spans="8:25" ht="20.100000000000001" customHeight="1">
      <c r="L279" s="2" t="s">
        <v>683</v>
      </c>
      <c r="M279" s="206" t="s">
        <v>976</v>
      </c>
      <c r="N279" s="2" t="s">
        <v>977</v>
      </c>
      <c r="Q279" s="212" t="str">
        <f t="shared" si="24"/>
        <v/>
      </c>
      <c r="R279" s="212" t="str">
        <f t="shared" si="24"/>
        <v/>
      </c>
      <c r="S279" s="212" t="str">
        <f t="shared" si="24"/>
        <v/>
      </c>
      <c r="T279" s="212" t="str">
        <f t="shared" si="25"/>
        <v/>
      </c>
      <c r="U279" s="212" t="str">
        <f t="shared" si="26"/>
        <v/>
      </c>
      <c r="V279" s="212" t="str">
        <f t="shared" si="27"/>
        <v>-</v>
      </c>
      <c r="W279" s="2" t="str">
        <f t="shared" si="28"/>
        <v>Other Repairing expense</v>
      </c>
      <c r="X279" s="2" t="str">
        <f t="shared" si="29"/>
        <v>8450009</v>
      </c>
      <c r="Y279" s="2" t="str">
        <f t="shared" si="29"/>
        <v>Repair./ Others</v>
      </c>
    </row>
    <row r="280" spans="8:25" ht="20.100000000000001" customHeight="1">
      <c r="H280" s="210" t="s">
        <v>686</v>
      </c>
      <c r="I280" s="2"/>
      <c r="J280" s="2"/>
      <c r="Q280" s="212" t="str">
        <f t="shared" si="24"/>
        <v/>
      </c>
      <c r="R280" s="212" t="str">
        <f t="shared" si="24"/>
        <v>■</v>
      </c>
      <c r="S280" s="212" t="str">
        <f t="shared" si="24"/>
        <v/>
      </c>
      <c r="T280" s="212" t="str">
        <f t="shared" si="25"/>
        <v/>
      </c>
      <c r="U280" s="212" t="str">
        <f t="shared" si="26"/>
        <v/>
      </c>
      <c r="V280" s="212" t="str">
        <f t="shared" si="27"/>
        <v/>
      </c>
      <c r="W280" s="15" t="str">
        <f t="shared" si="28"/>
        <v>Insurance</v>
      </c>
      <c r="X280" s="2" t="str">
        <f t="shared" si="29"/>
        <v/>
      </c>
      <c r="Y280" s="2" t="str">
        <f t="shared" si="29"/>
        <v/>
      </c>
    </row>
    <row r="281" spans="8:25" ht="20.100000000000001" customHeight="1">
      <c r="L281" s="2" t="s">
        <v>978</v>
      </c>
      <c r="M281" s="206" t="s">
        <v>979</v>
      </c>
      <c r="N281" s="2" t="s">
        <v>980</v>
      </c>
      <c r="Q281" s="212" t="str">
        <f t="shared" si="24"/>
        <v/>
      </c>
      <c r="R281" s="212" t="str">
        <f t="shared" si="24"/>
        <v/>
      </c>
      <c r="S281" s="212" t="str">
        <f t="shared" si="24"/>
        <v/>
      </c>
      <c r="T281" s="212" t="str">
        <f t="shared" si="25"/>
        <v/>
      </c>
      <c r="U281" s="212" t="str">
        <f t="shared" si="26"/>
        <v/>
      </c>
      <c r="V281" s="212" t="str">
        <f t="shared" si="27"/>
        <v>-</v>
      </c>
      <c r="W281" s="2" t="str">
        <f t="shared" si="28"/>
        <v>Fire</v>
      </c>
      <c r="X281" s="2" t="str">
        <f t="shared" si="29"/>
        <v>8470001</v>
      </c>
      <c r="Y281" s="2" t="str">
        <f t="shared" si="29"/>
        <v>Insurance / Fire</v>
      </c>
    </row>
    <row r="282" spans="8:25" ht="20.100000000000001" customHeight="1">
      <c r="L282" s="2" t="s">
        <v>981</v>
      </c>
      <c r="M282" s="206" t="s">
        <v>982</v>
      </c>
      <c r="N282" s="2" t="s">
        <v>983</v>
      </c>
      <c r="Q282" s="212" t="str">
        <f t="shared" si="24"/>
        <v/>
      </c>
      <c r="R282" s="212" t="str">
        <f t="shared" si="24"/>
        <v/>
      </c>
      <c r="S282" s="212" t="str">
        <f t="shared" si="24"/>
        <v/>
      </c>
      <c r="T282" s="212" t="str">
        <f t="shared" si="25"/>
        <v/>
      </c>
      <c r="U282" s="212" t="str">
        <f t="shared" si="26"/>
        <v/>
      </c>
      <c r="V282" s="212" t="str">
        <f t="shared" si="27"/>
        <v>-</v>
      </c>
      <c r="W282" s="2" t="str">
        <f t="shared" si="28"/>
        <v>Car</v>
      </c>
      <c r="X282" s="2" t="str">
        <f t="shared" si="29"/>
        <v>8470002</v>
      </c>
      <c r="Y282" s="2" t="str">
        <f t="shared" si="29"/>
        <v>Insurance / Car</v>
      </c>
    </row>
    <row r="283" spans="8:25" ht="20.100000000000001" customHeight="1">
      <c r="L283" s="2" t="s">
        <v>984</v>
      </c>
      <c r="M283" s="206" t="s">
        <v>985</v>
      </c>
      <c r="N283" s="2" t="s">
        <v>986</v>
      </c>
      <c r="Q283" s="212" t="str">
        <f t="shared" si="24"/>
        <v/>
      </c>
      <c r="R283" s="212" t="str">
        <f t="shared" si="24"/>
        <v/>
      </c>
      <c r="S283" s="212" t="str">
        <f t="shared" si="24"/>
        <v/>
      </c>
      <c r="T283" s="212" t="str">
        <f t="shared" si="25"/>
        <v/>
      </c>
      <c r="U283" s="212" t="str">
        <f t="shared" si="26"/>
        <v/>
      </c>
      <c r="V283" s="212" t="str">
        <f t="shared" si="27"/>
        <v>-</v>
      </c>
      <c r="W283" s="2" t="str">
        <f t="shared" si="28"/>
        <v>Export</v>
      </c>
      <c r="X283" s="2" t="str">
        <f t="shared" si="29"/>
        <v>8470003</v>
      </c>
      <c r="Y283" s="2" t="str">
        <f t="shared" si="29"/>
        <v>Insurance / Export</v>
      </c>
    </row>
    <row r="284" spans="8:25" ht="20.100000000000001" customHeight="1">
      <c r="I284" s="2"/>
      <c r="J284" s="2"/>
      <c r="L284" s="2" t="s">
        <v>987</v>
      </c>
      <c r="M284" s="206" t="s">
        <v>988</v>
      </c>
      <c r="N284" s="2" t="s">
        <v>989</v>
      </c>
      <c r="Q284" s="212" t="str">
        <f t="shared" si="24"/>
        <v/>
      </c>
      <c r="R284" s="212" t="str">
        <f t="shared" si="24"/>
        <v/>
      </c>
      <c r="S284" s="212" t="str">
        <f t="shared" si="24"/>
        <v/>
      </c>
      <c r="T284" s="212" t="str">
        <f t="shared" si="25"/>
        <v/>
      </c>
      <c r="U284" s="212" t="str">
        <f t="shared" si="26"/>
        <v/>
      </c>
      <c r="V284" s="212" t="str">
        <f t="shared" si="27"/>
        <v>-</v>
      </c>
      <c r="W284" s="2" t="str">
        <f t="shared" si="28"/>
        <v>Other Insurance</v>
      </c>
      <c r="X284" s="2" t="str">
        <f t="shared" si="29"/>
        <v>8470009</v>
      </c>
      <c r="Y284" s="2" t="str">
        <f t="shared" si="29"/>
        <v>Insurance / Others</v>
      </c>
    </row>
    <row r="285" spans="8:25" ht="20.100000000000001" customHeight="1">
      <c r="H285" s="210" t="s">
        <v>990</v>
      </c>
      <c r="I285" s="2"/>
      <c r="J285" s="2"/>
      <c r="M285" s="206" t="s">
        <v>991</v>
      </c>
      <c r="N285" s="2" t="s">
        <v>992</v>
      </c>
      <c r="Q285" s="212" t="str">
        <f t="shared" si="24"/>
        <v/>
      </c>
      <c r="R285" s="212" t="str">
        <f t="shared" si="24"/>
        <v>■</v>
      </c>
      <c r="S285" s="212" t="str">
        <f t="shared" si="24"/>
        <v/>
      </c>
      <c r="T285" s="212" t="str">
        <f t="shared" si="25"/>
        <v/>
      </c>
      <c r="U285" s="212" t="str">
        <f t="shared" si="26"/>
        <v/>
      </c>
      <c r="V285" s="212" t="str">
        <f t="shared" si="27"/>
        <v/>
      </c>
      <c r="W285" s="15" t="str">
        <f t="shared" si="28"/>
        <v>Entertainment</v>
      </c>
      <c r="X285" s="2" t="str">
        <f t="shared" si="29"/>
        <v>8490000</v>
      </c>
      <c r="Y285" s="2" t="str">
        <f t="shared" si="29"/>
        <v>Entertainment</v>
      </c>
    </row>
    <row r="286" spans="8:25" ht="20.100000000000001" customHeight="1">
      <c r="H286" s="210" t="s">
        <v>993</v>
      </c>
      <c r="I286" s="2"/>
      <c r="J286" s="2"/>
      <c r="Q286" s="212" t="str">
        <f t="shared" si="24"/>
        <v/>
      </c>
      <c r="R286" s="212" t="str">
        <f t="shared" si="24"/>
        <v>■</v>
      </c>
      <c r="S286" s="212" t="str">
        <f t="shared" si="24"/>
        <v/>
      </c>
      <c r="T286" s="212" t="str">
        <f t="shared" si="25"/>
        <v/>
      </c>
      <c r="U286" s="212" t="str">
        <f t="shared" si="26"/>
        <v/>
      </c>
      <c r="V286" s="212" t="str">
        <f t="shared" si="27"/>
        <v/>
      </c>
      <c r="W286" s="15" t="str">
        <f t="shared" si="28"/>
        <v>Advertising expense</v>
      </c>
      <c r="X286" s="2" t="str">
        <f t="shared" si="29"/>
        <v/>
      </c>
      <c r="Y286" s="2" t="str">
        <f t="shared" si="29"/>
        <v/>
      </c>
    </row>
    <row r="287" spans="8:25" ht="20.100000000000001" customHeight="1">
      <c r="I287" s="2"/>
      <c r="J287" s="2"/>
      <c r="L287" s="2" t="s">
        <v>994</v>
      </c>
      <c r="M287" s="206" t="s">
        <v>995</v>
      </c>
      <c r="N287" s="2" t="s">
        <v>996</v>
      </c>
      <c r="Q287" s="212" t="str">
        <f t="shared" si="24"/>
        <v/>
      </c>
      <c r="R287" s="212" t="str">
        <f t="shared" si="24"/>
        <v/>
      </c>
      <c r="S287" s="212" t="str">
        <f t="shared" si="24"/>
        <v/>
      </c>
      <c r="T287" s="212" t="str">
        <f t="shared" si="25"/>
        <v/>
      </c>
      <c r="U287" s="212" t="str">
        <f t="shared" si="26"/>
        <v/>
      </c>
      <c r="V287" s="212" t="str">
        <f t="shared" si="27"/>
        <v>-</v>
      </c>
      <c r="W287" s="2" t="str">
        <f t="shared" si="28"/>
        <v>Recruit</v>
      </c>
      <c r="X287" s="2" t="str">
        <f t="shared" si="29"/>
        <v>8510001</v>
      </c>
      <c r="Y287" s="2" t="str">
        <f t="shared" si="29"/>
        <v>Advertising / Recruit</v>
      </c>
    </row>
    <row r="288" spans="8:25" ht="20.100000000000001" customHeight="1">
      <c r="I288" s="2"/>
      <c r="J288" s="2"/>
      <c r="L288" s="2" t="s">
        <v>997</v>
      </c>
      <c r="M288" s="206" t="s">
        <v>998</v>
      </c>
      <c r="N288" s="2" t="s">
        <v>999</v>
      </c>
      <c r="Q288" s="212" t="str">
        <f t="shared" si="24"/>
        <v/>
      </c>
      <c r="R288" s="212" t="str">
        <f t="shared" si="24"/>
        <v/>
      </c>
      <c r="S288" s="212" t="str">
        <f t="shared" si="24"/>
        <v/>
      </c>
      <c r="T288" s="212" t="str">
        <f t="shared" si="25"/>
        <v/>
      </c>
      <c r="U288" s="212" t="str">
        <f t="shared" si="26"/>
        <v/>
      </c>
      <c r="V288" s="212" t="str">
        <f t="shared" si="27"/>
        <v>-</v>
      </c>
      <c r="W288" s="2" t="str">
        <f t="shared" si="28"/>
        <v>Other Advertising expense</v>
      </c>
      <c r="X288" s="2" t="str">
        <f t="shared" si="29"/>
        <v>8510009</v>
      </c>
      <c r="Y288" s="2" t="str">
        <f t="shared" si="29"/>
        <v>Advertising / Others</v>
      </c>
    </row>
    <row r="289" spans="8:25" ht="20.100000000000001" customHeight="1">
      <c r="H289" s="210" t="s">
        <v>1000</v>
      </c>
      <c r="I289" s="2"/>
      <c r="J289" s="2"/>
      <c r="M289" s="206" t="s">
        <v>1001</v>
      </c>
      <c r="N289" s="2" t="s">
        <v>1002</v>
      </c>
      <c r="Q289" s="212" t="str">
        <f t="shared" si="24"/>
        <v/>
      </c>
      <c r="R289" s="212" t="str">
        <f t="shared" si="24"/>
        <v>■</v>
      </c>
      <c r="S289" s="212" t="str">
        <f t="shared" si="24"/>
        <v/>
      </c>
      <c r="T289" s="212" t="str">
        <f t="shared" si="25"/>
        <v/>
      </c>
      <c r="U289" s="212" t="str">
        <f t="shared" si="26"/>
        <v/>
      </c>
      <c r="V289" s="212" t="str">
        <f t="shared" si="27"/>
        <v/>
      </c>
      <c r="W289" s="15" t="str">
        <f t="shared" si="28"/>
        <v>Development expense</v>
      </c>
      <c r="X289" s="2" t="str">
        <f t="shared" si="29"/>
        <v>8530000</v>
      </c>
      <c r="Y289" s="2" t="str">
        <f t="shared" si="29"/>
        <v>Development exp.</v>
      </c>
    </row>
    <row r="290" spans="8:25" ht="20.100000000000001" customHeight="1">
      <c r="H290" s="210" t="s">
        <v>1003</v>
      </c>
      <c r="I290" s="2"/>
      <c r="J290" s="2"/>
      <c r="M290" s="206" t="s">
        <v>1004</v>
      </c>
      <c r="N290" s="2" t="s">
        <v>1005</v>
      </c>
      <c r="Q290" s="212" t="str">
        <f t="shared" si="24"/>
        <v/>
      </c>
      <c r="R290" s="212" t="str">
        <f t="shared" si="24"/>
        <v>■</v>
      </c>
      <c r="S290" s="212" t="str">
        <f t="shared" si="24"/>
        <v/>
      </c>
      <c r="T290" s="212" t="str">
        <f t="shared" si="25"/>
        <v/>
      </c>
      <c r="U290" s="212" t="str">
        <f t="shared" si="26"/>
        <v/>
      </c>
      <c r="V290" s="212" t="str">
        <f t="shared" si="27"/>
        <v/>
      </c>
      <c r="W290" s="15" t="str">
        <f t="shared" si="28"/>
        <v>Samples expense</v>
      </c>
      <c r="X290" s="2" t="str">
        <f t="shared" si="29"/>
        <v>8550000</v>
      </c>
      <c r="Y290" s="2" t="str">
        <f t="shared" si="29"/>
        <v>Samples exp.</v>
      </c>
    </row>
    <row r="291" spans="8:25" ht="20.100000000000001" customHeight="1">
      <c r="H291" s="210" t="s">
        <v>714</v>
      </c>
      <c r="I291" s="2"/>
      <c r="J291" s="2"/>
      <c r="Q291" s="212" t="str">
        <f t="shared" si="24"/>
        <v/>
      </c>
      <c r="R291" s="212" t="str">
        <f t="shared" si="24"/>
        <v>■</v>
      </c>
      <c r="S291" s="212" t="str">
        <f t="shared" si="24"/>
        <v/>
      </c>
      <c r="T291" s="212" t="str">
        <f t="shared" si="25"/>
        <v/>
      </c>
      <c r="U291" s="212" t="str">
        <f t="shared" si="26"/>
        <v/>
      </c>
      <c r="V291" s="212" t="str">
        <f t="shared" si="27"/>
        <v/>
      </c>
      <c r="W291" s="15" t="str">
        <f t="shared" si="28"/>
        <v>Freight charge</v>
      </c>
      <c r="X291" s="2" t="str">
        <f t="shared" si="29"/>
        <v/>
      </c>
      <c r="Y291" s="2" t="str">
        <f t="shared" si="29"/>
        <v/>
      </c>
    </row>
    <row r="292" spans="8:25" ht="20.100000000000001" customHeight="1">
      <c r="I292" s="2"/>
      <c r="J292" s="2"/>
      <c r="L292" s="2" t="s">
        <v>1006</v>
      </c>
      <c r="M292" s="206" t="s">
        <v>1007</v>
      </c>
      <c r="N292" s="2" t="s">
        <v>1008</v>
      </c>
      <c r="Q292" s="212" t="str">
        <f t="shared" si="24"/>
        <v/>
      </c>
      <c r="R292" s="212" t="str">
        <f t="shared" si="24"/>
        <v/>
      </c>
      <c r="S292" s="212" t="str">
        <f t="shared" si="24"/>
        <v/>
      </c>
      <c r="T292" s="212" t="str">
        <f t="shared" si="25"/>
        <v/>
      </c>
      <c r="U292" s="212" t="str">
        <f t="shared" si="26"/>
        <v/>
      </c>
      <c r="V292" s="212" t="str">
        <f t="shared" si="27"/>
        <v>-</v>
      </c>
      <c r="W292" s="2" t="str">
        <f t="shared" si="28"/>
        <v>Air</v>
      </c>
      <c r="X292" s="2" t="str">
        <f t="shared" si="29"/>
        <v>8570001</v>
      </c>
      <c r="Y292" s="2" t="str">
        <f t="shared" si="29"/>
        <v>Freight chg./ Air</v>
      </c>
    </row>
    <row r="293" spans="8:25" ht="20.100000000000001" customHeight="1">
      <c r="I293" s="2"/>
      <c r="J293" s="2"/>
      <c r="L293" s="2" t="s">
        <v>1009</v>
      </c>
      <c r="M293" s="206" t="s">
        <v>1010</v>
      </c>
      <c r="N293" s="2" t="s">
        <v>1011</v>
      </c>
      <c r="Q293" s="212" t="str">
        <f t="shared" si="24"/>
        <v/>
      </c>
      <c r="R293" s="212" t="str">
        <f t="shared" si="24"/>
        <v/>
      </c>
      <c r="S293" s="212" t="str">
        <f t="shared" si="24"/>
        <v/>
      </c>
      <c r="T293" s="212" t="str">
        <f t="shared" si="25"/>
        <v/>
      </c>
      <c r="U293" s="212" t="str">
        <f t="shared" si="26"/>
        <v/>
      </c>
      <c r="V293" s="212" t="str">
        <f t="shared" si="27"/>
        <v>-</v>
      </c>
      <c r="W293" s="2" t="str">
        <f t="shared" si="28"/>
        <v>Vesssel</v>
      </c>
      <c r="X293" s="2" t="str">
        <f t="shared" si="29"/>
        <v>8570003</v>
      </c>
      <c r="Y293" s="2" t="str">
        <f t="shared" si="29"/>
        <v>Freight chg./ Vessel</v>
      </c>
    </row>
    <row r="294" spans="8:25" ht="20.100000000000001" customHeight="1">
      <c r="I294" s="2"/>
      <c r="J294" s="2"/>
      <c r="L294" s="2" t="s">
        <v>1012</v>
      </c>
      <c r="M294" s="206" t="s">
        <v>1013</v>
      </c>
      <c r="N294" s="2" t="s">
        <v>1014</v>
      </c>
      <c r="Q294" s="212" t="str">
        <f t="shared" si="24"/>
        <v/>
      </c>
      <c r="R294" s="212" t="str">
        <f t="shared" si="24"/>
        <v/>
      </c>
      <c r="S294" s="212" t="str">
        <f t="shared" si="24"/>
        <v/>
      </c>
      <c r="T294" s="212" t="str">
        <f t="shared" si="25"/>
        <v/>
      </c>
      <c r="U294" s="212" t="str">
        <f t="shared" si="26"/>
        <v/>
      </c>
      <c r="V294" s="212" t="str">
        <f t="shared" si="27"/>
        <v>-</v>
      </c>
      <c r="W294" s="2" t="str">
        <f t="shared" si="28"/>
        <v>Trucking</v>
      </c>
      <c r="X294" s="2" t="str">
        <f t="shared" si="29"/>
        <v>8570005</v>
      </c>
      <c r="Y294" s="2" t="str">
        <f t="shared" si="29"/>
        <v>Freight chg./ Trucking</v>
      </c>
    </row>
    <row r="295" spans="8:25" ht="20.100000000000001" customHeight="1">
      <c r="H295" s="210" t="s">
        <v>1015</v>
      </c>
      <c r="I295" s="2"/>
      <c r="J295" s="2"/>
      <c r="Q295" s="212" t="str">
        <f t="shared" si="24"/>
        <v/>
      </c>
      <c r="R295" s="212" t="str">
        <f t="shared" si="24"/>
        <v>■</v>
      </c>
      <c r="S295" s="212" t="str">
        <f t="shared" si="24"/>
        <v/>
      </c>
      <c r="T295" s="212" t="str">
        <f t="shared" si="25"/>
        <v/>
      </c>
      <c r="U295" s="212" t="str">
        <f t="shared" si="26"/>
        <v/>
      </c>
      <c r="V295" s="212" t="str">
        <f t="shared" si="27"/>
        <v/>
      </c>
      <c r="W295" s="15" t="str">
        <f t="shared" si="28"/>
        <v>Commission</v>
      </c>
      <c r="X295" s="2" t="str">
        <f t="shared" si="29"/>
        <v/>
      </c>
      <c r="Y295" s="2" t="str">
        <f t="shared" si="29"/>
        <v/>
      </c>
    </row>
    <row r="296" spans="8:25" ht="20.100000000000001" customHeight="1">
      <c r="H296" s="210"/>
      <c r="I296" s="2"/>
      <c r="J296" s="2"/>
      <c r="L296" s="2" t="s">
        <v>1016</v>
      </c>
      <c r="M296" s="206" t="s">
        <v>1017</v>
      </c>
      <c r="N296" s="2" t="s">
        <v>1018</v>
      </c>
      <c r="Q296" s="212" t="str">
        <f t="shared" si="24"/>
        <v/>
      </c>
      <c r="R296" s="212" t="str">
        <f t="shared" si="24"/>
        <v/>
      </c>
      <c r="S296" s="212" t="str">
        <f t="shared" si="24"/>
        <v/>
      </c>
      <c r="T296" s="212" t="str">
        <f t="shared" si="25"/>
        <v/>
      </c>
      <c r="U296" s="212" t="str">
        <f t="shared" si="26"/>
        <v/>
      </c>
      <c r="V296" s="212" t="str">
        <f t="shared" si="27"/>
        <v>-</v>
      </c>
      <c r="W296" s="2" t="str">
        <f t="shared" si="28"/>
        <v>Import &amp; export expense</v>
      </c>
      <c r="X296" s="2" t="str">
        <f t="shared" si="29"/>
        <v>8590101</v>
      </c>
      <c r="Y296" s="2" t="str">
        <f t="shared" si="29"/>
        <v>Import &amp; export exp./ Import</v>
      </c>
    </row>
    <row r="297" spans="8:25" ht="20.100000000000001" customHeight="1">
      <c r="H297" s="210"/>
      <c r="I297" s="2"/>
      <c r="J297" s="2"/>
      <c r="L297" s="2" t="s">
        <v>1016</v>
      </c>
      <c r="M297" s="206" t="s">
        <v>1019</v>
      </c>
      <c r="N297" s="2" t="s">
        <v>1020</v>
      </c>
      <c r="Q297" s="212" t="str">
        <f t="shared" si="24"/>
        <v/>
      </c>
      <c r="R297" s="212" t="str">
        <f t="shared" si="24"/>
        <v/>
      </c>
      <c r="S297" s="212" t="str">
        <f t="shared" si="24"/>
        <v/>
      </c>
      <c r="T297" s="212" t="str">
        <f t="shared" si="25"/>
        <v/>
      </c>
      <c r="U297" s="212" t="str">
        <f t="shared" si="26"/>
        <v/>
      </c>
      <c r="V297" s="212" t="str">
        <f t="shared" si="27"/>
        <v>-</v>
      </c>
      <c r="W297" s="2" t="str">
        <f t="shared" si="28"/>
        <v>Import &amp; export expense</v>
      </c>
      <c r="X297" s="2" t="str">
        <f t="shared" si="29"/>
        <v>8590105</v>
      </c>
      <c r="Y297" s="2" t="str">
        <f t="shared" si="29"/>
        <v>Import &amp; export exp./ Export</v>
      </c>
    </row>
    <row r="298" spans="8:25" ht="20.100000000000001" customHeight="1">
      <c r="H298" s="210"/>
      <c r="I298" s="2"/>
      <c r="J298" s="2"/>
      <c r="L298" s="2" t="s">
        <v>1016</v>
      </c>
      <c r="M298" s="206" t="s">
        <v>1021</v>
      </c>
      <c r="N298" s="2" t="s">
        <v>1022</v>
      </c>
      <c r="Q298" s="212" t="str">
        <f t="shared" si="24"/>
        <v/>
      </c>
      <c r="R298" s="212" t="str">
        <f t="shared" si="24"/>
        <v/>
      </c>
      <c r="S298" s="212" t="str">
        <f t="shared" si="24"/>
        <v/>
      </c>
      <c r="T298" s="212" t="str">
        <f t="shared" si="25"/>
        <v/>
      </c>
      <c r="U298" s="212" t="str">
        <f t="shared" si="26"/>
        <v/>
      </c>
      <c r="V298" s="212" t="str">
        <f t="shared" si="27"/>
        <v>-</v>
      </c>
      <c r="W298" s="2" t="str">
        <f t="shared" si="28"/>
        <v>Import &amp; export expense</v>
      </c>
      <c r="X298" s="2" t="str">
        <f t="shared" si="29"/>
        <v>8590109</v>
      </c>
      <c r="Y298" s="2" t="str">
        <f t="shared" si="29"/>
        <v>Import &amp; export exp./ Others</v>
      </c>
    </row>
    <row r="299" spans="8:25" ht="20.100000000000001" customHeight="1">
      <c r="I299" s="2"/>
      <c r="J299" s="2"/>
      <c r="L299" s="2" t="s">
        <v>1023</v>
      </c>
      <c r="M299" s="206" t="s">
        <v>1024</v>
      </c>
      <c r="N299" s="2" t="s">
        <v>1025</v>
      </c>
      <c r="Q299" s="212" t="str">
        <f t="shared" si="24"/>
        <v/>
      </c>
      <c r="R299" s="212" t="str">
        <f t="shared" si="24"/>
        <v/>
      </c>
      <c r="S299" s="212" t="str">
        <f t="shared" si="24"/>
        <v/>
      </c>
      <c r="T299" s="212" t="str">
        <f t="shared" si="25"/>
        <v/>
      </c>
      <c r="U299" s="212" t="str">
        <f t="shared" si="26"/>
        <v/>
      </c>
      <c r="V299" s="212" t="str">
        <f t="shared" si="27"/>
        <v>-</v>
      </c>
      <c r="W299" s="2" t="str">
        <f t="shared" si="28"/>
        <v>Bank fee</v>
      </c>
      <c r="X299" s="2" t="str">
        <f t="shared" si="29"/>
        <v>8590201</v>
      </c>
      <c r="Y299" s="2" t="str">
        <f t="shared" si="29"/>
        <v>Commission / Bank fee</v>
      </c>
    </row>
    <row r="300" spans="8:25" ht="20.100000000000001" customHeight="1">
      <c r="I300" s="2"/>
      <c r="J300" s="2"/>
      <c r="L300" s="2" t="s">
        <v>1026</v>
      </c>
      <c r="M300" s="206" t="s">
        <v>1027</v>
      </c>
      <c r="N300" s="2" t="s">
        <v>1028</v>
      </c>
      <c r="Q300" s="212" t="str">
        <f t="shared" si="24"/>
        <v/>
      </c>
      <c r="R300" s="212" t="str">
        <f t="shared" si="24"/>
        <v/>
      </c>
      <c r="S300" s="212" t="str">
        <f t="shared" si="24"/>
        <v/>
      </c>
      <c r="T300" s="212" t="str">
        <f t="shared" si="25"/>
        <v/>
      </c>
      <c r="U300" s="212" t="str">
        <f t="shared" si="26"/>
        <v/>
      </c>
      <c r="V300" s="212" t="str">
        <f t="shared" si="27"/>
        <v>-</v>
      </c>
      <c r="W300" s="2" t="str">
        <f t="shared" si="28"/>
        <v>Service charges</v>
      </c>
      <c r="X300" s="2" t="str">
        <f t="shared" si="29"/>
        <v>8590301</v>
      </c>
      <c r="Y300" s="2" t="str">
        <f t="shared" si="29"/>
        <v>Commission / Service Charges</v>
      </c>
    </row>
    <row r="301" spans="8:25" ht="20.100000000000001" customHeight="1">
      <c r="I301" s="2"/>
      <c r="J301" s="2"/>
      <c r="L301" s="2" t="s">
        <v>1026</v>
      </c>
      <c r="M301" s="206" t="s">
        <v>1029</v>
      </c>
      <c r="N301" s="2" t="s">
        <v>1030</v>
      </c>
      <c r="Q301" s="212" t="str">
        <f t="shared" si="24"/>
        <v/>
      </c>
      <c r="R301" s="212" t="str">
        <f t="shared" si="24"/>
        <v/>
      </c>
      <c r="S301" s="212" t="str">
        <f t="shared" si="24"/>
        <v/>
      </c>
      <c r="T301" s="212" t="str">
        <f t="shared" si="25"/>
        <v/>
      </c>
      <c r="U301" s="212" t="str">
        <f t="shared" si="26"/>
        <v/>
      </c>
      <c r="V301" s="212" t="str">
        <f t="shared" si="27"/>
        <v>-</v>
      </c>
      <c r="W301" s="2" t="str">
        <f t="shared" si="28"/>
        <v>Service charges</v>
      </c>
      <c r="X301" s="2" t="str">
        <f t="shared" si="29"/>
        <v>8590305</v>
      </c>
      <c r="Y301" s="2" t="str">
        <f t="shared" si="29"/>
        <v>Commission / Accounting fee</v>
      </c>
    </row>
    <row r="302" spans="8:25" ht="20.100000000000001" customHeight="1">
      <c r="I302" s="2"/>
      <c r="J302" s="2"/>
      <c r="L302" s="2" t="s">
        <v>1026</v>
      </c>
      <c r="M302" s="206" t="s">
        <v>1031</v>
      </c>
      <c r="N302" s="2" t="s">
        <v>1032</v>
      </c>
      <c r="Q302" s="212" t="str">
        <f t="shared" si="24"/>
        <v/>
      </c>
      <c r="R302" s="212" t="str">
        <f t="shared" si="24"/>
        <v/>
      </c>
      <c r="S302" s="212" t="str">
        <f t="shared" si="24"/>
        <v/>
      </c>
      <c r="T302" s="212" t="str">
        <f t="shared" si="25"/>
        <v/>
      </c>
      <c r="U302" s="212" t="str">
        <f t="shared" si="26"/>
        <v/>
      </c>
      <c r="V302" s="212" t="str">
        <f t="shared" si="27"/>
        <v>-</v>
      </c>
      <c r="W302" s="2" t="str">
        <f t="shared" si="28"/>
        <v>Service charges</v>
      </c>
      <c r="X302" s="2" t="str">
        <f t="shared" si="29"/>
        <v>8590306</v>
      </c>
      <c r="Y302" s="2" t="str">
        <f t="shared" si="29"/>
        <v>Commission / Legal service fee</v>
      </c>
    </row>
    <row r="303" spans="8:25" ht="20.100000000000001" customHeight="1">
      <c r="I303" s="2"/>
      <c r="J303" s="2"/>
      <c r="L303" s="2" t="s">
        <v>1033</v>
      </c>
      <c r="M303" s="206" t="s">
        <v>1034</v>
      </c>
      <c r="N303" s="2" t="s">
        <v>1035</v>
      </c>
      <c r="Q303" s="212" t="str">
        <f t="shared" si="24"/>
        <v/>
      </c>
      <c r="R303" s="212" t="str">
        <f t="shared" si="24"/>
        <v/>
      </c>
      <c r="S303" s="212" t="str">
        <f t="shared" si="24"/>
        <v/>
      </c>
      <c r="T303" s="212" t="str">
        <f t="shared" si="25"/>
        <v/>
      </c>
      <c r="U303" s="212" t="str">
        <f t="shared" si="26"/>
        <v/>
      </c>
      <c r="V303" s="212" t="str">
        <f t="shared" si="27"/>
        <v>-</v>
      </c>
      <c r="W303" s="2" t="str">
        <f t="shared" si="28"/>
        <v>Visa fee</v>
      </c>
      <c r="X303" s="2" t="str">
        <f t="shared" si="29"/>
        <v>8590303</v>
      </c>
      <c r="Y303" s="2" t="str">
        <f t="shared" si="29"/>
        <v>Commission / Visa fee</v>
      </c>
    </row>
    <row r="304" spans="8:25" ht="20.100000000000001" customHeight="1">
      <c r="I304" s="2"/>
      <c r="J304" s="2"/>
      <c r="L304" s="2" t="s">
        <v>1036</v>
      </c>
      <c r="M304" s="206" t="s">
        <v>1037</v>
      </c>
      <c r="N304" s="2" t="s">
        <v>1038</v>
      </c>
      <c r="Q304" s="212" t="str">
        <f t="shared" si="24"/>
        <v/>
      </c>
      <c r="R304" s="212" t="str">
        <f t="shared" si="24"/>
        <v/>
      </c>
      <c r="S304" s="212" t="str">
        <f t="shared" si="24"/>
        <v/>
      </c>
      <c r="T304" s="212" t="str">
        <f t="shared" si="25"/>
        <v/>
      </c>
      <c r="U304" s="212" t="str">
        <f t="shared" si="26"/>
        <v/>
      </c>
      <c r="V304" s="212" t="str">
        <f t="shared" si="27"/>
        <v>-</v>
      </c>
      <c r="W304" s="2" t="str">
        <f t="shared" si="28"/>
        <v>Other Commissions</v>
      </c>
      <c r="X304" s="2" t="str">
        <f t="shared" si="29"/>
        <v>8590901</v>
      </c>
      <c r="Y304" s="2" t="str">
        <f t="shared" si="29"/>
        <v>Commission / Others</v>
      </c>
    </row>
    <row r="305" spans="8:25" ht="20.100000000000001" customHeight="1">
      <c r="H305" s="210" t="s">
        <v>1039</v>
      </c>
      <c r="I305" s="2"/>
      <c r="J305" s="2"/>
      <c r="Q305" s="212" t="str">
        <f t="shared" si="24"/>
        <v/>
      </c>
      <c r="R305" s="212" t="str">
        <f t="shared" si="24"/>
        <v>■</v>
      </c>
      <c r="S305" s="212" t="str">
        <f t="shared" si="24"/>
        <v/>
      </c>
      <c r="T305" s="212" t="str">
        <f t="shared" si="25"/>
        <v/>
      </c>
      <c r="U305" s="212" t="str">
        <f t="shared" si="26"/>
        <v/>
      </c>
      <c r="V305" s="212" t="str">
        <f t="shared" si="27"/>
        <v/>
      </c>
      <c r="W305" s="15" t="str">
        <f t="shared" si="28"/>
        <v>Consumable supplies</v>
      </c>
      <c r="X305" s="2" t="str">
        <f t="shared" si="29"/>
        <v/>
      </c>
      <c r="Y305" s="2" t="str">
        <f t="shared" si="29"/>
        <v/>
      </c>
    </row>
    <row r="306" spans="8:25" ht="20.100000000000001" customHeight="1">
      <c r="I306" s="2"/>
      <c r="J306" s="2"/>
      <c r="L306" s="2" t="s">
        <v>753</v>
      </c>
      <c r="M306" s="206" t="s">
        <v>1040</v>
      </c>
      <c r="N306" s="2" t="s">
        <v>1041</v>
      </c>
      <c r="Q306" s="212" t="str">
        <f t="shared" si="24"/>
        <v/>
      </c>
      <c r="R306" s="212" t="str">
        <f t="shared" si="24"/>
        <v/>
      </c>
      <c r="S306" s="212" t="str">
        <f t="shared" si="24"/>
        <v/>
      </c>
      <c r="T306" s="212" t="str">
        <f t="shared" si="25"/>
        <v/>
      </c>
      <c r="U306" s="212" t="str">
        <f t="shared" si="26"/>
        <v/>
      </c>
      <c r="V306" s="212" t="str">
        <f t="shared" si="27"/>
        <v>-</v>
      </c>
      <c r="W306" s="2" t="str">
        <f t="shared" si="28"/>
        <v>Stationery</v>
      </c>
      <c r="X306" s="2" t="str">
        <f t="shared" si="29"/>
        <v>8610001</v>
      </c>
      <c r="Y306" s="2" t="str">
        <f t="shared" si="29"/>
        <v>Office Supplies / Stationery</v>
      </c>
    </row>
    <row r="307" spans="8:25" ht="20.100000000000001" customHeight="1">
      <c r="I307" s="2"/>
      <c r="J307" s="2"/>
      <c r="L307" s="2" t="s">
        <v>756</v>
      </c>
      <c r="M307" s="206" t="s">
        <v>1042</v>
      </c>
      <c r="N307" s="2" t="s">
        <v>1043</v>
      </c>
      <c r="Q307" s="212" t="str">
        <f t="shared" si="24"/>
        <v/>
      </c>
      <c r="R307" s="212" t="str">
        <f t="shared" si="24"/>
        <v/>
      </c>
      <c r="S307" s="212" t="str">
        <f t="shared" si="24"/>
        <v/>
      </c>
      <c r="T307" s="212" t="str">
        <f t="shared" si="25"/>
        <v/>
      </c>
      <c r="U307" s="212" t="str">
        <f t="shared" si="26"/>
        <v/>
      </c>
      <c r="V307" s="212" t="str">
        <f t="shared" si="27"/>
        <v>-</v>
      </c>
      <c r="W307" s="2" t="str">
        <f t="shared" si="28"/>
        <v>Computer</v>
      </c>
      <c r="X307" s="2" t="str">
        <f t="shared" si="29"/>
        <v>8610003</v>
      </c>
      <c r="Y307" s="2" t="str">
        <f t="shared" si="29"/>
        <v>Office Supplies / Computer</v>
      </c>
    </row>
    <row r="308" spans="8:25" ht="20.100000000000001" customHeight="1">
      <c r="I308" s="2"/>
      <c r="J308" s="2"/>
      <c r="L308" s="2" t="s">
        <v>759</v>
      </c>
      <c r="M308" s="206" t="s">
        <v>1044</v>
      </c>
      <c r="N308" s="2" t="s">
        <v>1045</v>
      </c>
      <c r="Q308" s="212" t="str">
        <f t="shared" si="24"/>
        <v/>
      </c>
      <c r="R308" s="212" t="str">
        <f t="shared" si="24"/>
        <v/>
      </c>
      <c r="S308" s="212" t="str">
        <f t="shared" si="24"/>
        <v/>
      </c>
      <c r="T308" s="212" t="str">
        <f t="shared" si="25"/>
        <v/>
      </c>
      <c r="U308" s="212" t="str">
        <f t="shared" si="26"/>
        <v/>
      </c>
      <c r="V308" s="212" t="str">
        <f t="shared" si="27"/>
        <v>-</v>
      </c>
      <c r="W308" s="2" t="str">
        <f t="shared" si="28"/>
        <v>Others</v>
      </c>
      <c r="X308" s="2" t="str">
        <f t="shared" si="29"/>
        <v>8610009</v>
      </c>
      <c r="Y308" s="2" t="str">
        <f t="shared" si="29"/>
        <v>Office Supplies / Others</v>
      </c>
    </row>
    <row r="309" spans="8:25" ht="20.100000000000001" customHeight="1">
      <c r="H309" s="210" t="s">
        <v>1046</v>
      </c>
      <c r="I309" s="2"/>
      <c r="J309" s="2"/>
      <c r="Q309" s="212" t="str">
        <f t="shared" si="24"/>
        <v/>
      </c>
      <c r="R309" s="212" t="str">
        <f t="shared" si="24"/>
        <v>■</v>
      </c>
      <c r="S309" s="212" t="str">
        <f t="shared" si="24"/>
        <v/>
      </c>
      <c r="T309" s="212" t="str">
        <f t="shared" si="25"/>
        <v/>
      </c>
      <c r="U309" s="212" t="str">
        <f t="shared" si="26"/>
        <v/>
      </c>
      <c r="V309" s="212" t="str">
        <f t="shared" si="27"/>
        <v/>
      </c>
      <c r="W309" s="15" t="str">
        <f t="shared" si="28"/>
        <v>Vehicle maintenance expense</v>
      </c>
      <c r="X309" s="2" t="str">
        <f t="shared" si="29"/>
        <v/>
      </c>
      <c r="Y309" s="2" t="str">
        <f t="shared" si="29"/>
        <v/>
      </c>
    </row>
    <row r="310" spans="8:25" ht="20.100000000000001" customHeight="1">
      <c r="I310" s="2"/>
      <c r="J310" s="2"/>
      <c r="L310" s="2" t="s">
        <v>1047</v>
      </c>
      <c r="M310" s="206" t="s">
        <v>1048</v>
      </c>
      <c r="N310" s="2" t="s">
        <v>1049</v>
      </c>
      <c r="Q310" s="212" t="str">
        <f t="shared" si="24"/>
        <v/>
      </c>
      <c r="R310" s="212" t="str">
        <f t="shared" si="24"/>
        <v/>
      </c>
      <c r="S310" s="212" t="str">
        <f t="shared" si="24"/>
        <v/>
      </c>
      <c r="T310" s="212" t="str">
        <f t="shared" si="25"/>
        <v/>
      </c>
      <c r="U310" s="212" t="str">
        <f t="shared" si="26"/>
        <v/>
      </c>
      <c r="V310" s="212" t="str">
        <f t="shared" si="27"/>
        <v>-</v>
      </c>
      <c r="W310" s="2" t="str">
        <f t="shared" si="28"/>
        <v>Gas</v>
      </c>
      <c r="X310" s="2" t="str">
        <f t="shared" si="29"/>
        <v>8630001</v>
      </c>
      <c r="Y310" s="2" t="str">
        <f t="shared" si="29"/>
        <v>V.maintenance / Fuel</v>
      </c>
    </row>
    <row r="311" spans="8:25" ht="20.100000000000001" customHeight="1">
      <c r="I311" s="2"/>
      <c r="J311" s="2"/>
      <c r="L311" s="2" t="s">
        <v>1050</v>
      </c>
      <c r="M311" s="206" t="s">
        <v>1051</v>
      </c>
      <c r="N311" s="2" t="s">
        <v>1052</v>
      </c>
      <c r="Q311" s="212" t="str">
        <f t="shared" si="24"/>
        <v/>
      </c>
      <c r="R311" s="212" t="str">
        <f t="shared" si="24"/>
        <v/>
      </c>
      <c r="S311" s="212" t="str">
        <f t="shared" si="24"/>
        <v/>
      </c>
      <c r="T311" s="212" t="str">
        <f t="shared" si="25"/>
        <v/>
      </c>
      <c r="U311" s="212" t="str">
        <f t="shared" si="26"/>
        <v/>
      </c>
      <c r="V311" s="212" t="str">
        <f t="shared" si="27"/>
        <v>-</v>
      </c>
      <c r="W311" s="2" t="str">
        <f t="shared" si="28"/>
        <v>Toll fee</v>
      </c>
      <c r="X311" s="2" t="str">
        <f t="shared" si="29"/>
        <v>8630003</v>
      </c>
      <c r="Y311" s="2" t="str">
        <f t="shared" si="29"/>
        <v>V.maintenance / Toll fee</v>
      </c>
    </row>
    <row r="312" spans="8:25" ht="20.100000000000001" customHeight="1">
      <c r="I312" s="2"/>
      <c r="J312" s="2"/>
      <c r="L312" s="2" t="s">
        <v>1053</v>
      </c>
      <c r="M312" s="206" t="s">
        <v>1054</v>
      </c>
      <c r="N312" s="2" t="s">
        <v>1055</v>
      </c>
      <c r="Q312" s="212" t="str">
        <f t="shared" si="24"/>
        <v/>
      </c>
      <c r="R312" s="212" t="str">
        <f t="shared" si="24"/>
        <v/>
      </c>
      <c r="S312" s="212" t="str">
        <f t="shared" si="24"/>
        <v/>
      </c>
      <c r="T312" s="212" t="str">
        <f t="shared" si="25"/>
        <v/>
      </c>
      <c r="U312" s="212" t="str">
        <f t="shared" si="26"/>
        <v/>
      </c>
      <c r="V312" s="212" t="str">
        <f t="shared" si="27"/>
        <v>-</v>
      </c>
      <c r="W312" s="2" t="str">
        <f t="shared" si="28"/>
        <v>Maintenance</v>
      </c>
      <c r="X312" s="2" t="str">
        <f t="shared" si="29"/>
        <v>8630005</v>
      </c>
      <c r="Y312" s="2" t="str">
        <f t="shared" si="29"/>
        <v>V.maintenance / Maintenance</v>
      </c>
    </row>
    <row r="313" spans="8:25" ht="20.100000000000001" customHeight="1">
      <c r="I313" s="2"/>
      <c r="J313" s="2"/>
      <c r="L313" s="2" t="s">
        <v>1056</v>
      </c>
      <c r="M313" s="206" t="s">
        <v>1057</v>
      </c>
      <c r="N313" s="2" t="s">
        <v>1058</v>
      </c>
      <c r="Q313" s="212" t="str">
        <f t="shared" si="24"/>
        <v/>
      </c>
      <c r="R313" s="212" t="str">
        <f t="shared" si="24"/>
        <v/>
      </c>
      <c r="S313" s="212" t="str">
        <f t="shared" si="24"/>
        <v/>
      </c>
      <c r="T313" s="212" t="str">
        <f t="shared" si="25"/>
        <v/>
      </c>
      <c r="U313" s="212" t="str">
        <f t="shared" si="26"/>
        <v/>
      </c>
      <c r="V313" s="212" t="str">
        <f t="shared" si="27"/>
        <v>-</v>
      </c>
      <c r="W313" s="2" t="str">
        <f t="shared" si="28"/>
        <v>Other Vehicle maintenance exp.</v>
      </c>
      <c r="X313" s="2" t="str">
        <f t="shared" si="29"/>
        <v>8630009</v>
      </c>
      <c r="Y313" s="2" t="str">
        <f t="shared" si="29"/>
        <v>V.maintenance / Others</v>
      </c>
    </row>
    <row r="314" spans="8:25" ht="20.100000000000001" customHeight="1">
      <c r="H314" s="210" t="s">
        <v>775</v>
      </c>
      <c r="I314" s="2"/>
      <c r="J314" s="2"/>
      <c r="M314" s="206" t="s">
        <v>1059</v>
      </c>
      <c r="N314" s="2" t="s">
        <v>1060</v>
      </c>
      <c r="Q314" s="212" t="str">
        <f t="shared" si="24"/>
        <v/>
      </c>
      <c r="R314" s="212" t="str">
        <f t="shared" si="24"/>
        <v>■</v>
      </c>
      <c r="S314" s="212" t="str">
        <f t="shared" si="24"/>
        <v/>
      </c>
      <c r="T314" s="212" t="str">
        <f t="shared" si="25"/>
        <v/>
      </c>
      <c r="U314" s="212" t="str">
        <f t="shared" si="26"/>
        <v/>
      </c>
      <c r="V314" s="212" t="str">
        <f t="shared" si="27"/>
        <v/>
      </c>
      <c r="W314" s="15" t="str">
        <f t="shared" si="28"/>
        <v>Book &amp; Printing expense</v>
      </c>
      <c r="X314" s="2" t="str">
        <f t="shared" si="29"/>
        <v>8650000</v>
      </c>
      <c r="Y314" s="2" t="str">
        <f t="shared" si="29"/>
        <v>Book &amp; Printing exp.</v>
      </c>
    </row>
    <row r="315" spans="8:25" ht="20.100000000000001" customHeight="1">
      <c r="H315" s="210" t="s">
        <v>778</v>
      </c>
      <c r="I315" s="2"/>
      <c r="J315" s="2"/>
      <c r="M315" s="206" t="s">
        <v>1061</v>
      </c>
      <c r="N315" s="2" t="s">
        <v>1062</v>
      </c>
      <c r="Q315" s="212" t="str">
        <f t="shared" si="24"/>
        <v/>
      </c>
      <c r="R315" s="212" t="str">
        <f t="shared" si="24"/>
        <v>■</v>
      </c>
      <c r="S315" s="212" t="str">
        <f t="shared" si="24"/>
        <v/>
      </c>
      <c r="T315" s="212" t="str">
        <f t="shared" si="25"/>
        <v/>
      </c>
      <c r="U315" s="212" t="str">
        <f t="shared" si="26"/>
        <v/>
      </c>
      <c r="V315" s="212" t="str">
        <f t="shared" si="27"/>
        <v/>
      </c>
      <c r="W315" s="15" t="str">
        <f t="shared" si="28"/>
        <v>Training expense</v>
      </c>
      <c r="X315" s="2" t="str">
        <f t="shared" si="29"/>
        <v>8670000</v>
      </c>
      <c r="Y315" s="2" t="str">
        <f t="shared" si="29"/>
        <v>Training exp.</v>
      </c>
    </row>
    <row r="316" spans="8:25" ht="20.100000000000001" customHeight="1">
      <c r="H316" s="210" t="s">
        <v>434</v>
      </c>
      <c r="I316" s="2"/>
      <c r="J316" s="2"/>
      <c r="Q316" s="212" t="str">
        <f t="shared" si="24"/>
        <v/>
      </c>
      <c r="R316" s="212" t="str">
        <f t="shared" si="24"/>
        <v>■</v>
      </c>
      <c r="S316" s="212" t="str">
        <f t="shared" si="24"/>
        <v/>
      </c>
      <c r="T316" s="212" t="str">
        <f t="shared" si="25"/>
        <v/>
      </c>
      <c r="U316" s="212" t="str">
        <f t="shared" si="26"/>
        <v/>
      </c>
      <c r="V316" s="212" t="str">
        <f t="shared" si="27"/>
        <v/>
      </c>
      <c r="W316" s="15" t="str">
        <f t="shared" si="28"/>
        <v>Water, Electric and Fuel</v>
      </c>
      <c r="X316" s="2" t="str">
        <f t="shared" si="29"/>
        <v/>
      </c>
      <c r="Y316" s="2" t="str">
        <f t="shared" si="29"/>
        <v/>
      </c>
    </row>
    <row r="317" spans="8:25" ht="20.100000000000001" customHeight="1">
      <c r="H317" s="210"/>
      <c r="I317" s="2"/>
      <c r="J317" s="2"/>
      <c r="L317" s="2" t="s">
        <v>1063</v>
      </c>
      <c r="M317" s="206" t="s">
        <v>1064</v>
      </c>
      <c r="N317" s="2" t="s">
        <v>1063</v>
      </c>
      <c r="Q317" s="212" t="str">
        <f t="shared" si="24"/>
        <v/>
      </c>
      <c r="R317" s="212" t="str">
        <f t="shared" si="24"/>
        <v/>
      </c>
      <c r="S317" s="212" t="str">
        <f t="shared" si="24"/>
        <v/>
      </c>
      <c r="T317" s="212" t="str">
        <f t="shared" si="25"/>
        <v/>
      </c>
      <c r="U317" s="212" t="str">
        <f t="shared" si="26"/>
        <v/>
      </c>
      <c r="V317" s="212" t="str">
        <f t="shared" si="27"/>
        <v>-</v>
      </c>
      <c r="W317" s="2" t="str">
        <f t="shared" si="28"/>
        <v>Fuel</v>
      </c>
      <c r="X317" s="2" t="str">
        <f t="shared" si="29"/>
        <v>8730100</v>
      </c>
      <c r="Y317" s="2" t="str">
        <f t="shared" si="29"/>
        <v>Fuel</v>
      </c>
    </row>
    <row r="318" spans="8:25" ht="20.100000000000001" customHeight="1">
      <c r="H318" s="210"/>
      <c r="I318" s="2"/>
      <c r="J318" s="2"/>
      <c r="L318" s="2" t="s">
        <v>1065</v>
      </c>
      <c r="M318" s="206" t="s">
        <v>1066</v>
      </c>
      <c r="N318" s="2" t="s">
        <v>1065</v>
      </c>
      <c r="Q318" s="212" t="str">
        <f t="shared" si="24"/>
        <v/>
      </c>
      <c r="R318" s="212" t="str">
        <f t="shared" si="24"/>
        <v/>
      </c>
      <c r="S318" s="212" t="str">
        <f t="shared" si="24"/>
        <v/>
      </c>
      <c r="T318" s="212" t="str">
        <f t="shared" si="25"/>
        <v/>
      </c>
      <c r="U318" s="212" t="str">
        <f t="shared" si="26"/>
        <v/>
      </c>
      <c r="V318" s="212" t="str">
        <f t="shared" si="27"/>
        <v>-</v>
      </c>
      <c r="W318" s="2" t="str">
        <f t="shared" si="28"/>
        <v>Electric</v>
      </c>
      <c r="X318" s="2" t="str">
        <f t="shared" si="29"/>
        <v>8730300</v>
      </c>
      <c r="Y318" s="2" t="str">
        <f t="shared" si="29"/>
        <v>Electric</v>
      </c>
    </row>
    <row r="319" spans="8:25" ht="20.100000000000001" customHeight="1">
      <c r="H319" s="210"/>
      <c r="I319" s="2"/>
      <c r="J319" s="2"/>
      <c r="L319" s="2" t="s">
        <v>1067</v>
      </c>
      <c r="M319" s="206" t="s">
        <v>1068</v>
      </c>
      <c r="N319" s="2" t="s">
        <v>1067</v>
      </c>
      <c r="Q319" s="212" t="str">
        <f t="shared" si="24"/>
        <v/>
      </c>
      <c r="R319" s="212" t="str">
        <f t="shared" si="24"/>
        <v/>
      </c>
      <c r="S319" s="212" t="str">
        <f t="shared" si="24"/>
        <v/>
      </c>
      <c r="T319" s="212" t="str">
        <f t="shared" si="25"/>
        <v/>
      </c>
      <c r="U319" s="212" t="str">
        <f t="shared" si="26"/>
        <v/>
      </c>
      <c r="V319" s="212" t="str">
        <f t="shared" si="27"/>
        <v>-</v>
      </c>
      <c r="W319" s="2" t="str">
        <f t="shared" si="28"/>
        <v>Water</v>
      </c>
      <c r="X319" s="2" t="str">
        <f t="shared" si="29"/>
        <v>8730500</v>
      </c>
      <c r="Y319" s="2" t="str">
        <f t="shared" si="29"/>
        <v>Water</v>
      </c>
    </row>
    <row r="320" spans="8:25" ht="20.100000000000001" customHeight="1">
      <c r="H320" s="210" t="s">
        <v>781</v>
      </c>
      <c r="I320" s="2"/>
      <c r="J320" s="2"/>
      <c r="M320" s="206" t="s">
        <v>1069</v>
      </c>
      <c r="N320" s="2" t="s">
        <v>781</v>
      </c>
      <c r="Q320" s="212" t="str">
        <f t="shared" si="24"/>
        <v/>
      </c>
      <c r="R320" s="212" t="str">
        <f t="shared" si="24"/>
        <v>■</v>
      </c>
      <c r="S320" s="212" t="str">
        <f t="shared" si="24"/>
        <v/>
      </c>
      <c r="T320" s="212" t="str">
        <f t="shared" si="25"/>
        <v/>
      </c>
      <c r="U320" s="212" t="str">
        <f t="shared" si="26"/>
        <v/>
      </c>
      <c r="V320" s="212" t="str">
        <f t="shared" si="27"/>
        <v/>
      </c>
      <c r="W320" s="15" t="str">
        <f t="shared" si="28"/>
        <v>Bad debt expense</v>
      </c>
      <c r="X320" s="2" t="str">
        <f t="shared" si="29"/>
        <v>8710000</v>
      </c>
      <c r="Y320" s="2" t="str">
        <f t="shared" si="29"/>
        <v>Bad debt expense</v>
      </c>
    </row>
    <row r="321" spans="7:25" ht="20.100000000000001" customHeight="1">
      <c r="H321" s="210" t="s">
        <v>1070</v>
      </c>
      <c r="I321" s="2"/>
      <c r="J321" s="2"/>
      <c r="M321" s="206" t="s">
        <v>1071</v>
      </c>
      <c r="N321" s="2" t="s">
        <v>1072</v>
      </c>
      <c r="Q321" s="212" t="str">
        <f t="shared" si="24"/>
        <v/>
      </c>
      <c r="R321" s="212" t="str">
        <f t="shared" si="24"/>
        <v>■</v>
      </c>
      <c r="S321" s="212" t="str">
        <f t="shared" si="24"/>
        <v/>
      </c>
      <c r="T321" s="212" t="str">
        <f t="shared" si="25"/>
        <v/>
      </c>
      <c r="U321" s="212" t="str">
        <f t="shared" si="26"/>
        <v/>
      </c>
      <c r="V321" s="212" t="str">
        <f t="shared" si="27"/>
        <v/>
      </c>
      <c r="W321" s="15" t="str">
        <f t="shared" si="28"/>
        <v>Other Administrative expense</v>
      </c>
      <c r="X321" s="2" t="str">
        <f t="shared" si="29"/>
        <v>8750000</v>
      </c>
      <c r="Y321" s="2" t="str">
        <f t="shared" si="29"/>
        <v>G&amp;A / Others</v>
      </c>
    </row>
    <row r="322" spans="7:25" ht="20.100000000000001" customHeight="1">
      <c r="G322" s="210" t="s">
        <v>1073</v>
      </c>
      <c r="Q322" s="212" t="str">
        <f t="shared" si="24"/>
        <v>■</v>
      </c>
      <c r="R322" s="212" t="str">
        <f t="shared" si="24"/>
        <v/>
      </c>
      <c r="S322" s="212" t="str">
        <f t="shared" si="24"/>
        <v/>
      </c>
      <c r="T322" s="212" t="str">
        <f t="shared" si="25"/>
        <v/>
      </c>
      <c r="U322" s="212" t="str">
        <f t="shared" si="26"/>
        <v/>
      </c>
      <c r="V322" s="212" t="str">
        <f t="shared" si="27"/>
        <v/>
      </c>
      <c r="W322" s="15" t="str">
        <f t="shared" si="28"/>
        <v>Operating Income</v>
      </c>
      <c r="X322" s="2" t="str">
        <f t="shared" si="29"/>
        <v/>
      </c>
      <c r="Y322" s="2" t="str">
        <f t="shared" si="29"/>
        <v/>
      </c>
    </row>
    <row r="323" spans="7:25" ht="20.100000000000001" customHeight="1">
      <c r="H323" s="210" t="s">
        <v>1074</v>
      </c>
      <c r="Q323" s="212" t="str">
        <f t="shared" si="24"/>
        <v/>
      </c>
      <c r="R323" s="212" t="str">
        <f t="shared" si="24"/>
        <v>■</v>
      </c>
      <c r="S323" s="212" t="str">
        <f t="shared" si="24"/>
        <v/>
      </c>
      <c r="T323" s="212" t="str">
        <f t="shared" si="25"/>
        <v/>
      </c>
      <c r="U323" s="212" t="str">
        <f t="shared" si="26"/>
        <v/>
      </c>
      <c r="V323" s="212" t="str">
        <f t="shared" si="27"/>
        <v/>
      </c>
      <c r="W323" s="15" t="str">
        <f t="shared" si="28"/>
        <v>Non-Operating Income</v>
      </c>
      <c r="X323" s="2" t="str">
        <f t="shared" si="29"/>
        <v/>
      </c>
      <c r="Y323" s="2" t="str">
        <f t="shared" si="29"/>
        <v/>
      </c>
    </row>
    <row r="324" spans="7:25" ht="20.100000000000001" customHeight="1">
      <c r="H324" s="2"/>
      <c r="L324" s="2" t="s">
        <v>1075</v>
      </c>
      <c r="M324" s="206" t="s">
        <v>1076</v>
      </c>
      <c r="N324" s="2" t="s">
        <v>1075</v>
      </c>
      <c r="Q324" s="212" t="str">
        <f t="shared" si="24"/>
        <v/>
      </c>
      <c r="R324" s="212" t="str">
        <f t="shared" si="24"/>
        <v/>
      </c>
      <c r="S324" s="212" t="str">
        <f t="shared" si="24"/>
        <v/>
      </c>
      <c r="T324" s="212" t="str">
        <f t="shared" si="25"/>
        <v/>
      </c>
      <c r="U324" s="212" t="str">
        <f t="shared" si="26"/>
        <v/>
      </c>
      <c r="V324" s="212" t="str">
        <f t="shared" si="27"/>
        <v>-</v>
      </c>
      <c r="W324" s="2" t="str">
        <f t="shared" si="28"/>
        <v>Interest income</v>
      </c>
      <c r="X324" s="2" t="str">
        <f t="shared" si="29"/>
        <v>9101100</v>
      </c>
      <c r="Y324" s="2" t="str">
        <f t="shared" si="29"/>
        <v>Interest income</v>
      </c>
    </row>
    <row r="325" spans="7:25" ht="20.100000000000001" customHeight="1">
      <c r="L325" s="2" t="s">
        <v>1077</v>
      </c>
      <c r="M325" s="206" t="s">
        <v>1078</v>
      </c>
      <c r="N325" s="2" t="s">
        <v>1077</v>
      </c>
      <c r="Q325" s="212" t="str">
        <f t="shared" si="24"/>
        <v/>
      </c>
      <c r="R325" s="212" t="str">
        <f t="shared" si="24"/>
        <v/>
      </c>
      <c r="S325" s="212" t="str">
        <f t="shared" si="24"/>
        <v/>
      </c>
      <c r="T325" s="212" t="str">
        <f t="shared" si="25"/>
        <v/>
      </c>
      <c r="U325" s="212" t="str">
        <f t="shared" si="26"/>
        <v/>
      </c>
      <c r="V325" s="212" t="str">
        <f t="shared" si="27"/>
        <v>-</v>
      </c>
      <c r="W325" s="2" t="str">
        <f t="shared" si="28"/>
        <v>Gain on foreign currency valuation</v>
      </c>
      <c r="X325" s="2" t="str">
        <f t="shared" si="29"/>
        <v>9101210</v>
      </c>
      <c r="Y325" s="2" t="str">
        <f t="shared" si="29"/>
        <v>Gain on foreign currency valuation</v>
      </c>
    </row>
    <row r="326" spans="7:25" ht="20.100000000000001" customHeight="1">
      <c r="H326" s="2"/>
      <c r="L326" s="2" t="s">
        <v>1079</v>
      </c>
      <c r="M326" s="206" t="s">
        <v>1080</v>
      </c>
      <c r="N326" s="2" t="s">
        <v>1079</v>
      </c>
      <c r="Q326" s="212" t="str">
        <f t="shared" si="24"/>
        <v/>
      </c>
      <c r="R326" s="212" t="str">
        <f t="shared" si="24"/>
        <v/>
      </c>
      <c r="S326" s="212" t="str">
        <f t="shared" si="24"/>
        <v/>
      </c>
      <c r="T326" s="212" t="str">
        <f t="shared" si="25"/>
        <v/>
      </c>
      <c r="U326" s="212" t="str">
        <f t="shared" si="26"/>
        <v/>
      </c>
      <c r="V326" s="212" t="str">
        <f t="shared" si="27"/>
        <v>-</v>
      </c>
      <c r="W326" s="2" t="str">
        <f t="shared" si="28"/>
        <v>Foreign exchange gain</v>
      </c>
      <c r="X326" s="2" t="str">
        <f t="shared" si="29"/>
        <v>9101250</v>
      </c>
      <c r="Y326" s="2" t="str">
        <f t="shared" si="29"/>
        <v>Foreign exchange gain</v>
      </c>
    </row>
    <row r="327" spans="7:25" ht="20.100000000000001" customHeight="1">
      <c r="L327" s="2" t="s">
        <v>1081</v>
      </c>
      <c r="M327" s="206" t="s">
        <v>1082</v>
      </c>
      <c r="N327" s="2" t="s">
        <v>1081</v>
      </c>
      <c r="Q327" s="212" t="str">
        <f t="shared" ref="Q327:S342" si="30">IF(NOT(ISBLANK(G327)),"■","")</f>
        <v/>
      </c>
      <c r="R327" s="212" t="str">
        <f t="shared" si="30"/>
        <v/>
      </c>
      <c r="S327" s="212" t="str">
        <f t="shared" si="30"/>
        <v/>
      </c>
      <c r="T327" s="212" t="str">
        <f t="shared" ref="T327:T342" si="31">IF(NOT(ISBLANK(J327)),"⊙","")</f>
        <v/>
      </c>
      <c r="U327" s="212" t="str">
        <f t="shared" ref="U327:U342" si="32">IF(NOT(ISBLANK(K327)),"*","")</f>
        <v/>
      </c>
      <c r="V327" s="212" t="str">
        <f t="shared" ref="V327:V342" si="33">IF(NOT(ISBLANK(L327)),"-","")</f>
        <v>-</v>
      </c>
      <c r="W327" s="2" t="str">
        <f t="shared" ref="W327:W342" si="34">G327&amp;H327&amp;I327&amp;J327&amp;K327&amp;L327</f>
        <v>Gain on disposal of F.assets</v>
      </c>
      <c r="X327" s="2" t="str">
        <f t="shared" ref="X327:Y342" si="35">IF(ISBLANK(M327),"",M327)</f>
        <v>9105100</v>
      </c>
      <c r="Y327" s="2" t="str">
        <f t="shared" si="35"/>
        <v>Gain on disposal of F.assets</v>
      </c>
    </row>
    <row r="328" spans="7:25" ht="20.100000000000001" customHeight="1">
      <c r="H328" s="2"/>
      <c r="L328" s="2" t="s">
        <v>1083</v>
      </c>
      <c r="M328" s="206" t="s">
        <v>1084</v>
      </c>
      <c r="N328" s="2" t="s">
        <v>1085</v>
      </c>
      <c r="Q328" s="212" t="str">
        <f t="shared" si="30"/>
        <v/>
      </c>
      <c r="R328" s="212" t="str">
        <f t="shared" si="30"/>
        <v/>
      </c>
      <c r="S328" s="212" t="str">
        <f t="shared" si="30"/>
        <v/>
      </c>
      <c r="T328" s="212" t="str">
        <f t="shared" si="31"/>
        <v/>
      </c>
      <c r="U328" s="212" t="str">
        <f t="shared" si="32"/>
        <v/>
      </c>
      <c r="V328" s="212" t="str">
        <f t="shared" si="33"/>
        <v>-</v>
      </c>
      <c r="W328" s="2" t="str">
        <f t="shared" si="34"/>
        <v>Other Income</v>
      </c>
      <c r="X328" s="2" t="str">
        <f t="shared" si="35"/>
        <v>9105300</v>
      </c>
      <c r="Y328" s="2" t="str">
        <f t="shared" si="35"/>
        <v>Miscellaneous income</v>
      </c>
    </row>
    <row r="329" spans="7:25" ht="20.100000000000001" customHeight="1">
      <c r="L329" s="2" t="s">
        <v>1083</v>
      </c>
      <c r="M329" s="206" t="s">
        <v>1086</v>
      </c>
      <c r="N329" s="2" t="s">
        <v>1087</v>
      </c>
      <c r="Q329" s="212" t="str">
        <f t="shared" si="30"/>
        <v/>
      </c>
      <c r="R329" s="212" t="str">
        <f t="shared" si="30"/>
        <v/>
      </c>
      <c r="S329" s="212" t="str">
        <f t="shared" si="30"/>
        <v/>
      </c>
      <c r="T329" s="212" t="str">
        <f t="shared" si="31"/>
        <v/>
      </c>
      <c r="U329" s="212" t="str">
        <f t="shared" si="32"/>
        <v/>
      </c>
      <c r="V329" s="212" t="str">
        <f t="shared" si="33"/>
        <v>-</v>
      </c>
      <c r="W329" s="2" t="str">
        <f t="shared" si="34"/>
        <v>Other Income</v>
      </c>
      <c r="X329" s="2" t="str">
        <f t="shared" si="35"/>
        <v>9105811</v>
      </c>
      <c r="Y329" s="2" t="str">
        <f t="shared" si="35"/>
        <v>Exchange income</v>
      </c>
    </row>
    <row r="330" spans="7:25" ht="20.100000000000001" customHeight="1">
      <c r="H330" s="2"/>
      <c r="L330" s="2" t="s">
        <v>1083</v>
      </c>
      <c r="M330" s="206" t="s">
        <v>1088</v>
      </c>
      <c r="N330" s="2" t="s">
        <v>1089</v>
      </c>
      <c r="Q330" s="212" t="str">
        <f t="shared" si="30"/>
        <v/>
      </c>
      <c r="R330" s="212" t="str">
        <f t="shared" si="30"/>
        <v/>
      </c>
      <c r="S330" s="212" t="str">
        <f t="shared" si="30"/>
        <v/>
      </c>
      <c r="T330" s="212" t="str">
        <f t="shared" si="31"/>
        <v/>
      </c>
      <c r="U330" s="212" t="str">
        <f t="shared" si="32"/>
        <v/>
      </c>
      <c r="V330" s="212" t="str">
        <f t="shared" si="33"/>
        <v>-</v>
      </c>
      <c r="W330" s="2" t="str">
        <f t="shared" si="34"/>
        <v>Other Income</v>
      </c>
      <c r="X330" s="2" t="str">
        <f t="shared" si="35"/>
        <v>9105900</v>
      </c>
      <c r="Y330" s="2" t="str">
        <f t="shared" si="35"/>
        <v>Other income / Others</v>
      </c>
    </row>
    <row r="331" spans="7:25" ht="20.100000000000001" customHeight="1">
      <c r="H331" s="210" t="s">
        <v>1090</v>
      </c>
      <c r="Q331" s="212" t="str">
        <f t="shared" si="30"/>
        <v/>
      </c>
      <c r="R331" s="212" t="str">
        <f t="shared" si="30"/>
        <v>■</v>
      </c>
      <c r="S331" s="212" t="str">
        <f t="shared" si="30"/>
        <v/>
      </c>
      <c r="T331" s="212" t="str">
        <f t="shared" si="31"/>
        <v/>
      </c>
      <c r="U331" s="212" t="str">
        <f t="shared" si="32"/>
        <v/>
      </c>
      <c r="V331" s="212" t="str">
        <f t="shared" si="33"/>
        <v/>
      </c>
      <c r="W331" s="15" t="str">
        <f t="shared" si="34"/>
        <v>Non-Operating Expenses</v>
      </c>
      <c r="X331" s="2" t="str">
        <f t="shared" si="35"/>
        <v/>
      </c>
      <c r="Y331" s="2" t="str">
        <f t="shared" si="35"/>
        <v/>
      </c>
    </row>
    <row r="332" spans="7:25" ht="20.100000000000001" customHeight="1">
      <c r="L332" s="2" t="s">
        <v>1091</v>
      </c>
      <c r="M332" s="206" t="s">
        <v>1092</v>
      </c>
      <c r="N332" s="2" t="s">
        <v>1091</v>
      </c>
      <c r="Q332" s="212" t="str">
        <f t="shared" si="30"/>
        <v/>
      </c>
      <c r="R332" s="212" t="str">
        <f t="shared" si="30"/>
        <v/>
      </c>
      <c r="S332" s="212" t="str">
        <f t="shared" si="30"/>
        <v/>
      </c>
      <c r="T332" s="212" t="str">
        <f t="shared" si="31"/>
        <v/>
      </c>
      <c r="U332" s="212" t="str">
        <f t="shared" si="32"/>
        <v/>
      </c>
      <c r="V332" s="212" t="str">
        <f t="shared" si="33"/>
        <v>-</v>
      </c>
      <c r="W332" s="2" t="str">
        <f t="shared" si="34"/>
        <v>Interest expense</v>
      </c>
      <c r="X332" s="2" t="str">
        <f t="shared" si="35"/>
        <v>9501100</v>
      </c>
      <c r="Y332" s="2" t="str">
        <f t="shared" si="35"/>
        <v>Interest expense</v>
      </c>
    </row>
    <row r="333" spans="7:25" ht="20.100000000000001" customHeight="1">
      <c r="L333" s="2" t="s">
        <v>1093</v>
      </c>
      <c r="M333" s="206" t="s">
        <v>1094</v>
      </c>
      <c r="N333" s="2" t="s">
        <v>1093</v>
      </c>
      <c r="Q333" s="212" t="str">
        <f t="shared" si="30"/>
        <v/>
      </c>
      <c r="R333" s="212" t="str">
        <f t="shared" si="30"/>
        <v/>
      </c>
      <c r="S333" s="212" t="str">
        <f t="shared" si="30"/>
        <v/>
      </c>
      <c r="T333" s="212" t="str">
        <f t="shared" si="31"/>
        <v/>
      </c>
      <c r="U333" s="212" t="str">
        <f t="shared" si="32"/>
        <v/>
      </c>
      <c r="V333" s="212" t="str">
        <f t="shared" si="33"/>
        <v>-</v>
      </c>
      <c r="W333" s="2" t="str">
        <f t="shared" si="34"/>
        <v>Losses on foreign currency valuation</v>
      </c>
      <c r="X333" s="2" t="str">
        <f t="shared" si="35"/>
        <v>9501210</v>
      </c>
      <c r="Y333" s="2" t="str">
        <f t="shared" si="35"/>
        <v>Losses on foreign currency valuation</v>
      </c>
    </row>
    <row r="334" spans="7:25" ht="20.100000000000001" customHeight="1">
      <c r="L334" s="2" t="s">
        <v>1095</v>
      </c>
      <c r="M334" s="206" t="s">
        <v>1096</v>
      </c>
      <c r="N334" s="2" t="s">
        <v>1095</v>
      </c>
      <c r="Q334" s="212" t="str">
        <f t="shared" si="30"/>
        <v/>
      </c>
      <c r="R334" s="212" t="str">
        <f t="shared" si="30"/>
        <v/>
      </c>
      <c r="S334" s="212" t="str">
        <f t="shared" si="30"/>
        <v/>
      </c>
      <c r="T334" s="212" t="str">
        <f t="shared" si="31"/>
        <v/>
      </c>
      <c r="U334" s="212" t="str">
        <f t="shared" si="32"/>
        <v/>
      </c>
      <c r="V334" s="212" t="str">
        <f t="shared" si="33"/>
        <v>-</v>
      </c>
      <c r="W334" s="2" t="str">
        <f t="shared" si="34"/>
        <v>Foreign exchange loss</v>
      </c>
      <c r="X334" s="2" t="str">
        <f t="shared" si="35"/>
        <v>9501250</v>
      </c>
      <c r="Y334" s="2" t="str">
        <f t="shared" si="35"/>
        <v>Foreign exchange loss</v>
      </c>
    </row>
    <row r="335" spans="7:25" ht="20.100000000000001" customHeight="1">
      <c r="L335" s="2" t="s">
        <v>1097</v>
      </c>
      <c r="M335" s="206" t="s">
        <v>1098</v>
      </c>
      <c r="N335" s="2" t="s">
        <v>1097</v>
      </c>
      <c r="Q335" s="212" t="str">
        <f t="shared" si="30"/>
        <v/>
      </c>
      <c r="R335" s="212" t="str">
        <f t="shared" si="30"/>
        <v/>
      </c>
      <c r="S335" s="212" t="str">
        <f t="shared" si="30"/>
        <v/>
      </c>
      <c r="T335" s="212" t="str">
        <f t="shared" si="31"/>
        <v/>
      </c>
      <c r="U335" s="212" t="str">
        <f t="shared" si="32"/>
        <v/>
      </c>
      <c r="V335" s="212" t="str">
        <f t="shared" si="33"/>
        <v>-</v>
      </c>
      <c r="W335" s="2" t="str">
        <f t="shared" si="34"/>
        <v>Loss on disposal of F.assets</v>
      </c>
      <c r="X335" s="2" t="str">
        <f t="shared" si="35"/>
        <v>9505100</v>
      </c>
      <c r="Y335" s="2" t="str">
        <f t="shared" si="35"/>
        <v>Loss on disposal of F.assets</v>
      </c>
    </row>
    <row r="336" spans="7:25" ht="20.100000000000001" customHeight="1">
      <c r="L336" s="2" t="s">
        <v>1099</v>
      </c>
      <c r="M336" s="206" t="s">
        <v>1100</v>
      </c>
      <c r="N336" s="2" t="s">
        <v>1099</v>
      </c>
      <c r="Q336" s="212" t="str">
        <f t="shared" si="30"/>
        <v/>
      </c>
      <c r="R336" s="212" t="str">
        <f t="shared" si="30"/>
        <v/>
      </c>
      <c r="S336" s="212" t="str">
        <f t="shared" si="30"/>
        <v/>
      </c>
      <c r="T336" s="212" t="str">
        <f t="shared" si="31"/>
        <v/>
      </c>
      <c r="U336" s="212" t="str">
        <f t="shared" si="32"/>
        <v/>
      </c>
      <c r="V336" s="212" t="str">
        <f t="shared" si="33"/>
        <v>-</v>
      </c>
      <c r="W336" s="2" t="str">
        <f t="shared" si="34"/>
        <v>Donation</v>
      </c>
      <c r="X336" s="2" t="str">
        <f t="shared" si="35"/>
        <v>9505200</v>
      </c>
      <c r="Y336" s="2" t="str">
        <f t="shared" si="35"/>
        <v>Donation</v>
      </c>
    </row>
    <row r="337" spans="7:25" ht="20.100000000000001" customHeight="1">
      <c r="L337" s="2" t="s">
        <v>1101</v>
      </c>
      <c r="M337" s="206" t="s">
        <v>1102</v>
      </c>
      <c r="N337" s="2" t="s">
        <v>1103</v>
      </c>
      <c r="Q337" s="212" t="str">
        <f t="shared" si="30"/>
        <v/>
      </c>
      <c r="R337" s="212" t="str">
        <f t="shared" si="30"/>
        <v/>
      </c>
      <c r="S337" s="212" t="str">
        <f t="shared" si="30"/>
        <v/>
      </c>
      <c r="T337" s="212" t="str">
        <f t="shared" si="31"/>
        <v/>
      </c>
      <c r="U337" s="212" t="str">
        <f t="shared" si="32"/>
        <v/>
      </c>
      <c r="V337" s="212" t="str">
        <f t="shared" si="33"/>
        <v>-</v>
      </c>
      <c r="W337" s="2" t="str">
        <f t="shared" si="34"/>
        <v>Other Expenses</v>
      </c>
      <c r="X337" s="2" t="str">
        <f t="shared" si="35"/>
        <v>9505300</v>
      </c>
      <c r="Y337" s="2" t="str">
        <f t="shared" si="35"/>
        <v>Miscellaneous loss</v>
      </c>
    </row>
    <row r="338" spans="7:25" ht="20.100000000000001" customHeight="1">
      <c r="L338" s="2" t="s">
        <v>1101</v>
      </c>
      <c r="M338" s="206" t="s">
        <v>1104</v>
      </c>
      <c r="N338" s="2" t="s">
        <v>1105</v>
      </c>
      <c r="Q338" s="212" t="str">
        <f t="shared" si="30"/>
        <v/>
      </c>
      <c r="R338" s="212" t="str">
        <f t="shared" si="30"/>
        <v/>
      </c>
      <c r="S338" s="212" t="str">
        <f t="shared" si="30"/>
        <v/>
      </c>
      <c r="T338" s="212" t="str">
        <f t="shared" si="31"/>
        <v/>
      </c>
      <c r="U338" s="212" t="str">
        <f t="shared" si="32"/>
        <v/>
      </c>
      <c r="V338" s="212" t="str">
        <f t="shared" si="33"/>
        <v>-</v>
      </c>
      <c r="W338" s="2" t="str">
        <f t="shared" si="34"/>
        <v>Other Expenses</v>
      </c>
      <c r="X338" s="2" t="str">
        <f t="shared" si="35"/>
        <v>9505811</v>
      </c>
      <c r="Y338" s="2" t="str">
        <f t="shared" si="35"/>
        <v>Exchange cost</v>
      </c>
    </row>
    <row r="339" spans="7:25" ht="20.100000000000001" customHeight="1">
      <c r="L339" s="2" t="s">
        <v>1101</v>
      </c>
      <c r="M339" s="206" t="s">
        <v>1106</v>
      </c>
      <c r="N339" s="2" t="s">
        <v>1107</v>
      </c>
      <c r="Q339" s="212" t="str">
        <f t="shared" si="30"/>
        <v/>
      </c>
      <c r="R339" s="212" t="str">
        <f t="shared" si="30"/>
        <v/>
      </c>
      <c r="S339" s="212" t="str">
        <f t="shared" si="30"/>
        <v/>
      </c>
      <c r="T339" s="212" t="str">
        <f t="shared" si="31"/>
        <v/>
      </c>
      <c r="U339" s="212" t="str">
        <f t="shared" si="32"/>
        <v/>
      </c>
      <c r="V339" s="212" t="str">
        <f t="shared" si="33"/>
        <v>-</v>
      </c>
      <c r="W339" s="2" t="str">
        <f t="shared" si="34"/>
        <v>Other Expenses</v>
      </c>
      <c r="X339" s="2" t="str">
        <f t="shared" si="35"/>
        <v>9505900</v>
      </c>
      <c r="Y339" s="2" t="str">
        <f t="shared" si="35"/>
        <v>Other Exp./ Others</v>
      </c>
    </row>
    <row r="340" spans="7:25" ht="20.100000000000001" customHeight="1">
      <c r="G340" s="210" t="s">
        <v>1108</v>
      </c>
      <c r="Q340" s="212" t="str">
        <f t="shared" si="30"/>
        <v>■</v>
      </c>
      <c r="R340" s="212" t="str">
        <f t="shared" si="30"/>
        <v/>
      </c>
      <c r="S340" s="212" t="str">
        <f t="shared" si="30"/>
        <v/>
      </c>
      <c r="T340" s="212" t="str">
        <f t="shared" si="31"/>
        <v/>
      </c>
      <c r="U340" s="212" t="str">
        <f t="shared" si="32"/>
        <v/>
      </c>
      <c r="V340" s="212" t="str">
        <f t="shared" si="33"/>
        <v/>
      </c>
      <c r="W340" s="15" t="str">
        <f t="shared" si="34"/>
        <v>Ordinary Income</v>
      </c>
      <c r="X340" s="2" t="str">
        <f t="shared" si="35"/>
        <v/>
      </c>
      <c r="Y340" s="2" t="str">
        <f t="shared" si="35"/>
        <v/>
      </c>
    </row>
    <row r="341" spans="7:25" ht="20.100000000000001" customHeight="1">
      <c r="H341" s="210" t="s">
        <v>1109</v>
      </c>
      <c r="M341" s="206" t="s">
        <v>1110</v>
      </c>
      <c r="N341" s="2" t="s">
        <v>1111</v>
      </c>
      <c r="Q341" s="212" t="str">
        <f t="shared" si="30"/>
        <v/>
      </c>
      <c r="R341" s="212" t="str">
        <f t="shared" si="30"/>
        <v>■</v>
      </c>
      <c r="S341" s="212" t="str">
        <f t="shared" si="30"/>
        <v/>
      </c>
      <c r="T341" s="212" t="str">
        <f t="shared" si="31"/>
        <v/>
      </c>
      <c r="U341" s="212" t="str">
        <f t="shared" si="32"/>
        <v/>
      </c>
      <c r="V341" s="212" t="str">
        <f t="shared" si="33"/>
        <v/>
      </c>
      <c r="W341" s="15" t="str">
        <f t="shared" si="34"/>
        <v>Corporate income tax</v>
      </c>
      <c r="X341" s="2" t="str">
        <f t="shared" si="35"/>
        <v>9805000</v>
      </c>
      <c r="Y341" s="2" t="str">
        <f t="shared" si="35"/>
        <v>Corporate income tax</v>
      </c>
    </row>
    <row r="342" spans="7:25" ht="20.100000000000001" customHeight="1">
      <c r="G342" s="210" t="s">
        <v>1112</v>
      </c>
      <c r="Q342" s="212" t="str">
        <f t="shared" si="30"/>
        <v>■</v>
      </c>
      <c r="R342" s="212" t="str">
        <f t="shared" si="30"/>
        <v/>
      </c>
      <c r="S342" s="212" t="str">
        <f t="shared" si="30"/>
        <v/>
      </c>
      <c r="T342" s="212" t="str">
        <f t="shared" si="31"/>
        <v/>
      </c>
      <c r="U342" s="212" t="str">
        <f t="shared" si="32"/>
        <v/>
      </c>
      <c r="V342" s="212" t="str">
        <f t="shared" si="33"/>
        <v/>
      </c>
      <c r="W342" s="15" t="str">
        <f t="shared" si="34"/>
        <v>Net Income</v>
      </c>
      <c r="X342" s="2" t="str">
        <f t="shared" si="35"/>
        <v/>
      </c>
      <c r="Y342" s="2" t="str">
        <f t="shared" si="35"/>
        <v/>
      </c>
    </row>
  </sheetData>
  <phoneticPr fontId="4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 tint="0.39997558519241921"/>
  </sheetPr>
  <dimension ref="C2:AK285"/>
  <sheetViews>
    <sheetView showGridLines="0" zoomScaleNormal="100" workbookViewId="0">
      <selection activeCell="Y37" sqref="Y36:Y37"/>
    </sheetView>
  </sheetViews>
  <sheetFormatPr defaultRowHeight="15" customHeight="1"/>
  <cols>
    <col min="1" max="2" width="4.140625" style="381" customWidth="1"/>
    <col min="3" max="3" width="10" style="381" customWidth="1"/>
    <col min="4" max="4" width="12" style="381" customWidth="1"/>
    <col min="5" max="5" width="3.85546875" style="381" customWidth="1"/>
    <col min="6" max="6" width="4.85546875" style="381" customWidth="1"/>
    <col min="7" max="7" width="55.5703125" style="381" customWidth="1"/>
    <col min="8" max="9" width="10.5703125" style="381" customWidth="1"/>
    <col min="10" max="33" width="4.28515625" style="381" customWidth="1"/>
    <col min="34" max="16384" width="9.140625" style="381"/>
  </cols>
  <sheetData>
    <row r="2" spans="3:37" s="380" customFormat="1" ht="27" customHeight="1">
      <c r="C2" s="380" t="s">
        <v>1326</v>
      </c>
    </row>
    <row r="3" spans="3:37" ht="15" customHeight="1" thickBot="1"/>
    <row r="4" spans="3:37" s="389" customFormat="1" ht="15" customHeight="1">
      <c r="C4" s="615" t="s">
        <v>1222</v>
      </c>
      <c r="D4" s="617" t="s">
        <v>1223</v>
      </c>
      <c r="E4" s="619" t="s">
        <v>1224</v>
      </c>
      <c r="F4" s="615"/>
      <c r="G4" s="620"/>
      <c r="H4" s="382" t="s">
        <v>1225</v>
      </c>
      <c r="I4" s="383"/>
      <c r="J4" s="384" t="s">
        <v>1226</v>
      </c>
      <c r="K4" s="385"/>
      <c r="L4" s="386"/>
      <c r="M4" s="385"/>
      <c r="N4" s="385"/>
      <c r="O4" s="386"/>
      <c r="P4" s="387"/>
      <c r="Q4" s="385"/>
      <c r="R4" s="386"/>
      <c r="S4" s="387"/>
      <c r="T4" s="385"/>
      <c r="U4" s="388"/>
      <c r="V4" s="384" t="s">
        <v>1227</v>
      </c>
      <c r="W4" s="385"/>
      <c r="X4" s="385"/>
      <c r="Y4" s="384"/>
      <c r="Z4" s="385"/>
      <c r="AA4" s="385"/>
      <c r="AB4" s="384"/>
      <c r="AC4" s="385"/>
      <c r="AD4" s="385"/>
      <c r="AE4" s="384"/>
      <c r="AF4" s="385"/>
      <c r="AG4" s="385"/>
      <c r="AH4" s="623" t="s">
        <v>1228</v>
      </c>
      <c r="AI4" s="624"/>
      <c r="AJ4" s="624"/>
      <c r="AK4" s="624"/>
    </row>
    <row r="5" spans="3:37" s="397" customFormat="1" ht="15" customHeight="1" thickBot="1">
      <c r="C5" s="616"/>
      <c r="D5" s="618"/>
      <c r="E5" s="621"/>
      <c r="F5" s="616"/>
      <c r="G5" s="622"/>
      <c r="H5" s="390" t="s">
        <v>1229</v>
      </c>
      <c r="I5" s="391" t="s">
        <v>1230</v>
      </c>
      <c r="J5" s="392" t="s">
        <v>1231</v>
      </c>
      <c r="K5" s="393" t="s">
        <v>1232</v>
      </c>
      <c r="L5" s="393" t="s">
        <v>1233</v>
      </c>
      <c r="M5" s="394" t="s">
        <v>1234</v>
      </c>
      <c r="N5" s="393" t="s">
        <v>1235</v>
      </c>
      <c r="O5" s="395" t="s">
        <v>1236</v>
      </c>
      <c r="P5" s="394" t="s">
        <v>1237</v>
      </c>
      <c r="Q5" s="393" t="s">
        <v>1238</v>
      </c>
      <c r="R5" s="395" t="s">
        <v>1239</v>
      </c>
      <c r="S5" s="393" t="s">
        <v>1240</v>
      </c>
      <c r="T5" s="393" t="s">
        <v>1241</v>
      </c>
      <c r="U5" s="396" t="s">
        <v>1242</v>
      </c>
      <c r="V5" s="392" t="s">
        <v>1243</v>
      </c>
      <c r="W5" s="393" t="s">
        <v>1244</v>
      </c>
      <c r="X5" s="393" t="s">
        <v>1245</v>
      </c>
      <c r="Y5" s="394" t="s">
        <v>1246</v>
      </c>
      <c r="Z5" s="393" t="s">
        <v>1247</v>
      </c>
      <c r="AA5" s="393" t="s">
        <v>1236</v>
      </c>
      <c r="AB5" s="394" t="s">
        <v>1237</v>
      </c>
      <c r="AC5" s="393" t="s">
        <v>1238</v>
      </c>
      <c r="AD5" s="395" t="s">
        <v>1239</v>
      </c>
      <c r="AE5" s="393" t="s">
        <v>1240</v>
      </c>
      <c r="AF5" s="393" t="s">
        <v>1241</v>
      </c>
      <c r="AG5" s="396" t="s">
        <v>1242</v>
      </c>
      <c r="AH5" s="625"/>
      <c r="AI5" s="616"/>
      <c r="AJ5" s="616"/>
      <c r="AK5" s="616"/>
    </row>
    <row r="6" spans="3:37" s="411" customFormat="1" ht="3" customHeight="1">
      <c r="C6" s="398"/>
      <c r="D6" s="399"/>
      <c r="E6" s="400"/>
      <c r="F6" s="401"/>
      <c r="G6" s="402"/>
      <c r="H6" s="403"/>
      <c r="I6" s="404"/>
      <c r="J6" s="405"/>
      <c r="K6" s="406"/>
      <c r="L6" s="406"/>
      <c r="M6" s="407"/>
      <c r="N6" s="406"/>
      <c r="O6" s="408"/>
      <c r="P6" s="407"/>
      <c r="Q6" s="406"/>
      <c r="R6" s="408"/>
      <c r="S6" s="406"/>
      <c r="T6" s="406"/>
      <c r="U6" s="409"/>
      <c r="V6" s="405"/>
      <c r="W6" s="406"/>
      <c r="X6" s="406"/>
      <c r="Y6" s="407"/>
      <c r="Z6" s="406"/>
      <c r="AA6" s="406"/>
      <c r="AB6" s="407"/>
      <c r="AC6" s="406"/>
      <c r="AD6" s="408"/>
      <c r="AE6" s="406"/>
      <c r="AF6" s="406"/>
      <c r="AG6" s="409"/>
      <c r="AH6" s="410"/>
    </row>
    <row r="7" spans="3:37" s="411" customFormat="1" ht="9" customHeight="1">
      <c r="C7" s="412"/>
      <c r="D7" s="626" t="s">
        <v>1248</v>
      </c>
      <c r="E7" s="627" t="s">
        <v>1249</v>
      </c>
      <c r="F7" s="629" t="s">
        <v>1250</v>
      </c>
      <c r="G7" s="630"/>
      <c r="H7" s="631" t="s">
        <v>1251</v>
      </c>
      <c r="I7" s="633" t="s">
        <v>1252</v>
      </c>
      <c r="J7" s="413"/>
      <c r="K7" s="414"/>
      <c r="L7" s="414"/>
      <c r="M7" s="415"/>
      <c r="N7" s="414"/>
      <c r="O7" s="408"/>
      <c r="P7" s="407"/>
      <c r="Q7" s="406"/>
      <c r="R7" s="408"/>
      <c r="S7" s="406"/>
      <c r="T7" s="406"/>
      <c r="U7" s="409"/>
      <c r="V7" s="405"/>
      <c r="W7" s="406"/>
      <c r="X7" s="406"/>
      <c r="Y7" s="407"/>
      <c r="Z7" s="406"/>
      <c r="AA7" s="406"/>
      <c r="AB7" s="407"/>
      <c r="AC7" s="406"/>
      <c r="AD7" s="408"/>
      <c r="AE7" s="406"/>
      <c r="AF7" s="406"/>
      <c r="AG7" s="409"/>
      <c r="AH7" s="410"/>
    </row>
    <row r="8" spans="3:37" s="411" customFormat="1" ht="2.1" customHeight="1">
      <c r="C8" s="412"/>
      <c r="D8" s="626"/>
      <c r="E8" s="628"/>
      <c r="F8" s="629"/>
      <c r="G8" s="630"/>
      <c r="H8" s="632"/>
      <c r="I8" s="633"/>
      <c r="J8" s="405"/>
      <c r="K8" s="406"/>
      <c r="L8" s="406"/>
      <c r="M8" s="407"/>
      <c r="N8" s="406"/>
      <c r="O8" s="408"/>
      <c r="P8" s="407"/>
      <c r="Q8" s="406"/>
      <c r="R8" s="408"/>
      <c r="S8" s="406"/>
      <c r="T8" s="406"/>
      <c r="U8" s="409"/>
      <c r="V8" s="405"/>
      <c r="W8" s="406"/>
      <c r="X8" s="406"/>
      <c r="Y8" s="407"/>
      <c r="Z8" s="406"/>
      <c r="AA8" s="406"/>
      <c r="AB8" s="407"/>
      <c r="AC8" s="406"/>
      <c r="AD8" s="408"/>
      <c r="AE8" s="406"/>
      <c r="AF8" s="406"/>
      <c r="AG8" s="409"/>
      <c r="AH8" s="410"/>
    </row>
    <row r="9" spans="3:37" s="411" customFormat="1" ht="9" customHeight="1">
      <c r="C9" s="412"/>
      <c r="D9" s="626"/>
      <c r="E9" s="628"/>
      <c r="F9" s="629"/>
      <c r="G9" s="630"/>
      <c r="H9" s="632"/>
      <c r="I9" s="633"/>
      <c r="J9" s="416" t="s">
        <v>1253</v>
      </c>
      <c r="K9" s="417"/>
      <c r="L9" s="417"/>
      <c r="M9" s="418"/>
      <c r="N9" s="417"/>
      <c r="O9" s="408"/>
      <c r="P9" s="407"/>
      <c r="Q9" s="406"/>
      <c r="R9" s="408"/>
      <c r="S9" s="406"/>
      <c r="T9" s="406"/>
      <c r="U9" s="409"/>
      <c r="V9" s="405"/>
      <c r="W9" s="406"/>
      <c r="X9" s="406"/>
      <c r="Y9" s="407"/>
      <c r="Z9" s="406"/>
      <c r="AA9" s="406"/>
      <c r="AB9" s="407"/>
      <c r="AC9" s="406"/>
      <c r="AD9" s="408"/>
      <c r="AE9" s="406"/>
      <c r="AF9" s="406"/>
      <c r="AG9" s="409"/>
      <c r="AH9" s="410"/>
    </row>
    <row r="10" spans="3:37" s="411" customFormat="1" ht="3" customHeight="1">
      <c r="C10" s="412"/>
      <c r="D10" s="626"/>
      <c r="E10" s="419"/>
      <c r="F10" s="420"/>
      <c r="G10" s="421"/>
      <c r="H10" s="632"/>
      <c r="I10" s="633"/>
      <c r="J10" s="405"/>
      <c r="K10" s="406"/>
      <c r="L10" s="406"/>
      <c r="M10" s="407"/>
      <c r="N10" s="406"/>
      <c r="O10" s="408"/>
      <c r="P10" s="407"/>
      <c r="Q10" s="406"/>
      <c r="R10" s="408"/>
      <c r="S10" s="406"/>
      <c r="T10" s="406"/>
      <c r="U10" s="409"/>
      <c r="V10" s="405"/>
      <c r="W10" s="406"/>
      <c r="X10" s="406"/>
      <c r="Y10" s="407"/>
      <c r="Z10" s="406"/>
      <c r="AA10" s="406"/>
      <c r="AB10" s="407"/>
      <c r="AC10" s="406"/>
      <c r="AD10" s="408"/>
      <c r="AE10" s="406"/>
      <c r="AF10" s="406"/>
      <c r="AG10" s="409"/>
      <c r="AH10" s="410"/>
    </row>
    <row r="11" spans="3:37" s="411" customFormat="1" ht="20.100000000000001" customHeight="1">
      <c r="C11" s="412"/>
      <c r="D11" s="626"/>
      <c r="E11" s="422"/>
      <c r="F11" s="423" t="s">
        <v>1254</v>
      </c>
      <c r="G11" s="424"/>
      <c r="H11" s="632"/>
      <c r="I11" s="633"/>
      <c r="J11" s="405"/>
      <c r="K11" s="406"/>
      <c r="L11" s="406"/>
      <c r="M11" s="407"/>
      <c r="N11" s="406"/>
      <c r="O11" s="408"/>
      <c r="P11" s="407"/>
      <c r="Q11" s="406"/>
      <c r="R11" s="408"/>
      <c r="S11" s="406"/>
      <c r="T11" s="406"/>
      <c r="U11" s="409"/>
      <c r="V11" s="405"/>
      <c r="W11" s="406"/>
      <c r="X11" s="406"/>
      <c r="Y11" s="407"/>
      <c r="Z11" s="406"/>
      <c r="AA11" s="406"/>
      <c r="AB11" s="407"/>
      <c r="AC11" s="406"/>
      <c r="AD11" s="408"/>
      <c r="AE11" s="406"/>
      <c r="AF11" s="406"/>
      <c r="AG11" s="409"/>
      <c r="AH11" s="410"/>
    </row>
    <row r="12" spans="3:37" s="411" customFormat="1" ht="20.100000000000001" customHeight="1">
      <c r="C12" s="412"/>
      <c r="D12" s="626"/>
      <c r="E12" s="422"/>
      <c r="F12" s="423" t="s">
        <v>1255</v>
      </c>
      <c r="G12" s="424"/>
      <c r="H12" s="632"/>
      <c r="I12" s="633"/>
      <c r="J12" s="405"/>
      <c r="K12" s="406"/>
      <c r="L12" s="406"/>
      <c r="M12" s="407"/>
      <c r="N12" s="406"/>
      <c r="O12" s="408"/>
      <c r="P12" s="407"/>
      <c r="Q12" s="406"/>
      <c r="R12" s="408"/>
      <c r="S12" s="406"/>
      <c r="T12" s="406"/>
      <c r="U12" s="409"/>
      <c r="V12" s="405"/>
      <c r="W12" s="406"/>
      <c r="X12" s="406"/>
      <c r="Y12" s="407"/>
      <c r="Z12" s="406"/>
      <c r="AA12" s="406"/>
      <c r="AB12" s="407"/>
      <c r="AC12" s="406"/>
      <c r="AD12" s="408"/>
      <c r="AE12" s="406"/>
      <c r="AF12" s="406"/>
      <c r="AG12" s="409"/>
      <c r="AH12" s="410"/>
    </row>
    <row r="13" spans="3:37" s="411" customFormat="1" ht="9" customHeight="1">
      <c r="C13" s="412"/>
      <c r="D13" s="626"/>
      <c r="E13" s="627" t="s">
        <v>1249</v>
      </c>
      <c r="F13" s="629" t="s">
        <v>1256</v>
      </c>
      <c r="G13" s="630"/>
      <c r="H13" s="632"/>
      <c r="I13" s="633"/>
      <c r="J13" s="405"/>
      <c r="K13" s="406"/>
      <c r="L13" s="406"/>
      <c r="M13" s="407"/>
      <c r="N13" s="406"/>
      <c r="O13" s="408"/>
      <c r="P13" s="407"/>
      <c r="Q13" s="406"/>
      <c r="R13" s="408"/>
      <c r="S13" s="406"/>
      <c r="T13" s="406"/>
      <c r="U13" s="409"/>
      <c r="V13" s="405"/>
      <c r="W13" s="406"/>
      <c r="X13" s="425"/>
      <c r="Y13" s="426"/>
      <c r="Z13" s="406"/>
      <c r="AA13" s="406"/>
      <c r="AB13" s="407"/>
      <c r="AC13" s="406"/>
      <c r="AD13" s="408"/>
      <c r="AE13" s="406"/>
      <c r="AF13" s="406"/>
      <c r="AG13" s="409"/>
      <c r="AH13" s="635" t="s">
        <v>1257</v>
      </c>
      <c r="AI13" s="636"/>
      <c r="AJ13" s="636"/>
      <c r="AK13" s="636"/>
    </row>
    <row r="14" spans="3:37" s="411" customFormat="1" ht="2.1" customHeight="1">
      <c r="C14" s="412"/>
      <c r="D14" s="626"/>
      <c r="E14" s="628"/>
      <c r="F14" s="629"/>
      <c r="G14" s="630"/>
      <c r="H14" s="632"/>
      <c r="I14" s="633"/>
      <c r="J14" s="405"/>
      <c r="K14" s="406"/>
      <c r="L14" s="406"/>
      <c r="M14" s="407"/>
      <c r="N14" s="406"/>
      <c r="O14" s="408"/>
      <c r="P14" s="407"/>
      <c r="Q14" s="406"/>
      <c r="R14" s="408"/>
      <c r="S14" s="406"/>
      <c r="T14" s="406"/>
      <c r="U14" s="409"/>
      <c r="V14" s="405"/>
      <c r="W14" s="406"/>
      <c r="X14" s="406"/>
      <c r="Y14" s="407"/>
      <c r="Z14" s="406"/>
      <c r="AA14" s="406"/>
      <c r="AB14" s="407"/>
      <c r="AC14" s="406"/>
      <c r="AD14" s="408"/>
      <c r="AE14" s="406"/>
      <c r="AF14" s="406"/>
      <c r="AG14" s="409"/>
      <c r="AH14" s="635"/>
      <c r="AI14" s="636"/>
      <c r="AJ14" s="636"/>
      <c r="AK14" s="636"/>
    </row>
    <row r="15" spans="3:37" s="411" customFormat="1" ht="9" customHeight="1">
      <c r="C15" s="412"/>
      <c r="D15" s="626"/>
      <c r="E15" s="628"/>
      <c r="F15" s="629"/>
      <c r="G15" s="630"/>
      <c r="H15" s="632"/>
      <c r="I15" s="633"/>
      <c r="J15" s="405"/>
      <c r="K15" s="406"/>
      <c r="L15" s="406"/>
      <c r="M15" s="407"/>
      <c r="N15" s="406"/>
      <c r="O15" s="408"/>
      <c r="P15" s="407"/>
      <c r="Q15" s="406"/>
      <c r="R15" s="408"/>
      <c r="S15" s="406"/>
      <c r="T15" s="406"/>
      <c r="U15" s="409"/>
      <c r="V15" s="405"/>
      <c r="W15" s="406"/>
      <c r="X15" s="406"/>
      <c r="Y15" s="407"/>
      <c r="Z15" s="406"/>
      <c r="AA15" s="406"/>
      <c r="AB15" s="407"/>
      <c r="AC15" s="406"/>
      <c r="AD15" s="408"/>
      <c r="AE15" s="406"/>
      <c r="AF15" s="406"/>
      <c r="AG15" s="409"/>
      <c r="AH15" s="635"/>
      <c r="AI15" s="636"/>
      <c r="AJ15" s="636"/>
      <c r="AK15" s="636"/>
    </row>
    <row r="16" spans="3:37" s="411" customFormat="1" ht="3" customHeight="1">
      <c r="C16" s="412"/>
      <c r="D16" s="626"/>
      <c r="E16" s="427"/>
      <c r="F16" s="428"/>
      <c r="G16" s="429"/>
      <c r="H16" s="430"/>
      <c r="I16" s="431"/>
      <c r="J16" s="432"/>
      <c r="K16" s="433"/>
      <c r="L16" s="433"/>
      <c r="M16" s="434"/>
      <c r="N16" s="433"/>
      <c r="O16" s="435"/>
      <c r="P16" s="434"/>
      <c r="Q16" s="433"/>
      <c r="R16" s="435"/>
      <c r="S16" s="433"/>
      <c r="T16" s="433"/>
      <c r="U16" s="436"/>
      <c r="V16" s="432"/>
      <c r="W16" s="433"/>
      <c r="X16" s="433"/>
      <c r="Y16" s="434"/>
      <c r="Z16" s="433"/>
      <c r="AA16" s="433"/>
      <c r="AB16" s="434"/>
      <c r="AC16" s="433"/>
      <c r="AD16" s="435"/>
      <c r="AE16" s="433"/>
      <c r="AF16" s="433"/>
      <c r="AG16" s="436"/>
      <c r="AH16" s="410"/>
    </row>
    <row r="17" spans="3:37" s="411" customFormat="1" ht="3" customHeight="1">
      <c r="C17" s="412"/>
      <c r="D17" s="626"/>
      <c r="E17" s="437"/>
      <c r="F17" s="438"/>
      <c r="G17" s="439"/>
      <c r="H17" s="440"/>
      <c r="I17" s="441"/>
      <c r="J17" s="442"/>
      <c r="K17" s="443"/>
      <c r="L17" s="443"/>
      <c r="M17" s="444"/>
      <c r="N17" s="443"/>
      <c r="O17" s="445"/>
      <c r="P17" s="444"/>
      <c r="Q17" s="443"/>
      <c r="R17" s="445"/>
      <c r="S17" s="443"/>
      <c r="T17" s="443"/>
      <c r="U17" s="446"/>
      <c r="V17" s="442"/>
      <c r="W17" s="443"/>
      <c r="X17" s="443"/>
      <c r="Y17" s="444"/>
      <c r="Z17" s="443"/>
      <c r="AA17" s="443"/>
      <c r="AB17" s="444"/>
      <c r="AC17" s="443"/>
      <c r="AD17" s="445"/>
      <c r="AE17" s="443"/>
      <c r="AF17" s="443"/>
      <c r="AG17" s="446"/>
      <c r="AH17" s="410"/>
    </row>
    <row r="18" spans="3:37" s="411" customFormat="1" ht="9" customHeight="1">
      <c r="C18" s="412"/>
      <c r="D18" s="626"/>
      <c r="E18" s="627" t="s">
        <v>1258</v>
      </c>
      <c r="F18" s="629" t="s">
        <v>1259</v>
      </c>
      <c r="G18" s="630"/>
      <c r="H18" s="634" t="s">
        <v>1260</v>
      </c>
      <c r="I18" s="633" t="s">
        <v>1261</v>
      </c>
      <c r="J18" s="405"/>
      <c r="K18" s="406"/>
      <c r="L18" s="447" t="s">
        <v>1262</v>
      </c>
      <c r="M18" s="448"/>
      <c r="N18" s="414"/>
      <c r="O18" s="449"/>
      <c r="P18" s="415"/>
      <c r="Q18" s="406"/>
      <c r="R18" s="408"/>
      <c r="S18" s="406"/>
      <c r="T18" s="406"/>
      <c r="U18" s="409"/>
      <c r="V18" s="405"/>
      <c r="W18" s="406"/>
      <c r="X18" s="406"/>
      <c r="Y18" s="407"/>
      <c r="Z18" s="406"/>
      <c r="AA18" s="406"/>
      <c r="AB18" s="407"/>
      <c r="AC18" s="406"/>
      <c r="AD18" s="408"/>
      <c r="AE18" s="406"/>
      <c r="AF18" s="406"/>
      <c r="AG18" s="409"/>
      <c r="AH18" s="635"/>
      <c r="AI18" s="636"/>
      <c r="AJ18" s="636"/>
      <c r="AK18" s="636"/>
    </row>
    <row r="19" spans="3:37" s="411" customFormat="1" ht="2.1" customHeight="1">
      <c r="C19" s="412"/>
      <c r="D19" s="626"/>
      <c r="E19" s="628"/>
      <c r="F19" s="629"/>
      <c r="G19" s="630"/>
      <c r="H19" s="634"/>
      <c r="I19" s="633"/>
      <c r="J19" s="405"/>
      <c r="K19" s="406"/>
      <c r="L19" s="406"/>
      <c r="M19" s="407"/>
      <c r="N19" s="406"/>
      <c r="O19" s="408"/>
      <c r="P19" s="407"/>
      <c r="Q19" s="406"/>
      <c r="R19" s="408"/>
      <c r="S19" s="406"/>
      <c r="T19" s="406"/>
      <c r="U19" s="409"/>
      <c r="V19" s="405"/>
      <c r="W19" s="406"/>
      <c r="X19" s="406"/>
      <c r="Y19" s="407"/>
      <c r="Z19" s="406"/>
      <c r="AA19" s="406"/>
      <c r="AB19" s="407"/>
      <c r="AC19" s="406"/>
      <c r="AD19" s="408"/>
      <c r="AE19" s="406"/>
      <c r="AF19" s="406"/>
      <c r="AG19" s="409"/>
      <c r="AH19" s="635"/>
      <c r="AI19" s="636"/>
      <c r="AJ19" s="636"/>
      <c r="AK19" s="636"/>
    </row>
    <row r="20" spans="3:37" s="411" customFormat="1" ht="9.9499999999999993" customHeight="1">
      <c r="C20" s="412"/>
      <c r="D20" s="626"/>
      <c r="E20" s="628"/>
      <c r="F20" s="629"/>
      <c r="G20" s="630"/>
      <c r="H20" s="634"/>
      <c r="I20" s="633"/>
      <c r="J20" s="405"/>
      <c r="K20" s="406"/>
      <c r="L20" s="450"/>
      <c r="M20" s="451"/>
      <c r="N20" s="406"/>
      <c r="O20" s="452" t="s">
        <v>1263</v>
      </c>
      <c r="P20" s="453"/>
      <c r="Q20" s="406"/>
      <c r="R20" s="408"/>
      <c r="S20" s="454"/>
      <c r="T20" s="455"/>
      <c r="U20" s="456"/>
      <c r="V20" s="405"/>
      <c r="W20" s="406"/>
      <c r="X20" s="406"/>
      <c r="Y20" s="407"/>
      <c r="Z20" s="406"/>
      <c r="AA20" s="406"/>
      <c r="AB20" s="407"/>
      <c r="AC20" s="406"/>
      <c r="AD20" s="408"/>
      <c r="AE20" s="406"/>
      <c r="AF20" s="406"/>
      <c r="AG20" s="409"/>
      <c r="AH20" s="635"/>
      <c r="AI20" s="636"/>
      <c r="AJ20" s="636"/>
      <c r="AK20" s="636"/>
    </row>
    <row r="21" spans="3:37" s="411" customFormat="1" ht="3" customHeight="1">
      <c r="C21" s="412"/>
      <c r="D21" s="626"/>
      <c r="E21" s="419"/>
      <c r="F21" s="420"/>
      <c r="G21" s="421"/>
      <c r="H21" s="634"/>
      <c r="I21" s="633"/>
      <c r="J21" s="405"/>
      <c r="K21" s="406"/>
      <c r="L21" s="406"/>
      <c r="M21" s="407"/>
      <c r="N21" s="406"/>
      <c r="O21" s="408"/>
      <c r="P21" s="407"/>
      <c r="Q21" s="406"/>
      <c r="R21" s="408"/>
      <c r="S21" s="406"/>
      <c r="T21" s="406"/>
      <c r="U21" s="409"/>
      <c r="V21" s="405"/>
      <c r="W21" s="406"/>
      <c r="X21" s="406"/>
      <c r="Y21" s="407"/>
      <c r="Z21" s="406"/>
      <c r="AA21" s="406"/>
      <c r="AB21" s="407"/>
      <c r="AC21" s="406"/>
      <c r="AD21" s="408"/>
      <c r="AE21" s="406"/>
      <c r="AF21" s="406"/>
      <c r="AG21" s="409"/>
      <c r="AH21" s="410"/>
    </row>
    <row r="22" spans="3:37" s="411" customFormat="1" ht="20.100000000000001" customHeight="1">
      <c r="C22" s="412"/>
      <c r="D22" s="626"/>
      <c r="E22" s="422"/>
      <c r="F22" s="423" t="s">
        <v>1264</v>
      </c>
      <c r="G22" s="424"/>
      <c r="H22" s="634"/>
      <c r="I22" s="633"/>
      <c r="J22" s="405"/>
      <c r="K22" s="406"/>
      <c r="L22" s="406"/>
      <c r="M22" s="407"/>
      <c r="N22" s="406"/>
      <c r="O22" s="408"/>
      <c r="P22" s="407"/>
      <c r="Q22" s="406"/>
      <c r="R22" s="408"/>
      <c r="S22" s="406"/>
      <c r="T22" s="406"/>
      <c r="U22" s="409"/>
      <c r="V22" s="405"/>
      <c r="W22" s="406"/>
      <c r="X22" s="406"/>
      <c r="Y22" s="407"/>
      <c r="Z22" s="406"/>
      <c r="AA22" s="406"/>
      <c r="AB22" s="407"/>
      <c r="AC22" s="406"/>
      <c r="AD22" s="408"/>
      <c r="AE22" s="406"/>
      <c r="AF22" s="406"/>
      <c r="AG22" s="409"/>
      <c r="AH22" s="410"/>
    </row>
    <row r="23" spans="3:37" s="411" customFormat="1" ht="20.100000000000001" customHeight="1">
      <c r="C23" s="412"/>
      <c r="D23" s="626"/>
      <c r="E23" s="422"/>
      <c r="F23" s="423" t="s">
        <v>1265</v>
      </c>
      <c r="G23" s="424"/>
      <c r="H23" s="634"/>
      <c r="I23" s="633"/>
      <c r="J23" s="405"/>
      <c r="K23" s="406"/>
      <c r="L23" s="406"/>
      <c r="M23" s="407"/>
      <c r="N23" s="406"/>
      <c r="O23" s="408"/>
      <c r="P23" s="407"/>
      <c r="Q23" s="406"/>
      <c r="R23" s="408"/>
      <c r="S23" s="406"/>
      <c r="T23" s="406"/>
      <c r="U23" s="409"/>
      <c r="V23" s="405"/>
      <c r="W23" s="406"/>
      <c r="X23" s="406"/>
      <c r="Y23" s="407"/>
      <c r="Z23" s="406"/>
      <c r="AA23" s="406"/>
      <c r="AB23" s="407"/>
      <c r="AC23" s="406"/>
      <c r="AD23" s="408"/>
      <c r="AE23" s="406"/>
      <c r="AF23" s="406"/>
      <c r="AG23" s="409"/>
      <c r="AH23" s="410"/>
    </row>
    <row r="24" spans="3:37" s="411" customFormat="1" ht="3" customHeight="1">
      <c r="C24" s="412"/>
      <c r="D24" s="457"/>
      <c r="E24" s="427"/>
      <c r="F24" s="458"/>
      <c r="G24" s="459"/>
      <c r="H24" s="430"/>
      <c r="I24" s="431"/>
      <c r="J24" s="432"/>
      <c r="K24" s="433"/>
      <c r="L24" s="433"/>
      <c r="M24" s="434"/>
      <c r="N24" s="433"/>
      <c r="O24" s="435"/>
      <c r="P24" s="434"/>
      <c r="Q24" s="433"/>
      <c r="R24" s="435"/>
      <c r="S24" s="433"/>
      <c r="T24" s="433"/>
      <c r="U24" s="436"/>
      <c r="V24" s="432"/>
      <c r="W24" s="433"/>
      <c r="X24" s="433"/>
      <c r="Y24" s="434"/>
      <c r="Z24" s="433"/>
      <c r="AA24" s="433"/>
      <c r="AB24" s="434"/>
      <c r="AC24" s="433"/>
      <c r="AD24" s="435"/>
      <c r="AE24" s="433"/>
      <c r="AF24" s="433"/>
      <c r="AG24" s="436"/>
      <c r="AH24" s="410"/>
    </row>
    <row r="25" spans="3:37" s="411" customFormat="1" ht="3" customHeight="1">
      <c r="C25" s="460"/>
      <c r="D25" s="461"/>
      <c r="E25" s="437"/>
      <c r="F25" s="438"/>
      <c r="G25" s="439"/>
      <c r="H25" s="440"/>
      <c r="I25" s="441"/>
      <c r="J25" s="442"/>
      <c r="K25" s="443"/>
      <c r="L25" s="443"/>
      <c r="M25" s="444"/>
      <c r="N25" s="443"/>
      <c r="O25" s="445"/>
      <c r="P25" s="444"/>
      <c r="Q25" s="443"/>
      <c r="R25" s="445"/>
      <c r="S25" s="443"/>
      <c r="T25" s="443"/>
      <c r="U25" s="446"/>
      <c r="V25" s="442"/>
      <c r="W25" s="443"/>
      <c r="X25" s="443"/>
      <c r="Y25" s="444"/>
      <c r="Z25" s="443"/>
      <c r="AA25" s="443"/>
      <c r="AB25" s="444"/>
      <c r="AC25" s="443"/>
      <c r="AD25" s="445"/>
      <c r="AE25" s="443"/>
      <c r="AF25" s="443"/>
      <c r="AG25" s="446"/>
      <c r="AH25" s="410"/>
    </row>
    <row r="26" spans="3:37" s="411" customFormat="1" ht="9" customHeight="1">
      <c r="C26" s="460"/>
      <c r="D26" s="641" t="s">
        <v>1266</v>
      </c>
      <c r="E26" s="627" t="s">
        <v>1249</v>
      </c>
      <c r="F26" s="629" t="s">
        <v>1267</v>
      </c>
      <c r="G26" s="630"/>
      <c r="H26" s="632" t="s">
        <v>1268</v>
      </c>
      <c r="I26" s="633" t="s">
        <v>1269</v>
      </c>
      <c r="J26" s="413"/>
      <c r="K26" s="414"/>
      <c r="L26" s="414"/>
      <c r="M26" s="407"/>
      <c r="N26" s="406"/>
      <c r="O26" s="408"/>
      <c r="P26" s="407"/>
      <c r="Q26" s="406"/>
      <c r="R26" s="408"/>
      <c r="S26" s="406"/>
      <c r="T26" s="406"/>
      <c r="U26" s="409"/>
      <c r="V26" s="405"/>
      <c r="W26" s="406"/>
      <c r="X26" s="406"/>
      <c r="Y26" s="407"/>
      <c r="Z26" s="406"/>
      <c r="AA26" s="406"/>
      <c r="AB26" s="407"/>
      <c r="AC26" s="406"/>
      <c r="AD26" s="408"/>
      <c r="AE26" s="406"/>
      <c r="AF26" s="406"/>
      <c r="AG26" s="409"/>
      <c r="AH26" s="635" t="s">
        <v>1270</v>
      </c>
      <c r="AI26" s="636"/>
      <c r="AJ26" s="636"/>
      <c r="AK26" s="636"/>
    </row>
    <row r="27" spans="3:37" s="411" customFormat="1" ht="2.1" customHeight="1">
      <c r="C27" s="460"/>
      <c r="D27" s="641"/>
      <c r="E27" s="628"/>
      <c r="F27" s="629"/>
      <c r="G27" s="630"/>
      <c r="H27" s="632"/>
      <c r="I27" s="633"/>
      <c r="J27" s="405"/>
      <c r="K27" s="406"/>
      <c r="L27" s="406"/>
      <c r="M27" s="407"/>
      <c r="N27" s="406"/>
      <c r="O27" s="408"/>
      <c r="P27" s="407"/>
      <c r="Q27" s="406"/>
      <c r="R27" s="408"/>
      <c r="S27" s="406"/>
      <c r="T27" s="406"/>
      <c r="U27" s="409"/>
      <c r="V27" s="405"/>
      <c r="W27" s="406"/>
      <c r="X27" s="406"/>
      <c r="Y27" s="407"/>
      <c r="Z27" s="406"/>
      <c r="AA27" s="406"/>
      <c r="AB27" s="407"/>
      <c r="AC27" s="406"/>
      <c r="AD27" s="408"/>
      <c r="AE27" s="406"/>
      <c r="AF27" s="406"/>
      <c r="AG27" s="409"/>
      <c r="AH27" s="635"/>
      <c r="AI27" s="636"/>
      <c r="AJ27" s="636"/>
      <c r="AK27" s="636"/>
    </row>
    <row r="28" spans="3:37" s="411" customFormat="1" ht="9" customHeight="1">
      <c r="C28" s="460"/>
      <c r="D28" s="641"/>
      <c r="E28" s="628"/>
      <c r="F28" s="629"/>
      <c r="G28" s="630"/>
      <c r="H28" s="632"/>
      <c r="I28" s="633"/>
      <c r="J28" s="462" t="s">
        <v>1271</v>
      </c>
      <c r="K28" s="463"/>
      <c r="L28" s="464"/>
      <c r="M28" s="406"/>
      <c r="N28" s="406"/>
      <c r="O28" s="408"/>
      <c r="P28" s="407"/>
      <c r="Q28" s="406"/>
      <c r="R28" s="408"/>
      <c r="S28" s="454"/>
      <c r="T28" s="455"/>
      <c r="U28" s="456"/>
      <c r="V28" s="405"/>
      <c r="W28" s="406"/>
      <c r="X28" s="406"/>
      <c r="Y28" s="407"/>
      <c r="Z28" s="406"/>
      <c r="AA28" s="406"/>
      <c r="AB28" s="407"/>
      <c r="AC28" s="406"/>
      <c r="AD28" s="408"/>
      <c r="AE28" s="406"/>
      <c r="AF28" s="406"/>
      <c r="AG28" s="409"/>
      <c r="AH28" s="635"/>
      <c r="AI28" s="636"/>
      <c r="AJ28" s="636"/>
      <c r="AK28" s="636"/>
    </row>
    <row r="29" spans="3:37" s="411" customFormat="1" ht="3" customHeight="1">
      <c r="C29" s="460"/>
      <c r="D29" s="641"/>
      <c r="E29" s="419"/>
      <c r="F29" s="420"/>
      <c r="G29" s="421"/>
      <c r="H29" s="632"/>
      <c r="I29" s="633"/>
      <c r="J29" s="405"/>
      <c r="K29" s="406"/>
      <c r="L29" s="406"/>
      <c r="M29" s="407"/>
      <c r="N29" s="406"/>
      <c r="O29" s="408"/>
      <c r="P29" s="407"/>
      <c r="Q29" s="406"/>
      <c r="R29" s="408"/>
      <c r="S29" s="406"/>
      <c r="T29" s="406"/>
      <c r="U29" s="409"/>
      <c r="V29" s="405"/>
      <c r="W29" s="406"/>
      <c r="X29" s="406"/>
      <c r="Y29" s="407"/>
      <c r="Z29" s="406"/>
      <c r="AA29" s="406"/>
      <c r="AB29" s="407"/>
      <c r="AC29" s="406"/>
      <c r="AD29" s="408"/>
      <c r="AE29" s="406"/>
      <c r="AF29" s="406"/>
      <c r="AG29" s="409"/>
      <c r="AH29" s="410"/>
    </row>
    <row r="30" spans="3:37" s="411" customFormat="1" ht="9.9499999999999993" customHeight="1">
      <c r="C30" s="460"/>
      <c r="D30" s="641"/>
      <c r="E30" s="422"/>
      <c r="F30" s="637" t="s">
        <v>1272</v>
      </c>
      <c r="G30" s="638"/>
      <c r="H30" s="632"/>
      <c r="I30" s="633"/>
      <c r="J30" s="405"/>
      <c r="K30" s="406"/>
      <c r="L30" s="406"/>
      <c r="M30" s="407"/>
      <c r="N30" s="406"/>
      <c r="O30" s="408"/>
      <c r="P30" s="407"/>
      <c r="Q30" s="406"/>
      <c r="R30" s="408"/>
      <c r="S30" s="406"/>
      <c r="T30" s="406"/>
      <c r="U30" s="409"/>
      <c r="V30" s="405"/>
      <c r="W30" s="406"/>
      <c r="X30" s="406"/>
      <c r="Y30" s="407"/>
      <c r="Z30" s="406"/>
      <c r="AA30" s="406"/>
      <c r="AB30" s="407"/>
      <c r="AC30" s="406"/>
      <c r="AD30" s="408"/>
      <c r="AE30" s="406"/>
      <c r="AF30" s="406"/>
      <c r="AG30" s="409"/>
      <c r="AH30" s="639" t="s">
        <v>1273</v>
      </c>
      <c r="AI30" s="640"/>
      <c r="AJ30" s="640"/>
      <c r="AK30" s="640"/>
    </row>
    <row r="31" spans="3:37" s="411" customFormat="1" ht="9.9499999999999993" customHeight="1">
      <c r="C31" s="460"/>
      <c r="D31" s="641"/>
      <c r="E31" s="422"/>
      <c r="F31" s="637"/>
      <c r="G31" s="638"/>
      <c r="H31" s="632"/>
      <c r="I31" s="633"/>
      <c r="J31" s="405"/>
      <c r="K31" s="406"/>
      <c r="L31" s="406"/>
      <c r="M31" s="407"/>
      <c r="N31" s="406"/>
      <c r="O31" s="408"/>
      <c r="P31" s="407"/>
      <c r="Q31" s="406"/>
      <c r="R31" s="408"/>
      <c r="S31" s="406"/>
      <c r="T31" s="406"/>
      <c r="U31" s="409"/>
      <c r="V31" s="405"/>
      <c r="W31" s="406"/>
      <c r="X31" s="406"/>
      <c r="Y31" s="407"/>
      <c r="Z31" s="406"/>
      <c r="AA31" s="406"/>
      <c r="AB31" s="407"/>
      <c r="AC31" s="406"/>
      <c r="AD31" s="408"/>
      <c r="AE31" s="406"/>
      <c r="AF31" s="406"/>
      <c r="AG31" s="409"/>
      <c r="AH31" s="639"/>
      <c r="AI31" s="640"/>
      <c r="AJ31" s="640"/>
      <c r="AK31" s="640"/>
    </row>
    <row r="32" spans="3:37" s="411" customFormat="1" ht="3" customHeight="1">
      <c r="C32" s="460"/>
      <c r="D32" s="641"/>
      <c r="E32" s="419"/>
      <c r="F32" s="420"/>
      <c r="G32" s="421"/>
      <c r="H32" s="632"/>
      <c r="I32" s="633"/>
      <c r="J32" s="405"/>
      <c r="K32" s="406"/>
      <c r="L32" s="406"/>
      <c r="M32" s="407"/>
      <c r="N32" s="406"/>
      <c r="O32" s="408"/>
      <c r="P32" s="407"/>
      <c r="Q32" s="406"/>
      <c r="R32" s="408"/>
      <c r="S32" s="406"/>
      <c r="T32" s="406"/>
      <c r="U32" s="409"/>
      <c r="V32" s="405"/>
      <c r="W32" s="406"/>
      <c r="X32" s="406"/>
      <c r="Y32" s="407"/>
      <c r="Z32" s="406"/>
      <c r="AA32" s="406"/>
      <c r="AB32" s="407"/>
      <c r="AC32" s="406"/>
      <c r="AD32" s="408"/>
      <c r="AE32" s="406"/>
      <c r="AF32" s="406"/>
      <c r="AG32" s="409"/>
      <c r="AH32" s="410"/>
    </row>
    <row r="33" spans="3:37" s="411" customFormat="1" ht="3" customHeight="1">
      <c r="C33" s="460"/>
      <c r="D33" s="641"/>
      <c r="E33" s="419"/>
      <c r="F33" s="420"/>
      <c r="G33" s="421"/>
      <c r="H33" s="632"/>
      <c r="I33" s="633"/>
      <c r="J33" s="405"/>
      <c r="K33" s="406"/>
      <c r="L33" s="406"/>
      <c r="M33" s="407"/>
      <c r="N33" s="406"/>
      <c r="O33" s="408"/>
      <c r="P33" s="407"/>
      <c r="Q33" s="406"/>
      <c r="R33" s="408"/>
      <c r="S33" s="406"/>
      <c r="T33" s="406"/>
      <c r="U33" s="409"/>
      <c r="V33" s="405"/>
      <c r="W33" s="406"/>
      <c r="X33" s="406"/>
      <c r="Y33" s="407"/>
      <c r="Z33" s="406"/>
      <c r="AA33" s="406"/>
      <c r="AB33" s="407"/>
      <c r="AC33" s="406"/>
      <c r="AD33" s="408"/>
      <c r="AE33" s="406"/>
      <c r="AF33" s="406"/>
      <c r="AG33" s="409"/>
      <c r="AH33" s="410"/>
    </row>
    <row r="34" spans="3:37" s="411" customFormat="1" ht="9.9499999999999993" customHeight="1">
      <c r="C34" s="460"/>
      <c r="D34" s="641"/>
      <c r="E34" s="422"/>
      <c r="F34" s="637" t="s">
        <v>1274</v>
      </c>
      <c r="G34" s="638"/>
      <c r="H34" s="632"/>
      <c r="I34" s="633"/>
      <c r="J34" s="405"/>
      <c r="K34" s="406"/>
      <c r="L34" s="406"/>
      <c r="M34" s="407"/>
      <c r="N34" s="406"/>
      <c r="O34" s="408"/>
      <c r="P34" s="407"/>
      <c r="Q34" s="406"/>
      <c r="R34" s="408"/>
      <c r="S34" s="406"/>
      <c r="T34" s="406"/>
      <c r="U34" s="409"/>
      <c r="V34" s="405"/>
      <c r="W34" s="406"/>
      <c r="X34" s="406"/>
      <c r="Y34" s="407"/>
      <c r="Z34" s="406"/>
      <c r="AA34" s="406"/>
      <c r="AB34" s="407"/>
      <c r="AC34" s="406"/>
      <c r="AD34" s="408"/>
      <c r="AE34" s="406"/>
      <c r="AF34" s="406"/>
      <c r="AG34" s="409"/>
      <c r="AH34" s="639" t="s">
        <v>1275</v>
      </c>
      <c r="AI34" s="640"/>
      <c r="AJ34" s="640"/>
      <c r="AK34" s="640"/>
    </row>
    <row r="35" spans="3:37" s="411" customFormat="1" ht="9.9499999999999993" customHeight="1">
      <c r="C35" s="460"/>
      <c r="D35" s="641"/>
      <c r="E35" s="422"/>
      <c r="F35" s="637"/>
      <c r="G35" s="638"/>
      <c r="H35" s="632"/>
      <c r="I35" s="633"/>
      <c r="J35" s="405"/>
      <c r="K35" s="406"/>
      <c r="L35" s="406"/>
      <c r="M35" s="407"/>
      <c r="N35" s="406"/>
      <c r="O35" s="408"/>
      <c r="P35" s="407"/>
      <c r="Q35" s="406"/>
      <c r="R35" s="408"/>
      <c r="S35" s="406"/>
      <c r="T35" s="406"/>
      <c r="U35" s="409"/>
      <c r="V35" s="405"/>
      <c r="W35" s="406"/>
      <c r="X35" s="406"/>
      <c r="Y35" s="407"/>
      <c r="Z35" s="406"/>
      <c r="AA35" s="406"/>
      <c r="AB35" s="407"/>
      <c r="AC35" s="406"/>
      <c r="AD35" s="408"/>
      <c r="AE35" s="406"/>
      <c r="AF35" s="406"/>
      <c r="AG35" s="409"/>
      <c r="AH35" s="639"/>
      <c r="AI35" s="640"/>
      <c r="AJ35" s="640"/>
      <c r="AK35" s="640"/>
    </row>
    <row r="36" spans="3:37" s="411" customFormat="1" ht="3" customHeight="1">
      <c r="C36" s="460"/>
      <c r="D36" s="641"/>
      <c r="E36" s="419"/>
      <c r="F36" s="420"/>
      <c r="G36" s="421"/>
      <c r="H36" s="632"/>
      <c r="I36" s="633"/>
      <c r="J36" s="405"/>
      <c r="K36" s="406"/>
      <c r="L36" s="406"/>
      <c r="M36" s="407"/>
      <c r="N36" s="406"/>
      <c r="O36" s="408"/>
      <c r="P36" s="407"/>
      <c r="Q36" s="406"/>
      <c r="R36" s="408"/>
      <c r="S36" s="406"/>
      <c r="T36" s="406"/>
      <c r="U36" s="409"/>
      <c r="V36" s="405"/>
      <c r="W36" s="406"/>
      <c r="X36" s="406"/>
      <c r="Y36" s="407"/>
      <c r="Z36" s="406"/>
      <c r="AA36" s="406"/>
      <c r="AB36" s="407"/>
      <c r="AC36" s="406"/>
      <c r="AD36" s="408"/>
      <c r="AE36" s="406"/>
      <c r="AF36" s="406"/>
      <c r="AG36" s="409"/>
      <c r="AH36" s="410"/>
    </row>
    <row r="37" spans="3:37" s="411" customFormat="1" ht="3" customHeight="1">
      <c r="C37" s="460"/>
      <c r="D37" s="641"/>
      <c r="E37" s="419"/>
      <c r="F37" s="420"/>
      <c r="G37" s="421"/>
      <c r="H37" s="632"/>
      <c r="I37" s="633"/>
      <c r="J37" s="405"/>
      <c r="K37" s="406"/>
      <c r="L37" s="406"/>
      <c r="M37" s="407"/>
      <c r="N37" s="406"/>
      <c r="O37" s="408"/>
      <c r="P37" s="407"/>
      <c r="Q37" s="406"/>
      <c r="R37" s="408"/>
      <c r="S37" s="406"/>
      <c r="T37" s="406"/>
      <c r="U37" s="409"/>
      <c r="V37" s="405"/>
      <c r="W37" s="406"/>
      <c r="X37" s="406"/>
      <c r="Y37" s="407"/>
      <c r="Z37" s="406"/>
      <c r="AA37" s="406"/>
      <c r="AB37" s="407"/>
      <c r="AC37" s="406"/>
      <c r="AD37" s="408"/>
      <c r="AE37" s="406"/>
      <c r="AF37" s="406"/>
      <c r="AG37" s="409"/>
      <c r="AH37" s="410"/>
    </row>
    <row r="38" spans="3:37" s="411" customFormat="1" ht="9.9499999999999993" customHeight="1">
      <c r="C38" s="460"/>
      <c r="D38" s="641"/>
      <c r="E38" s="422"/>
      <c r="F38" s="637" t="s">
        <v>1276</v>
      </c>
      <c r="G38" s="638"/>
      <c r="H38" s="632"/>
      <c r="I38" s="633"/>
      <c r="J38" s="405"/>
      <c r="K38" s="406"/>
      <c r="L38" s="406"/>
      <c r="M38" s="407"/>
      <c r="N38" s="406"/>
      <c r="O38" s="408"/>
      <c r="P38" s="407"/>
      <c r="Q38" s="406"/>
      <c r="R38" s="408"/>
      <c r="S38" s="406"/>
      <c r="T38" s="406"/>
      <c r="U38" s="409"/>
      <c r="V38" s="405"/>
      <c r="W38" s="406"/>
      <c r="X38" s="406"/>
      <c r="Y38" s="407"/>
      <c r="Z38" s="406"/>
      <c r="AA38" s="406"/>
      <c r="AB38" s="407"/>
      <c r="AC38" s="406"/>
      <c r="AD38" s="408"/>
      <c r="AE38" s="406"/>
      <c r="AF38" s="406"/>
      <c r="AG38" s="409"/>
      <c r="AH38" s="635"/>
      <c r="AI38" s="636"/>
      <c r="AJ38" s="636"/>
      <c r="AK38" s="636"/>
    </row>
    <row r="39" spans="3:37" s="411" customFormat="1" ht="9.9499999999999993" customHeight="1">
      <c r="C39" s="460"/>
      <c r="D39" s="641"/>
      <c r="E39" s="422"/>
      <c r="F39" s="637"/>
      <c r="G39" s="638"/>
      <c r="H39" s="632"/>
      <c r="I39" s="633"/>
      <c r="J39" s="405"/>
      <c r="K39" s="406"/>
      <c r="L39" s="406"/>
      <c r="M39" s="407"/>
      <c r="N39" s="406"/>
      <c r="O39" s="408"/>
      <c r="P39" s="407"/>
      <c r="Q39" s="406"/>
      <c r="R39" s="408"/>
      <c r="S39" s="406"/>
      <c r="T39" s="406"/>
      <c r="U39" s="409"/>
      <c r="V39" s="405"/>
      <c r="W39" s="406"/>
      <c r="X39" s="406"/>
      <c r="Y39" s="407"/>
      <c r="Z39" s="406"/>
      <c r="AA39" s="406"/>
      <c r="AB39" s="407"/>
      <c r="AC39" s="406"/>
      <c r="AD39" s="408"/>
      <c r="AE39" s="406"/>
      <c r="AF39" s="406"/>
      <c r="AG39" s="409"/>
      <c r="AH39" s="635"/>
      <c r="AI39" s="636"/>
      <c r="AJ39" s="636"/>
      <c r="AK39" s="636"/>
    </row>
    <row r="40" spans="3:37" s="411" customFormat="1" ht="3" customHeight="1">
      <c r="C40" s="460"/>
      <c r="D40" s="457"/>
      <c r="E40" s="427"/>
      <c r="F40" s="458"/>
      <c r="G40" s="459"/>
      <c r="H40" s="430"/>
      <c r="I40" s="431"/>
      <c r="J40" s="432"/>
      <c r="K40" s="433"/>
      <c r="L40" s="433"/>
      <c r="M40" s="434"/>
      <c r="N40" s="433"/>
      <c r="O40" s="435"/>
      <c r="P40" s="434"/>
      <c r="Q40" s="433"/>
      <c r="R40" s="435"/>
      <c r="S40" s="433"/>
      <c r="T40" s="433"/>
      <c r="U40" s="436"/>
      <c r="V40" s="432"/>
      <c r="W40" s="433"/>
      <c r="X40" s="433"/>
      <c r="Y40" s="434"/>
      <c r="Z40" s="433"/>
      <c r="AA40" s="433"/>
      <c r="AB40" s="434"/>
      <c r="AC40" s="433"/>
      <c r="AD40" s="435"/>
      <c r="AE40" s="433"/>
      <c r="AF40" s="433"/>
      <c r="AG40" s="436"/>
      <c r="AH40" s="635"/>
      <c r="AI40" s="636"/>
      <c r="AJ40" s="636"/>
      <c r="AK40" s="636"/>
    </row>
    <row r="41" spans="3:37" s="411" customFormat="1" ht="3" customHeight="1">
      <c r="C41" s="460"/>
      <c r="D41" s="461"/>
      <c r="E41" s="437"/>
      <c r="F41" s="438"/>
      <c r="G41" s="439"/>
      <c r="H41" s="440"/>
      <c r="I41" s="441"/>
      <c r="J41" s="442"/>
      <c r="K41" s="443"/>
      <c r="L41" s="443"/>
      <c r="M41" s="444"/>
      <c r="N41" s="443"/>
      <c r="O41" s="445"/>
      <c r="P41" s="444"/>
      <c r="Q41" s="443"/>
      <c r="R41" s="445"/>
      <c r="S41" s="443"/>
      <c r="T41" s="443"/>
      <c r="U41" s="446"/>
      <c r="V41" s="442"/>
      <c r="W41" s="443"/>
      <c r="X41" s="443"/>
      <c r="Y41" s="444"/>
      <c r="Z41" s="443"/>
      <c r="AA41" s="443"/>
      <c r="AB41" s="444"/>
      <c r="AC41" s="443"/>
      <c r="AD41" s="445"/>
      <c r="AE41" s="443"/>
      <c r="AF41" s="443"/>
      <c r="AG41" s="446"/>
      <c r="AH41" s="410"/>
    </row>
    <row r="42" spans="3:37" s="411" customFormat="1" ht="9" customHeight="1">
      <c r="C42" s="460"/>
      <c r="D42" s="641" t="s">
        <v>1277</v>
      </c>
      <c r="E42" s="627" t="s">
        <v>1278</v>
      </c>
      <c r="F42" s="629" t="s">
        <v>1279</v>
      </c>
      <c r="G42" s="630"/>
      <c r="H42" s="631" t="s">
        <v>1280</v>
      </c>
      <c r="I42" s="633" t="s">
        <v>1281</v>
      </c>
      <c r="J42" s="405"/>
      <c r="K42" s="414"/>
      <c r="L42" s="414"/>
      <c r="M42" s="415"/>
      <c r="N42" s="414"/>
      <c r="O42" s="449"/>
      <c r="P42" s="407"/>
      <c r="Q42" s="406"/>
      <c r="R42" s="408"/>
      <c r="S42" s="406"/>
      <c r="T42" s="406"/>
      <c r="U42" s="409"/>
      <c r="V42" s="405"/>
      <c r="W42" s="406"/>
      <c r="X42" s="406"/>
      <c r="Y42" s="407"/>
      <c r="Z42" s="406"/>
      <c r="AA42" s="406"/>
      <c r="AB42" s="407"/>
      <c r="AC42" s="406"/>
      <c r="AD42" s="408"/>
      <c r="AE42" s="406"/>
      <c r="AF42" s="406"/>
      <c r="AG42" s="409"/>
      <c r="AH42" s="635"/>
      <c r="AI42" s="636"/>
      <c r="AJ42" s="636"/>
      <c r="AK42" s="636"/>
    </row>
    <row r="43" spans="3:37" s="411" customFormat="1" ht="2.1" customHeight="1">
      <c r="C43" s="460"/>
      <c r="D43" s="641"/>
      <c r="E43" s="628"/>
      <c r="F43" s="629"/>
      <c r="G43" s="630"/>
      <c r="H43" s="632"/>
      <c r="I43" s="633"/>
      <c r="J43" s="405"/>
      <c r="K43" s="406"/>
      <c r="L43" s="406"/>
      <c r="M43" s="407"/>
      <c r="N43" s="406"/>
      <c r="O43" s="408"/>
      <c r="P43" s="407"/>
      <c r="Q43" s="406"/>
      <c r="R43" s="408"/>
      <c r="S43" s="406"/>
      <c r="T43" s="406"/>
      <c r="U43" s="409"/>
      <c r="V43" s="405"/>
      <c r="W43" s="406"/>
      <c r="X43" s="406"/>
      <c r="Y43" s="407"/>
      <c r="Z43" s="406"/>
      <c r="AA43" s="406"/>
      <c r="AB43" s="407"/>
      <c r="AC43" s="406"/>
      <c r="AD43" s="408"/>
      <c r="AE43" s="406"/>
      <c r="AF43" s="406"/>
      <c r="AG43" s="409"/>
      <c r="AH43" s="635"/>
      <c r="AI43" s="636"/>
      <c r="AJ43" s="636"/>
      <c r="AK43" s="636"/>
    </row>
    <row r="44" spans="3:37" s="411" customFormat="1" ht="9" customHeight="1">
      <c r="C44" s="460"/>
      <c r="D44" s="641"/>
      <c r="E44" s="628"/>
      <c r="F44" s="629"/>
      <c r="G44" s="630"/>
      <c r="H44" s="632"/>
      <c r="I44" s="633"/>
      <c r="J44" s="416" t="s">
        <v>1282</v>
      </c>
      <c r="K44" s="465"/>
      <c r="L44" s="465"/>
      <c r="M44" s="465"/>
      <c r="N44" s="465"/>
      <c r="O44" s="465"/>
      <c r="P44" s="465"/>
      <c r="Q44" s="465"/>
      <c r="R44" s="408"/>
      <c r="S44" s="454"/>
      <c r="T44" s="455"/>
      <c r="U44" s="456"/>
      <c r="V44" s="405"/>
      <c r="W44" s="406"/>
      <c r="X44" s="406"/>
      <c r="Y44" s="407"/>
      <c r="Z44" s="406"/>
      <c r="AA44" s="406"/>
      <c r="AB44" s="407"/>
      <c r="AC44" s="406"/>
      <c r="AD44" s="408"/>
      <c r="AE44" s="406"/>
      <c r="AF44" s="406"/>
      <c r="AG44" s="409"/>
      <c r="AH44" s="635"/>
      <c r="AI44" s="636"/>
      <c r="AJ44" s="636"/>
      <c r="AK44" s="636"/>
    </row>
    <row r="45" spans="3:37" s="411" customFormat="1" ht="3" customHeight="1">
      <c r="C45" s="460"/>
      <c r="D45" s="641"/>
      <c r="E45" s="419"/>
      <c r="F45" s="420"/>
      <c r="G45" s="421"/>
      <c r="H45" s="632"/>
      <c r="I45" s="633"/>
      <c r="J45" s="405"/>
      <c r="K45" s="406"/>
      <c r="L45" s="406"/>
      <c r="M45" s="407"/>
      <c r="N45" s="406"/>
      <c r="O45" s="408"/>
      <c r="P45" s="407"/>
      <c r="Q45" s="406"/>
      <c r="R45" s="408"/>
      <c r="S45" s="406"/>
      <c r="T45" s="406"/>
      <c r="U45" s="409"/>
      <c r="V45" s="405"/>
      <c r="W45" s="406"/>
      <c r="X45" s="406"/>
      <c r="Y45" s="407"/>
      <c r="Z45" s="406"/>
      <c r="AA45" s="406"/>
      <c r="AB45" s="407"/>
      <c r="AC45" s="406"/>
      <c r="AD45" s="408"/>
      <c r="AE45" s="406"/>
      <c r="AF45" s="406"/>
      <c r="AG45" s="409"/>
      <c r="AH45" s="410"/>
    </row>
    <row r="46" spans="3:37" s="411" customFormat="1" ht="20.100000000000001" customHeight="1">
      <c r="C46" s="460"/>
      <c r="D46" s="641"/>
      <c r="E46" s="422"/>
      <c r="F46" s="637" t="s">
        <v>1283</v>
      </c>
      <c r="G46" s="638"/>
      <c r="H46" s="632"/>
      <c r="I46" s="633"/>
      <c r="J46" s="405"/>
      <c r="K46" s="406"/>
      <c r="L46" s="406"/>
      <c r="M46" s="407"/>
      <c r="N46" s="406"/>
      <c r="O46" s="408"/>
      <c r="P46" s="407"/>
      <c r="Q46" s="406"/>
      <c r="R46" s="408"/>
      <c r="S46" s="406"/>
      <c r="T46" s="406"/>
      <c r="U46" s="409"/>
      <c r="V46" s="405"/>
      <c r="W46" s="406"/>
      <c r="X46" s="406"/>
      <c r="Y46" s="407"/>
      <c r="Z46" s="406"/>
      <c r="AA46" s="406"/>
      <c r="AB46" s="407"/>
      <c r="AC46" s="406"/>
      <c r="AD46" s="408"/>
      <c r="AE46" s="406"/>
      <c r="AF46" s="406"/>
      <c r="AG46" s="409"/>
      <c r="AH46" s="639"/>
      <c r="AI46" s="640"/>
      <c r="AJ46" s="640"/>
      <c r="AK46" s="640"/>
    </row>
    <row r="47" spans="3:37" s="411" customFormat="1" ht="20.100000000000001" customHeight="1">
      <c r="C47" s="460"/>
      <c r="D47" s="641"/>
      <c r="E47" s="422"/>
      <c r="F47" s="637" t="s">
        <v>1284</v>
      </c>
      <c r="G47" s="638"/>
      <c r="H47" s="632"/>
      <c r="I47" s="633"/>
      <c r="J47" s="405"/>
      <c r="K47" s="406"/>
      <c r="L47" s="406"/>
      <c r="M47" s="407"/>
      <c r="N47" s="406"/>
      <c r="O47" s="408"/>
      <c r="P47" s="407"/>
      <c r="Q47" s="406"/>
      <c r="R47" s="408"/>
      <c r="S47" s="406"/>
      <c r="T47" s="406"/>
      <c r="U47" s="409"/>
      <c r="V47" s="405"/>
      <c r="W47" s="406"/>
      <c r="X47" s="406"/>
      <c r="Y47" s="407"/>
      <c r="Z47" s="406"/>
      <c r="AA47" s="406"/>
      <c r="AB47" s="407"/>
      <c r="AC47" s="406"/>
      <c r="AD47" s="408"/>
      <c r="AE47" s="406"/>
      <c r="AF47" s="406"/>
      <c r="AG47" s="409"/>
      <c r="AH47" s="639"/>
      <c r="AI47" s="640"/>
      <c r="AJ47" s="640"/>
      <c r="AK47" s="640"/>
    </row>
    <row r="48" spans="3:37" s="411" customFormat="1" ht="20.100000000000001" customHeight="1">
      <c r="C48" s="460"/>
      <c r="D48" s="641"/>
      <c r="E48" s="422"/>
      <c r="F48" s="637" t="s">
        <v>1285</v>
      </c>
      <c r="G48" s="638"/>
      <c r="H48" s="632"/>
      <c r="I48" s="633"/>
      <c r="J48" s="405"/>
      <c r="K48" s="406"/>
      <c r="L48" s="406"/>
      <c r="M48" s="407"/>
      <c r="N48" s="406"/>
      <c r="O48" s="408"/>
      <c r="P48" s="407"/>
      <c r="Q48" s="406"/>
      <c r="R48" s="408"/>
      <c r="S48" s="406"/>
      <c r="T48" s="406"/>
      <c r="U48" s="409"/>
      <c r="V48" s="405"/>
      <c r="W48" s="406"/>
      <c r="X48" s="406"/>
      <c r="Y48" s="407"/>
      <c r="Z48" s="406"/>
      <c r="AA48" s="406"/>
      <c r="AB48" s="407"/>
      <c r="AC48" s="406"/>
      <c r="AD48" s="408"/>
      <c r="AE48" s="406"/>
      <c r="AF48" s="406"/>
      <c r="AG48" s="409"/>
      <c r="AH48" s="635"/>
      <c r="AI48" s="636"/>
      <c r="AJ48" s="636"/>
      <c r="AK48" s="636"/>
    </row>
    <row r="49" spans="3:37" s="411" customFormat="1" ht="3" customHeight="1">
      <c r="C49" s="460"/>
      <c r="D49" s="457"/>
      <c r="E49" s="427"/>
      <c r="F49" s="458"/>
      <c r="G49" s="459"/>
      <c r="H49" s="430"/>
      <c r="I49" s="431"/>
      <c r="J49" s="432"/>
      <c r="K49" s="433"/>
      <c r="L49" s="433"/>
      <c r="M49" s="434"/>
      <c r="N49" s="433"/>
      <c r="O49" s="435"/>
      <c r="P49" s="434"/>
      <c r="Q49" s="433"/>
      <c r="R49" s="435"/>
      <c r="S49" s="433"/>
      <c r="T49" s="433"/>
      <c r="U49" s="436"/>
      <c r="V49" s="432"/>
      <c r="W49" s="433"/>
      <c r="X49" s="433"/>
      <c r="Y49" s="434"/>
      <c r="Z49" s="433"/>
      <c r="AA49" s="433"/>
      <c r="AB49" s="434"/>
      <c r="AC49" s="433"/>
      <c r="AD49" s="435"/>
      <c r="AE49" s="433"/>
      <c r="AF49" s="433"/>
      <c r="AG49" s="436"/>
      <c r="AH49" s="635"/>
      <c r="AI49" s="636"/>
      <c r="AJ49" s="636"/>
      <c r="AK49" s="636"/>
    </row>
    <row r="50" spans="3:37" s="411" customFormat="1" ht="3" customHeight="1">
      <c r="C50" s="460"/>
      <c r="D50" s="466"/>
      <c r="E50" s="467"/>
      <c r="F50" s="468"/>
      <c r="G50" s="469"/>
      <c r="H50" s="470"/>
      <c r="I50" s="471"/>
      <c r="J50" s="442"/>
      <c r="K50" s="443"/>
      <c r="L50" s="443"/>
      <c r="M50" s="444"/>
      <c r="N50" s="443"/>
      <c r="O50" s="445"/>
      <c r="P50" s="444"/>
      <c r="Q50" s="443"/>
      <c r="R50" s="445"/>
      <c r="S50" s="443"/>
      <c r="T50" s="443"/>
      <c r="U50" s="446"/>
      <c r="V50" s="442"/>
      <c r="W50" s="443"/>
      <c r="X50" s="443"/>
      <c r="Y50" s="444"/>
      <c r="Z50" s="443"/>
      <c r="AA50" s="443"/>
      <c r="AB50" s="444"/>
      <c r="AC50" s="443"/>
      <c r="AD50" s="445"/>
      <c r="AE50" s="443"/>
      <c r="AF50" s="443"/>
      <c r="AG50" s="446"/>
      <c r="AH50" s="410"/>
    </row>
    <row r="51" spans="3:37" s="411" customFormat="1" ht="9" customHeight="1">
      <c r="C51" s="460"/>
      <c r="D51" s="642" t="s">
        <v>1286</v>
      </c>
      <c r="E51" s="643" t="s">
        <v>1278</v>
      </c>
      <c r="F51" s="645" t="s">
        <v>1287</v>
      </c>
      <c r="G51" s="646"/>
      <c r="H51" s="647" t="s">
        <v>1288</v>
      </c>
      <c r="I51" s="649" t="s">
        <v>1289</v>
      </c>
      <c r="J51" s="405"/>
      <c r="K51" s="406"/>
      <c r="L51" s="406"/>
      <c r="M51" s="407"/>
      <c r="N51" s="406"/>
      <c r="O51" s="408"/>
      <c r="P51" s="407"/>
      <c r="Q51" s="406"/>
      <c r="R51" s="408"/>
      <c r="S51" s="406"/>
      <c r="T51" s="406"/>
      <c r="U51" s="409"/>
      <c r="V51" s="405"/>
      <c r="W51" s="406"/>
      <c r="X51" s="406"/>
      <c r="Y51" s="407"/>
      <c r="Z51" s="406"/>
      <c r="AA51" s="406"/>
      <c r="AB51" s="407"/>
      <c r="AC51" s="406"/>
      <c r="AD51" s="408"/>
      <c r="AE51" s="406"/>
      <c r="AF51" s="406"/>
      <c r="AG51" s="409"/>
      <c r="AH51" s="635" t="s">
        <v>1290</v>
      </c>
      <c r="AI51" s="636"/>
      <c r="AJ51" s="636"/>
      <c r="AK51" s="636"/>
    </row>
    <row r="52" spans="3:37" s="411" customFormat="1" ht="2.1" customHeight="1">
      <c r="C52" s="460"/>
      <c r="D52" s="642"/>
      <c r="E52" s="644"/>
      <c r="F52" s="645"/>
      <c r="G52" s="646"/>
      <c r="H52" s="648"/>
      <c r="I52" s="649"/>
      <c r="J52" s="405"/>
      <c r="K52" s="406"/>
      <c r="L52" s="406"/>
      <c r="M52" s="407"/>
      <c r="N52" s="406"/>
      <c r="O52" s="408"/>
      <c r="P52" s="407"/>
      <c r="Q52" s="406"/>
      <c r="R52" s="408"/>
      <c r="S52" s="406"/>
      <c r="T52" s="406"/>
      <c r="U52" s="409"/>
      <c r="V52" s="405"/>
      <c r="W52" s="406"/>
      <c r="X52" s="406"/>
      <c r="Y52" s="407"/>
      <c r="Z52" s="406"/>
      <c r="AA52" s="406"/>
      <c r="AB52" s="407"/>
      <c r="AC52" s="406"/>
      <c r="AD52" s="408"/>
      <c r="AE52" s="406"/>
      <c r="AF52" s="406"/>
      <c r="AG52" s="409"/>
      <c r="AH52" s="635"/>
      <c r="AI52" s="636"/>
      <c r="AJ52" s="636"/>
      <c r="AK52" s="636"/>
    </row>
    <row r="53" spans="3:37" s="411" customFormat="1" ht="9" customHeight="1">
      <c r="C53" s="460"/>
      <c r="D53" s="642"/>
      <c r="E53" s="644"/>
      <c r="F53" s="645"/>
      <c r="G53" s="646"/>
      <c r="H53" s="648"/>
      <c r="I53" s="649"/>
      <c r="J53" s="405"/>
      <c r="K53" s="406"/>
      <c r="L53" s="406"/>
      <c r="M53" s="407"/>
      <c r="N53" s="406"/>
      <c r="O53" s="408"/>
      <c r="P53" s="407"/>
      <c r="Q53" s="406"/>
      <c r="R53" s="408"/>
      <c r="S53" s="454"/>
      <c r="T53" s="455"/>
      <c r="U53" s="456"/>
      <c r="V53" s="405"/>
      <c r="W53" s="406"/>
      <c r="X53" s="406"/>
      <c r="Y53" s="407"/>
      <c r="Z53" s="406"/>
      <c r="AA53" s="406"/>
      <c r="AB53" s="407"/>
      <c r="AC53" s="406"/>
      <c r="AD53" s="408"/>
      <c r="AE53" s="406"/>
      <c r="AF53" s="406"/>
      <c r="AG53" s="409"/>
      <c r="AH53" s="635"/>
      <c r="AI53" s="636"/>
      <c r="AJ53" s="636"/>
      <c r="AK53" s="636"/>
    </row>
    <row r="54" spans="3:37" s="411" customFormat="1" ht="3" customHeight="1">
      <c r="C54" s="460"/>
      <c r="D54" s="642"/>
      <c r="E54" s="472"/>
      <c r="F54" s="473"/>
      <c r="G54" s="474"/>
      <c r="H54" s="648"/>
      <c r="I54" s="649"/>
      <c r="J54" s="405"/>
      <c r="K54" s="406"/>
      <c r="L54" s="406"/>
      <c r="M54" s="407"/>
      <c r="N54" s="406"/>
      <c r="O54" s="408"/>
      <c r="P54" s="407"/>
      <c r="Q54" s="406"/>
      <c r="R54" s="408"/>
      <c r="S54" s="406"/>
      <c r="T54" s="406"/>
      <c r="U54" s="409"/>
      <c r="V54" s="405"/>
      <c r="W54" s="406"/>
      <c r="X54" s="406"/>
      <c r="Y54" s="407"/>
      <c r="Z54" s="406"/>
      <c r="AA54" s="406"/>
      <c r="AB54" s="407"/>
      <c r="AC54" s="406"/>
      <c r="AD54" s="408"/>
      <c r="AE54" s="406"/>
      <c r="AF54" s="406"/>
      <c r="AG54" s="409"/>
      <c r="AH54" s="410"/>
    </row>
    <row r="55" spans="3:37" s="411" customFormat="1" ht="9.9499999999999993" customHeight="1">
      <c r="C55" s="460"/>
      <c r="D55" s="642"/>
      <c r="E55" s="475"/>
      <c r="F55" s="652" t="s">
        <v>1291</v>
      </c>
      <c r="G55" s="653"/>
      <c r="H55" s="648"/>
      <c r="I55" s="649"/>
      <c r="J55" s="405"/>
      <c r="K55" s="406"/>
      <c r="L55" s="414"/>
      <c r="M55" s="415"/>
      <c r="N55" s="406"/>
      <c r="O55" s="408"/>
      <c r="P55" s="407"/>
      <c r="Q55" s="406"/>
      <c r="R55" s="408"/>
      <c r="S55" s="406"/>
      <c r="T55" s="406"/>
      <c r="U55" s="409"/>
      <c r="V55" s="405"/>
      <c r="W55" s="406"/>
      <c r="X55" s="406"/>
      <c r="Y55" s="407"/>
      <c r="Z55" s="406"/>
      <c r="AA55" s="406"/>
      <c r="AB55" s="407"/>
      <c r="AC55" s="406"/>
      <c r="AD55" s="408"/>
      <c r="AE55" s="406"/>
      <c r="AF55" s="406"/>
      <c r="AG55" s="409"/>
      <c r="AH55" s="639"/>
      <c r="AI55" s="640"/>
      <c r="AJ55" s="640"/>
      <c r="AK55" s="640"/>
    </row>
    <row r="56" spans="3:37" s="411" customFormat="1" ht="9.9499999999999993" customHeight="1">
      <c r="C56" s="460"/>
      <c r="D56" s="642"/>
      <c r="E56" s="475"/>
      <c r="F56" s="652"/>
      <c r="G56" s="653"/>
      <c r="H56" s="648"/>
      <c r="I56" s="649"/>
      <c r="J56" s="405"/>
      <c r="K56" s="406"/>
      <c r="L56" s="476"/>
      <c r="M56" s="477" t="s">
        <v>1292</v>
      </c>
      <c r="N56" s="465"/>
      <c r="O56" s="408"/>
      <c r="P56" s="407"/>
      <c r="Q56" s="406"/>
      <c r="R56" s="408"/>
      <c r="S56" s="406"/>
      <c r="T56" s="406"/>
      <c r="U56" s="409"/>
      <c r="V56" s="405"/>
      <c r="W56" s="406"/>
      <c r="X56" s="406"/>
      <c r="Y56" s="407"/>
      <c r="Z56" s="406"/>
      <c r="AA56" s="406"/>
      <c r="AB56" s="407"/>
      <c r="AC56" s="406"/>
      <c r="AD56" s="408"/>
      <c r="AE56" s="406"/>
      <c r="AF56" s="406"/>
      <c r="AG56" s="409"/>
      <c r="AH56" s="639"/>
      <c r="AI56" s="640"/>
      <c r="AJ56" s="640"/>
      <c r="AK56" s="640"/>
    </row>
    <row r="57" spans="3:37" s="411" customFormat="1" ht="3" customHeight="1">
      <c r="C57" s="460"/>
      <c r="D57" s="642"/>
      <c r="E57" s="472"/>
      <c r="F57" s="473"/>
      <c r="G57" s="474"/>
      <c r="H57" s="648"/>
      <c r="I57" s="649"/>
      <c r="J57" s="405"/>
      <c r="K57" s="406"/>
      <c r="L57" s="406"/>
      <c r="M57" s="407"/>
      <c r="N57" s="406"/>
      <c r="O57" s="408"/>
      <c r="P57" s="407"/>
      <c r="Q57" s="406"/>
      <c r="R57" s="408"/>
      <c r="S57" s="406"/>
      <c r="T57" s="406"/>
      <c r="U57" s="409"/>
      <c r="V57" s="405"/>
      <c r="W57" s="406"/>
      <c r="X57" s="406"/>
      <c r="Y57" s="407"/>
      <c r="Z57" s="406"/>
      <c r="AA57" s="406"/>
      <c r="AB57" s="407"/>
      <c r="AC57" s="406"/>
      <c r="AD57" s="408"/>
      <c r="AE57" s="406"/>
      <c r="AF57" s="406"/>
      <c r="AG57" s="409"/>
      <c r="AH57" s="410"/>
    </row>
    <row r="58" spans="3:37" s="411" customFormat="1" ht="3" customHeight="1">
      <c r="C58" s="460"/>
      <c r="D58" s="642"/>
      <c r="E58" s="472"/>
      <c r="F58" s="473"/>
      <c r="G58" s="474"/>
      <c r="H58" s="648"/>
      <c r="I58" s="649"/>
      <c r="J58" s="405"/>
      <c r="K58" s="406"/>
      <c r="L58" s="406"/>
      <c r="M58" s="407"/>
      <c r="N58" s="406"/>
      <c r="O58" s="408"/>
      <c r="P58" s="407"/>
      <c r="Q58" s="406"/>
      <c r="R58" s="408"/>
      <c r="S58" s="406"/>
      <c r="T58" s="406"/>
      <c r="U58" s="409"/>
      <c r="V58" s="405"/>
      <c r="W58" s="406"/>
      <c r="X58" s="406"/>
      <c r="Y58" s="407"/>
      <c r="Z58" s="406"/>
      <c r="AA58" s="406"/>
      <c r="AB58" s="407"/>
      <c r="AC58" s="406"/>
      <c r="AD58" s="408"/>
      <c r="AE58" s="406"/>
      <c r="AF58" s="406"/>
      <c r="AG58" s="409"/>
      <c r="AH58" s="410"/>
    </row>
    <row r="59" spans="3:37" s="411" customFormat="1" ht="9.9499999999999993" customHeight="1">
      <c r="C59" s="460"/>
      <c r="D59" s="642"/>
      <c r="E59" s="475"/>
      <c r="F59" s="652" t="s">
        <v>1293</v>
      </c>
      <c r="G59" s="653"/>
      <c r="H59" s="648"/>
      <c r="I59" s="649"/>
      <c r="J59" s="405"/>
      <c r="K59" s="406"/>
      <c r="L59" s="406"/>
      <c r="M59" s="407"/>
      <c r="N59" s="406"/>
      <c r="O59" s="408"/>
      <c r="P59" s="407"/>
      <c r="Q59" s="406"/>
      <c r="R59" s="414"/>
      <c r="S59" s="415"/>
      <c r="T59" s="406"/>
      <c r="U59" s="409"/>
      <c r="V59" s="405"/>
      <c r="W59" s="406"/>
      <c r="X59" s="406"/>
      <c r="Y59" s="407"/>
      <c r="Z59" s="406"/>
      <c r="AA59" s="406"/>
      <c r="AB59" s="407"/>
      <c r="AC59" s="406"/>
      <c r="AD59" s="408"/>
      <c r="AE59" s="406"/>
      <c r="AF59" s="406"/>
      <c r="AG59" s="409"/>
      <c r="AH59" s="410"/>
    </row>
    <row r="60" spans="3:37" s="411" customFormat="1" ht="9.9499999999999993" customHeight="1">
      <c r="C60" s="460"/>
      <c r="D60" s="642"/>
      <c r="E60" s="475"/>
      <c r="F60" s="652"/>
      <c r="G60" s="653"/>
      <c r="H60" s="648"/>
      <c r="I60" s="649"/>
      <c r="J60" s="405"/>
      <c r="K60" s="406"/>
      <c r="L60" s="406"/>
      <c r="M60" s="407"/>
      <c r="N60" s="406"/>
      <c r="O60" s="408"/>
      <c r="P60" s="407"/>
      <c r="Q60" s="406"/>
      <c r="R60" s="478" t="s">
        <v>1294</v>
      </c>
      <c r="S60" s="479"/>
      <c r="T60" s="406"/>
      <c r="U60" s="409"/>
      <c r="V60" s="405"/>
      <c r="W60" s="406"/>
      <c r="X60" s="406"/>
      <c r="Y60" s="407"/>
      <c r="Z60" s="406"/>
      <c r="AA60" s="406"/>
      <c r="AB60" s="407"/>
      <c r="AC60" s="406"/>
      <c r="AD60" s="408"/>
      <c r="AE60" s="406"/>
      <c r="AF60" s="406"/>
      <c r="AG60" s="409"/>
      <c r="AH60" s="410"/>
    </row>
    <row r="61" spans="3:37" s="411" customFormat="1" ht="3" customHeight="1">
      <c r="C61" s="460"/>
      <c r="D61" s="642"/>
      <c r="E61" s="472"/>
      <c r="F61" s="473"/>
      <c r="G61" s="474"/>
      <c r="H61" s="648"/>
      <c r="I61" s="649"/>
      <c r="J61" s="405"/>
      <c r="K61" s="406"/>
      <c r="L61" s="406"/>
      <c r="M61" s="407"/>
      <c r="N61" s="406"/>
      <c r="O61" s="408"/>
      <c r="P61" s="407"/>
      <c r="Q61" s="406"/>
      <c r="R61" s="408"/>
      <c r="S61" s="406"/>
      <c r="T61" s="406"/>
      <c r="U61" s="409"/>
      <c r="V61" s="405"/>
      <c r="W61" s="406"/>
      <c r="X61" s="406"/>
      <c r="Y61" s="407"/>
      <c r="Z61" s="406"/>
      <c r="AA61" s="406"/>
      <c r="AB61" s="407"/>
      <c r="AC61" s="406"/>
      <c r="AD61" s="408"/>
      <c r="AE61" s="406"/>
      <c r="AF61" s="406"/>
      <c r="AG61" s="409"/>
      <c r="AH61" s="410"/>
    </row>
    <row r="62" spans="3:37" s="411" customFormat="1" ht="3" customHeight="1">
      <c r="C62" s="460"/>
      <c r="D62" s="642"/>
      <c r="E62" s="472"/>
      <c r="F62" s="473"/>
      <c r="G62" s="474"/>
      <c r="H62" s="648"/>
      <c r="I62" s="649"/>
      <c r="J62" s="405"/>
      <c r="K62" s="406"/>
      <c r="L62" s="406"/>
      <c r="M62" s="407"/>
      <c r="N62" s="406"/>
      <c r="O62" s="408"/>
      <c r="P62" s="407"/>
      <c r="Q62" s="406"/>
      <c r="R62" s="408"/>
      <c r="S62" s="406"/>
      <c r="T62" s="406"/>
      <c r="U62" s="409"/>
      <c r="V62" s="405"/>
      <c r="W62" s="406"/>
      <c r="X62" s="406"/>
      <c r="Y62" s="407"/>
      <c r="Z62" s="406"/>
      <c r="AA62" s="406"/>
      <c r="AB62" s="407"/>
      <c r="AC62" s="406"/>
      <c r="AD62" s="408"/>
      <c r="AE62" s="406"/>
      <c r="AF62" s="406"/>
      <c r="AG62" s="409"/>
      <c r="AH62" s="410"/>
    </row>
    <row r="63" spans="3:37" s="411" customFormat="1" ht="9.9499999999999993" customHeight="1">
      <c r="C63" s="460"/>
      <c r="D63" s="642"/>
      <c r="E63" s="475"/>
      <c r="F63" s="652" t="s">
        <v>1295</v>
      </c>
      <c r="G63" s="653"/>
      <c r="H63" s="648"/>
      <c r="I63" s="649"/>
      <c r="J63" s="405"/>
      <c r="K63" s="406"/>
      <c r="L63" s="406"/>
      <c r="M63" s="407"/>
      <c r="N63" s="406"/>
      <c r="O63" s="408"/>
      <c r="P63" s="407"/>
      <c r="Q63" s="480" t="s">
        <v>1296</v>
      </c>
      <c r="R63" s="480"/>
      <c r="S63" s="406"/>
      <c r="T63" s="406"/>
      <c r="U63" s="481"/>
      <c r="V63" s="413"/>
      <c r="W63" s="406"/>
      <c r="X63" s="406"/>
      <c r="Y63" s="407"/>
      <c r="Z63" s="406"/>
      <c r="AA63" s="406"/>
      <c r="AB63" s="407"/>
      <c r="AC63" s="406"/>
      <c r="AD63" s="408"/>
      <c r="AE63" s="406"/>
      <c r="AF63" s="406"/>
      <c r="AG63" s="409"/>
      <c r="AH63" s="410"/>
    </row>
    <row r="64" spans="3:37" s="411" customFormat="1" ht="9.9499999999999993" customHeight="1">
      <c r="C64" s="460"/>
      <c r="D64" s="642"/>
      <c r="E64" s="475"/>
      <c r="F64" s="652"/>
      <c r="G64" s="653"/>
      <c r="H64" s="648"/>
      <c r="I64" s="649"/>
      <c r="J64" s="405"/>
      <c r="K64" s="406"/>
      <c r="L64" s="406"/>
      <c r="M64" s="407"/>
      <c r="N64" s="406"/>
      <c r="O64" s="408"/>
      <c r="P64" s="407"/>
      <c r="Q64" s="406"/>
      <c r="R64" s="408"/>
      <c r="S64" s="406"/>
      <c r="T64" s="406"/>
      <c r="U64" s="409"/>
      <c r="V64" s="405"/>
      <c r="W64" s="406"/>
      <c r="X64" s="406"/>
      <c r="Y64" s="407"/>
      <c r="Z64" s="406"/>
      <c r="AA64" s="406"/>
      <c r="AB64" s="407"/>
      <c r="AC64" s="406"/>
      <c r="AD64" s="408"/>
      <c r="AE64" s="406"/>
      <c r="AF64" s="406"/>
      <c r="AG64" s="409"/>
      <c r="AH64" s="410"/>
    </row>
    <row r="65" spans="3:37" s="411" customFormat="1" ht="3" customHeight="1">
      <c r="C65" s="460"/>
      <c r="D65" s="642"/>
      <c r="E65" s="472"/>
      <c r="F65" s="473"/>
      <c r="G65" s="474"/>
      <c r="H65" s="648"/>
      <c r="I65" s="649"/>
      <c r="J65" s="405"/>
      <c r="K65" s="406"/>
      <c r="L65" s="406"/>
      <c r="M65" s="407"/>
      <c r="N65" s="406"/>
      <c r="O65" s="408"/>
      <c r="P65" s="407"/>
      <c r="Q65" s="406"/>
      <c r="R65" s="408"/>
      <c r="S65" s="406"/>
      <c r="T65" s="406"/>
      <c r="U65" s="409"/>
      <c r="V65" s="405"/>
      <c r="W65" s="406"/>
      <c r="X65" s="406"/>
      <c r="Y65" s="407"/>
      <c r="Z65" s="406"/>
      <c r="AA65" s="406"/>
      <c r="AB65" s="407"/>
      <c r="AC65" s="406"/>
      <c r="AD65" s="408"/>
      <c r="AE65" s="406"/>
      <c r="AF65" s="406"/>
      <c r="AG65" s="409"/>
      <c r="AH65" s="410"/>
    </row>
    <row r="66" spans="3:37" s="411" customFormat="1" ht="3" customHeight="1">
      <c r="C66" s="460"/>
      <c r="D66" s="642"/>
      <c r="E66" s="472"/>
      <c r="F66" s="473"/>
      <c r="G66" s="474"/>
      <c r="H66" s="648"/>
      <c r="I66" s="649"/>
      <c r="J66" s="405"/>
      <c r="K66" s="406"/>
      <c r="L66" s="406"/>
      <c r="M66" s="407"/>
      <c r="N66" s="406"/>
      <c r="O66" s="408"/>
      <c r="P66" s="407"/>
      <c r="Q66" s="406"/>
      <c r="R66" s="408"/>
      <c r="S66" s="406"/>
      <c r="T66" s="406"/>
      <c r="U66" s="409"/>
      <c r="V66" s="405"/>
      <c r="W66" s="406"/>
      <c r="X66" s="406"/>
      <c r="Y66" s="407"/>
      <c r="Z66" s="406"/>
      <c r="AA66" s="406"/>
      <c r="AB66" s="407"/>
      <c r="AC66" s="406"/>
      <c r="AD66" s="408"/>
      <c r="AE66" s="406"/>
      <c r="AF66" s="406"/>
      <c r="AG66" s="409"/>
      <c r="AH66" s="410"/>
    </row>
    <row r="67" spans="3:37" s="411" customFormat="1" ht="9.9499999999999993" customHeight="1">
      <c r="C67" s="460"/>
      <c r="D67" s="642"/>
      <c r="E67" s="475"/>
      <c r="F67" s="652" t="s">
        <v>1297</v>
      </c>
      <c r="G67" s="653"/>
      <c r="H67" s="648"/>
      <c r="I67" s="649"/>
      <c r="J67" s="405"/>
      <c r="K67" s="406"/>
      <c r="L67" s="406"/>
      <c r="M67" s="407"/>
      <c r="N67" s="406"/>
      <c r="O67" s="408"/>
      <c r="P67" s="407"/>
      <c r="Q67" s="406"/>
      <c r="R67" s="408"/>
      <c r="S67" s="406"/>
      <c r="T67" s="406"/>
      <c r="U67" s="409"/>
      <c r="V67" s="413"/>
      <c r="W67" s="425"/>
      <c r="X67" s="406"/>
      <c r="Y67" s="407"/>
      <c r="Z67" s="406"/>
      <c r="AA67" s="406"/>
      <c r="AB67" s="407"/>
      <c r="AC67" s="406"/>
      <c r="AD67" s="408"/>
      <c r="AE67" s="406"/>
      <c r="AF67" s="406"/>
      <c r="AG67" s="409"/>
      <c r="AH67" s="410"/>
    </row>
    <row r="68" spans="3:37" s="411" customFormat="1" ht="9.9499999999999993" customHeight="1">
      <c r="C68" s="460"/>
      <c r="D68" s="642"/>
      <c r="E68" s="475"/>
      <c r="F68" s="652"/>
      <c r="G68" s="653"/>
      <c r="H68" s="648"/>
      <c r="I68" s="649"/>
      <c r="J68" s="405"/>
      <c r="K68" s="406"/>
      <c r="L68" s="406"/>
      <c r="M68" s="407"/>
      <c r="N68" s="406"/>
      <c r="O68" s="408"/>
      <c r="P68" s="407"/>
      <c r="Q68" s="406"/>
      <c r="R68" s="408"/>
      <c r="S68" s="406"/>
      <c r="T68" s="406"/>
      <c r="U68" s="409"/>
      <c r="V68" s="480" t="s">
        <v>1298</v>
      </c>
      <c r="W68" s="480"/>
      <c r="X68" s="406"/>
      <c r="Y68" s="407"/>
      <c r="Z68" s="406"/>
      <c r="AA68" s="406"/>
      <c r="AB68" s="407"/>
      <c r="AC68" s="406"/>
      <c r="AD68" s="408"/>
      <c r="AE68" s="406"/>
      <c r="AF68" s="406"/>
      <c r="AG68" s="409"/>
      <c r="AH68" s="410"/>
    </row>
    <row r="69" spans="3:37" s="411" customFormat="1" ht="3" customHeight="1">
      <c r="C69" s="460"/>
      <c r="D69" s="642"/>
      <c r="E69" s="482"/>
      <c r="F69" s="483"/>
      <c r="G69" s="484"/>
      <c r="H69" s="485"/>
      <c r="I69" s="486"/>
      <c r="J69" s="432"/>
      <c r="K69" s="433"/>
      <c r="L69" s="433"/>
      <c r="M69" s="434"/>
      <c r="N69" s="433"/>
      <c r="O69" s="435"/>
      <c r="P69" s="434"/>
      <c r="Q69" s="433"/>
      <c r="R69" s="435"/>
      <c r="S69" s="433"/>
      <c r="T69" s="433"/>
      <c r="U69" s="436"/>
      <c r="V69" s="432"/>
      <c r="W69" s="433"/>
      <c r="X69" s="433"/>
      <c r="Y69" s="434"/>
      <c r="Z69" s="433"/>
      <c r="AA69" s="433"/>
      <c r="AB69" s="434"/>
      <c r="AC69" s="433"/>
      <c r="AD69" s="435"/>
      <c r="AE69" s="433"/>
      <c r="AF69" s="433"/>
      <c r="AG69" s="436"/>
      <c r="AH69" s="410"/>
    </row>
    <row r="70" spans="3:37" s="411" customFormat="1" ht="3" customHeight="1">
      <c r="C70" s="412"/>
      <c r="D70" s="642"/>
      <c r="E70" s="467"/>
      <c r="F70" s="468"/>
      <c r="G70" s="469"/>
      <c r="H70" s="470"/>
      <c r="I70" s="471"/>
      <c r="J70" s="442"/>
      <c r="K70" s="443"/>
      <c r="L70" s="443"/>
      <c r="M70" s="444"/>
      <c r="N70" s="443"/>
      <c r="O70" s="445"/>
      <c r="P70" s="444"/>
      <c r="Q70" s="443"/>
      <c r="R70" s="445"/>
      <c r="S70" s="443"/>
      <c r="T70" s="443"/>
      <c r="U70" s="446"/>
      <c r="V70" s="442"/>
      <c r="W70" s="443"/>
      <c r="X70" s="443"/>
      <c r="Y70" s="444"/>
      <c r="Z70" s="443"/>
      <c r="AA70" s="443"/>
      <c r="AB70" s="444"/>
      <c r="AC70" s="443"/>
      <c r="AD70" s="445"/>
      <c r="AE70" s="443"/>
      <c r="AF70" s="443"/>
      <c r="AG70" s="446"/>
      <c r="AH70" s="410"/>
    </row>
    <row r="71" spans="3:37" s="411" customFormat="1" ht="9" customHeight="1">
      <c r="C71" s="412"/>
      <c r="D71" s="642"/>
      <c r="E71" s="643" t="s">
        <v>1278</v>
      </c>
      <c r="F71" s="645" t="s">
        <v>1299</v>
      </c>
      <c r="G71" s="646"/>
      <c r="H71" s="650" t="s">
        <v>1288</v>
      </c>
      <c r="I71" s="649" t="s">
        <v>1289</v>
      </c>
      <c r="J71" s="487" t="s">
        <v>1300</v>
      </c>
      <c r="K71" s="406"/>
      <c r="L71" s="406"/>
      <c r="M71" s="407"/>
      <c r="N71" s="447" t="s">
        <v>1301</v>
      </c>
      <c r="O71" s="448"/>
      <c r="P71" s="488" t="s">
        <v>1298</v>
      </c>
      <c r="Q71" s="489"/>
      <c r="R71" s="408"/>
      <c r="S71" s="488" t="s">
        <v>1302</v>
      </c>
      <c r="T71" s="489"/>
      <c r="U71" s="488" t="s">
        <v>1296</v>
      </c>
      <c r="V71" s="405"/>
      <c r="W71" s="406"/>
      <c r="X71" s="406"/>
      <c r="Y71" s="407"/>
      <c r="Z71" s="406"/>
      <c r="AA71" s="406"/>
      <c r="AB71" s="407"/>
      <c r="AC71" s="406"/>
      <c r="AD71" s="408"/>
      <c r="AE71" s="406"/>
      <c r="AF71" s="406"/>
      <c r="AG71" s="409"/>
      <c r="AH71" s="635" t="s">
        <v>1303</v>
      </c>
      <c r="AI71" s="636"/>
      <c r="AJ71" s="636"/>
      <c r="AK71" s="636"/>
    </row>
    <row r="72" spans="3:37" s="411" customFormat="1" ht="2.1" customHeight="1">
      <c r="C72" s="412"/>
      <c r="D72" s="642"/>
      <c r="E72" s="644"/>
      <c r="F72" s="645"/>
      <c r="G72" s="646"/>
      <c r="H72" s="651"/>
      <c r="I72" s="649"/>
      <c r="J72" s="405"/>
      <c r="K72" s="406"/>
      <c r="L72" s="406"/>
      <c r="M72" s="407"/>
      <c r="N72" s="406"/>
      <c r="O72" s="407"/>
      <c r="P72" s="490"/>
      <c r="Q72" s="491"/>
      <c r="R72" s="492"/>
      <c r="S72" s="491"/>
      <c r="T72" s="491"/>
      <c r="U72" s="493"/>
      <c r="V72" s="494"/>
      <c r="W72" s="491"/>
      <c r="X72" s="491"/>
      <c r="Y72" s="490"/>
      <c r="Z72" s="491"/>
      <c r="AA72" s="491"/>
      <c r="AB72" s="490"/>
      <c r="AC72" s="491"/>
      <c r="AD72" s="492"/>
      <c r="AE72" s="491"/>
      <c r="AF72" s="491"/>
      <c r="AG72" s="493"/>
      <c r="AH72" s="635"/>
      <c r="AI72" s="636"/>
      <c r="AJ72" s="636"/>
      <c r="AK72" s="636"/>
    </row>
    <row r="73" spans="3:37" s="411" customFormat="1" ht="9.9499999999999993" customHeight="1">
      <c r="C73" s="412"/>
      <c r="D73" s="642"/>
      <c r="E73" s="644"/>
      <c r="F73" s="645"/>
      <c r="G73" s="646"/>
      <c r="H73" s="651"/>
      <c r="I73" s="649"/>
      <c r="J73" s="405"/>
      <c r="K73" s="406"/>
      <c r="L73" s="406"/>
      <c r="M73" s="407"/>
      <c r="N73" s="406"/>
      <c r="P73" s="452" t="s">
        <v>1301</v>
      </c>
      <c r="Q73" s="417"/>
      <c r="R73" s="480" t="s">
        <v>1379</v>
      </c>
      <c r="S73" s="418"/>
      <c r="T73" s="418"/>
      <c r="U73" s="495"/>
      <c r="V73" s="480"/>
      <c r="W73" s="480" t="s">
        <v>1296</v>
      </c>
      <c r="X73" s="496"/>
      <c r="Y73" s="496"/>
      <c r="Z73" s="497" t="s">
        <v>1304</v>
      </c>
      <c r="AA73" s="496"/>
      <c r="AB73" s="496"/>
      <c r="AC73" s="406"/>
      <c r="AD73" s="408"/>
      <c r="AE73" s="406"/>
      <c r="AF73" s="406"/>
      <c r="AG73" s="409"/>
      <c r="AH73" s="635"/>
      <c r="AI73" s="636"/>
      <c r="AJ73" s="636"/>
      <c r="AK73" s="636"/>
    </row>
    <row r="74" spans="3:37" s="411" customFormat="1" ht="3" customHeight="1">
      <c r="C74" s="412"/>
      <c r="D74" s="642"/>
      <c r="E74" s="472"/>
      <c r="F74" s="473"/>
      <c r="G74" s="474"/>
      <c r="H74" s="651"/>
      <c r="I74" s="649"/>
      <c r="J74" s="405"/>
      <c r="K74" s="406"/>
      <c r="L74" s="406"/>
      <c r="M74" s="407"/>
      <c r="N74" s="406"/>
      <c r="O74" s="408"/>
      <c r="P74" s="407"/>
      <c r="Q74" s="406"/>
      <c r="R74" s="408"/>
      <c r="S74" s="406"/>
      <c r="T74" s="406"/>
      <c r="U74" s="409"/>
      <c r="V74" s="405"/>
      <c r="W74" s="406"/>
      <c r="X74" s="406"/>
      <c r="Y74" s="407"/>
      <c r="Z74" s="406"/>
      <c r="AA74" s="406"/>
      <c r="AB74" s="407"/>
      <c r="AC74" s="406"/>
      <c r="AD74" s="408"/>
      <c r="AE74" s="406"/>
      <c r="AF74" s="406"/>
      <c r="AG74" s="409"/>
      <c r="AH74" s="410"/>
    </row>
    <row r="75" spans="3:37" s="411" customFormat="1" ht="20.100000000000001" customHeight="1">
      <c r="C75" s="412"/>
      <c r="D75" s="642"/>
      <c r="E75" s="475"/>
      <c r="F75" s="498" t="s">
        <v>1305</v>
      </c>
      <c r="G75" s="499"/>
      <c r="H75" s="651"/>
      <c r="I75" s="649"/>
      <c r="J75" s="405"/>
      <c r="K75" s="406"/>
      <c r="L75" s="406"/>
      <c r="M75" s="407"/>
      <c r="N75" s="406"/>
      <c r="O75" s="408"/>
      <c r="P75" s="407"/>
      <c r="Q75" s="406"/>
      <c r="R75" s="408"/>
      <c r="S75" s="406"/>
      <c r="T75" s="406"/>
      <c r="U75" s="409"/>
      <c r="V75" s="405"/>
      <c r="W75" s="406"/>
      <c r="X75" s="406"/>
      <c r="Y75" s="407"/>
      <c r="Z75" s="406"/>
      <c r="AA75" s="406"/>
      <c r="AB75" s="407"/>
      <c r="AC75" s="406"/>
      <c r="AD75" s="408"/>
      <c r="AE75" s="406"/>
      <c r="AF75" s="406"/>
      <c r="AG75" s="409"/>
      <c r="AH75" s="410"/>
    </row>
    <row r="76" spans="3:37" s="411" customFormat="1" ht="20.100000000000001" customHeight="1">
      <c r="C76" s="412"/>
      <c r="D76" s="642"/>
      <c r="E76" s="475"/>
      <c r="F76" s="498" t="s">
        <v>1306</v>
      </c>
      <c r="G76" s="499"/>
      <c r="H76" s="651"/>
      <c r="I76" s="649"/>
      <c r="J76" s="405"/>
      <c r="K76" s="406"/>
      <c r="L76" s="406"/>
      <c r="M76" s="407"/>
      <c r="N76" s="406"/>
      <c r="O76" s="408"/>
      <c r="P76" s="407"/>
      <c r="Q76" s="406"/>
      <c r="R76" s="408"/>
      <c r="S76" s="406"/>
      <c r="T76" s="406"/>
      <c r="U76" s="409"/>
      <c r="V76" s="405"/>
      <c r="W76" s="406"/>
      <c r="X76" s="406"/>
      <c r="Y76" s="407"/>
      <c r="Z76" s="406"/>
      <c r="AA76" s="406"/>
      <c r="AB76" s="407"/>
      <c r="AC76" s="406"/>
      <c r="AD76" s="408"/>
      <c r="AE76" s="406"/>
      <c r="AF76" s="406"/>
      <c r="AG76" s="409"/>
      <c r="AH76" s="410"/>
    </row>
    <row r="77" spans="3:37" s="406" customFormat="1" ht="20.100000000000001" customHeight="1">
      <c r="C77" s="412"/>
      <c r="D77" s="642"/>
      <c r="E77" s="475"/>
      <c r="F77" s="498" t="s">
        <v>1307</v>
      </c>
      <c r="G77" s="499"/>
      <c r="H77" s="651"/>
      <c r="I77" s="649"/>
      <c r="J77" s="405"/>
      <c r="M77" s="407"/>
      <c r="O77" s="408"/>
      <c r="P77" s="407"/>
      <c r="R77" s="408"/>
      <c r="U77" s="409"/>
      <c r="V77" s="405"/>
      <c r="Y77" s="407"/>
      <c r="AB77" s="407"/>
      <c r="AD77" s="408"/>
      <c r="AG77" s="409"/>
      <c r="AH77" s="410"/>
      <c r="AI77" s="411"/>
      <c r="AJ77" s="411"/>
      <c r="AK77" s="411"/>
    </row>
    <row r="78" spans="3:37" s="411" customFormat="1" ht="9" customHeight="1">
      <c r="C78" s="412"/>
      <c r="D78" s="642"/>
      <c r="E78" s="643" t="s">
        <v>1278</v>
      </c>
      <c r="F78" s="645" t="s">
        <v>1308</v>
      </c>
      <c r="G78" s="646"/>
      <c r="H78" s="648" t="s">
        <v>1309</v>
      </c>
      <c r="I78" s="649" t="s">
        <v>1281</v>
      </c>
      <c r="J78" s="487" t="s">
        <v>1300</v>
      </c>
      <c r="K78" s="406"/>
      <c r="L78" s="406"/>
      <c r="M78" s="407"/>
      <c r="N78" s="406"/>
      <c r="O78" s="408"/>
      <c r="P78" s="407"/>
      <c r="Q78" s="406"/>
      <c r="R78" s="408"/>
      <c r="S78" s="406"/>
      <c r="T78" s="406"/>
      <c r="U78" s="409"/>
      <c r="V78" s="405"/>
      <c r="W78" s="406"/>
      <c r="X78" s="406"/>
      <c r="Y78" s="407"/>
      <c r="Z78" s="406"/>
      <c r="AA78" s="406"/>
      <c r="AB78" s="407"/>
      <c r="AC78" s="406"/>
      <c r="AD78" s="408"/>
      <c r="AE78" s="406"/>
      <c r="AF78" s="406"/>
      <c r="AG78" s="409"/>
      <c r="AH78" s="635"/>
      <c r="AI78" s="636"/>
      <c r="AJ78" s="636"/>
      <c r="AK78" s="636"/>
    </row>
    <row r="79" spans="3:37" s="411" customFormat="1" ht="2.1" customHeight="1">
      <c r="C79" s="412"/>
      <c r="D79" s="642"/>
      <c r="E79" s="644"/>
      <c r="F79" s="645"/>
      <c r="G79" s="646"/>
      <c r="H79" s="648"/>
      <c r="I79" s="649"/>
      <c r="J79" s="405"/>
      <c r="K79" s="406"/>
      <c r="L79" s="406"/>
      <c r="M79" s="407"/>
      <c r="N79" s="406"/>
      <c r="O79" s="407"/>
      <c r="P79" s="490"/>
      <c r="Q79" s="491"/>
      <c r="R79" s="492"/>
      <c r="S79" s="491"/>
      <c r="T79" s="491"/>
      <c r="U79" s="493"/>
      <c r="V79" s="494"/>
      <c r="W79" s="491"/>
      <c r="X79" s="491"/>
      <c r="Y79" s="490"/>
      <c r="Z79" s="491"/>
      <c r="AA79" s="491"/>
      <c r="AB79" s="490"/>
      <c r="AC79" s="491"/>
      <c r="AD79" s="492"/>
      <c r="AE79" s="491"/>
      <c r="AF79" s="491"/>
      <c r="AG79" s="493"/>
      <c r="AH79" s="635"/>
      <c r="AI79" s="636"/>
      <c r="AJ79" s="636"/>
      <c r="AK79" s="636"/>
    </row>
    <row r="80" spans="3:37" s="411" customFormat="1" ht="9.9499999999999993" customHeight="1">
      <c r="C80" s="412"/>
      <c r="D80" s="642"/>
      <c r="E80" s="644"/>
      <c r="F80" s="645"/>
      <c r="G80" s="646"/>
      <c r="H80" s="648"/>
      <c r="I80" s="649"/>
      <c r="J80" s="405"/>
      <c r="K80" s="406"/>
      <c r="L80" s="406"/>
      <c r="M80" s="407"/>
      <c r="N80" s="406"/>
      <c r="O80" s="408"/>
      <c r="P80" s="407"/>
      <c r="Q80" s="406"/>
      <c r="R80" s="408"/>
      <c r="S80" s="406"/>
      <c r="T80" s="406"/>
      <c r="U80" s="409"/>
      <c r="V80" s="405"/>
      <c r="W80" s="406"/>
      <c r="X80" s="406"/>
      <c r="Y80" s="407"/>
      <c r="Z80" s="406"/>
      <c r="AA80" s="406"/>
      <c r="AB80" s="407"/>
      <c r="AC80" s="406"/>
      <c r="AD80" s="408"/>
      <c r="AE80" s="406"/>
      <c r="AF80" s="406"/>
      <c r="AG80" s="409"/>
      <c r="AH80" s="635"/>
      <c r="AI80" s="636"/>
      <c r="AJ80" s="636"/>
      <c r="AK80" s="636"/>
    </row>
    <row r="81" spans="3:37" s="411" customFormat="1" ht="3" customHeight="1">
      <c r="C81" s="500"/>
      <c r="D81" s="501"/>
      <c r="E81" s="472"/>
      <c r="F81" s="473"/>
      <c r="G81" s="474"/>
      <c r="H81" s="502"/>
      <c r="I81" s="503"/>
      <c r="J81" s="405"/>
      <c r="K81" s="406"/>
      <c r="L81" s="406"/>
      <c r="M81" s="407"/>
      <c r="N81" s="406"/>
      <c r="O81" s="408"/>
      <c r="P81" s="407"/>
      <c r="Q81" s="406"/>
      <c r="R81" s="408"/>
      <c r="S81" s="406"/>
      <c r="T81" s="406"/>
      <c r="U81" s="409"/>
      <c r="V81" s="405"/>
      <c r="W81" s="406"/>
      <c r="X81" s="406"/>
      <c r="Y81" s="407"/>
      <c r="Z81" s="406"/>
      <c r="AA81" s="406"/>
      <c r="AB81" s="407"/>
      <c r="AC81" s="406"/>
      <c r="AD81" s="408"/>
      <c r="AE81" s="406"/>
      <c r="AF81" s="406"/>
      <c r="AG81" s="409"/>
      <c r="AH81" s="410"/>
    </row>
    <row r="82" spans="3:37" s="411" customFormat="1" ht="3" customHeight="1">
      <c r="C82" s="460"/>
      <c r="D82" s="504"/>
      <c r="E82" s="437"/>
      <c r="F82" s="438"/>
      <c r="G82" s="439"/>
      <c r="H82" s="440"/>
      <c r="I82" s="441"/>
      <c r="J82" s="442"/>
      <c r="K82" s="443"/>
      <c r="L82" s="443"/>
      <c r="M82" s="444"/>
      <c r="N82" s="443"/>
      <c r="O82" s="445"/>
      <c r="P82" s="444"/>
      <c r="Q82" s="443"/>
      <c r="R82" s="445"/>
      <c r="S82" s="443"/>
      <c r="T82" s="443"/>
      <c r="U82" s="446"/>
      <c r="V82" s="442"/>
      <c r="W82" s="443"/>
      <c r="X82" s="443"/>
      <c r="Y82" s="444"/>
      <c r="Z82" s="443"/>
      <c r="AA82" s="443"/>
      <c r="AB82" s="444"/>
      <c r="AC82" s="443"/>
      <c r="AD82" s="445"/>
      <c r="AE82" s="443"/>
      <c r="AF82" s="443"/>
      <c r="AG82" s="446"/>
      <c r="AH82" s="410"/>
    </row>
    <row r="83" spans="3:37" s="411" customFormat="1" ht="9" customHeight="1">
      <c r="C83" s="460"/>
      <c r="D83" s="641" t="s">
        <v>1310</v>
      </c>
      <c r="E83" s="627" t="s">
        <v>1278</v>
      </c>
      <c r="F83" s="629" t="s">
        <v>1311</v>
      </c>
      <c r="G83" s="630"/>
      <c r="H83" s="631" t="s">
        <v>1312</v>
      </c>
      <c r="I83" s="633" t="s">
        <v>1313</v>
      </c>
      <c r="J83" s="405"/>
      <c r="K83" s="505" t="s">
        <v>1314</v>
      </c>
      <c r="L83" s="506"/>
      <c r="M83" s="507" t="s">
        <v>1315</v>
      </c>
      <c r="N83" s="489"/>
      <c r="O83" s="508"/>
      <c r="P83" s="509"/>
      <c r="Q83" s="489"/>
      <c r="R83" s="508"/>
      <c r="S83" s="510"/>
      <c r="T83" s="505" t="s">
        <v>1316</v>
      </c>
      <c r="U83" s="506"/>
      <c r="V83" s="405"/>
      <c r="W83" s="406"/>
      <c r="X83" s="406"/>
      <c r="Y83" s="407"/>
      <c r="Z83" s="406"/>
      <c r="AA83" s="406"/>
      <c r="AB83" s="407"/>
      <c r="AC83" s="406"/>
      <c r="AD83" s="408"/>
      <c r="AE83" s="406"/>
      <c r="AF83" s="406"/>
      <c r="AG83" s="409"/>
      <c r="AH83" s="635"/>
      <c r="AI83" s="636"/>
      <c r="AJ83" s="636"/>
      <c r="AK83" s="636"/>
    </row>
    <row r="84" spans="3:37" s="411" customFormat="1" ht="2.1" customHeight="1">
      <c r="C84" s="460"/>
      <c r="D84" s="641"/>
      <c r="E84" s="628"/>
      <c r="F84" s="629"/>
      <c r="G84" s="630"/>
      <c r="H84" s="632"/>
      <c r="I84" s="633"/>
      <c r="J84" s="405"/>
      <c r="K84" s="406"/>
      <c r="L84" s="406"/>
      <c r="M84" s="407"/>
      <c r="N84" s="406"/>
      <c r="O84" s="408"/>
      <c r="P84" s="407"/>
      <c r="Q84" s="406"/>
      <c r="R84" s="408"/>
      <c r="S84" s="406"/>
      <c r="T84" s="406"/>
      <c r="U84" s="409"/>
      <c r="V84" s="405"/>
      <c r="W84" s="406"/>
      <c r="X84" s="406"/>
      <c r="Y84" s="407"/>
      <c r="Z84" s="406"/>
      <c r="AA84" s="406"/>
      <c r="AB84" s="407"/>
      <c r="AC84" s="406"/>
      <c r="AD84" s="408"/>
      <c r="AE84" s="406"/>
      <c r="AF84" s="406"/>
      <c r="AG84" s="409"/>
      <c r="AH84" s="635"/>
      <c r="AI84" s="636"/>
      <c r="AJ84" s="636"/>
      <c r="AK84" s="636"/>
    </row>
    <row r="85" spans="3:37" s="411" customFormat="1" ht="9" customHeight="1">
      <c r="C85" s="460"/>
      <c r="D85" s="641"/>
      <c r="E85" s="628"/>
      <c r="F85" s="629"/>
      <c r="G85" s="630"/>
      <c r="H85" s="632"/>
      <c r="I85" s="633"/>
      <c r="J85" s="405"/>
      <c r="K85" s="406"/>
      <c r="L85" s="406"/>
      <c r="M85" s="407"/>
      <c r="N85" s="406"/>
      <c r="O85" s="408"/>
      <c r="P85" s="407"/>
      <c r="Q85" s="496" t="s">
        <v>1314</v>
      </c>
      <c r="R85" s="511"/>
      <c r="S85" s="496" t="s">
        <v>1315</v>
      </c>
      <c r="T85" s="417"/>
      <c r="U85" s="512"/>
      <c r="V85" s="512"/>
      <c r="W85" s="512"/>
      <c r="X85" s="512"/>
      <c r="Y85" s="512"/>
      <c r="Z85" s="512"/>
      <c r="AA85" s="512"/>
      <c r="AB85" s="407"/>
      <c r="AC85" s="406"/>
      <c r="AD85" s="408"/>
      <c r="AE85" s="406"/>
      <c r="AF85" s="406"/>
      <c r="AG85" s="409"/>
      <c r="AH85" s="635"/>
      <c r="AI85" s="636"/>
      <c r="AJ85" s="636"/>
      <c r="AK85" s="636"/>
    </row>
    <row r="86" spans="3:37" s="411" customFormat="1" ht="3" customHeight="1">
      <c r="C86" s="460"/>
      <c r="D86" s="641"/>
      <c r="E86" s="419"/>
      <c r="F86" s="420"/>
      <c r="G86" s="421"/>
      <c r="H86" s="632"/>
      <c r="I86" s="633"/>
      <c r="J86" s="405"/>
      <c r="K86" s="406"/>
      <c r="L86" s="406"/>
      <c r="M86" s="407"/>
      <c r="N86" s="406"/>
      <c r="O86" s="408"/>
      <c r="P86" s="407"/>
      <c r="Q86" s="406"/>
      <c r="R86" s="408"/>
      <c r="S86" s="406"/>
      <c r="T86" s="406"/>
      <c r="U86" s="409"/>
      <c r="V86" s="405"/>
      <c r="W86" s="406"/>
      <c r="X86" s="406"/>
      <c r="Y86" s="407"/>
      <c r="Z86" s="406"/>
      <c r="AA86" s="406"/>
      <c r="AB86" s="407"/>
      <c r="AC86" s="406"/>
      <c r="AD86" s="408"/>
      <c r="AE86" s="406"/>
      <c r="AF86" s="406"/>
      <c r="AG86" s="409"/>
      <c r="AH86" s="410"/>
    </row>
    <row r="87" spans="3:37" s="411" customFormat="1" ht="20.100000000000001" customHeight="1">
      <c r="C87" s="460"/>
      <c r="D87" s="641"/>
      <c r="E87" s="422"/>
      <c r="F87" s="637" t="s">
        <v>1317</v>
      </c>
      <c r="G87" s="638"/>
      <c r="H87" s="632"/>
      <c r="I87" s="633"/>
      <c r="J87" s="405"/>
      <c r="K87" s="406"/>
      <c r="L87" s="406"/>
      <c r="M87" s="407"/>
      <c r="N87" s="406"/>
      <c r="O87" s="408"/>
      <c r="P87" s="407"/>
      <c r="Q87" s="406"/>
      <c r="R87" s="408"/>
      <c r="S87" s="406"/>
      <c r="T87" s="406"/>
      <c r="U87" s="409"/>
      <c r="V87" s="405"/>
      <c r="W87" s="406"/>
      <c r="X87" s="406"/>
      <c r="Y87" s="407"/>
      <c r="Z87" s="406"/>
      <c r="AA87" s="406"/>
      <c r="AB87" s="407"/>
      <c r="AC87" s="406"/>
      <c r="AD87" s="408"/>
      <c r="AE87" s="406"/>
      <c r="AF87" s="406"/>
      <c r="AG87" s="409"/>
      <c r="AH87" s="639"/>
      <c r="AI87" s="640"/>
      <c r="AJ87" s="640"/>
      <c r="AK87" s="640"/>
    </row>
    <row r="88" spans="3:37" s="411" customFormat="1" ht="20.100000000000001" customHeight="1">
      <c r="C88" s="460"/>
      <c r="D88" s="641"/>
      <c r="E88" s="422"/>
      <c r="F88" s="637" t="s">
        <v>1318</v>
      </c>
      <c r="G88" s="638"/>
      <c r="H88" s="632"/>
      <c r="I88" s="633"/>
      <c r="J88" s="405"/>
      <c r="K88" s="406"/>
      <c r="L88" s="406"/>
      <c r="M88" s="407"/>
      <c r="N88" s="406"/>
      <c r="O88" s="408"/>
      <c r="P88" s="407"/>
      <c r="Q88" s="406"/>
      <c r="R88" s="408"/>
      <c r="S88" s="406"/>
      <c r="T88" s="406"/>
      <c r="U88" s="409"/>
      <c r="V88" s="405"/>
      <c r="W88" s="406"/>
      <c r="X88" s="406"/>
      <c r="Y88" s="407"/>
      <c r="Z88" s="406"/>
      <c r="AA88" s="406"/>
      <c r="AB88" s="407"/>
      <c r="AC88" s="406"/>
      <c r="AD88" s="408"/>
      <c r="AE88" s="406"/>
      <c r="AF88" s="406"/>
      <c r="AG88" s="409"/>
      <c r="AH88" s="639"/>
      <c r="AI88" s="640"/>
      <c r="AJ88" s="640"/>
      <c r="AK88" s="640"/>
    </row>
    <row r="89" spans="3:37" s="411" customFormat="1" ht="20.100000000000001" customHeight="1">
      <c r="C89" s="460"/>
      <c r="D89" s="641"/>
      <c r="E89" s="422"/>
      <c r="F89" s="637" t="s">
        <v>1319</v>
      </c>
      <c r="G89" s="638"/>
      <c r="H89" s="632"/>
      <c r="I89" s="633"/>
      <c r="J89" s="405"/>
      <c r="K89" s="406"/>
      <c r="L89" s="406"/>
      <c r="M89" s="407"/>
      <c r="N89" s="406"/>
      <c r="O89" s="408"/>
      <c r="P89" s="407"/>
      <c r="Q89" s="406"/>
      <c r="R89" s="408"/>
      <c r="S89" s="406"/>
      <c r="T89" s="406"/>
      <c r="U89" s="409"/>
      <c r="V89" s="405"/>
      <c r="W89" s="406"/>
      <c r="X89" s="406"/>
      <c r="Y89" s="407"/>
      <c r="Z89" s="406"/>
      <c r="AA89" s="406"/>
      <c r="AB89" s="407"/>
      <c r="AC89" s="406"/>
      <c r="AD89" s="408"/>
      <c r="AE89" s="406"/>
      <c r="AF89" s="406"/>
      <c r="AG89" s="409"/>
      <c r="AH89" s="635"/>
      <c r="AI89" s="636"/>
      <c r="AJ89" s="636"/>
      <c r="AK89" s="636"/>
    </row>
    <row r="90" spans="3:37" s="411" customFormat="1" ht="3" customHeight="1">
      <c r="C90" s="460"/>
      <c r="D90" s="457"/>
      <c r="E90" s="427"/>
      <c r="F90" s="458"/>
      <c r="G90" s="459"/>
      <c r="H90" s="430"/>
      <c r="I90" s="431"/>
      <c r="J90" s="432"/>
      <c r="K90" s="433"/>
      <c r="L90" s="433"/>
      <c r="M90" s="434"/>
      <c r="N90" s="433"/>
      <c r="O90" s="435"/>
      <c r="P90" s="434"/>
      <c r="Q90" s="433"/>
      <c r="R90" s="435"/>
      <c r="S90" s="433"/>
      <c r="T90" s="433"/>
      <c r="U90" s="436"/>
      <c r="V90" s="432"/>
      <c r="W90" s="433"/>
      <c r="X90" s="433"/>
      <c r="Y90" s="434"/>
      <c r="Z90" s="433"/>
      <c r="AA90" s="433"/>
      <c r="AB90" s="434"/>
      <c r="AC90" s="433"/>
      <c r="AD90" s="435"/>
      <c r="AE90" s="433"/>
      <c r="AF90" s="433"/>
      <c r="AG90" s="436"/>
      <c r="AH90" s="635"/>
      <c r="AI90" s="636"/>
      <c r="AJ90" s="636"/>
      <c r="AK90" s="636"/>
    </row>
    <row r="91" spans="3:37" s="411" customFormat="1" ht="3" customHeight="1">
      <c r="C91" s="412"/>
      <c r="D91" s="513"/>
      <c r="E91" s="437"/>
      <c r="F91" s="438"/>
      <c r="G91" s="439"/>
      <c r="H91" s="440"/>
      <c r="I91" s="441"/>
      <c r="J91" s="442"/>
      <c r="K91" s="443"/>
      <c r="L91" s="443"/>
      <c r="M91" s="444"/>
      <c r="N91" s="443"/>
      <c r="O91" s="445"/>
      <c r="P91" s="444"/>
      <c r="Q91" s="443"/>
      <c r="R91" s="445"/>
      <c r="S91" s="443"/>
      <c r="T91" s="443"/>
      <c r="U91" s="446"/>
      <c r="V91" s="442"/>
      <c r="W91" s="443"/>
      <c r="X91" s="443"/>
      <c r="Y91" s="444"/>
      <c r="Z91" s="443"/>
      <c r="AA91" s="443"/>
      <c r="AB91" s="444"/>
      <c r="AC91" s="443"/>
      <c r="AD91" s="445"/>
      <c r="AE91" s="443"/>
      <c r="AF91" s="443"/>
      <c r="AG91" s="446"/>
      <c r="AH91" s="410"/>
    </row>
    <row r="92" spans="3:37" s="411" customFormat="1" ht="9" customHeight="1">
      <c r="C92" s="412"/>
      <c r="D92" s="641" t="s">
        <v>1320</v>
      </c>
      <c r="E92" s="627" t="s">
        <v>1278</v>
      </c>
      <c r="F92" s="629" t="s">
        <v>1321</v>
      </c>
      <c r="G92" s="630"/>
      <c r="H92" s="654" t="s">
        <v>1289</v>
      </c>
      <c r="I92" s="633" t="s">
        <v>1322</v>
      </c>
      <c r="J92" s="487" t="s">
        <v>1300</v>
      </c>
      <c r="K92" s="406"/>
      <c r="L92" s="406"/>
      <c r="M92" s="505"/>
      <c r="N92" s="506"/>
      <c r="O92" s="506"/>
      <c r="P92" s="505"/>
      <c r="Q92" s="489"/>
      <c r="R92" s="508"/>
      <c r="S92" s="406"/>
      <c r="T92" s="406"/>
      <c r="U92" s="409"/>
      <c r="V92" s="405"/>
      <c r="W92" s="406"/>
      <c r="X92" s="406"/>
      <c r="Y92" s="415"/>
      <c r="Z92" s="414"/>
      <c r="AA92" s="414"/>
      <c r="AB92" s="415"/>
      <c r="AC92" s="414"/>
      <c r="AD92" s="408"/>
      <c r="AE92" s="406"/>
      <c r="AF92" s="406"/>
      <c r="AG92" s="409"/>
      <c r="AH92" s="635"/>
      <c r="AI92" s="636"/>
      <c r="AJ92" s="636"/>
      <c r="AK92" s="636"/>
    </row>
    <row r="93" spans="3:37" s="411" customFormat="1" ht="2.1" customHeight="1">
      <c r="C93" s="412"/>
      <c r="D93" s="626"/>
      <c r="E93" s="628"/>
      <c r="F93" s="629"/>
      <c r="G93" s="630"/>
      <c r="H93" s="634"/>
      <c r="I93" s="633"/>
      <c r="J93" s="405"/>
      <c r="K93" s="406"/>
      <c r="L93" s="406"/>
      <c r="M93" s="407"/>
      <c r="N93" s="406"/>
      <c r="O93" s="407"/>
      <c r="P93" s="490"/>
      <c r="Q93" s="491"/>
      <c r="R93" s="492"/>
      <c r="S93" s="491"/>
      <c r="T93" s="491"/>
      <c r="U93" s="493"/>
      <c r="V93" s="494"/>
      <c r="W93" s="491"/>
      <c r="X93" s="491"/>
      <c r="Y93" s="490"/>
      <c r="Z93" s="491"/>
      <c r="AA93" s="491"/>
      <c r="AB93" s="490"/>
      <c r="AC93" s="491"/>
      <c r="AD93" s="492"/>
      <c r="AE93" s="491"/>
      <c r="AF93" s="491"/>
      <c r="AG93" s="493"/>
      <c r="AH93" s="635"/>
      <c r="AI93" s="636"/>
      <c r="AJ93" s="636"/>
      <c r="AK93" s="636"/>
    </row>
    <row r="94" spans="3:37" s="411" customFormat="1" ht="9.9499999999999993" customHeight="1">
      <c r="C94" s="412"/>
      <c r="D94" s="626"/>
      <c r="E94" s="628"/>
      <c r="F94" s="629"/>
      <c r="G94" s="630"/>
      <c r="H94" s="634"/>
      <c r="I94" s="633"/>
      <c r="J94" s="405"/>
      <c r="K94" s="406"/>
      <c r="L94" s="406"/>
      <c r="M94" s="514" t="s">
        <v>1323</v>
      </c>
      <c r="N94" s="463"/>
      <c r="O94" s="463"/>
      <c r="P94" s="463"/>
      <c r="Q94" s="463"/>
      <c r="R94" s="464"/>
      <c r="S94" s="406"/>
      <c r="T94" s="406"/>
      <c r="U94" s="409"/>
      <c r="V94" s="405"/>
      <c r="W94" s="406"/>
      <c r="X94" s="406"/>
      <c r="Y94" s="407"/>
      <c r="Z94" s="406"/>
      <c r="AA94" s="406"/>
      <c r="AB94" s="407"/>
      <c r="AC94" s="406"/>
      <c r="AD94" s="408"/>
      <c r="AE94" s="406"/>
      <c r="AF94" s="406"/>
      <c r="AG94" s="409"/>
      <c r="AH94" s="635"/>
      <c r="AI94" s="636"/>
      <c r="AJ94" s="636"/>
      <c r="AK94" s="636"/>
    </row>
    <row r="95" spans="3:37" s="411" customFormat="1" ht="3" customHeight="1">
      <c r="C95" s="412"/>
      <c r="D95" s="626"/>
      <c r="E95" s="419"/>
      <c r="F95" s="420"/>
      <c r="G95" s="421"/>
      <c r="H95" s="634"/>
      <c r="I95" s="633"/>
      <c r="J95" s="405"/>
      <c r="K95" s="406"/>
      <c r="L95" s="406"/>
      <c r="M95" s="407"/>
      <c r="N95" s="406"/>
      <c r="O95" s="408"/>
      <c r="P95" s="407"/>
      <c r="Q95" s="406"/>
      <c r="R95" s="408"/>
      <c r="S95" s="406"/>
      <c r="T95" s="406"/>
      <c r="U95" s="409"/>
      <c r="V95" s="405"/>
      <c r="W95" s="406"/>
      <c r="X95" s="406"/>
      <c r="Y95" s="407"/>
      <c r="Z95" s="406"/>
      <c r="AA95" s="406"/>
      <c r="AB95" s="407"/>
      <c r="AC95" s="406"/>
      <c r="AD95" s="408"/>
      <c r="AE95" s="406"/>
      <c r="AF95" s="406"/>
      <c r="AG95" s="409"/>
      <c r="AH95" s="410"/>
    </row>
    <row r="96" spans="3:37" s="411" customFormat="1" ht="20.100000000000001" customHeight="1">
      <c r="C96" s="412"/>
      <c r="D96" s="626"/>
      <c r="E96" s="422"/>
      <c r="F96" s="423" t="s">
        <v>1324</v>
      </c>
      <c r="G96" s="424"/>
      <c r="H96" s="634"/>
      <c r="I96" s="633"/>
      <c r="J96" s="405"/>
      <c r="K96" s="406"/>
      <c r="L96" s="406"/>
      <c r="M96" s="407"/>
      <c r="N96" s="406"/>
      <c r="O96" s="408"/>
      <c r="P96" s="407"/>
      <c r="Q96" s="406"/>
      <c r="R96" s="408"/>
      <c r="S96" s="406"/>
      <c r="T96" s="406"/>
      <c r="U96" s="409"/>
      <c r="V96" s="405"/>
      <c r="W96" s="406"/>
      <c r="X96" s="406"/>
      <c r="Y96" s="407"/>
      <c r="Z96" s="406"/>
      <c r="AA96" s="406"/>
      <c r="AB96" s="407"/>
      <c r="AC96" s="406"/>
      <c r="AD96" s="408"/>
      <c r="AE96" s="406"/>
      <c r="AF96" s="406"/>
      <c r="AG96" s="409"/>
      <c r="AH96" s="410"/>
    </row>
    <row r="97" spans="3:37" s="411" customFormat="1" ht="20.100000000000001" customHeight="1">
      <c r="C97" s="412"/>
      <c r="D97" s="626"/>
      <c r="E97" s="422"/>
      <c r="F97" s="423" t="s">
        <v>1325</v>
      </c>
      <c r="G97" s="424"/>
      <c r="H97" s="634"/>
      <c r="I97" s="633"/>
      <c r="J97" s="405"/>
      <c r="K97" s="406"/>
      <c r="L97" s="406"/>
      <c r="M97" s="407"/>
      <c r="N97" s="406"/>
      <c r="O97" s="408"/>
      <c r="P97" s="407"/>
      <c r="Q97" s="406"/>
      <c r="R97" s="408"/>
      <c r="S97" s="406"/>
      <c r="T97" s="406"/>
      <c r="U97" s="409"/>
      <c r="V97" s="405"/>
      <c r="W97" s="406"/>
      <c r="X97" s="406"/>
      <c r="Y97" s="407"/>
      <c r="Z97" s="406"/>
      <c r="AA97" s="406"/>
      <c r="AB97" s="407"/>
      <c r="AC97" s="406"/>
      <c r="AD97" s="408"/>
      <c r="AE97" s="406"/>
      <c r="AF97" s="406"/>
      <c r="AG97" s="409"/>
      <c r="AH97" s="410"/>
    </row>
    <row r="98" spans="3:37" s="411" customFormat="1" ht="3" customHeight="1" thickBot="1">
      <c r="C98" s="515"/>
      <c r="D98" s="516"/>
      <c r="E98" s="517"/>
      <c r="F98" s="518"/>
      <c r="G98" s="519"/>
      <c r="H98" s="520"/>
      <c r="I98" s="521"/>
      <c r="J98" s="522"/>
      <c r="K98" s="523"/>
      <c r="L98" s="523"/>
      <c r="M98" s="524"/>
      <c r="N98" s="523"/>
      <c r="O98" s="525"/>
      <c r="P98" s="524"/>
      <c r="Q98" s="523"/>
      <c r="R98" s="525"/>
      <c r="S98" s="523"/>
      <c r="T98" s="523"/>
      <c r="U98" s="526"/>
      <c r="V98" s="522"/>
      <c r="W98" s="523"/>
      <c r="X98" s="523"/>
      <c r="Y98" s="524"/>
      <c r="Z98" s="523"/>
      <c r="AA98" s="523"/>
      <c r="AB98" s="524"/>
      <c r="AC98" s="523"/>
      <c r="AD98" s="525"/>
      <c r="AE98" s="523"/>
      <c r="AF98" s="523"/>
      <c r="AG98" s="526"/>
      <c r="AH98" s="527"/>
      <c r="AI98" s="528"/>
      <c r="AJ98" s="528"/>
      <c r="AK98" s="528"/>
    </row>
    <row r="99" spans="3:37" ht="15" customHeight="1">
      <c r="C99" s="529"/>
      <c r="D99" s="397"/>
      <c r="F99" s="530"/>
      <c r="G99" s="530"/>
    </row>
    <row r="100" spans="3:37" ht="23.25" customHeight="1">
      <c r="C100" s="529"/>
      <c r="D100" s="397"/>
      <c r="E100" s="397"/>
      <c r="F100" s="397"/>
      <c r="G100" s="397"/>
      <c r="H100" s="397"/>
      <c r="I100" s="397"/>
      <c r="J100" s="397"/>
      <c r="K100" s="397"/>
      <c r="L100" s="397"/>
      <c r="M100" s="397"/>
      <c r="N100" s="397"/>
      <c r="O100" s="397"/>
      <c r="P100" s="397"/>
      <c r="Q100" s="397"/>
      <c r="R100" s="397"/>
      <c r="S100" s="397"/>
      <c r="T100" s="397"/>
      <c r="U100" s="397"/>
      <c r="V100" s="397"/>
      <c r="W100" s="397"/>
      <c r="X100" s="397"/>
      <c r="Y100" s="397"/>
      <c r="Z100" s="397"/>
      <c r="AA100" s="397"/>
      <c r="AB100" s="397"/>
      <c r="AC100" s="397"/>
      <c r="AD100" s="397"/>
      <c r="AE100" s="397"/>
      <c r="AF100" s="397"/>
      <c r="AG100" s="397"/>
      <c r="AH100" s="397"/>
      <c r="AI100" s="397"/>
      <c r="AJ100" s="397"/>
    </row>
    <row r="101" spans="3:37" ht="6" customHeight="1">
      <c r="C101" s="529"/>
      <c r="D101" s="397"/>
      <c r="E101" s="397"/>
      <c r="F101" s="397"/>
      <c r="G101" s="397"/>
      <c r="H101" s="397"/>
      <c r="I101" s="397"/>
      <c r="J101" s="397"/>
      <c r="K101" s="397"/>
      <c r="L101" s="397"/>
      <c r="M101" s="397"/>
      <c r="N101" s="397"/>
      <c r="O101" s="397"/>
      <c r="P101" s="397"/>
      <c r="Q101" s="397"/>
      <c r="R101" s="397"/>
      <c r="S101" s="397"/>
      <c r="T101" s="397"/>
      <c r="U101" s="397"/>
      <c r="V101" s="397"/>
      <c r="W101" s="397"/>
      <c r="X101" s="397"/>
      <c r="Y101" s="397"/>
      <c r="Z101" s="397"/>
      <c r="AA101" s="397"/>
      <c r="AB101" s="397"/>
      <c r="AC101" s="397"/>
      <c r="AD101" s="397"/>
      <c r="AE101" s="397"/>
      <c r="AF101" s="397"/>
      <c r="AG101" s="397"/>
      <c r="AH101" s="397"/>
      <c r="AI101" s="397"/>
      <c r="AJ101" s="397"/>
    </row>
    <row r="102" spans="3:37" ht="15" customHeight="1">
      <c r="C102" s="397"/>
      <c r="D102" s="397"/>
      <c r="E102" s="397"/>
      <c r="F102" s="397"/>
      <c r="G102" s="397"/>
      <c r="H102" s="397"/>
      <c r="I102" s="397"/>
      <c r="J102" s="397"/>
      <c r="K102" s="397"/>
      <c r="L102" s="397"/>
      <c r="M102" s="397"/>
      <c r="N102" s="397"/>
      <c r="O102" s="397"/>
      <c r="P102" s="397"/>
      <c r="Q102" s="397"/>
      <c r="R102" s="397"/>
      <c r="S102" s="397"/>
      <c r="T102" s="397"/>
      <c r="U102" s="397"/>
      <c r="V102" s="397"/>
      <c r="W102" s="397"/>
      <c r="X102" s="397"/>
      <c r="Y102" s="397"/>
      <c r="Z102" s="397"/>
      <c r="AA102" s="397"/>
      <c r="AB102" s="397"/>
      <c r="AC102" s="397"/>
      <c r="AD102" s="397"/>
      <c r="AE102" s="397"/>
      <c r="AF102" s="397"/>
      <c r="AG102" s="397"/>
      <c r="AH102" s="397"/>
      <c r="AI102" s="397"/>
      <c r="AJ102" s="397"/>
    </row>
    <row r="103" spans="3:37" ht="15" customHeight="1">
      <c r="C103" s="397"/>
      <c r="D103" s="397"/>
      <c r="E103" s="397"/>
      <c r="F103" s="397"/>
      <c r="G103" s="397"/>
      <c r="H103" s="397"/>
      <c r="I103" s="397"/>
      <c r="J103" s="397"/>
      <c r="K103" s="397"/>
      <c r="L103" s="397"/>
      <c r="M103" s="397"/>
      <c r="N103" s="397"/>
      <c r="O103" s="397"/>
      <c r="P103" s="397"/>
      <c r="Q103" s="397"/>
      <c r="R103" s="397"/>
      <c r="S103" s="397"/>
      <c r="T103" s="397"/>
      <c r="U103" s="397"/>
      <c r="V103" s="397"/>
      <c r="W103" s="397"/>
      <c r="X103" s="397"/>
      <c r="Y103" s="397"/>
      <c r="Z103" s="397"/>
      <c r="AA103" s="397"/>
      <c r="AB103" s="397"/>
      <c r="AC103" s="397"/>
      <c r="AD103" s="397"/>
      <c r="AE103" s="397"/>
      <c r="AF103" s="397"/>
      <c r="AG103" s="397"/>
      <c r="AH103" s="397"/>
      <c r="AI103" s="397"/>
      <c r="AJ103" s="397"/>
    </row>
    <row r="104" spans="3:37" ht="15" customHeight="1">
      <c r="C104" s="397"/>
      <c r="D104" s="397"/>
      <c r="E104" s="397"/>
      <c r="F104" s="397"/>
      <c r="G104" s="397"/>
      <c r="H104" s="397"/>
      <c r="I104" s="397"/>
      <c r="J104" s="397"/>
      <c r="K104" s="397"/>
      <c r="L104" s="397"/>
      <c r="M104" s="397"/>
      <c r="N104" s="397"/>
      <c r="O104" s="397"/>
      <c r="P104" s="397"/>
      <c r="Q104" s="397"/>
      <c r="R104" s="397"/>
      <c r="S104" s="397"/>
      <c r="T104" s="397"/>
      <c r="U104" s="397"/>
      <c r="V104" s="397"/>
      <c r="W104" s="397"/>
      <c r="X104" s="397"/>
      <c r="Y104" s="397"/>
      <c r="Z104" s="397"/>
      <c r="AA104" s="397"/>
      <c r="AB104" s="397"/>
      <c r="AC104" s="397"/>
      <c r="AD104" s="397"/>
      <c r="AE104" s="397"/>
      <c r="AF104" s="397"/>
      <c r="AG104" s="397"/>
      <c r="AH104" s="397"/>
      <c r="AI104" s="397"/>
      <c r="AJ104" s="397"/>
    </row>
    <row r="105" spans="3:37" ht="15" customHeight="1">
      <c r="C105" s="397"/>
      <c r="D105" s="397"/>
      <c r="E105" s="397"/>
      <c r="F105" s="397"/>
      <c r="G105" s="397"/>
      <c r="H105" s="397"/>
      <c r="I105" s="397"/>
      <c r="J105" s="397"/>
      <c r="K105" s="397"/>
      <c r="L105" s="397"/>
      <c r="M105" s="397"/>
      <c r="N105" s="397"/>
      <c r="O105" s="397"/>
      <c r="P105" s="397"/>
      <c r="Q105" s="397"/>
      <c r="R105" s="397"/>
      <c r="S105" s="397"/>
      <c r="T105" s="397"/>
      <c r="U105" s="397"/>
      <c r="V105" s="397"/>
      <c r="W105" s="397"/>
      <c r="X105" s="397"/>
      <c r="Y105" s="397"/>
      <c r="Z105" s="397"/>
      <c r="AA105" s="397"/>
      <c r="AB105" s="397"/>
      <c r="AC105" s="397"/>
      <c r="AD105" s="397"/>
      <c r="AE105" s="397"/>
      <c r="AF105" s="397"/>
      <c r="AG105" s="397"/>
      <c r="AH105" s="397"/>
      <c r="AI105" s="397"/>
      <c r="AJ105" s="397"/>
    </row>
    <row r="106" spans="3:37" ht="15" customHeight="1">
      <c r="C106" s="397"/>
      <c r="D106" s="397"/>
      <c r="E106" s="397"/>
      <c r="F106" s="397"/>
      <c r="G106" s="397"/>
      <c r="H106" s="397"/>
      <c r="I106" s="397"/>
      <c r="J106" s="397"/>
      <c r="K106" s="397"/>
      <c r="L106" s="397"/>
      <c r="M106" s="397"/>
      <c r="N106" s="397"/>
      <c r="O106" s="397"/>
      <c r="P106" s="397"/>
      <c r="Q106" s="397"/>
      <c r="R106" s="397"/>
      <c r="S106" s="397"/>
      <c r="T106" s="397"/>
      <c r="U106" s="397"/>
      <c r="V106" s="397"/>
      <c r="W106" s="397"/>
      <c r="X106" s="397"/>
      <c r="Y106" s="397"/>
      <c r="Z106" s="397"/>
      <c r="AA106" s="397"/>
      <c r="AB106" s="397"/>
      <c r="AC106" s="397"/>
      <c r="AD106" s="397"/>
      <c r="AE106" s="397"/>
      <c r="AF106" s="397"/>
      <c r="AG106" s="397"/>
      <c r="AH106" s="397"/>
      <c r="AI106" s="397"/>
      <c r="AJ106" s="397"/>
    </row>
    <row r="107" spans="3:37" ht="15" customHeight="1">
      <c r="C107" s="397"/>
      <c r="D107" s="397"/>
      <c r="E107" s="397"/>
      <c r="F107" s="397"/>
      <c r="G107" s="397"/>
      <c r="H107" s="397"/>
      <c r="I107" s="397"/>
      <c r="J107" s="397"/>
      <c r="K107" s="397"/>
      <c r="L107" s="397"/>
      <c r="M107" s="397"/>
      <c r="N107" s="397"/>
      <c r="O107" s="397"/>
      <c r="P107" s="397"/>
      <c r="Q107" s="397"/>
      <c r="R107" s="397"/>
      <c r="S107" s="397"/>
      <c r="T107" s="397"/>
      <c r="U107" s="397"/>
      <c r="V107" s="397"/>
      <c r="W107" s="397"/>
      <c r="X107" s="397"/>
      <c r="Y107" s="397"/>
      <c r="Z107" s="397"/>
      <c r="AA107" s="397"/>
      <c r="AB107" s="397"/>
      <c r="AC107" s="397"/>
      <c r="AD107" s="397"/>
      <c r="AE107" s="397"/>
      <c r="AF107" s="397"/>
      <c r="AG107" s="397"/>
      <c r="AH107" s="397"/>
      <c r="AI107" s="397"/>
      <c r="AJ107" s="397"/>
    </row>
    <row r="108" spans="3:37" ht="15" customHeight="1">
      <c r="C108" s="397"/>
      <c r="D108" s="397"/>
      <c r="F108" s="530"/>
      <c r="G108" s="530"/>
    </row>
    <row r="109" spans="3:37" ht="15" customHeight="1">
      <c r="C109" s="397"/>
      <c r="D109" s="397"/>
      <c r="F109" s="530"/>
      <c r="G109" s="530"/>
    </row>
    <row r="110" spans="3:37" ht="15" customHeight="1">
      <c r="C110" s="397"/>
      <c r="D110" s="397"/>
    </row>
    <row r="111" spans="3:37" ht="15" customHeight="1">
      <c r="C111" s="397"/>
      <c r="D111" s="397"/>
    </row>
    <row r="112" spans="3:37" ht="15" customHeight="1">
      <c r="C112" s="397"/>
      <c r="D112" s="397"/>
    </row>
    <row r="113" spans="3:4" ht="15" customHeight="1">
      <c r="C113" s="397"/>
      <c r="D113" s="397"/>
    </row>
    <row r="114" spans="3:4" ht="15" customHeight="1">
      <c r="C114" s="397"/>
      <c r="D114" s="397"/>
    </row>
    <row r="115" spans="3:4" ht="15" customHeight="1">
      <c r="C115" s="397"/>
      <c r="D115" s="397"/>
    </row>
    <row r="116" spans="3:4" ht="15" customHeight="1">
      <c r="C116" s="397"/>
      <c r="D116" s="397"/>
    </row>
    <row r="117" spans="3:4" ht="15" customHeight="1">
      <c r="C117" s="397"/>
      <c r="D117" s="397"/>
    </row>
    <row r="118" spans="3:4" ht="15" customHeight="1">
      <c r="C118" s="397"/>
      <c r="D118" s="397"/>
    </row>
    <row r="119" spans="3:4" ht="15" customHeight="1">
      <c r="C119" s="397"/>
      <c r="D119" s="397"/>
    </row>
    <row r="120" spans="3:4" ht="15" customHeight="1">
      <c r="C120" s="397"/>
      <c r="D120" s="397"/>
    </row>
    <row r="121" spans="3:4" ht="15" customHeight="1">
      <c r="C121" s="397"/>
      <c r="D121" s="397"/>
    </row>
    <row r="122" spans="3:4" ht="15" customHeight="1">
      <c r="C122" s="397"/>
      <c r="D122" s="397"/>
    </row>
    <row r="123" spans="3:4" ht="15" customHeight="1">
      <c r="C123" s="397"/>
      <c r="D123" s="397"/>
    </row>
    <row r="124" spans="3:4" ht="15" customHeight="1">
      <c r="C124" s="397"/>
      <c r="D124" s="397"/>
    </row>
    <row r="125" spans="3:4" ht="15" customHeight="1">
      <c r="C125" s="397"/>
      <c r="D125" s="397"/>
    </row>
    <row r="126" spans="3:4" ht="15" customHeight="1">
      <c r="C126" s="397"/>
      <c r="D126" s="397"/>
    </row>
    <row r="127" spans="3:4" ht="15" customHeight="1">
      <c r="C127" s="397"/>
      <c r="D127" s="397"/>
    </row>
    <row r="128" spans="3:4" ht="15" customHeight="1">
      <c r="C128" s="397"/>
      <c r="D128" s="397"/>
    </row>
    <row r="129" spans="3:4" ht="15" customHeight="1">
      <c r="C129" s="397"/>
      <c r="D129" s="397"/>
    </row>
    <row r="130" spans="3:4" ht="15" customHeight="1">
      <c r="C130" s="397"/>
      <c r="D130" s="397"/>
    </row>
    <row r="131" spans="3:4" ht="15" customHeight="1">
      <c r="C131" s="397"/>
      <c r="D131" s="397"/>
    </row>
    <row r="132" spans="3:4" ht="15" customHeight="1">
      <c r="C132" s="397"/>
      <c r="D132" s="397"/>
    </row>
    <row r="133" spans="3:4" ht="15" customHeight="1">
      <c r="C133" s="397"/>
      <c r="D133" s="397"/>
    </row>
    <row r="134" spans="3:4" ht="15" customHeight="1">
      <c r="C134" s="397"/>
      <c r="D134" s="397"/>
    </row>
    <row r="135" spans="3:4" ht="15" customHeight="1">
      <c r="C135" s="397"/>
      <c r="D135" s="397"/>
    </row>
    <row r="136" spans="3:4" ht="15" customHeight="1">
      <c r="C136" s="397"/>
      <c r="D136" s="397"/>
    </row>
    <row r="137" spans="3:4" ht="15" customHeight="1">
      <c r="C137" s="397"/>
      <c r="D137" s="397"/>
    </row>
    <row r="138" spans="3:4" ht="15" customHeight="1">
      <c r="C138" s="397"/>
      <c r="D138" s="397"/>
    </row>
    <row r="139" spans="3:4" ht="15" customHeight="1">
      <c r="C139" s="397"/>
      <c r="D139" s="397"/>
    </row>
    <row r="140" spans="3:4" ht="15" customHeight="1">
      <c r="C140" s="397"/>
      <c r="D140" s="397"/>
    </row>
    <row r="141" spans="3:4" ht="15" customHeight="1">
      <c r="C141" s="397"/>
      <c r="D141" s="397"/>
    </row>
    <row r="142" spans="3:4" ht="15" customHeight="1">
      <c r="C142" s="397"/>
      <c r="D142" s="397"/>
    </row>
    <row r="143" spans="3:4" ht="15" customHeight="1">
      <c r="C143" s="397"/>
      <c r="D143" s="397"/>
    </row>
    <row r="144" spans="3:4" ht="15" customHeight="1">
      <c r="C144" s="397"/>
      <c r="D144" s="397"/>
    </row>
    <row r="145" spans="3:4" ht="15" customHeight="1">
      <c r="C145" s="397"/>
      <c r="D145" s="397"/>
    </row>
    <row r="146" spans="3:4" ht="15" customHeight="1">
      <c r="C146" s="397"/>
      <c r="D146" s="397"/>
    </row>
    <row r="147" spans="3:4" ht="15" customHeight="1">
      <c r="C147" s="397"/>
      <c r="D147" s="397"/>
    </row>
    <row r="148" spans="3:4" ht="15" customHeight="1">
      <c r="C148" s="397"/>
      <c r="D148" s="397"/>
    </row>
    <row r="149" spans="3:4" ht="15" customHeight="1">
      <c r="C149" s="397"/>
      <c r="D149" s="397"/>
    </row>
    <row r="150" spans="3:4" ht="15" customHeight="1">
      <c r="C150" s="397"/>
      <c r="D150" s="397"/>
    </row>
    <row r="151" spans="3:4" ht="15" customHeight="1">
      <c r="C151" s="397"/>
      <c r="D151" s="397"/>
    </row>
    <row r="152" spans="3:4" ht="15" customHeight="1">
      <c r="C152" s="397"/>
      <c r="D152" s="397"/>
    </row>
    <row r="153" spans="3:4" ht="15" customHeight="1">
      <c r="C153" s="397"/>
      <c r="D153" s="397"/>
    </row>
    <row r="154" spans="3:4" ht="15" customHeight="1">
      <c r="C154" s="397"/>
      <c r="D154" s="397"/>
    </row>
    <row r="155" spans="3:4" ht="15" customHeight="1">
      <c r="C155" s="397"/>
      <c r="D155" s="397"/>
    </row>
    <row r="156" spans="3:4" ht="15" customHeight="1">
      <c r="C156" s="397"/>
      <c r="D156" s="397"/>
    </row>
    <row r="157" spans="3:4" ht="15" customHeight="1">
      <c r="C157" s="397"/>
      <c r="D157" s="397"/>
    </row>
    <row r="158" spans="3:4" ht="15" customHeight="1">
      <c r="C158" s="397"/>
      <c r="D158" s="397"/>
    </row>
    <row r="159" spans="3:4" ht="15" customHeight="1">
      <c r="C159" s="397"/>
      <c r="D159" s="397"/>
    </row>
    <row r="160" spans="3:4" ht="15" customHeight="1">
      <c r="C160" s="397"/>
      <c r="D160" s="397"/>
    </row>
    <row r="161" spans="3:4" ht="15" customHeight="1">
      <c r="C161" s="397"/>
      <c r="D161" s="397"/>
    </row>
    <row r="162" spans="3:4" ht="15" customHeight="1">
      <c r="C162" s="397"/>
      <c r="D162" s="397"/>
    </row>
    <row r="163" spans="3:4" ht="15" customHeight="1">
      <c r="C163" s="397"/>
      <c r="D163" s="397"/>
    </row>
    <row r="164" spans="3:4" ht="15" customHeight="1">
      <c r="C164" s="397"/>
      <c r="D164" s="397"/>
    </row>
    <row r="165" spans="3:4" ht="15" customHeight="1">
      <c r="C165" s="397"/>
      <c r="D165" s="397"/>
    </row>
    <row r="166" spans="3:4" ht="15" customHeight="1">
      <c r="C166" s="397"/>
      <c r="D166" s="397"/>
    </row>
    <row r="167" spans="3:4" ht="15" customHeight="1">
      <c r="C167" s="397"/>
      <c r="D167" s="397"/>
    </row>
    <row r="168" spans="3:4" ht="15" customHeight="1">
      <c r="C168" s="397"/>
      <c r="D168" s="397"/>
    </row>
    <row r="169" spans="3:4" ht="15" customHeight="1">
      <c r="C169" s="397"/>
      <c r="D169" s="397"/>
    </row>
    <row r="170" spans="3:4" ht="15" customHeight="1">
      <c r="C170" s="397"/>
      <c r="D170" s="397"/>
    </row>
    <row r="171" spans="3:4" ht="15" customHeight="1">
      <c r="C171" s="397"/>
      <c r="D171" s="397"/>
    </row>
    <row r="172" spans="3:4" ht="15" customHeight="1">
      <c r="C172" s="397"/>
      <c r="D172" s="397"/>
    </row>
    <row r="173" spans="3:4" ht="15" customHeight="1">
      <c r="C173" s="397"/>
      <c r="D173" s="397"/>
    </row>
    <row r="174" spans="3:4" ht="15" customHeight="1">
      <c r="C174" s="397"/>
      <c r="D174" s="397"/>
    </row>
    <row r="175" spans="3:4" ht="15" customHeight="1">
      <c r="C175" s="397"/>
      <c r="D175" s="397"/>
    </row>
    <row r="176" spans="3:4" ht="15" customHeight="1">
      <c r="C176" s="397"/>
      <c r="D176" s="397"/>
    </row>
    <row r="177" spans="3:4" ht="15" customHeight="1">
      <c r="C177" s="397"/>
      <c r="D177" s="397"/>
    </row>
    <row r="178" spans="3:4" ht="15" customHeight="1">
      <c r="C178" s="397"/>
      <c r="D178" s="397"/>
    </row>
    <row r="179" spans="3:4" ht="15" customHeight="1">
      <c r="C179" s="397"/>
      <c r="D179" s="397"/>
    </row>
    <row r="180" spans="3:4" ht="15" customHeight="1">
      <c r="C180" s="397"/>
      <c r="D180" s="397"/>
    </row>
    <row r="181" spans="3:4" ht="15" customHeight="1">
      <c r="C181" s="397"/>
      <c r="D181" s="397"/>
    </row>
    <row r="182" spans="3:4" ht="15" customHeight="1">
      <c r="C182" s="397"/>
      <c r="D182" s="397"/>
    </row>
    <row r="183" spans="3:4" ht="15" customHeight="1">
      <c r="C183" s="397"/>
      <c r="D183" s="397"/>
    </row>
    <row r="184" spans="3:4" ht="15" customHeight="1">
      <c r="C184" s="397"/>
      <c r="D184" s="397"/>
    </row>
    <row r="185" spans="3:4" ht="15" customHeight="1">
      <c r="C185" s="397"/>
      <c r="D185" s="397"/>
    </row>
    <row r="186" spans="3:4" ht="15" customHeight="1">
      <c r="C186" s="397"/>
      <c r="D186" s="397"/>
    </row>
    <row r="187" spans="3:4" ht="15" customHeight="1">
      <c r="C187" s="397"/>
      <c r="D187" s="397"/>
    </row>
    <row r="188" spans="3:4" ht="15" customHeight="1">
      <c r="C188" s="397"/>
      <c r="D188" s="397"/>
    </row>
    <row r="189" spans="3:4" ht="15" customHeight="1">
      <c r="C189" s="397"/>
      <c r="D189" s="397"/>
    </row>
    <row r="190" spans="3:4" ht="15" customHeight="1">
      <c r="C190" s="397"/>
      <c r="D190" s="397"/>
    </row>
    <row r="191" spans="3:4" ht="15" customHeight="1">
      <c r="C191" s="397"/>
      <c r="D191" s="397"/>
    </row>
    <row r="192" spans="3:4" ht="15" customHeight="1">
      <c r="C192" s="397"/>
      <c r="D192" s="397"/>
    </row>
    <row r="193" spans="3:4" ht="15" customHeight="1">
      <c r="C193" s="397"/>
      <c r="D193" s="397"/>
    </row>
    <row r="194" spans="3:4" ht="15" customHeight="1">
      <c r="C194" s="397"/>
      <c r="D194" s="397"/>
    </row>
    <row r="195" spans="3:4" ht="15" customHeight="1">
      <c r="C195" s="397"/>
      <c r="D195" s="397"/>
    </row>
    <row r="196" spans="3:4" ht="15" customHeight="1">
      <c r="C196" s="397"/>
      <c r="D196" s="397"/>
    </row>
    <row r="197" spans="3:4" ht="15" customHeight="1">
      <c r="C197" s="397"/>
      <c r="D197" s="397"/>
    </row>
    <row r="198" spans="3:4" ht="15" customHeight="1">
      <c r="C198" s="397"/>
      <c r="D198" s="397"/>
    </row>
    <row r="199" spans="3:4" ht="15" customHeight="1">
      <c r="C199" s="397"/>
      <c r="D199" s="397"/>
    </row>
    <row r="200" spans="3:4" ht="15" customHeight="1">
      <c r="C200" s="397"/>
      <c r="D200" s="397"/>
    </row>
    <row r="201" spans="3:4" ht="15" customHeight="1">
      <c r="C201" s="397"/>
      <c r="D201" s="397"/>
    </row>
    <row r="202" spans="3:4" ht="15" customHeight="1">
      <c r="C202" s="397"/>
      <c r="D202" s="397"/>
    </row>
    <row r="203" spans="3:4" ht="15" customHeight="1">
      <c r="C203" s="397"/>
      <c r="D203" s="397"/>
    </row>
    <row r="204" spans="3:4" ht="15" customHeight="1">
      <c r="C204" s="397"/>
      <c r="D204" s="397"/>
    </row>
    <row r="205" spans="3:4" ht="15" customHeight="1">
      <c r="C205" s="397"/>
      <c r="D205" s="397"/>
    </row>
    <row r="206" spans="3:4" ht="15" customHeight="1">
      <c r="C206" s="397"/>
      <c r="D206" s="397"/>
    </row>
    <row r="207" spans="3:4" ht="15" customHeight="1">
      <c r="C207" s="397"/>
      <c r="D207" s="397"/>
    </row>
    <row r="208" spans="3:4" ht="15" customHeight="1">
      <c r="C208" s="397"/>
      <c r="D208" s="397"/>
    </row>
    <row r="209" spans="3:4" ht="15" customHeight="1">
      <c r="C209" s="397"/>
      <c r="D209" s="397"/>
    </row>
    <row r="210" spans="3:4" ht="15" customHeight="1">
      <c r="C210" s="397"/>
      <c r="D210" s="397"/>
    </row>
    <row r="211" spans="3:4" ht="15" customHeight="1">
      <c r="C211" s="397"/>
      <c r="D211" s="397"/>
    </row>
    <row r="212" spans="3:4" ht="15" customHeight="1">
      <c r="C212" s="397"/>
      <c r="D212" s="397"/>
    </row>
    <row r="213" spans="3:4" ht="15" customHeight="1">
      <c r="C213" s="397"/>
      <c r="D213" s="397"/>
    </row>
    <row r="214" spans="3:4" ht="15" customHeight="1">
      <c r="C214" s="397"/>
      <c r="D214" s="397"/>
    </row>
    <row r="215" spans="3:4" ht="15" customHeight="1">
      <c r="C215" s="397"/>
      <c r="D215" s="397"/>
    </row>
    <row r="216" spans="3:4" ht="15" customHeight="1">
      <c r="C216" s="397"/>
      <c r="D216" s="397"/>
    </row>
    <row r="217" spans="3:4" ht="15" customHeight="1">
      <c r="C217" s="397"/>
      <c r="D217" s="397"/>
    </row>
    <row r="218" spans="3:4" ht="15" customHeight="1">
      <c r="C218" s="397"/>
      <c r="D218" s="397"/>
    </row>
    <row r="219" spans="3:4" ht="15" customHeight="1">
      <c r="C219" s="397"/>
      <c r="D219" s="397"/>
    </row>
    <row r="220" spans="3:4" ht="15" customHeight="1">
      <c r="C220" s="397"/>
      <c r="D220" s="397"/>
    </row>
    <row r="221" spans="3:4" ht="15" customHeight="1">
      <c r="C221" s="397"/>
      <c r="D221" s="397"/>
    </row>
    <row r="222" spans="3:4" ht="15" customHeight="1">
      <c r="C222" s="397"/>
      <c r="D222" s="397"/>
    </row>
    <row r="223" spans="3:4" ht="15" customHeight="1">
      <c r="C223" s="397"/>
      <c r="D223" s="397"/>
    </row>
    <row r="224" spans="3:4" ht="15" customHeight="1">
      <c r="C224" s="397"/>
      <c r="D224" s="397"/>
    </row>
    <row r="225" spans="3:4" ht="15" customHeight="1">
      <c r="C225" s="397"/>
      <c r="D225" s="397"/>
    </row>
    <row r="226" spans="3:4" ht="15" customHeight="1">
      <c r="C226" s="397"/>
      <c r="D226" s="397"/>
    </row>
    <row r="227" spans="3:4" ht="15" customHeight="1">
      <c r="C227" s="397"/>
      <c r="D227" s="397"/>
    </row>
    <row r="228" spans="3:4" ht="15" customHeight="1">
      <c r="C228" s="397"/>
      <c r="D228" s="397"/>
    </row>
    <row r="229" spans="3:4" ht="15" customHeight="1">
      <c r="C229" s="397"/>
      <c r="D229" s="397"/>
    </row>
    <row r="230" spans="3:4" ht="15" customHeight="1">
      <c r="C230" s="397"/>
      <c r="D230" s="397"/>
    </row>
    <row r="231" spans="3:4" ht="15" customHeight="1">
      <c r="C231" s="397"/>
      <c r="D231" s="397"/>
    </row>
    <row r="232" spans="3:4" ht="15" customHeight="1">
      <c r="C232" s="397"/>
      <c r="D232" s="397"/>
    </row>
    <row r="233" spans="3:4" ht="15" customHeight="1">
      <c r="C233" s="397"/>
      <c r="D233" s="397"/>
    </row>
    <row r="234" spans="3:4" ht="15" customHeight="1">
      <c r="C234" s="397"/>
      <c r="D234" s="397"/>
    </row>
    <row r="235" spans="3:4" ht="15" customHeight="1">
      <c r="C235" s="397"/>
      <c r="D235" s="397"/>
    </row>
    <row r="236" spans="3:4" ht="15" customHeight="1">
      <c r="C236" s="397"/>
      <c r="D236" s="397"/>
    </row>
    <row r="237" spans="3:4" ht="15" customHeight="1">
      <c r="C237" s="397"/>
      <c r="D237" s="397"/>
    </row>
    <row r="238" spans="3:4" ht="15" customHeight="1">
      <c r="C238" s="397"/>
      <c r="D238" s="397"/>
    </row>
    <row r="239" spans="3:4" ht="15" customHeight="1">
      <c r="C239" s="397"/>
      <c r="D239" s="397"/>
    </row>
    <row r="240" spans="3:4" ht="15" customHeight="1">
      <c r="C240" s="397"/>
      <c r="D240" s="397"/>
    </row>
    <row r="241" spans="3:4" ht="15" customHeight="1">
      <c r="C241" s="397"/>
      <c r="D241" s="397"/>
    </row>
    <row r="242" spans="3:4" ht="15" customHeight="1">
      <c r="C242" s="397"/>
      <c r="D242" s="397"/>
    </row>
    <row r="243" spans="3:4" ht="15" customHeight="1">
      <c r="C243" s="397"/>
      <c r="D243" s="397"/>
    </row>
    <row r="244" spans="3:4" ht="15" customHeight="1">
      <c r="C244" s="397"/>
      <c r="D244" s="397"/>
    </row>
    <row r="245" spans="3:4" ht="15" customHeight="1">
      <c r="C245" s="397"/>
      <c r="D245" s="397"/>
    </row>
    <row r="246" spans="3:4" ht="15" customHeight="1">
      <c r="C246" s="397"/>
      <c r="D246" s="397"/>
    </row>
    <row r="247" spans="3:4" ht="15" customHeight="1">
      <c r="C247" s="397"/>
      <c r="D247" s="397"/>
    </row>
    <row r="248" spans="3:4" ht="15" customHeight="1">
      <c r="C248" s="397"/>
      <c r="D248" s="397"/>
    </row>
    <row r="249" spans="3:4" ht="15" customHeight="1">
      <c r="C249" s="397"/>
      <c r="D249" s="397"/>
    </row>
    <row r="250" spans="3:4" ht="15" customHeight="1">
      <c r="C250" s="397"/>
      <c r="D250" s="397"/>
    </row>
    <row r="251" spans="3:4" ht="15" customHeight="1">
      <c r="C251" s="397"/>
      <c r="D251" s="397"/>
    </row>
    <row r="252" spans="3:4" ht="15" customHeight="1">
      <c r="C252" s="397"/>
      <c r="D252" s="397"/>
    </row>
    <row r="253" spans="3:4" ht="15" customHeight="1">
      <c r="C253" s="397"/>
      <c r="D253" s="397"/>
    </row>
    <row r="254" spans="3:4" ht="15" customHeight="1">
      <c r="C254" s="397"/>
      <c r="D254" s="397"/>
    </row>
    <row r="255" spans="3:4" ht="15" customHeight="1">
      <c r="C255" s="397"/>
      <c r="D255" s="397"/>
    </row>
    <row r="256" spans="3:4" ht="15" customHeight="1">
      <c r="C256" s="397"/>
      <c r="D256" s="397"/>
    </row>
    <row r="257" spans="3:4" ht="15" customHeight="1">
      <c r="C257" s="397"/>
      <c r="D257" s="397"/>
    </row>
    <row r="258" spans="3:4" ht="15" customHeight="1">
      <c r="C258" s="397"/>
      <c r="D258" s="397"/>
    </row>
    <row r="259" spans="3:4" ht="15" customHeight="1">
      <c r="C259" s="397"/>
      <c r="D259" s="397"/>
    </row>
    <row r="260" spans="3:4" ht="15" customHeight="1">
      <c r="C260" s="397"/>
      <c r="D260" s="397"/>
    </row>
    <row r="261" spans="3:4" ht="15" customHeight="1">
      <c r="C261" s="397"/>
      <c r="D261" s="397"/>
    </row>
    <row r="262" spans="3:4" ht="15" customHeight="1">
      <c r="C262" s="397"/>
      <c r="D262" s="397"/>
    </row>
    <row r="263" spans="3:4" ht="15" customHeight="1">
      <c r="C263" s="397"/>
      <c r="D263" s="397"/>
    </row>
    <row r="264" spans="3:4" ht="15" customHeight="1">
      <c r="C264" s="397"/>
      <c r="D264" s="397"/>
    </row>
    <row r="265" spans="3:4" ht="15" customHeight="1">
      <c r="C265" s="397"/>
      <c r="D265" s="397"/>
    </row>
    <row r="266" spans="3:4" ht="15" customHeight="1">
      <c r="C266" s="397"/>
      <c r="D266" s="397"/>
    </row>
    <row r="267" spans="3:4" ht="15" customHeight="1">
      <c r="C267" s="397"/>
      <c r="D267" s="397"/>
    </row>
    <row r="268" spans="3:4" ht="15" customHeight="1">
      <c r="C268" s="397"/>
      <c r="D268" s="397"/>
    </row>
    <row r="269" spans="3:4" ht="15" customHeight="1">
      <c r="C269" s="397"/>
      <c r="D269" s="397"/>
    </row>
    <row r="270" spans="3:4" ht="15" customHeight="1">
      <c r="C270" s="397"/>
      <c r="D270" s="397"/>
    </row>
    <row r="271" spans="3:4" ht="15" customHeight="1">
      <c r="C271" s="397"/>
      <c r="D271" s="397"/>
    </row>
    <row r="272" spans="3:4" ht="15" customHeight="1">
      <c r="C272" s="397"/>
      <c r="D272" s="397"/>
    </row>
    <row r="273" spans="3:4" ht="15" customHeight="1">
      <c r="C273" s="397"/>
      <c r="D273" s="397"/>
    </row>
    <row r="274" spans="3:4" ht="15" customHeight="1">
      <c r="C274" s="397"/>
      <c r="D274" s="397"/>
    </row>
    <row r="275" spans="3:4" ht="15" customHeight="1">
      <c r="C275" s="397"/>
      <c r="D275" s="397"/>
    </row>
    <row r="276" spans="3:4" ht="15" customHeight="1">
      <c r="C276" s="397"/>
      <c r="D276" s="397"/>
    </row>
    <row r="277" spans="3:4" ht="15" customHeight="1">
      <c r="C277" s="397"/>
      <c r="D277" s="397"/>
    </row>
    <row r="278" spans="3:4" ht="15" customHeight="1">
      <c r="C278" s="397"/>
      <c r="D278" s="397"/>
    </row>
    <row r="279" spans="3:4" ht="15" customHeight="1">
      <c r="C279" s="397"/>
      <c r="D279" s="397"/>
    </row>
    <row r="280" spans="3:4" ht="15" customHeight="1">
      <c r="C280" s="397"/>
      <c r="D280" s="397"/>
    </row>
    <row r="281" spans="3:4" ht="15" customHeight="1">
      <c r="C281" s="397"/>
      <c r="D281" s="397"/>
    </row>
    <row r="282" spans="3:4" ht="15" customHeight="1">
      <c r="C282" s="397"/>
      <c r="D282" s="397"/>
    </row>
    <row r="283" spans="3:4" ht="15" customHeight="1">
      <c r="C283" s="397"/>
      <c r="D283" s="397"/>
    </row>
    <row r="284" spans="3:4" ht="15" customHeight="1">
      <c r="C284" s="397"/>
      <c r="D284" s="397"/>
    </row>
    <row r="285" spans="3:4" ht="15" customHeight="1">
      <c r="C285" s="397"/>
      <c r="D285" s="397"/>
    </row>
  </sheetData>
  <mergeCells count="80">
    <mergeCell ref="D92:D97"/>
    <mergeCell ref="E92:E94"/>
    <mergeCell ref="F92:G94"/>
    <mergeCell ref="H92:H97"/>
    <mergeCell ref="I92:I97"/>
    <mergeCell ref="AH92:AK94"/>
    <mergeCell ref="AH83:AK85"/>
    <mergeCell ref="F87:G87"/>
    <mergeCell ref="AH87:AK87"/>
    <mergeCell ref="F88:G88"/>
    <mergeCell ref="AH88:AK88"/>
    <mergeCell ref="F89:G89"/>
    <mergeCell ref="AH89:AK90"/>
    <mergeCell ref="AH55:AK56"/>
    <mergeCell ref="F59:G60"/>
    <mergeCell ref="F63:G64"/>
    <mergeCell ref="F67:G68"/>
    <mergeCell ref="D83:D89"/>
    <mergeCell ref="E83:E85"/>
    <mergeCell ref="F83:G85"/>
    <mergeCell ref="H83:H89"/>
    <mergeCell ref="I83:I89"/>
    <mergeCell ref="E78:E80"/>
    <mergeCell ref="F78:G80"/>
    <mergeCell ref="H78:H80"/>
    <mergeCell ref="I78:I80"/>
    <mergeCell ref="AH78:AK80"/>
    <mergeCell ref="F47:G47"/>
    <mergeCell ref="AH47:AK47"/>
    <mergeCell ref="F48:G48"/>
    <mergeCell ref="AH48:AK49"/>
    <mergeCell ref="D51:D80"/>
    <mergeCell ref="E51:E53"/>
    <mergeCell ref="F51:G53"/>
    <mergeCell ref="H51:H68"/>
    <mergeCell ref="I51:I68"/>
    <mergeCell ref="AH51:AK53"/>
    <mergeCell ref="E71:E73"/>
    <mergeCell ref="F71:G73"/>
    <mergeCell ref="H71:H77"/>
    <mergeCell ref="I71:I77"/>
    <mergeCell ref="AH71:AK73"/>
    <mergeCell ref="F55:G56"/>
    <mergeCell ref="F38:G39"/>
    <mergeCell ref="AH38:AK40"/>
    <mergeCell ref="D42:D48"/>
    <mergeCell ref="E42:E44"/>
    <mergeCell ref="F42:G44"/>
    <mergeCell ref="H42:H48"/>
    <mergeCell ref="I42:I48"/>
    <mergeCell ref="AH42:AK44"/>
    <mergeCell ref="F46:G46"/>
    <mergeCell ref="AH46:AK46"/>
    <mergeCell ref="D26:D39"/>
    <mergeCell ref="E26:E28"/>
    <mergeCell ref="F26:G28"/>
    <mergeCell ref="H26:H39"/>
    <mergeCell ref="I26:I39"/>
    <mergeCell ref="AH26:AK28"/>
    <mergeCell ref="F30:G31"/>
    <mergeCell ref="AH30:AK31"/>
    <mergeCell ref="F34:G35"/>
    <mergeCell ref="AH34:AK35"/>
    <mergeCell ref="F13:G15"/>
    <mergeCell ref="AH13:AK15"/>
    <mergeCell ref="C4:C5"/>
    <mergeCell ref="D4:D5"/>
    <mergeCell ref="E4:G5"/>
    <mergeCell ref="AH4:AK5"/>
    <mergeCell ref="D7:D23"/>
    <mergeCell ref="E7:E9"/>
    <mergeCell ref="F7:G9"/>
    <mergeCell ref="H7:H15"/>
    <mergeCell ref="I7:I15"/>
    <mergeCell ref="E13:E15"/>
    <mergeCell ref="E18:E20"/>
    <mergeCell ref="F18:G20"/>
    <mergeCell ref="H18:H23"/>
    <mergeCell ref="I18:I23"/>
    <mergeCell ref="AH18:AK20"/>
  </mergeCells>
  <phoneticPr fontId="4" type="noConversion"/>
  <printOptions horizontalCentered="1" verticalCentered="1"/>
  <pageMargins left="0.15748031496062992" right="0.15748031496062992" top="0.39370078740157483" bottom="0.39370078740157483" header="0" footer="0"/>
  <pageSetup paperSize="9" scale="60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C3:FA83"/>
  <sheetViews>
    <sheetView showGridLines="0" workbookViewId="0">
      <pane xSplit="7" ySplit="5" topLeftCell="H6" activePane="bottomRight" state="frozen"/>
      <selection activeCell="AH33" sqref="AH33"/>
      <selection pane="topRight" activeCell="AH33" sqref="AH33"/>
      <selection pane="bottomLeft" activeCell="AH33" sqref="AH33"/>
      <selection pane="bottomRight" activeCell="L22" sqref="L22"/>
    </sheetView>
  </sheetViews>
  <sheetFormatPr defaultColWidth="3.7109375" defaultRowHeight="18.95" customHeight="1"/>
  <cols>
    <col min="1" max="2" width="3.7109375" style="2"/>
    <col min="3" max="3" width="1.85546875" style="2" customWidth="1"/>
    <col min="4" max="16384" width="3.7109375" style="2"/>
  </cols>
  <sheetData>
    <row r="3" spans="3:157" ht="26.25" customHeight="1">
      <c r="C3" s="1" t="s">
        <v>0</v>
      </c>
      <c r="E3" s="1"/>
    </row>
    <row r="4" spans="3:157" ht="17.25" customHeight="1">
      <c r="E4" s="1"/>
    </row>
    <row r="5" spans="3:157" ht="26.25" customHeight="1">
      <c r="K5" s="3" t="s">
        <v>1</v>
      </c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B5" s="3" t="s">
        <v>2</v>
      </c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  <c r="BN5" s="4"/>
      <c r="BO5" s="4"/>
      <c r="BQ5" s="3" t="s">
        <v>3</v>
      </c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  <c r="DJ5" s="4"/>
      <c r="DK5" s="4"/>
      <c r="DL5" s="4"/>
      <c r="DM5" s="4"/>
      <c r="DN5" s="4"/>
      <c r="DO5" s="4"/>
      <c r="DP5" s="4"/>
      <c r="DQ5" s="4"/>
      <c r="DR5" s="4"/>
      <c r="DS5" s="4"/>
      <c r="DT5" s="4"/>
      <c r="DU5" s="4"/>
      <c r="DV5" s="4"/>
      <c r="DX5" s="3" t="s">
        <v>4</v>
      </c>
      <c r="DY5" s="4"/>
      <c r="DZ5" s="4"/>
      <c r="EA5" s="4"/>
      <c r="EB5" s="4"/>
      <c r="EC5" s="4"/>
      <c r="ED5" s="4"/>
      <c r="EE5" s="4"/>
      <c r="EF5" s="4"/>
      <c r="EG5" s="4"/>
      <c r="EH5" s="4"/>
      <c r="EI5" s="4"/>
      <c r="EJ5" s="4"/>
      <c r="EL5" s="3" t="s">
        <v>5</v>
      </c>
      <c r="EM5" s="4"/>
      <c r="EN5" s="4"/>
      <c r="EO5" s="4"/>
      <c r="EP5" s="4"/>
      <c r="EQ5" s="4"/>
      <c r="ER5" s="4"/>
      <c r="ES5" s="4"/>
      <c r="ET5" s="4"/>
      <c r="EU5" s="4"/>
      <c r="FA5" s="2" t="s">
        <v>6</v>
      </c>
    </row>
    <row r="6" spans="3:157" s="5" customFormat="1" ht="9.9499999999999993" customHeight="1">
      <c r="D6" s="6"/>
      <c r="E6" s="7"/>
      <c r="F6" s="6"/>
      <c r="J6" s="8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</row>
    <row r="7" spans="3:157" s="5" customFormat="1" ht="18.95" customHeight="1">
      <c r="D7" s="655" t="s">
        <v>7</v>
      </c>
      <c r="E7" s="656"/>
      <c r="F7" s="657"/>
      <c r="J7" s="8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</row>
    <row r="8" spans="3:157" s="5" customFormat="1" ht="18.95" customHeight="1">
      <c r="D8" s="658"/>
      <c r="E8" s="659"/>
      <c r="F8" s="660"/>
      <c r="J8" s="8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</row>
    <row r="9" spans="3:157" ht="18.95" customHeight="1" thickBot="1">
      <c r="D9" s="661"/>
      <c r="E9" s="662"/>
      <c r="F9" s="663"/>
    </row>
    <row r="10" spans="3:157" s="5" customFormat="1" ht="9.9499999999999993" customHeight="1">
      <c r="D10" s="6"/>
      <c r="E10" s="7"/>
      <c r="F10" s="6"/>
      <c r="J10" s="8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</row>
    <row r="11" spans="3:157" ht="18.95" customHeight="1">
      <c r="D11" s="664" t="s">
        <v>8</v>
      </c>
      <c r="E11" s="665"/>
      <c r="F11" s="666"/>
    </row>
    <row r="12" spans="3:157" ht="18.95" customHeight="1">
      <c r="D12" s="667"/>
      <c r="E12" s="668"/>
      <c r="F12" s="669"/>
    </row>
    <row r="13" spans="3:157" ht="18.95" customHeight="1">
      <c r="D13" s="667"/>
      <c r="E13" s="668"/>
      <c r="F13" s="669"/>
    </row>
    <row r="14" spans="3:157" ht="18.95" customHeight="1">
      <c r="D14" s="667"/>
      <c r="E14" s="668"/>
      <c r="F14" s="669"/>
    </row>
    <row r="15" spans="3:157" ht="18.95" customHeight="1">
      <c r="D15" s="667"/>
      <c r="E15" s="668"/>
      <c r="F15" s="669"/>
    </row>
    <row r="16" spans="3:157" ht="18.95" customHeight="1">
      <c r="D16" s="667"/>
      <c r="E16" s="668"/>
      <c r="F16" s="669"/>
    </row>
    <row r="17" spans="4:142" ht="18.95" customHeight="1">
      <c r="D17" s="667"/>
      <c r="E17" s="668"/>
      <c r="F17" s="669"/>
    </row>
    <row r="18" spans="4:142" ht="18.95" customHeight="1">
      <c r="D18" s="667"/>
      <c r="E18" s="668"/>
      <c r="F18" s="669"/>
    </row>
    <row r="19" spans="4:142" ht="18.95" customHeight="1">
      <c r="D19" s="667"/>
      <c r="E19" s="668"/>
      <c r="F19" s="669"/>
    </row>
    <row r="20" spans="4:142" ht="18.95" customHeight="1">
      <c r="D20" s="667"/>
      <c r="E20" s="668"/>
      <c r="F20" s="669"/>
    </row>
    <row r="21" spans="4:142" ht="18.95" customHeight="1">
      <c r="D21" s="667"/>
      <c r="E21" s="668"/>
      <c r="F21" s="669"/>
    </row>
    <row r="22" spans="4:142" ht="18.95" customHeight="1">
      <c r="D22" s="667"/>
      <c r="E22" s="668"/>
      <c r="F22" s="669"/>
    </row>
    <row r="23" spans="4:142" ht="18.95" customHeight="1">
      <c r="D23" s="667"/>
      <c r="E23" s="668"/>
      <c r="F23" s="669"/>
    </row>
    <row r="24" spans="4:142" ht="18.95" customHeight="1">
      <c r="D24" s="667"/>
      <c r="E24" s="668"/>
      <c r="F24" s="669"/>
    </row>
    <row r="25" spans="4:142" ht="18.95" customHeight="1">
      <c r="D25" s="667"/>
      <c r="E25" s="668"/>
      <c r="F25" s="669"/>
    </row>
    <row r="26" spans="4:142" ht="18.95" customHeight="1">
      <c r="D26" s="667"/>
      <c r="E26" s="668"/>
      <c r="F26" s="669"/>
    </row>
    <row r="27" spans="4:142" ht="18.95" customHeight="1">
      <c r="D27" s="667"/>
      <c r="E27" s="668"/>
      <c r="F27" s="669"/>
    </row>
    <row r="28" spans="4:142" ht="18.95" customHeight="1">
      <c r="D28" s="667"/>
      <c r="E28" s="668"/>
      <c r="F28" s="669"/>
    </row>
    <row r="29" spans="4:142" ht="18.95" customHeight="1" thickBot="1">
      <c r="D29" s="670"/>
      <c r="E29" s="671"/>
      <c r="F29" s="672"/>
    </row>
    <row r="31" spans="4:142" ht="18.95" customHeight="1" thickBot="1">
      <c r="D31" s="673" t="s">
        <v>9</v>
      </c>
      <c r="E31" s="674"/>
      <c r="F31" s="675"/>
      <c r="K31" s="2" t="s">
        <v>10</v>
      </c>
      <c r="CG31" s="2" t="s">
        <v>11</v>
      </c>
      <c r="EL31" s="2" t="s">
        <v>12</v>
      </c>
    </row>
    <row r="32" spans="4:142" ht="18.95" customHeight="1">
      <c r="F32" s="10"/>
      <c r="G32" s="11"/>
      <c r="H32" s="11"/>
    </row>
    <row r="33" spans="6:8" ht="18.95" customHeight="1">
      <c r="F33" s="10"/>
      <c r="G33" s="11"/>
      <c r="H33" s="11"/>
    </row>
    <row r="34" spans="6:8" ht="18.95" customHeight="1">
      <c r="F34" s="10"/>
    </row>
    <row r="36" spans="6:8" ht="18.95" customHeight="1">
      <c r="G36" s="11"/>
    </row>
    <row r="37" spans="6:8" ht="18.95" customHeight="1">
      <c r="G37" s="11"/>
    </row>
    <row r="39" spans="6:8" ht="18.95" customHeight="1">
      <c r="H39" s="12"/>
    </row>
    <row r="83" spans="6:6" ht="18.95" customHeight="1">
      <c r="F83" s="10"/>
    </row>
  </sheetData>
  <mergeCells count="3">
    <mergeCell ref="D7:F9"/>
    <mergeCell ref="D11:F29"/>
    <mergeCell ref="D31:F31"/>
  </mergeCells>
  <phoneticPr fontId="4" type="noConversion"/>
  <printOptions horizontalCentered="1" verticalCentered="1"/>
  <pageMargins left="0.15748031496062992" right="0.15748031496062992" top="0.39370078740157483" bottom="0.39370078740157483" header="0" footer="0"/>
  <pageSetup paperSize="9" scale="68" orientation="landscape" r:id="rId1"/>
  <colBreaks count="2" manualBreakCount="2">
    <brk id="68" min="2" max="31" man="1"/>
    <brk id="126" min="2" max="31" man="1"/>
  </colBrea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E3:BE108"/>
  <sheetViews>
    <sheetView showGridLines="0" topLeftCell="A77" zoomScaleNormal="100" workbookViewId="0">
      <selection activeCell="AH109" sqref="AH109"/>
    </sheetView>
  </sheetViews>
  <sheetFormatPr defaultColWidth="3.7109375" defaultRowHeight="18.95" customHeight="1"/>
  <cols>
    <col min="1" max="16384" width="3.7109375" style="13"/>
  </cols>
  <sheetData>
    <row r="3" spans="5:6" ht="26.25" customHeight="1">
      <c r="E3" s="1" t="s">
        <v>115</v>
      </c>
    </row>
    <row r="5" spans="5:6" ht="18.95" customHeight="1">
      <c r="F5" s="10" t="s">
        <v>13</v>
      </c>
    </row>
    <row r="37" spans="6:57" ht="18.95" customHeight="1">
      <c r="F37" s="10" t="s">
        <v>14</v>
      </c>
      <c r="G37" s="14"/>
      <c r="H37" s="11"/>
    </row>
    <row r="38" spans="6:57" ht="18.95" customHeight="1">
      <c r="F38" s="10"/>
      <c r="G38" s="10"/>
      <c r="H38" s="11"/>
    </row>
    <row r="39" spans="6:57" s="15" customFormat="1" ht="18.95" customHeight="1">
      <c r="I39" s="16" t="s">
        <v>15</v>
      </c>
      <c r="J39" s="16"/>
      <c r="K39" s="16"/>
      <c r="L39" s="16"/>
      <c r="M39" s="16"/>
      <c r="N39" s="16"/>
      <c r="P39" s="17" t="s">
        <v>16</v>
      </c>
      <c r="Q39" s="17"/>
      <c r="R39" s="17"/>
      <c r="S39" s="17"/>
      <c r="T39" s="17"/>
      <c r="U39" s="17"/>
      <c r="W39" s="17" t="s">
        <v>17</v>
      </c>
      <c r="X39" s="17"/>
      <c r="Y39" s="17"/>
      <c r="Z39" s="17"/>
      <c r="AA39" s="17"/>
      <c r="AB39" s="17"/>
      <c r="AD39" s="17" t="s">
        <v>18</v>
      </c>
      <c r="AE39" s="17"/>
      <c r="AF39" s="17"/>
      <c r="AG39" s="17"/>
      <c r="AH39" s="17"/>
      <c r="AI39" s="17"/>
      <c r="AK39" s="18" t="s">
        <v>19</v>
      </c>
      <c r="AL39" s="18"/>
      <c r="AM39" s="18"/>
      <c r="AN39" s="18"/>
      <c r="AO39" s="18"/>
      <c r="AP39" s="18"/>
      <c r="AQ39" s="18"/>
      <c r="AR39" s="18"/>
      <c r="AS39" s="18"/>
      <c r="AT39" s="18"/>
      <c r="AU39" s="18"/>
      <c r="AV39" s="18"/>
      <c r="AW39" s="18"/>
      <c r="AX39" s="18"/>
      <c r="AY39" s="18"/>
      <c r="AZ39" s="18"/>
      <c r="BA39" s="18"/>
      <c r="BC39" s="18" t="s">
        <v>20</v>
      </c>
      <c r="BD39" s="18"/>
      <c r="BE39" s="18"/>
    </row>
    <row r="40" spans="6:57" ht="9.9499999999999993" customHeight="1"/>
    <row r="41" spans="6:57" ht="18.95" customHeight="1">
      <c r="G41" s="10"/>
      <c r="I41" s="19" t="s">
        <v>21</v>
      </c>
      <c r="J41" s="19"/>
      <c r="K41" s="20"/>
      <c r="L41" s="20"/>
      <c r="M41" s="20"/>
      <c r="N41" s="20"/>
      <c r="P41" s="21" t="s">
        <v>22</v>
      </c>
      <c r="Q41" s="22"/>
      <c r="R41" s="22"/>
      <c r="S41" s="22"/>
      <c r="T41" s="22"/>
      <c r="U41" s="22"/>
      <c r="W41" s="21" t="s">
        <v>23</v>
      </c>
      <c r="X41" s="22"/>
      <c r="Y41" s="21"/>
      <c r="Z41" s="21"/>
      <c r="AA41" s="21"/>
      <c r="AB41" s="21"/>
      <c r="AC41" s="15"/>
      <c r="AD41" s="15"/>
      <c r="AE41" s="23" t="s">
        <v>24</v>
      </c>
      <c r="AF41" s="15"/>
      <c r="AG41" s="15"/>
      <c r="AH41" s="15"/>
      <c r="AI41" s="15"/>
      <c r="AJ41" s="15"/>
      <c r="AK41" s="15"/>
      <c r="AL41" s="15" t="s">
        <v>23</v>
      </c>
      <c r="AM41" s="15"/>
      <c r="AN41" s="15"/>
      <c r="AO41" s="15"/>
      <c r="AP41" s="15"/>
      <c r="AQ41" s="15"/>
      <c r="AR41" s="15"/>
      <c r="AS41" s="13" t="s">
        <v>25</v>
      </c>
      <c r="BC41" s="24" t="s">
        <v>26</v>
      </c>
      <c r="BD41" s="24"/>
      <c r="BE41" s="24"/>
    </row>
    <row r="42" spans="6:57" ht="18.95" customHeight="1">
      <c r="G42" s="10"/>
      <c r="I42" s="20"/>
      <c r="J42" s="20"/>
      <c r="K42" s="20"/>
      <c r="L42" s="20"/>
      <c r="M42" s="20"/>
      <c r="N42" s="20"/>
      <c r="P42" s="21"/>
      <c r="Q42" s="22"/>
      <c r="R42" s="22"/>
      <c r="S42" s="22"/>
      <c r="T42" s="22"/>
      <c r="U42" s="22"/>
      <c r="W42" s="25"/>
      <c r="X42" s="24"/>
      <c r="Y42" s="25"/>
      <c r="Z42" s="25"/>
      <c r="AA42" s="25"/>
      <c r="AB42" s="25"/>
      <c r="AC42" s="15"/>
      <c r="AD42" s="15"/>
      <c r="AE42" s="15"/>
      <c r="AF42" s="15"/>
      <c r="AG42" s="15"/>
      <c r="AH42" s="15"/>
      <c r="AI42" s="15"/>
      <c r="AJ42" s="15"/>
      <c r="AK42" s="15"/>
      <c r="AL42" s="15"/>
      <c r="AM42" s="15"/>
      <c r="AN42" s="15"/>
      <c r="AO42" s="15"/>
      <c r="AP42" s="15"/>
      <c r="AQ42" s="15"/>
      <c r="AR42" s="15"/>
    </row>
    <row r="43" spans="6:57" ht="18.95" customHeight="1">
      <c r="I43" s="20"/>
      <c r="J43" s="20"/>
      <c r="K43" s="20"/>
      <c r="L43" s="20"/>
      <c r="M43" s="20"/>
      <c r="N43" s="20"/>
      <c r="P43" s="21"/>
      <c r="Q43" s="22"/>
      <c r="R43" s="22"/>
      <c r="S43" s="22"/>
      <c r="T43" s="22"/>
      <c r="U43" s="22"/>
      <c r="W43" s="21" t="s">
        <v>27</v>
      </c>
      <c r="X43" s="22"/>
      <c r="Y43" s="21"/>
      <c r="Z43" s="21"/>
      <c r="AA43" s="21"/>
      <c r="AB43" s="21"/>
      <c r="AC43" s="15"/>
      <c r="AD43" s="15"/>
      <c r="AE43" s="23" t="s">
        <v>28</v>
      </c>
      <c r="AF43" s="15"/>
      <c r="AG43" s="15"/>
      <c r="AH43" s="15"/>
      <c r="AI43" s="15"/>
      <c r="AJ43" s="15"/>
      <c r="AK43" s="15"/>
      <c r="AL43" s="15" t="s">
        <v>29</v>
      </c>
      <c r="AM43" s="15"/>
      <c r="AN43" s="15"/>
      <c r="AO43" s="15"/>
      <c r="AP43" s="15"/>
      <c r="AQ43" s="15"/>
      <c r="AR43" s="15"/>
      <c r="AS43" s="13" t="s">
        <v>30</v>
      </c>
      <c r="BC43" s="24" t="s">
        <v>26</v>
      </c>
      <c r="BD43" s="24"/>
      <c r="BE43" s="24"/>
    </row>
    <row r="44" spans="6:57" ht="18.95" customHeight="1">
      <c r="I44" s="20"/>
      <c r="J44" s="20"/>
      <c r="K44" s="20"/>
      <c r="L44" s="20"/>
      <c r="M44" s="20"/>
      <c r="N44" s="20"/>
      <c r="P44" s="21"/>
      <c r="Q44" s="22"/>
      <c r="R44" s="22"/>
      <c r="S44" s="22"/>
      <c r="T44" s="22"/>
      <c r="U44" s="22"/>
      <c r="W44" s="21"/>
      <c r="X44" s="22"/>
      <c r="Y44" s="21"/>
      <c r="Z44" s="21"/>
      <c r="AA44" s="21"/>
      <c r="AB44" s="21"/>
      <c r="AC44" s="15"/>
      <c r="AD44" s="15"/>
      <c r="AE44" s="15"/>
      <c r="AF44" s="15"/>
      <c r="AG44" s="15"/>
      <c r="AH44" s="15"/>
      <c r="AI44" s="15"/>
      <c r="AJ44" s="15"/>
      <c r="AK44" s="15"/>
      <c r="AL44" s="15" t="s">
        <v>31</v>
      </c>
      <c r="AM44" s="15"/>
      <c r="AN44" s="15"/>
      <c r="AO44" s="15"/>
      <c r="AP44" s="15"/>
      <c r="AQ44" s="15"/>
      <c r="AR44" s="15"/>
      <c r="BC44" s="24" t="s">
        <v>26</v>
      </c>
      <c r="BD44" s="24"/>
      <c r="BE44" s="24"/>
    </row>
    <row r="45" spans="6:57" ht="18.95" customHeight="1">
      <c r="G45" s="10"/>
      <c r="I45" s="20"/>
      <c r="J45" s="20"/>
      <c r="K45" s="20"/>
      <c r="L45" s="20"/>
      <c r="M45" s="20"/>
      <c r="N45" s="20"/>
      <c r="P45" s="21"/>
      <c r="Q45" s="22"/>
      <c r="R45" s="22"/>
      <c r="S45" s="22"/>
      <c r="T45" s="22"/>
      <c r="U45" s="22"/>
      <c r="W45" s="21"/>
      <c r="X45" s="22"/>
      <c r="Y45" s="21"/>
      <c r="Z45" s="21"/>
      <c r="AA45" s="21"/>
      <c r="AB45" s="21"/>
      <c r="AC45" s="15"/>
      <c r="AD45" s="15"/>
      <c r="AE45" s="15"/>
      <c r="AF45" s="15"/>
      <c r="AG45" s="15"/>
      <c r="AH45" s="15"/>
      <c r="AI45" s="15"/>
      <c r="AJ45" s="15"/>
      <c r="AK45" s="15"/>
      <c r="AL45" s="15" t="s">
        <v>32</v>
      </c>
      <c r="AM45" s="15"/>
      <c r="AN45" s="15"/>
      <c r="AO45" s="15"/>
      <c r="AP45" s="15"/>
      <c r="AQ45" s="15"/>
      <c r="AR45" s="15"/>
      <c r="AS45" s="13" t="s">
        <v>33</v>
      </c>
      <c r="BC45" s="24" t="s">
        <v>26</v>
      </c>
      <c r="BD45" s="24"/>
      <c r="BE45" s="24"/>
    </row>
    <row r="46" spans="6:57" ht="18.95" customHeight="1">
      <c r="I46" s="20"/>
      <c r="J46" s="20"/>
      <c r="K46" s="20"/>
      <c r="L46" s="20"/>
      <c r="M46" s="20"/>
      <c r="N46" s="20"/>
      <c r="P46" s="21"/>
      <c r="Q46" s="22"/>
      <c r="R46" s="22"/>
      <c r="S46" s="22"/>
      <c r="T46" s="22"/>
      <c r="U46" s="22"/>
      <c r="W46" s="21"/>
      <c r="X46" s="22"/>
      <c r="Y46" s="21"/>
      <c r="Z46" s="21"/>
      <c r="AA46" s="21"/>
      <c r="AB46" s="21"/>
      <c r="AC46" s="15"/>
      <c r="AD46" s="15"/>
      <c r="AE46" s="15"/>
      <c r="AF46" s="15"/>
      <c r="AG46" s="15"/>
      <c r="AH46" s="15"/>
      <c r="AI46" s="15"/>
      <c r="AJ46" s="15"/>
      <c r="AK46" s="15"/>
      <c r="AL46" s="15" t="s">
        <v>34</v>
      </c>
      <c r="AM46" s="15"/>
      <c r="AN46" s="15"/>
      <c r="AO46" s="15"/>
      <c r="AP46" s="15"/>
      <c r="AQ46" s="15"/>
      <c r="AR46" s="15"/>
    </row>
    <row r="47" spans="6:57" ht="18.95" customHeight="1">
      <c r="I47" s="20"/>
      <c r="J47" s="20"/>
      <c r="K47" s="20"/>
      <c r="L47" s="20"/>
      <c r="M47" s="20"/>
      <c r="N47" s="20"/>
      <c r="P47" s="21"/>
      <c r="Q47" s="22"/>
      <c r="R47" s="22"/>
      <c r="S47" s="22"/>
      <c r="T47" s="22"/>
      <c r="U47" s="22"/>
      <c r="W47" s="21"/>
      <c r="X47" s="22"/>
      <c r="Y47" s="21"/>
      <c r="Z47" s="21"/>
      <c r="AA47" s="21"/>
      <c r="AB47" s="21"/>
      <c r="AC47" s="15"/>
      <c r="AD47" s="15"/>
      <c r="AE47" s="15" t="s">
        <v>35</v>
      </c>
      <c r="AF47" s="15"/>
      <c r="AG47" s="15"/>
      <c r="AH47" s="15"/>
      <c r="AI47" s="15"/>
      <c r="AJ47" s="15"/>
      <c r="AK47" s="15"/>
      <c r="AL47" s="15" t="s">
        <v>36</v>
      </c>
      <c r="AM47" s="15"/>
      <c r="AN47" s="15"/>
      <c r="AO47" s="15"/>
      <c r="AP47" s="15"/>
      <c r="AQ47" s="15"/>
      <c r="AR47" s="15"/>
      <c r="BC47" s="24" t="s">
        <v>26</v>
      </c>
      <c r="BD47" s="24"/>
      <c r="BE47" s="24"/>
    </row>
    <row r="48" spans="6:57" ht="18.95" customHeight="1">
      <c r="I48" s="20"/>
      <c r="J48" s="20"/>
      <c r="K48" s="20"/>
      <c r="L48" s="20"/>
      <c r="M48" s="20"/>
      <c r="N48" s="20"/>
      <c r="P48" s="21"/>
      <c r="Q48" s="22"/>
      <c r="R48" s="22"/>
      <c r="S48" s="22"/>
      <c r="T48" s="22"/>
      <c r="U48" s="22"/>
      <c r="W48" s="21"/>
      <c r="X48" s="22"/>
      <c r="Y48" s="21"/>
      <c r="Z48" s="21"/>
      <c r="AA48" s="21"/>
      <c r="AB48" s="21"/>
      <c r="AC48" s="15"/>
      <c r="AD48" s="15"/>
      <c r="AE48" s="23" t="s">
        <v>37</v>
      </c>
      <c r="AF48" s="15"/>
      <c r="AG48" s="15"/>
      <c r="AH48" s="15"/>
      <c r="AI48" s="15"/>
      <c r="AJ48" s="15"/>
      <c r="AK48" s="15"/>
      <c r="AL48" s="15" t="s">
        <v>38</v>
      </c>
      <c r="AM48" s="15"/>
      <c r="AN48" s="15"/>
      <c r="AO48" s="15"/>
      <c r="AP48" s="15"/>
      <c r="AQ48" s="15"/>
      <c r="AR48" s="15"/>
      <c r="BC48" s="24" t="s">
        <v>26</v>
      </c>
      <c r="BD48" s="24"/>
      <c r="BE48" s="24"/>
    </row>
    <row r="49" spans="9:57" ht="18.95" customHeight="1">
      <c r="I49" s="20"/>
      <c r="J49" s="20"/>
      <c r="K49" s="20"/>
      <c r="L49" s="20"/>
      <c r="M49" s="20"/>
      <c r="N49" s="20"/>
      <c r="P49" s="21"/>
      <c r="Q49" s="22"/>
      <c r="R49" s="22"/>
      <c r="S49" s="22"/>
      <c r="T49" s="22"/>
      <c r="U49" s="22"/>
      <c r="W49" s="21"/>
      <c r="X49" s="22"/>
      <c r="Y49" s="21"/>
      <c r="Z49" s="21"/>
      <c r="AA49" s="21"/>
      <c r="AB49" s="21"/>
      <c r="AC49" s="15"/>
      <c r="AD49" s="15"/>
      <c r="AE49" s="15"/>
      <c r="AF49" s="15"/>
      <c r="AG49" s="15"/>
      <c r="AH49" s="15"/>
      <c r="AI49" s="15"/>
      <c r="AJ49" s="15"/>
      <c r="AK49" s="15"/>
      <c r="AL49" s="15" t="s">
        <v>39</v>
      </c>
      <c r="AM49" s="15"/>
      <c r="AN49" s="15"/>
      <c r="AO49" s="15"/>
      <c r="AP49" s="15"/>
      <c r="AQ49" s="15"/>
      <c r="AR49" s="15"/>
      <c r="BC49" s="24" t="s">
        <v>26</v>
      </c>
      <c r="BD49" s="24"/>
      <c r="BE49" s="24"/>
    </row>
    <row r="50" spans="9:57" ht="18.95" customHeight="1">
      <c r="I50" s="20"/>
      <c r="J50" s="20"/>
      <c r="K50" s="20"/>
      <c r="L50" s="20"/>
      <c r="M50" s="20"/>
      <c r="N50" s="20"/>
      <c r="P50" s="21"/>
      <c r="Q50" s="22"/>
      <c r="R50" s="22"/>
      <c r="S50" s="22"/>
      <c r="T50" s="22"/>
      <c r="U50" s="22"/>
      <c r="W50" s="25"/>
      <c r="X50" s="24"/>
      <c r="Y50" s="25"/>
      <c r="Z50" s="25"/>
      <c r="AA50" s="25"/>
      <c r="AB50" s="25"/>
      <c r="AC50" s="15"/>
      <c r="AD50" s="15"/>
      <c r="AE50" s="15"/>
      <c r="AF50" s="15"/>
      <c r="AG50" s="15"/>
      <c r="AH50" s="15"/>
      <c r="AI50" s="15"/>
      <c r="AJ50" s="15"/>
      <c r="AK50" s="15"/>
      <c r="AL50" s="15"/>
      <c r="AM50" s="15"/>
      <c r="AN50" s="15"/>
      <c r="AO50" s="15"/>
      <c r="AP50" s="15"/>
      <c r="AQ50" s="15"/>
      <c r="AR50" s="15"/>
    </row>
    <row r="51" spans="9:57" ht="18.95" customHeight="1">
      <c r="I51" s="20"/>
      <c r="J51" s="20"/>
      <c r="K51" s="20"/>
      <c r="L51" s="20"/>
      <c r="M51" s="20"/>
      <c r="N51" s="20"/>
      <c r="P51" s="21"/>
      <c r="Q51" s="22"/>
      <c r="R51" s="22"/>
      <c r="S51" s="22"/>
      <c r="T51" s="22"/>
      <c r="U51" s="22"/>
      <c r="W51" s="21" t="s">
        <v>40</v>
      </c>
      <c r="X51" s="22"/>
      <c r="Y51" s="21"/>
      <c r="Z51" s="21"/>
      <c r="AA51" s="21"/>
      <c r="AB51" s="21"/>
      <c r="AC51" s="15"/>
      <c r="AD51" s="15"/>
      <c r="AE51" s="23" t="s">
        <v>41</v>
      </c>
      <c r="AF51" s="15"/>
      <c r="AG51" s="15"/>
      <c r="AH51" s="15"/>
      <c r="AI51" s="15"/>
      <c r="AJ51" s="15"/>
      <c r="AK51" s="15"/>
      <c r="AL51" s="15" t="s">
        <v>42</v>
      </c>
      <c r="AM51" s="15"/>
      <c r="AN51" s="15"/>
      <c r="AO51" s="15"/>
      <c r="AP51" s="15"/>
      <c r="AQ51" s="15"/>
      <c r="AR51" s="15"/>
      <c r="AS51" s="13" t="s">
        <v>43</v>
      </c>
      <c r="BC51" s="24" t="s">
        <v>26</v>
      </c>
      <c r="BD51" s="24"/>
      <c r="BE51" s="24"/>
    </row>
    <row r="52" spans="9:57" ht="18.95" customHeight="1">
      <c r="I52" s="20"/>
      <c r="J52" s="20"/>
      <c r="K52" s="20"/>
      <c r="L52" s="20"/>
      <c r="M52" s="20"/>
      <c r="N52" s="20"/>
      <c r="P52" s="21"/>
      <c r="Q52" s="22"/>
      <c r="R52" s="22"/>
      <c r="S52" s="22"/>
      <c r="T52" s="22"/>
      <c r="U52" s="22"/>
      <c r="W52" s="21"/>
      <c r="X52" s="22"/>
      <c r="Y52" s="21"/>
      <c r="Z52" s="21"/>
      <c r="AA52" s="21"/>
      <c r="AB52" s="21"/>
      <c r="AC52" s="15"/>
      <c r="AD52" s="15"/>
      <c r="AE52" s="15"/>
      <c r="AF52" s="15"/>
      <c r="AG52" s="15"/>
      <c r="AH52" s="15"/>
      <c r="AI52" s="15"/>
      <c r="AJ52" s="15"/>
      <c r="AK52" s="15"/>
      <c r="AL52" s="15" t="s">
        <v>44</v>
      </c>
      <c r="AM52" s="15"/>
      <c r="AN52" s="15"/>
      <c r="AO52" s="15"/>
      <c r="AP52" s="15"/>
      <c r="AQ52" s="15"/>
      <c r="AR52" s="15"/>
      <c r="BC52" s="24" t="s">
        <v>26</v>
      </c>
      <c r="BD52" s="24"/>
      <c r="BE52" s="24"/>
    </row>
    <row r="53" spans="9:57" ht="18.95" customHeight="1">
      <c r="I53" s="20"/>
      <c r="J53" s="20"/>
      <c r="K53" s="20"/>
      <c r="L53" s="20"/>
      <c r="M53" s="20"/>
      <c r="N53" s="20"/>
      <c r="P53" s="21"/>
      <c r="Q53" s="22"/>
      <c r="R53" s="22"/>
      <c r="S53" s="22"/>
      <c r="T53" s="22"/>
      <c r="U53" s="22"/>
      <c r="W53" s="21"/>
      <c r="X53" s="22"/>
      <c r="Y53" s="21"/>
      <c r="Z53" s="21"/>
      <c r="AA53" s="21"/>
      <c r="AB53" s="21"/>
      <c r="AC53" s="15"/>
      <c r="AD53" s="15"/>
      <c r="AE53" s="15"/>
      <c r="AF53" s="15"/>
      <c r="AG53" s="15"/>
      <c r="AH53" s="15"/>
      <c r="AI53" s="15"/>
      <c r="AJ53" s="15"/>
      <c r="AK53" s="15"/>
      <c r="AL53" s="15" t="s">
        <v>45</v>
      </c>
      <c r="AM53" s="15"/>
      <c r="AN53" s="15"/>
      <c r="AO53" s="15"/>
      <c r="AP53" s="15"/>
      <c r="AQ53" s="15"/>
      <c r="AR53" s="15"/>
      <c r="AS53" s="13" t="s">
        <v>46</v>
      </c>
      <c r="BC53" s="24" t="s">
        <v>26</v>
      </c>
      <c r="BD53" s="24"/>
      <c r="BE53" s="24"/>
    </row>
    <row r="54" spans="9:57" ht="18.95" customHeight="1">
      <c r="I54" s="20"/>
      <c r="J54" s="20"/>
      <c r="K54" s="20"/>
      <c r="L54" s="20"/>
      <c r="M54" s="20"/>
      <c r="N54" s="20"/>
      <c r="P54" s="21"/>
      <c r="Q54" s="22"/>
      <c r="R54" s="22"/>
      <c r="S54" s="22"/>
      <c r="T54" s="22"/>
      <c r="U54" s="22"/>
      <c r="W54" s="21"/>
      <c r="X54" s="22"/>
      <c r="Y54" s="21"/>
      <c r="Z54" s="21"/>
      <c r="AA54" s="21"/>
      <c r="AB54" s="21"/>
      <c r="AC54" s="15"/>
      <c r="AD54" s="15"/>
      <c r="AE54" s="15"/>
      <c r="AF54" s="15"/>
      <c r="AG54" s="15"/>
      <c r="AH54" s="15"/>
      <c r="AI54" s="15"/>
      <c r="AJ54" s="15"/>
      <c r="AK54" s="15"/>
      <c r="AL54" s="15" t="s">
        <v>34</v>
      </c>
      <c r="AM54" s="15"/>
      <c r="AN54" s="15"/>
      <c r="AO54" s="15"/>
      <c r="AP54" s="15"/>
      <c r="AQ54" s="15"/>
      <c r="AR54" s="15"/>
    </row>
    <row r="55" spans="9:57" ht="18.95" customHeight="1">
      <c r="I55" s="20"/>
      <c r="J55" s="20"/>
      <c r="K55" s="20"/>
      <c r="L55" s="20"/>
      <c r="M55" s="20"/>
      <c r="N55" s="20"/>
      <c r="P55" s="21"/>
      <c r="Q55" s="22"/>
      <c r="R55" s="22"/>
      <c r="S55" s="22"/>
      <c r="T55" s="22"/>
      <c r="U55" s="22"/>
      <c r="W55" s="21"/>
      <c r="X55" s="22"/>
      <c r="Y55" s="21"/>
      <c r="Z55" s="21"/>
      <c r="AA55" s="21"/>
      <c r="AB55" s="21"/>
      <c r="AC55" s="15"/>
      <c r="AD55" s="15"/>
      <c r="AE55" s="15" t="s">
        <v>35</v>
      </c>
      <c r="AF55" s="15"/>
      <c r="AG55" s="15"/>
      <c r="AH55" s="15"/>
      <c r="AI55" s="15"/>
      <c r="AJ55" s="15"/>
      <c r="AK55" s="15"/>
      <c r="AL55" s="15" t="s">
        <v>47</v>
      </c>
      <c r="AM55" s="15"/>
      <c r="AN55" s="15"/>
      <c r="AO55" s="15"/>
      <c r="AP55" s="15"/>
      <c r="AQ55" s="15"/>
      <c r="AR55" s="15"/>
      <c r="BC55" s="24" t="s">
        <v>26</v>
      </c>
      <c r="BD55" s="24"/>
      <c r="BE55" s="24"/>
    </row>
    <row r="56" spans="9:57" ht="18.95" customHeight="1">
      <c r="I56" s="20"/>
      <c r="J56" s="20"/>
      <c r="K56" s="20"/>
      <c r="L56" s="20"/>
      <c r="M56" s="20"/>
      <c r="N56" s="20"/>
      <c r="P56" s="21"/>
      <c r="Q56" s="22"/>
      <c r="R56" s="22"/>
      <c r="S56" s="22"/>
      <c r="T56" s="22"/>
      <c r="U56" s="22"/>
      <c r="W56" s="21"/>
      <c r="X56" s="22"/>
      <c r="Y56" s="21"/>
      <c r="Z56" s="21"/>
      <c r="AA56" s="21"/>
      <c r="AB56" s="21"/>
      <c r="AC56" s="15"/>
      <c r="AD56" s="15"/>
      <c r="AE56" s="15"/>
      <c r="AF56" s="15"/>
      <c r="AG56" s="15"/>
      <c r="AH56" s="15"/>
      <c r="AI56" s="15"/>
      <c r="AJ56" s="15"/>
      <c r="AK56" s="15"/>
      <c r="AL56" s="15" t="s">
        <v>48</v>
      </c>
      <c r="AM56" s="15"/>
      <c r="AN56" s="15"/>
      <c r="AO56" s="15"/>
      <c r="AP56" s="15"/>
      <c r="AQ56" s="15"/>
      <c r="AR56" s="15"/>
      <c r="BC56" s="24" t="s">
        <v>26</v>
      </c>
      <c r="BD56" s="24"/>
      <c r="BE56" s="24"/>
    </row>
    <row r="57" spans="9:57" ht="18.95" customHeight="1">
      <c r="I57" s="20"/>
      <c r="J57" s="20"/>
      <c r="K57" s="20"/>
      <c r="L57" s="20"/>
      <c r="M57" s="20"/>
      <c r="N57" s="20"/>
      <c r="P57" s="21"/>
      <c r="Q57" s="22"/>
      <c r="R57" s="22"/>
      <c r="S57" s="22"/>
      <c r="T57" s="22"/>
      <c r="U57" s="22"/>
      <c r="W57" s="21"/>
      <c r="X57" s="22"/>
      <c r="Y57" s="21"/>
      <c r="Z57" s="21"/>
      <c r="AA57" s="21"/>
      <c r="AB57" s="21"/>
      <c r="AC57" s="15"/>
      <c r="AD57" s="15"/>
      <c r="AE57" s="15"/>
      <c r="AF57" s="15"/>
      <c r="AG57" s="15"/>
      <c r="AH57" s="15"/>
      <c r="AI57" s="15"/>
      <c r="AJ57" s="15"/>
      <c r="AK57" s="15"/>
      <c r="AL57" s="15" t="s">
        <v>49</v>
      </c>
      <c r="AM57" s="15"/>
      <c r="AN57" s="15"/>
      <c r="AO57" s="15"/>
      <c r="AP57" s="15"/>
      <c r="AQ57" s="15"/>
      <c r="AR57" s="15"/>
      <c r="BC57" s="24" t="s">
        <v>26</v>
      </c>
      <c r="BD57" s="24"/>
      <c r="BE57" s="24"/>
    </row>
    <row r="58" spans="9:57" ht="9.9499999999999993" customHeight="1">
      <c r="I58" s="20"/>
      <c r="J58" s="20"/>
      <c r="K58" s="20"/>
      <c r="L58" s="20"/>
      <c r="M58" s="20"/>
      <c r="N58" s="20"/>
      <c r="P58" s="21"/>
      <c r="Q58" s="22"/>
      <c r="R58" s="22"/>
      <c r="S58" s="22"/>
      <c r="T58" s="22"/>
      <c r="U58" s="22"/>
      <c r="W58" s="21"/>
      <c r="X58" s="22"/>
      <c r="Y58" s="21"/>
      <c r="Z58" s="21"/>
      <c r="AA58" s="21"/>
      <c r="AB58" s="21"/>
      <c r="AC58" s="15"/>
      <c r="AD58" s="15"/>
      <c r="AE58" s="15"/>
      <c r="AF58" s="15"/>
      <c r="AG58" s="15"/>
      <c r="AH58" s="15"/>
      <c r="AI58" s="15"/>
      <c r="AJ58" s="15"/>
      <c r="AK58" s="15"/>
      <c r="AL58" s="15"/>
      <c r="AM58" s="15"/>
      <c r="AN58" s="15"/>
      <c r="AO58" s="15"/>
      <c r="AP58" s="15"/>
      <c r="AQ58" s="15"/>
      <c r="AR58" s="15"/>
    </row>
    <row r="59" spans="9:57" ht="9.9499999999999993" customHeight="1">
      <c r="I59" s="20"/>
      <c r="J59" s="20"/>
      <c r="K59" s="20"/>
      <c r="L59" s="20"/>
      <c r="M59" s="20"/>
      <c r="N59" s="20"/>
      <c r="P59" s="25"/>
      <c r="Q59" s="24"/>
      <c r="R59" s="24"/>
      <c r="S59" s="24"/>
      <c r="T59" s="24"/>
      <c r="U59" s="24"/>
      <c r="W59" s="25"/>
      <c r="X59" s="24"/>
      <c r="Y59" s="25"/>
      <c r="Z59" s="25"/>
      <c r="AA59" s="25"/>
      <c r="AB59" s="25"/>
      <c r="AC59" s="15"/>
      <c r="AD59" s="15"/>
      <c r="AE59" s="15"/>
      <c r="AF59" s="15"/>
      <c r="AG59" s="15"/>
      <c r="AH59" s="15"/>
      <c r="AI59" s="15"/>
      <c r="AJ59" s="15"/>
      <c r="AK59" s="15"/>
      <c r="AL59" s="15"/>
      <c r="AM59" s="15"/>
      <c r="AN59" s="15"/>
      <c r="AO59" s="15"/>
      <c r="AP59" s="15"/>
      <c r="AQ59" s="15"/>
      <c r="AR59" s="15"/>
    </row>
    <row r="60" spans="9:57" ht="9.9499999999999993" customHeight="1">
      <c r="I60" s="20"/>
      <c r="J60" s="20"/>
      <c r="K60" s="20"/>
      <c r="L60" s="20"/>
      <c r="M60" s="20"/>
      <c r="N60" s="20"/>
      <c r="P60" s="21"/>
      <c r="Q60" s="22"/>
      <c r="R60" s="22"/>
      <c r="S60" s="22"/>
      <c r="T60" s="22"/>
      <c r="U60" s="22"/>
      <c r="W60" s="26"/>
      <c r="X60" s="27"/>
      <c r="Y60" s="27"/>
      <c r="Z60" s="27"/>
      <c r="AA60" s="27"/>
      <c r="AB60" s="27"/>
      <c r="AC60" s="15"/>
      <c r="AD60" s="15"/>
      <c r="AE60" s="15"/>
      <c r="AF60" s="15"/>
      <c r="AG60" s="15"/>
      <c r="AH60" s="15"/>
      <c r="AI60" s="15"/>
      <c r="AJ60" s="15"/>
      <c r="AK60" s="15"/>
      <c r="AL60" s="15"/>
      <c r="AM60" s="15"/>
      <c r="AN60" s="15"/>
      <c r="AO60" s="15"/>
      <c r="AP60" s="15"/>
      <c r="AQ60" s="15"/>
      <c r="AR60" s="15"/>
    </row>
    <row r="61" spans="9:57" ht="18.95" customHeight="1">
      <c r="I61" s="20"/>
      <c r="J61" s="20"/>
      <c r="K61" s="20"/>
      <c r="L61" s="20"/>
      <c r="M61" s="20"/>
      <c r="N61" s="20"/>
      <c r="P61" s="21" t="s">
        <v>50</v>
      </c>
      <c r="Q61" s="22"/>
      <c r="R61" s="22"/>
      <c r="S61" s="22"/>
      <c r="T61" s="22"/>
      <c r="U61" s="22"/>
      <c r="W61" s="26" t="s">
        <v>51</v>
      </c>
      <c r="X61" s="27"/>
      <c r="Y61" s="27"/>
      <c r="Z61" s="27"/>
      <c r="AA61" s="27"/>
      <c r="AB61" s="27"/>
      <c r="AC61" s="23"/>
      <c r="AD61" s="23"/>
      <c r="AE61" s="23" t="s">
        <v>24</v>
      </c>
      <c r="AF61" s="23"/>
      <c r="AG61" s="23"/>
      <c r="AH61" s="23"/>
      <c r="AI61" s="15"/>
      <c r="AJ61" s="15"/>
      <c r="AK61" s="15"/>
      <c r="AL61" s="28" t="s">
        <v>52</v>
      </c>
      <c r="AM61" s="15"/>
      <c r="AN61" s="15"/>
      <c r="AO61" s="15"/>
      <c r="AP61" s="15"/>
      <c r="AQ61" s="15"/>
      <c r="AR61" s="15"/>
      <c r="AS61" s="28" t="s">
        <v>53</v>
      </c>
    </row>
    <row r="62" spans="9:57" ht="9.9499999999999993" customHeight="1">
      <c r="I62" s="20"/>
      <c r="J62" s="20"/>
      <c r="K62" s="20"/>
      <c r="L62" s="20"/>
      <c r="M62" s="20"/>
      <c r="N62" s="20"/>
      <c r="P62" s="21"/>
      <c r="Q62" s="22"/>
      <c r="R62" s="22"/>
      <c r="S62" s="22"/>
      <c r="T62" s="22"/>
      <c r="U62" s="22"/>
      <c r="W62" s="26"/>
      <c r="X62" s="27"/>
      <c r="Y62" s="27"/>
      <c r="Z62" s="27"/>
      <c r="AA62" s="27"/>
      <c r="AB62" s="27"/>
      <c r="AC62" s="15"/>
      <c r="AD62" s="15"/>
      <c r="AE62" s="15"/>
      <c r="AF62" s="15"/>
      <c r="AG62" s="15"/>
      <c r="AH62" s="15"/>
      <c r="AI62" s="15"/>
      <c r="AJ62" s="15"/>
      <c r="AK62" s="15"/>
      <c r="AL62" s="15"/>
      <c r="AM62" s="15"/>
      <c r="AN62" s="15"/>
      <c r="AO62" s="15"/>
      <c r="AP62" s="15"/>
      <c r="AQ62" s="15"/>
      <c r="AR62" s="15"/>
    </row>
    <row r="63" spans="9:57" ht="9.9499999999999993" customHeight="1">
      <c r="I63" s="20"/>
      <c r="J63" s="20"/>
      <c r="K63" s="20"/>
      <c r="L63" s="20"/>
      <c r="M63" s="20"/>
      <c r="N63" s="20"/>
      <c r="P63" s="21"/>
      <c r="Q63" s="22"/>
      <c r="R63" s="22"/>
      <c r="S63" s="22"/>
      <c r="T63" s="22"/>
      <c r="U63" s="22"/>
      <c r="W63" s="25"/>
      <c r="X63" s="24"/>
      <c r="Y63" s="24"/>
      <c r="Z63" s="24"/>
      <c r="AA63" s="24"/>
      <c r="AB63" s="24"/>
      <c r="AC63" s="15"/>
      <c r="AD63" s="15"/>
      <c r="AE63" s="15"/>
      <c r="AF63" s="15"/>
      <c r="AG63" s="15"/>
      <c r="AH63" s="15"/>
      <c r="AI63" s="15"/>
      <c r="AJ63" s="15"/>
      <c r="AK63" s="15"/>
      <c r="AL63" s="15"/>
      <c r="AM63" s="15"/>
      <c r="AN63" s="15"/>
      <c r="AO63" s="15"/>
      <c r="AP63" s="15"/>
      <c r="AQ63" s="15"/>
      <c r="AR63" s="15"/>
    </row>
    <row r="64" spans="9:57" ht="9.9499999999999993" customHeight="1">
      <c r="I64" s="20"/>
      <c r="J64" s="20"/>
      <c r="K64" s="20"/>
      <c r="L64" s="20"/>
      <c r="M64" s="20"/>
      <c r="N64" s="20"/>
      <c r="P64" s="21"/>
      <c r="Q64" s="22"/>
      <c r="R64" s="22"/>
      <c r="S64" s="22"/>
      <c r="T64" s="22"/>
      <c r="U64" s="22"/>
      <c r="W64" s="26"/>
      <c r="X64" s="27"/>
      <c r="Y64" s="27"/>
      <c r="Z64" s="27"/>
      <c r="AA64" s="27"/>
      <c r="AB64" s="27"/>
      <c r="AC64" s="15"/>
      <c r="AD64" s="15"/>
      <c r="AE64" s="15"/>
      <c r="AF64" s="15"/>
      <c r="AG64" s="15"/>
      <c r="AH64" s="15"/>
      <c r="AI64" s="15"/>
      <c r="AJ64" s="15"/>
      <c r="AK64" s="15"/>
      <c r="AL64" s="15"/>
      <c r="AM64" s="15"/>
      <c r="AN64" s="15"/>
      <c r="AO64" s="15"/>
      <c r="AP64" s="15"/>
      <c r="AQ64" s="15"/>
      <c r="AR64" s="15"/>
    </row>
    <row r="65" spans="9:57" ht="18.95" customHeight="1">
      <c r="I65" s="20"/>
      <c r="J65" s="20"/>
      <c r="K65" s="20"/>
      <c r="L65" s="20"/>
      <c r="M65" s="20"/>
      <c r="N65" s="20"/>
      <c r="P65" s="21"/>
      <c r="Q65" s="22"/>
      <c r="R65" s="22"/>
      <c r="S65" s="22"/>
      <c r="T65" s="22"/>
      <c r="U65" s="22"/>
      <c r="W65" s="26" t="s">
        <v>54</v>
      </c>
      <c r="X65" s="27"/>
      <c r="Y65" s="27"/>
      <c r="Z65" s="27"/>
      <c r="AA65" s="27"/>
      <c r="AB65" s="27"/>
      <c r="AC65" s="23"/>
      <c r="AD65" s="23"/>
      <c r="AE65" s="23" t="s">
        <v>24</v>
      </c>
      <c r="AF65" s="23"/>
      <c r="AG65" s="23"/>
      <c r="AH65" s="23"/>
      <c r="AI65" s="15"/>
      <c r="AJ65" s="15"/>
      <c r="AK65" s="15"/>
      <c r="AL65" s="28" t="s">
        <v>55</v>
      </c>
      <c r="AM65" s="15"/>
      <c r="AN65" s="15"/>
      <c r="AO65" s="15"/>
      <c r="AP65" s="15"/>
      <c r="AQ65" s="15"/>
      <c r="AR65" s="15"/>
      <c r="AS65" s="28" t="s">
        <v>53</v>
      </c>
    </row>
    <row r="66" spans="9:57" ht="9.9499999999999993" customHeight="1">
      <c r="I66" s="20"/>
      <c r="J66" s="20"/>
      <c r="K66" s="20"/>
      <c r="L66" s="20"/>
      <c r="M66" s="20"/>
      <c r="N66" s="20"/>
      <c r="P66" s="21"/>
      <c r="Q66" s="22"/>
      <c r="R66" s="22"/>
      <c r="S66" s="22"/>
      <c r="T66" s="22"/>
      <c r="U66" s="22"/>
      <c r="W66" s="26"/>
      <c r="X66" s="27"/>
      <c r="Y66" s="27"/>
      <c r="Z66" s="27"/>
      <c r="AA66" s="27"/>
      <c r="AB66" s="27"/>
      <c r="AC66" s="23"/>
      <c r="AD66" s="23"/>
      <c r="AE66" s="23"/>
      <c r="AF66" s="23"/>
      <c r="AG66" s="23"/>
      <c r="AH66" s="23"/>
      <c r="AI66" s="15"/>
      <c r="AJ66" s="15"/>
      <c r="AK66" s="15"/>
      <c r="AL66" s="28"/>
      <c r="AM66" s="15"/>
      <c r="AN66" s="15"/>
      <c r="AO66" s="15"/>
      <c r="AP66" s="15"/>
      <c r="AQ66" s="15"/>
      <c r="AR66" s="15"/>
    </row>
    <row r="67" spans="9:57" ht="9.9499999999999993" customHeight="1">
      <c r="X67" s="29"/>
      <c r="Y67" s="29"/>
      <c r="Z67" s="29"/>
      <c r="AA67" s="29"/>
      <c r="AB67" s="29"/>
      <c r="AC67" s="29"/>
      <c r="AD67" s="29"/>
      <c r="AE67" s="29"/>
      <c r="AF67" s="29"/>
      <c r="AG67" s="29"/>
      <c r="AH67" s="29"/>
    </row>
    <row r="68" spans="9:57" ht="9.9499999999999993" customHeight="1">
      <c r="X68" s="29"/>
      <c r="Y68" s="29"/>
      <c r="Z68" s="29"/>
      <c r="AA68" s="29"/>
      <c r="AB68" s="29"/>
      <c r="AC68" s="29"/>
      <c r="AD68" s="29"/>
      <c r="AE68" s="29"/>
      <c r="AF68" s="29"/>
      <c r="AG68" s="29"/>
      <c r="AH68" s="29"/>
    </row>
    <row r="69" spans="9:57" ht="18.95" customHeight="1">
      <c r="I69" s="19" t="s">
        <v>56</v>
      </c>
      <c r="J69" s="19"/>
      <c r="K69" s="20"/>
      <c r="L69" s="20"/>
      <c r="M69" s="20"/>
      <c r="N69" s="20"/>
      <c r="P69" s="30" t="s">
        <v>24</v>
      </c>
      <c r="Q69" s="31"/>
      <c r="R69" s="31"/>
      <c r="S69" s="31"/>
      <c r="T69" s="31"/>
      <c r="U69" s="31"/>
      <c r="V69" s="31"/>
      <c r="W69" s="31"/>
      <c r="X69" s="31"/>
      <c r="Y69" s="31"/>
      <c r="Z69" s="31"/>
      <c r="AA69" s="31"/>
      <c r="AB69" s="31"/>
      <c r="AC69" s="31"/>
      <c r="AD69" s="31"/>
      <c r="AE69" s="31"/>
      <c r="AF69" s="31"/>
      <c r="AG69" s="31"/>
      <c r="AH69" s="31"/>
      <c r="AI69" s="31"/>
      <c r="AL69" s="13" t="s">
        <v>57</v>
      </c>
      <c r="AS69" s="28" t="s">
        <v>58</v>
      </c>
      <c r="BC69" s="24" t="s">
        <v>59</v>
      </c>
      <c r="BD69" s="24"/>
      <c r="BE69" s="24"/>
    </row>
    <row r="70" spans="9:57" ht="5.0999999999999996" customHeight="1">
      <c r="I70" s="19"/>
      <c r="J70" s="19"/>
      <c r="K70" s="20"/>
      <c r="L70" s="20"/>
      <c r="M70" s="20"/>
      <c r="N70" s="20"/>
      <c r="P70" s="30"/>
      <c r="Q70" s="31"/>
      <c r="R70" s="31"/>
      <c r="S70" s="31"/>
      <c r="T70" s="31"/>
      <c r="U70" s="31"/>
      <c r="V70" s="31"/>
      <c r="W70" s="31"/>
      <c r="X70" s="31"/>
      <c r="Y70" s="31"/>
      <c r="Z70" s="31"/>
      <c r="AA70" s="31"/>
      <c r="AB70" s="31"/>
      <c r="AC70" s="31"/>
      <c r="AD70" s="31"/>
      <c r="AE70" s="31"/>
      <c r="AF70" s="31"/>
      <c r="AG70" s="31"/>
      <c r="AH70" s="31"/>
      <c r="AI70" s="31"/>
      <c r="AS70" s="28"/>
      <c r="BC70" s="24"/>
      <c r="BD70" s="24"/>
      <c r="BE70" s="24"/>
    </row>
    <row r="71" spans="9:57" ht="18.95" customHeight="1">
      <c r="I71" s="19"/>
      <c r="J71" s="19"/>
      <c r="K71" s="20"/>
      <c r="L71" s="20"/>
      <c r="M71" s="20"/>
      <c r="N71" s="20"/>
      <c r="P71" s="30"/>
      <c r="Q71" s="31"/>
      <c r="R71" s="31"/>
      <c r="S71" s="31"/>
      <c r="T71" s="31"/>
      <c r="U71" s="31"/>
      <c r="V71" s="31"/>
      <c r="W71" s="31"/>
      <c r="X71" s="31"/>
      <c r="Y71" s="31"/>
      <c r="Z71" s="31"/>
      <c r="AA71" s="31"/>
      <c r="AB71" s="31"/>
      <c r="AC71" s="31"/>
      <c r="AD71" s="31"/>
      <c r="AE71" s="31"/>
      <c r="AF71" s="31"/>
      <c r="AG71" s="31"/>
      <c r="AH71" s="31"/>
      <c r="AI71" s="31"/>
      <c r="AL71" s="13" t="s">
        <v>60</v>
      </c>
      <c r="AS71" s="28" t="s">
        <v>61</v>
      </c>
      <c r="BC71" s="24" t="s">
        <v>62</v>
      </c>
      <c r="BD71" s="24"/>
      <c r="BE71" s="24"/>
    </row>
    <row r="72" spans="9:57" ht="18.95" customHeight="1">
      <c r="I72" s="19"/>
      <c r="J72" s="19"/>
      <c r="K72" s="20"/>
      <c r="L72" s="20"/>
      <c r="M72" s="20"/>
      <c r="N72" s="20"/>
      <c r="P72" s="30"/>
      <c r="Q72" s="31"/>
      <c r="R72" s="31"/>
      <c r="S72" s="31"/>
      <c r="T72" s="31"/>
      <c r="U72" s="31"/>
      <c r="V72" s="31"/>
      <c r="W72" s="31"/>
      <c r="X72" s="31"/>
      <c r="Y72" s="31"/>
      <c r="Z72" s="31"/>
      <c r="AA72" s="31"/>
      <c r="AB72" s="31"/>
      <c r="AC72" s="31"/>
      <c r="AD72" s="31"/>
      <c r="AE72" s="31"/>
      <c r="AF72" s="31"/>
      <c r="AG72" s="31"/>
      <c r="AH72" s="31"/>
      <c r="AI72" s="31"/>
      <c r="AL72" s="13" t="s">
        <v>63</v>
      </c>
      <c r="AS72" s="28" t="s">
        <v>64</v>
      </c>
      <c r="BC72" s="24" t="s">
        <v>62</v>
      </c>
      <c r="BD72" s="24"/>
      <c r="BE72" s="24"/>
    </row>
    <row r="73" spans="9:57" ht="18.95" customHeight="1">
      <c r="I73" s="19"/>
      <c r="J73" s="19"/>
      <c r="K73" s="20"/>
      <c r="L73" s="20"/>
      <c r="M73" s="20"/>
      <c r="N73" s="20"/>
      <c r="P73" s="30"/>
      <c r="Q73" s="31"/>
      <c r="R73" s="31"/>
      <c r="S73" s="31"/>
      <c r="T73" s="31"/>
      <c r="U73" s="31"/>
      <c r="V73" s="31"/>
      <c r="W73" s="31"/>
      <c r="X73" s="31"/>
      <c r="Y73" s="31"/>
      <c r="Z73" s="31"/>
      <c r="AA73" s="31"/>
      <c r="AB73" s="31"/>
      <c r="AC73" s="31"/>
      <c r="AD73" s="31"/>
      <c r="AE73" s="31"/>
      <c r="AF73" s="31"/>
      <c r="AG73" s="31"/>
      <c r="AH73" s="31"/>
      <c r="AI73" s="31"/>
      <c r="AL73" s="13" t="s">
        <v>65</v>
      </c>
      <c r="AS73" s="28" t="s">
        <v>66</v>
      </c>
      <c r="BC73" s="24" t="s">
        <v>62</v>
      </c>
      <c r="BD73" s="24"/>
      <c r="BE73" s="24"/>
    </row>
    <row r="74" spans="9:57" ht="18.95" customHeight="1">
      <c r="I74" s="19"/>
      <c r="J74" s="19"/>
      <c r="K74" s="20"/>
      <c r="L74" s="20"/>
      <c r="M74" s="20"/>
      <c r="N74" s="20"/>
      <c r="P74" s="30"/>
      <c r="Q74" s="31"/>
      <c r="R74" s="31"/>
      <c r="S74" s="31"/>
      <c r="T74" s="31"/>
      <c r="U74" s="31"/>
      <c r="V74" s="31"/>
      <c r="W74" s="31"/>
      <c r="X74" s="31"/>
      <c r="Y74" s="31"/>
      <c r="Z74" s="31"/>
      <c r="AA74" s="31"/>
      <c r="AB74" s="31"/>
      <c r="AC74" s="31"/>
      <c r="AD74" s="31"/>
      <c r="AE74" s="31"/>
      <c r="AF74" s="31"/>
      <c r="AG74" s="31"/>
      <c r="AH74" s="31"/>
      <c r="AI74" s="31"/>
      <c r="AL74" s="13" t="s">
        <v>67</v>
      </c>
      <c r="AS74" s="28" t="s">
        <v>68</v>
      </c>
      <c r="BC74" s="24" t="s">
        <v>26</v>
      </c>
      <c r="BD74" s="24"/>
      <c r="BE74" s="24"/>
    </row>
    <row r="75" spans="9:57" ht="18.95" customHeight="1">
      <c r="I75" s="19"/>
      <c r="J75" s="19"/>
      <c r="K75" s="20"/>
      <c r="L75" s="20"/>
      <c r="M75" s="20"/>
      <c r="N75" s="20"/>
      <c r="P75" s="30"/>
      <c r="Q75" s="31"/>
      <c r="R75" s="31"/>
      <c r="S75" s="31"/>
      <c r="T75" s="31"/>
      <c r="U75" s="31"/>
      <c r="V75" s="31"/>
      <c r="W75" s="31"/>
      <c r="X75" s="31"/>
      <c r="Y75" s="31"/>
      <c r="Z75" s="31"/>
      <c r="AA75" s="31"/>
      <c r="AB75" s="31"/>
      <c r="AC75" s="31"/>
      <c r="AD75" s="31"/>
      <c r="AE75" s="31"/>
      <c r="AF75" s="31"/>
      <c r="AG75" s="31"/>
      <c r="AH75" s="31"/>
      <c r="AI75" s="31"/>
      <c r="AL75" s="13" t="s">
        <v>69</v>
      </c>
      <c r="AS75" s="28" t="s">
        <v>70</v>
      </c>
      <c r="BC75" s="32" t="s">
        <v>71</v>
      </c>
      <c r="BD75" s="24"/>
      <c r="BE75" s="24"/>
    </row>
    <row r="76" spans="9:57" ht="18.95" customHeight="1">
      <c r="I76" s="19"/>
      <c r="J76" s="19"/>
      <c r="K76" s="20"/>
      <c r="L76" s="20"/>
      <c r="M76" s="20"/>
      <c r="N76" s="20"/>
      <c r="P76" s="30"/>
      <c r="Q76" s="31"/>
      <c r="R76" s="31"/>
      <c r="S76" s="31"/>
      <c r="T76" s="31"/>
      <c r="U76" s="31"/>
      <c r="V76" s="31"/>
      <c r="W76" s="31"/>
      <c r="X76" s="31"/>
      <c r="Y76" s="31"/>
      <c r="Z76" s="31"/>
      <c r="AA76" s="31"/>
      <c r="AB76" s="31"/>
      <c r="AC76" s="31"/>
      <c r="AD76" s="31"/>
      <c r="AE76" s="31"/>
      <c r="AF76" s="31"/>
      <c r="AG76" s="31"/>
      <c r="AH76" s="31"/>
      <c r="AI76" s="31"/>
      <c r="AL76" s="13" t="s">
        <v>72</v>
      </c>
      <c r="AS76" s="28" t="s">
        <v>73</v>
      </c>
      <c r="BC76" s="24" t="s">
        <v>26</v>
      </c>
      <c r="BD76" s="24"/>
      <c r="BE76" s="24"/>
    </row>
    <row r="77" spans="9:57" ht="18.95" customHeight="1">
      <c r="I77" s="19"/>
      <c r="J77" s="19"/>
      <c r="K77" s="20"/>
      <c r="L77" s="20"/>
      <c r="M77" s="20"/>
      <c r="N77" s="20"/>
      <c r="P77" s="30"/>
      <c r="Q77" s="31"/>
      <c r="R77" s="31"/>
      <c r="S77" s="31"/>
      <c r="T77" s="31"/>
      <c r="U77" s="31"/>
      <c r="V77" s="31"/>
      <c r="W77" s="31"/>
      <c r="X77" s="31"/>
      <c r="Y77" s="31"/>
      <c r="Z77" s="31"/>
      <c r="AA77" s="31"/>
      <c r="AB77" s="31"/>
      <c r="AC77" s="31"/>
      <c r="AD77" s="31"/>
      <c r="AE77" s="31"/>
      <c r="AF77" s="31"/>
      <c r="AG77" s="31"/>
      <c r="AH77" s="31"/>
      <c r="AI77" s="31"/>
      <c r="AL77" s="33" t="s">
        <v>74</v>
      </c>
      <c r="AM77" s="33"/>
      <c r="AN77" s="33"/>
      <c r="AO77" s="33"/>
      <c r="AP77" s="33"/>
      <c r="AQ77" s="33"/>
      <c r="AR77" s="33"/>
      <c r="AS77" s="34" t="s">
        <v>75</v>
      </c>
      <c r="AT77" s="33"/>
      <c r="AU77" s="33"/>
      <c r="AV77" s="33"/>
      <c r="AW77" s="33"/>
      <c r="AX77" s="33"/>
      <c r="AY77" s="33"/>
      <c r="AZ77" s="33"/>
      <c r="BA77" s="33"/>
      <c r="BB77" s="33"/>
      <c r="BC77" s="24" t="s">
        <v>26</v>
      </c>
      <c r="BD77" s="24"/>
      <c r="BE77" s="24"/>
    </row>
    <row r="78" spans="9:57" ht="18.95" customHeight="1">
      <c r="I78" s="19"/>
      <c r="J78" s="19"/>
      <c r="K78" s="20"/>
      <c r="L78" s="20"/>
      <c r="M78" s="20"/>
      <c r="N78" s="20"/>
      <c r="P78" s="30"/>
      <c r="Q78" s="31"/>
      <c r="R78" s="31"/>
      <c r="S78" s="31"/>
      <c r="T78" s="31"/>
      <c r="U78" s="31"/>
      <c r="V78" s="31"/>
      <c r="W78" s="31"/>
      <c r="X78" s="31"/>
      <c r="Y78" s="31"/>
      <c r="Z78" s="31"/>
      <c r="AA78" s="31"/>
      <c r="AB78" s="31"/>
      <c r="AC78" s="31"/>
      <c r="AD78" s="31"/>
      <c r="AE78" s="31"/>
      <c r="AF78" s="31"/>
      <c r="AG78" s="31"/>
      <c r="AH78" s="31"/>
      <c r="AI78" s="31"/>
      <c r="AL78" s="13" t="s">
        <v>76</v>
      </c>
      <c r="AS78" s="28" t="s">
        <v>77</v>
      </c>
      <c r="BC78" s="24" t="s">
        <v>26</v>
      </c>
      <c r="BD78" s="24"/>
      <c r="BE78" s="24"/>
    </row>
    <row r="81" spans="6:54" ht="18.95" customHeight="1">
      <c r="F81" s="10" t="s">
        <v>78</v>
      </c>
      <c r="G81" s="14"/>
      <c r="H81" s="11"/>
    </row>
    <row r="83" spans="6:54" ht="18.95" customHeight="1">
      <c r="G83" s="13" t="s">
        <v>79</v>
      </c>
    </row>
    <row r="85" spans="6:54" ht="18.95" customHeight="1">
      <c r="I85" s="16" t="s">
        <v>80</v>
      </c>
      <c r="J85" s="16"/>
      <c r="K85" s="16"/>
      <c r="L85" s="16"/>
      <c r="M85" s="16"/>
      <c r="N85" s="16"/>
      <c r="O85" s="15"/>
      <c r="P85" s="17" t="s">
        <v>81</v>
      </c>
      <c r="Q85" s="17"/>
      <c r="R85" s="17"/>
      <c r="S85" s="17"/>
      <c r="T85" s="17"/>
      <c r="U85" s="17"/>
      <c r="V85" s="15"/>
      <c r="W85" s="18" t="s">
        <v>82</v>
      </c>
      <c r="X85" s="18"/>
      <c r="Y85" s="18"/>
      <c r="Z85" s="18"/>
      <c r="AA85" s="18"/>
      <c r="AB85" s="18"/>
      <c r="AC85" s="18"/>
      <c r="AE85" s="35" t="s">
        <v>83</v>
      </c>
      <c r="AF85" s="31"/>
      <c r="AG85" s="31"/>
      <c r="AH85" s="31"/>
      <c r="AI85" s="31"/>
      <c r="AJ85" s="31"/>
      <c r="AK85" s="31"/>
      <c r="AL85" s="31"/>
      <c r="AM85" s="31"/>
      <c r="AN85" s="31"/>
      <c r="AO85" s="31"/>
      <c r="AP85" s="31"/>
      <c r="AQ85" s="31"/>
      <c r="AR85" s="31"/>
      <c r="AS85" s="31"/>
      <c r="AT85" s="31"/>
      <c r="AU85" s="31"/>
      <c r="AV85" s="31"/>
      <c r="AW85" s="31"/>
      <c r="AX85" s="31"/>
      <c r="AY85" s="31"/>
      <c r="AZ85" s="31"/>
      <c r="BA85" s="31"/>
      <c r="BB85" s="31"/>
    </row>
    <row r="86" spans="6:54" ht="9.9499999999999993" customHeight="1"/>
    <row r="87" spans="6:54" ht="18.95" customHeight="1">
      <c r="I87" s="19" t="s">
        <v>84</v>
      </c>
      <c r="J87" s="19"/>
      <c r="K87" s="20"/>
      <c r="L87" s="20"/>
      <c r="M87" s="20"/>
      <c r="N87" s="20"/>
      <c r="P87" s="21" t="s">
        <v>85</v>
      </c>
      <c r="Q87" s="22"/>
      <c r="R87" s="22"/>
      <c r="S87" s="22"/>
      <c r="T87" s="22"/>
      <c r="U87" s="22"/>
      <c r="W87" s="15"/>
      <c r="X87" s="15" t="s">
        <v>86</v>
      </c>
      <c r="Y87" s="15"/>
      <c r="Z87" s="15"/>
      <c r="AA87" s="15"/>
      <c r="AB87" s="15"/>
      <c r="AE87" s="15" t="s">
        <v>87</v>
      </c>
    </row>
    <row r="88" spans="6:54" ht="18.95" customHeight="1">
      <c r="I88" s="20" t="s">
        <v>88</v>
      </c>
      <c r="J88" s="19"/>
      <c r="K88" s="20"/>
      <c r="L88" s="20"/>
      <c r="M88" s="20"/>
      <c r="N88" s="20"/>
      <c r="P88" s="22" t="s">
        <v>89</v>
      </c>
      <c r="Q88" s="22"/>
      <c r="R88" s="22"/>
      <c r="S88" s="22"/>
      <c r="T88" s="22"/>
      <c r="U88" s="22"/>
      <c r="W88" s="15"/>
      <c r="X88" s="15" t="s">
        <v>90</v>
      </c>
      <c r="Y88" s="15"/>
      <c r="Z88" s="15"/>
      <c r="AA88" s="15"/>
      <c r="AB88" s="15"/>
      <c r="AE88" s="13" t="s">
        <v>91</v>
      </c>
    </row>
    <row r="89" spans="6:54" ht="18.95" customHeight="1">
      <c r="I89" s="19"/>
      <c r="J89" s="19"/>
      <c r="K89" s="20"/>
      <c r="L89" s="20"/>
      <c r="M89" s="20"/>
      <c r="N89" s="20"/>
      <c r="P89" s="21"/>
      <c r="Q89" s="22"/>
      <c r="R89" s="22"/>
      <c r="S89" s="22"/>
      <c r="T89" s="22"/>
      <c r="U89" s="22"/>
      <c r="X89" s="15" t="s">
        <v>92</v>
      </c>
    </row>
    <row r="90" spans="6:54" s="33" customFormat="1" ht="9.9499999999999993" customHeight="1">
      <c r="I90" s="19"/>
      <c r="J90" s="19"/>
      <c r="K90" s="20"/>
      <c r="L90" s="20"/>
      <c r="M90" s="20"/>
      <c r="N90" s="20"/>
      <c r="P90" s="36"/>
      <c r="Q90" s="37"/>
      <c r="R90" s="37"/>
      <c r="S90" s="37"/>
      <c r="T90" s="37"/>
      <c r="U90" s="37"/>
      <c r="X90" s="38"/>
    </row>
    <row r="91" spans="6:54" ht="18.95" customHeight="1">
      <c r="I91" s="19"/>
      <c r="J91" s="19"/>
      <c r="K91" s="20"/>
      <c r="L91" s="20"/>
      <c r="M91" s="20"/>
      <c r="N91" s="20"/>
      <c r="P91" s="21" t="s">
        <v>93</v>
      </c>
      <c r="Q91" s="22"/>
      <c r="R91" s="22"/>
      <c r="S91" s="22"/>
      <c r="T91" s="22"/>
      <c r="U91" s="22"/>
      <c r="X91" s="15" t="s">
        <v>94</v>
      </c>
      <c r="Y91" s="15"/>
      <c r="Z91" s="15"/>
      <c r="AA91" s="15"/>
      <c r="AB91" s="15"/>
      <c r="AC91" s="15"/>
      <c r="AE91" s="15" t="s">
        <v>95</v>
      </c>
    </row>
    <row r="92" spans="6:54" ht="18.95" customHeight="1">
      <c r="I92" s="19"/>
      <c r="J92" s="19"/>
      <c r="K92" s="20"/>
      <c r="L92" s="20"/>
      <c r="M92" s="20"/>
      <c r="N92" s="20"/>
      <c r="P92" s="22" t="s">
        <v>96</v>
      </c>
      <c r="Q92" s="22"/>
      <c r="R92" s="22"/>
      <c r="S92" s="22"/>
      <c r="T92" s="22"/>
      <c r="U92" s="22"/>
      <c r="X92" s="15" t="s">
        <v>97</v>
      </c>
      <c r="Y92" s="15"/>
      <c r="Z92" s="15"/>
      <c r="AA92" s="15"/>
      <c r="AB92" s="15"/>
      <c r="AC92" s="15"/>
      <c r="AE92" s="13" t="s">
        <v>98</v>
      </c>
    </row>
    <row r="93" spans="6:54" ht="18.95" customHeight="1">
      <c r="I93" s="19"/>
      <c r="J93" s="19"/>
      <c r="K93" s="20"/>
      <c r="L93" s="20"/>
      <c r="M93" s="20"/>
      <c r="N93" s="20"/>
      <c r="P93" s="21"/>
      <c r="Q93" s="22"/>
      <c r="R93" s="22"/>
      <c r="S93" s="22"/>
      <c r="T93" s="22"/>
      <c r="U93" s="22"/>
      <c r="X93" s="15" t="s">
        <v>99</v>
      </c>
      <c r="Y93" s="15"/>
      <c r="Z93" s="15"/>
      <c r="AA93" s="15"/>
      <c r="AB93" s="15"/>
      <c r="AC93" s="15"/>
      <c r="AE93" s="13" t="s">
        <v>100</v>
      </c>
    </row>
    <row r="94" spans="6:54" ht="18.95" customHeight="1">
      <c r="I94" s="19"/>
      <c r="J94" s="19"/>
      <c r="K94" s="20"/>
      <c r="L94" s="20"/>
      <c r="M94" s="20"/>
      <c r="N94" s="20"/>
      <c r="P94" s="21"/>
      <c r="Q94" s="22"/>
      <c r="R94" s="22"/>
      <c r="S94" s="22"/>
      <c r="T94" s="22"/>
      <c r="U94" s="22"/>
      <c r="X94" s="15" t="s">
        <v>101</v>
      </c>
      <c r="Y94" s="15"/>
      <c r="Z94" s="15"/>
      <c r="AA94" s="15"/>
      <c r="AB94" s="15"/>
      <c r="AC94" s="15"/>
      <c r="AE94" s="28" t="s">
        <v>102</v>
      </c>
    </row>
    <row r="95" spans="6:54" ht="18.95" customHeight="1">
      <c r="I95" s="19"/>
      <c r="J95" s="19"/>
      <c r="K95" s="20"/>
      <c r="L95" s="20"/>
      <c r="M95" s="20"/>
      <c r="N95" s="20"/>
      <c r="P95" s="21"/>
      <c r="Q95" s="22"/>
      <c r="R95" s="22"/>
      <c r="S95" s="22"/>
      <c r="T95" s="22"/>
      <c r="U95" s="22"/>
      <c r="X95" s="15" t="s">
        <v>103</v>
      </c>
      <c r="Y95" s="15"/>
      <c r="Z95" s="15"/>
      <c r="AA95" s="15"/>
      <c r="AB95" s="15"/>
      <c r="AC95" s="15"/>
      <c r="AE95" s="13" t="s">
        <v>104</v>
      </c>
    </row>
    <row r="96" spans="6:54" ht="18.95" customHeight="1">
      <c r="I96" s="19"/>
      <c r="J96" s="19"/>
      <c r="K96" s="20"/>
      <c r="L96" s="20"/>
      <c r="M96" s="20"/>
      <c r="N96" s="20"/>
      <c r="P96" s="21"/>
      <c r="Q96" s="22"/>
      <c r="R96" s="22"/>
      <c r="S96" s="22"/>
      <c r="T96" s="22"/>
      <c r="U96" s="22"/>
      <c r="X96" s="15" t="s">
        <v>105</v>
      </c>
      <c r="Y96" s="15"/>
      <c r="Z96" s="15"/>
      <c r="AA96" s="15"/>
      <c r="AB96" s="15"/>
      <c r="AC96" s="15"/>
    </row>
    <row r="98" spans="9:31" ht="18.95" customHeight="1">
      <c r="I98" s="19" t="s">
        <v>106</v>
      </c>
      <c r="J98" s="19"/>
      <c r="K98" s="20"/>
      <c r="L98" s="20"/>
      <c r="M98" s="20"/>
      <c r="N98" s="20"/>
      <c r="P98" s="39" t="s">
        <v>24</v>
      </c>
      <c r="Q98" s="25"/>
      <c r="R98" s="25"/>
      <c r="S98" s="25"/>
      <c r="T98" s="25"/>
      <c r="U98" s="25"/>
      <c r="X98" s="15" t="s">
        <v>107</v>
      </c>
      <c r="AE98" s="13" t="s">
        <v>108</v>
      </c>
    </row>
    <row r="99" spans="9:31" ht="18.95" customHeight="1">
      <c r="I99" s="20" t="s">
        <v>109</v>
      </c>
      <c r="J99" s="19"/>
      <c r="K99" s="20"/>
      <c r="L99" s="20"/>
      <c r="M99" s="20"/>
      <c r="N99" s="20"/>
      <c r="P99" s="39" t="s">
        <v>24</v>
      </c>
      <c r="Q99" s="25"/>
      <c r="R99" s="25"/>
      <c r="S99" s="25"/>
      <c r="T99" s="25"/>
      <c r="U99" s="25"/>
      <c r="X99" s="15" t="s">
        <v>110</v>
      </c>
    </row>
    <row r="100" spans="9:31" ht="18.95" customHeight="1">
      <c r="I100" s="19"/>
      <c r="J100" s="19"/>
      <c r="K100" s="20"/>
      <c r="L100" s="20"/>
      <c r="M100" s="20"/>
      <c r="N100" s="20"/>
      <c r="P100" s="39" t="s">
        <v>24</v>
      </c>
      <c r="Q100" s="25"/>
      <c r="R100" s="25"/>
      <c r="S100" s="25"/>
      <c r="T100" s="25"/>
      <c r="U100" s="25"/>
      <c r="X100" s="15" t="s">
        <v>111</v>
      </c>
    </row>
    <row r="101" spans="9:31" ht="18.95" customHeight="1">
      <c r="I101" s="19"/>
      <c r="J101" s="19"/>
      <c r="K101" s="20"/>
      <c r="L101" s="20"/>
      <c r="M101" s="20"/>
      <c r="N101" s="20"/>
      <c r="P101" s="39" t="s">
        <v>24</v>
      </c>
      <c r="Q101" s="25"/>
      <c r="R101" s="25"/>
      <c r="S101" s="25"/>
      <c r="T101" s="25"/>
      <c r="U101" s="25"/>
      <c r="X101" s="15" t="s">
        <v>112</v>
      </c>
    </row>
    <row r="103" spans="9:31" ht="18.95" customHeight="1">
      <c r="I103" s="40"/>
      <c r="J103" s="40"/>
      <c r="K103" s="40"/>
      <c r="L103" s="40"/>
      <c r="M103" s="40"/>
      <c r="N103" s="40"/>
    </row>
    <row r="104" spans="9:31" ht="18.95" customHeight="1">
      <c r="I104" s="40" t="s">
        <v>113</v>
      </c>
      <c r="J104" s="40"/>
      <c r="K104" s="40"/>
      <c r="L104" s="40"/>
      <c r="M104" s="40"/>
      <c r="N104" s="40"/>
    </row>
    <row r="105" spans="9:31" ht="18.95" customHeight="1">
      <c r="I105" s="40"/>
      <c r="J105" s="40"/>
      <c r="K105" s="40"/>
      <c r="L105" s="40"/>
      <c r="M105" s="40"/>
      <c r="N105" s="40"/>
    </row>
    <row r="108" spans="9:31" ht="18.95" customHeight="1">
      <c r="I108" s="41" t="s">
        <v>114</v>
      </c>
    </row>
  </sheetData>
  <phoneticPr fontId="4" type="noConversion"/>
  <printOptions horizontalCentered="1" verticalCentered="1"/>
  <pageMargins left="0.15748031496062992" right="0.15748031496062992" top="0.39370078740157483" bottom="0.39370078740157483" header="0" footer="0"/>
  <pageSetup paperSize="9" scale="71" orientation="landscape" r:id="rId1"/>
  <rowBreaks count="2" manualBreakCount="2">
    <brk id="36" min="4" max="53" man="1"/>
    <brk id="78" min="4" max="53" man="1"/>
  </row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C2:AB189"/>
  <sheetViews>
    <sheetView showGridLines="0" zoomScaleNormal="100" workbookViewId="0">
      <selection activeCell="K28" sqref="K28"/>
    </sheetView>
  </sheetViews>
  <sheetFormatPr defaultRowHeight="20.100000000000001" customHeight="1"/>
  <cols>
    <col min="1" max="2" width="4.7109375" style="2" customWidth="1"/>
    <col min="3" max="6" width="3.7109375" style="2" customWidth="1"/>
    <col min="7" max="7" width="21.42578125" style="2" customWidth="1"/>
    <col min="8" max="8" width="1" style="43" customWidth="1"/>
    <col min="9" max="13" width="17.42578125" style="2" customWidth="1"/>
    <col min="14" max="14" width="1" style="43" customWidth="1"/>
    <col min="15" max="20" width="14.28515625" style="2" customWidth="1"/>
    <col min="21" max="23" width="9.140625" style="2"/>
    <col min="24" max="24" width="13.85546875" style="2" bestFit="1" customWidth="1"/>
    <col min="25" max="25" width="28.7109375" style="2" bestFit="1" customWidth="1"/>
    <col min="26" max="16384" width="9.140625" style="2"/>
  </cols>
  <sheetData>
    <row r="2" spans="3:24" ht="20.100000000000001" customHeight="1">
      <c r="C2" s="42" t="s">
        <v>116</v>
      </c>
    </row>
    <row r="3" spans="3:24" ht="14.25" customHeight="1" thickBot="1">
      <c r="C3" s="44" t="s">
        <v>117</v>
      </c>
      <c r="H3" s="45"/>
      <c r="N3" s="45"/>
    </row>
    <row r="4" spans="3:24" ht="20.100000000000001" customHeight="1">
      <c r="C4" s="676" t="s">
        <v>118</v>
      </c>
      <c r="D4" s="676"/>
      <c r="E4" s="676"/>
      <c r="F4" s="676"/>
      <c r="G4" s="677"/>
      <c r="H4" s="45"/>
      <c r="I4" s="47" t="s">
        <v>119</v>
      </c>
      <c r="J4" s="48"/>
      <c r="K4" s="48"/>
      <c r="L4" s="48"/>
      <c r="M4" s="49"/>
      <c r="N4" s="45"/>
      <c r="O4" s="680" t="s">
        <v>120</v>
      </c>
      <c r="P4" s="676"/>
      <c r="Q4" s="676"/>
      <c r="R4" s="676"/>
      <c r="S4" s="676"/>
      <c r="T4" s="676"/>
    </row>
    <row r="5" spans="3:24" ht="20.100000000000001" customHeight="1" thickBot="1">
      <c r="C5" s="678"/>
      <c r="D5" s="678"/>
      <c r="E5" s="678"/>
      <c r="F5" s="678"/>
      <c r="G5" s="679"/>
      <c r="H5" s="50"/>
      <c r="I5" s="51" t="s">
        <v>121</v>
      </c>
      <c r="J5" s="52" t="s">
        <v>122</v>
      </c>
      <c r="K5" s="52" t="s">
        <v>123</v>
      </c>
      <c r="L5" s="53" t="s">
        <v>124</v>
      </c>
      <c r="M5" s="54" t="s">
        <v>125</v>
      </c>
      <c r="N5" s="50"/>
      <c r="O5" s="681"/>
      <c r="P5" s="678"/>
      <c r="Q5" s="678"/>
      <c r="R5" s="678"/>
      <c r="S5" s="678"/>
      <c r="T5" s="678"/>
    </row>
    <row r="6" spans="3:24" s="15" customFormat="1" ht="18" customHeight="1">
      <c r="C6" s="55" t="s">
        <v>126</v>
      </c>
      <c r="D6" s="56"/>
      <c r="E6" s="56"/>
      <c r="F6" s="56"/>
      <c r="G6" s="57"/>
      <c r="H6" s="58"/>
      <c r="I6" s="59"/>
      <c r="J6" s="60"/>
      <c r="K6" s="60"/>
      <c r="L6" s="60"/>
      <c r="M6" s="61"/>
      <c r="N6" s="58"/>
      <c r="O6" s="62" t="s">
        <v>127</v>
      </c>
      <c r="P6" s="63"/>
      <c r="Q6" s="63"/>
      <c r="R6" s="63"/>
      <c r="S6" s="63"/>
      <c r="T6" s="63"/>
      <c r="V6" s="2"/>
      <c r="W6" s="2"/>
      <c r="X6" s="2"/>
    </row>
    <row r="7" spans="3:24" s="15" customFormat="1" ht="18" customHeight="1">
      <c r="C7" s="64" t="s">
        <v>128</v>
      </c>
      <c r="D7" s="65"/>
      <c r="E7" s="65"/>
      <c r="F7" s="65"/>
      <c r="G7" s="66"/>
      <c r="H7" s="58"/>
      <c r="I7" s="67"/>
      <c r="J7" s="68"/>
      <c r="K7" s="68"/>
      <c r="L7" s="68"/>
      <c r="M7" s="69">
        <f>SUM(I7:L7)</f>
        <v>0</v>
      </c>
      <c r="N7" s="58"/>
      <c r="O7" s="70" t="s">
        <v>129</v>
      </c>
      <c r="P7" s="71"/>
      <c r="Q7" s="71"/>
      <c r="R7" s="71"/>
      <c r="S7" s="71"/>
      <c r="T7" s="71"/>
      <c r="V7" s="2"/>
      <c r="W7" s="2"/>
      <c r="X7" s="2"/>
    </row>
    <row r="8" spans="3:24" s="15" customFormat="1" ht="18" customHeight="1" thickBot="1">
      <c r="C8" s="72" t="s">
        <v>130</v>
      </c>
      <c r="D8" s="73"/>
      <c r="E8" s="73"/>
      <c r="F8" s="73"/>
      <c r="G8" s="74"/>
      <c r="H8" s="58"/>
      <c r="I8" s="75"/>
      <c r="J8" s="76"/>
      <c r="K8" s="76"/>
      <c r="L8" s="76"/>
      <c r="M8" s="77">
        <f t="shared" ref="M8" si="0">SUM(I8:L8)</f>
        <v>0</v>
      </c>
      <c r="N8" s="58"/>
      <c r="O8" s="70" t="s">
        <v>131</v>
      </c>
      <c r="P8" s="71"/>
      <c r="Q8" s="71"/>
      <c r="R8" s="71"/>
      <c r="S8" s="71"/>
      <c r="T8" s="71"/>
      <c r="V8" s="2"/>
      <c r="W8" s="2"/>
      <c r="X8" s="2"/>
    </row>
    <row r="9" spans="3:24" s="81" customFormat="1" ht="5.0999999999999996" customHeight="1" thickBot="1">
      <c r="C9" s="78"/>
      <c r="D9" s="79"/>
      <c r="E9" s="79"/>
      <c r="F9" s="79"/>
      <c r="G9" s="79"/>
      <c r="H9" s="80"/>
      <c r="I9" s="79"/>
      <c r="J9" s="79"/>
      <c r="K9" s="79"/>
      <c r="L9" s="79"/>
      <c r="M9" s="79"/>
      <c r="N9" s="80"/>
      <c r="O9" s="70"/>
      <c r="V9" s="2"/>
      <c r="W9" s="2"/>
      <c r="X9" s="2"/>
    </row>
    <row r="10" spans="3:24" s="15" customFormat="1" ht="18" customHeight="1">
      <c r="C10" s="82" t="s">
        <v>132</v>
      </c>
      <c r="D10" s="83"/>
      <c r="E10" s="83"/>
      <c r="F10" s="83"/>
      <c r="G10" s="84"/>
      <c r="H10" s="85"/>
      <c r="I10" s="86">
        <f t="shared" ref="I10:L10" si="1">SUM(I11:I22)</f>
        <v>0</v>
      </c>
      <c r="J10" s="87">
        <f t="shared" si="1"/>
        <v>0</v>
      </c>
      <c r="K10" s="87">
        <f t="shared" si="1"/>
        <v>0</v>
      </c>
      <c r="L10" s="87">
        <f t="shared" si="1"/>
        <v>0</v>
      </c>
      <c r="M10" s="88">
        <f t="shared" ref="M10:M22" si="2">SUM(I10:L10)</f>
        <v>0</v>
      </c>
      <c r="N10" s="58"/>
      <c r="O10" s="62" t="s">
        <v>133</v>
      </c>
      <c r="P10" s="71"/>
      <c r="Q10" s="71"/>
      <c r="R10" s="71"/>
      <c r="S10" s="71"/>
      <c r="T10" s="71"/>
      <c r="V10" s="2"/>
      <c r="W10" s="2"/>
      <c r="X10" s="2"/>
    </row>
    <row r="11" spans="3:24" s="13" customFormat="1" ht="18" customHeight="1">
      <c r="C11" s="89"/>
      <c r="D11" s="90" t="s">
        <v>94</v>
      </c>
      <c r="E11" s="91"/>
      <c r="F11" s="91"/>
      <c r="G11" s="92"/>
      <c r="H11" s="93"/>
      <c r="I11" s="94"/>
      <c r="J11" s="90"/>
      <c r="K11" s="90"/>
      <c r="L11" s="90"/>
      <c r="M11" s="95">
        <f t="shared" si="2"/>
        <v>0</v>
      </c>
      <c r="N11" s="80"/>
      <c r="O11" s="70" t="s">
        <v>134</v>
      </c>
      <c r="P11" s="81"/>
      <c r="Q11" s="81"/>
      <c r="R11" s="81"/>
      <c r="S11" s="81"/>
      <c r="T11" s="81"/>
      <c r="V11" s="2"/>
      <c r="W11" s="2"/>
      <c r="X11" s="2"/>
    </row>
    <row r="12" spans="3:24" s="13" customFormat="1" ht="18" customHeight="1">
      <c r="C12" s="89"/>
      <c r="D12" s="96" t="s">
        <v>135</v>
      </c>
      <c r="E12" s="89"/>
      <c r="F12" s="89"/>
      <c r="G12" s="97"/>
      <c r="H12" s="93"/>
      <c r="I12" s="98"/>
      <c r="J12" s="96"/>
      <c r="K12" s="96"/>
      <c r="L12" s="96"/>
      <c r="M12" s="99">
        <f t="shared" si="2"/>
        <v>0</v>
      </c>
      <c r="N12" s="80"/>
      <c r="O12" s="70"/>
      <c r="P12" s="81"/>
      <c r="Q12" s="81"/>
      <c r="R12" s="81"/>
      <c r="S12" s="81"/>
      <c r="T12" s="81"/>
      <c r="V12" s="2"/>
      <c r="W12" s="2"/>
      <c r="X12" s="2"/>
    </row>
    <row r="13" spans="3:24" s="13" customFormat="1" ht="18" customHeight="1">
      <c r="C13" s="89"/>
      <c r="D13" s="96" t="s">
        <v>136</v>
      </c>
      <c r="E13" s="89"/>
      <c r="F13" s="89"/>
      <c r="G13" s="97"/>
      <c r="H13" s="93"/>
      <c r="I13" s="98"/>
      <c r="J13" s="96"/>
      <c r="K13" s="96"/>
      <c r="L13" s="96"/>
      <c r="M13" s="99">
        <f t="shared" si="2"/>
        <v>0</v>
      </c>
      <c r="N13" s="80"/>
      <c r="O13" s="70" t="s">
        <v>137</v>
      </c>
      <c r="P13" s="81"/>
      <c r="Q13" s="81"/>
      <c r="R13" s="81"/>
      <c r="S13" s="81"/>
      <c r="T13" s="81"/>
      <c r="V13" s="2"/>
      <c r="W13" s="2"/>
      <c r="X13" s="2"/>
    </row>
    <row r="14" spans="3:24" s="13" customFormat="1" ht="18" customHeight="1">
      <c r="C14" s="89"/>
      <c r="D14" s="96" t="s">
        <v>138</v>
      </c>
      <c r="E14" s="89"/>
      <c r="F14" s="89"/>
      <c r="G14" s="97"/>
      <c r="H14" s="93"/>
      <c r="I14" s="98"/>
      <c r="J14" s="96"/>
      <c r="K14" s="96"/>
      <c r="L14" s="96"/>
      <c r="M14" s="99">
        <f t="shared" si="2"/>
        <v>0</v>
      </c>
      <c r="N14" s="80"/>
      <c r="O14" s="70" t="s">
        <v>139</v>
      </c>
      <c r="P14" s="81"/>
      <c r="Q14" s="81"/>
      <c r="R14" s="81"/>
      <c r="S14" s="81"/>
      <c r="T14" s="81"/>
      <c r="V14" s="2"/>
      <c r="W14" s="2"/>
      <c r="X14" s="2"/>
    </row>
    <row r="15" spans="3:24" s="13" customFormat="1" ht="18" customHeight="1">
      <c r="C15" s="89"/>
      <c r="D15" s="96" t="s">
        <v>101</v>
      </c>
      <c r="E15" s="89"/>
      <c r="F15" s="89"/>
      <c r="G15" s="97"/>
      <c r="H15" s="93"/>
      <c r="I15" s="98"/>
      <c r="J15" s="96"/>
      <c r="K15" s="96"/>
      <c r="L15" s="96"/>
      <c r="M15" s="99">
        <f t="shared" si="2"/>
        <v>0</v>
      </c>
      <c r="N15" s="80"/>
      <c r="O15" s="70"/>
      <c r="P15" s="81"/>
      <c r="Q15" s="81"/>
      <c r="R15" s="81"/>
      <c r="S15" s="81"/>
      <c r="T15" s="81"/>
      <c r="V15" s="2"/>
      <c r="W15" s="2"/>
      <c r="X15" s="2"/>
    </row>
    <row r="16" spans="3:24" s="13" customFormat="1" ht="18" customHeight="1">
      <c r="C16" s="89"/>
      <c r="D16" s="96" t="s">
        <v>103</v>
      </c>
      <c r="E16" s="89"/>
      <c r="F16" s="89"/>
      <c r="G16" s="97"/>
      <c r="H16" s="93"/>
      <c r="I16" s="98"/>
      <c r="J16" s="96"/>
      <c r="K16" s="96"/>
      <c r="L16" s="96"/>
      <c r="M16" s="99">
        <f t="shared" si="2"/>
        <v>0</v>
      </c>
      <c r="N16" s="80"/>
      <c r="O16" s="70"/>
      <c r="P16" s="81"/>
      <c r="Q16" s="81"/>
      <c r="R16" s="81"/>
      <c r="S16" s="81"/>
      <c r="T16" s="81"/>
      <c r="V16" s="2"/>
      <c r="W16" s="2"/>
      <c r="X16" s="2"/>
    </row>
    <row r="17" spans="3:20" s="13" customFormat="1" ht="18" customHeight="1">
      <c r="C17" s="89"/>
      <c r="D17" s="96" t="s">
        <v>140</v>
      </c>
      <c r="E17" s="89"/>
      <c r="F17" s="89"/>
      <c r="G17" s="97"/>
      <c r="H17" s="93"/>
      <c r="I17" s="98"/>
      <c r="J17" s="96"/>
      <c r="K17" s="96"/>
      <c r="L17" s="96"/>
      <c r="M17" s="99">
        <f t="shared" si="2"/>
        <v>0</v>
      </c>
      <c r="N17" s="80"/>
      <c r="O17" s="70" t="s">
        <v>141</v>
      </c>
      <c r="P17" s="81"/>
      <c r="Q17" s="81"/>
      <c r="R17" s="81"/>
      <c r="S17" s="81"/>
      <c r="T17" s="81"/>
    </row>
    <row r="18" spans="3:20" s="13" customFormat="1" ht="18" customHeight="1">
      <c r="C18" s="89"/>
      <c r="D18" s="96" t="s">
        <v>105</v>
      </c>
      <c r="E18" s="89"/>
      <c r="F18" s="89"/>
      <c r="G18" s="97"/>
      <c r="H18" s="93"/>
      <c r="I18" s="98"/>
      <c r="J18" s="96"/>
      <c r="K18" s="96"/>
      <c r="L18" s="96"/>
      <c r="M18" s="99">
        <f t="shared" si="2"/>
        <v>0</v>
      </c>
      <c r="N18" s="80"/>
      <c r="O18" s="70"/>
      <c r="P18" s="81"/>
      <c r="Q18" s="81"/>
      <c r="R18" s="81"/>
      <c r="S18" s="81"/>
      <c r="T18" s="81"/>
    </row>
    <row r="19" spans="3:20" s="13" customFormat="1" ht="18" customHeight="1">
      <c r="C19" s="89"/>
      <c r="D19" s="100" t="s">
        <v>107</v>
      </c>
      <c r="E19" s="101"/>
      <c r="F19" s="101"/>
      <c r="G19" s="102"/>
      <c r="H19" s="93"/>
      <c r="I19" s="103"/>
      <c r="J19" s="100"/>
      <c r="K19" s="100"/>
      <c r="L19" s="100"/>
      <c r="M19" s="104">
        <f t="shared" si="2"/>
        <v>0</v>
      </c>
      <c r="N19" s="80"/>
      <c r="O19" s="70"/>
      <c r="P19" s="81"/>
      <c r="Q19" s="81"/>
      <c r="R19" s="81"/>
      <c r="S19" s="81"/>
      <c r="T19" s="81"/>
    </row>
    <row r="20" spans="3:20" s="13" customFormat="1" ht="18" customHeight="1">
      <c r="C20" s="89"/>
      <c r="D20" s="96" t="s">
        <v>110</v>
      </c>
      <c r="E20" s="89"/>
      <c r="F20" s="89"/>
      <c r="G20" s="97"/>
      <c r="H20" s="93"/>
      <c r="I20" s="98"/>
      <c r="J20" s="96"/>
      <c r="K20" s="96"/>
      <c r="L20" s="96"/>
      <c r="M20" s="99">
        <f t="shared" si="2"/>
        <v>0</v>
      </c>
      <c r="N20" s="80"/>
      <c r="O20" s="70"/>
      <c r="P20" s="81"/>
      <c r="Q20" s="81"/>
      <c r="R20" s="81"/>
      <c r="S20" s="81"/>
      <c r="T20" s="81"/>
    </row>
    <row r="21" spans="3:20" s="13" customFormat="1" ht="18" customHeight="1">
      <c r="C21" s="89"/>
      <c r="D21" s="96" t="s">
        <v>142</v>
      </c>
      <c r="E21" s="89"/>
      <c r="F21" s="89"/>
      <c r="G21" s="97"/>
      <c r="H21" s="93"/>
      <c r="I21" s="98"/>
      <c r="J21" s="96"/>
      <c r="K21" s="96"/>
      <c r="L21" s="96"/>
      <c r="M21" s="99">
        <f t="shared" si="2"/>
        <v>0</v>
      </c>
      <c r="N21" s="80"/>
      <c r="O21" s="70"/>
      <c r="P21" s="81"/>
      <c r="Q21" s="81"/>
      <c r="R21" s="81"/>
      <c r="S21" s="81"/>
      <c r="T21" s="81"/>
    </row>
    <row r="22" spans="3:20" s="13" customFormat="1" ht="18" customHeight="1" thickBot="1">
      <c r="C22" s="105"/>
      <c r="D22" s="106" t="s">
        <v>143</v>
      </c>
      <c r="E22" s="105"/>
      <c r="F22" s="105"/>
      <c r="G22" s="107"/>
      <c r="H22" s="93"/>
      <c r="I22" s="108"/>
      <c r="J22" s="106"/>
      <c r="K22" s="106"/>
      <c r="L22" s="106"/>
      <c r="M22" s="109">
        <f t="shared" si="2"/>
        <v>0</v>
      </c>
      <c r="N22" s="80"/>
      <c r="O22" s="70"/>
      <c r="P22" s="81"/>
      <c r="Q22" s="81"/>
      <c r="R22" s="81"/>
      <c r="S22" s="81"/>
      <c r="T22" s="81"/>
    </row>
    <row r="23" spans="3:20" s="81" customFormat="1" ht="5.0999999999999996" customHeight="1" thickBot="1">
      <c r="C23" s="78"/>
      <c r="D23" s="79"/>
      <c r="E23" s="79"/>
      <c r="F23" s="79"/>
      <c r="G23" s="79"/>
      <c r="H23" s="80"/>
      <c r="I23" s="79"/>
      <c r="J23" s="79"/>
      <c r="K23" s="79"/>
      <c r="L23" s="79"/>
      <c r="M23" s="79"/>
      <c r="N23" s="80"/>
      <c r="O23" s="70"/>
    </row>
    <row r="24" spans="3:20" s="15" customFormat="1" ht="18" customHeight="1">
      <c r="C24" s="110" t="s">
        <v>144</v>
      </c>
      <c r="D24" s="111"/>
      <c r="E24" s="111"/>
      <c r="F24" s="111"/>
      <c r="G24" s="112"/>
      <c r="H24" s="113"/>
      <c r="I24" s="114">
        <f>I25+I38</f>
        <v>0</v>
      </c>
      <c r="J24" s="115">
        <f t="shared" ref="J24:L24" si="3">J25+J38</f>
        <v>0</v>
      </c>
      <c r="K24" s="115">
        <f t="shared" si="3"/>
        <v>0</v>
      </c>
      <c r="L24" s="115">
        <f t="shared" si="3"/>
        <v>0</v>
      </c>
      <c r="M24" s="116">
        <f t="shared" ref="M24:M50" si="4">SUM(I24:L24)</f>
        <v>0</v>
      </c>
      <c r="N24" s="58"/>
      <c r="O24" s="62" t="s">
        <v>145</v>
      </c>
      <c r="P24" s="71"/>
      <c r="Q24" s="71"/>
      <c r="R24" s="71"/>
      <c r="S24" s="71"/>
      <c r="T24" s="71"/>
    </row>
    <row r="25" spans="3:20" s="15" customFormat="1" ht="18" customHeight="1">
      <c r="C25" s="117"/>
      <c r="D25" s="118" t="s">
        <v>146</v>
      </c>
      <c r="E25" s="119"/>
      <c r="F25" s="119"/>
      <c r="G25" s="120"/>
      <c r="H25" s="113"/>
      <c r="I25" s="121">
        <f t="shared" ref="I25:L25" si="5">SUM(I26:I37)</f>
        <v>0</v>
      </c>
      <c r="J25" s="118">
        <f t="shared" si="5"/>
        <v>0</v>
      </c>
      <c r="K25" s="118">
        <f t="shared" si="5"/>
        <v>0</v>
      </c>
      <c r="L25" s="118">
        <f t="shared" si="5"/>
        <v>0</v>
      </c>
      <c r="M25" s="122">
        <f t="shared" si="4"/>
        <v>0</v>
      </c>
      <c r="N25" s="58"/>
      <c r="O25" s="70" t="s">
        <v>147</v>
      </c>
      <c r="P25" s="71"/>
      <c r="Q25" s="71"/>
      <c r="R25" s="71"/>
      <c r="S25" s="71"/>
      <c r="T25" s="71"/>
    </row>
    <row r="26" spans="3:20" s="13" customFormat="1" ht="18" customHeight="1">
      <c r="C26" s="123"/>
      <c r="D26" s="124"/>
      <c r="E26" s="125" t="s">
        <v>94</v>
      </c>
      <c r="F26" s="126"/>
      <c r="G26" s="127"/>
      <c r="H26" s="128"/>
      <c r="I26" s="129"/>
      <c r="J26" s="125"/>
      <c r="K26" s="125"/>
      <c r="L26" s="125"/>
      <c r="M26" s="130">
        <f t="shared" si="4"/>
        <v>0</v>
      </c>
      <c r="N26" s="80"/>
      <c r="O26" s="70" t="s">
        <v>148</v>
      </c>
      <c r="P26" s="81"/>
      <c r="Q26" s="81"/>
      <c r="R26" s="81"/>
      <c r="S26" s="81"/>
      <c r="T26" s="81"/>
    </row>
    <row r="27" spans="3:20" s="13" customFormat="1" ht="18" customHeight="1">
      <c r="C27" s="123"/>
      <c r="D27" s="124"/>
      <c r="E27" s="124" t="s">
        <v>135</v>
      </c>
      <c r="F27" s="123"/>
      <c r="G27" s="131"/>
      <c r="H27" s="128"/>
      <c r="I27" s="132"/>
      <c r="J27" s="124"/>
      <c r="K27" s="124"/>
      <c r="L27" s="124"/>
      <c r="M27" s="133">
        <f t="shared" si="4"/>
        <v>0</v>
      </c>
      <c r="N27" s="80"/>
      <c r="O27" s="70" t="s">
        <v>149</v>
      </c>
      <c r="P27" s="81"/>
      <c r="Q27" s="81"/>
      <c r="R27" s="81"/>
      <c r="S27" s="81"/>
      <c r="T27" s="81"/>
    </row>
    <row r="28" spans="3:20" s="13" customFormat="1" ht="18" customHeight="1">
      <c r="C28" s="123"/>
      <c r="D28" s="124"/>
      <c r="E28" s="124" t="s">
        <v>136</v>
      </c>
      <c r="F28" s="123"/>
      <c r="G28" s="131"/>
      <c r="H28" s="128"/>
      <c r="I28" s="132"/>
      <c r="J28" s="124"/>
      <c r="K28" s="124"/>
      <c r="L28" s="124"/>
      <c r="M28" s="133">
        <f t="shared" si="4"/>
        <v>0</v>
      </c>
      <c r="N28" s="80"/>
      <c r="O28" s="70" t="s">
        <v>150</v>
      </c>
      <c r="P28" s="81"/>
      <c r="Q28" s="81"/>
      <c r="R28" s="81"/>
      <c r="S28" s="81"/>
      <c r="T28" s="81"/>
    </row>
    <row r="29" spans="3:20" s="13" customFormat="1" ht="18" customHeight="1">
      <c r="C29" s="123"/>
      <c r="D29" s="124"/>
      <c r="E29" s="124" t="s">
        <v>138</v>
      </c>
      <c r="F29" s="123"/>
      <c r="G29" s="131"/>
      <c r="H29" s="128"/>
      <c r="I29" s="132"/>
      <c r="J29" s="124"/>
      <c r="K29" s="124"/>
      <c r="L29" s="124"/>
      <c r="M29" s="133">
        <f t="shared" si="4"/>
        <v>0</v>
      </c>
      <c r="N29" s="80"/>
      <c r="O29" s="70" t="s">
        <v>151</v>
      </c>
      <c r="P29" s="81"/>
      <c r="Q29" s="81"/>
      <c r="R29" s="81"/>
      <c r="S29" s="81"/>
      <c r="T29" s="81"/>
    </row>
    <row r="30" spans="3:20" s="13" customFormat="1" ht="18" customHeight="1">
      <c r="C30" s="123"/>
      <c r="D30" s="124"/>
      <c r="E30" s="124" t="s">
        <v>101</v>
      </c>
      <c r="F30" s="123"/>
      <c r="G30" s="131"/>
      <c r="H30" s="128"/>
      <c r="I30" s="132"/>
      <c r="J30" s="124"/>
      <c r="K30" s="124"/>
      <c r="L30" s="124"/>
      <c r="M30" s="133">
        <f t="shared" si="4"/>
        <v>0</v>
      </c>
      <c r="N30" s="80"/>
      <c r="O30" s="70"/>
      <c r="P30" s="81"/>
      <c r="Q30" s="81"/>
      <c r="R30" s="81"/>
      <c r="S30" s="81"/>
      <c r="T30" s="81"/>
    </row>
    <row r="31" spans="3:20" s="13" customFormat="1" ht="18" customHeight="1">
      <c r="C31" s="123"/>
      <c r="D31" s="124"/>
      <c r="E31" s="124" t="s">
        <v>103</v>
      </c>
      <c r="F31" s="123"/>
      <c r="G31" s="131"/>
      <c r="H31" s="128"/>
      <c r="I31" s="132"/>
      <c r="J31" s="124"/>
      <c r="K31" s="124"/>
      <c r="L31" s="124"/>
      <c r="M31" s="133">
        <f t="shared" si="4"/>
        <v>0</v>
      </c>
      <c r="N31" s="80"/>
      <c r="O31" s="70"/>
      <c r="P31" s="81"/>
      <c r="Q31" s="81"/>
      <c r="R31" s="81"/>
      <c r="S31" s="81"/>
      <c r="T31" s="81"/>
    </row>
    <row r="32" spans="3:20" s="13" customFormat="1" ht="18" customHeight="1">
      <c r="C32" s="123"/>
      <c r="D32" s="124"/>
      <c r="E32" s="124" t="s">
        <v>140</v>
      </c>
      <c r="F32" s="123"/>
      <c r="G32" s="131"/>
      <c r="H32" s="128"/>
      <c r="I32" s="132"/>
      <c r="J32" s="124"/>
      <c r="K32" s="124"/>
      <c r="L32" s="124"/>
      <c r="M32" s="133">
        <f t="shared" si="4"/>
        <v>0</v>
      </c>
      <c r="N32" s="80"/>
      <c r="O32" s="70"/>
      <c r="P32" s="81"/>
      <c r="Q32" s="81"/>
      <c r="R32" s="81"/>
      <c r="S32" s="81"/>
      <c r="T32" s="81"/>
    </row>
    <row r="33" spans="3:20" s="13" customFormat="1" ht="18" customHeight="1">
      <c r="C33" s="123"/>
      <c r="D33" s="124"/>
      <c r="E33" s="124" t="s">
        <v>105</v>
      </c>
      <c r="F33" s="123"/>
      <c r="G33" s="131"/>
      <c r="H33" s="128"/>
      <c r="I33" s="132"/>
      <c r="J33" s="124"/>
      <c r="K33" s="124"/>
      <c r="L33" s="124"/>
      <c r="M33" s="133">
        <f t="shared" si="4"/>
        <v>0</v>
      </c>
      <c r="N33" s="80"/>
      <c r="O33" s="70"/>
      <c r="P33" s="81"/>
      <c r="Q33" s="81"/>
      <c r="R33" s="81"/>
      <c r="S33" s="81"/>
      <c r="T33" s="81"/>
    </row>
    <row r="34" spans="3:20" s="13" customFormat="1" ht="18" customHeight="1">
      <c r="C34" s="123"/>
      <c r="D34" s="124"/>
      <c r="E34" s="134" t="s">
        <v>107</v>
      </c>
      <c r="F34" s="135"/>
      <c r="G34" s="136"/>
      <c r="H34" s="128"/>
      <c r="I34" s="137"/>
      <c r="J34" s="134"/>
      <c r="K34" s="134"/>
      <c r="L34" s="134"/>
      <c r="M34" s="138">
        <f t="shared" si="4"/>
        <v>0</v>
      </c>
      <c r="N34" s="80"/>
      <c r="O34" s="70"/>
      <c r="P34" s="81"/>
      <c r="Q34" s="81"/>
      <c r="R34" s="81"/>
      <c r="S34" s="81"/>
      <c r="T34" s="81"/>
    </row>
    <row r="35" spans="3:20" s="13" customFormat="1" ht="18" customHeight="1">
      <c r="C35" s="123"/>
      <c r="D35" s="124"/>
      <c r="E35" s="124" t="s">
        <v>110</v>
      </c>
      <c r="F35" s="123"/>
      <c r="G35" s="131"/>
      <c r="H35" s="128"/>
      <c r="I35" s="132"/>
      <c r="J35" s="124"/>
      <c r="K35" s="124"/>
      <c r="L35" s="124"/>
      <c r="M35" s="133">
        <f t="shared" si="4"/>
        <v>0</v>
      </c>
      <c r="N35" s="80"/>
      <c r="O35" s="70"/>
      <c r="P35" s="81"/>
      <c r="Q35" s="81"/>
      <c r="R35" s="81"/>
      <c r="S35" s="81"/>
      <c r="T35" s="81"/>
    </row>
    <row r="36" spans="3:20" s="13" customFormat="1" ht="18" customHeight="1">
      <c r="C36" s="123"/>
      <c r="D36" s="124"/>
      <c r="E36" s="124" t="s">
        <v>142</v>
      </c>
      <c r="F36" s="123"/>
      <c r="G36" s="131"/>
      <c r="H36" s="128"/>
      <c r="I36" s="132"/>
      <c r="J36" s="124"/>
      <c r="K36" s="124"/>
      <c r="L36" s="124"/>
      <c r="M36" s="133">
        <f t="shared" si="4"/>
        <v>0</v>
      </c>
      <c r="N36" s="80"/>
      <c r="O36" s="70"/>
      <c r="P36" s="81"/>
      <c r="Q36" s="81"/>
      <c r="R36" s="81"/>
      <c r="S36" s="81"/>
      <c r="T36" s="81"/>
    </row>
    <row r="37" spans="3:20" s="13" customFormat="1" ht="18" customHeight="1">
      <c r="C37" s="123"/>
      <c r="D37" s="139"/>
      <c r="E37" s="139" t="s">
        <v>143</v>
      </c>
      <c r="F37" s="140"/>
      <c r="G37" s="141"/>
      <c r="H37" s="128"/>
      <c r="I37" s="142"/>
      <c r="J37" s="139"/>
      <c r="K37" s="139"/>
      <c r="L37" s="139"/>
      <c r="M37" s="143">
        <f t="shared" si="4"/>
        <v>0</v>
      </c>
      <c r="N37" s="80"/>
      <c r="O37" s="70"/>
      <c r="P37" s="81"/>
      <c r="Q37" s="81"/>
      <c r="R37" s="81"/>
      <c r="S37" s="81"/>
      <c r="T37" s="81"/>
    </row>
    <row r="38" spans="3:20" s="15" customFormat="1" ht="18" customHeight="1">
      <c r="C38" s="117"/>
      <c r="D38" s="118" t="s">
        <v>152</v>
      </c>
      <c r="E38" s="119"/>
      <c r="F38" s="119"/>
      <c r="G38" s="120"/>
      <c r="H38" s="113"/>
      <c r="I38" s="121">
        <f t="shared" ref="I38:L38" si="6">SUM(I39:I50)</f>
        <v>0</v>
      </c>
      <c r="J38" s="118">
        <f t="shared" si="6"/>
        <v>0</v>
      </c>
      <c r="K38" s="118">
        <f t="shared" si="6"/>
        <v>0</v>
      </c>
      <c r="L38" s="118">
        <f t="shared" si="6"/>
        <v>0</v>
      </c>
      <c r="M38" s="122">
        <f t="shared" si="4"/>
        <v>0</v>
      </c>
      <c r="N38" s="58"/>
      <c r="O38" s="62"/>
      <c r="P38" s="71"/>
      <c r="Q38" s="71"/>
      <c r="R38" s="71"/>
      <c r="S38" s="71"/>
      <c r="T38" s="71"/>
    </row>
    <row r="39" spans="3:20" s="13" customFormat="1" ht="18" customHeight="1">
      <c r="C39" s="123"/>
      <c r="D39" s="124"/>
      <c r="E39" s="125" t="s">
        <v>94</v>
      </c>
      <c r="F39" s="126"/>
      <c r="G39" s="127"/>
      <c r="H39" s="128"/>
      <c r="I39" s="129"/>
      <c r="J39" s="125"/>
      <c r="K39" s="125"/>
      <c r="L39" s="125"/>
      <c r="M39" s="130">
        <f t="shared" si="4"/>
        <v>0</v>
      </c>
      <c r="N39" s="80"/>
      <c r="O39" s="70"/>
      <c r="P39" s="81"/>
      <c r="Q39" s="81"/>
      <c r="R39" s="81"/>
      <c r="S39" s="81"/>
      <c r="T39" s="81"/>
    </row>
    <row r="40" spans="3:20" s="13" customFormat="1" ht="18" customHeight="1">
      <c r="C40" s="123"/>
      <c r="D40" s="124"/>
      <c r="E40" s="124" t="s">
        <v>135</v>
      </c>
      <c r="F40" s="123"/>
      <c r="G40" s="131"/>
      <c r="H40" s="128"/>
      <c r="I40" s="132"/>
      <c r="J40" s="124"/>
      <c r="K40" s="124"/>
      <c r="L40" s="124"/>
      <c r="M40" s="133">
        <f t="shared" si="4"/>
        <v>0</v>
      </c>
      <c r="N40" s="80"/>
      <c r="O40" s="70"/>
      <c r="P40" s="81"/>
      <c r="Q40" s="81"/>
      <c r="R40" s="81"/>
      <c r="S40" s="81"/>
      <c r="T40" s="81"/>
    </row>
    <row r="41" spans="3:20" s="13" customFormat="1" ht="18" customHeight="1">
      <c r="C41" s="123"/>
      <c r="D41" s="124"/>
      <c r="E41" s="124" t="s">
        <v>136</v>
      </c>
      <c r="F41" s="123"/>
      <c r="G41" s="131"/>
      <c r="H41" s="128"/>
      <c r="I41" s="132"/>
      <c r="J41" s="124"/>
      <c r="K41" s="124"/>
      <c r="L41" s="124"/>
      <c r="M41" s="133">
        <f t="shared" si="4"/>
        <v>0</v>
      </c>
      <c r="N41" s="80"/>
      <c r="O41" s="70"/>
      <c r="P41" s="81"/>
      <c r="Q41" s="81"/>
      <c r="R41" s="81"/>
      <c r="S41" s="81"/>
      <c r="T41" s="81"/>
    </row>
    <row r="42" spans="3:20" s="13" customFormat="1" ht="18" customHeight="1">
      <c r="C42" s="123"/>
      <c r="D42" s="124"/>
      <c r="E42" s="124" t="s">
        <v>138</v>
      </c>
      <c r="F42" s="123"/>
      <c r="G42" s="131"/>
      <c r="H42" s="128"/>
      <c r="I42" s="132"/>
      <c r="J42" s="124"/>
      <c r="K42" s="124"/>
      <c r="L42" s="124"/>
      <c r="M42" s="133">
        <f t="shared" si="4"/>
        <v>0</v>
      </c>
      <c r="N42" s="80"/>
      <c r="O42" s="70"/>
      <c r="P42" s="81"/>
      <c r="Q42" s="81"/>
      <c r="R42" s="81"/>
      <c r="S42" s="81"/>
      <c r="T42" s="81"/>
    </row>
    <row r="43" spans="3:20" s="13" customFormat="1" ht="18" customHeight="1">
      <c r="C43" s="123"/>
      <c r="D43" s="124"/>
      <c r="E43" s="124" t="s">
        <v>101</v>
      </c>
      <c r="F43" s="123"/>
      <c r="G43" s="131"/>
      <c r="H43" s="128"/>
      <c r="I43" s="132"/>
      <c r="J43" s="124"/>
      <c r="K43" s="124"/>
      <c r="L43" s="124"/>
      <c r="M43" s="133">
        <f t="shared" si="4"/>
        <v>0</v>
      </c>
      <c r="N43" s="80"/>
      <c r="O43" s="70"/>
      <c r="P43" s="81"/>
      <c r="Q43" s="81"/>
      <c r="R43" s="81"/>
      <c r="S43" s="81"/>
      <c r="T43" s="81"/>
    </row>
    <row r="44" spans="3:20" s="13" customFormat="1" ht="18" customHeight="1">
      <c r="C44" s="123"/>
      <c r="D44" s="124"/>
      <c r="E44" s="124" t="s">
        <v>103</v>
      </c>
      <c r="F44" s="123"/>
      <c r="G44" s="131"/>
      <c r="H44" s="128"/>
      <c r="I44" s="132"/>
      <c r="J44" s="124"/>
      <c r="K44" s="124"/>
      <c r="L44" s="124"/>
      <c r="M44" s="133">
        <f t="shared" si="4"/>
        <v>0</v>
      </c>
      <c r="N44" s="80"/>
      <c r="O44" s="70"/>
      <c r="P44" s="81"/>
      <c r="Q44" s="81"/>
      <c r="R44" s="81"/>
      <c r="S44" s="81"/>
      <c r="T44" s="81"/>
    </row>
    <row r="45" spans="3:20" s="13" customFormat="1" ht="18" customHeight="1">
      <c r="C45" s="123"/>
      <c r="D45" s="124"/>
      <c r="E45" s="124" t="s">
        <v>140</v>
      </c>
      <c r="F45" s="123"/>
      <c r="G45" s="131"/>
      <c r="H45" s="128"/>
      <c r="I45" s="132"/>
      <c r="J45" s="124"/>
      <c r="K45" s="124"/>
      <c r="L45" s="124"/>
      <c r="M45" s="133">
        <f t="shared" si="4"/>
        <v>0</v>
      </c>
      <c r="N45" s="80"/>
      <c r="O45" s="70"/>
      <c r="P45" s="81"/>
      <c r="Q45" s="81"/>
      <c r="R45" s="81"/>
      <c r="S45" s="81"/>
      <c r="T45" s="81"/>
    </row>
    <row r="46" spans="3:20" s="13" customFormat="1" ht="18" customHeight="1">
      <c r="C46" s="123"/>
      <c r="D46" s="124"/>
      <c r="E46" s="124" t="s">
        <v>105</v>
      </c>
      <c r="F46" s="123"/>
      <c r="G46" s="131"/>
      <c r="H46" s="128"/>
      <c r="I46" s="132"/>
      <c r="J46" s="124"/>
      <c r="K46" s="124"/>
      <c r="L46" s="124"/>
      <c r="M46" s="133">
        <f t="shared" si="4"/>
        <v>0</v>
      </c>
      <c r="N46" s="80"/>
      <c r="O46" s="70"/>
      <c r="P46" s="81"/>
      <c r="Q46" s="81"/>
      <c r="R46" s="81"/>
      <c r="S46" s="81"/>
      <c r="T46" s="81"/>
    </row>
    <row r="47" spans="3:20" s="13" customFormat="1" ht="18" customHeight="1">
      <c r="C47" s="123"/>
      <c r="D47" s="124"/>
      <c r="E47" s="134" t="s">
        <v>107</v>
      </c>
      <c r="F47" s="135"/>
      <c r="G47" s="136"/>
      <c r="H47" s="128"/>
      <c r="I47" s="137"/>
      <c r="J47" s="134"/>
      <c r="K47" s="134"/>
      <c r="L47" s="134"/>
      <c r="M47" s="138">
        <f t="shared" si="4"/>
        <v>0</v>
      </c>
      <c r="N47" s="80"/>
      <c r="O47" s="70"/>
      <c r="P47" s="81"/>
      <c r="Q47" s="81"/>
      <c r="R47" s="81"/>
      <c r="S47" s="81"/>
      <c r="T47" s="81"/>
    </row>
    <row r="48" spans="3:20" s="13" customFormat="1" ht="18" customHeight="1">
      <c r="C48" s="123"/>
      <c r="D48" s="124"/>
      <c r="E48" s="124" t="s">
        <v>110</v>
      </c>
      <c r="F48" s="123"/>
      <c r="G48" s="131"/>
      <c r="H48" s="128"/>
      <c r="I48" s="132"/>
      <c r="J48" s="124"/>
      <c r="K48" s="124"/>
      <c r="L48" s="124"/>
      <c r="M48" s="133">
        <f t="shared" si="4"/>
        <v>0</v>
      </c>
      <c r="N48" s="80"/>
      <c r="O48" s="70"/>
      <c r="P48" s="81"/>
      <c r="Q48" s="81"/>
      <c r="R48" s="81"/>
      <c r="S48" s="81"/>
      <c r="T48" s="81"/>
    </row>
    <row r="49" spans="3:27" s="13" customFormat="1" ht="18" customHeight="1">
      <c r="C49" s="123"/>
      <c r="D49" s="124"/>
      <c r="E49" s="124" t="s">
        <v>142</v>
      </c>
      <c r="F49" s="123"/>
      <c r="G49" s="131"/>
      <c r="H49" s="128"/>
      <c r="I49" s="132"/>
      <c r="J49" s="124"/>
      <c r="K49" s="124"/>
      <c r="L49" s="124"/>
      <c r="M49" s="133">
        <f t="shared" si="4"/>
        <v>0</v>
      </c>
      <c r="N49" s="80"/>
      <c r="O49" s="70"/>
      <c r="P49" s="81"/>
      <c r="Q49" s="81"/>
      <c r="R49" s="81"/>
      <c r="S49" s="81"/>
      <c r="T49" s="81"/>
    </row>
    <row r="50" spans="3:27" s="13" customFormat="1" ht="18" customHeight="1" thickBot="1">
      <c r="C50" s="144"/>
      <c r="D50" s="145"/>
      <c r="E50" s="145" t="s">
        <v>143</v>
      </c>
      <c r="F50" s="144"/>
      <c r="G50" s="146"/>
      <c r="H50" s="128"/>
      <c r="I50" s="147"/>
      <c r="J50" s="145"/>
      <c r="K50" s="145"/>
      <c r="L50" s="145"/>
      <c r="M50" s="148">
        <f t="shared" si="4"/>
        <v>0</v>
      </c>
      <c r="N50" s="80"/>
      <c r="O50" s="70"/>
      <c r="P50" s="81"/>
      <c r="Q50" s="81"/>
      <c r="R50" s="81"/>
      <c r="S50" s="81"/>
      <c r="T50" s="81"/>
    </row>
    <row r="51" spans="3:27" s="81" customFormat="1" ht="5.0999999999999996" customHeight="1" thickBot="1">
      <c r="C51" s="78"/>
      <c r="D51" s="79"/>
      <c r="E51" s="79"/>
      <c r="F51" s="79"/>
      <c r="G51" s="79"/>
      <c r="H51" s="80"/>
      <c r="I51" s="79"/>
      <c r="J51" s="79"/>
      <c r="K51" s="79"/>
      <c r="L51" s="79"/>
      <c r="M51" s="79"/>
      <c r="N51" s="80"/>
      <c r="O51" s="70"/>
    </row>
    <row r="52" spans="3:27" s="15" customFormat="1" ht="18" customHeight="1">
      <c r="C52" s="149" t="s">
        <v>153</v>
      </c>
      <c r="D52" s="150"/>
      <c r="E52" s="150"/>
      <c r="F52" s="150"/>
      <c r="G52" s="151"/>
      <c r="H52" s="152"/>
      <c r="I52" s="153">
        <f t="shared" ref="I52:L52" si="7">I53+I66+I79</f>
        <v>0</v>
      </c>
      <c r="J52" s="154">
        <f t="shared" si="7"/>
        <v>0</v>
      </c>
      <c r="K52" s="154">
        <f t="shared" si="7"/>
        <v>0</v>
      </c>
      <c r="L52" s="154">
        <f t="shared" si="7"/>
        <v>0</v>
      </c>
      <c r="M52" s="155">
        <f t="shared" ref="M52:M91" si="8">SUM(I52:L52)</f>
        <v>0</v>
      </c>
      <c r="N52" s="58"/>
      <c r="O52" s="62" t="s">
        <v>154</v>
      </c>
      <c r="P52" s="71"/>
      <c r="Q52" s="71"/>
      <c r="R52" s="71"/>
      <c r="S52" s="71"/>
      <c r="T52" s="71"/>
    </row>
    <row r="53" spans="3:27" s="15" customFormat="1" ht="18" customHeight="1">
      <c r="C53" s="156"/>
      <c r="D53" s="157" t="s">
        <v>155</v>
      </c>
      <c r="E53" s="158"/>
      <c r="F53" s="158"/>
      <c r="G53" s="159"/>
      <c r="H53" s="152"/>
      <c r="I53" s="160">
        <f t="shared" ref="I53:L53" si="9">SUM(I54:I65)</f>
        <v>0</v>
      </c>
      <c r="J53" s="157">
        <f t="shared" si="9"/>
        <v>0</v>
      </c>
      <c r="K53" s="157">
        <f t="shared" si="9"/>
        <v>0</v>
      </c>
      <c r="L53" s="157">
        <f t="shared" si="9"/>
        <v>0</v>
      </c>
      <c r="M53" s="161">
        <f t="shared" si="8"/>
        <v>0</v>
      </c>
      <c r="N53" s="58"/>
      <c r="O53" s="62" t="s">
        <v>156</v>
      </c>
      <c r="P53" s="71"/>
      <c r="Q53" s="71"/>
      <c r="R53" s="71"/>
      <c r="S53" s="71"/>
      <c r="T53" s="71"/>
    </row>
    <row r="54" spans="3:27" s="13" customFormat="1" ht="18" customHeight="1">
      <c r="C54" s="162"/>
      <c r="D54" s="163"/>
      <c r="E54" s="164" t="s">
        <v>94</v>
      </c>
      <c r="F54" s="165"/>
      <c r="G54" s="166"/>
      <c r="H54" s="167"/>
      <c r="I54" s="168"/>
      <c r="J54" s="164"/>
      <c r="K54" s="164"/>
      <c r="L54" s="164"/>
      <c r="M54" s="169">
        <f t="shared" si="8"/>
        <v>0</v>
      </c>
      <c r="N54" s="80"/>
      <c r="O54" s="70"/>
      <c r="P54" s="81"/>
      <c r="Q54" s="81"/>
      <c r="R54" s="81"/>
      <c r="S54" s="81"/>
      <c r="T54" s="81"/>
      <c r="W54" s="15"/>
      <c r="X54" s="15"/>
      <c r="Y54" s="15"/>
      <c r="Z54" s="15"/>
      <c r="AA54" s="15"/>
    </row>
    <row r="55" spans="3:27" s="13" customFormat="1" ht="18" customHeight="1">
      <c r="C55" s="162"/>
      <c r="D55" s="163"/>
      <c r="E55" s="163" t="s">
        <v>135</v>
      </c>
      <c r="F55" s="162"/>
      <c r="G55" s="170"/>
      <c r="H55" s="167"/>
      <c r="I55" s="171"/>
      <c r="J55" s="163"/>
      <c r="K55" s="163"/>
      <c r="L55" s="163"/>
      <c r="M55" s="172">
        <f t="shared" si="8"/>
        <v>0</v>
      </c>
      <c r="N55" s="80"/>
      <c r="O55" s="70"/>
      <c r="P55" s="81"/>
      <c r="Q55" s="81"/>
      <c r="R55" s="81"/>
      <c r="S55" s="81"/>
      <c r="T55" s="81"/>
      <c r="W55" s="15"/>
      <c r="X55" s="15"/>
      <c r="Y55" s="15"/>
      <c r="Z55" s="15"/>
      <c r="AA55" s="15"/>
    </row>
    <row r="56" spans="3:27" s="13" customFormat="1" ht="18" customHeight="1">
      <c r="C56" s="162"/>
      <c r="D56" s="163"/>
      <c r="E56" s="163" t="s">
        <v>136</v>
      </c>
      <c r="F56" s="162"/>
      <c r="G56" s="170"/>
      <c r="H56" s="167"/>
      <c r="I56" s="171"/>
      <c r="J56" s="163"/>
      <c r="K56" s="163"/>
      <c r="L56" s="163"/>
      <c r="M56" s="172">
        <f t="shared" si="8"/>
        <v>0</v>
      </c>
      <c r="N56" s="80"/>
      <c r="O56" s="70"/>
      <c r="P56" s="81"/>
      <c r="Q56" s="81"/>
      <c r="R56" s="81"/>
      <c r="S56" s="81"/>
      <c r="T56" s="81"/>
      <c r="W56" s="15"/>
      <c r="X56" s="15"/>
      <c r="Y56" s="15"/>
      <c r="Z56" s="15"/>
      <c r="AA56" s="15"/>
    </row>
    <row r="57" spans="3:27" s="13" customFormat="1" ht="18" customHeight="1">
      <c r="C57" s="162"/>
      <c r="D57" s="163"/>
      <c r="E57" s="163" t="s">
        <v>138</v>
      </c>
      <c r="F57" s="162"/>
      <c r="G57" s="170"/>
      <c r="H57" s="167"/>
      <c r="I57" s="171"/>
      <c r="J57" s="163"/>
      <c r="K57" s="163"/>
      <c r="L57" s="163"/>
      <c r="M57" s="172">
        <f t="shared" si="8"/>
        <v>0</v>
      </c>
      <c r="N57" s="80"/>
      <c r="O57" s="70"/>
      <c r="P57" s="81"/>
      <c r="Q57" s="81"/>
      <c r="R57" s="81"/>
      <c r="S57" s="81"/>
      <c r="T57" s="81"/>
      <c r="W57" s="15"/>
      <c r="X57" s="15"/>
      <c r="Y57" s="15"/>
      <c r="Z57" s="15"/>
      <c r="AA57" s="15"/>
    </row>
    <row r="58" spans="3:27" s="13" customFormat="1" ht="18" customHeight="1">
      <c r="C58" s="162"/>
      <c r="D58" s="163"/>
      <c r="E58" s="163" t="s">
        <v>101</v>
      </c>
      <c r="F58" s="162"/>
      <c r="G58" s="170"/>
      <c r="H58" s="167"/>
      <c r="I58" s="171"/>
      <c r="J58" s="163"/>
      <c r="K58" s="163"/>
      <c r="L58" s="163"/>
      <c r="M58" s="172">
        <f t="shared" si="8"/>
        <v>0</v>
      </c>
      <c r="N58" s="80"/>
      <c r="O58" s="70"/>
      <c r="P58" s="81"/>
      <c r="Q58" s="81"/>
      <c r="R58" s="81"/>
      <c r="S58" s="81"/>
      <c r="T58" s="81"/>
      <c r="W58" s="15"/>
      <c r="X58" s="15"/>
      <c r="Y58" s="15"/>
      <c r="Z58" s="15"/>
      <c r="AA58" s="15"/>
    </row>
    <row r="59" spans="3:27" s="13" customFormat="1" ht="18" customHeight="1">
      <c r="C59" s="162"/>
      <c r="D59" s="163"/>
      <c r="E59" s="163" t="s">
        <v>103</v>
      </c>
      <c r="F59" s="162"/>
      <c r="G59" s="170"/>
      <c r="H59" s="167"/>
      <c r="I59" s="171"/>
      <c r="J59" s="163"/>
      <c r="K59" s="163"/>
      <c r="L59" s="163"/>
      <c r="M59" s="172">
        <f t="shared" si="8"/>
        <v>0</v>
      </c>
      <c r="N59" s="80"/>
      <c r="O59" s="70"/>
      <c r="P59" s="81"/>
      <c r="Q59" s="81"/>
      <c r="R59" s="81"/>
      <c r="S59" s="81"/>
      <c r="T59" s="81"/>
      <c r="W59" s="15"/>
      <c r="X59" s="15"/>
      <c r="Y59" s="15"/>
      <c r="Z59" s="15"/>
      <c r="AA59" s="15"/>
    </row>
    <row r="60" spans="3:27" s="13" customFormat="1" ht="18" customHeight="1">
      <c r="C60" s="162"/>
      <c r="D60" s="163"/>
      <c r="E60" s="163" t="s">
        <v>140</v>
      </c>
      <c r="F60" s="162"/>
      <c r="G60" s="170"/>
      <c r="H60" s="167"/>
      <c r="I60" s="171"/>
      <c r="J60" s="163"/>
      <c r="K60" s="163"/>
      <c r="L60" s="163"/>
      <c r="M60" s="172">
        <f t="shared" si="8"/>
        <v>0</v>
      </c>
      <c r="N60" s="80"/>
      <c r="O60" s="70"/>
      <c r="P60" s="81"/>
      <c r="Q60" s="81"/>
      <c r="R60" s="81"/>
      <c r="S60" s="81"/>
      <c r="T60" s="81"/>
      <c r="W60" s="15"/>
      <c r="X60" s="15"/>
      <c r="Y60" s="15"/>
      <c r="Z60" s="15"/>
      <c r="AA60" s="15"/>
    </row>
    <row r="61" spans="3:27" s="13" customFormat="1" ht="18" customHeight="1">
      <c r="C61" s="162"/>
      <c r="D61" s="163"/>
      <c r="E61" s="163" t="s">
        <v>105</v>
      </c>
      <c r="F61" s="162"/>
      <c r="G61" s="170"/>
      <c r="H61" s="167"/>
      <c r="I61" s="171"/>
      <c r="J61" s="163"/>
      <c r="K61" s="163"/>
      <c r="L61" s="163"/>
      <c r="M61" s="172">
        <f t="shared" si="8"/>
        <v>0</v>
      </c>
      <c r="N61" s="80"/>
      <c r="O61" s="70"/>
      <c r="P61" s="81"/>
      <c r="Q61" s="81"/>
      <c r="R61" s="81"/>
      <c r="S61" s="81"/>
      <c r="T61" s="81"/>
      <c r="W61" s="15"/>
      <c r="X61" s="15"/>
      <c r="Y61" s="15"/>
      <c r="Z61" s="15"/>
      <c r="AA61" s="15"/>
    </row>
    <row r="62" spans="3:27" s="13" customFormat="1" ht="18" customHeight="1">
      <c r="C62" s="162"/>
      <c r="D62" s="163"/>
      <c r="E62" s="173" t="s">
        <v>107</v>
      </c>
      <c r="F62" s="174"/>
      <c r="G62" s="175"/>
      <c r="H62" s="167"/>
      <c r="I62" s="176"/>
      <c r="J62" s="173"/>
      <c r="K62" s="173"/>
      <c r="L62" s="173"/>
      <c r="M62" s="177">
        <f t="shared" si="8"/>
        <v>0</v>
      </c>
      <c r="N62" s="80"/>
      <c r="O62" s="70"/>
      <c r="P62" s="81"/>
      <c r="Q62" s="81"/>
      <c r="R62" s="81"/>
      <c r="S62" s="81"/>
      <c r="T62" s="81"/>
      <c r="W62" s="15"/>
      <c r="X62" s="15"/>
      <c r="Y62" s="15"/>
      <c r="Z62" s="15"/>
      <c r="AA62" s="15"/>
    </row>
    <row r="63" spans="3:27" s="13" customFormat="1" ht="18" customHeight="1">
      <c r="C63" s="162"/>
      <c r="D63" s="163"/>
      <c r="E63" s="163" t="s">
        <v>110</v>
      </c>
      <c r="F63" s="162"/>
      <c r="G63" s="170"/>
      <c r="H63" s="167"/>
      <c r="I63" s="171"/>
      <c r="J63" s="163"/>
      <c r="K63" s="163"/>
      <c r="L63" s="163"/>
      <c r="M63" s="172">
        <f t="shared" si="8"/>
        <v>0</v>
      </c>
      <c r="N63" s="80"/>
      <c r="O63" s="70"/>
      <c r="P63" s="81"/>
      <c r="Q63" s="81"/>
      <c r="R63" s="81"/>
      <c r="S63" s="81"/>
      <c r="T63" s="81"/>
      <c r="W63" s="15"/>
      <c r="X63" s="15"/>
      <c r="Y63" s="15"/>
      <c r="Z63" s="15"/>
      <c r="AA63" s="15"/>
    </row>
    <row r="64" spans="3:27" s="13" customFormat="1" ht="18" customHeight="1">
      <c r="C64" s="162"/>
      <c r="D64" s="163"/>
      <c r="E64" s="163" t="s">
        <v>142</v>
      </c>
      <c r="F64" s="162"/>
      <c r="G64" s="170"/>
      <c r="H64" s="167"/>
      <c r="I64" s="171"/>
      <c r="J64" s="163"/>
      <c r="K64" s="163"/>
      <c r="L64" s="163"/>
      <c r="M64" s="172">
        <f t="shared" si="8"/>
        <v>0</v>
      </c>
      <c r="N64" s="80"/>
      <c r="O64" s="70"/>
      <c r="P64" s="81"/>
      <c r="Q64" s="81"/>
      <c r="R64" s="81"/>
      <c r="S64" s="81"/>
      <c r="T64" s="81"/>
      <c r="W64" s="15"/>
      <c r="X64" s="15"/>
      <c r="Y64" s="15"/>
      <c r="Z64" s="15"/>
      <c r="AA64" s="15"/>
    </row>
    <row r="65" spans="3:27" s="13" customFormat="1" ht="18" customHeight="1">
      <c r="C65" s="162"/>
      <c r="D65" s="163"/>
      <c r="E65" s="178" t="s">
        <v>143</v>
      </c>
      <c r="F65" s="179"/>
      <c r="G65" s="180"/>
      <c r="H65" s="167"/>
      <c r="I65" s="181"/>
      <c r="J65" s="178"/>
      <c r="K65" s="178"/>
      <c r="L65" s="178"/>
      <c r="M65" s="182">
        <f t="shared" si="8"/>
        <v>0</v>
      </c>
      <c r="N65" s="80"/>
      <c r="O65" s="70"/>
      <c r="P65" s="81"/>
      <c r="Q65" s="81"/>
      <c r="R65" s="81"/>
      <c r="S65" s="81"/>
      <c r="T65" s="81"/>
      <c r="U65" s="81"/>
      <c r="W65" s="15"/>
      <c r="X65" s="15"/>
      <c r="Y65" s="15"/>
      <c r="Z65" s="15"/>
      <c r="AA65" s="15"/>
    </row>
    <row r="66" spans="3:27" s="13" customFormat="1" ht="18" customHeight="1">
      <c r="C66" s="162"/>
      <c r="D66" s="157" t="s">
        <v>152</v>
      </c>
      <c r="E66" s="158"/>
      <c r="F66" s="158"/>
      <c r="G66" s="159"/>
      <c r="H66" s="152"/>
      <c r="I66" s="160">
        <f t="shared" ref="I66:L66" si="10">SUM(I67:I78)</f>
        <v>0</v>
      </c>
      <c r="J66" s="157">
        <f t="shared" si="10"/>
        <v>0</v>
      </c>
      <c r="K66" s="157">
        <f t="shared" si="10"/>
        <v>0</v>
      </c>
      <c r="L66" s="157">
        <f t="shared" si="10"/>
        <v>0</v>
      </c>
      <c r="M66" s="161">
        <f t="shared" si="8"/>
        <v>0</v>
      </c>
      <c r="N66" s="183"/>
      <c r="O66" s="71" t="s">
        <v>157</v>
      </c>
      <c r="P66" s="81"/>
      <c r="Q66" s="81"/>
      <c r="R66" s="81"/>
      <c r="S66" s="81"/>
      <c r="T66" s="81"/>
      <c r="W66" s="15"/>
      <c r="X66" s="15"/>
      <c r="Y66" s="15"/>
      <c r="Z66" s="15"/>
      <c r="AA66" s="15"/>
    </row>
    <row r="67" spans="3:27" s="13" customFormat="1" ht="18" customHeight="1">
      <c r="C67" s="162"/>
      <c r="D67" s="163"/>
      <c r="E67" s="164" t="s">
        <v>94</v>
      </c>
      <c r="F67" s="165"/>
      <c r="G67" s="166"/>
      <c r="H67" s="167"/>
      <c r="I67" s="168"/>
      <c r="J67" s="164"/>
      <c r="K67" s="164"/>
      <c r="L67" s="164"/>
      <c r="M67" s="169">
        <f t="shared" si="8"/>
        <v>0</v>
      </c>
      <c r="N67" s="183"/>
      <c r="O67" s="70"/>
      <c r="P67" s="81"/>
      <c r="Q67" s="81"/>
      <c r="R67" s="81"/>
      <c r="S67" s="81"/>
      <c r="T67" s="81"/>
      <c r="W67" s="15"/>
      <c r="X67" s="15"/>
      <c r="Y67" s="15"/>
      <c r="Z67" s="15"/>
      <c r="AA67" s="15"/>
    </row>
    <row r="68" spans="3:27" s="13" customFormat="1" ht="18" customHeight="1">
      <c r="C68" s="162"/>
      <c r="D68" s="163"/>
      <c r="E68" s="163" t="s">
        <v>135</v>
      </c>
      <c r="F68" s="162"/>
      <c r="G68" s="170"/>
      <c r="H68" s="167"/>
      <c r="I68" s="171"/>
      <c r="J68" s="163"/>
      <c r="K68" s="163"/>
      <c r="L68" s="163"/>
      <c r="M68" s="172">
        <f t="shared" si="8"/>
        <v>0</v>
      </c>
      <c r="N68" s="183"/>
      <c r="O68" s="70"/>
      <c r="P68" s="81"/>
      <c r="Q68" s="81"/>
      <c r="R68" s="81"/>
      <c r="S68" s="81"/>
      <c r="T68" s="81"/>
      <c r="W68" s="15"/>
      <c r="X68" s="15"/>
      <c r="Y68" s="15"/>
      <c r="Z68" s="15"/>
      <c r="AA68" s="15"/>
    </row>
    <row r="69" spans="3:27" s="13" customFormat="1" ht="18" customHeight="1">
      <c r="C69" s="162"/>
      <c r="D69" s="163"/>
      <c r="E69" s="163" t="s">
        <v>136</v>
      </c>
      <c r="F69" s="162"/>
      <c r="G69" s="170"/>
      <c r="H69" s="167"/>
      <c r="I69" s="171"/>
      <c r="J69" s="163"/>
      <c r="K69" s="163"/>
      <c r="L69" s="163"/>
      <c r="M69" s="172">
        <f t="shared" si="8"/>
        <v>0</v>
      </c>
      <c r="N69" s="183"/>
      <c r="O69" s="70"/>
      <c r="P69" s="81"/>
      <c r="Q69" s="81"/>
      <c r="R69" s="81"/>
      <c r="S69" s="81"/>
      <c r="T69" s="81"/>
      <c r="W69" s="15"/>
      <c r="X69" s="15"/>
      <c r="Y69" s="15"/>
      <c r="Z69" s="15"/>
      <c r="AA69" s="15"/>
    </row>
    <row r="70" spans="3:27" s="13" customFormat="1" ht="18" customHeight="1">
      <c r="C70" s="162"/>
      <c r="D70" s="163"/>
      <c r="E70" s="163" t="s">
        <v>138</v>
      </c>
      <c r="F70" s="162"/>
      <c r="G70" s="170"/>
      <c r="H70" s="167"/>
      <c r="I70" s="171"/>
      <c r="J70" s="163"/>
      <c r="K70" s="163"/>
      <c r="L70" s="163"/>
      <c r="M70" s="172">
        <f t="shared" si="8"/>
        <v>0</v>
      </c>
      <c r="N70" s="183"/>
      <c r="O70" s="70"/>
      <c r="P70" s="81"/>
      <c r="Q70" s="81"/>
      <c r="R70" s="81"/>
      <c r="S70" s="81"/>
      <c r="T70" s="81"/>
      <c r="W70" s="15"/>
      <c r="X70" s="15"/>
      <c r="Y70" s="15"/>
      <c r="Z70" s="15"/>
      <c r="AA70" s="15"/>
    </row>
    <row r="71" spans="3:27" s="13" customFormat="1" ht="18" customHeight="1">
      <c r="C71" s="162"/>
      <c r="D71" s="163"/>
      <c r="E71" s="163" t="s">
        <v>101</v>
      </c>
      <c r="F71" s="162"/>
      <c r="G71" s="170"/>
      <c r="H71" s="167"/>
      <c r="I71" s="171"/>
      <c r="J71" s="163"/>
      <c r="K71" s="163"/>
      <c r="L71" s="163"/>
      <c r="M71" s="172">
        <f t="shared" si="8"/>
        <v>0</v>
      </c>
      <c r="N71" s="183"/>
      <c r="O71" s="70"/>
      <c r="P71" s="81"/>
      <c r="Q71" s="81"/>
      <c r="R71" s="81"/>
      <c r="S71" s="81"/>
      <c r="T71" s="81"/>
      <c r="W71" s="15"/>
      <c r="X71" s="15"/>
      <c r="Y71" s="15"/>
      <c r="Z71" s="15"/>
      <c r="AA71" s="15"/>
    </row>
    <row r="72" spans="3:27" s="13" customFormat="1" ht="18" customHeight="1">
      <c r="C72" s="162"/>
      <c r="D72" s="163"/>
      <c r="E72" s="163" t="s">
        <v>103</v>
      </c>
      <c r="F72" s="162"/>
      <c r="G72" s="170"/>
      <c r="H72" s="167"/>
      <c r="I72" s="171"/>
      <c r="J72" s="163"/>
      <c r="K72" s="163"/>
      <c r="L72" s="163"/>
      <c r="M72" s="172">
        <f t="shared" si="8"/>
        <v>0</v>
      </c>
      <c r="N72" s="183"/>
      <c r="O72" s="70"/>
      <c r="P72" s="81"/>
      <c r="Q72" s="81"/>
      <c r="R72" s="81"/>
      <c r="S72" s="81"/>
      <c r="T72" s="81"/>
      <c r="W72" s="15"/>
      <c r="X72" s="15"/>
      <c r="Y72" s="15"/>
      <c r="Z72" s="15"/>
      <c r="AA72" s="15"/>
    </row>
    <row r="73" spans="3:27" s="13" customFormat="1" ht="18" customHeight="1">
      <c r="C73" s="162"/>
      <c r="D73" s="163"/>
      <c r="E73" s="163" t="s">
        <v>140</v>
      </c>
      <c r="F73" s="162"/>
      <c r="G73" s="170"/>
      <c r="H73" s="167"/>
      <c r="I73" s="171"/>
      <c r="J73" s="163"/>
      <c r="K73" s="163"/>
      <c r="L73" s="163"/>
      <c r="M73" s="172">
        <f t="shared" si="8"/>
        <v>0</v>
      </c>
      <c r="N73" s="183"/>
      <c r="O73" s="70"/>
      <c r="P73" s="81"/>
      <c r="Q73" s="81"/>
      <c r="R73" s="81"/>
      <c r="S73" s="81"/>
      <c r="T73" s="81"/>
      <c r="W73" s="15"/>
      <c r="X73" s="15"/>
      <c r="Y73" s="15"/>
      <c r="Z73" s="15"/>
      <c r="AA73" s="15"/>
    </row>
    <row r="74" spans="3:27" s="13" customFormat="1" ht="18" customHeight="1">
      <c r="C74" s="162"/>
      <c r="D74" s="163"/>
      <c r="E74" s="163" t="s">
        <v>105</v>
      </c>
      <c r="F74" s="162"/>
      <c r="G74" s="170"/>
      <c r="H74" s="167"/>
      <c r="I74" s="171"/>
      <c r="J74" s="163"/>
      <c r="K74" s="163"/>
      <c r="L74" s="163"/>
      <c r="M74" s="172">
        <f t="shared" si="8"/>
        <v>0</v>
      </c>
      <c r="N74" s="183"/>
      <c r="O74" s="70"/>
      <c r="P74" s="81"/>
      <c r="Q74" s="81"/>
      <c r="R74" s="81"/>
      <c r="S74" s="81"/>
      <c r="T74" s="81"/>
      <c r="W74" s="15"/>
      <c r="X74" s="15"/>
      <c r="Y74" s="15"/>
      <c r="Z74" s="15"/>
      <c r="AA74" s="15"/>
    </row>
    <row r="75" spans="3:27" s="13" customFormat="1" ht="18" customHeight="1">
      <c r="C75" s="162"/>
      <c r="D75" s="163"/>
      <c r="E75" s="173" t="s">
        <v>107</v>
      </c>
      <c r="F75" s="174"/>
      <c r="G75" s="175"/>
      <c r="H75" s="167"/>
      <c r="I75" s="176"/>
      <c r="J75" s="173"/>
      <c r="K75" s="173"/>
      <c r="L75" s="173"/>
      <c r="M75" s="177">
        <f t="shared" si="8"/>
        <v>0</v>
      </c>
      <c r="N75" s="183"/>
      <c r="O75" s="70"/>
      <c r="P75" s="81"/>
      <c r="Q75" s="81"/>
      <c r="R75" s="81"/>
      <c r="S75" s="81"/>
      <c r="T75" s="81"/>
      <c r="W75" s="15"/>
      <c r="X75" s="15"/>
      <c r="Y75" s="15"/>
      <c r="Z75" s="15"/>
      <c r="AA75" s="15"/>
    </row>
    <row r="76" spans="3:27" s="13" customFormat="1" ht="18" customHeight="1">
      <c r="C76" s="162"/>
      <c r="D76" s="163"/>
      <c r="E76" s="163" t="s">
        <v>110</v>
      </c>
      <c r="F76" s="162"/>
      <c r="G76" s="170"/>
      <c r="H76" s="167"/>
      <c r="I76" s="171"/>
      <c r="J76" s="163"/>
      <c r="K76" s="163"/>
      <c r="L76" s="163"/>
      <c r="M76" s="172">
        <f t="shared" si="8"/>
        <v>0</v>
      </c>
      <c r="N76" s="183"/>
      <c r="O76" s="70"/>
      <c r="P76" s="81"/>
      <c r="Q76" s="81"/>
      <c r="R76" s="81"/>
      <c r="S76" s="81"/>
      <c r="T76" s="81"/>
      <c r="W76" s="15"/>
      <c r="X76" s="15"/>
      <c r="Y76" s="15"/>
      <c r="Z76" s="15"/>
      <c r="AA76" s="15"/>
    </row>
    <row r="77" spans="3:27" s="13" customFormat="1" ht="18" customHeight="1">
      <c r="C77" s="162"/>
      <c r="D77" s="163"/>
      <c r="E77" s="163" t="s">
        <v>142</v>
      </c>
      <c r="F77" s="162"/>
      <c r="G77" s="170"/>
      <c r="H77" s="167"/>
      <c r="I77" s="171"/>
      <c r="J77" s="163"/>
      <c r="K77" s="163"/>
      <c r="L77" s="163"/>
      <c r="M77" s="172">
        <f t="shared" si="8"/>
        <v>0</v>
      </c>
      <c r="N77" s="183"/>
      <c r="O77" s="70"/>
      <c r="P77" s="81"/>
      <c r="Q77" s="81"/>
      <c r="R77" s="81"/>
      <c r="S77" s="81"/>
      <c r="T77" s="81"/>
      <c r="W77" s="15"/>
      <c r="X77" s="15"/>
      <c r="Y77" s="15"/>
      <c r="Z77" s="15"/>
      <c r="AA77" s="15"/>
    </row>
    <row r="78" spans="3:27" s="13" customFormat="1" ht="18" customHeight="1">
      <c r="C78" s="162"/>
      <c r="D78" s="163"/>
      <c r="E78" s="178" t="s">
        <v>143</v>
      </c>
      <c r="F78" s="179"/>
      <c r="G78" s="180"/>
      <c r="H78" s="167"/>
      <c r="I78" s="181"/>
      <c r="J78" s="178"/>
      <c r="K78" s="178"/>
      <c r="L78" s="178"/>
      <c r="M78" s="182">
        <f t="shared" si="8"/>
        <v>0</v>
      </c>
      <c r="N78" s="183"/>
      <c r="O78" s="70"/>
      <c r="P78" s="81"/>
      <c r="Q78" s="81"/>
      <c r="R78" s="81"/>
      <c r="S78" s="81"/>
      <c r="T78" s="81"/>
      <c r="W78" s="15"/>
      <c r="X78" s="15"/>
      <c r="Y78" s="15"/>
      <c r="Z78" s="15"/>
      <c r="AA78" s="15"/>
    </row>
    <row r="79" spans="3:27" s="13" customFormat="1" ht="18" customHeight="1">
      <c r="C79" s="162"/>
      <c r="D79" s="157" t="s">
        <v>158</v>
      </c>
      <c r="E79" s="158"/>
      <c r="F79" s="158"/>
      <c r="G79" s="159"/>
      <c r="H79" s="152"/>
      <c r="I79" s="160">
        <f t="shared" ref="I79:L79" si="11">SUM(I80:I91)</f>
        <v>0</v>
      </c>
      <c r="J79" s="157">
        <f t="shared" si="11"/>
        <v>0</v>
      </c>
      <c r="K79" s="157">
        <f t="shared" si="11"/>
        <v>0</v>
      </c>
      <c r="L79" s="157">
        <f t="shared" si="11"/>
        <v>0</v>
      </c>
      <c r="M79" s="161">
        <f t="shared" si="8"/>
        <v>0</v>
      </c>
      <c r="N79" s="183"/>
      <c r="O79" s="71" t="s">
        <v>159</v>
      </c>
      <c r="P79" s="81"/>
      <c r="Q79" s="81"/>
      <c r="R79" s="81"/>
      <c r="S79" s="81"/>
      <c r="T79" s="81"/>
      <c r="W79" s="15"/>
      <c r="X79" s="15"/>
      <c r="Y79" s="15"/>
      <c r="Z79" s="15"/>
      <c r="AA79" s="15"/>
    </row>
    <row r="80" spans="3:27" s="13" customFormat="1" ht="18" customHeight="1">
      <c r="C80" s="162"/>
      <c r="D80" s="163"/>
      <c r="E80" s="164" t="s">
        <v>94</v>
      </c>
      <c r="F80" s="165"/>
      <c r="G80" s="166"/>
      <c r="H80" s="167"/>
      <c r="I80" s="168"/>
      <c r="J80" s="164"/>
      <c r="K80" s="164"/>
      <c r="L80" s="164"/>
      <c r="M80" s="169">
        <f t="shared" si="8"/>
        <v>0</v>
      </c>
      <c r="N80" s="183"/>
      <c r="O80" s="70" t="s">
        <v>160</v>
      </c>
      <c r="P80" s="81"/>
      <c r="Q80" s="81"/>
      <c r="R80" s="81"/>
      <c r="S80" s="81"/>
      <c r="T80" s="81"/>
      <c r="W80" s="15"/>
      <c r="X80" s="15"/>
      <c r="Y80" s="15"/>
      <c r="Z80" s="15"/>
      <c r="AA80" s="15"/>
    </row>
    <row r="81" spans="3:27" s="13" customFormat="1" ht="18" customHeight="1">
      <c r="C81" s="162"/>
      <c r="D81" s="163"/>
      <c r="E81" s="163" t="s">
        <v>135</v>
      </c>
      <c r="F81" s="162"/>
      <c r="G81" s="170"/>
      <c r="H81" s="167"/>
      <c r="I81" s="171"/>
      <c r="J81" s="163"/>
      <c r="K81" s="163"/>
      <c r="L81" s="163"/>
      <c r="M81" s="172">
        <f t="shared" si="8"/>
        <v>0</v>
      </c>
      <c r="N81" s="183"/>
      <c r="O81" s="70"/>
      <c r="P81" s="81"/>
      <c r="Q81" s="81"/>
      <c r="R81" s="81"/>
      <c r="S81" s="81"/>
      <c r="T81" s="81"/>
      <c r="W81" s="15"/>
      <c r="X81" s="15"/>
      <c r="Y81" s="15"/>
      <c r="Z81" s="15"/>
      <c r="AA81" s="15"/>
    </row>
    <row r="82" spans="3:27" s="13" customFormat="1" ht="18" customHeight="1">
      <c r="C82" s="162"/>
      <c r="D82" s="163"/>
      <c r="E82" s="163" t="s">
        <v>136</v>
      </c>
      <c r="F82" s="162"/>
      <c r="G82" s="170"/>
      <c r="H82" s="167"/>
      <c r="I82" s="171"/>
      <c r="J82" s="163"/>
      <c r="K82" s="163"/>
      <c r="L82" s="163"/>
      <c r="M82" s="172">
        <f t="shared" si="8"/>
        <v>0</v>
      </c>
      <c r="N82" s="183"/>
      <c r="O82" s="70"/>
      <c r="P82" s="81"/>
      <c r="Q82" s="81"/>
      <c r="R82" s="81"/>
      <c r="S82" s="81"/>
      <c r="T82" s="81"/>
      <c r="W82" s="15"/>
      <c r="X82" s="15"/>
      <c r="Y82" s="15"/>
      <c r="Z82" s="15"/>
      <c r="AA82" s="15"/>
    </row>
    <row r="83" spans="3:27" s="13" customFormat="1" ht="18" customHeight="1">
      <c r="C83" s="162"/>
      <c r="D83" s="163"/>
      <c r="E83" s="163" t="s">
        <v>138</v>
      </c>
      <c r="F83" s="162"/>
      <c r="G83" s="170"/>
      <c r="H83" s="167"/>
      <c r="I83" s="171"/>
      <c r="J83" s="163"/>
      <c r="K83" s="163"/>
      <c r="L83" s="163"/>
      <c r="M83" s="172">
        <f t="shared" si="8"/>
        <v>0</v>
      </c>
      <c r="N83" s="183"/>
      <c r="O83" s="70"/>
      <c r="P83" s="81"/>
      <c r="Q83" s="81"/>
      <c r="R83" s="81"/>
      <c r="S83" s="81"/>
      <c r="T83" s="81"/>
      <c r="W83" s="15"/>
      <c r="X83" s="15"/>
      <c r="Y83" s="15"/>
      <c r="Z83" s="15"/>
      <c r="AA83" s="15"/>
    </row>
    <row r="84" spans="3:27" s="13" customFormat="1" ht="18" customHeight="1">
      <c r="C84" s="162"/>
      <c r="D84" s="163"/>
      <c r="E84" s="163" t="s">
        <v>101</v>
      </c>
      <c r="F84" s="162"/>
      <c r="G84" s="170"/>
      <c r="H84" s="167"/>
      <c r="I84" s="171"/>
      <c r="J84" s="163"/>
      <c r="K84" s="163"/>
      <c r="L84" s="163"/>
      <c r="M84" s="172">
        <f t="shared" si="8"/>
        <v>0</v>
      </c>
      <c r="N84" s="183"/>
      <c r="O84" s="70"/>
      <c r="P84" s="81"/>
      <c r="Q84" s="81"/>
      <c r="R84" s="81"/>
      <c r="S84" s="81"/>
      <c r="T84" s="81"/>
      <c r="W84" s="15"/>
      <c r="X84" s="15"/>
      <c r="Y84" s="15"/>
      <c r="Z84" s="15"/>
      <c r="AA84" s="15"/>
    </row>
    <row r="85" spans="3:27" s="13" customFormat="1" ht="18" customHeight="1">
      <c r="C85" s="162"/>
      <c r="D85" s="163"/>
      <c r="E85" s="163" t="s">
        <v>103</v>
      </c>
      <c r="F85" s="162"/>
      <c r="G85" s="170"/>
      <c r="H85" s="167"/>
      <c r="I85" s="171"/>
      <c r="J85" s="163"/>
      <c r="K85" s="163"/>
      <c r="L85" s="163"/>
      <c r="M85" s="172">
        <f t="shared" si="8"/>
        <v>0</v>
      </c>
      <c r="N85" s="183"/>
      <c r="O85" s="70"/>
      <c r="P85" s="81"/>
      <c r="Q85" s="81"/>
      <c r="R85" s="81"/>
      <c r="S85" s="81"/>
      <c r="T85" s="81"/>
      <c r="U85" s="81"/>
      <c r="W85" s="15"/>
      <c r="X85" s="15"/>
      <c r="Y85" s="15"/>
      <c r="Z85" s="15"/>
      <c r="AA85" s="15"/>
    </row>
    <row r="86" spans="3:27" s="13" customFormat="1" ht="18" customHeight="1">
      <c r="C86" s="162"/>
      <c r="D86" s="163"/>
      <c r="E86" s="163" t="s">
        <v>140</v>
      </c>
      <c r="F86" s="162"/>
      <c r="G86" s="170"/>
      <c r="H86" s="167"/>
      <c r="I86" s="171"/>
      <c r="J86" s="163"/>
      <c r="K86" s="163"/>
      <c r="L86" s="163"/>
      <c r="M86" s="172">
        <f t="shared" si="8"/>
        <v>0</v>
      </c>
      <c r="N86" s="183"/>
      <c r="O86" s="70"/>
      <c r="P86" s="81"/>
      <c r="Q86" s="81"/>
      <c r="R86" s="81"/>
      <c r="S86" s="81"/>
      <c r="T86" s="81"/>
      <c r="W86" s="15"/>
      <c r="X86" s="15"/>
      <c r="Y86" s="15"/>
      <c r="Z86" s="15"/>
      <c r="AA86" s="15"/>
    </row>
    <row r="87" spans="3:27" s="13" customFormat="1" ht="18" customHeight="1">
      <c r="C87" s="162"/>
      <c r="D87" s="163"/>
      <c r="E87" s="163" t="s">
        <v>105</v>
      </c>
      <c r="F87" s="162"/>
      <c r="G87" s="170"/>
      <c r="H87" s="167"/>
      <c r="I87" s="171"/>
      <c r="J87" s="163"/>
      <c r="K87" s="163"/>
      <c r="L87" s="163"/>
      <c r="M87" s="172">
        <f t="shared" si="8"/>
        <v>0</v>
      </c>
      <c r="N87" s="183"/>
      <c r="O87" s="70"/>
      <c r="P87" s="81"/>
      <c r="Q87" s="81"/>
      <c r="R87" s="81"/>
      <c r="S87" s="81"/>
      <c r="T87" s="81"/>
      <c r="W87" s="15"/>
      <c r="X87" s="15"/>
      <c r="Y87" s="15"/>
      <c r="Z87" s="15"/>
      <c r="AA87" s="15"/>
    </row>
    <row r="88" spans="3:27" s="13" customFormat="1" ht="18" customHeight="1">
      <c r="C88" s="162"/>
      <c r="D88" s="163"/>
      <c r="E88" s="173" t="s">
        <v>107</v>
      </c>
      <c r="F88" s="174"/>
      <c r="G88" s="175"/>
      <c r="H88" s="167"/>
      <c r="I88" s="176"/>
      <c r="J88" s="173"/>
      <c r="K88" s="173"/>
      <c r="L88" s="173"/>
      <c r="M88" s="177">
        <f t="shared" si="8"/>
        <v>0</v>
      </c>
      <c r="N88" s="183"/>
      <c r="O88" s="70"/>
      <c r="P88" s="81"/>
      <c r="Q88" s="81"/>
      <c r="R88" s="81"/>
      <c r="S88" s="81"/>
      <c r="T88" s="81"/>
      <c r="W88" s="15"/>
      <c r="X88" s="15"/>
      <c r="Y88" s="15"/>
      <c r="Z88" s="15"/>
      <c r="AA88" s="15"/>
    </row>
    <row r="89" spans="3:27" s="13" customFormat="1" ht="18" customHeight="1">
      <c r="C89" s="162"/>
      <c r="D89" s="163"/>
      <c r="E89" s="163" t="s">
        <v>110</v>
      </c>
      <c r="F89" s="162"/>
      <c r="G89" s="170"/>
      <c r="H89" s="167"/>
      <c r="I89" s="171"/>
      <c r="J89" s="163"/>
      <c r="K89" s="163"/>
      <c r="L89" s="163"/>
      <c r="M89" s="172">
        <f t="shared" si="8"/>
        <v>0</v>
      </c>
      <c r="N89" s="183"/>
      <c r="O89" s="70"/>
      <c r="P89" s="81"/>
      <c r="Q89" s="81"/>
      <c r="R89" s="81"/>
      <c r="S89" s="81"/>
      <c r="T89" s="81"/>
      <c r="W89" s="15"/>
      <c r="X89" s="15"/>
      <c r="Y89" s="15"/>
      <c r="Z89" s="15"/>
      <c r="AA89" s="15"/>
    </row>
    <row r="90" spans="3:27" s="13" customFormat="1" ht="18" customHeight="1">
      <c r="C90" s="162"/>
      <c r="D90" s="163"/>
      <c r="E90" s="163" t="s">
        <v>142</v>
      </c>
      <c r="F90" s="162"/>
      <c r="G90" s="170"/>
      <c r="H90" s="167"/>
      <c r="I90" s="171"/>
      <c r="J90" s="163"/>
      <c r="K90" s="163"/>
      <c r="L90" s="163"/>
      <c r="M90" s="172">
        <f t="shared" si="8"/>
        <v>0</v>
      </c>
      <c r="N90" s="183"/>
      <c r="O90" s="70"/>
      <c r="P90" s="81"/>
      <c r="Q90" s="81"/>
      <c r="R90" s="81"/>
      <c r="S90" s="81"/>
      <c r="T90" s="81"/>
      <c r="W90" s="15"/>
      <c r="X90" s="15"/>
      <c r="Y90" s="15"/>
      <c r="Z90" s="15"/>
      <c r="AA90" s="15"/>
    </row>
    <row r="91" spans="3:27" s="13" customFormat="1" ht="18" customHeight="1" thickBot="1">
      <c r="C91" s="184"/>
      <c r="D91" s="185"/>
      <c r="E91" s="185" t="s">
        <v>143</v>
      </c>
      <c r="F91" s="184"/>
      <c r="G91" s="186"/>
      <c r="H91" s="167"/>
      <c r="I91" s="187"/>
      <c r="J91" s="185"/>
      <c r="K91" s="185"/>
      <c r="L91" s="185"/>
      <c r="M91" s="188">
        <f t="shared" si="8"/>
        <v>0</v>
      </c>
      <c r="N91" s="183"/>
      <c r="O91" s="70"/>
      <c r="P91" s="81"/>
      <c r="Q91" s="81"/>
      <c r="R91" s="81"/>
      <c r="S91" s="81"/>
      <c r="T91" s="81"/>
      <c r="W91" s="15"/>
      <c r="X91" s="15"/>
      <c r="Y91" s="15"/>
      <c r="Z91" s="15"/>
      <c r="AA91" s="15"/>
    </row>
    <row r="92" spans="3:27" s="81" customFormat="1" ht="5.0999999999999996" customHeight="1" thickBot="1">
      <c r="C92" s="78"/>
      <c r="D92" s="79"/>
      <c r="E92" s="79"/>
      <c r="F92" s="79"/>
      <c r="G92" s="79"/>
      <c r="H92" s="80"/>
      <c r="I92" s="79"/>
      <c r="J92" s="79"/>
      <c r="K92" s="79"/>
      <c r="L92" s="79"/>
      <c r="M92" s="79"/>
      <c r="N92" s="80"/>
      <c r="O92" s="70"/>
    </row>
    <row r="93" spans="3:27" s="190" customFormat="1" ht="20.100000000000001" customHeight="1">
      <c r="C93" s="682" t="s">
        <v>161</v>
      </c>
      <c r="D93" s="683"/>
      <c r="E93" s="684"/>
      <c r="F93" s="60" t="s">
        <v>162</v>
      </c>
      <c r="G93" s="57"/>
      <c r="H93" s="58"/>
      <c r="I93" s="59"/>
      <c r="J93" s="60"/>
      <c r="K93" s="60"/>
      <c r="L93" s="60"/>
      <c r="M93" s="61">
        <f t="shared" ref="M93:M100" si="12">SUM(I93:L93)</f>
        <v>0</v>
      </c>
      <c r="N93" s="58"/>
      <c r="O93" s="70"/>
      <c r="P93" s="189"/>
      <c r="U93" s="189"/>
      <c r="W93" s="15"/>
      <c r="X93" s="15"/>
      <c r="Y93" s="15"/>
      <c r="Z93" s="15"/>
      <c r="AA93" s="15"/>
    </row>
    <row r="94" spans="3:27" s="190" customFormat="1" ht="20.100000000000001" customHeight="1">
      <c r="C94" s="685"/>
      <c r="D94" s="685"/>
      <c r="E94" s="685"/>
      <c r="F94" s="191" t="s">
        <v>163</v>
      </c>
      <c r="G94" s="192"/>
      <c r="H94" s="58"/>
      <c r="I94" s="193">
        <f t="shared" ref="I94:L94" si="13">SUM(I95:I96)</f>
        <v>0</v>
      </c>
      <c r="J94" s="191">
        <f t="shared" si="13"/>
        <v>0</v>
      </c>
      <c r="K94" s="191">
        <f t="shared" si="13"/>
        <v>0</v>
      </c>
      <c r="L94" s="191">
        <f t="shared" si="13"/>
        <v>0</v>
      </c>
      <c r="M94" s="194">
        <f t="shared" si="12"/>
        <v>0</v>
      </c>
      <c r="N94" s="58"/>
      <c r="O94" s="195"/>
      <c r="P94" s="189"/>
      <c r="U94" s="189"/>
      <c r="W94" s="15"/>
      <c r="X94" s="15"/>
      <c r="Y94" s="15"/>
      <c r="Z94" s="15"/>
      <c r="AA94" s="15"/>
    </row>
    <row r="95" spans="3:27" s="190" customFormat="1" ht="20.100000000000001" customHeight="1">
      <c r="C95" s="685"/>
      <c r="D95" s="685"/>
      <c r="E95" s="685"/>
      <c r="F95" s="196"/>
      <c r="G95" s="197" t="s">
        <v>155</v>
      </c>
      <c r="H95" s="58"/>
      <c r="I95" s="193"/>
      <c r="J95" s="191"/>
      <c r="K95" s="191"/>
      <c r="L95" s="191"/>
      <c r="M95" s="194">
        <f t="shared" si="12"/>
        <v>0</v>
      </c>
      <c r="N95" s="58"/>
      <c r="O95" s="62" t="s">
        <v>156</v>
      </c>
      <c r="P95" s="189"/>
      <c r="U95" s="189"/>
      <c r="W95" s="15"/>
      <c r="X95" s="15"/>
      <c r="Y95" s="15"/>
      <c r="Z95" s="15"/>
      <c r="AA95" s="15"/>
    </row>
    <row r="96" spans="3:27" s="81" customFormat="1" ht="20.100000000000001" customHeight="1" thickBot="1">
      <c r="C96" s="686"/>
      <c r="D96" s="686"/>
      <c r="E96" s="686"/>
      <c r="F96" s="198"/>
      <c r="G96" s="199" t="s">
        <v>158</v>
      </c>
      <c r="H96" s="58"/>
      <c r="I96" s="200"/>
      <c r="J96" s="198"/>
      <c r="K96" s="198"/>
      <c r="L96" s="198"/>
      <c r="M96" s="201">
        <f t="shared" si="12"/>
        <v>0</v>
      </c>
      <c r="N96" s="58"/>
      <c r="O96" s="62" t="s">
        <v>164</v>
      </c>
      <c r="W96" s="13"/>
      <c r="X96" s="13"/>
      <c r="Y96" s="13"/>
      <c r="Z96" s="13"/>
      <c r="AA96" s="13"/>
    </row>
    <row r="97" spans="3:28" s="190" customFormat="1" ht="20.100000000000001" customHeight="1">
      <c r="C97" s="682" t="s">
        <v>165</v>
      </c>
      <c r="D97" s="683"/>
      <c r="E97" s="684"/>
      <c r="F97" s="60" t="s">
        <v>162</v>
      </c>
      <c r="G97" s="57"/>
      <c r="H97" s="58"/>
      <c r="I97" s="59"/>
      <c r="J97" s="60"/>
      <c r="K97" s="60"/>
      <c r="L97" s="60"/>
      <c r="M97" s="61">
        <f t="shared" si="12"/>
        <v>0</v>
      </c>
      <c r="N97" s="58"/>
      <c r="O97" s="195"/>
      <c r="P97" s="189"/>
      <c r="U97" s="189"/>
      <c r="W97" s="15"/>
      <c r="X97" s="15"/>
      <c r="Y97" s="15"/>
      <c r="Z97" s="15"/>
      <c r="AA97" s="15"/>
    </row>
    <row r="98" spans="3:28" s="190" customFormat="1" ht="20.100000000000001" customHeight="1">
      <c r="C98" s="685"/>
      <c r="D98" s="685"/>
      <c r="E98" s="685"/>
      <c r="F98" s="191" t="s">
        <v>163</v>
      </c>
      <c r="G98" s="192"/>
      <c r="H98" s="58"/>
      <c r="I98" s="193">
        <f t="shared" ref="I98:L98" si="14">SUM(I99:I100)</f>
        <v>0</v>
      </c>
      <c r="J98" s="191">
        <f t="shared" si="14"/>
        <v>0</v>
      </c>
      <c r="K98" s="191">
        <f t="shared" si="14"/>
        <v>0</v>
      </c>
      <c r="L98" s="191">
        <f t="shared" si="14"/>
        <v>0</v>
      </c>
      <c r="M98" s="194">
        <f t="shared" si="12"/>
        <v>0</v>
      </c>
      <c r="N98" s="58"/>
      <c r="O98" s="195"/>
      <c r="P98" s="189"/>
      <c r="U98" s="189"/>
      <c r="W98" s="15"/>
      <c r="X98" s="15"/>
      <c r="Y98" s="15"/>
      <c r="Z98" s="15"/>
      <c r="AA98" s="15"/>
    </row>
    <row r="99" spans="3:28" s="190" customFormat="1" ht="20.100000000000001" customHeight="1">
      <c r="C99" s="685"/>
      <c r="D99" s="685"/>
      <c r="E99" s="685"/>
      <c r="F99" s="196"/>
      <c r="G99" s="197" t="s">
        <v>155</v>
      </c>
      <c r="H99" s="58"/>
      <c r="I99" s="193"/>
      <c r="J99" s="191"/>
      <c r="K99" s="191"/>
      <c r="L99" s="191"/>
      <c r="M99" s="194">
        <f t="shared" si="12"/>
        <v>0</v>
      </c>
      <c r="N99" s="58"/>
      <c r="O99" s="62" t="s">
        <v>156</v>
      </c>
      <c r="P99" s="189"/>
      <c r="U99" s="189"/>
      <c r="W99" s="15"/>
      <c r="X99" s="15"/>
      <c r="Y99" s="15"/>
      <c r="Z99" s="15"/>
      <c r="AA99" s="15"/>
    </row>
    <row r="100" spans="3:28" s="81" customFormat="1" ht="20.100000000000001" customHeight="1" thickBot="1">
      <c r="C100" s="686"/>
      <c r="D100" s="686"/>
      <c r="E100" s="686"/>
      <c r="F100" s="198"/>
      <c r="G100" s="199" t="s">
        <v>158</v>
      </c>
      <c r="H100" s="58"/>
      <c r="I100" s="200"/>
      <c r="J100" s="198"/>
      <c r="K100" s="198"/>
      <c r="L100" s="198"/>
      <c r="M100" s="201">
        <f t="shared" si="12"/>
        <v>0</v>
      </c>
      <c r="N100" s="58"/>
      <c r="O100" s="202" t="s">
        <v>164</v>
      </c>
      <c r="P100" s="203"/>
      <c r="Q100" s="203"/>
      <c r="R100" s="203"/>
      <c r="S100" s="203"/>
      <c r="T100" s="203"/>
      <c r="W100" s="13"/>
      <c r="X100" s="13"/>
      <c r="Y100" s="13"/>
      <c r="Z100" s="13"/>
      <c r="AA100" s="13"/>
    </row>
    <row r="101" spans="3:28" s="81" customFormat="1" ht="20.100000000000001" customHeight="1">
      <c r="C101" s="78"/>
      <c r="D101" s="79"/>
      <c r="E101" s="79"/>
      <c r="F101" s="79"/>
      <c r="G101" s="79"/>
      <c r="H101" s="80"/>
      <c r="I101" s="79"/>
      <c r="J101" s="79"/>
      <c r="K101" s="79"/>
      <c r="L101" s="79"/>
      <c r="M101" s="79"/>
      <c r="N101" s="80"/>
      <c r="W101" s="13"/>
      <c r="X101" s="13"/>
      <c r="Y101" s="13"/>
      <c r="Z101" s="13"/>
      <c r="AA101" s="13"/>
    </row>
    <row r="102" spans="3:28" s="81" customFormat="1" ht="20.100000000000001" customHeight="1">
      <c r="C102" s="78"/>
      <c r="D102" s="79"/>
      <c r="E102" s="79"/>
      <c r="F102" s="79"/>
      <c r="G102" s="79"/>
      <c r="H102" s="80"/>
      <c r="I102" s="79"/>
      <c r="J102" s="79"/>
      <c r="K102" s="79"/>
      <c r="L102" s="79"/>
      <c r="M102" s="79"/>
      <c r="N102" s="80"/>
      <c r="W102" s="13"/>
      <c r="X102" s="13"/>
      <c r="Y102" s="13"/>
      <c r="Z102" s="13"/>
      <c r="AA102" s="13"/>
    </row>
    <row r="103" spans="3:28" s="190" customFormat="1" ht="27.75" customHeight="1">
      <c r="H103" s="43"/>
      <c r="I103" s="204"/>
      <c r="J103" s="204"/>
      <c r="K103" s="204"/>
      <c r="L103" s="204"/>
      <c r="M103" s="204"/>
      <c r="N103" s="43"/>
      <c r="P103" s="189"/>
      <c r="U103" s="189"/>
      <c r="W103" s="13"/>
      <c r="X103" s="13"/>
      <c r="Y103" s="13"/>
      <c r="Z103" s="13"/>
      <c r="AA103" s="13"/>
    </row>
    <row r="104" spans="3:28" s="81" customFormat="1" ht="20.100000000000001" customHeight="1">
      <c r="C104" s="205"/>
      <c r="D104" s="79"/>
      <c r="E104" s="79"/>
      <c r="F104" s="79"/>
      <c r="G104" s="79"/>
      <c r="H104" s="80"/>
      <c r="I104" s="79"/>
      <c r="J104" s="79"/>
      <c r="K104" s="79"/>
      <c r="L104" s="79"/>
      <c r="M104" s="79"/>
      <c r="N104" s="80"/>
      <c r="W104" s="13"/>
      <c r="X104" s="13"/>
      <c r="Y104" s="13"/>
      <c r="Z104" s="13"/>
      <c r="AA104" s="13"/>
    </row>
    <row r="105" spans="3:28" s="13" customFormat="1" ht="20.100000000000001" customHeight="1">
      <c r="C105" s="78"/>
      <c r="D105" s="79"/>
      <c r="E105" s="79"/>
      <c r="F105" s="79"/>
      <c r="G105" s="79"/>
      <c r="H105" s="80"/>
      <c r="I105" s="79"/>
      <c r="J105" s="79"/>
      <c r="K105" s="79"/>
      <c r="L105" s="79"/>
      <c r="M105" s="79"/>
      <c r="N105" s="80"/>
    </row>
    <row r="106" spans="3:28" s="13" customFormat="1" ht="20.100000000000001" customHeight="1">
      <c r="C106" s="78"/>
      <c r="D106" s="79"/>
      <c r="E106" s="79"/>
      <c r="F106" s="79"/>
      <c r="G106" s="79"/>
      <c r="H106" s="80"/>
      <c r="I106" s="79"/>
      <c r="J106" s="79"/>
      <c r="K106" s="79"/>
      <c r="L106" s="79"/>
      <c r="M106" s="79"/>
      <c r="N106" s="80"/>
      <c r="V106" s="190"/>
      <c r="W106" s="190"/>
      <c r="X106" s="190"/>
      <c r="Y106" s="190"/>
      <c r="Z106" s="190"/>
      <c r="AA106" s="190"/>
      <c r="AB106" s="190"/>
    </row>
    <row r="107" spans="3:28" s="190" customFormat="1" ht="5.0999999999999996" customHeight="1">
      <c r="H107" s="43"/>
      <c r="I107" s="204"/>
      <c r="J107" s="204"/>
      <c r="K107" s="204"/>
      <c r="L107" s="204"/>
      <c r="M107" s="204"/>
      <c r="N107" s="43"/>
      <c r="P107" s="189"/>
      <c r="U107" s="189"/>
    </row>
    <row r="108" spans="3:28" s="81" customFormat="1" ht="20.100000000000001" customHeight="1">
      <c r="C108" s="205"/>
      <c r="D108" s="79"/>
      <c r="E108" s="79"/>
      <c r="F108" s="79"/>
      <c r="G108" s="79"/>
      <c r="H108" s="80"/>
      <c r="I108" s="79"/>
      <c r="J108" s="79"/>
      <c r="K108" s="79"/>
      <c r="L108" s="79"/>
      <c r="M108" s="79"/>
      <c r="N108" s="80"/>
      <c r="V108" s="190"/>
      <c r="W108" s="190"/>
      <c r="X108" s="190"/>
      <c r="Y108" s="190"/>
      <c r="Z108" s="190"/>
      <c r="AA108" s="190"/>
      <c r="AB108" s="190"/>
    </row>
    <row r="109" spans="3:28" s="13" customFormat="1" ht="20.100000000000001" customHeight="1">
      <c r="C109" s="78"/>
      <c r="D109" s="78"/>
      <c r="E109" s="79"/>
      <c r="F109" s="79"/>
      <c r="G109" s="79"/>
      <c r="H109" s="80"/>
      <c r="I109" s="79"/>
      <c r="J109" s="79"/>
      <c r="K109" s="79"/>
      <c r="L109" s="79"/>
      <c r="M109" s="79"/>
      <c r="N109" s="80"/>
      <c r="V109" s="190"/>
      <c r="W109" s="190"/>
      <c r="X109" s="190"/>
      <c r="Y109" s="190"/>
      <c r="Z109" s="190"/>
      <c r="AA109" s="190"/>
      <c r="AB109" s="190"/>
    </row>
    <row r="110" spans="3:28" s="13" customFormat="1" ht="20.100000000000001" customHeight="1">
      <c r="C110" s="79"/>
      <c r="D110" s="81"/>
      <c r="E110" s="79"/>
      <c r="F110" s="79"/>
      <c r="G110" s="79"/>
      <c r="H110" s="80"/>
      <c r="I110" s="79"/>
      <c r="J110" s="79"/>
      <c r="K110" s="79"/>
      <c r="L110" s="79"/>
      <c r="M110" s="79"/>
      <c r="N110" s="80"/>
      <c r="V110" s="190"/>
      <c r="W110" s="190"/>
      <c r="X110" s="190"/>
      <c r="Y110" s="190"/>
      <c r="Z110" s="190"/>
      <c r="AA110" s="190"/>
      <c r="AB110" s="190"/>
    </row>
    <row r="111" spans="3:28" s="13" customFormat="1" ht="20.100000000000001" customHeight="1">
      <c r="C111" s="79"/>
      <c r="D111" s="79"/>
      <c r="E111" s="79"/>
      <c r="F111" s="79"/>
      <c r="G111" s="79"/>
      <c r="H111" s="80"/>
      <c r="I111" s="79"/>
      <c r="J111" s="79"/>
      <c r="K111" s="79"/>
      <c r="L111" s="79"/>
      <c r="M111" s="79"/>
      <c r="N111" s="80"/>
      <c r="V111" s="190"/>
      <c r="W111" s="190"/>
      <c r="X111" s="190"/>
      <c r="Y111" s="190"/>
      <c r="Z111" s="190"/>
      <c r="AA111" s="190"/>
      <c r="AB111" s="190"/>
    </row>
    <row r="112" spans="3:28" s="13" customFormat="1" ht="20.100000000000001" customHeight="1">
      <c r="C112" s="79"/>
      <c r="D112" s="78"/>
      <c r="E112" s="79"/>
      <c r="F112" s="79"/>
      <c r="G112" s="79"/>
      <c r="H112" s="80"/>
      <c r="I112" s="79"/>
      <c r="J112" s="79"/>
      <c r="K112" s="79"/>
      <c r="L112" s="79"/>
      <c r="M112" s="79"/>
      <c r="N112" s="80"/>
      <c r="V112" s="190"/>
      <c r="W112" s="190"/>
      <c r="X112" s="190"/>
      <c r="Y112" s="190"/>
      <c r="Z112" s="190"/>
      <c r="AA112" s="190"/>
      <c r="AB112" s="190"/>
    </row>
    <row r="113" spans="3:28" ht="20.100000000000001" customHeight="1">
      <c r="C113" s="79"/>
      <c r="D113" s="79"/>
      <c r="E113" s="79"/>
      <c r="F113" s="79"/>
      <c r="G113" s="79"/>
      <c r="H113" s="80"/>
      <c r="I113" s="79"/>
      <c r="J113" s="79"/>
      <c r="K113" s="79"/>
      <c r="L113" s="79"/>
      <c r="M113" s="79"/>
      <c r="N113" s="80"/>
      <c r="V113" s="190"/>
      <c r="W113" s="190"/>
      <c r="X113" s="190"/>
      <c r="Y113" s="190"/>
      <c r="Z113" s="190"/>
      <c r="AA113" s="190"/>
      <c r="AB113" s="190"/>
    </row>
    <row r="114" spans="3:28" ht="20.100000000000001" customHeight="1">
      <c r="C114" s="79"/>
      <c r="D114" s="79"/>
      <c r="E114" s="79"/>
      <c r="F114" s="79"/>
      <c r="G114" s="79"/>
      <c r="H114" s="80"/>
      <c r="I114" s="79"/>
      <c r="J114" s="79"/>
      <c r="K114" s="79"/>
      <c r="L114" s="79"/>
      <c r="M114" s="79"/>
      <c r="N114" s="80"/>
      <c r="V114" s="190"/>
      <c r="W114" s="190"/>
      <c r="X114" s="190"/>
      <c r="Y114" s="190"/>
      <c r="Z114" s="190"/>
      <c r="AA114" s="190"/>
      <c r="AB114" s="190"/>
    </row>
    <row r="115" spans="3:28" ht="20.100000000000001" customHeight="1">
      <c r="C115" s="79"/>
      <c r="D115" s="79"/>
      <c r="E115" s="79"/>
      <c r="F115" s="79"/>
      <c r="G115" s="79"/>
      <c r="H115" s="80"/>
      <c r="I115" s="79"/>
      <c r="J115" s="79"/>
      <c r="K115" s="79"/>
      <c r="L115" s="79"/>
      <c r="M115" s="79"/>
      <c r="N115" s="80"/>
      <c r="V115" s="190"/>
      <c r="W115" s="190"/>
      <c r="X115" s="190"/>
      <c r="Y115" s="190"/>
      <c r="Z115" s="190"/>
      <c r="AA115" s="190"/>
      <c r="AB115" s="190"/>
    </row>
    <row r="116" spans="3:28" ht="20.100000000000001" customHeight="1">
      <c r="C116" s="79"/>
      <c r="D116" s="79"/>
      <c r="E116" s="79"/>
      <c r="F116" s="79"/>
      <c r="G116" s="79"/>
      <c r="H116" s="80"/>
      <c r="I116" s="79"/>
      <c r="J116" s="79"/>
      <c r="K116" s="79"/>
      <c r="L116" s="79"/>
      <c r="M116" s="79"/>
      <c r="N116" s="80"/>
      <c r="V116" s="190"/>
      <c r="W116" s="190"/>
      <c r="X116" s="190"/>
      <c r="Y116" s="190"/>
      <c r="Z116" s="190"/>
      <c r="AA116" s="190"/>
      <c r="AB116" s="190"/>
    </row>
    <row r="117" spans="3:28" ht="20.100000000000001" customHeight="1">
      <c r="C117" s="79"/>
      <c r="D117" s="78"/>
      <c r="E117" s="79"/>
      <c r="F117" s="79"/>
      <c r="G117" s="79"/>
      <c r="H117" s="80"/>
      <c r="I117" s="79"/>
      <c r="J117" s="79"/>
      <c r="K117" s="79"/>
      <c r="L117" s="79"/>
      <c r="M117" s="79"/>
      <c r="N117" s="80"/>
      <c r="V117" s="190"/>
      <c r="W117" s="190"/>
      <c r="X117" s="190"/>
      <c r="Y117" s="190"/>
      <c r="Z117" s="190"/>
      <c r="AA117" s="190"/>
      <c r="AB117" s="190"/>
    </row>
    <row r="118" spans="3:28" ht="20.100000000000001" customHeight="1">
      <c r="C118" s="79"/>
      <c r="D118" s="79"/>
      <c r="E118" s="79"/>
      <c r="F118" s="79"/>
      <c r="G118" s="79"/>
      <c r="H118" s="80"/>
      <c r="I118" s="79"/>
      <c r="J118" s="79"/>
      <c r="K118" s="79"/>
      <c r="L118" s="79"/>
      <c r="M118" s="79"/>
      <c r="N118" s="80"/>
      <c r="V118" s="190"/>
      <c r="W118" s="190"/>
      <c r="X118" s="190"/>
      <c r="Y118" s="190"/>
      <c r="Z118" s="190"/>
      <c r="AA118" s="190"/>
      <c r="AB118" s="190"/>
    </row>
    <row r="119" spans="3:28" ht="20.100000000000001" customHeight="1">
      <c r="C119" s="79"/>
      <c r="D119" s="79"/>
      <c r="E119" s="79"/>
      <c r="F119" s="79"/>
      <c r="G119" s="79"/>
      <c r="H119" s="80"/>
      <c r="I119" s="79"/>
      <c r="J119" s="79"/>
      <c r="K119" s="79"/>
      <c r="L119" s="79"/>
      <c r="M119" s="79"/>
      <c r="N119" s="80"/>
      <c r="V119" s="190"/>
      <c r="W119" s="190"/>
      <c r="X119" s="190"/>
      <c r="Y119" s="190"/>
      <c r="Z119" s="190"/>
      <c r="AA119" s="190"/>
      <c r="AB119" s="190"/>
    </row>
    <row r="120" spans="3:28" ht="20.100000000000001" customHeight="1">
      <c r="C120" s="79"/>
      <c r="D120" s="79"/>
      <c r="E120" s="79"/>
      <c r="F120" s="79"/>
      <c r="G120" s="79"/>
      <c r="H120" s="80"/>
      <c r="I120" s="79"/>
      <c r="J120" s="79"/>
      <c r="K120" s="79"/>
      <c r="L120" s="79"/>
      <c r="M120" s="79"/>
      <c r="N120" s="80"/>
      <c r="V120" s="190"/>
      <c r="W120" s="190"/>
      <c r="X120" s="190"/>
      <c r="Y120" s="190"/>
      <c r="Z120" s="190"/>
      <c r="AA120" s="190"/>
      <c r="AB120" s="190"/>
    </row>
    <row r="121" spans="3:28" ht="20.100000000000001" customHeight="1">
      <c r="C121" s="79"/>
      <c r="D121" s="79"/>
      <c r="E121" s="79"/>
      <c r="F121" s="79"/>
      <c r="G121" s="79"/>
      <c r="H121" s="80"/>
      <c r="I121" s="79"/>
      <c r="J121" s="79"/>
      <c r="K121" s="79"/>
      <c r="L121" s="79"/>
      <c r="M121" s="79"/>
      <c r="N121" s="80"/>
      <c r="V121" s="190"/>
      <c r="W121" s="190"/>
      <c r="X121" s="190"/>
      <c r="Y121" s="190"/>
      <c r="Z121" s="190"/>
      <c r="AA121" s="190"/>
      <c r="AB121" s="190"/>
    </row>
    <row r="122" spans="3:28" ht="20.100000000000001" customHeight="1">
      <c r="C122" s="79"/>
      <c r="D122" s="78"/>
      <c r="E122" s="79"/>
      <c r="F122" s="79"/>
      <c r="G122" s="79"/>
      <c r="H122" s="80"/>
      <c r="I122" s="79"/>
      <c r="J122" s="79"/>
      <c r="K122" s="79"/>
      <c r="L122" s="79"/>
      <c r="M122" s="79"/>
      <c r="N122" s="80"/>
      <c r="V122" s="190"/>
      <c r="W122" s="190"/>
      <c r="X122" s="190"/>
      <c r="Y122" s="190"/>
      <c r="Z122" s="190"/>
      <c r="AA122" s="190"/>
      <c r="AB122" s="190"/>
    </row>
    <row r="123" spans="3:28" ht="20.100000000000001" customHeight="1">
      <c r="C123" s="79"/>
      <c r="D123" s="79"/>
      <c r="E123" s="79"/>
      <c r="F123" s="79"/>
      <c r="G123" s="79"/>
      <c r="H123" s="80"/>
      <c r="I123" s="79"/>
      <c r="J123" s="79"/>
      <c r="K123" s="79"/>
      <c r="L123" s="79"/>
      <c r="M123" s="79"/>
      <c r="N123" s="80"/>
      <c r="V123" s="190"/>
      <c r="W123" s="190"/>
      <c r="X123" s="190"/>
      <c r="Y123" s="190"/>
      <c r="Z123" s="190"/>
      <c r="AA123" s="190"/>
      <c r="AB123" s="190"/>
    </row>
    <row r="124" spans="3:28" ht="20.100000000000001" customHeight="1">
      <c r="C124" s="79"/>
      <c r="D124" s="79"/>
      <c r="E124" s="79"/>
      <c r="F124" s="79"/>
      <c r="G124" s="79"/>
      <c r="H124" s="80"/>
      <c r="I124" s="79"/>
      <c r="J124" s="79"/>
      <c r="K124" s="79"/>
      <c r="L124" s="79"/>
      <c r="M124" s="79"/>
      <c r="N124" s="80"/>
      <c r="V124" s="190"/>
      <c r="W124" s="190"/>
      <c r="X124" s="190"/>
      <c r="Y124" s="190"/>
      <c r="Z124" s="190"/>
      <c r="AA124" s="190"/>
      <c r="AB124" s="190"/>
    </row>
    <row r="125" spans="3:28" ht="20.100000000000001" customHeight="1">
      <c r="C125" s="79"/>
      <c r="D125" s="79"/>
      <c r="E125" s="79"/>
      <c r="F125" s="79"/>
      <c r="G125" s="79"/>
      <c r="H125" s="80"/>
      <c r="I125" s="79"/>
      <c r="J125" s="79"/>
      <c r="K125" s="79"/>
      <c r="L125" s="79"/>
      <c r="M125" s="79"/>
      <c r="N125" s="80"/>
      <c r="V125" s="190"/>
      <c r="W125" s="190"/>
      <c r="X125" s="190"/>
      <c r="Y125" s="190"/>
      <c r="Z125" s="190"/>
      <c r="AA125" s="190"/>
      <c r="AB125" s="190"/>
    </row>
    <row r="126" spans="3:28" ht="20.100000000000001" customHeight="1">
      <c r="C126" s="79"/>
      <c r="D126" s="79"/>
      <c r="E126" s="79"/>
      <c r="F126" s="79"/>
      <c r="G126" s="79"/>
      <c r="H126" s="80"/>
      <c r="I126" s="79"/>
      <c r="J126" s="79"/>
      <c r="K126" s="79"/>
      <c r="L126" s="79"/>
      <c r="M126" s="79"/>
      <c r="N126" s="80"/>
      <c r="V126" s="190"/>
      <c r="W126" s="190"/>
      <c r="X126" s="190"/>
      <c r="Y126" s="190"/>
      <c r="Z126" s="190"/>
      <c r="AA126" s="190"/>
      <c r="AB126" s="190"/>
    </row>
    <row r="127" spans="3:28" s="190" customFormat="1" ht="5.0999999999999996" customHeight="1">
      <c r="H127" s="43"/>
      <c r="I127" s="204"/>
      <c r="J127" s="204"/>
      <c r="K127" s="204"/>
      <c r="L127" s="204"/>
      <c r="M127" s="204"/>
      <c r="N127" s="43"/>
      <c r="P127" s="189"/>
      <c r="U127" s="189"/>
    </row>
    <row r="128" spans="3:28" ht="20.100000000000001" customHeight="1">
      <c r="C128" s="205"/>
      <c r="D128" s="79"/>
      <c r="E128" s="79"/>
      <c r="F128" s="79"/>
      <c r="G128" s="79"/>
      <c r="H128" s="80"/>
      <c r="I128" s="79"/>
      <c r="J128" s="79"/>
      <c r="K128" s="79"/>
      <c r="L128" s="79"/>
      <c r="M128" s="79"/>
      <c r="N128" s="80"/>
      <c r="V128" s="190"/>
      <c r="W128" s="190"/>
      <c r="X128" s="190"/>
      <c r="Y128" s="190"/>
      <c r="Z128" s="190"/>
      <c r="AA128" s="190"/>
      <c r="AB128" s="190"/>
    </row>
    <row r="129" spans="3:28" ht="20.100000000000001" customHeight="1">
      <c r="C129" s="79"/>
      <c r="D129" s="78"/>
      <c r="F129" s="79"/>
      <c r="G129" s="79"/>
      <c r="H129" s="80"/>
      <c r="I129" s="79"/>
      <c r="J129" s="79"/>
      <c r="K129" s="79"/>
      <c r="L129" s="79"/>
      <c r="M129" s="79"/>
      <c r="N129" s="80"/>
      <c r="V129" s="190"/>
      <c r="W129" s="190"/>
      <c r="X129" s="190"/>
      <c r="Y129" s="190"/>
      <c r="Z129" s="190"/>
      <c r="AA129" s="190"/>
      <c r="AB129" s="190"/>
    </row>
    <row r="130" spans="3:28" ht="20.100000000000001" customHeight="1">
      <c r="C130" s="79"/>
      <c r="D130" s="79"/>
      <c r="E130" s="79"/>
      <c r="F130" s="79"/>
      <c r="H130" s="80"/>
      <c r="I130" s="79"/>
      <c r="J130" s="79"/>
      <c r="K130" s="79"/>
      <c r="L130" s="79"/>
      <c r="M130" s="79"/>
      <c r="N130" s="80"/>
      <c r="V130" s="190"/>
      <c r="W130" s="190"/>
      <c r="X130" s="190"/>
      <c r="Y130" s="190"/>
      <c r="Z130" s="190"/>
      <c r="AA130" s="190"/>
      <c r="AB130" s="190"/>
    </row>
    <row r="131" spans="3:28" ht="20.100000000000001" customHeight="1">
      <c r="C131" s="79"/>
      <c r="D131" s="79"/>
      <c r="E131" s="79"/>
      <c r="G131" s="79"/>
      <c r="H131" s="80"/>
      <c r="I131" s="79"/>
      <c r="J131" s="79"/>
      <c r="K131" s="79"/>
      <c r="L131" s="79"/>
      <c r="M131" s="79"/>
      <c r="N131" s="80"/>
      <c r="V131" s="190"/>
      <c r="W131" s="190"/>
      <c r="X131" s="190"/>
      <c r="Y131" s="190"/>
      <c r="Z131" s="190"/>
      <c r="AA131" s="190"/>
      <c r="AB131" s="190"/>
    </row>
    <row r="132" spans="3:28" ht="20.100000000000001" customHeight="1">
      <c r="C132" s="79"/>
      <c r="D132" s="79"/>
      <c r="E132" s="79"/>
      <c r="G132" s="79"/>
      <c r="H132" s="80"/>
      <c r="I132" s="79"/>
      <c r="J132" s="79"/>
      <c r="K132" s="79"/>
      <c r="L132" s="79"/>
      <c r="M132" s="79"/>
      <c r="N132" s="80"/>
      <c r="W132" s="81"/>
      <c r="X132" s="81"/>
      <c r="Y132" s="81"/>
      <c r="Z132" s="81"/>
      <c r="AA132" s="81"/>
    </row>
    <row r="133" spans="3:28" ht="20.100000000000001" customHeight="1">
      <c r="C133" s="79"/>
      <c r="D133" s="79"/>
      <c r="E133" s="79"/>
      <c r="G133" s="79"/>
      <c r="H133" s="80"/>
      <c r="I133" s="79"/>
      <c r="J133" s="79"/>
      <c r="K133" s="79"/>
      <c r="L133" s="79"/>
      <c r="M133" s="79"/>
      <c r="N133" s="80"/>
      <c r="W133" s="13"/>
      <c r="X133" s="13"/>
      <c r="Y133" s="13"/>
      <c r="Z133" s="13"/>
      <c r="AA133" s="13"/>
    </row>
    <row r="134" spans="3:28" ht="20.100000000000001" customHeight="1">
      <c r="C134" s="79"/>
      <c r="D134" s="79"/>
      <c r="E134" s="79"/>
      <c r="F134" s="79"/>
      <c r="H134" s="80"/>
      <c r="I134" s="79"/>
      <c r="J134" s="79"/>
      <c r="K134" s="79"/>
      <c r="L134" s="79"/>
      <c r="M134" s="79"/>
      <c r="N134" s="80"/>
      <c r="W134" s="13"/>
      <c r="X134" s="13"/>
      <c r="Y134" s="13"/>
      <c r="Z134" s="13"/>
      <c r="AA134" s="13"/>
    </row>
    <row r="135" spans="3:28" ht="20.100000000000001" customHeight="1">
      <c r="C135" s="79"/>
      <c r="D135" s="79"/>
      <c r="E135" s="79"/>
      <c r="G135" s="79"/>
      <c r="H135" s="80"/>
      <c r="I135" s="79"/>
      <c r="J135" s="79"/>
      <c r="K135" s="79"/>
      <c r="L135" s="79"/>
      <c r="M135" s="79"/>
      <c r="N135" s="80"/>
      <c r="W135" s="13"/>
      <c r="X135" s="13"/>
      <c r="Y135" s="13"/>
      <c r="Z135" s="13"/>
      <c r="AA135" s="13"/>
    </row>
    <row r="136" spans="3:28" ht="20.100000000000001" customHeight="1">
      <c r="C136" s="79"/>
      <c r="D136" s="79"/>
      <c r="E136" s="79"/>
      <c r="G136" s="79"/>
      <c r="H136" s="80"/>
      <c r="I136" s="79"/>
      <c r="J136" s="79"/>
      <c r="K136" s="79"/>
      <c r="L136" s="79"/>
      <c r="M136" s="79"/>
      <c r="N136" s="80"/>
      <c r="W136" s="13"/>
      <c r="X136" s="13"/>
      <c r="Y136" s="13"/>
      <c r="Z136" s="13"/>
      <c r="AA136" s="13"/>
    </row>
    <row r="137" spans="3:28" ht="20.100000000000001" customHeight="1">
      <c r="C137" s="79"/>
      <c r="D137" s="79"/>
      <c r="E137" s="79"/>
      <c r="G137" s="79"/>
      <c r="H137" s="80"/>
      <c r="I137" s="79"/>
      <c r="J137" s="79"/>
      <c r="K137" s="79"/>
      <c r="L137" s="79"/>
      <c r="M137" s="79"/>
      <c r="N137" s="80"/>
    </row>
    <row r="138" spans="3:28" ht="20.100000000000001" customHeight="1">
      <c r="C138" s="79"/>
      <c r="D138" s="79"/>
      <c r="E138" s="79"/>
      <c r="F138" s="79"/>
      <c r="H138" s="80"/>
      <c r="I138" s="79"/>
      <c r="J138" s="79"/>
      <c r="K138" s="79"/>
      <c r="L138" s="79"/>
      <c r="M138" s="79"/>
      <c r="N138" s="80"/>
    </row>
    <row r="139" spans="3:28" ht="20.100000000000001" customHeight="1">
      <c r="C139" s="79"/>
      <c r="D139" s="79"/>
      <c r="E139" s="79"/>
      <c r="G139" s="79"/>
      <c r="H139" s="80"/>
      <c r="I139" s="79"/>
      <c r="J139" s="79"/>
      <c r="K139" s="79"/>
      <c r="L139" s="79"/>
      <c r="M139" s="79"/>
      <c r="N139" s="80"/>
    </row>
    <row r="140" spans="3:28" ht="20.100000000000001" customHeight="1">
      <c r="C140" s="79"/>
      <c r="D140" s="79"/>
      <c r="E140" s="79"/>
      <c r="G140" s="79"/>
      <c r="H140" s="80"/>
      <c r="I140" s="79"/>
      <c r="J140" s="79"/>
      <c r="K140" s="79"/>
      <c r="L140" s="79"/>
      <c r="M140" s="79"/>
      <c r="N140" s="80"/>
    </row>
    <row r="141" spans="3:28" ht="20.100000000000001" customHeight="1">
      <c r="C141" s="79"/>
      <c r="D141" s="79"/>
      <c r="E141" s="79"/>
      <c r="G141" s="79"/>
      <c r="H141" s="80"/>
      <c r="I141" s="79"/>
      <c r="J141" s="79"/>
      <c r="K141" s="79"/>
      <c r="L141" s="79"/>
      <c r="M141" s="79"/>
      <c r="N141" s="80"/>
    </row>
    <row r="142" spans="3:28" ht="20.100000000000001" customHeight="1">
      <c r="C142" s="79"/>
      <c r="D142" s="79"/>
      <c r="E142" s="79"/>
      <c r="F142" s="79"/>
      <c r="G142" s="79"/>
      <c r="H142" s="80"/>
      <c r="I142" s="79"/>
      <c r="J142" s="79"/>
      <c r="K142" s="79"/>
      <c r="L142" s="79"/>
      <c r="M142" s="79"/>
      <c r="N142" s="80"/>
    </row>
    <row r="143" spans="3:28" ht="20.100000000000001" customHeight="1">
      <c r="C143" s="79"/>
      <c r="D143" s="79"/>
      <c r="E143" s="79"/>
      <c r="F143" s="79"/>
      <c r="G143" s="79"/>
      <c r="H143" s="80"/>
      <c r="I143" s="79"/>
      <c r="J143" s="79"/>
      <c r="K143" s="79"/>
      <c r="L143" s="79"/>
      <c r="M143" s="79"/>
      <c r="N143" s="80"/>
    </row>
    <row r="144" spans="3:28" ht="20.100000000000001" customHeight="1">
      <c r="C144" s="79"/>
      <c r="D144" s="79"/>
      <c r="E144" s="79"/>
      <c r="F144" s="79"/>
      <c r="G144" s="79"/>
      <c r="H144" s="80"/>
      <c r="I144" s="79"/>
      <c r="J144" s="79"/>
      <c r="K144" s="79"/>
      <c r="L144" s="79"/>
      <c r="M144" s="79"/>
      <c r="N144" s="80"/>
    </row>
    <row r="145" spans="3:27" ht="20.100000000000001" customHeight="1">
      <c r="C145" s="79"/>
      <c r="D145" s="79"/>
      <c r="E145" s="79"/>
      <c r="F145" s="79"/>
      <c r="G145" s="79"/>
      <c r="H145" s="80"/>
      <c r="I145" s="79"/>
      <c r="J145" s="79"/>
      <c r="K145" s="79"/>
      <c r="L145" s="79"/>
      <c r="M145" s="79"/>
      <c r="N145" s="80"/>
    </row>
    <row r="146" spans="3:27" ht="20.100000000000001" customHeight="1">
      <c r="C146" s="79"/>
      <c r="D146" s="79"/>
      <c r="E146" s="79"/>
      <c r="F146" s="79"/>
      <c r="G146" s="79"/>
      <c r="H146" s="80"/>
      <c r="I146" s="79"/>
      <c r="J146" s="79"/>
      <c r="K146" s="79"/>
      <c r="L146" s="79"/>
      <c r="M146" s="79"/>
      <c r="N146" s="80"/>
    </row>
    <row r="147" spans="3:27" ht="20.100000000000001" customHeight="1">
      <c r="C147" s="79"/>
      <c r="D147" s="79"/>
      <c r="E147" s="79"/>
      <c r="F147" s="79"/>
      <c r="G147" s="79"/>
      <c r="H147" s="80"/>
      <c r="I147" s="79"/>
      <c r="J147" s="79"/>
      <c r="K147" s="79"/>
      <c r="L147" s="79"/>
      <c r="M147" s="79"/>
      <c r="N147" s="80"/>
    </row>
    <row r="148" spans="3:27" ht="20.100000000000001" customHeight="1">
      <c r="C148" s="79"/>
      <c r="D148" s="79"/>
      <c r="E148" s="79"/>
      <c r="F148" s="79"/>
      <c r="G148" s="79"/>
      <c r="H148" s="80"/>
      <c r="I148" s="79"/>
      <c r="J148" s="79"/>
      <c r="K148" s="79"/>
      <c r="L148" s="79"/>
      <c r="M148" s="79"/>
      <c r="N148" s="80"/>
    </row>
    <row r="149" spans="3:27" ht="20.100000000000001" customHeight="1">
      <c r="C149" s="79"/>
      <c r="D149" s="79"/>
      <c r="E149" s="79"/>
      <c r="F149" s="79"/>
      <c r="G149" s="79"/>
      <c r="H149" s="80"/>
      <c r="I149" s="79"/>
      <c r="J149" s="79"/>
      <c r="K149" s="79"/>
      <c r="L149" s="79"/>
      <c r="M149" s="79"/>
      <c r="N149" s="80"/>
    </row>
    <row r="150" spans="3:27" ht="20.100000000000001" customHeight="1">
      <c r="C150" s="79"/>
      <c r="D150" s="78"/>
      <c r="E150" s="79"/>
      <c r="F150" s="79"/>
      <c r="G150" s="79"/>
      <c r="H150" s="80"/>
      <c r="I150" s="79"/>
      <c r="J150" s="79"/>
      <c r="K150" s="79"/>
      <c r="L150" s="79"/>
      <c r="M150" s="79"/>
      <c r="N150" s="80"/>
    </row>
    <row r="151" spans="3:27" ht="20.100000000000001" customHeight="1">
      <c r="C151" s="79"/>
      <c r="D151" s="79"/>
      <c r="E151" s="79"/>
      <c r="F151" s="79"/>
      <c r="H151" s="80"/>
      <c r="I151" s="79"/>
      <c r="J151" s="79"/>
      <c r="K151" s="79"/>
      <c r="L151" s="79"/>
      <c r="M151" s="79"/>
      <c r="N151" s="80"/>
      <c r="W151" s="190"/>
      <c r="X151" s="190"/>
      <c r="Y151" s="190"/>
      <c r="Z151" s="190"/>
      <c r="AA151" s="190"/>
    </row>
    <row r="152" spans="3:27" ht="20.100000000000001" customHeight="1">
      <c r="C152" s="79"/>
      <c r="D152" s="79"/>
      <c r="E152" s="79"/>
      <c r="G152" s="79"/>
      <c r="H152" s="80"/>
      <c r="I152" s="79"/>
      <c r="J152" s="79"/>
      <c r="K152" s="79"/>
      <c r="L152" s="79"/>
      <c r="M152" s="79"/>
      <c r="N152" s="80"/>
    </row>
    <row r="153" spans="3:27" ht="20.100000000000001" customHeight="1">
      <c r="C153" s="79"/>
      <c r="D153" s="79"/>
      <c r="E153" s="79"/>
      <c r="G153" s="79"/>
      <c r="H153" s="80"/>
      <c r="I153" s="79"/>
      <c r="J153" s="79"/>
      <c r="K153" s="79"/>
      <c r="L153" s="79"/>
      <c r="M153" s="79"/>
      <c r="N153" s="80"/>
    </row>
    <row r="154" spans="3:27" ht="20.100000000000001" customHeight="1">
      <c r="C154" s="79"/>
      <c r="D154" s="79"/>
      <c r="E154" s="79"/>
      <c r="F154" s="79"/>
      <c r="H154" s="80"/>
      <c r="I154" s="79"/>
      <c r="J154" s="79"/>
      <c r="K154" s="79"/>
      <c r="L154" s="79"/>
      <c r="M154" s="79"/>
      <c r="N154" s="80"/>
    </row>
    <row r="155" spans="3:27" ht="20.100000000000001" customHeight="1">
      <c r="C155" s="79"/>
      <c r="D155" s="79"/>
      <c r="E155" s="79"/>
      <c r="G155" s="79"/>
      <c r="H155" s="80"/>
      <c r="I155" s="79"/>
      <c r="J155" s="79"/>
      <c r="K155" s="79"/>
      <c r="L155" s="79"/>
      <c r="M155" s="79"/>
      <c r="N155" s="80"/>
    </row>
    <row r="156" spans="3:27" ht="20.100000000000001" customHeight="1">
      <c r="C156" s="79"/>
      <c r="D156" s="79"/>
      <c r="E156" s="79"/>
      <c r="G156" s="79"/>
      <c r="H156" s="80"/>
      <c r="I156" s="79"/>
      <c r="J156" s="79"/>
      <c r="K156" s="79"/>
      <c r="L156" s="79"/>
      <c r="M156" s="79"/>
      <c r="N156" s="80"/>
    </row>
    <row r="157" spans="3:27" ht="20.100000000000001" customHeight="1">
      <c r="C157" s="79"/>
      <c r="D157" s="79"/>
      <c r="E157" s="79"/>
      <c r="F157" s="79"/>
      <c r="H157" s="80"/>
      <c r="I157" s="79"/>
      <c r="J157" s="79"/>
      <c r="K157" s="79"/>
      <c r="L157" s="79"/>
      <c r="M157" s="79"/>
      <c r="N157" s="80"/>
    </row>
    <row r="158" spans="3:27" ht="20.100000000000001" customHeight="1">
      <c r="C158" s="79"/>
      <c r="D158" s="79"/>
      <c r="E158" s="79"/>
      <c r="G158" s="79"/>
      <c r="H158" s="80"/>
      <c r="I158" s="79"/>
      <c r="J158" s="79"/>
      <c r="K158" s="79"/>
      <c r="L158" s="79"/>
      <c r="M158" s="79"/>
      <c r="N158" s="80"/>
    </row>
    <row r="159" spans="3:27" ht="20.100000000000001" customHeight="1">
      <c r="C159" s="79"/>
      <c r="D159" s="79"/>
      <c r="E159" s="79"/>
      <c r="G159" s="79"/>
      <c r="H159" s="80"/>
      <c r="I159" s="79"/>
      <c r="J159" s="79"/>
      <c r="K159" s="79"/>
      <c r="L159" s="79"/>
      <c r="M159" s="79"/>
      <c r="N159" s="80"/>
    </row>
    <row r="160" spans="3:27" ht="20.100000000000001" customHeight="1">
      <c r="C160" s="79"/>
      <c r="D160" s="79"/>
      <c r="E160" s="79"/>
      <c r="F160" s="79"/>
      <c r="H160" s="80"/>
      <c r="I160" s="79"/>
      <c r="J160" s="79"/>
      <c r="K160" s="79"/>
      <c r="L160" s="79"/>
      <c r="M160" s="79"/>
      <c r="N160" s="80"/>
    </row>
    <row r="161" spans="3:14" ht="20.100000000000001" customHeight="1">
      <c r="C161" s="79"/>
      <c r="D161" s="79"/>
      <c r="E161" s="79"/>
      <c r="G161" s="79"/>
      <c r="H161" s="80"/>
      <c r="I161" s="79"/>
      <c r="J161" s="79"/>
      <c r="K161" s="79"/>
      <c r="L161" s="79"/>
      <c r="M161" s="79"/>
      <c r="N161" s="80"/>
    </row>
    <row r="162" spans="3:14" ht="20.100000000000001" customHeight="1">
      <c r="C162" s="79"/>
      <c r="D162" s="79"/>
      <c r="E162" s="79"/>
      <c r="G162" s="79"/>
      <c r="H162" s="80"/>
      <c r="I162" s="79"/>
      <c r="J162" s="79"/>
      <c r="K162" s="79"/>
      <c r="L162" s="79"/>
      <c r="M162" s="79"/>
      <c r="N162" s="80"/>
    </row>
    <row r="163" spans="3:14" ht="20.100000000000001" customHeight="1">
      <c r="C163" s="79"/>
      <c r="D163" s="79"/>
      <c r="E163" s="79"/>
      <c r="F163" s="79"/>
      <c r="H163" s="80"/>
      <c r="I163" s="79"/>
      <c r="J163" s="79"/>
      <c r="K163" s="79"/>
      <c r="L163" s="79"/>
      <c r="M163" s="79"/>
      <c r="N163" s="80"/>
    </row>
    <row r="164" spans="3:14" ht="20.100000000000001" customHeight="1">
      <c r="C164" s="79"/>
      <c r="D164" s="79"/>
      <c r="E164" s="79"/>
      <c r="G164" s="79"/>
      <c r="H164" s="80"/>
      <c r="I164" s="79"/>
      <c r="J164" s="79"/>
      <c r="K164" s="79"/>
      <c r="L164" s="79"/>
      <c r="M164" s="79"/>
      <c r="N164" s="80"/>
    </row>
    <row r="165" spans="3:14" ht="20.100000000000001" customHeight="1">
      <c r="C165" s="79"/>
      <c r="D165" s="79"/>
      <c r="E165" s="79"/>
      <c r="G165" s="79"/>
      <c r="H165" s="80"/>
      <c r="I165" s="79"/>
      <c r="J165" s="79"/>
      <c r="K165" s="79"/>
      <c r="L165" s="79"/>
      <c r="M165" s="79"/>
      <c r="N165" s="80"/>
    </row>
    <row r="166" spans="3:14" ht="20.100000000000001" customHeight="1">
      <c r="C166" s="79"/>
      <c r="D166" s="78"/>
      <c r="E166" s="79"/>
      <c r="F166" s="79"/>
      <c r="G166" s="79"/>
      <c r="H166" s="80"/>
      <c r="I166" s="79"/>
      <c r="J166" s="79"/>
      <c r="K166" s="79"/>
      <c r="L166" s="79"/>
      <c r="M166" s="79"/>
      <c r="N166" s="80"/>
    </row>
    <row r="167" spans="3:14" ht="20.100000000000001" customHeight="1">
      <c r="C167" s="79"/>
      <c r="D167" s="79"/>
      <c r="E167" s="79"/>
      <c r="F167" s="79"/>
      <c r="H167" s="80"/>
      <c r="I167" s="79"/>
      <c r="J167" s="79"/>
      <c r="K167" s="79"/>
      <c r="L167" s="79"/>
      <c r="M167" s="79"/>
      <c r="N167" s="80"/>
    </row>
    <row r="168" spans="3:14" ht="20.100000000000001" customHeight="1">
      <c r="C168" s="79"/>
      <c r="D168" s="79"/>
      <c r="E168" s="79"/>
      <c r="G168" s="79"/>
      <c r="H168" s="80"/>
      <c r="I168" s="79"/>
      <c r="J168" s="79"/>
      <c r="K168" s="79"/>
      <c r="L168" s="79"/>
      <c r="M168" s="79"/>
      <c r="N168" s="80"/>
    </row>
    <row r="169" spans="3:14" ht="20.100000000000001" customHeight="1">
      <c r="C169" s="79"/>
      <c r="D169" s="79"/>
      <c r="E169" s="79"/>
      <c r="G169" s="79"/>
      <c r="H169" s="80"/>
      <c r="I169" s="79"/>
      <c r="J169" s="79"/>
      <c r="K169" s="79"/>
      <c r="L169" s="79"/>
      <c r="M169" s="79"/>
      <c r="N169" s="80"/>
    </row>
    <row r="170" spans="3:14" ht="20.100000000000001" customHeight="1">
      <c r="C170" s="79"/>
      <c r="D170" s="79"/>
      <c r="E170" s="79"/>
      <c r="F170" s="79"/>
      <c r="H170" s="80"/>
      <c r="I170" s="79"/>
      <c r="J170" s="79"/>
      <c r="K170" s="79"/>
      <c r="L170" s="79"/>
      <c r="M170" s="79"/>
      <c r="N170" s="80"/>
    </row>
    <row r="171" spans="3:14" ht="20.100000000000001" customHeight="1">
      <c r="C171" s="79"/>
      <c r="D171" s="79"/>
      <c r="E171" s="79"/>
      <c r="G171" s="79"/>
      <c r="H171" s="80"/>
      <c r="I171" s="79"/>
      <c r="J171" s="79"/>
      <c r="K171" s="79"/>
      <c r="L171" s="79"/>
      <c r="M171" s="79"/>
      <c r="N171" s="80"/>
    </row>
    <row r="172" spans="3:14" ht="20.100000000000001" customHeight="1">
      <c r="C172" s="79"/>
      <c r="D172" s="79"/>
      <c r="E172" s="79"/>
      <c r="G172" s="79"/>
      <c r="H172" s="80"/>
      <c r="I172" s="79"/>
      <c r="J172" s="79"/>
      <c r="K172" s="79"/>
      <c r="L172" s="79"/>
      <c r="M172" s="79"/>
      <c r="N172" s="80"/>
    </row>
    <row r="173" spans="3:14" ht="20.100000000000001" customHeight="1">
      <c r="C173" s="79"/>
      <c r="D173" s="79"/>
      <c r="E173" s="79"/>
      <c r="F173" s="79"/>
      <c r="H173" s="80"/>
      <c r="I173" s="79"/>
      <c r="J173" s="79"/>
      <c r="K173" s="79"/>
      <c r="L173" s="79"/>
      <c r="M173" s="79"/>
      <c r="N173" s="80"/>
    </row>
    <row r="174" spans="3:14" ht="20.100000000000001" customHeight="1">
      <c r="C174" s="79"/>
      <c r="D174" s="79"/>
      <c r="E174" s="79"/>
      <c r="G174" s="79"/>
      <c r="H174" s="80"/>
      <c r="I174" s="79"/>
      <c r="J174" s="79"/>
      <c r="K174" s="79"/>
      <c r="L174" s="79"/>
      <c r="M174" s="79"/>
      <c r="N174" s="80"/>
    </row>
    <row r="175" spans="3:14" ht="20.100000000000001" customHeight="1">
      <c r="C175" s="79"/>
      <c r="D175" s="79"/>
      <c r="E175" s="79"/>
      <c r="G175" s="79"/>
      <c r="H175" s="80"/>
      <c r="I175" s="79"/>
      <c r="J175" s="79"/>
      <c r="K175" s="79"/>
      <c r="L175" s="79"/>
      <c r="M175" s="79"/>
      <c r="N175" s="80"/>
    </row>
    <row r="176" spans="3:14" ht="20.100000000000001" customHeight="1">
      <c r="C176" s="79"/>
      <c r="D176" s="79"/>
      <c r="E176" s="79"/>
      <c r="F176" s="79"/>
      <c r="H176" s="80"/>
      <c r="I176" s="79"/>
      <c r="J176" s="79"/>
      <c r="K176" s="79"/>
      <c r="L176" s="79"/>
      <c r="M176" s="79"/>
      <c r="N176" s="80"/>
    </row>
    <row r="177" spans="3:14" ht="20.100000000000001" customHeight="1">
      <c r="C177" s="79"/>
      <c r="D177" s="79"/>
      <c r="E177" s="79"/>
      <c r="G177" s="79"/>
      <c r="H177" s="80"/>
      <c r="I177" s="79"/>
      <c r="J177" s="79"/>
      <c r="K177" s="79"/>
      <c r="L177" s="79"/>
      <c r="M177" s="79"/>
      <c r="N177" s="80"/>
    </row>
    <row r="178" spans="3:14" ht="20.100000000000001" customHeight="1">
      <c r="C178" s="79"/>
      <c r="D178" s="79"/>
      <c r="E178" s="79"/>
      <c r="G178" s="79"/>
      <c r="H178" s="80"/>
      <c r="I178" s="79"/>
      <c r="J178" s="79"/>
      <c r="K178" s="79"/>
      <c r="L178" s="79"/>
      <c r="M178" s="79"/>
      <c r="N178" s="80"/>
    </row>
    <row r="179" spans="3:14" ht="20.100000000000001" customHeight="1">
      <c r="C179" s="79"/>
      <c r="D179" s="79"/>
      <c r="E179" s="79"/>
      <c r="F179" s="79"/>
      <c r="H179" s="80"/>
      <c r="I179" s="79"/>
      <c r="J179" s="79"/>
      <c r="K179" s="79"/>
      <c r="L179" s="79"/>
      <c r="M179" s="79"/>
      <c r="N179" s="80"/>
    </row>
    <row r="180" spans="3:14" ht="20.100000000000001" customHeight="1">
      <c r="C180" s="79"/>
      <c r="D180" s="79"/>
      <c r="E180" s="79"/>
      <c r="G180" s="79"/>
      <c r="H180" s="80"/>
      <c r="I180" s="79"/>
      <c r="J180" s="79"/>
      <c r="K180" s="79"/>
      <c r="L180" s="79"/>
      <c r="M180" s="79"/>
      <c r="N180" s="80"/>
    </row>
    <row r="181" spans="3:14" ht="20.100000000000001" customHeight="1">
      <c r="C181" s="79"/>
      <c r="D181" s="79"/>
      <c r="E181" s="79"/>
      <c r="G181" s="79"/>
      <c r="H181" s="80"/>
      <c r="I181" s="79"/>
      <c r="J181" s="79"/>
      <c r="K181" s="79"/>
      <c r="L181" s="79"/>
      <c r="M181" s="79"/>
      <c r="N181" s="80"/>
    </row>
    <row r="182" spans="3:14" ht="20.100000000000001" customHeight="1">
      <c r="C182" s="79"/>
      <c r="D182" s="15"/>
      <c r="E182" s="79"/>
      <c r="F182" s="79"/>
      <c r="G182" s="79"/>
      <c r="H182" s="80"/>
      <c r="I182" s="79"/>
      <c r="J182" s="79"/>
      <c r="K182" s="79"/>
      <c r="L182" s="79"/>
      <c r="M182" s="79"/>
      <c r="N182" s="80"/>
    </row>
    <row r="183" spans="3:14" ht="20.100000000000001" customHeight="1">
      <c r="C183" s="79"/>
      <c r="D183" s="79"/>
      <c r="E183" s="79"/>
      <c r="F183" s="79"/>
      <c r="G183" s="79"/>
      <c r="H183" s="80"/>
      <c r="I183" s="79"/>
      <c r="J183" s="79"/>
      <c r="K183" s="79"/>
      <c r="L183" s="79"/>
      <c r="M183" s="79"/>
      <c r="N183" s="80"/>
    </row>
    <row r="184" spans="3:14" ht="20.100000000000001" customHeight="1">
      <c r="C184" s="79"/>
      <c r="D184" s="79"/>
      <c r="E184" s="79"/>
      <c r="F184" s="79"/>
      <c r="G184" s="79"/>
      <c r="H184" s="80"/>
      <c r="I184" s="79"/>
      <c r="J184" s="79"/>
      <c r="K184" s="79"/>
      <c r="L184" s="79"/>
      <c r="M184" s="79"/>
      <c r="N184" s="80"/>
    </row>
    <row r="185" spans="3:14" ht="20.100000000000001" customHeight="1">
      <c r="C185" s="79"/>
      <c r="D185" s="79"/>
      <c r="E185" s="79"/>
      <c r="F185" s="79"/>
      <c r="G185" s="79"/>
      <c r="H185" s="80"/>
      <c r="I185" s="79"/>
      <c r="J185" s="79"/>
      <c r="K185" s="79"/>
      <c r="L185" s="79"/>
      <c r="M185" s="79"/>
      <c r="N185" s="80"/>
    </row>
    <row r="186" spans="3:14" ht="20.100000000000001" customHeight="1">
      <c r="C186" s="79"/>
      <c r="D186" s="79"/>
      <c r="E186" s="79"/>
      <c r="F186" s="79"/>
      <c r="G186" s="79"/>
      <c r="H186" s="80"/>
      <c r="I186" s="79"/>
      <c r="J186" s="79"/>
      <c r="K186" s="79"/>
      <c r="L186" s="79"/>
      <c r="M186" s="79"/>
      <c r="N186" s="80"/>
    </row>
    <row r="187" spans="3:14" ht="20.100000000000001" customHeight="1">
      <c r="C187" s="190"/>
      <c r="D187" s="190"/>
      <c r="E187" s="79"/>
      <c r="F187" s="190"/>
      <c r="G187" s="190"/>
      <c r="I187" s="190"/>
      <c r="J187" s="190"/>
      <c r="K187" s="190"/>
      <c r="L187" s="190"/>
      <c r="M187" s="190"/>
    </row>
    <row r="188" spans="3:14" ht="20.100000000000001" customHeight="1">
      <c r="G188" s="79"/>
    </row>
    <row r="189" spans="3:14" ht="20.100000000000001" customHeight="1">
      <c r="G189" s="79"/>
    </row>
  </sheetData>
  <mergeCells count="4">
    <mergeCell ref="C4:G5"/>
    <mergeCell ref="O4:T5"/>
    <mergeCell ref="C93:E96"/>
    <mergeCell ref="C97:E100"/>
  </mergeCells>
  <phoneticPr fontId="4" type="noConversion"/>
  <printOptions horizontalCentered="1" verticalCentered="1"/>
  <pageMargins left="0.15748031496062992" right="0.15748031496062992" top="0.39370078740157483" bottom="0.39370078740157483" header="0" footer="0"/>
  <pageSetup paperSize="9" scale="75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B2:AG41"/>
  <sheetViews>
    <sheetView showGridLines="0" zoomScaleNormal="100" workbookViewId="0">
      <pane ySplit="9" topLeftCell="A10" activePane="bottomLeft" state="frozen"/>
      <selection activeCell="P28" sqref="P28"/>
      <selection pane="bottomLeft" activeCell="V28" sqref="V28"/>
    </sheetView>
  </sheetViews>
  <sheetFormatPr defaultRowHeight="20.100000000000001" customHeight="1"/>
  <cols>
    <col min="1" max="1" width="4.7109375" style="2" customWidth="1"/>
    <col min="2" max="2" width="2.140625" style="2" customWidth="1"/>
    <col min="3" max="6" width="2.28515625" style="2" customWidth="1"/>
    <col min="7" max="7" width="11.7109375" style="2" customWidth="1"/>
    <col min="8" max="8" width="1" style="43" customWidth="1"/>
    <col min="9" max="9" width="10.7109375" style="2" customWidth="1"/>
    <col min="10" max="10" width="6.7109375" style="2" customWidth="1"/>
    <col min="11" max="11" width="10.7109375" style="2" customWidth="1"/>
    <col min="12" max="12" width="6.7109375" style="2" customWidth="1"/>
    <col min="13" max="15" width="10.7109375" style="2" customWidth="1"/>
    <col min="16" max="16" width="6.7109375" style="2" customWidth="1"/>
    <col min="17" max="19" width="10.7109375" style="2" customWidth="1"/>
    <col min="20" max="20" width="6.7109375" style="2" customWidth="1"/>
    <col min="21" max="21" width="1" style="43" customWidth="1"/>
    <col min="22" max="22" width="10.7109375" style="2" customWidth="1"/>
    <col min="23" max="23" width="6.7109375" style="2" customWidth="1"/>
    <col min="24" max="24" width="10.7109375" style="2" customWidth="1"/>
    <col min="25" max="25" width="6.7109375" style="2" customWidth="1"/>
    <col min="26" max="28" width="10.7109375" style="2" customWidth="1"/>
    <col min="29" max="29" width="6.7109375" style="2" customWidth="1"/>
    <col min="30" max="32" width="10.7109375" style="2" customWidth="1"/>
    <col min="33" max="33" width="6.7109375" style="2" customWidth="1"/>
    <col min="34" max="16384" width="9.140625" style="2"/>
  </cols>
  <sheetData>
    <row r="2" spans="2:33" s="221" customFormat="1" ht="24" customHeight="1">
      <c r="B2" s="42" t="s">
        <v>1116</v>
      </c>
      <c r="C2" s="2"/>
      <c r="D2" s="42"/>
      <c r="E2" s="42"/>
      <c r="F2" s="42"/>
      <c r="G2" s="42"/>
      <c r="H2" s="43"/>
      <c r="I2" s="42"/>
      <c r="J2" s="42"/>
      <c r="K2" s="42"/>
      <c r="L2" s="42"/>
      <c r="P2" s="42"/>
      <c r="T2" s="42"/>
      <c r="U2" s="43"/>
      <c r="V2" s="42"/>
      <c r="W2" s="42"/>
      <c r="X2" s="42"/>
      <c r="Y2" s="42"/>
      <c r="AC2" s="42"/>
      <c r="AG2" s="42"/>
    </row>
    <row r="3" spans="2:33" ht="9" customHeight="1"/>
    <row r="4" spans="2:33" ht="20.100000000000001" customHeight="1">
      <c r="C4" s="42" t="s">
        <v>1117</v>
      </c>
    </row>
    <row r="5" spans="2:33" ht="14.25" customHeight="1" thickBot="1">
      <c r="H5" s="45"/>
      <c r="U5" s="45"/>
      <c r="AG5" s="222" t="s">
        <v>1118</v>
      </c>
    </row>
    <row r="6" spans="2:33" ht="20.100000000000001" customHeight="1">
      <c r="C6" s="676" t="s">
        <v>1119</v>
      </c>
      <c r="D6" s="676"/>
      <c r="E6" s="676"/>
      <c r="F6" s="676"/>
      <c r="G6" s="677"/>
      <c r="H6" s="45"/>
      <c r="I6" s="680" t="s">
        <v>1120</v>
      </c>
      <c r="J6" s="676"/>
      <c r="K6" s="676"/>
      <c r="L6" s="676"/>
      <c r="M6" s="676"/>
      <c r="N6" s="676"/>
      <c r="O6" s="676"/>
      <c r="P6" s="676"/>
      <c r="Q6" s="676"/>
      <c r="R6" s="676"/>
      <c r="S6" s="676"/>
      <c r="T6" s="46"/>
      <c r="U6" s="45"/>
      <c r="V6" s="680" t="s">
        <v>1121</v>
      </c>
      <c r="W6" s="676"/>
      <c r="X6" s="676"/>
      <c r="Y6" s="676"/>
      <c r="Z6" s="676"/>
      <c r="AA6" s="676"/>
      <c r="AB6" s="676"/>
      <c r="AC6" s="676"/>
      <c r="AD6" s="676"/>
      <c r="AE6" s="676"/>
      <c r="AF6" s="676"/>
      <c r="AG6" s="46"/>
    </row>
    <row r="7" spans="2:33" ht="8.25" customHeight="1">
      <c r="C7" s="687"/>
      <c r="D7" s="687"/>
      <c r="E7" s="687"/>
      <c r="F7" s="687"/>
      <c r="G7" s="688"/>
      <c r="H7" s="45"/>
      <c r="I7" s="689" t="s">
        <v>1122</v>
      </c>
      <c r="J7" s="223"/>
      <c r="K7" s="692" t="s">
        <v>1123</v>
      </c>
      <c r="L7" s="224"/>
      <c r="M7" s="223"/>
      <c r="N7" s="225"/>
      <c r="O7" s="692" t="s">
        <v>1124</v>
      </c>
      <c r="P7" s="224"/>
      <c r="Q7" s="224"/>
      <c r="R7" s="226"/>
      <c r="S7" s="695" t="s">
        <v>1125</v>
      </c>
      <c r="T7" s="227"/>
      <c r="U7" s="45"/>
      <c r="V7" s="689" t="s">
        <v>1122</v>
      </c>
      <c r="W7" s="223"/>
      <c r="X7" s="692" t="s">
        <v>1123</v>
      </c>
      <c r="Y7" s="224"/>
      <c r="Z7" s="223"/>
      <c r="AA7" s="225"/>
      <c r="AB7" s="692" t="s">
        <v>1124</v>
      </c>
      <c r="AC7" s="224"/>
      <c r="AD7" s="224"/>
      <c r="AE7" s="226"/>
      <c r="AF7" s="695" t="s">
        <v>1125</v>
      </c>
      <c r="AG7" s="227"/>
    </row>
    <row r="8" spans="2:33" ht="8.25" customHeight="1">
      <c r="C8" s="687"/>
      <c r="D8" s="687"/>
      <c r="E8" s="687"/>
      <c r="F8" s="687"/>
      <c r="G8" s="688"/>
      <c r="H8" s="45"/>
      <c r="I8" s="690"/>
      <c r="J8" s="228"/>
      <c r="K8" s="693"/>
      <c r="L8" s="229"/>
      <c r="M8" s="698" t="s">
        <v>1126</v>
      </c>
      <c r="N8" s="700" t="s">
        <v>1127</v>
      </c>
      <c r="O8" s="693"/>
      <c r="P8" s="229"/>
      <c r="Q8" s="698" t="s">
        <v>1128</v>
      </c>
      <c r="R8" s="700" t="s">
        <v>1129</v>
      </c>
      <c r="S8" s="696"/>
      <c r="T8" s="230"/>
      <c r="U8" s="45"/>
      <c r="V8" s="690"/>
      <c r="W8" s="228"/>
      <c r="X8" s="693"/>
      <c r="Y8" s="229"/>
      <c r="Z8" s="698" t="s">
        <v>1126</v>
      </c>
      <c r="AA8" s="700" t="s">
        <v>1127</v>
      </c>
      <c r="AB8" s="693"/>
      <c r="AC8" s="229"/>
      <c r="AD8" s="698" t="s">
        <v>1128</v>
      </c>
      <c r="AE8" s="700" t="s">
        <v>1129</v>
      </c>
      <c r="AF8" s="696"/>
      <c r="AG8" s="230"/>
    </row>
    <row r="9" spans="2:33" ht="20.100000000000001" customHeight="1" thickBot="1">
      <c r="C9" s="687"/>
      <c r="D9" s="687"/>
      <c r="E9" s="687"/>
      <c r="F9" s="687"/>
      <c r="G9" s="688"/>
      <c r="H9" s="50"/>
      <c r="I9" s="691"/>
      <c r="J9" s="231" t="s">
        <v>1130</v>
      </c>
      <c r="K9" s="694"/>
      <c r="L9" s="231" t="s">
        <v>1130</v>
      </c>
      <c r="M9" s="699"/>
      <c r="N9" s="701"/>
      <c r="O9" s="694"/>
      <c r="P9" s="231" t="s">
        <v>1130</v>
      </c>
      <c r="Q9" s="699"/>
      <c r="R9" s="701"/>
      <c r="S9" s="697"/>
      <c r="T9" s="232" t="s">
        <v>1130</v>
      </c>
      <c r="U9" s="50"/>
      <c r="V9" s="691"/>
      <c r="W9" s="231" t="s">
        <v>1130</v>
      </c>
      <c r="X9" s="694"/>
      <c r="Y9" s="231" t="s">
        <v>1130</v>
      </c>
      <c r="Z9" s="699"/>
      <c r="AA9" s="701"/>
      <c r="AB9" s="694"/>
      <c r="AC9" s="231" t="s">
        <v>1130</v>
      </c>
      <c r="AD9" s="699"/>
      <c r="AE9" s="701"/>
      <c r="AF9" s="697"/>
      <c r="AG9" s="232" t="s">
        <v>1130</v>
      </c>
    </row>
    <row r="10" spans="2:33" s="71" customFormat="1" ht="20.100000000000001" customHeight="1">
      <c r="C10" s="63" t="s">
        <v>1131</v>
      </c>
      <c r="D10" s="63"/>
      <c r="E10" s="63"/>
      <c r="F10" s="63"/>
      <c r="G10" s="233"/>
      <c r="H10" s="58"/>
      <c r="I10" s="59"/>
      <c r="J10" s="234"/>
      <c r="K10" s="235">
        <v>7593027.3100000005</v>
      </c>
      <c r="L10" s="234"/>
      <c r="M10" s="235">
        <v>7427592.9100000001</v>
      </c>
      <c r="N10" s="236">
        <v>165434.4</v>
      </c>
      <c r="O10" s="60"/>
      <c r="P10" s="234"/>
      <c r="Q10" s="60"/>
      <c r="R10" s="237"/>
      <c r="S10" s="56"/>
      <c r="T10" s="238"/>
      <c r="U10" s="58"/>
      <c r="V10" s="59"/>
      <c r="W10" s="234"/>
      <c r="X10" s="60"/>
      <c r="Y10" s="234"/>
      <c r="Z10" s="239"/>
      <c r="AA10" s="240"/>
      <c r="AB10" s="239"/>
      <c r="AC10" s="234"/>
      <c r="AD10" s="239"/>
      <c r="AE10" s="240"/>
      <c r="AF10" s="63"/>
      <c r="AG10" s="238"/>
    </row>
    <row r="11" spans="2:33" s="81" customFormat="1" ht="20.100000000000001" customHeight="1">
      <c r="C11" s="81" t="s">
        <v>1132</v>
      </c>
      <c r="G11" s="241"/>
      <c r="H11" s="80"/>
      <c r="I11" s="242"/>
      <c r="J11" s="243"/>
      <c r="K11" s="244">
        <v>3835162</v>
      </c>
      <c r="L11" s="243"/>
      <c r="M11" s="244">
        <v>3145852</v>
      </c>
      <c r="N11" s="245">
        <v>689310</v>
      </c>
      <c r="O11" s="246"/>
      <c r="P11" s="243"/>
      <c r="Q11" s="246"/>
      <c r="R11" s="247"/>
      <c r="S11" s="79"/>
      <c r="T11" s="248"/>
      <c r="U11" s="80"/>
      <c r="V11" s="242"/>
      <c r="W11" s="243"/>
      <c r="X11" s="246"/>
      <c r="Y11" s="243"/>
      <c r="Z11" s="249"/>
      <c r="AA11" s="250"/>
      <c r="AB11" s="249"/>
      <c r="AC11" s="243"/>
      <c r="AD11" s="249"/>
      <c r="AE11" s="250"/>
      <c r="AG11" s="248"/>
    </row>
    <row r="12" spans="2:33" s="15" customFormat="1" ht="20.100000000000001" customHeight="1">
      <c r="C12" s="71" t="s">
        <v>1133</v>
      </c>
      <c r="D12" s="71"/>
      <c r="E12" s="71"/>
      <c r="F12" s="71"/>
      <c r="G12" s="251"/>
      <c r="H12" s="58"/>
      <c r="I12" s="252"/>
      <c r="J12" s="253">
        <v>0</v>
      </c>
      <c r="K12" s="254">
        <v>1846156.08</v>
      </c>
      <c r="L12" s="253">
        <v>1</v>
      </c>
      <c r="M12" s="254">
        <v>1680721.6800000002</v>
      </c>
      <c r="N12" s="255">
        <v>165434.4</v>
      </c>
      <c r="O12" s="196"/>
      <c r="P12" s="253">
        <v>0</v>
      </c>
      <c r="Q12" s="196"/>
      <c r="R12" s="256"/>
      <c r="S12" s="78"/>
      <c r="T12" s="257">
        <v>0</v>
      </c>
      <c r="U12" s="58"/>
      <c r="V12" s="252"/>
      <c r="W12" s="253">
        <v>0</v>
      </c>
      <c r="X12" s="196"/>
      <c r="Y12" s="253">
        <v>0</v>
      </c>
      <c r="Z12" s="258"/>
      <c r="AA12" s="259"/>
      <c r="AB12" s="258"/>
      <c r="AC12" s="253">
        <v>0</v>
      </c>
      <c r="AD12" s="258"/>
      <c r="AE12" s="259"/>
      <c r="AF12" s="71"/>
      <c r="AG12" s="257">
        <v>0</v>
      </c>
    </row>
    <row r="13" spans="2:33" ht="20.100000000000001" customHeight="1">
      <c r="C13" s="190"/>
      <c r="D13" s="190" t="s">
        <v>1134</v>
      </c>
      <c r="E13" s="190"/>
      <c r="F13" s="190"/>
      <c r="G13" s="260"/>
      <c r="I13" s="261"/>
      <c r="J13" s="262">
        <v>0</v>
      </c>
      <c r="K13" s="263">
        <v>1739180.23</v>
      </c>
      <c r="L13" s="262">
        <v>0.94205481803033675</v>
      </c>
      <c r="M13" s="263">
        <v>1573745.83</v>
      </c>
      <c r="N13" s="264">
        <v>165434.4</v>
      </c>
      <c r="O13" s="265"/>
      <c r="P13" s="262">
        <v>0</v>
      </c>
      <c r="Q13" s="265"/>
      <c r="R13" s="266"/>
      <c r="S13" s="204"/>
      <c r="T13" s="267">
        <v>0</v>
      </c>
      <c r="V13" s="261"/>
      <c r="W13" s="262">
        <v>0</v>
      </c>
      <c r="X13" s="265"/>
      <c r="Y13" s="262">
        <v>0</v>
      </c>
      <c r="Z13" s="268"/>
      <c r="AA13" s="269"/>
      <c r="AB13" s="268"/>
      <c r="AC13" s="262">
        <v>0</v>
      </c>
      <c r="AD13" s="268"/>
      <c r="AE13" s="269"/>
      <c r="AF13" s="190"/>
      <c r="AG13" s="267">
        <v>0</v>
      </c>
    </row>
    <row r="14" spans="2:33" s="15" customFormat="1" ht="20.100000000000001" customHeight="1">
      <c r="C14" s="71" t="s">
        <v>1135</v>
      </c>
      <c r="D14" s="71"/>
      <c r="E14" s="71"/>
      <c r="F14" s="71"/>
      <c r="G14" s="251"/>
      <c r="H14" s="58"/>
      <c r="I14" s="252"/>
      <c r="J14" s="253">
        <v>0</v>
      </c>
      <c r="K14" s="254">
        <v>1779339.1500000001</v>
      </c>
      <c r="L14" s="253">
        <v>0.96380754004287661</v>
      </c>
      <c r="M14" s="254">
        <v>1531576.06</v>
      </c>
      <c r="N14" s="255">
        <v>247763.09</v>
      </c>
      <c r="O14" s="196"/>
      <c r="P14" s="253">
        <v>0</v>
      </c>
      <c r="Q14" s="196"/>
      <c r="R14" s="256"/>
      <c r="S14" s="78"/>
      <c r="T14" s="257">
        <v>0</v>
      </c>
      <c r="U14" s="58"/>
      <c r="V14" s="252"/>
      <c r="W14" s="253">
        <v>0</v>
      </c>
      <c r="X14" s="196"/>
      <c r="Y14" s="253">
        <v>0</v>
      </c>
      <c r="Z14" s="258"/>
      <c r="AA14" s="259"/>
      <c r="AB14" s="258"/>
      <c r="AC14" s="253">
        <v>0</v>
      </c>
      <c r="AD14" s="258"/>
      <c r="AE14" s="259"/>
      <c r="AF14" s="71"/>
      <c r="AG14" s="257">
        <v>0</v>
      </c>
    </row>
    <row r="15" spans="2:33" ht="20.100000000000001" customHeight="1">
      <c r="C15" s="190"/>
      <c r="D15" s="190" t="s">
        <v>1136</v>
      </c>
      <c r="E15" s="190"/>
      <c r="F15" s="190"/>
      <c r="G15" s="260"/>
      <c r="I15" s="261"/>
      <c r="J15" s="262">
        <v>0</v>
      </c>
      <c r="K15" s="263">
        <v>62066.54</v>
      </c>
      <c r="L15" s="262">
        <v>3.3619335153937793E-2</v>
      </c>
      <c r="M15" s="263">
        <v>49912.57</v>
      </c>
      <c r="N15" s="264">
        <v>12153.97</v>
      </c>
      <c r="O15" s="265"/>
      <c r="P15" s="262">
        <v>0</v>
      </c>
      <c r="Q15" s="265"/>
      <c r="R15" s="266"/>
      <c r="S15" s="204"/>
      <c r="T15" s="267">
        <v>0</v>
      </c>
      <c r="V15" s="261"/>
      <c r="W15" s="262">
        <v>0</v>
      </c>
      <c r="X15" s="265"/>
      <c r="Y15" s="262">
        <v>0</v>
      </c>
      <c r="Z15" s="268"/>
      <c r="AA15" s="269"/>
      <c r="AB15" s="268"/>
      <c r="AC15" s="262">
        <v>0</v>
      </c>
      <c r="AD15" s="268"/>
      <c r="AE15" s="269"/>
      <c r="AF15" s="190"/>
      <c r="AG15" s="267">
        <v>0</v>
      </c>
    </row>
    <row r="16" spans="2:33" ht="20.100000000000001" customHeight="1">
      <c r="C16" s="190"/>
      <c r="D16" s="190" t="s">
        <v>1137</v>
      </c>
      <c r="E16" s="190"/>
      <c r="F16" s="190"/>
      <c r="G16" s="260"/>
      <c r="I16" s="261"/>
      <c r="J16" s="262">
        <v>0</v>
      </c>
      <c r="K16" s="263">
        <v>0</v>
      </c>
      <c r="L16" s="262">
        <v>0</v>
      </c>
      <c r="M16" s="263">
        <v>0</v>
      </c>
      <c r="N16" s="264">
        <v>0</v>
      </c>
      <c r="O16" s="265"/>
      <c r="P16" s="262">
        <v>0</v>
      </c>
      <c r="Q16" s="265"/>
      <c r="R16" s="266"/>
      <c r="S16" s="204"/>
      <c r="T16" s="267">
        <v>0</v>
      </c>
      <c r="V16" s="261"/>
      <c r="W16" s="262">
        <v>0</v>
      </c>
      <c r="X16" s="265"/>
      <c r="Y16" s="262">
        <v>0</v>
      </c>
      <c r="Z16" s="268"/>
      <c r="AA16" s="269"/>
      <c r="AB16" s="268"/>
      <c r="AC16" s="262">
        <v>0</v>
      </c>
      <c r="AD16" s="268"/>
      <c r="AE16" s="269"/>
      <c r="AF16" s="190"/>
      <c r="AG16" s="267">
        <v>0</v>
      </c>
    </row>
    <row r="17" spans="3:33" ht="20.100000000000001" customHeight="1">
      <c r="C17" s="190"/>
      <c r="D17" s="190" t="s">
        <v>1138</v>
      </c>
      <c r="E17" s="190"/>
      <c r="F17" s="190"/>
      <c r="G17" s="260"/>
      <c r="I17" s="270"/>
      <c r="J17" s="271">
        <v>0</v>
      </c>
      <c r="K17" s="272"/>
      <c r="L17" s="271">
        <v>0</v>
      </c>
      <c r="M17" s="272"/>
      <c r="N17" s="273"/>
      <c r="O17" s="274"/>
      <c r="P17" s="271">
        <v>0</v>
      </c>
      <c r="Q17" s="274"/>
      <c r="R17" s="275"/>
      <c r="S17" s="276"/>
      <c r="T17" s="277">
        <v>0</v>
      </c>
      <c r="U17" s="278"/>
      <c r="V17" s="270"/>
      <c r="W17" s="271">
        <v>0</v>
      </c>
      <c r="X17" s="274"/>
      <c r="Y17" s="271">
        <v>0</v>
      </c>
      <c r="Z17" s="274"/>
      <c r="AA17" s="275"/>
      <c r="AB17" s="274"/>
      <c r="AC17" s="271">
        <v>0</v>
      </c>
      <c r="AD17" s="274"/>
      <c r="AE17" s="275"/>
      <c r="AF17" s="276"/>
      <c r="AG17" s="277">
        <v>0</v>
      </c>
    </row>
    <row r="18" spans="3:33" ht="20.100000000000001" customHeight="1">
      <c r="C18" s="190"/>
      <c r="D18" s="190"/>
      <c r="E18" s="190" t="s">
        <v>1139</v>
      </c>
      <c r="F18" s="190"/>
      <c r="G18" s="260"/>
      <c r="I18" s="261"/>
      <c r="J18" s="262">
        <v>0</v>
      </c>
      <c r="K18" s="263">
        <v>1143630.57</v>
      </c>
      <c r="L18" s="262">
        <v>0.61946580919637084</v>
      </c>
      <c r="M18" s="263">
        <v>999880.11</v>
      </c>
      <c r="N18" s="264">
        <v>143750.46</v>
      </c>
      <c r="O18" s="265"/>
      <c r="P18" s="262">
        <v>0</v>
      </c>
      <c r="Q18" s="265"/>
      <c r="R18" s="266"/>
      <c r="S18" s="204"/>
      <c r="T18" s="267">
        <v>0</v>
      </c>
      <c r="V18" s="261"/>
      <c r="W18" s="262">
        <v>0</v>
      </c>
      <c r="X18" s="265"/>
      <c r="Y18" s="262">
        <v>0</v>
      </c>
      <c r="Z18" s="265"/>
      <c r="AA18" s="266"/>
      <c r="AB18" s="265"/>
      <c r="AC18" s="262">
        <v>0</v>
      </c>
      <c r="AD18" s="265"/>
      <c r="AE18" s="266"/>
      <c r="AF18" s="204"/>
      <c r="AG18" s="267">
        <v>0</v>
      </c>
    </row>
    <row r="19" spans="3:33" ht="20.100000000000001" customHeight="1">
      <c r="C19" s="190"/>
      <c r="D19" s="190"/>
      <c r="E19" s="190" t="s">
        <v>1140</v>
      </c>
      <c r="F19" s="190"/>
      <c r="G19" s="260"/>
      <c r="I19" s="270"/>
      <c r="J19" s="271">
        <v>0</v>
      </c>
      <c r="K19" s="272"/>
      <c r="L19" s="271">
        <v>0</v>
      </c>
      <c r="M19" s="272"/>
      <c r="N19" s="273"/>
      <c r="O19" s="274"/>
      <c r="P19" s="271">
        <v>0</v>
      </c>
      <c r="Q19" s="274"/>
      <c r="R19" s="275"/>
      <c r="S19" s="276"/>
      <c r="T19" s="277">
        <v>0</v>
      </c>
      <c r="V19" s="270"/>
      <c r="W19" s="271">
        <v>0</v>
      </c>
      <c r="X19" s="274"/>
      <c r="Y19" s="271">
        <v>0</v>
      </c>
      <c r="Z19" s="274"/>
      <c r="AA19" s="275"/>
      <c r="AB19" s="274"/>
      <c r="AC19" s="271">
        <v>0</v>
      </c>
      <c r="AD19" s="274"/>
      <c r="AE19" s="275"/>
      <c r="AF19" s="276"/>
      <c r="AG19" s="277">
        <v>0</v>
      </c>
    </row>
    <row r="20" spans="3:33" ht="20.100000000000001" customHeight="1">
      <c r="C20" s="190"/>
      <c r="D20" s="190" t="s">
        <v>1141</v>
      </c>
      <c r="E20" s="190"/>
      <c r="F20" s="190"/>
      <c r="G20" s="260"/>
      <c r="I20" s="261"/>
      <c r="J20" s="262">
        <v>0</v>
      </c>
      <c r="K20" s="263">
        <v>573642.04</v>
      </c>
      <c r="L20" s="262">
        <v>0.31072239569256788</v>
      </c>
      <c r="M20" s="263">
        <v>481783.38</v>
      </c>
      <c r="N20" s="264">
        <v>91858.66</v>
      </c>
      <c r="O20" s="265"/>
      <c r="P20" s="262">
        <v>0</v>
      </c>
      <c r="Q20" s="265"/>
      <c r="R20" s="266"/>
      <c r="S20" s="204"/>
      <c r="T20" s="267">
        <v>0</v>
      </c>
      <c r="V20" s="261"/>
      <c r="W20" s="262">
        <v>0</v>
      </c>
      <c r="X20" s="265"/>
      <c r="Y20" s="262">
        <v>0</v>
      </c>
      <c r="Z20" s="268"/>
      <c r="AA20" s="269"/>
      <c r="AB20" s="268"/>
      <c r="AC20" s="262">
        <v>0</v>
      </c>
      <c r="AD20" s="268"/>
      <c r="AE20" s="269"/>
      <c r="AF20" s="190"/>
      <c r="AG20" s="267">
        <v>0</v>
      </c>
    </row>
    <row r="21" spans="3:33" s="15" customFormat="1" ht="20.100000000000001" customHeight="1">
      <c r="C21" s="71" t="s">
        <v>1142</v>
      </c>
      <c r="D21" s="71"/>
      <c r="E21" s="71"/>
      <c r="F21" s="71"/>
      <c r="G21" s="251"/>
      <c r="H21" s="58"/>
      <c r="I21" s="252"/>
      <c r="J21" s="253">
        <v>0</v>
      </c>
      <c r="K21" s="254">
        <v>199747.17999999996</v>
      </c>
      <c r="L21" s="253">
        <v>0.10819625824919415</v>
      </c>
      <c r="M21" s="254">
        <v>199747.17999999996</v>
      </c>
      <c r="N21" s="255">
        <v>0</v>
      </c>
      <c r="O21" s="196"/>
      <c r="P21" s="253">
        <v>0</v>
      </c>
      <c r="Q21" s="196"/>
      <c r="R21" s="256"/>
      <c r="S21" s="78"/>
      <c r="T21" s="257">
        <v>0</v>
      </c>
      <c r="U21" s="58"/>
      <c r="V21" s="252"/>
      <c r="W21" s="253">
        <v>0</v>
      </c>
      <c r="X21" s="196"/>
      <c r="Y21" s="253">
        <v>0</v>
      </c>
      <c r="Z21" s="258"/>
      <c r="AA21" s="259"/>
      <c r="AB21" s="258"/>
      <c r="AC21" s="253">
        <v>0</v>
      </c>
      <c r="AD21" s="258"/>
      <c r="AE21" s="259"/>
      <c r="AF21" s="71"/>
      <c r="AG21" s="257">
        <v>0</v>
      </c>
    </row>
    <row r="22" spans="3:33" ht="20.100000000000001" customHeight="1">
      <c r="C22" s="190"/>
      <c r="D22" s="190" t="s">
        <v>1138</v>
      </c>
      <c r="E22" s="190"/>
      <c r="F22" s="190"/>
      <c r="G22" s="260"/>
      <c r="I22" s="270"/>
      <c r="J22" s="271">
        <v>0</v>
      </c>
      <c r="K22" s="272"/>
      <c r="L22" s="271">
        <v>0</v>
      </c>
      <c r="M22" s="272"/>
      <c r="N22" s="273"/>
      <c r="O22" s="274"/>
      <c r="P22" s="271">
        <v>0</v>
      </c>
      <c r="Q22" s="274"/>
      <c r="R22" s="275"/>
      <c r="S22" s="276"/>
      <c r="T22" s="277">
        <v>0</v>
      </c>
      <c r="U22" s="278"/>
      <c r="V22" s="270"/>
      <c r="W22" s="271">
        <v>0</v>
      </c>
      <c r="X22" s="274"/>
      <c r="Y22" s="271">
        <v>0</v>
      </c>
      <c r="Z22" s="274"/>
      <c r="AA22" s="275"/>
      <c r="AB22" s="274"/>
      <c r="AC22" s="271">
        <v>0</v>
      </c>
      <c r="AD22" s="274"/>
      <c r="AE22" s="275"/>
      <c r="AF22" s="276"/>
      <c r="AG22" s="277">
        <v>0</v>
      </c>
    </row>
    <row r="23" spans="3:33" ht="20.100000000000001" customHeight="1">
      <c r="C23" s="190"/>
      <c r="D23" s="190"/>
      <c r="E23" s="190" t="s">
        <v>1139</v>
      </c>
      <c r="F23" s="190"/>
      <c r="G23" s="260"/>
      <c r="I23" s="261"/>
      <c r="J23" s="262">
        <v>0</v>
      </c>
      <c r="K23" s="263">
        <v>105348.18</v>
      </c>
      <c r="L23" s="262">
        <v>5.7063528453130563E-2</v>
      </c>
      <c r="M23" s="263">
        <v>105348.18</v>
      </c>
      <c r="N23" s="264"/>
      <c r="O23" s="265"/>
      <c r="P23" s="262">
        <v>0</v>
      </c>
      <c r="Q23" s="265"/>
      <c r="R23" s="266"/>
      <c r="S23" s="204"/>
      <c r="T23" s="267">
        <v>0</v>
      </c>
      <c r="V23" s="261"/>
      <c r="W23" s="262">
        <v>0</v>
      </c>
      <c r="X23" s="265"/>
      <c r="Y23" s="262">
        <v>0</v>
      </c>
      <c r="Z23" s="265"/>
      <c r="AA23" s="266"/>
      <c r="AB23" s="265"/>
      <c r="AC23" s="262">
        <v>0</v>
      </c>
      <c r="AD23" s="265"/>
      <c r="AE23" s="266"/>
      <c r="AF23" s="204"/>
      <c r="AG23" s="267">
        <v>0</v>
      </c>
    </row>
    <row r="24" spans="3:33" ht="20.100000000000001" customHeight="1">
      <c r="C24" s="190"/>
      <c r="D24" s="190"/>
      <c r="E24" s="190" t="s">
        <v>1140</v>
      </c>
      <c r="F24" s="190"/>
      <c r="G24" s="260"/>
      <c r="I24" s="270"/>
      <c r="J24" s="271">
        <v>0</v>
      </c>
      <c r="K24" s="272"/>
      <c r="L24" s="271">
        <v>0</v>
      </c>
      <c r="M24" s="272"/>
      <c r="N24" s="273"/>
      <c r="O24" s="274"/>
      <c r="P24" s="271">
        <v>0</v>
      </c>
      <c r="Q24" s="274"/>
      <c r="R24" s="275"/>
      <c r="S24" s="276"/>
      <c r="T24" s="277">
        <v>0</v>
      </c>
      <c r="V24" s="270"/>
      <c r="W24" s="271">
        <v>0</v>
      </c>
      <c r="X24" s="274"/>
      <c r="Y24" s="271">
        <v>0</v>
      </c>
      <c r="Z24" s="274"/>
      <c r="AA24" s="275"/>
      <c r="AB24" s="274"/>
      <c r="AC24" s="271">
        <v>0</v>
      </c>
      <c r="AD24" s="274"/>
      <c r="AE24" s="275"/>
      <c r="AF24" s="276"/>
      <c r="AG24" s="277">
        <v>0</v>
      </c>
    </row>
    <row r="25" spans="3:33" ht="20.100000000000001" customHeight="1">
      <c r="C25" s="190"/>
      <c r="D25" s="190" t="s">
        <v>1143</v>
      </c>
      <c r="E25" s="190"/>
      <c r="F25" s="190"/>
      <c r="G25" s="260"/>
      <c r="I25" s="261"/>
      <c r="J25" s="262">
        <v>0</v>
      </c>
      <c r="K25" s="263">
        <v>94398.999999999971</v>
      </c>
      <c r="L25" s="262">
        <v>5.1132729796063599E-2</v>
      </c>
      <c r="M25" s="263">
        <v>94398.999999999971</v>
      </c>
      <c r="N25" s="264">
        <v>0</v>
      </c>
      <c r="O25" s="265"/>
      <c r="P25" s="262">
        <v>0</v>
      </c>
      <c r="Q25" s="265"/>
      <c r="R25" s="266"/>
      <c r="S25" s="204"/>
      <c r="T25" s="267">
        <v>0</v>
      </c>
      <c r="V25" s="261"/>
      <c r="W25" s="262">
        <v>0</v>
      </c>
      <c r="X25" s="265"/>
      <c r="Y25" s="262">
        <v>0</v>
      </c>
      <c r="Z25" s="265"/>
      <c r="AA25" s="269"/>
      <c r="AB25" s="268"/>
      <c r="AC25" s="262">
        <v>0</v>
      </c>
      <c r="AD25" s="268"/>
      <c r="AE25" s="269"/>
      <c r="AF25" s="190"/>
      <c r="AG25" s="267">
        <v>0</v>
      </c>
    </row>
    <row r="26" spans="3:33" s="15" customFormat="1" ht="20.100000000000001" customHeight="1" thickBot="1">
      <c r="C26" s="279" t="s">
        <v>1144</v>
      </c>
      <c r="D26" s="279"/>
      <c r="E26" s="279"/>
      <c r="F26" s="279"/>
      <c r="G26" s="280"/>
      <c r="H26" s="58"/>
      <c r="I26" s="281"/>
      <c r="J26" s="282">
        <v>0</v>
      </c>
      <c r="K26" s="283">
        <v>-132930.25000000003</v>
      </c>
      <c r="L26" s="282">
        <v>-7.200379829207075E-2</v>
      </c>
      <c r="M26" s="283">
        <v>-50601.559999999852</v>
      </c>
      <c r="N26" s="284">
        <v>-82328.69</v>
      </c>
      <c r="O26" s="285"/>
      <c r="P26" s="282">
        <v>0</v>
      </c>
      <c r="Q26" s="285"/>
      <c r="R26" s="286"/>
      <c r="S26" s="279"/>
      <c r="T26" s="287">
        <v>0</v>
      </c>
      <c r="U26" s="58"/>
      <c r="V26" s="281"/>
      <c r="W26" s="282">
        <v>0</v>
      </c>
      <c r="X26" s="285"/>
      <c r="Y26" s="282">
        <v>0</v>
      </c>
      <c r="Z26" s="285"/>
      <c r="AA26" s="286"/>
      <c r="AB26" s="285"/>
      <c r="AC26" s="282">
        <v>0</v>
      </c>
      <c r="AD26" s="285"/>
      <c r="AE26" s="286"/>
      <c r="AF26" s="279"/>
      <c r="AG26" s="287">
        <v>0</v>
      </c>
    </row>
    <row r="27" spans="3:33" s="190" customFormat="1" ht="5.0999999999999996" customHeight="1" thickBot="1">
      <c r="H27" s="43"/>
      <c r="I27" s="204"/>
      <c r="J27" s="189"/>
      <c r="K27" s="288"/>
      <c r="L27" s="189"/>
      <c r="M27" s="288"/>
      <c r="N27" s="288"/>
      <c r="O27" s="204"/>
      <c r="P27" s="189"/>
      <c r="Q27" s="204"/>
      <c r="R27" s="204"/>
      <c r="S27" s="204"/>
      <c r="T27" s="189"/>
      <c r="U27" s="43"/>
      <c r="V27" s="204"/>
      <c r="W27" s="189"/>
      <c r="X27" s="204"/>
      <c r="Y27" s="189"/>
      <c r="Z27" s="204"/>
      <c r="AC27" s="189"/>
      <c r="AG27" s="189"/>
    </row>
    <row r="28" spans="3:33" s="15" customFormat="1" ht="20.100000000000001" customHeight="1">
      <c r="C28" s="63" t="s">
        <v>1145</v>
      </c>
      <c r="D28" s="63"/>
      <c r="E28" s="63"/>
      <c r="F28" s="63"/>
      <c r="G28" s="233"/>
      <c r="H28" s="58"/>
      <c r="I28" s="59"/>
      <c r="J28" s="289"/>
      <c r="K28" s="235">
        <v>7592043.5</v>
      </c>
      <c r="L28" s="289"/>
      <c r="M28" s="235">
        <v>7592043.5</v>
      </c>
      <c r="N28" s="236">
        <v>0</v>
      </c>
      <c r="O28" s="60"/>
      <c r="P28" s="289"/>
      <c r="Q28" s="60"/>
      <c r="R28" s="237"/>
      <c r="S28" s="56"/>
      <c r="T28" s="290"/>
      <c r="U28" s="58"/>
      <c r="V28" s="59"/>
      <c r="W28" s="289"/>
      <c r="X28" s="60"/>
      <c r="Y28" s="289"/>
      <c r="Z28" s="60"/>
      <c r="AA28" s="240"/>
      <c r="AB28" s="239"/>
      <c r="AC28" s="289"/>
      <c r="AD28" s="239"/>
      <c r="AE28" s="240"/>
      <c r="AF28" s="63"/>
      <c r="AG28" s="290"/>
    </row>
    <row r="29" spans="3:33" s="15" customFormat="1" ht="20.100000000000001" customHeight="1">
      <c r="C29" s="71" t="s">
        <v>1146</v>
      </c>
      <c r="D29" s="71"/>
      <c r="E29" s="71"/>
      <c r="F29" s="71"/>
      <c r="G29" s="251"/>
      <c r="H29" s="58"/>
      <c r="I29" s="252"/>
      <c r="J29" s="253">
        <v>0</v>
      </c>
      <c r="K29" s="254">
        <v>2259873.61</v>
      </c>
      <c r="L29" s="253">
        <v>1</v>
      </c>
      <c r="M29" s="254">
        <v>2033377.66</v>
      </c>
      <c r="N29" s="255">
        <v>226495.94999999998</v>
      </c>
      <c r="O29" s="196"/>
      <c r="P29" s="253">
        <v>0</v>
      </c>
      <c r="Q29" s="196"/>
      <c r="R29" s="256"/>
      <c r="S29" s="78"/>
      <c r="T29" s="257">
        <v>0</v>
      </c>
      <c r="U29" s="58"/>
      <c r="V29" s="252"/>
      <c r="W29" s="253">
        <v>0</v>
      </c>
      <c r="X29" s="196"/>
      <c r="Y29" s="253">
        <v>0</v>
      </c>
      <c r="Z29" s="196"/>
      <c r="AA29" s="259"/>
      <c r="AB29" s="258"/>
      <c r="AC29" s="253">
        <v>0</v>
      </c>
      <c r="AD29" s="258"/>
      <c r="AE29" s="259"/>
      <c r="AF29" s="71"/>
      <c r="AG29" s="257">
        <v>0</v>
      </c>
    </row>
    <row r="30" spans="3:33" ht="20.100000000000001" customHeight="1">
      <c r="C30" s="190"/>
      <c r="D30" s="190" t="s">
        <v>1147</v>
      </c>
      <c r="E30" s="190"/>
      <c r="F30" s="190"/>
      <c r="G30" s="260"/>
      <c r="I30" s="261"/>
      <c r="J30" s="262">
        <v>0</v>
      </c>
      <c r="K30" s="263">
        <v>2141784.4300000002</v>
      </c>
      <c r="L30" s="262">
        <v>0.28210908301565979</v>
      </c>
      <c r="M30" s="263">
        <v>1915288.58</v>
      </c>
      <c r="N30" s="264">
        <v>226495.84999999998</v>
      </c>
      <c r="O30" s="265"/>
      <c r="P30" s="262">
        <v>0</v>
      </c>
      <c r="Q30" s="265"/>
      <c r="R30" s="266"/>
      <c r="S30" s="204"/>
      <c r="T30" s="267">
        <v>0</v>
      </c>
      <c r="V30" s="261"/>
      <c r="W30" s="262">
        <v>0</v>
      </c>
      <c r="X30" s="265"/>
      <c r="Y30" s="262">
        <v>0</v>
      </c>
      <c r="Z30" s="265"/>
      <c r="AA30" s="269"/>
      <c r="AB30" s="268"/>
      <c r="AC30" s="262">
        <v>0</v>
      </c>
      <c r="AD30" s="268"/>
      <c r="AE30" s="269"/>
      <c r="AF30" s="190"/>
      <c r="AG30" s="267">
        <v>0</v>
      </c>
    </row>
    <row r="31" spans="3:33" s="15" customFormat="1" ht="20.100000000000001" customHeight="1">
      <c r="C31" s="71" t="s">
        <v>1148</v>
      </c>
      <c r="D31" s="71"/>
      <c r="E31" s="71"/>
      <c r="F31" s="71"/>
      <c r="G31" s="251"/>
      <c r="H31" s="58"/>
      <c r="I31" s="252"/>
      <c r="J31" s="253">
        <v>0</v>
      </c>
      <c r="K31" s="254">
        <v>2009611.6585736631</v>
      </c>
      <c r="L31" s="253">
        <v>0.88925843006488459</v>
      </c>
      <c r="M31" s="254">
        <v>1761848.568573663</v>
      </c>
      <c r="N31" s="255">
        <v>247763.09</v>
      </c>
      <c r="O31" s="196"/>
      <c r="P31" s="253">
        <v>0</v>
      </c>
      <c r="Q31" s="196"/>
      <c r="R31" s="256"/>
      <c r="S31" s="78"/>
      <c r="T31" s="257">
        <v>0</v>
      </c>
      <c r="U31" s="58"/>
      <c r="V31" s="252"/>
      <c r="W31" s="253">
        <v>0</v>
      </c>
      <c r="X31" s="196"/>
      <c r="Y31" s="253">
        <v>0</v>
      </c>
      <c r="Z31" s="196"/>
      <c r="AA31" s="259"/>
      <c r="AB31" s="258"/>
      <c r="AC31" s="253">
        <v>0</v>
      </c>
      <c r="AD31" s="258"/>
      <c r="AE31" s="259"/>
      <c r="AF31" s="71"/>
      <c r="AG31" s="257">
        <v>0</v>
      </c>
    </row>
    <row r="32" spans="3:33" ht="20.100000000000001" customHeight="1">
      <c r="C32" s="190"/>
      <c r="D32" s="190" t="s">
        <v>1149</v>
      </c>
      <c r="E32" s="190"/>
      <c r="F32" s="190"/>
      <c r="G32" s="260"/>
      <c r="I32" s="261"/>
      <c r="J32" s="262">
        <v>0</v>
      </c>
      <c r="K32" s="263">
        <v>45204.24784450297</v>
      </c>
      <c r="L32" s="262">
        <v>2.0002998240464861E-2</v>
      </c>
      <c r="M32" s="263">
        <v>45204.24784450297</v>
      </c>
      <c r="N32" s="264">
        <v>0</v>
      </c>
      <c r="O32" s="265"/>
      <c r="P32" s="262">
        <v>0</v>
      </c>
      <c r="Q32" s="265"/>
      <c r="R32" s="266"/>
      <c r="S32" s="204"/>
      <c r="T32" s="267">
        <v>0</v>
      </c>
      <c r="V32" s="261"/>
      <c r="W32" s="262">
        <v>0</v>
      </c>
      <c r="X32" s="265"/>
      <c r="Y32" s="262">
        <v>0</v>
      </c>
      <c r="Z32" s="265"/>
      <c r="AA32" s="269"/>
      <c r="AB32" s="268"/>
      <c r="AC32" s="262">
        <v>0</v>
      </c>
      <c r="AD32" s="268"/>
      <c r="AE32" s="269"/>
      <c r="AF32" s="190"/>
      <c r="AG32" s="267">
        <v>0</v>
      </c>
    </row>
    <row r="33" spans="3:33" s="15" customFormat="1" ht="20.100000000000001" customHeight="1">
      <c r="C33" s="71" t="s">
        <v>1142</v>
      </c>
      <c r="D33" s="71"/>
      <c r="E33" s="71"/>
      <c r="F33" s="71"/>
      <c r="G33" s="251"/>
      <c r="H33" s="58"/>
      <c r="I33" s="252"/>
      <c r="J33" s="253">
        <v>0</v>
      </c>
      <c r="K33" s="254">
        <v>199747.17999999993</v>
      </c>
      <c r="L33" s="253">
        <v>8.8388651080358399E-2</v>
      </c>
      <c r="M33" s="254">
        <v>199747.17999999993</v>
      </c>
      <c r="N33" s="255">
        <v>0</v>
      </c>
      <c r="O33" s="196"/>
      <c r="P33" s="253">
        <v>0</v>
      </c>
      <c r="Q33" s="196"/>
      <c r="R33" s="256"/>
      <c r="S33" s="78"/>
      <c r="T33" s="257">
        <v>0</v>
      </c>
      <c r="U33" s="58"/>
      <c r="V33" s="252"/>
      <c r="W33" s="253">
        <v>0</v>
      </c>
      <c r="X33" s="196"/>
      <c r="Y33" s="253">
        <v>0</v>
      </c>
      <c r="Z33" s="196"/>
      <c r="AA33" s="259"/>
      <c r="AB33" s="258"/>
      <c r="AC33" s="253">
        <v>0</v>
      </c>
      <c r="AD33" s="258"/>
      <c r="AE33" s="259"/>
      <c r="AF33" s="71"/>
      <c r="AG33" s="257">
        <v>0</v>
      </c>
    </row>
    <row r="34" spans="3:33" ht="20.100000000000001" customHeight="1">
      <c r="C34" s="190" t="s">
        <v>1150</v>
      </c>
      <c r="D34" s="190"/>
      <c r="E34" s="190"/>
      <c r="F34" s="190"/>
      <c r="G34" s="260"/>
      <c r="I34" s="261"/>
      <c r="J34" s="262">
        <v>0</v>
      </c>
      <c r="K34" s="263">
        <v>240459.78999999998</v>
      </c>
      <c r="L34" s="262">
        <v>0.1064040877932107</v>
      </c>
      <c r="M34" s="263">
        <v>240459.78999999998</v>
      </c>
      <c r="N34" s="264">
        <v>0</v>
      </c>
      <c r="O34" s="265"/>
      <c r="P34" s="262">
        <v>0</v>
      </c>
      <c r="Q34" s="265"/>
      <c r="R34" s="266"/>
      <c r="S34" s="204"/>
      <c r="T34" s="267">
        <v>0</v>
      </c>
      <c r="V34" s="261"/>
      <c r="W34" s="262">
        <v>0</v>
      </c>
      <c r="X34" s="265"/>
      <c r="Y34" s="262">
        <v>0</v>
      </c>
      <c r="Z34" s="265"/>
      <c r="AA34" s="269"/>
      <c r="AB34" s="268"/>
      <c r="AC34" s="262">
        <v>0</v>
      </c>
      <c r="AD34" s="268"/>
      <c r="AE34" s="269"/>
      <c r="AF34" s="190"/>
      <c r="AG34" s="267">
        <v>0</v>
      </c>
    </row>
    <row r="35" spans="3:33" ht="20.100000000000001" customHeight="1">
      <c r="C35" s="190"/>
      <c r="D35" s="190" t="s">
        <v>1151</v>
      </c>
      <c r="E35" s="190"/>
      <c r="F35" s="190"/>
      <c r="G35" s="260"/>
      <c r="I35" s="261"/>
      <c r="J35" s="262">
        <v>0</v>
      </c>
      <c r="K35" s="263">
        <v>227551.19</v>
      </c>
      <c r="L35" s="262">
        <v>0.10069199843437263</v>
      </c>
      <c r="M35" s="263">
        <v>227551.19</v>
      </c>
      <c r="N35" s="264">
        <v>0</v>
      </c>
      <c r="O35" s="265"/>
      <c r="P35" s="262">
        <v>0</v>
      </c>
      <c r="Q35" s="265"/>
      <c r="R35" s="266"/>
      <c r="S35" s="204"/>
      <c r="T35" s="267">
        <v>0</v>
      </c>
      <c r="V35" s="261"/>
      <c r="W35" s="262">
        <v>0</v>
      </c>
      <c r="X35" s="265"/>
      <c r="Y35" s="262">
        <v>0</v>
      </c>
      <c r="Z35" s="265"/>
      <c r="AA35" s="269"/>
      <c r="AB35" s="268"/>
      <c r="AC35" s="262">
        <v>0</v>
      </c>
      <c r="AD35" s="268"/>
      <c r="AE35" s="269"/>
      <c r="AF35" s="190"/>
      <c r="AG35" s="267">
        <v>0</v>
      </c>
    </row>
    <row r="36" spans="3:33" ht="20.100000000000001" customHeight="1">
      <c r="C36" s="190" t="s">
        <v>1152</v>
      </c>
      <c r="D36" s="190"/>
      <c r="E36" s="190"/>
      <c r="F36" s="190"/>
      <c r="G36" s="260"/>
      <c r="I36" s="261"/>
      <c r="J36" s="262">
        <v>0</v>
      </c>
      <c r="K36" s="263">
        <v>889.23</v>
      </c>
      <c r="L36" s="262">
        <v>3.93486607421377E-4</v>
      </c>
      <c r="M36" s="263">
        <v>889.23</v>
      </c>
      <c r="N36" s="264">
        <v>0</v>
      </c>
      <c r="O36" s="265"/>
      <c r="P36" s="262">
        <v>0</v>
      </c>
      <c r="Q36" s="265"/>
      <c r="R36" s="266"/>
      <c r="S36" s="204"/>
      <c r="T36" s="267">
        <v>0</v>
      </c>
      <c r="V36" s="261"/>
      <c r="W36" s="262">
        <v>0</v>
      </c>
      <c r="X36" s="265"/>
      <c r="Y36" s="262">
        <v>0</v>
      </c>
      <c r="Z36" s="265"/>
      <c r="AA36" s="269"/>
      <c r="AB36" s="268"/>
      <c r="AC36" s="262">
        <v>0</v>
      </c>
      <c r="AD36" s="268"/>
      <c r="AE36" s="269"/>
      <c r="AF36" s="190"/>
      <c r="AG36" s="267">
        <v>0</v>
      </c>
    </row>
    <row r="37" spans="3:33" s="15" customFormat="1" ht="20.100000000000001" customHeight="1">
      <c r="C37" s="119" t="s">
        <v>1153</v>
      </c>
      <c r="D37" s="119"/>
      <c r="E37" s="119"/>
      <c r="F37" s="119"/>
      <c r="G37" s="120"/>
      <c r="H37" s="58"/>
      <c r="I37" s="121"/>
      <c r="J37" s="291">
        <v>0</v>
      </c>
      <c r="K37" s="292">
        <v>290085.33142633684</v>
      </c>
      <c r="L37" s="291">
        <v>0.12836352004054635</v>
      </c>
      <c r="M37" s="292">
        <v>311352.47142633697</v>
      </c>
      <c r="N37" s="293">
        <v>-21267.140000000014</v>
      </c>
      <c r="O37" s="118"/>
      <c r="P37" s="291">
        <v>0</v>
      </c>
      <c r="Q37" s="118"/>
      <c r="R37" s="294"/>
      <c r="S37" s="119"/>
      <c r="T37" s="295">
        <v>0</v>
      </c>
      <c r="U37" s="58"/>
      <c r="V37" s="121"/>
      <c r="W37" s="291">
        <v>0</v>
      </c>
      <c r="X37" s="118"/>
      <c r="Y37" s="291">
        <v>0</v>
      </c>
      <c r="Z37" s="118"/>
      <c r="AA37" s="294"/>
      <c r="AB37" s="118"/>
      <c r="AC37" s="291">
        <v>0</v>
      </c>
      <c r="AD37" s="118"/>
      <c r="AE37" s="294"/>
      <c r="AF37" s="119"/>
      <c r="AG37" s="295">
        <v>0</v>
      </c>
    </row>
    <row r="38" spans="3:33" s="15" customFormat="1" ht="20.100000000000001" customHeight="1" thickBot="1">
      <c r="C38" s="296" t="s">
        <v>1154</v>
      </c>
      <c r="D38" s="296"/>
      <c r="E38" s="296"/>
      <c r="F38" s="296"/>
      <c r="G38" s="297"/>
      <c r="H38" s="58"/>
      <c r="I38" s="298"/>
      <c r="J38" s="299">
        <v>0</v>
      </c>
      <c r="K38" s="300">
        <v>62534.141426336835</v>
      </c>
      <c r="L38" s="299">
        <v>2.7671521606173737E-2</v>
      </c>
      <c r="M38" s="300">
        <v>83801.281426336966</v>
      </c>
      <c r="N38" s="301">
        <v>-21267.140000000014</v>
      </c>
      <c r="O38" s="302"/>
      <c r="P38" s="299">
        <v>0</v>
      </c>
      <c r="Q38" s="302"/>
      <c r="R38" s="303"/>
      <c r="S38" s="296"/>
      <c r="T38" s="304">
        <v>0</v>
      </c>
      <c r="U38" s="58"/>
      <c r="V38" s="298"/>
      <c r="W38" s="299">
        <v>0</v>
      </c>
      <c r="X38" s="302"/>
      <c r="Y38" s="299">
        <v>0</v>
      </c>
      <c r="Z38" s="302"/>
      <c r="AA38" s="303"/>
      <c r="AB38" s="302"/>
      <c r="AC38" s="299">
        <v>0</v>
      </c>
      <c r="AD38" s="302"/>
      <c r="AE38" s="303"/>
      <c r="AF38" s="296"/>
      <c r="AG38" s="304">
        <v>0</v>
      </c>
    </row>
    <row r="41" spans="3:33" ht="20.100000000000001" customHeight="1">
      <c r="M41" s="305"/>
    </row>
  </sheetData>
  <mergeCells count="19">
    <mergeCell ref="AA8:AA9"/>
    <mergeCell ref="AD8:AD9"/>
    <mergeCell ref="AE8:AE9"/>
    <mergeCell ref="C6:G9"/>
    <mergeCell ref="I6:S6"/>
    <mergeCell ref="V6:AF6"/>
    <mergeCell ref="I7:I9"/>
    <mergeCell ref="K7:K9"/>
    <mergeCell ref="O7:O9"/>
    <mergeCell ref="S7:S9"/>
    <mergeCell ref="V7:V9"/>
    <mergeCell ref="X7:X9"/>
    <mergeCell ref="AB7:AB9"/>
    <mergeCell ref="AF7:AF9"/>
    <mergeCell ref="M8:M9"/>
    <mergeCell ref="N8:N9"/>
    <mergeCell ref="Q8:Q9"/>
    <mergeCell ref="R8:R9"/>
    <mergeCell ref="Z8:Z9"/>
  </mergeCells>
  <phoneticPr fontId="4" type="noConversion"/>
  <printOptions horizontalCentered="1" verticalCentered="1"/>
  <pageMargins left="0.15748031496062992" right="0.15748031496062992" top="0.39370078740157483" bottom="0.39370078740157483" header="0" footer="0"/>
  <pageSetup paperSize="9" scale="65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B2:BH151"/>
  <sheetViews>
    <sheetView showGridLines="0" zoomScaleNormal="100" workbookViewId="0">
      <pane ySplit="7" topLeftCell="A8" activePane="bottomLeft" state="frozen"/>
      <selection activeCell="V28" sqref="V28"/>
      <selection pane="bottomLeft" activeCell="V28" sqref="V28"/>
    </sheetView>
  </sheetViews>
  <sheetFormatPr defaultRowHeight="20.100000000000001" customHeight="1" outlineLevelRow="1"/>
  <cols>
    <col min="1" max="1" width="4.7109375" style="2" customWidth="1"/>
    <col min="2" max="5" width="3.7109375" style="2" customWidth="1"/>
    <col min="6" max="6" width="25.42578125" style="2" customWidth="1"/>
    <col min="7" max="7" width="1" style="43" customWidth="1"/>
    <col min="8" max="15" width="10.7109375" style="2" customWidth="1"/>
    <col min="16" max="16" width="1" style="43" customWidth="1"/>
    <col min="17" max="24" width="10.7109375" style="2" customWidth="1"/>
    <col min="25" max="26" width="5.5703125" style="43" customWidth="1"/>
    <col min="27" max="34" width="10.7109375" style="2" customWidth="1"/>
    <col min="35" max="35" width="1" style="43" customWidth="1"/>
    <col min="36" max="43" width="10.7109375" style="2" customWidth="1"/>
    <col min="44" max="16384" width="9.140625" style="2"/>
  </cols>
  <sheetData>
    <row r="2" spans="2:44" ht="20.100000000000001" customHeight="1">
      <c r="B2" s="42" t="s">
        <v>1155</v>
      </c>
      <c r="AA2" s="15" t="s">
        <v>1156</v>
      </c>
    </row>
    <row r="3" spans="2:44" ht="14.25" customHeight="1" thickBot="1">
      <c r="G3" s="45"/>
      <c r="P3" s="45"/>
      <c r="Y3" s="45"/>
      <c r="Z3" s="45"/>
      <c r="AI3" s="45"/>
    </row>
    <row r="4" spans="2:44" ht="20.100000000000001" customHeight="1">
      <c r="B4" s="676" t="s">
        <v>1119</v>
      </c>
      <c r="C4" s="676"/>
      <c r="D4" s="676"/>
      <c r="E4" s="676"/>
      <c r="F4" s="677"/>
      <c r="G4" s="45"/>
      <c r="H4" s="680" t="s">
        <v>1120</v>
      </c>
      <c r="I4" s="676"/>
      <c r="J4" s="676"/>
      <c r="K4" s="676"/>
      <c r="L4" s="676"/>
      <c r="M4" s="676"/>
      <c r="N4" s="676"/>
      <c r="O4" s="677"/>
      <c r="P4" s="45"/>
      <c r="Q4" s="702" t="s">
        <v>1121</v>
      </c>
      <c r="R4" s="703"/>
      <c r="S4" s="703"/>
      <c r="T4" s="703"/>
      <c r="U4" s="703"/>
      <c r="V4" s="703"/>
      <c r="W4" s="703"/>
      <c r="X4" s="704"/>
      <c r="Y4" s="45"/>
      <c r="Z4" s="45"/>
      <c r="AA4" s="705" t="s">
        <v>1120</v>
      </c>
      <c r="AB4" s="706"/>
      <c r="AC4" s="706"/>
      <c r="AD4" s="706"/>
      <c r="AE4" s="706"/>
      <c r="AF4" s="706"/>
      <c r="AG4" s="706"/>
      <c r="AH4" s="707"/>
      <c r="AI4" s="45"/>
      <c r="AJ4" s="708" t="s">
        <v>1121</v>
      </c>
      <c r="AK4" s="709"/>
      <c r="AL4" s="709"/>
      <c r="AM4" s="709"/>
      <c r="AN4" s="709"/>
      <c r="AO4" s="709"/>
      <c r="AP4" s="709"/>
      <c r="AQ4" s="710"/>
    </row>
    <row r="5" spans="2:44" ht="8.25" customHeight="1">
      <c r="B5" s="687"/>
      <c r="C5" s="687"/>
      <c r="D5" s="687"/>
      <c r="E5" s="687"/>
      <c r="F5" s="688"/>
      <c r="G5" s="45"/>
      <c r="H5" s="689" t="s">
        <v>1122</v>
      </c>
      <c r="I5" s="692" t="s">
        <v>1123</v>
      </c>
      <c r="J5" s="223"/>
      <c r="K5" s="225"/>
      <c r="L5" s="692" t="s">
        <v>1124</v>
      </c>
      <c r="M5" s="224"/>
      <c r="N5" s="226"/>
      <c r="O5" s="711" t="s">
        <v>1125</v>
      </c>
      <c r="P5" s="45"/>
      <c r="Q5" s="689" t="s">
        <v>1122</v>
      </c>
      <c r="R5" s="692" t="s">
        <v>1123</v>
      </c>
      <c r="S5" s="223"/>
      <c r="T5" s="225"/>
      <c r="U5" s="692" t="s">
        <v>1124</v>
      </c>
      <c r="V5" s="224"/>
      <c r="W5" s="226"/>
      <c r="X5" s="711" t="s">
        <v>1125</v>
      </c>
      <c r="Y5" s="45"/>
      <c r="Z5" s="45"/>
      <c r="AA5" s="689" t="s">
        <v>1122</v>
      </c>
      <c r="AB5" s="692" t="s">
        <v>1123</v>
      </c>
      <c r="AC5" s="223"/>
      <c r="AD5" s="225"/>
      <c r="AE5" s="692" t="s">
        <v>1124</v>
      </c>
      <c r="AF5" s="224"/>
      <c r="AG5" s="226"/>
      <c r="AH5" s="711" t="s">
        <v>1125</v>
      </c>
      <c r="AI5" s="45"/>
      <c r="AJ5" s="689" t="s">
        <v>1122</v>
      </c>
      <c r="AK5" s="692" t="s">
        <v>1123</v>
      </c>
      <c r="AL5" s="223"/>
      <c r="AM5" s="225"/>
      <c r="AN5" s="692" t="s">
        <v>1124</v>
      </c>
      <c r="AO5" s="224"/>
      <c r="AP5" s="226"/>
      <c r="AQ5" s="711" t="s">
        <v>1125</v>
      </c>
    </row>
    <row r="6" spans="2:44" ht="8.25" customHeight="1">
      <c r="B6" s="687"/>
      <c r="C6" s="687"/>
      <c r="D6" s="687"/>
      <c r="E6" s="687"/>
      <c r="F6" s="688"/>
      <c r="G6" s="45"/>
      <c r="H6" s="690"/>
      <c r="I6" s="693"/>
      <c r="J6" s="698" t="s">
        <v>1126</v>
      </c>
      <c r="K6" s="700" t="s">
        <v>1127</v>
      </c>
      <c r="L6" s="693"/>
      <c r="M6" s="698" t="s">
        <v>1128</v>
      </c>
      <c r="N6" s="700" t="s">
        <v>1129</v>
      </c>
      <c r="O6" s="712"/>
      <c r="P6" s="45"/>
      <c r="Q6" s="690"/>
      <c r="R6" s="693"/>
      <c r="S6" s="698" t="s">
        <v>1126</v>
      </c>
      <c r="T6" s="700" t="s">
        <v>1127</v>
      </c>
      <c r="U6" s="693"/>
      <c r="V6" s="698" t="s">
        <v>1128</v>
      </c>
      <c r="W6" s="700" t="s">
        <v>1129</v>
      </c>
      <c r="X6" s="712"/>
      <c r="Y6" s="45"/>
      <c r="Z6" s="45"/>
      <c r="AA6" s="690"/>
      <c r="AB6" s="693"/>
      <c r="AC6" s="698" t="s">
        <v>1126</v>
      </c>
      <c r="AD6" s="700" t="s">
        <v>1127</v>
      </c>
      <c r="AE6" s="693"/>
      <c r="AF6" s="698" t="s">
        <v>1128</v>
      </c>
      <c r="AG6" s="700" t="s">
        <v>1129</v>
      </c>
      <c r="AH6" s="712"/>
      <c r="AI6" s="45"/>
      <c r="AJ6" s="690"/>
      <c r="AK6" s="693"/>
      <c r="AL6" s="698" t="s">
        <v>1126</v>
      </c>
      <c r="AM6" s="700" t="s">
        <v>1127</v>
      </c>
      <c r="AN6" s="693"/>
      <c r="AO6" s="698" t="s">
        <v>1128</v>
      </c>
      <c r="AP6" s="700" t="s">
        <v>1129</v>
      </c>
      <c r="AQ6" s="712"/>
    </row>
    <row r="7" spans="2:44" ht="16.5" customHeight="1" thickBot="1">
      <c r="B7" s="687"/>
      <c r="C7" s="687"/>
      <c r="D7" s="687"/>
      <c r="E7" s="687"/>
      <c r="F7" s="688"/>
      <c r="G7" s="50"/>
      <c r="H7" s="691"/>
      <c r="I7" s="694"/>
      <c r="J7" s="699"/>
      <c r="K7" s="701"/>
      <c r="L7" s="694"/>
      <c r="M7" s="699"/>
      <c r="N7" s="701"/>
      <c r="O7" s="713"/>
      <c r="P7" s="50"/>
      <c r="Q7" s="691"/>
      <c r="R7" s="694"/>
      <c r="S7" s="699"/>
      <c r="T7" s="701"/>
      <c r="U7" s="694"/>
      <c r="V7" s="699"/>
      <c r="W7" s="701"/>
      <c r="X7" s="713"/>
      <c r="Y7" s="50"/>
      <c r="Z7" s="50"/>
      <c r="AA7" s="691"/>
      <c r="AB7" s="694"/>
      <c r="AC7" s="699"/>
      <c r="AD7" s="701"/>
      <c r="AE7" s="694"/>
      <c r="AF7" s="699"/>
      <c r="AG7" s="701"/>
      <c r="AH7" s="713"/>
      <c r="AI7" s="50"/>
      <c r="AJ7" s="691"/>
      <c r="AK7" s="694"/>
      <c r="AL7" s="699"/>
      <c r="AM7" s="701"/>
      <c r="AN7" s="694"/>
      <c r="AO7" s="699"/>
      <c r="AP7" s="701"/>
      <c r="AQ7" s="713"/>
    </row>
    <row r="8" spans="2:44" s="15" customFormat="1" ht="18" customHeight="1">
      <c r="B8" s="56" t="s">
        <v>1157</v>
      </c>
      <c r="C8" s="56"/>
      <c r="D8" s="56"/>
      <c r="E8" s="56"/>
      <c r="F8" s="57"/>
      <c r="G8" s="58"/>
      <c r="H8" s="59"/>
      <c r="I8" s="60"/>
      <c r="J8" s="60">
        <v>57.545454545454547</v>
      </c>
      <c r="K8" s="237"/>
      <c r="L8" s="60"/>
      <c r="M8" s="60"/>
      <c r="N8" s="237"/>
      <c r="O8" s="57"/>
      <c r="P8" s="58"/>
      <c r="Q8" s="59"/>
      <c r="R8" s="60"/>
      <c r="S8" s="60"/>
      <c r="T8" s="237"/>
      <c r="U8" s="60"/>
      <c r="V8" s="60"/>
      <c r="W8" s="237"/>
      <c r="X8" s="57"/>
      <c r="Y8" s="58"/>
      <c r="Z8" s="58"/>
      <c r="AA8" s="59"/>
      <c r="AB8" s="60"/>
      <c r="AC8" s="60">
        <v>1266</v>
      </c>
      <c r="AD8" s="237"/>
      <c r="AE8" s="60"/>
      <c r="AF8" s="60"/>
      <c r="AG8" s="237"/>
      <c r="AH8" s="57"/>
      <c r="AI8" s="58"/>
      <c r="AJ8" s="59"/>
      <c r="AK8" s="60"/>
      <c r="AL8" s="60"/>
      <c r="AM8" s="237"/>
      <c r="AN8" s="60"/>
      <c r="AO8" s="60"/>
      <c r="AP8" s="237"/>
      <c r="AQ8" s="57"/>
      <c r="AR8" s="38"/>
    </row>
    <row r="9" spans="2:44" s="15" customFormat="1" ht="18" customHeight="1">
      <c r="B9" s="306" t="s">
        <v>1158</v>
      </c>
      <c r="C9" s="306"/>
      <c r="D9" s="306"/>
      <c r="E9" s="306"/>
      <c r="F9" s="192"/>
      <c r="G9" s="58"/>
      <c r="H9" s="193"/>
      <c r="I9" s="191"/>
      <c r="J9" s="191">
        <v>22</v>
      </c>
      <c r="K9" s="307"/>
      <c r="L9" s="191"/>
      <c r="M9" s="191"/>
      <c r="N9" s="307"/>
      <c r="O9" s="192"/>
      <c r="P9" s="58"/>
      <c r="Q9" s="193"/>
      <c r="R9" s="191"/>
      <c r="S9" s="191"/>
      <c r="T9" s="307"/>
      <c r="U9" s="191"/>
      <c r="V9" s="191"/>
      <c r="W9" s="307"/>
      <c r="X9" s="192"/>
      <c r="Y9" s="58"/>
      <c r="Z9" s="58"/>
      <c r="AA9" s="193"/>
      <c r="AB9" s="191"/>
      <c r="AC9" s="191">
        <v>22</v>
      </c>
      <c r="AD9" s="307"/>
      <c r="AE9" s="191"/>
      <c r="AF9" s="191"/>
      <c r="AG9" s="307"/>
      <c r="AH9" s="192"/>
      <c r="AI9" s="58"/>
      <c r="AJ9" s="193"/>
      <c r="AK9" s="191"/>
      <c r="AL9" s="191"/>
      <c r="AM9" s="307"/>
      <c r="AN9" s="191"/>
      <c r="AO9" s="191"/>
      <c r="AP9" s="307"/>
      <c r="AQ9" s="192"/>
      <c r="AR9" s="38"/>
    </row>
    <row r="10" spans="2:44" s="15" customFormat="1" ht="18" customHeight="1">
      <c r="B10" s="306" t="s">
        <v>1159</v>
      </c>
      <c r="C10" s="306"/>
      <c r="D10" s="306"/>
      <c r="E10" s="306"/>
      <c r="F10" s="192"/>
      <c r="G10" s="58"/>
      <c r="H10" s="193"/>
      <c r="I10" s="191"/>
      <c r="J10" s="191">
        <v>677067.18000000052</v>
      </c>
      <c r="K10" s="307"/>
      <c r="L10" s="191"/>
      <c r="M10" s="191"/>
      <c r="N10" s="307"/>
      <c r="O10" s="192"/>
      <c r="P10" s="58"/>
      <c r="Q10" s="193"/>
      <c r="R10" s="191"/>
      <c r="S10" s="191"/>
      <c r="T10" s="307"/>
      <c r="U10" s="191"/>
      <c r="V10" s="191"/>
      <c r="W10" s="307"/>
      <c r="X10" s="192"/>
      <c r="Y10" s="58"/>
      <c r="Z10" s="58"/>
      <c r="AA10" s="193"/>
      <c r="AB10" s="191"/>
      <c r="AC10" s="191">
        <v>677067.18000000052</v>
      </c>
      <c r="AD10" s="307"/>
      <c r="AE10" s="191"/>
      <c r="AF10" s="191"/>
      <c r="AG10" s="307"/>
      <c r="AH10" s="192"/>
      <c r="AI10" s="58"/>
      <c r="AJ10" s="193"/>
      <c r="AK10" s="191"/>
      <c r="AL10" s="191"/>
      <c r="AM10" s="307"/>
      <c r="AN10" s="191"/>
      <c r="AO10" s="191"/>
      <c r="AP10" s="307"/>
      <c r="AQ10" s="192"/>
      <c r="AR10" s="38"/>
    </row>
    <row r="11" spans="2:44" s="13" customFormat="1" ht="18" customHeight="1">
      <c r="B11" s="79"/>
      <c r="C11" s="308"/>
      <c r="D11" s="309" t="s">
        <v>1160</v>
      </c>
      <c r="E11" s="310"/>
      <c r="F11" s="311"/>
      <c r="G11" s="80"/>
      <c r="H11" s="312"/>
      <c r="I11" s="313"/>
      <c r="J11" s="313">
        <v>393274.31000000058</v>
      </c>
      <c r="K11" s="314"/>
      <c r="L11" s="313"/>
      <c r="M11" s="313"/>
      <c r="N11" s="314"/>
      <c r="O11" s="315"/>
      <c r="P11" s="80"/>
      <c r="Q11" s="312"/>
      <c r="R11" s="313"/>
      <c r="S11" s="313"/>
      <c r="T11" s="314"/>
      <c r="U11" s="313"/>
      <c r="V11" s="313"/>
      <c r="W11" s="314"/>
      <c r="X11" s="315"/>
      <c r="Y11" s="80"/>
      <c r="Z11" s="80"/>
      <c r="AA11" s="312"/>
      <c r="AB11" s="313"/>
      <c r="AC11" s="313">
        <v>393274.31000000058</v>
      </c>
      <c r="AD11" s="314"/>
      <c r="AE11" s="313"/>
      <c r="AF11" s="313"/>
      <c r="AG11" s="314"/>
      <c r="AH11" s="315"/>
      <c r="AI11" s="80"/>
      <c r="AJ11" s="312"/>
      <c r="AK11" s="313"/>
      <c r="AL11" s="313"/>
      <c r="AM11" s="314"/>
      <c r="AN11" s="313"/>
      <c r="AO11" s="313"/>
      <c r="AP11" s="314"/>
      <c r="AQ11" s="315"/>
      <c r="AR11" s="33"/>
    </row>
    <row r="12" spans="2:44" s="13" customFormat="1" ht="18" customHeight="1">
      <c r="B12" s="79"/>
      <c r="C12" s="313" t="s">
        <v>1161</v>
      </c>
      <c r="D12" s="316"/>
      <c r="E12" s="316"/>
      <c r="F12" s="315"/>
      <c r="G12" s="80"/>
      <c r="H12" s="312"/>
      <c r="I12" s="313"/>
      <c r="J12" s="313">
        <v>640771.18000000052</v>
      </c>
      <c r="K12" s="314"/>
      <c r="L12" s="313"/>
      <c r="M12" s="313"/>
      <c r="N12" s="314"/>
      <c r="O12" s="315"/>
      <c r="P12" s="80"/>
      <c r="Q12" s="312"/>
      <c r="R12" s="313"/>
      <c r="S12" s="313"/>
      <c r="T12" s="314"/>
      <c r="U12" s="313"/>
      <c r="V12" s="313"/>
      <c r="W12" s="314"/>
      <c r="X12" s="315"/>
      <c r="Y12" s="80"/>
      <c r="Z12" s="80"/>
      <c r="AA12" s="312"/>
      <c r="AB12" s="313"/>
      <c r="AC12" s="313">
        <v>640771.18000000052</v>
      </c>
      <c r="AD12" s="314"/>
      <c r="AE12" s="313"/>
      <c r="AF12" s="313"/>
      <c r="AG12" s="314"/>
      <c r="AH12" s="315"/>
      <c r="AI12" s="80"/>
      <c r="AJ12" s="312"/>
      <c r="AK12" s="313"/>
      <c r="AL12" s="313"/>
      <c r="AM12" s="314"/>
      <c r="AN12" s="313"/>
      <c r="AO12" s="313"/>
      <c r="AP12" s="314"/>
      <c r="AQ12" s="315"/>
      <c r="AR12" s="33"/>
    </row>
    <row r="13" spans="2:44" s="13" customFormat="1" ht="18" customHeight="1">
      <c r="B13" s="79"/>
      <c r="C13" s="246"/>
      <c r="D13" s="313" t="s">
        <v>1162</v>
      </c>
      <c r="E13" s="316"/>
      <c r="F13" s="315"/>
      <c r="G13" s="80"/>
      <c r="H13" s="312"/>
      <c r="I13" s="313"/>
      <c r="J13" s="313">
        <v>5734.6699999999992</v>
      </c>
      <c r="K13" s="314"/>
      <c r="L13" s="313"/>
      <c r="M13" s="313"/>
      <c r="N13" s="314"/>
      <c r="O13" s="315"/>
      <c r="P13" s="80"/>
      <c r="Q13" s="312"/>
      <c r="R13" s="313"/>
      <c r="S13" s="313"/>
      <c r="T13" s="314"/>
      <c r="U13" s="313"/>
      <c r="V13" s="313"/>
      <c r="W13" s="314"/>
      <c r="X13" s="315"/>
      <c r="Y13" s="80"/>
      <c r="Z13" s="80"/>
      <c r="AA13" s="312"/>
      <c r="AB13" s="313"/>
      <c r="AC13" s="313">
        <v>5734.6699999999992</v>
      </c>
      <c r="AD13" s="314"/>
      <c r="AE13" s="313"/>
      <c r="AF13" s="313"/>
      <c r="AG13" s="314"/>
      <c r="AH13" s="315"/>
      <c r="AI13" s="80"/>
      <c r="AJ13" s="312"/>
      <c r="AK13" s="313"/>
      <c r="AL13" s="313"/>
      <c r="AM13" s="314"/>
      <c r="AN13" s="313"/>
      <c r="AO13" s="313"/>
      <c r="AP13" s="314"/>
      <c r="AQ13" s="315"/>
      <c r="AR13" s="33"/>
    </row>
    <row r="14" spans="2:44" s="13" customFormat="1" ht="18" customHeight="1">
      <c r="B14" s="79"/>
      <c r="C14" s="246"/>
      <c r="D14" s="246" t="s">
        <v>1163</v>
      </c>
      <c r="E14" s="79"/>
      <c r="F14" s="317"/>
      <c r="G14" s="80"/>
      <c r="H14" s="242"/>
      <c r="I14" s="246"/>
      <c r="J14" s="246">
        <v>39962.660000000003</v>
      </c>
      <c r="K14" s="247"/>
      <c r="L14" s="246"/>
      <c r="M14" s="246"/>
      <c r="N14" s="247"/>
      <c r="O14" s="317"/>
      <c r="P14" s="80"/>
      <c r="Q14" s="242"/>
      <c r="R14" s="246"/>
      <c r="S14" s="246"/>
      <c r="T14" s="247"/>
      <c r="U14" s="246"/>
      <c r="V14" s="246"/>
      <c r="W14" s="247"/>
      <c r="X14" s="317"/>
      <c r="Y14" s="80"/>
      <c r="Z14" s="80"/>
      <c r="AA14" s="242"/>
      <c r="AB14" s="246"/>
      <c r="AC14" s="246">
        <v>39962.660000000003</v>
      </c>
      <c r="AD14" s="247"/>
      <c r="AE14" s="246"/>
      <c r="AF14" s="246"/>
      <c r="AG14" s="247"/>
      <c r="AH14" s="317"/>
      <c r="AI14" s="80"/>
      <c r="AJ14" s="242"/>
      <c r="AK14" s="246"/>
      <c r="AL14" s="246"/>
      <c r="AM14" s="247"/>
      <c r="AN14" s="246"/>
      <c r="AO14" s="246"/>
      <c r="AP14" s="247"/>
      <c r="AQ14" s="317"/>
      <c r="AR14" s="33"/>
    </row>
    <row r="15" spans="2:44" s="13" customFormat="1" ht="18" customHeight="1">
      <c r="B15" s="79"/>
      <c r="C15" s="246"/>
      <c r="D15" s="246" t="s">
        <v>1164</v>
      </c>
      <c r="E15" s="79"/>
      <c r="F15" s="317"/>
      <c r="G15" s="80"/>
      <c r="H15" s="242"/>
      <c r="I15" s="246"/>
      <c r="J15" s="246">
        <v>381586.81000000058</v>
      </c>
      <c r="K15" s="247"/>
      <c r="L15" s="246"/>
      <c r="M15" s="246"/>
      <c r="N15" s="247"/>
      <c r="O15" s="317"/>
      <c r="P15" s="80"/>
      <c r="Q15" s="242"/>
      <c r="R15" s="246"/>
      <c r="S15" s="246"/>
      <c r="T15" s="247"/>
      <c r="U15" s="246"/>
      <c r="V15" s="246"/>
      <c r="W15" s="247"/>
      <c r="X15" s="317"/>
      <c r="Y15" s="80"/>
      <c r="Z15" s="80"/>
      <c r="AA15" s="242"/>
      <c r="AB15" s="246"/>
      <c r="AC15" s="246">
        <v>381586.81000000058</v>
      </c>
      <c r="AD15" s="247"/>
      <c r="AE15" s="246"/>
      <c r="AF15" s="246"/>
      <c r="AG15" s="247"/>
      <c r="AH15" s="317"/>
      <c r="AI15" s="80"/>
      <c r="AJ15" s="242"/>
      <c r="AK15" s="246"/>
      <c r="AL15" s="246"/>
      <c r="AM15" s="247"/>
      <c r="AN15" s="246"/>
      <c r="AO15" s="246"/>
      <c r="AP15" s="247"/>
      <c r="AQ15" s="317"/>
      <c r="AR15" s="33"/>
    </row>
    <row r="16" spans="2:44" s="13" customFormat="1" ht="18" hidden="1" customHeight="1" outlineLevel="1">
      <c r="B16" s="79"/>
      <c r="C16" s="246"/>
      <c r="D16" s="246"/>
      <c r="E16" s="79"/>
      <c r="F16" s="317" t="s">
        <v>1165</v>
      </c>
      <c r="G16" s="80"/>
      <c r="H16" s="242"/>
      <c r="I16" s="246"/>
      <c r="J16" s="246">
        <v>360515.7700000006</v>
      </c>
      <c r="K16" s="247"/>
      <c r="L16" s="246"/>
      <c r="M16" s="246"/>
      <c r="N16" s="247"/>
      <c r="O16" s="317"/>
      <c r="P16" s="80"/>
      <c r="Q16" s="242"/>
      <c r="R16" s="246"/>
      <c r="S16" s="246"/>
      <c r="T16" s="247"/>
      <c r="U16" s="246"/>
      <c r="V16" s="246"/>
      <c r="W16" s="247"/>
      <c r="X16" s="317"/>
      <c r="Y16" s="80"/>
      <c r="Z16" s="80"/>
      <c r="AA16" s="242"/>
      <c r="AB16" s="246"/>
      <c r="AC16" s="246">
        <v>360515.7700000006</v>
      </c>
      <c r="AD16" s="247"/>
      <c r="AE16" s="246"/>
      <c r="AF16" s="246"/>
      <c r="AG16" s="247"/>
      <c r="AH16" s="317"/>
      <c r="AI16" s="80"/>
      <c r="AJ16" s="242"/>
      <c r="AK16" s="246"/>
      <c r="AL16" s="246"/>
      <c r="AM16" s="247"/>
      <c r="AN16" s="246"/>
      <c r="AO16" s="246"/>
      <c r="AP16" s="247"/>
      <c r="AQ16" s="317"/>
      <c r="AR16" s="33"/>
    </row>
    <row r="17" spans="2:44" s="13" customFormat="1" ht="18" hidden="1" customHeight="1" outlineLevel="1">
      <c r="B17" s="79"/>
      <c r="C17" s="246"/>
      <c r="D17" s="246"/>
      <c r="E17" s="79"/>
      <c r="F17" s="317" t="s">
        <v>1166</v>
      </c>
      <c r="G17" s="80"/>
      <c r="H17" s="242"/>
      <c r="I17" s="246"/>
      <c r="J17" s="246">
        <v>21071.040000000001</v>
      </c>
      <c r="K17" s="247"/>
      <c r="L17" s="246"/>
      <c r="M17" s="246"/>
      <c r="N17" s="247"/>
      <c r="O17" s="317"/>
      <c r="P17" s="80"/>
      <c r="Q17" s="242"/>
      <c r="R17" s="246"/>
      <c r="S17" s="246"/>
      <c r="T17" s="247"/>
      <c r="U17" s="246"/>
      <c r="V17" s="246"/>
      <c r="W17" s="247"/>
      <c r="X17" s="317"/>
      <c r="Y17" s="80"/>
      <c r="Z17" s="80"/>
      <c r="AA17" s="242"/>
      <c r="AB17" s="246"/>
      <c r="AC17" s="246">
        <v>21071.040000000001</v>
      </c>
      <c r="AD17" s="247"/>
      <c r="AE17" s="246"/>
      <c r="AF17" s="246"/>
      <c r="AG17" s="247"/>
      <c r="AH17" s="317"/>
      <c r="AI17" s="80"/>
      <c r="AJ17" s="242"/>
      <c r="AK17" s="246"/>
      <c r="AL17" s="246"/>
      <c r="AM17" s="247"/>
      <c r="AN17" s="246"/>
      <c r="AO17" s="246"/>
      <c r="AP17" s="247"/>
      <c r="AQ17" s="317"/>
      <c r="AR17" s="33"/>
    </row>
    <row r="18" spans="2:44" s="13" customFormat="1" ht="18" customHeight="1" collapsed="1">
      <c r="B18" s="79"/>
      <c r="C18" s="246"/>
      <c r="D18" s="246" t="s">
        <v>1167</v>
      </c>
      <c r="E18" s="79"/>
      <c r="F18" s="317"/>
      <c r="G18" s="80"/>
      <c r="H18" s="242"/>
      <c r="I18" s="246"/>
      <c r="J18" s="246">
        <v>90947.489999999991</v>
      </c>
      <c r="K18" s="247"/>
      <c r="L18" s="246"/>
      <c r="M18" s="246"/>
      <c r="N18" s="247"/>
      <c r="O18" s="317"/>
      <c r="P18" s="80"/>
      <c r="Q18" s="242"/>
      <c r="R18" s="246"/>
      <c r="S18" s="246"/>
      <c r="T18" s="247"/>
      <c r="U18" s="246"/>
      <c r="V18" s="246"/>
      <c r="W18" s="247"/>
      <c r="X18" s="317"/>
      <c r="Y18" s="80"/>
      <c r="Z18" s="80"/>
      <c r="AA18" s="242"/>
      <c r="AB18" s="246"/>
      <c r="AC18" s="246">
        <v>90947.489999999991</v>
      </c>
      <c r="AD18" s="247"/>
      <c r="AE18" s="246"/>
      <c r="AF18" s="246"/>
      <c r="AG18" s="247"/>
      <c r="AH18" s="317"/>
      <c r="AI18" s="80"/>
      <c r="AJ18" s="242"/>
      <c r="AK18" s="246"/>
      <c r="AL18" s="246"/>
      <c r="AM18" s="247"/>
      <c r="AN18" s="246"/>
      <c r="AO18" s="246"/>
      <c r="AP18" s="247"/>
      <c r="AQ18" s="317"/>
      <c r="AR18" s="33"/>
    </row>
    <row r="19" spans="2:44" s="13" customFormat="1" ht="18" customHeight="1">
      <c r="B19" s="79"/>
      <c r="C19" s="246"/>
      <c r="D19" s="246" t="s">
        <v>1168</v>
      </c>
      <c r="E19" s="79"/>
      <c r="F19" s="317"/>
      <c r="G19" s="80"/>
      <c r="H19" s="242"/>
      <c r="I19" s="246"/>
      <c r="J19" s="246">
        <v>6357.62</v>
      </c>
      <c r="K19" s="247"/>
      <c r="L19" s="246"/>
      <c r="M19" s="246"/>
      <c r="N19" s="247"/>
      <c r="O19" s="317"/>
      <c r="P19" s="80"/>
      <c r="Q19" s="242"/>
      <c r="R19" s="246"/>
      <c r="S19" s="246"/>
      <c r="T19" s="247"/>
      <c r="U19" s="246"/>
      <c r="V19" s="246"/>
      <c r="W19" s="247"/>
      <c r="X19" s="317"/>
      <c r="Y19" s="80"/>
      <c r="Z19" s="80"/>
      <c r="AA19" s="242"/>
      <c r="AB19" s="246"/>
      <c r="AC19" s="246">
        <v>6357.62</v>
      </c>
      <c r="AD19" s="247"/>
      <c r="AE19" s="246"/>
      <c r="AF19" s="246"/>
      <c r="AG19" s="247"/>
      <c r="AH19" s="317"/>
      <c r="AI19" s="80"/>
      <c r="AJ19" s="242"/>
      <c r="AK19" s="246"/>
      <c r="AL19" s="246"/>
      <c r="AM19" s="247"/>
      <c r="AN19" s="246"/>
      <c r="AO19" s="246"/>
      <c r="AP19" s="247"/>
      <c r="AQ19" s="317"/>
      <c r="AR19" s="33"/>
    </row>
    <row r="20" spans="2:44" s="13" customFormat="1" ht="18" customHeight="1">
      <c r="B20" s="79"/>
      <c r="C20" s="246"/>
      <c r="D20" s="246" t="s">
        <v>103</v>
      </c>
      <c r="E20" s="79"/>
      <c r="F20" s="317"/>
      <c r="G20" s="80"/>
      <c r="H20" s="242"/>
      <c r="I20" s="246"/>
      <c r="J20" s="246">
        <v>79471.720000000016</v>
      </c>
      <c r="K20" s="247"/>
      <c r="L20" s="246"/>
      <c r="M20" s="246"/>
      <c r="N20" s="247"/>
      <c r="O20" s="317"/>
      <c r="P20" s="80"/>
      <c r="Q20" s="242"/>
      <c r="R20" s="246"/>
      <c r="S20" s="246"/>
      <c r="T20" s="247"/>
      <c r="U20" s="246"/>
      <c r="V20" s="246"/>
      <c r="W20" s="247"/>
      <c r="X20" s="317"/>
      <c r="Y20" s="80"/>
      <c r="Z20" s="80"/>
      <c r="AA20" s="242"/>
      <c r="AB20" s="246"/>
      <c r="AC20" s="246">
        <v>79471.720000000016</v>
      </c>
      <c r="AD20" s="247"/>
      <c r="AE20" s="246"/>
      <c r="AF20" s="246"/>
      <c r="AG20" s="247"/>
      <c r="AH20" s="317"/>
      <c r="AI20" s="80"/>
      <c r="AJ20" s="242"/>
      <c r="AK20" s="246"/>
      <c r="AL20" s="246"/>
      <c r="AM20" s="247"/>
      <c r="AN20" s="246"/>
      <c r="AO20" s="246"/>
      <c r="AP20" s="247"/>
      <c r="AQ20" s="317"/>
      <c r="AR20" s="33"/>
    </row>
    <row r="21" spans="2:44" s="13" customFormat="1" ht="18" customHeight="1">
      <c r="B21" s="79"/>
      <c r="C21" s="246"/>
      <c r="D21" s="246" t="s">
        <v>105</v>
      </c>
      <c r="E21" s="79"/>
      <c r="F21" s="317"/>
      <c r="G21" s="80"/>
      <c r="H21" s="242"/>
      <c r="I21" s="246"/>
      <c r="J21" s="246">
        <v>36710.209999999992</v>
      </c>
      <c r="K21" s="247"/>
      <c r="L21" s="246"/>
      <c r="M21" s="246"/>
      <c r="N21" s="247"/>
      <c r="O21" s="317"/>
      <c r="P21" s="80"/>
      <c r="Q21" s="242"/>
      <c r="R21" s="246"/>
      <c r="S21" s="246"/>
      <c r="T21" s="247"/>
      <c r="U21" s="246"/>
      <c r="V21" s="246"/>
      <c r="W21" s="247"/>
      <c r="X21" s="317"/>
      <c r="Y21" s="80"/>
      <c r="Z21" s="80"/>
      <c r="AA21" s="242"/>
      <c r="AB21" s="246"/>
      <c r="AC21" s="246">
        <v>36710.209999999992</v>
      </c>
      <c r="AD21" s="247"/>
      <c r="AE21" s="246"/>
      <c r="AF21" s="246"/>
      <c r="AG21" s="247"/>
      <c r="AH21" s="317"/>
      <c r="AI21" s="80"/>
      <c r="AJ21" s="242"/>
      <c r="AK21" s="246"/>
      <c r="AL21" s="246"/>
      <c r="AM21" s="247"/>
      <c r="AN21" s="246"/>
      <c r="AO21" s="246"/>
      <c r="AP21" s="247"/>
      <c r="AQ21" s="317"/>
      <c r="AR21" s="33"/>
    </row>
    <row r="22" spans="2:44" s="13" customFormat="1" ht="18" customHeight="1">
      <c r="B22" s="79"/>
      <c r="C22" s="246"/>
      <c r="D22" s="246" t="s">
        <v>1169</v>
      </c>
      <c r="E22" s="308"/>
      <c r="F22" s="317"/>
      <c r="G22" s="80"/>
      <c r="H22" s="242"/>
      <c r="I22" s="246"/>
      <c r="J22" s="246">
        <v>0</v>
      </c>
      <c r="K22" s="247"/>
      <c r="L22" s="246"/>
      <c r="M22" s="246"/>
      <c r="N22" s="247"/>
      <c r="O22" s="317"/>
      <c r="P22" s="80"/>
      <c r="Q22" s="242"/>
      <c r="R22" s="246"/>
      <c r="S22" s="246"/>
      <c r="T22" s="247"/>
      <c r="U22" s="246"/>
      <c r="V22" s="246"/>
      <c r="W22" s="247"/>
      <c r="X22" s="317"/>
      <c r="Y22" s="80"/>
      <c r="Z22" s="80"/>
      <c r="AA22" s="242"/>
      <c r="AB22" s="246"/>
      <c r="AC22" s="246"/>
      <c r="AD22" s="247"/>
      <c r="AE22" s="246"/>
      <c r="AF22" s="246"/>
      <c r="AG22" s="247"/>
      <c r="AH22" s="317"/>
      <c r="AI22" s="80"/>
      <c r="AJ22" s="242"/>
      <c r="AK22" s="246"/>
      <c r="AL22" s="246"/>
      <c r="AM22" s="247"/>
      <c r="AN22" s="246"/>
      <c r="AO22" s="246"/>
      <c r="AP22" s="247"/>
      <c r="AQ22" s="317"/>
      <c r="AR22" s="33"/>
    </row>
    <row r="23" spans="2:44" s="13" customFormat="1" ht="18" customHeight="1">
      <c r="B23" s="79"/>
      <c r="C23" s="313" t="s">
        <v>1170</v>
      </c>
      <c r="D23" s="316"/>
      <c r="E23" s="316"/>
      <c r="F23" s="315"/>
      <c r="G23" s="80"/>
      <c r="H23" s="312"/>
      <c r="I23" s="313"/>
      <c r="J23" s="313">
        <v>36296</v>
      </c>
      <c r="K23" s="314"/>
      <c r="L23" s="313"/>
      <c r="M23" s="313"/>
      <c r="N23" s="314"/>
      <c r="O23" s="315"/>
      <c r="P23" s="80"/>
      <c r="Q23" s="312"/>
      <c r="R23" s="313"/>
      <c r="S23" s="313"/>
      <c r="T23" s="314"/>
      <c r="U23" s="313"/>
      <c r="V23" s="313"/>
      <c r="W23" s="314"/>
      <c r="X23" s="315"/>
      <c r="Y23" s="80"/>
      <c r="Z23" s="80"/>
      <c r="AA23" s="312"/>
      <c r="AB23" s="313"/>
      <c r="AC23" s="313">
        <v>36296</v>
      </c>
      <c r="AD23" s="314"/>
      <c r="AE23" s="313"/>
      <c r="AF23" s="313"/>
      <c r="AG23" s="314"/>
      <c r="AH23" s="315"/>
      <c r="AI23" s="80"/>
      <c r="AJ23" s="312"/>
      <c r="AK23" s="313"/>
      <c r="AL23" s="313"/>
      <c r="AM23" s="314"/>
      <c r="AN23" s="313"/>
      <c r="AO23" s="313"/>
      <c r="AP23" s="314"/>
      <c r="AQ23" s="315"/>
      <c r="AR23" s="33"/>
    </row>
    <row r="24" spans="2:44" s="13" customFormat="1" ht="18" customHeight="1">
      <c r="B24" s="79"/>
      <c r="C24" s="246"/>
      <c r="D24" s="313" t="s">
        <v>1162</v>
      </c>
      <c r="E24" s="316"/>
      <c r="F24" s="315"/>
      <c r="G24" s="80"/>
      <c r="H24" s="312"/>
      <c r="I24" s="313"/>
      <c r="J24" s="313">
        <v>603</v>
      </c>
      <c r="K24" s="314"/>
      <c r="L24" s="313"/>
      <c r="M24" s="313"/>
      <c r="N24" s="314"/>
      <c r="O24" s="315"/>
      <c r="P24" s="80"/>
      <c r="Q24" s="312"/>
      <c r="R24" s="313"/>
      <c r="S24" s="313"/>
      <c r="T24" s="314"/>
      <c r="U24" s="313"/>
      <c r="V24" s="313"/>
      <c r="W24" s="314"/>
      <c r="X24" s="315"/>
      <c r="Y24" s="80"/>
      <c r="Z24" s="80"/>
      <c r="AA24" s="312"/>
      <c r="AB24" s="313"/>
      <c r="AC24" s="313">
        <v>603</v>
      </c>
      <c r="AD24" s="314"/>
      <c r="AE24" s="313"/>
      <c r="AF24" s="313"/>
      <c r="AG24" s="314"/>
      <c r="AH24" s="315"/>
      <c r="AI24" s="80"/>
      <c r="AJ24" s="312"/>
      <c r="AK24" s="313"/>
      <c r="AL24" s="313"/>
      <c r="AM24" s="314"/>
      <c r="AN24" s="313"/>
      <c r="AO24" s="313"/>
      <c r="AP24" s="314"/>
      <c r="AQ24" s="315"/>
      <c r="AR24" s="33"/>
    </row>
    <row r="25" spans="2:44" s="13" customFormat="1" ht="18" customHeight="1">
      <c r="B25" s="79"/>
      <c r="C25" s="246"/>
      <c r="D25" s="246" t="s">
        <v>1163</v>
      </c>
      <c r="E25" s="79"/>
      <c r="F25" s="317"/>
      <c r="G25" s="80"/>
      <c r="H25" s="242"/>
      <c r="I25" s="246"/>
      <c r="J25" s="246">
        <v>2518</v>
      </c>
      <c r="K25" s="247"/>
      <c r="L25" s="246"/>
      <c r="M25" s="246"/>
      <c r="N25" s="247"/>
      <c r="O25" s="317"/>
      <c r="P25" s="80"/>
      <c r="Q25" s="242"/>
      <c r="R25" s="246"/>
      <c r="S25" s="246"/>
      <c r="T25" s="247"/>
      <c r="U25" s="246"/>
      <c r="V25" s="246"/>
      <c r="W25" s="247"/>
      <c r="X25" s="317"/>
      <c r="Y25" s="80"/>
      <c r="Z25" s="80"/>
      <c r="AA25" s="242"/>
      <c r="AB25" s="246"/>
      <c r="AC25" s="246">
        <v>2518</v>
      </c>
      <c r="AD25" s="247"/>
      <c r="AE25" s="246"/>
      <c r="AF25" s="246"/>
      <c r="AG25" s="247"/>
      <c r="AH25" s="317"/>
      <c r="AI25" s="80"/>
      <c r="AJ25" s="242"/>
      <c r="AK25" s="246"/>
      <c r="AL25" s="246"/>
      <c r="AM25" s="247"/>
      <c r="AN25" s="246"/>
      <c r="AO25" s="246"/>
      <c r="AP25" s="247"/>
      <c r="AQ25" s="317"/>
      <c r="AR25" s="33"/>
    </row>
    <row r="26" spans="2:44" s="13" customFormat="1" ht="18" customHeight="1">
      <c r="B26" s="79"/>
      <c r="C26" s="246"/>
      <c r="D26" s="246" t="s">
        <v>1164</v>
      </c>
      <c r="E26" s="79"/>
      <c r="F26" s="317"/>
      <c r="G26" s="80"/>
      <c r="H26" s="242"/>
      <c r="I26" s="246"/>
      <c r="J26" s="246">
        <v>11687.5</v>
      </c>
      <c r="K26" s="247"/>
      <c r="L26" s="246"/>
      <c r="M26" s="246"/>
      <c r="N26" s="247"/>
      <c r="O26" s="317"/>
      <c r="P26" s="80"/>
      <c r="Q26" s="242"/>
      <c r="R26" s="246"/>
      <c r="S26" s="246"/>
      <c r="T26" s="247"/>
      <c r="U26" s="246"/>
      <c r="V26" s="246"/>
      <c r="W26" s="247"/>
      <c r="X26" s="317"/>
      <c r="Y26" s="80"/>
      <c r="Z26" s="80"/>
      <c r="AA26" s="242"/>
      <c r="AB26" s="246"/>
      <c r="AC26" s="246">
        <v>11687.5</v>
      </c>
      <c r="AD26" s="247"/>
      <c r="AE26" s="246"/>
      <c r="AF26" s="246"/>
      <c r="AG26" s="247"/>
      <c r="AH26" s="317"/>
      <c r="AI26" s="80"/>
      <c r="AJ26" s="242"/>
      <c r="AK26" s="246"/>
      <c r="AL26" s="246"/>
      <c r="AM26" s="247"/>
      <c r="AN26" s="246"/>
      <c r="AO26" s="246"/>
      <c r="AP26" s="247"/>
      <c r="AQ26" s="317"/>
      <c r="AR26" s="33"/>
    </row>
    <row r="27" spans="2:44" s="13" customFormat="1" ht="18" hidden="1" customHeight="1" outlineLevel="1">
      <c r="B27" s="79"/>
      <c r="C27" s="246"/>
      <c r="D27" s="246"/>
      <c r="E27" s="79"/>
      <c r="F27" s="317" t="s">
        <v>1165</v>
      </c>
      <c r="G27" s="80"/>
      <c r="H27" s="242"/>
      <c r="I27" s="246"/>
      <c r="J27" s="246">
        <v>8877.5</v>
      </c>
      <c r="K27" s="247"/>
      <c r="L27" s="246"/>
      <c r="M27" s="246"/>
      <c r="N27" s="247"/>
      <c r="O27" s="317"/>
      <c r="P27" s="80"/>
      <c r="Q27" s="242"/>
      <c r="R27" s="246"/>
      <c r="S27" s="246"/>
      <c r="T27" s="247"/>
      <c r="U27" s="246"/>
      <c r="V27" s="246"/>
      <c r="W27" s="247"/>
      <c r="X27" s="317"/>
      <c r="Y27" s="80"/>
      <c r="Z27" s="80"/>
      <c r="AA27" s="242"/>
      <c r="AB27" s="246"/>
      <c r="AC27" s="246">
        <v>8877.5</v>
      </c>
      <c r="AD27" s="247"/>
      <c r="AE27" s="246"/>
      <c r="AF27" s="246"/>
      <c r="AG27" s="247"/>
      <c r="AH27" s="317"/>
      <c r="AI27" s="80"/>
      <c r="AJ27" s="242"/>
      <c r="AK27" s="246"/>
      <c r="AL27" s="246"/>
      <c r="AM27" s="247"/>
      <c r="AN27" s="246"/>
      <c r="AO27" s="246"/>
      <c r="AP27" s="247"/>
      <c r="AQ27" s="317"/>
      <c r="AR27" s="33"/>
    </row>
    <row r="28" spans="2:44" s="13" customFormat="1" ht="18" hidden="1" customHeight="1" outlineLevel="1">
      <c r="B28" s="79"/>
      <c r="C28" s="246"/>
      <c r="D28" s="246"/>
      <c r="E28" s="79"/>
      <c r="F28" s="317" t="s">
        <v>1166</v>
      </c>
      <c r="G28" s="80"/>
      <c r="H28" s="242"/>
      <c r="I28" s="246"/>
      <c r="J28" s="246">
        <v>2810</v>
      </c>
      <c r="K28" s="247"/>
      <c r="L28" s="246"/>
      <c r="M28" s="246"/>
      <c r="N28" s="247"/>
      <c r="O28" s="317"/>
      <c r="P28" s="80"/>
      <c r="Q28" s="242"/>
      <c r="R28" s="246"/>
      <c r="S28" s="246"/>
      <c r="T28" s="247"/>
      <c r="U28" s="246"/>
      <c r="V28" s="246"/>
      <c r="W28" s="247"/>
      <c r="X28" s="317"/>
      <c r="Y28" s="80"/>
      <c r="Z28" s="80"/>
      <c r="AA28" s="242"/>
      <c r="AB28" s="246"/>
      <c r="AC28" s="246">
        <v>2810</v>
      </c>
      <c r="AD28" s="247"/>
      <c r="AE28" s="246"/>
      <c r="AF28" s="246"/>
      <c r="AG28" s="247"/>
      <c r="AH28" s="317"/>
      <c r="AI28" s="80"/>
      <c r="AJ28" s="242"/>
      <c r="AK28" s="246"/>
      <c r="AL28" s="246"/>
      <c r="AM28" s="247"/>
      <c r="AN28" s="246"/>
      <c r="AO28" s="246"/>
      <c r="AP28" s="247"/>
      <c r="AQ28" s="317"/>
      <c r="AR28" s="33"/>
    </row>
    <row r="29" spans="2:44" s="13" customFormat="1" ht="18" customHeight="1" collapsed="1">
      <c r="B29" s="79"/>
      <c r="C29" s="246"/>
      <c r="D29" s="246" t="s">
        <v>1167</v>
      </c>
      <c r="E29" s="79"/>
      <c r="F29" s="317"/>
      <c r="G29" s="80"/>
      <c r="H29" s="242"/>
      <c r="I29" s="246"/>
      <c r="J29" s="246">
        <v>10652.5</v>
      </c>
      <c r="K29" s="247"/>
      <c r="L29" s="246"/>
      <c r="M29" s="246"/>
      <c r="N29" s="247"/>
      <c r="O29" s="317"/>
      <c r="P29" s="80"/>
      <c r="Q29" s="242"/>
      <c r="R29" s="246"/>
      <c r="S29" s="246"/>
      <c r="T29" s="247"/>
      <c r="U29" s="246"/>
      <c r="V29" s="246"/>
      <c r="W29" s="247"/>
      <c r="X29" s="317"/>
      <c r="Y29" s="80"/>
      <c r="Z29" s="80"/>
      <c r="AA29" s="242"/>
      <c r="AB29" s="246"/>
      <c r="AC29" s="246">
        <v>10652.5</v>
      </c>
      <c r="AD29" s="247"/>
      <c r="AE29" s="246"/>
      <c r="AF29" s="246"/>
      <c r="AG29" s="247"/>
      <c r="AH29" s="317"/>
      <c r="AI29" s="80"/>
      <c r="AJ29" s="242"/>
      <c r="AK29" s="246"/>
      <c r="AL29" s="246"/>
      <c r="AM29" s="247"/>
      <c r="AN29" s="246"/>
      <c r="AO29" s="246"/>
      <c r="AP29" s="247"/>
      <c r="AQ29" s="317"/>
      <c r="AR29" s="33"/>
    </row>
    <row r="30" spans="2:44" s="13" customFormat="1" ht="18" customHeight="1">
      <c r="B30" s="79"/>
      <c r="C30" s="246"/>
      <c r="D30" s="246" t="s">
        <v>1168</v>
      </c>
      <c r="E30" s="79"/>
      <c r="F30" s="317"/>
      <c r="G30" s="80"/>
      <c r="H30" s="242"/>
      <c r="I30" s="246"/>
      <c r="J30" s="246">
        <v>270</v>
      </c>
      <c r="K30" s="247"/>
      <c r="L30" s="246"/>
      <c r="M30" s="246"/>
      <c r="N30" s="247"/>
      <c r="O30" s="317"/>
      <c r="P30" s="80"/>
      <c r="Q30" s="242"/>
      <c r="R30" s="246"/>
      <c r="S30" s="246"/>
      <c r="T30" s="247"/>
      <c r="U30" s="246"/>
      <c r="V30" s="246"/>
      <c r="W30" s="247"/>
      <c r="X30" s="317"/>
      <c r="Y30" s="80"/>
      <c r="Z30" s="80"/>
      <c r="AA30" s="242"/>
      <c r="AB30" s="246"/>
      <c r="AC30" s="246">
        <v>270</v>
      </c>
      <c r="AD30" s="247"/>
      <c r="AE30" s="246"/>
      <c r="AF30" s="246"/>
      <c r="AG30" s="247"/>
      <c r="AH30" s="317"/>
      <c r="AI30" s="80"/>
      <c r="AJ30" s="242"/>
      <c r="AK30" s="246"/>
      <c r="AL30" s="246"/>
      <c r="AM30" s="247"/>
      <c r="AN30" s="246"/>
      <c r="AO30" s="246"/>
      <c r="AP30" s="247"/>
      <c r="AQ30" s="317"/>
      <c r="AR30" s="33"/>
    </row>
    <row r="31" spans="2:44" s="13" customFormat="1" ht="18" customHeight="1">
      <c r="B31" s="79"/>
      <c r="C31" s="246"/>
      <c r="D31" s="246" t="s">
        <v>103</v>
      </c>
      <c r="E31" s="79"/>
      <c r="F31" s="317"/>
      <c r="G31" s="80"/>
      <c r="H31" s="242"/>
      <c r="I31" s="246"/>
      <c r="J31" s="246">
        <v>4700.5</v>
      </c>
      <c r="K31" s="247"/>
      <c r="L31" s="246"/>
      <c r="M31" s="246"/>
      <c r="N31" s="247"/>
      <c r="O31" s="317"/>
      <c r="P31" s="80"/>
      <c r="Q31" s="242"/>
      <c r="R31" s="246"/>
      <c r="S31" s="246"/>
      <c r="T31" s="247"/>
      <c r="U31" s="246"/>
      <c r="V31" s="246"/>
      <c r="W31" s="247"/>
      <c r="X31" s="317"/>
      <c r="Y31" s="80"/>
      <c r="Z31" s="80"/>
      <c r="AA31" s="242"/>
      <c r="AB31" s="246"/>
      <c r="AC31" s="246">
        <v>4700.5</v>
      </c>
      <c r="AD31" s="247"/>
      <c r="AE31" s="246"/>
      <c r="AF31" s="246"/>
      <c r="AG31" s="247"/>
      <c r="AH31" s="317"/>
      <c r="AI31" s="80"/>
      <c r="AJ31" s="242"/>
      <c r="AK31" s="246"/>
      <c r="AL31" s="246"/>
      <c r="AM31" s="247"/>
      <c r="AN31" s="246"/>
      <c r="AO31" s="246"/>
      <c r="AP31" s="247"/>
      <c r="AQ31" s="317"/>
      <c r="AR31" s="33"/>
    </row>
    <row r="32" spans="2:44" s="13" customFormat="1" ht="18" customHeight="1">
      <c r="B32" s="79"/>
      <c r="C32" s="246"/>
      <c r="D32" s="246" t="s">
        <v>105</v>
      </c>
      <c r="E32" s="79"/>
      <c r="F32" s="317"/>
      <c r="G32" s="80"/>
      <c r="H32" s="242"/>
      <c r="I32" s="246"/>
      <c r="J32" s="246">
        <v>5864.5</v>
      </c>
      <c r="K32" s="247"/>
      <c r="L32" s="246"/>
      <c r="M32" s="246"/>
      <c r="N32" s="247"/>
      <c r="O32" s="317"/>
      <c r="P32" s="80"/>
      <c r="Q32" s="242"/>
      <c r="R32" s="246"/>
      <c r="S32" s="246"/>
      <c r="T32" s="247"/>
      <c r="U32" s="246"/>
      <c r="V32" s="246"/>
      <c r="W32" s="247"/>
      <c r="X32" s="317"/>
      <c r="Y32" s="80"/>
      <c r="Z32" s="80"/>
      <c r="AA32" s="242"/>
      <c r="AB32" s="246"/>
      <c r="AC32" s="246">
        <v>5864.5</v>
      </c>
      <c r="AD32" s="247"/>
      <c r="AE32" s="246"/>
      <c r="AF32" s="246"/>
      <c r="AG32" s="247"/>
      <c r="AH32" s="317"/>
      <c r="AI32" s="80"/>
      <c r="AJ32" s="242"/>
      <c r="AK32" s="246"/>
      <c r="AL32" s="246"/>
      <c r="AM32" s="247"/>
      <c r="AN32" s="246"/>
      <c r="AO32" s="246"/>
      <c r="AP32" s="247"/>
      <c r="AQ32" s="317"/>
      <c r="AR32" s="33"/>
    </row>
    <row r="33" spans="2:44" s="13" customFormat="1" ht="18" customHeight="1">
      <c r="B33" s="79"/>
      <c r="C33" s="246"/>
      <c r="D33" s="246" t="s">
        <v>1169</v>
      </c>
      <c r="E33" s="308"/>
      <c r="F33" s="317"/>
      <c r="G33" s="80"/>
      <c r="H33" s="242"/>
      <c r="I33" s="246"/>
      <c r="J33" s="246">
        <v>0</v>
      </c>
      <c r="K33" s="247"/>
      <c r="L33" s="246"/>
      <c r="M33" s="246"/>
      <c r="N33" s="247"/>
      <c r="O33" s="317"/>
      <c r="P33" s="80"/>
      <c r="Q33" s="242"/>
      <c r="R33" s="246"/>
      <c r="S33" s="246"/>
      <c r="T33" s="247"/>
      <c r="U33" s="246"/>
      <c r="V33" s="246"/>
      <c r="W33" s="247"/>
      <c r="X33" s="317"/>
      <c r="Y33" s="80"/>
      <c r="Z33" s="80"/>
      <c r="AA33" s="242"/>
      <c r="AB33" s="246"/>
      <c r="AC33" s="246"/>
      <c r="AD33" s="247"/>
      <c r="AE33" s="246"/>
      <c r="AF33" s="246"/>
      <c r="AG33" s="247"/>
      <c r="AH33" s="317"/>
      <c r="AI33" s="80"/>
      <c r="AJ33" s="242"/>
      <c r="AK33" s="246"/>
      <c r="AL33" s="246"/>
      <c r="AM33" s="247"/>
      <c r="AN33" s="246"/>
      <c r="AO33" s="246"/>
      <c r="AP33" s="247"/>
      <c r="AQ33" s="317"/>
      <c r="AR33" s="33"/>
    </row>
    <row r="34" spans="2:44" s="15" customFormat="1" ht="18" customHeight="1">
      <c r="B34" s="65" t="s">
        <v>1171</v>
      </c>
      <c r="C34" s="65"/>
      <c r="D34" s="65"/>
      <c r="E34" s="65"/>
      <c r="F34" s="66"/>
      <c r="G34" s="58"/>
      <c r="H34" s="67"/>
      <c r="I34" s="68"/>
      <c r="J34" s="68">
        <v>1515.6363636363637</v>
      </c>
      <c r="K34" s="318"/>
      <c r="L34" s="68"/>
      <c r="M34" s="68"/>
      <c r="N34" s="318"/>
      <c r="O34" s="66"/>
      <c r="P34" s="58"/>
      <c r="Q34" s="67"/>
      <c r="R34" s="68"/>
      <c r="S34" s="68"/>
      <c r="T34" s="318"/>
      <c r="U34" s="68"/>
      <c r="V34" s="68"/>
      <c r="W34" s="318"/>
      <c r="X34" s="66"/>
      <c r="Y34" s="58"/>
      <c r="Z34" s="58"/>
      <c r="AA34" s="67"/>
      <c r="AB34" s="68"/>
      <c r="AC34" s="68">
        <v>33344</v>
      </c>
      <c r="AD34" s="318"/>
      <c r="AE34" s="68"/>
      <c r="AF34" s="68"/>
      <c r="AG34" s="318"/>
      <c r="AH34" s="66"/>
      <c r="AI34" s="58"/>
      <c r="AJ34" s="67"/>
      <c r="AK34" s="68"/>
      <c r="AL34" s="68"/>
      <c r="AM34" s="318"/>
      <c r="AN34" s="68"/>
      <c r="AO34" s="68"/>
      <c r="AP34" s="318"/>
      <c r="AQ34" s="66"/>
      <c r="AR34" s="38"/>
    </row>
    <row r="35" spans="2:44" s="15" customFormat="1" ht="18" customHeight="1">
      <c r="B35" s="306" t="s">
        <v>1172</v>
      </c>
      <c r="C35" s="306"/>
      <c r="D35" s="306"/>
      <c r="E35" s="306"/>
      <c r="F35" s="192"/>
      <c r="G35" s="58"/>
      <c r="H35" s="193"/>
      <c r="I35" s="191"/>
      <c r="J35" s="319">
        <v>3824.590909090909</v>
      </c>
      <c r="K35" s="307"/>
      <c r="L35" s="191"/>
      <c r="M35" s="191"/>
      <c r="N35" s="307"/>
      <c r="O35" s="192"/>
      <c r="P35" s="58"/>
      <c r="Q35" s="193"/>
      <c r="R35" s="191"/>
      <c r="S35" s="191"/>
      <c r="T35" s="307"/>
      <c r="U35" s="191"/>
      <c r="V35" s="191"/>
      <c r="W35" s="307"/>
      <c r="X35" s="192"/>
      <c r="Y35" s="58"/>
      <c r="Z35" s="58"/>
      <c r="AA35" s="193"/>
      <c r="AB35" s="191"/>
      <c r="AC35" s="191">
        <v>84141</v>
      </c>
      <c r="AD35" s="307"/>
      <c r="AE35" s="191"/>
      <c r="AF35" s="191"/>
      <c r="AG35" s="307"/>
      <c r="AH35" s="192"/>
      <c r="AI35" s="58"/>
      <c r="AJ35" s="193"/>
      <c r="AK35" s="191"/>
      <c r="AL35" s="191"/>
      <c r="AM35" s="307"/>
      <c r="AN35" s="191"/>
      <c r="AO35" s="191"/>
      <c r="AP35" s="307"/>
      <c r="AQ35" s="192"/>
      <c r="AR35" s="38"/>
    </row>
    <row r="36" spans="2:44" s="13" customFormat="1" ht="18" customHeight="1">
      <c r="B36" s="79"/>
      <c r="C36" s="313" t="s">
        <v>1173</v>
      </c>
      <c r="D36" s="316"/>
      <c r="E36" s="316"/>
      <c r="F36" s="315"/>
      <c r="G36" s="80"/>
      <c r="H36" s="312"/>
      <c r="I36" s="313"/>
      <c r="J36" s="320">
        <v>3777.7727272727275</v>
      </c>
      <c r="K36" s="314"/>
      <c r="L36" s="313"/>
      <c r="M36" s="313"/>
      <c r="N36" s="314"/>
      <c r="O36" s="315"/>
      <c r="P36" s="80"/>
      <c r="Q36" s="312"/>
      <c r="R36" s="313"/>
      <c r="S36" s="313"/>
      <c r="T36" s="314"/>
      <c r="U36" s="313"/>
      <c r="V36" s="313"/>
      <c r="W36" s="314"/>
      <c r="X36" s="315"/>
      <c r="Y36" s="80"/>
      <c r="Z36" s="80"/>
      <c r="AA36" s="312"/>
      <c r="AB36" s="313"/>
      <c r="AC36" s="313">
        <v>83111</v>
      </c>
      <c r="AD36" s="314"/>
      <c r="AE36" s="313"/>
      <c r="AF36" s="313"/>
      <c r="AG36" s="314"/>
      <c r="AH36" s="315"/>
      <c r="AI36" s="80"/>
      <c r="AJ36" s="312"/>
      <c r="AK36" s="313"/>
      <c r="AL36" s="313"/>
      <c r="AM36" s="314"/>
      <c r="AN36" s="313"/>
      <c r="AO36" s="313"/>
      <c r="AP36" s="314"/>
      <c r="AQ36" s="315"/>
      <c r="AR36" s="33"/>
    </row>
    <row r="37" spans="2:44" s="13" customFormat="1" ht="18" hidden="1" customHeight="1" outlineLevel="1">
      <c r="B37" s="79"/>
      <c r="C37" s="246"/>
      <c r="D37" s="313" t="s">
        <v>1174</v>
      </c>
      <c r="E37" s="316"/>
      <c r="F37" s="315"/>
      <c r="G37" s="80"/>
      <c r="H37" s="312"/>
      <c r="I37" s="313"/>
      <c r="J37" s="321"/>
      <c r="K37" s="314"/>
      <c r="L37" s="313"/>
      <c r="M37" s="313"/>
      <c r="N37" s="314"/>
      <c r="O37" s="315"/>
      <c r="P37" s="80"/>
      <c r="Q37" s="312"/>
      <c r="R37" s="313"/>
      <c r="S37" s="313"/>
      <c r="T37" s="314"/>
      <c r="U37" s="313"/>
      <c r="V37" s="313"/>
      <c r="W37" s="314"/>
      <c r="X37" s="315"/>
      <c r="Y37" s="80"/>
      <c r="Z37" s="80"/>
      <c r="AA37" s="312"/>
      <c r="AB37" s="313"/>
      <c r="AC37" s="321"/>
      <c r="AD37" s="314"/>
      <c r="AE37" s="313"/>
      <c r="AF37" s="313"/>
      <c r="AG37" s="314"/>
      <c r="AH37" s="315"/>
      <c r="AI37" s="80"/>
      <c r="AJ37" s="312"/>
      <c r="AK37" s="313"/>
      <c r="AL37" s="313"/>
      <c r="AM37" s="314"/>
      <c r="AN37" s="313"/>
      <c r="AO37" s="313"/>
      <c r="AP37" s="314"/>
      <c r="AQ37" s="315"/>
      <c r="AR37" s="33"/>
    </row>
    <row r="38" spans="2:44" s="13" customFormat="1" ht="18" hidden="1" customHeight="1" outlineLevel="1">
      <c r="B38" s="79"/>
      <c r="C38" s="246"/>
      <c r="D38" s="313" t="s">
        <v>1175</v>
      </c>
      <c r="E38" s="316"/>
      <c r="F38" s="315"/>
      <c r="G38" s="80"/>
      <c r="H38" s="312"/>
      <c r="I38" s="313"/>
      <c r="J38" s="321"/>
      <c r="K38" s="314"/>
      <c r="L38" s="313"/>
      <c r="M38" s="313"/>
      <c r="N38" s="314"/>
      <c r="O38" s="315"/>
      <c r="P38" s="80"/>
      <c r="Q38" s="312"/>
      <c r="R38" s="313"/>
      <c r="S38" s="313"/>
      <c r="T38" s="314"/>
      <c r="U38" s="313"/>
      <c r="V38" s="313"/>
      <c r="W38" s="314"/>
      <c r="X38" s="315"/>
      <c r="Y38" s="80"/>
      <c r="Z38" s="80"/>
      <c r="AA38" s="312"/>
      <c r="AB38" s="313"/>
      <c r="AC38" s="321"/>
      <c r="AD38" s="314"/>
      <c r="AE38" s="313"/>
      <c r="AF38" s="313"/>
      <c r="AG38" s="314"/>
      <c r="AH38" s="315"/>
      <c r="AI38" s="80"/>
      <c r="AJ38" s="312"/>
      <c r="AK38" s="313"/>
      <c r="AL38" s="313"/>
      <c r="AM38" s="314"/>
      <c r="AN38" s="313"/>
      <c r="AO38" s="313"/>
      <c r="AP38" s="314"/>
      <c r="AQ38" s="315"/>
      <c r="AR38" s="33"/>
    </row>
    <row r="39" spans="2:44" s="13" customFormat="1" ht="18" customHeight="1" collapsed="1">
      <c r="B39" s="79"/>
      <c r="C39" s="246"/>
      <c r="D39" s="313" t="s">
        <v>1176</v>
      </c>
      <c r="E39" s="316"/>
      <c r="F39" s="315"/>
      <c r="G39" s="322"/>
      <c r="H39" s="312"/>
      <c r="I39" s="313"/>
      <c r="J39" s="320">
        <v>3777.7727272727275</v>
      </c>
      <c r="K39" s="314"/>
      <c r="L39" s="313"/>
      <c r="M39" s="313"/>
      <c r="N39" s="314"/>
      <c r="O39" s="315"/>
      <c r="P39" s="80"/>
      <c r="Q39" s="312"/>
      <c r="R39" s="313"/>
      <c r="S39" s="313"/>
      <c r="T39" s="314"/>
      <c r="U39" s="313"/>
      <c r="V39" s="313"/>
      <c r="W39" s="314"/>
      <c r="X39" s="315"/>
      <c r="Y39" s="80"/>
      <c r="Z39" s="80"/>
      <c r="AA39" s="312"/>
      <c r="AB39" s="313"/>
      <c r="AC39" s="313">
        <v>83111</v>
      </c>
      <c r="AD39" s="314"/>
      <c r="AE39" s="313"/>
      <c r="AF39" s="313"/>
      <c r="AG39" s="314"/>
      <c r="AH39" s="315"/>
      <c r="AI39" s="80"/>
      <c r="AJ39" s="312"/>
      <c r="AK39" s="313"/>
      <c r="AL39" s="313"/>
      <c r="AM39" s="314"/>
      <c r="AN39" s="313"/>
      <c r="AO39" s="313"/>
      <c r="AP39" s="314"/>
      <c r="AQ39" s="315"/>
      <c r="AR39" s="33"/>
    </row>
    <row r="40" spans="2:44" s="13" customFormat="1" ht="18" customHeight="1">
      <c r="B40" s="79"/>
      <c r="C40" s="246"/>
      <c r="D40" s="246"/>
      <c r="E40" s="313" t="s">
        <v>1162</v>
      </c>
      <c r="F40" s="315"/>
      <c r="G40" s="80"/>
      <c r="H40" s="312"/>
      <c r="I40" s="313"/>
      <c r="J40" s="320">
        <v>34.272727272727273</v>
      </c>
      <c r="K40" s="314"/>
      <c r="L40" s="313"/>
      <c r="M40" s="313"/>
      <c r="N40" s="314"/>
      <c r="O40" s="315"/>
      <c r="P40" s="80"/>
      <c r="Q40" s="312"/>
      <c r="R40" s="313"/>
      <c r="S40" s="313"/>
      <c r="T40" s="314"/>
      <c r="U40" s="313"/>
      <c r="V40" s="313"/>
      <c r="W40" s="314"/>
      <c r="X40" s="315"/>
      <c r="Y40" s="80"/>
      <c r="Z40" s="80"/>
      <c r="AA40" s="312"/>
      <c r="AB40" s="313"/>
      <c r="AC40" s="313">
        <v>754</v>
      </c>
      <c r="AD40" s="314"/>
      <c r="AE40" s="313"/>
      <c r="AF40" s="313"/>
      <c r="AG40" s="314"/>
      <c r="AH40" s="315"/>
      <c r="AI40" s="80"/>
      <c r="AJ40" s="312"/>
      <c r="AK40" s="313"/>
      <c r="AL40" s="313"/>
      <c r="AM40" s="314"/>
      <c r="AN40" s="313"/>
      <c r="AO40" s="313"/>
      <c r="AP40" s="314"/>
      <c r="AQ40" s="315"/>
      <c r="AR40" s="33"/>
    </row>
    <row r="41" spans="2:44" s="13" customFormat="1" ht="18" customHeight="1">
      <c r="B41" s="79"/>
      <c r="C41" s="246"/>
      <c r="D41" s="246"/>
      <c r="E41" s="246" t="s">
        <v>1163</v>
      </c>
      <c r="F41" s="317"/>
      <c r="G41" s="80"/>
      <c r="H41" s="242"/>
      <c r="I41" s="246"/>
      <c r="J41" s="323">
        <v>238.45454545454547</v>
      </c>
      <c r="K41" s="247"/>
      <c r="L41" s="246"/>
      <c r="M41" s="246"/>
      <c r="N41" s="247"/>
      <c r="O41" s="317"/>
      <c r="P41" s="80"/>
      <c r="Q41" s="242"/>
      <c r="R41" s="246"/>
      <c r="S41" s="246"/>
      <c r="T41" s="247"/>
      <c r="U41" s="246"/>
      <c r="V41" s="246"/>
      <c r="W41" s="247"/>
      <c r="X41" s="317"/>
      <c r="Y41" s="80"/>
      <c r="Z41" s="80"/>
      <c r="AA41" s="242"/>
      <c r="AB41" s="246"/>
      <c r="AC41" s="246">
        <v>5246</v>
      </c>
      <c r="AD41" s="247"/>
      <c r="AE41" s="246"/>
      <c r="AF41" s="246"/>
      <c r="AG41" s="247"/>
      <c r="AH41" s="317"/>
      <c r="AI41" s="80"/>
      <c r="AJ41" s="242"/>
      <c r="AK41" s="246"/>
      <c r="AL41" s="246"/>
      <c r="AM41" s="247"/>
      <c r="AN41" s="246"/>
      <c r="AO41" s="246"/>
      <c r="AP41" s="247"/>
      <c r="AQ41" s="317"/>
      <c r="AR41" s="33"/>
    </row>
    <row r="42" spans="2:44" s="13" customFormat="1" ht="18" customHeight="1">
      <c r="B42" s="79"/>
      <c r="C42" s="246"/>
      <c r="D42" s="246"/>
      <c r="E42" s="246" t="s">
        <v>1164</v>
      </c>
      <c r="F42" s="317"/>
      <c r="G42" s="80"/>
      <c r="H42" s="242"/>
      <c r="I42" s="246"/>
      <c r="J42" s="323">
        <v>2196.5454545454545</v>
      </c>
      <c r="K42" s="247"/>
      <c r="L42" s="246"/>
      <c r="M42" s="246"/>
      <c r="N42" s="247"/>
      <c r="O42" s="317"/>
      <c r="P42" s="80"/>
      <c r="Q42" s="242"/>
      <c r="R42" s="246"/>
      <c r="S42" s="246"/>
      <c r="T42" s="247"/>
      <c r="U42" s="246"/>
      <c r="V42" s="246"/>
      <c r="W42" s="247"/>
      <c r="X42" s="317"/>
      <c r="Y42" s="80"/>
      <c r="Z42" s="80"/>
      <c r="AA42" s="242"/>
      <c r="AB42" s="246"/>
      <c r="AC42" s="246">
        <v>48324</v>
      </c>
      <c r="AD42" s="247"/>
      <c r="AE42" s="246"/>
      <c r="AF42" s="246"/>
      <c r="AG42" s="247"/>
      <c r="AH42" s="317"/>
      <c r="AI42" s="80"/>
      <c r="AJ42" s="242"/>
      <c r="AK42" s="246"/>
      <c r="AL42" s="246"/>
      <c r="AM42" s="247"/>
      <c r="AN42" s="246"/>
      <c r="AO42" s="246"/>
      <c r="AP42" s="247"/>
      <c r="AQ42" s="317"/>
      <c r="AR42" s="33"/>
    </row>
    <row r="43" spans="2:44" s="13" customFormat="1" ht="18" hidden="1" customHeight="1" outlineLevel="1">
      <c r="B43" s="79"/>
      <c r="C43" s="246"/>
      <c r="D43" s="246"/>
      <c r="E43" s="246"/>
      <c r="F43" s="317" t="s">
        <v>1165</v>
      </c>
      <c r="G43" s="80"/>
      <c r="H43" s="242"/>
      <c r="I43" s="246"/>
      <c r="J43" s="323">
        <v>2076.409090909091</v>
      </c>
      <c r="K43" s="247"/>
      <c r="L43" s="246"/>
      <c r="M43" s="246"/>
      <c r="N43" s="247"/>
      <c r="O43" s="317"/>
      <c r="P43" s="80"/>
      <c r="Q43" s="242"/>
      <c r="R43" s="246"/>
      <c r="S43" s="246"/>
      <c r="T43" s="247"/>
      <c r="U43" s="246"/>
      <c r="V43" s="246"/>
      <c r="W43" s="247"/>
      <c r="X43" s="317"/>
      <c r="Y43" s="80"/>
      <c r="Z43" s="80"/>
      <c r="AA43" s="242"/>
      <c r="AB43" s="246"/>
      <c r="AC43" s="246">
        <v>45681</v>
      </c>
      <c r="AD43" s="247"/>
      <c r="AE43" s="246"/>
      <c r="AF43" s="246"/>
      <c r="AG43" s="247"/>
      <c r="AH43" s="317"/>
      <c r="AI43" s="80"/>
      <c r="AJ43" s="242"/>
      <c r="AK43" s="246"/>
      <c r="AL43" s="246"/>
      <c r="AM43" s="247"/>
      <c r="AN43" s="246"/>
      <c r="AO43" s="246"/>
      <c r="AP43" s="247"/>
      <c r="AQ43" s="317"/>
      <c r="AR43" s="33"/>
    </row>
    <row r="44" spans="2:44" s="13" customFormat="1" ht="18" hidden="1" customHeight="1" outlineLevel="1">
      <c r="B44" s="79"/>
      <c r="C44" s="246"/>
      <c r="D44" s="246"/>
      <c r="E44" s="246"/>
      <c r="F44" s="317" t="s">
        <v>1166</v>
      </c>
      <c r="G44" s="80"/>
      <c r="H44" s="242"/>
      <c r="I44" s="246"/>
      <c r="J44" s="323">
        <v>120.13636363636364</v>
      </c>
      <c r="K44" s="247"/>
      <c r="L44" s="246"/>
      <c r="M44" s="246"/>
      <c r="N44" s="247"/>
      <c r="O44" s="317"/>
      <c r="P44" s="80"/>
      <c r="Q44" s="242"/>
      <c r="R44" s="246"/>
      <c r="S44" s="246"/>
      <c r="T44" s="247"/>
      <c r="U44" s="246"/>
      <c r="V44" s="246"/>
      <c r="W44" s="247"/>
      <c r="X44" s="317"/>
      <c r="Y44" s="80"/>
      <c r="Z44" s="80"/>
      <c r="AA44" s="242"/>
      <c r="AB44" s="246"/>
      <c r="AC44" s="246">
        <v>2643</v>
      </c>
      <c r="AD44" s="247"/>
      <c r="AE44" s="246"/>
      <c r="AF44" s="246"/>
      <c r="AG44" s="247"/>
      <c r="AH44" s="317"/>
      <c r="AI44" s="80"/>
      <c r="AJ44" s="242"/>
      <c r="AK44" s="246"/>
      <c r="AL44" s="246"/>
      <c r="AM44" s="247"/>
      <c r="AN44" s="246"/>
      <c r="AO44" s="246"/>
      <c r="AP44" s="247"/>
      <c r="AQ44" s="317"/>
      <c r="AR44" s="33"/>
    </row>
    <row r="45" spans="2:44" s="13" customFormat="1" ht="18" customHeight="1" collapsed="1">
      <c r="B45" s="79"/>
      <c r="C45" s="246"/>
      <c r="D45" s="246"/>
      <c r="E45" s="246" t="s">
        <v>1177</v>
      </c>
      <c r="F45" s="317"/>
      <c r="G45" s="80"/>
      <c r="H45" s="242"/>
      <c r="I45" s="246"/>
      <c r="J45" s="323">
        <v>519.13636363636363</v>
      </c>
      <c r="K45" s="247"/>
      <c r="L45" s="246"/>
      <c r="M45" s="246"/>
      <c r="N45" s="247"/>
      <c r="O45" s="317"/>
      <c r="P45" s="80"/>
      <c r="Q45" s="242"/>
      <c r="R45" s="246"/>
      <c r="S45" s="246"/>
      <c r="T45" s="247"/>
      <c r="U45" s="246"/>
      <c r="V45" s="246"/>
      <c r="W45" s="247"/>
      <c r="X45" s="317"/>
      <c r="Y45" s="80"/>
      <c r="Z45" s="80"/>
      <c r="AA45" s="242"/>
      <c r="AB45" s="246"/>
      <c r="AC45" s="246">
        <v>11421</v>
      </c>
      <c r="AD45" s="247"/>
      <c r="AE45" s="246"/>
      <c r="AF45" s="246"/>
      <c r="AG45" s="247"/>
      <c r="AH45" s="317"/>
      <c r="AI45" s="80"/>
      <c r="AJ45" s="242"/>
      <c r="AK45" s="246"/>
      <c r="AL45" s="246"/>
      <c r="AM45" s="247"/>
      <c r="AN45" s="246"/>
      <c r="AO45" s="246"/>
      <c r="AP45" s="247"/>
      <c r="AQ45" s="317"/>
      <c r="AR45" s="33"/>
    </row>
    <row r="46" spans="2:44" s="13" customFormat="1" ht="18" customHeight="1">
      <c r="B46" s="79"/>
      <c r="C46" s="246"/>
      <c r="D46" s="246"/>
      <c r="E46" s="246" t="s">
        <v>1178</v>
      </c>
      <c r="F46" s="317"/>
      <c r="G46" s="80"/>
      <c r="H46" s="242"/>
      <c r="I46" s="246"/>
      <c r="J46" s="323">
        <v>37</v>
      </c>
      <c r="K46" s="247"/>
      <c r="L46" s="246"/>
      <c r="M46" s="246"/>
      <c r="N46" s="247"/>
      <c r="O46" s="317"/>
      <c r="P46" s="80"/>
      <c r="Q46" s="242"/>
      <c r="R46" s="246"/>
      <c r="S46" s="246"/>
      <c r="T46" s="247"/>
      <c r="U46" s="246"/>
      <c r="V46" s="246"/>
      <c r="W46" s="247"/>
      <c r="X46" s="317"/>
      <c r="Y46" s="80"/>
      <c r="Z46" s="80"/>
      <c r="AA46" s="242"/>
      <c r="AB46" s="246"/>
      <c r="AC46" s="246">
        <v>814</v>
      </c>
      <c r="AD46" s="247"/>
      <c r="AE46" s="246"/>
      <c r="AF46" s="246"/>
      <c r="AG46" s="247"/>
      <c r="AH46" s="317"/>
      <c r="AI46" s="80"/>
      <c r="AJ46" s="242"/>
      <c r="AK46" s="246"/>
      <c r="AL46" s="246"/>
      <c r="AM46" s="247"/>
      <c r="AN46" s="246"/>
      <c r="AO46" s="246"/>
      <c r="AP46" s="247"/>
      <c r="AQ46" s="317"/>
      <c r="AR46" s="33"/>
    </row>
    <row r="47" spans="2:44" s="13" customFormat="1" ht="18" customHeight="1">
      <c r="B47" s="79"/>
      <c r="C47" s="246"/>
      <c r="D47" s="246"/>
      <c r="E47" s="246" t="s">
        <v>103</v>
      </c>
      <c r="F47" s="317"/>
      <c r="G47" s="80"/>
      <c r="H47" s="242"/>
      <c r="I47" s="246"/>
      <c r="J47" s="323">
        <v>474.09090909090907</v>
      </c>
      <c r="K47" s="247"/>
      <c r="L47" s="246"/>
      <c r="M47" s="246"/>
      <c r="N47" s="247"/>
      <c r="O47" s="317"/>
      <c r="P47" s="80"/>
      <c r="Q47" s="242"/>
      <c r="R47" s="246"/>
      <c r="S47" s="246"/>
      <c r="T47" s="247"/>
      <c r="U47" s="246"/>
      <c r="V47" s="246"/>
      <c r="W47" s="247"/>
      <c r="X47" s="317"/>
      <c r="Y47" s="80"/>
      <c r="Z47" s="80"/>
      <c r="AA47" s="242"/>
      <c r="AB47" s="246"/>
      <c r="AC47" s="246">
        <v>10430</v>
      </c>
      <c r="AD47" s="247"/>
      <c r="AE47" s="246"/>
      <c r="AF47" s="246"/>
      <c r="AG47" s="247"/>
      <c r="AH47" s="317"/>
      <c r="AI47" s="80"/>
      <c r="AJ47" s="242"/>
      <c r="AK47" s="246"/>
      <c r="AL47" s="246"/>
      <c r="AM47" s="247"/>
      <c r="AN47" s="246"/>
      <c r="AO47" s="246"/>
      <c r="AP47" s="247"/>
      <c r="AQ47" s="317"/>
      <c r="AR47" s="33"/>
    </row>
    <row r="48" spans="2:44" s="13" customFormat="1" ht="18" customHeight="1">
      <c r="B48" s="79"/>
      <c r="C48" s="246"/>
      <c r="D48" s="246"/>
      <c r="E48" s="246" t="s">
        <v>1179</v>
      </c>
      <c r="F48" s="317"/>
      <c r="G48" s="80"/>
      <c r="H48" s="242"/>
      <c r="I48" s="246"/>
      <c r="J48" s="323">
        <v>278.27272727272725</v>
      </c>
      <c r="K48" s="247"/>
      <c r="L48" s="246"/>
      <c r="M48" s="246"/>
      <c r="N48" s="247"/>
      <c r="O48" s="317"/>
      <c r="P48" s="80"/>
      <c r="Q48" s="242"/>
      <c r="R48" s="246"/>
      <c r="S48" s="246"/>
      <c r="T48" s="247"/>
      <c r="U48" s="246"/>
      <c r="V48" s="246"/>
      <c r="W48" s="247"/>
      <c r="X48" s="317"/>
      <c r="Y48" s="80"/>
      <c r="Z48" s="80"/>
      <c r="AA48" s="242"/>
      <c r="AB48" s="246"/>
      <c r="AC48" s="246">
        <v>6122</v>
      </c>
      <c r="AD48" s="247"/>
      <c r="AE48" s="246"/>
      <c r="AF48" s="246"/>
      <c r="AG48" s="247"/>
      <c r="AH48" s="317"/>
      <c r="AI48" s="80"/>
      <c r="AJ48" s="242"/>
      <c r="AK48" s="246"/>
      <c r="AL48" s="246"/>
      <c r="AM48" s="247"/>
      <c r="AN48" s="246"/>
      <c r="AO48" s="246"/>
      <c r="AP48" s="247"/>
      <c r="AQ48" s="317"/>
      <c r="AR48" s="33"/>
    </row>
    <row r="49" spans="2:60" s="13" customFormat="1" ht="18" customHeight="1">
      <c r="B49" s="79"/>
      <c r="C49" s="246"/>
      <c r="D49" s="246"/>
      <c r="E49" s="246" t="s">
        <v>1143</v>
      </c>
      <c r="F49" s="317"/>
      <c r="G49" s="80"/>
      <c r="H49" s="242"/>
      <c r="I49" s="246"/>
      <c r="J49" s="323">
        <v>0</v>
      </c>
      <c r="K49" s="247"/>
      <c r="L49" s="246"/>
      <c r="M49" s="246"/>
      <c r="N49" s="247"/>
      <c r="O49" s="317"/>
      <c r="P49" s="80"/>
      <c r="Q49" s="242"/>
      <c r="R49" s="246"/>
      <c r="S49" s="246"/>
      <c r="T49" s="247"/>
      <c r="U49" s="246"/>
      <c r="V49" s="246"/>
      <c r="W49" s="247"/>
      <c r="X49" s="317"/>
      <c r="Y49" s="80"/>
      <c r="Z49" s="80"/>
      <c r="AA49" s="242"/>
      <c r="AB49" s="246"/>
      <c r="AC49" s="246"/>
      <c r="AD49" s="247"/>
      <c r="AE49" s="246"/>
      <c r="AF49" s="246"/>
      <c r="AG49" s="247"/>
      <c r="AH49" s="317"/>
      <c r="AI49" s="80"/>
      <c r="AJ49" s="242"/>
      <c r="AK49" s="246"/>
      <c r="AL49" s="246"/>
      <c r="AM49" s="247"/>
      <c r="AN49" s="246"/>
      <c r="AO49" s="246"/>
      <c r="AP49" s="247"/>
      <c r="AQ49" s="317"/>
      <c r="AR49" s="33"/>
    </row>
    <row r="50" spans="2:60" s="13" customFormat="1" ht="18" customHeight="1">
      <c r="B50" s="79"/>
      <c r="C50" s="313" t="s">
        <v>1180</v>
      </c>
      <c r="D50" s="310"/>
      <c r="E50" s="310"/>
      <c r="F50" s="311"/>
      <c r="G50" s="80"/>
      <c r="H50" s="324"/>
      <c r="I50" s="309"/>
      <c r="J50" s="325">
        <v>46.81818181818182</v>
      </c>
      <c r="K50" s="326"/>
      <c r="L50" s="309"/>
      <c r="M50" s="309"/>
      <c r="N50" s="326"/>
      <c r="O50" s="311"/>
      <c r="P50" s="80"/>
      <c r="Q50" s="324"/>
      <c r="R50" s="309"/>
      <c r="S50" s="309"/>
      <c r="T50" s="326"/>
      <c r="U50" s="309"/>
      <c r="V50" s="309"/>
      <c r="W50" s="326"/>
      <c r="X50" s="311"/>
      <c r="Y50" s="80"/>
      <c r="Z50" s="80"/>
      <c r="AA50" s="324"/>
      <c r="AB50" s="309"/>
      <c r="AC50" s="309">
        <v>1030</v>
      </c>
      <c r="AD50" s="326"/>
      <c r="AE50" s="309"/>
      <c r="AF50" s="309"/>
      <c r="AG50" s="326"/>
      <c r="AH50" s="311"/>
      <c r="AI50" s="80"/>
      <c r="AJ50" s="324"/>
      <c r="AK50" s="309"/>
      <c r="AL50" s="309"/>
      <c r="AM50" s="326"/>
      <c r="AN50" s="309"/>
      <c r="AO50" s="309"/>
      <c r="AP50" s="326"/>
      <c r="AQ50" s="311"/>
      <c r="AR50" s="33"/>
    </row>
    <row r="51" spans="2:60" s="13" customFormat="1" ht="18" hidden="1" customHeight="1" outlineLevel="1">
      <c r="B51" s="79"/>
      <c r="C51" s="246"/>
      <c r="D51" s="313" t="s">
        <v>1174</v>
      </c>
      <c r="E51" s="316"/>
      <c r="F51" s="315"/>
      <c r="G51" s="80"/>
      <c r="H51" s="312"/>
      <c r="I51" s="313"/>
      <c r="J51" s="321"/>
      <c r="K51" s="314"/>
      <c r="L51" s="313"/>
      <c r="M51" s="313"/>
      <c r="N51" s="314"/>
      <c r="O51" s="315"/>
      <c r="P51" s="80"/>
      <c r="Q51" s="312"/>
      <c r="R51" s="313"/>
      <c r="S51" s="313"/>
      <c r="T51" s="314"/>
      <c r="U51" s="313"/>
      <c r="V51" s="313"/>
      <c r="W51" s="314"/>
      <c r="X51" s="315"/>
      <c r="Y51" s="80"/>
      <c r="Z51" s="80"/>
      <c r="AA51" s="312"/>
      <c r="AB51" s="313"/>
      <c r="AC51" s="321"/>
      <c r="AD51" s="314"/>
      <c r="AE51" s="313"/>
      <c r="AF51" s="313"/>
      <c r="AG51" s="314"/>
      <c r="AH51" s="315"/>
      <c r="AI51" s="80"/>
      <c r="AJ51" s="312"/>
      <c r="AK51" s="313"/>
      <c r="AL51" s="313"/>
      <c r="AM51" s="314"/>
      <c r="AN51" s="313"/>
      <c r="AO51" s="313"/>
      <c r="AP51" s="314"/>
      <c r="AQ51" s="315"/>
      <c r="AR51" s="33"/>
    </row>
    <row r="52" spans="2:60" s="13" customFormat="1" ht="18" hidden="1" customHeight="1" outlineLevel="1">
      <c r="B52" s="79"/>
      <c r="C52" s="246"/>
      <c r="D52" s="246" t="s">
        <v>1175</v>
      </c>
      <c r="E52" s="79"/>
      <c r="F52" s="317"/>
      <c r="G52" s="80"/>
      <c r="H52" s="242"/>
      <c r="I52" s="246"/>
      <c r="J52" s="327"/>
      <c r="K52" s="247"/>
      <c r="L52" s="246"/>
      <c r="M52" s="246"/>
      <c r="N52" s="247"/>
      <c r="O52" s="317"/>
      <c r="P52" s="80"/>
      <c r="Q52" s="242"/>
      <c r="R52" s="246"/>
      <c r="S52" s="246"/>
      <c r="T52" s="247"/>
      <c r="U52" s="246"/>
      <c r="V52" s="246"/>
      <c r="W52" s="247"/>
      <c r="X52" s="317"/>
      <c r="Y52" s="80"/>
      <c r="Z52" s="80"/>
      <c r="AA52" s="242"/>
      <c r="AB52" s="246"/>
      <c r="AC52" s="327"/>
      <c r="AD52" s="247"/>
      <c r="AE52" s="246"/>
      <c r="AF52" s="246"/>
      <c r="AG52" s="247"/>
      <c r="AH52" s="317"/>
      <c r="AI52" s="80"/>
      <c r="AJ52" s="242"/>
      <c r="AK52" s="246"/>
      <c r="AL52" s="246"/>
      <c r="AM52" s="247"/>
      <c r="AN52" s="246"/>
      <c r="AO52" s="246"/>
      <c r="AP52" s="247"/>
      <c r="AQ52" s="317"/>
      <c r="AR52" s="33"/>
    </row>
    <row r="53" spans="2:60" s="13" customFormat="1" ht="18" customHeight="1" collapsed="1" thickBot="1">
      <c r="B53" s="79"/>
      <c r="C53" s="246"/>
      <c r="D53" s="246" t="s">
        <v>1176</v>
      </c>
      <c r="E53" s="79"/>
      <c r="F53" s="317"/>
      <c r="G53" s="80"/>
      <c r="H53" s="242"/>
      <c r="I53" s="246"/>
      <c r="J53" s="323">
        <v>46.81818181818182</v>
      </c>
      <c r="K53" s="247"/>
      <c r="L53" s="246"/>
      <c r="M53" s="246"/>
      <c r="N53" s="247"/>
      <c r="O53" s="317"/>
      <c r="P53" s="80"/>
      <c r="Q53" s="242"/>
      <c r="R53" s="246"/>
      <c r="S53" s="246"/>
      <c r="T53" s="247"/>
      <c r="U53" s="246"/>
      <c r="V53" s="246"/>
      <c r="W53" s="247"/>
      <c r="X53" s="317"/>
      <c r="Y53" s="80"/>
      <c r="Z53" s="80"/>
      <c r="AA53" s="242"/>
      <c r="AB53" s="246"/>
      <c r="AC53" s="246">
        <v>1030</v>
      </c>
      <c r="AD53" s="247"/>
      <c r="AE53" s="246"/>
      <c r="AF53" s="246"/>
      <c r="AG53" s="247"/>
      <c r="AH53" s="317"/>
      <c r="AI53" s="80"/>
      <c r="AJ53" s="242"/>
      <c r="AK53" s="246"/>
      <c r="AL53" s="246"/>
      <c r="AM53" s="247"/>
      <c r="AN53" s="246"/>
      <c r="AO53" s="246"/>
      <c r="AP53" s="247"/>
      <c r="AQ53" s="317"/>
      <c r="AR53" s="33"/>
    </row>
    <row r="54" spans="2:60" s="13" customFormat="1" ht="18" hidden="1" customHeight="1" outlineLevel="1">
      <c r="B54" s="79"/>
      <c r="C54" s="246"/>
      <c r="D54" s="246"/>
      <c r="E54" s="79" t="s">
        <v>1181</v>
      </c>
      <c r="F54" s="317"/>
      <c r="G54" s="80"/>
      <c r="H54" s="242"/>
      <c r="I54" s="246"/>
      <c r="J54" s="323">
        <v>13</v>
      </c>
      <c r="K54" s="247"/>
      <c r="L54" s="246"/>
      <c r="M54" s="246"/>
      <c r="N54" s="247"/>
      <c r="O54" s="317"/>
      <c r="P54" s="80"/>
      <c r="Q54" s="242"/>
      <c r="R54" s="246"/>
      <c r="S54" s="246"/>
      <c r="T54" s="247"/>
      <c r="U54" s="246"/>
      <c r="V54" s="246"/>
      <c r="W54" s="247"/>
      <c r="X54" s="317"/>
      <c r="Y54" s="80"/>
      <c r="Z54" s="80"/>
      <c r="AA54" s="242"/>
      <c r="AB54" s="246"/>
      <c r="AC54" s="246">
        <v>286</v>
      </c>
      <c r="AD54" s="247"/>
      <c r="AE54" s="246"/>
      <c r="AF54" s="246"/>
      <c r="AG54" s="247"/>
      <c r="AH54" s="317"/>
      <c r="AI54" s="80"/>
      <c r="AJ54" s="242"/>
      <c r="AK54" s="246"/>
      <c r="AL54" s="246"/>
      <c r="AM54" s="247"/>
      <c r="AN54" s="246"/>
      <c r="AO54" s="246"/>
      <c r="AP54" s="247"/>
      <c r="AQ54" s="317"/>
      <c r="AR54" s="33"/>
    </row>
    <row r="55" spans="2:60" s="13" customFormat="1" ht="18" hidden="1" customHeight="1" outlineLevel="1">
      <c r="B55" s="79"/>
      <c r="C55" s="246"/>
      <c r="D55" s="246"/>
      <c r="E55" s="79" t="s">
        <v>1182</v>
      </c>
      <c r="F55" s="317"/>
      <c r="G55" s="80"/>
      <c r="H55" s="242"/>
      <c r="I55" s="246"/>
      <c r="J55" s="323">
        <v>0</v>
      </c>
      <c r="K55" s="247"/>
      <c r="L55" s="246"/>
      <c r="M55" s="246"/>
      <c r="N55" s="247"/>
      <c r="O55" s="317"/>
      <c r="P55" s="80"/>
      <c r="Q55" s="242"/>
      <c r="R55" s="246"/>
      <c r="S55" s="246"/>
      <c r="T55" s="247"/>
      <c r="U55" s="246"/>
      <c r="V55" s="246"/>
      <c r="W55" s="247"/>
      <c r="X55" s="317"/>
      <c r="Y55" s="80"/>
      <c r="Z55" s="80"/>
      <c r="AA55" s="242"/>
      <c r="AB55" s="246"/>
      <c r="AC55" s="246">
        <v>0</v>
      </c>
      <c r="AD55" s="247"/>
      <c r="AE55" s="246"/>
      <c r="AF55" s="246"/>
      <c r="AG55" s="247"/>
      <c r="AH55" s="317"/>
      <c r="AI55" s="80"/>
      <c r="AJ55" s="242"/>
      <c r="AK55" s="246"/>
      <c r="AL55" s="246"/>
      <c r="AM55" s="247"/>
      <c r="AN55" s="246"/>
      <c r="AO55" s="246"/>
      <c r="AP55" s="247"/>
      <c r="AQ55" s="317"/>
      <c r="AR55" s="33"/>
    </row>
    <row r="56" spans="2:60" s="13" customFormat="1" ht="18" hidden="1" customHeight="1" outlineLevel="1">
      <c r="B56" s="79"/>
      <c r="C56" s="246"/>
      <c r="D56" s="246"/>
      <c r="E56" s="79" t="s">
        <v>1183</v>
      </c>
      <c r="F56" s="317"/>
      <c r="G56" s="80"/>
      <c r="H56" s="242"/>
      <c r="I56" s="246"/>
      <c r="J56" s="323">
        <v>5.9090909090909092</v>
      </c>
      <c r="K56" s="247"/>
      <c r="L56" s="246"/>
      <c r="M56" s="246"/>
      <c r="N56" s="247"/>
      <c r="O56" s="317"/>
      <c r="P56" s="80"/>
      <c r="Q56" s="242"/>
      <c r="R56" s="246"/>
      <c r="S56" s="246"/>
      <c r="T56" s="247"/>
      <c r="U56" s="246"/>
      <c r="V56" s="246"/>
      <c r="W56" s="247"/>
      <c r="X56" s="317"/>
      <c r="Y56" s="80"/>
      <c r="Z56" s="80"/>
      <c r="AA56" s="242"/>
      <c r="AB56" s="246"/>
      <c r="AC56" s="246">
        <v>130</v>
      </c>
      <c r="AD56" s="247"/>
      <c r="AE56" s="246"/>
      <c r="AF56" s="246"/>
      <c r="AG56" s="247"/>
      <c r="AH56" s="317"/>
      <c r="AI56" s="80"/>
      <c r="AJ56" s="242"/>
      <c r="AK56" s="246"/>
      <c r="AL56" s="246"/>
      <c r="AM56" s="247"/>
      <c r="AN56" s="246"/>
      <c r="AO56" s="246"/>
      <c r="AP56" s="247"/>
      <c r="AQ56" s="317"/>
      <c r="AR56" s="33"/>
    </row>
    <row r="57" spans="2:60" s="13" customFormat="1" ht="18" hidden="1" customHeight="1" outlineLevel="1" thickBot="1">
      <c r="B57" s="79"/>
      <c r="C57" s="246"/>
      <c r="D57" s="246"/>
      <c r="E57" s="79" t="s">
        <v>1143</v>
      </c>
      <c r="F57" s="317"/>
      <c r="G57" s="80"/>
      <c r="H57" s="242"/>
      <c r="I57" s="246"/>
      <c r="J57" s="323">
        <v>27.90909090909091</v>
      </c>
      <c r="K57" s="247"/>
      <c r="L57" s="246"/>
      <c r="M57" s="246"/>
      <c r="N57" s="247"/>
      <c r="O57" s="317"/>
      <c r="P57" s="80"/>
      <c r="Q57" s="242"/>
      <c r="R57" s="246"/>
      <c r="S57" s="246"/>
      <c r="T57" s="247"/>
      <c r="U57" s="246"/>
      <c r="V57" s="246"/>
      <c r="W57" s="247"/>
      <c r="X57" s="317"/>
      <c r="Y57" s="80"/>
      <c r="Z57" s="80"/>
      <c r="AA57" s="242"/>
      <c r="AB57" s="246"/>
      <c r="AC57" s="246">
        <v>614</v>
      </c>
      <c r="AD57" s="247"/>
      <c r="AE57" s="246"/>
      <c r="AF57" s="246"/>
      <c r="AG57" s="247"/>
      <c r="AH57" s="317"/>
      <c r="AI57" s="80"/>
      <c r="AJ57" s="242"/>
      <c r="AK57" s="246"/>
      <c r="AL57" s="246"/>
      <c r="AM57" s="247"/>
      <c r="AN57" s="246"/>
      <c r="AO57" s="246"/>
      <c r="AP57" s="247"/>
      <c r="AQ57" s="317"/>
      <c r="AR57" s="33"/>
    </row>
    <row r="58" spans="2:60" s="190" customFormat="1" ht="5.0999999999999996" customHeight="1" collapsed="1" thickBot="1">
      <c r="B58" s="328"/>
      <c r="C58" s="328"/>
      <c r="D58" s="328"/>
      <c r="E58" s="328"/>
      <c r="F58" s="328"/>
      <c r="G58" s="329"/>
      <c r="H58" s="330"/>
      <c r="I58" s="331"/>
      <c r="J58" s="330"/>
      <c r="K58" s="331"/>
      <c r="L58" s="330"/>
      <c r="M58" s="330"/>
      <c r="N58" s="330"/>
      <c r="O58" s="331"/>
      <c r="P58" s="329"/>
      <c r="Q58" s="330"/>
      <c r="R58" s="331"/>
      <c r="S58" s="330"/>
      <c r="T58" s="331"/>
      <c r="U58" s="330"/>
      <c r="V58" s="330"/>
      <c r="W58" s="330"/>
      <c r="X58" s="331"/>
      <c r="Y58" s="329"/>
      <c r="Z58" s="329"/>
      <c r="AA58" s="330"/>
      <c r="AB58" s="331"/>
      <c r="AC58" s="330"/>
      <c r="AD58" s="331"/>
      <c r="AE58" s="330"/>
      <c r="AF58" s="330"/>
      <c r="AG58" s="330"/>
      <c r="AH58" s="331"/>
      <c r="AI58" s="329"/>
      <c r="AJ58" s="330"/>
      <c r="AK58" s="331"/>
      <c r="AL58" s="330"/>
      <c r="AM58" s="331"/>
      <c r="AN58" s="330"/>
      <c r="AO58" s="330"/>
      <c r="AP58" s="330"/>
      <c r="AQ58" s="331"/>
      <c r="AR58" s="204"/>
      <c r="AS58" s="204"/>
      <c r="AT58" s="204"/>
      <c r="AU58" s="189"/>
      <c r="AV58" s="43"/>
      <c r="AW58" s="204"/>
      <c r="AX58" s="189"/>
      <c r="AY58" s="204"/>
      <c r="AZ58" s="189"/>
      <c r="BA58" s="204"/>
      <c r="BD58" s="189"/>
      <c r="BH58" s="189"/>
    </row>
    <row r="59" spans="2:60" s="15" customFormat="1" ht="18" customHeight="1">
      <c r="B59" s="56" t="s">
        <v>1184</v>
      </c>
      <c r="C59" s="56"/>
      <c r="D59" s="56"/>
      <c r="E59" s="56"/>
      <c r="F59" s="57"/>
      <c r="G59" s="58"/>
      <c r="H59" s="59"/>
      <c r="I59" s="60"/>
      <c r="J59" s="60"/>
      <c r="K59" s="237"/>
      <c r="L59" s="60"/>
      <c r="M59" s="60"/>
      <c r="N59" s="237"/>
      <c r="O59" s="57"/>
      <c r="P59" s="58"/>
      <c r="Q59" s="59"/>
      <c r="R59" s="60"/>
      <c r="S59" s="60"/>
      <c r="T59" s="237"/>
      <c r="U59" s="60"/>
      <c r="V59" s="60"/>
      <c r="W59" s="237"/>
      <c r="X59" s="57"/>
      <c r="Y59" s="58"/>
      <c r="Z59" s="58"/>
      <c r="AA59" s="59"/>
      <c r="AB59" s="60"/>
      <c r="AC59" s="60"/>
      <c r="AD59" s="237"/>
      <c r="AE59" s="60"/>
      <c r="AF59" s="60"/>
      <c r="AG59" s="237"/>
      <c r="AH59" s="57"/>
      <c r="AI59" s="58"/>
      <c r="AJ59" s="59"/>
      <c r="AK59" s="60"/>
      <c r="AL59" s="60"/>
      <c r="AM59" s="237"/>
      <c r="AN59" s="60"/>
      <c r="AO59" s="60"/>
      <c r="AP59" s="237"/>
      <c r="AQ59" s="57"/>
      <c r="AR59" s="38"/>
    </row>
    <row r="60" spans="2:60" s="15" customFormat="1" ht="18" customHeight="1" thickBot="1">
      <c r="B60" s="332" t="s">
        <v>1185</v>
      </c>
      <c r="C60" s="332"/>
      <c r="D60" s="332"/>
      <c r="E60" s="332"/>
      <c r="F60" s="333"/>
      <c r="G60" s="58"/>
      <c r="H60" s="200"/>
      <c r="I60" s="198"/>
      <c r="J60" s="198"/>
      <c r="K60" s="334"/>
      <c r="L60" s="198"/>
      <c r="M60" s="198"/>
      <c r="N60" s="334"/>
      <c r="O60" s="333"/>
      <c r="P60" s="58"/>
      <c r="Q60" s="200"/>
      <c r="R60" s="198"/>
      <c r="S60" s="198"/>
      <c r="T60" s="334"/>
      <c r="U60" s="198"/>
      <c r="V60" s="198"/>
      <c r="W60" s="334"/>
      <c r="X60" s="333"/>
      <c r="Y60" s="58"/>
      <c r="Z60" s="58"/>
      <c r="AA60" s="200"/>
      <c r="AB60" s="198"/>
      <c r="AC60" s="198"/>
      <c r="AD60" s="334"/>
      <c r="AE60" s="198"/>
      <c r="AF60" s="198"/>
      <c r="AG60" s="334"/>
      <c r="AH60" s="333"/>
      <c r="AI60" s="58"/>
      <c r="AJ60" s="200"/>
      <c r="AK60" s="198"/>
      <c r="AL60" s="198"/>
      <c r="AM60" s="334"/>
      <c r="AN60" s="198"/>
      <c r="AO60" s="198"/>
      <c r="AP60" s="334"/>
      <c r="AQ60" s="333"/>
      <c r="AR60" s="38"/>
    </row>
    <row r="61" spans="2:60" s="190" customFormat="1" ht="20.100000000000001" customHeight="1">
      <c r="G61" s="43"/>
      <c r="H61" s="204"/>
      <c r="I61" s="189"/>
      <c r="J61" s="335"/>
      <c r="K61" s="189"/>
      <c r="L61" s="204"/>
      <c r="M61" s="204"/>
      <c r="N61" s="204"/>
      <c r="O61" s="189"/>
      <c r="P61" s="43"/>
      <c r="Q61" s="204"/>
      <c r="R61" s="189"/>
      <c r="S61" s="204"/>
      <c r="T61" s="189"/>
      <c r="U61" s="204"/>
      <c r="V61" s="204"/>
      <c r="W61" s="204"/>
      <c r="X61" s="189"/>
      <c r="Y61" s="43"/>
      <c r="Z61" s="43"/>
      <c r="AA61" s="204"/>
      <c r="AB61" s="189"/>
      <c r="AC61" s="204"/>
      <c r="AD61" s="189"/>
      <c r="AE61" s="204"/>
      <c r="AF61" s="204"/>
      <c r="AG61" s="204"/>
      <c r="AH61" s="189"/>
      <c r="AI61" s="43"/>
      <c r="AJ61" s="204"/>
      <c r="AK61" s="189"/>
      <c r="AL61" s="204"/>
      <c r="AM61" s="189"/>
      <c r="AN61" s="204"/>
      <c r="AO61" s="204"/>
      <c r="AP61" s="204"/>
      <c r="AQ61" s="189"/>
      <c r="AR61" s="204"/>
      <c r="AS61" s="204"/>
      <c r="AT61" s="204"/>
      <c r="AU61" s="189"/>
      <c r="AV61" s="43"/>
      <c r="AW61" s="204"/>
      <c r="AX61" s="189"/>
      <c r="AY61" s="204"/>
      <c r="AZ61" s="189"/>
      <c r="BA61" s="204"/>
      <c r="BD61" s="189"/>
      <c r="BH61" s="189"/>
    </row>
    <row r="62" spans="2:60" s="81" customFormat="1" ht="20.100000000000001" customHeight="1">
      <c r="B62" s="205"/>
      <c r="C62" s="79"/>
      <c r="D62" s="79"/>
      <c r="E62" s="79"/>
      <c r="F62" s="79"/>
      <c r="G62" s="80"/>
      <c r="H62" s="79"/>
      <c r="I62" s="79"/>
      <c r="J62" s="79"/>
      <c r="K62" s="79"/>
      <c r="L62" s="79"/>
      <c r="M62" s="79"/>
      <c r="N62" s="79"/>
      <c r="O62" s="79"/>
      <c r="P62" s="80"/>
      <c r="Q62" s="79"/>
      <c r="R62" s="79"/>
      <c r="S62" s="79"/>
      <c r="T62" s="79"/>
      <c r="U62" s="79"/>
      <c r="V62" s="79"/>
      <c r="W62" s="79"/>
      <c r="X62" s="79"/>
      <c r="Y62" s="80"/>
      <c r="Z62" s="80"/>
      <c r="AA62" s="79"/>
      <c r="AB62" s="79"/>
      <c r="AC62" s="79"/>
      <c r="AD62" s="79"/>
      <c r="AE62" s="79"/>
      <c r="AF62" s="79"/>
      <c r="AG62" s="79"/>
      <c r="AH62" s="79"/>
      <c r="AI62" s="80"/>
      <c r="AJ62" s="79"/>
      <c r="AK62" s="79"/>
      <c r="AL62" s="79"/>
      <c r="AM62" s="79"/>
      <c r="AN62" s="79"/>
      <c r="AO62" s="79"/>
      <c r="AP62" s="79"/>
      <c r="AQ62" s="79"/>
      <c r="AR62" s="79"/>
    </row>
    <row r="63" spans="2:60" s="81" customFormat="1" ht="20.100000000000001" customHeight="1">
      <c r="B63" s="78"/>
      <c r="C63" s="79"/>
      <c r="D63" s="79"/>
      <c r="E63" s="79"/>
      <c r="F63" s="79"/>
      <c r="G63" s="80"/>
      <c r="H63" s="79"/>
      <c r="I63" s="79"/>
      <c r="J63" s="79"/>
      <c r="K63" s="79"/>
      <c r="L63" s="79"/>
      <c r="M63" s="79"/>
      <c r="N63" s="79"/>
      <c r="O63" s="79"/>
      <c r="P63" s="80"/>
      <c r="Q63" s="79"/>
      <c r="R63" s="79"/>
      <c r="S63" s="79"/>
      <c r="T63" s="79"/>
      <c r="U63" s="79"/>
      <c r="V63" s="79"/>
      <c r="W63" s="79"/>
      <c r="X63" s="79"/>
      <c r="Y63" s="80"/>
      <c r="Z63" s="80"/>
      <c r="AA63" s="79"/>
      <c r="AB63" s="79"/>
      <c r="AC63" s="79"/>
      <c r="AD63" s="79"/>
      <c r="AE63" s="79"/>
      <c r="AF63" s="79"/>
      <c r="AG63" s="79"/>
      <c r="AH63" s="79"/>
      <c r="AI63" s="80"/>
      <c r="AJ63" s="79"/>
      <c r="AK63" s="79"/>
      <c r="AL63" s="79"/>
      <c r="AM63" s="79"/>
      <c r="AN63" s="79"/>
      <c r="AO63" s="79"/>
      <c r="AP63" s="79"/>
      <c r="AQ63" s="79"/>
      <c r="AR63" s="79"/>
    </row>
    <row r="64" spans="2:60" s="81" customFormat="1" ht="20.100000000000001" customHeight="1">
      <c r="B64" s="78"/>
      <c r="C64" s="79"/>
      <c r="D64" s="79"/>
      <c r="E64" s="79"/>
      <c r="F64" s="79"/>
      <c r="G64" s="80"/>
      <c r="H64" s="79"/>
      <c r="I64" s="79"/>
      <c r="J64" s="79"/>
      <c r="K64" s="79"/>
      <c r="L64" s="79"/>
      <c r="M64" s="79"/>
      <c r="N64" s="79"/>
      <c r="O64" s="79"/>
      <c r="P64" s="80"/>
      <c r="Q64" s="79"/>
      <c r="R64" s="79"/>
      <c r="S64" s="79"/>
      <c r="T64" s="79"/>
      <c r="U64" s="79"/>
      <c r="V64" s="79"/>
      <c r="W64" s="79"/>
      <c r="X64" s="79"/>
      <c r="Y64" s="80"/>
      <c r="Z64" s="80"/>
      <c r="AA64" s="79"/>
      <c r="AB64" s="79"/>
      <c r="AC64" s="79"/>
      <c r="AD64" s="79"/>
      <c r="AE64" s="79"/>
      <c r="AF64" s="79"/>
      <c r="AG64" s="79"/>
      <c r="AH64" s="79"/>
      <c r="AI64" s="80"/>
      <c r="AJ64" s="79"/>
      <c r="AK64" s="79"/>
      <c r="AL64" s="79"/>
      <c r="AM64" s="79"/>
      <c r="AN64" s="79"/>
      <c r="AO64" s="79"/>
      <c r="AP64" s="79"/>
      <c r="AQ64" s="79"/>
      <c r="AR64" s="79"/>
    </row>
    <row r="65" spans="2:60" s="190" customFormat="1" ht="5.0999999999999996" customHeight="1">
      <c r="G65" s="43"/>
      <c r="H65" s="204"/>
      <c r="I65" s="189"/>
      <c r="J65" s="204"/>
      <c r="K65" s="189"/>
      <c r="L65" s="204"/>
      <c r="M65" s="204"/>
      <c r="N65" s="204"/>
      <c r="O65" s="189"/>
      <c r="P65" s="43"/>
      <c r="Q65" s="204"/>
      <c r="R65" s="189"/>
      <c r="S65" s="204"/>
      <c r="T65" s="189"/>
      <c r="U65" s="204"/>
      <c r="V65" s="204"/>
      <c r="W65" s="204"/>
      <c r="X65" s="189"/>
      <c r="Y65" s="43"/>
      <c r="Z65" s="43"/>
      <c r="AA65" s="204"/>
      <c r="AB65" s="189"/>
      <c r="AC65" s="204"/>
      <c r="AD65" s="189"/>
      <c r="AE65" s="204"/>
      <c r="AF65" s="204"/>
      <c r="AG65" s="204"/>
      <c r="AH65" s="189"/>
      <c r="AI65" s="43"/>
      <c r="AJ65" s="204"/>
      <c r="AK65" s="189"/>
      <c r="AL65" s="204"/>
      <c r="AM65" s="189"/>
      <c r="AN65" s="204"/>
      <c r="AO65" s="204"/>
      <c r="AP65" s="204"/>
      <c r="AQ65" s="189"/>
      <c r="AR65" s="204"/>
      <c r="AS65" s="204"/>
      <c r="AT65" s="204"/>
      <c r="AU65" s="189"/>
      <c r="AV65" s="43"/>
      <c r="AW65" s="204"/>
      <c r="AX65" s="189"/>
      <c r="AY65" s="204"/>
      <c r="AZ65" s="189"/>
      <c r="BA65" s="204"/>
      <c r="BD65" s="189"/>
      <c r="BH65" s="189"/>
    </row>
    <row r="66" spans="2:60" s="81" customFormat="1" ht="20.100000000000001" customHeight="1">
      <c r="B66" s="205"/>
      <c r="C66" s="79"/>
      <c r="D66" s="79"/>
      <c r="E66" s="79"/>
      <c r="F66" s="79"/>
      <c r="G66" s="80"/>
      <c r="H66" s="79"/>
      <c r="I66" s="79"/>
      <c r="J66" s="79"/>
      <c r="K66" s="79"/>
      <c r="L66" s="79"/>
      <c r="M66" s="79"/>
      <c r="N66" s="79"/>
      <c r="O66" s="79"/>
      <c r="P66" s="80"/>
      <c r="Q66" s="79"/>
      <c r="R66" s="79"/>
      <c r="S66" s="79"/>
      <c r="T66" s="79"/>
      <c r="U66" s="79"/>
      <c r="V66" s="79"/>
      <c r="W66" s="79"/>
      <c r="X66" s="79"/>
      <c r="Y66" s="80"/>
      <c r="Z66" s="80"/>
      <c r="AA66" s="79"/>
      <c r="AB66" s="79"/>
      <c r="AC66" s="79"/>
      <c r="AD66" s="79"/>
      <c r="AE66" s="79"/>
      <c r="AF66" s="79"/>
      <c r="AG66" s="79"/>
      <c r="AH66" s="79"/>
      <c r="AI66" s="80"/>
      <c r="AJ66" s="79"/>
      <c r="AK66" s="79"/>
      <c r="AL66" s="79"/>
      <c r="AM66" s="79"/>
      <c r="AN66" s="79"/>
      <c r="AO66" s="79"/>
      <c r="AP66" s="79"/>
      <c r="AQ66" s="79"/>
      <c r="AR66" s="79"/>
    </row>
    <row r="67" spans="2:60" s="13" customFormat="1" ht="20.100000000000001" customHeight="1">
      <c r="B67" s="78"/>
      <c r="C67" s="79"/>
      <c r="D67" s="79"/>
      <c r="E67" s="79"/>
      <c r="F67" s="79"/>
      <c r="G67" s="80"/>
      <c r="H67" s="79"/>
      <c r="I67" s="79"/>
      <c r="J67" s="79"/>
      <c r="K67" s="79"/>
      <c r="L67" s="79"/>
      <c r="M67" s="79"/>
      <c r="N67" s="79"/>
      <c r="O67" s="79"/>
      <c r="P67" s="80"/>
      <c r="Q67" s="79"/>
      <c r="R67" s="79"/>
      <c r="S67" s="79"/>
      <c r="T67" s="79"/>
      <c r="U67" s="79"/>
      <c r="V67" s="79"/>
      <c r="W67" s="79"/>
      <c r="X67" s="79"/>
      <c r="Y67" s="80"/>
      <c r="Z67" s="80"/>
      <c r="AA67" s="79"/>
      <c r="AB67" s="79"/>
      <c r="AC67" s="79"/>
      <c r="AD67" s="79"/>
      <c r="AE67" s="79"/>
      <c r="AF67" s="79"/>
      <c r="AG67" s="79"/>
      <c r="AH67" s="79"/>
      <c r="AI67" s="80"/>
      <c r="AJ67" s="79"/>
      <c r="AK67" s="79"/>
      <c r="AL67" s="79"/>
      <c r="AM67" s="79"/>
      <c r="AN67" s="79"/>
      <c r="AO67" s="79"/>
      <c r="AP67" s="79"/>
      <c r="AQ67" s="79"/>
      <c r="AR67" s="79"/>
      <c r="AS67" s="81"/>
      <c r="AT67" s="81"/>
    </row>
    <row r="68" spans="2:60" s="13" customFormat="1" ht="20.100000000000001" customHeight="1">
      <c r="B68" s="78"/>
      <c r="C68" s="79"/>
      <c r="D68" s="79"/>
      <c r="E68" s="79"/>
      <c r="F68" s="79"/>
      <c r="G68" s="80"/>
      <c r="H68" s="79"/>
      <c r="I68" s="79"/>
      <c r="J68" s="79"/>
      <c r="K68" s="79"/>
      <c r="L68" s="79"/>
      <c r="M68" s="79"/>
      <c r="N68" s="79"/>
      <c r="O68" s="79"/>
      <c r="P68" s="80"/>
      <c r="Q68" s="79"/>
      <c r="R68" s="79"/>
      <c r="S68" s="79"/>
      <c r="T68" s="79"/>
      <c r="U68" s="79"/>
      <c r="V68" s="79"/>
      <c r="W68" s="79"/>
      <c r="X68" s="79"/>
      <c r="Y68" s="80"/>
      <c r="Z68" s="80"/>
      <c r="AA68" s="79"/>
      <c r="AB68" s="79"/>
      <c r="AC68" s="79"/>
      <c r="AD68" s="79"/>
      <c r="AE68" s="79"/>
      <c r="AF68" s="79"/>
      <c r="AG68" s="79"/>
      <c r="AH68" s="79"/>
      <c r="AI68" s="80"/>
      <c r="AJ68" s="79"/>
      <c r="AK68" s="79"/>
      <c r="AL68" s="79"/>
      <c r="AM68" s="79"/>
      <c r="AN68" s="79"/>
      <c r="AO68" s="79"/>
      <c r="AP68" s="79"/>
      <c r="AQ68" s="79"/>
      <c r="AR68" s="79"/>
      <c r="AS68" s="81"/>
      <c r="AT68" s="81"/>
    </row>
    <row r="69" spans="2:60" s="190" customFormat="1" ht="5.0999999999999996" customHeight="1">
      <c r="G69" s="43"/>
      <c r="H69" s="204"/>
      <c r="I69" s="189"/>
      <c r="J69" s="204"/>
      <c r="K69" s="189"/>
      <c r="L69" s="204"/>
      <c r="M69" s="204"/>
      <c r="N69" s="204"/>
      <c r="O69" s="189"/>
      <c r="P69" s="43"/>
      <c r="Q69" s="204"/>
      <c r="R69" s="189"/>
      <c r="S69" s="204"/>
      <c r="T69" s="189"/>
      <c r="U69" s="204"/>
      <c r="V69" s="204"/>
      <c r="W69" s="204"/>
      <c r="X69" s="189"/>
      <c r="Y69" s="43"/>
      <c r="Z69" s="43"/>
      <c r="AA69" s="204"/>
      <c r="AB69" s="189"/>
      <c r="AC69" s="204"/>
      <c r="AD69" s="189"/>
      <c r="AE69" s="204"/>
      <c r="AF69" s="204"/>
      <c r="AG69" s="204"/>
      <c r="AH69" s="189"/>
      <c r="AI69" s="43"/>
      <c r="AJ69" s="204"/>
      <c r="AK69" s="189"/>
      <c r="AL69" s="204"/>
      <c r="AM69" s="189"/>
      <c r="AN69" s="204"/>
      <c r="AO69" s="204"/>
      <c r="AP69" s="204"/>
      <c r="AQ69" s="189"/>
      <c r="AR69" s="204"/>
      <c r="AS69" s="204"/>
      <c r="AT69" s="204"/>
      <c r="AU69" s="189"/>
      <c r="AV69" s="43"/>
      <c r="AW69" s="204"/>
      <c r="AX69" s="189"/>
      <c r="AY69" s="204"/>
      <c r="AZ69" s="189"/>
      <c r="BA69" s="204"/>
      <c r="BD69" s="189"/>
      <c r="BH69" s="189"/>
    </row>
    <row r="70" spans="2:60" s="81" customFormat="1" ht="20.100000000000001" customHeight="1">
      <c r="B70" s="205"/>
      <c r="C70" s="79"/>
      <c r="D70" s="79"/>
      <c r="E70" s="79"/>
      <c r="F70" s="79"/>
      <c r="G70" s="80"/>
      <c r="H70" s="79"/>
      <c r="I70" s="79"/>
      <c r="J70" s="79"/>
      <c r="K70" s="79"/>
      <c r="L70" s="79"/>
      <c r="M70" s="79"/>
      <c r="N70" s="79"/>
      <c r="O70" s="79"/>
      <c r="P70" s="80"/>
      <c r="Q70" s="79"/>
      <c r="R70" s="79"/>
      <c r="S70" s="79"/>
      <c r="T70" s="79"/>
      <c r="U70" s="79"/>
      <c r="V70" s="79"/>
      <c r="W70" s="79"/>
      <c r="X70" s="79"/>
      <c r="Y70" s="80"/>
      <c r="Z70" s="80"/>
      <c r="AA70" s="79"/>
      <c r="AB70" s="79"/>
      <c r="AC70" s="79"/>
      <c r="AD70" s="79"/>
      <c r="AE70" s="79"/>
      <c r="AF70" s="79"/>
      <c r="AG70" s="79"/>
      <c r="AH70" s="79"/>
      <c r="AI70" s="80"/>
      <c r="AJ70" s="79"/>
      <c r="AK70" s="79"/>
      <c r="AL70" s="79"/>
      <c r="AM70" s="79"/>
      <c r="AN70" s="79"/>
      <c r="AO70" s="79"/>
      <c r="AP70" s="79"/>
      <c r="AQ70" s="79"/>
      <c r="AR70" s="79"/>
    </row>
    <row r="71" spans="2:60" s="13" customFormat="1" ht="20.100000000000001" customHeight="1">
      <c r="B71" s="78"/>
      <c r="C71" s="78"/>
      <c r="D71" s="79"/>
      <c r="E71" s="79"/>
      <c r="F71" s="79"/>
      <c r="G71" s="80"/>
      <c r="H71" s="79"/>
      <c r="I71" s="79"/>
      <c r="J71" s="79"/>
      <c r="K71" s="79"/>
      <c r="L71" s="79"/>
      <c r="M71" s="79"/>
      <c r="N71" s="79"/>
      <c r="O71" s="79"/>
      <c r="P71" s="80"/>
      <c r="Q71" s="79"/>
      <c r="R71" s="79"/>
      <c r="S71" s="79"/>
      <c r="T71" s="79"/>
      <c r="U71" s="79"/>
      <c r="V71" s="79"/>
      <c r="W71" s="79"/>
      <c r="X71" s="79"/>
      <c r="Y71" s="80"/>
      <c r="Z71" s="80"/>
      <c r="AA71" s="79"/>
      <c r="AB71" s="79"/>
      <c r="AC71" s="79"/>
      <c r="AD71" s="79"/>
      <c r="AE71" s="79"/>
      <c r="AF71" s="79"/>
      <c r="AG71" s="79"/>
      <c r="AH71" s="79"/>
      <c r="AI71" s="80"/>
      <c r="AJ71" s="79"/>
      <c r="AK71" s="79"/>
      <c r="AL71" s="79"/>
      <c r="AM71" s="79"/>
      <c r="AN71" s="79"/>
      <c r="AO71" s="79"/>
      <c r="AP71" s="79"/>
      <c r="AQ71" s="79"/>
      <c r="AR71" s="79"/>
      <c r="AS71" s="81"/>
      <c r="AT71" s="81"/>
    </row>
    <row r="72" spans="2:60" s="13" customFormat="1" ht="20.100000000000001" customHeight="1">
      <c r="B72" s="79"/>
      <c r="C72" s="81"/>
      <c r="D72" s="79"/>
      <c r="E72" s="79"/>
      <c r="F72" s="79"/>
      <c r="G72" s="80"/>
      <c r="H72" s="79"/>
      <c r="I72" s="79"/>
      <c r="J72" s="79"/>
      <c r="K72" s="79"/>
      <c r="L72" s="79"/>
      <c r="M72" s="79"/>
      <c r="N72" s="79"/>
      <c r="O72" s="79"/>
      <c r="P72" s="80"/>
      <c r="Q72" s="79"/>
      <c r="R72" s="79"/>
      <c r="S72" s="79"/>
      <c r="T72" s="79"/>
      <c r="U72" s="79"/>
      <c r="V72" s="79"/>
      <c r="W72" s="79"/>
      <c r="X72" s="79"/>
      <c r="Y72" s="80"/>
      <c r="Z72" s="80"/>
      <c r="AA72" s="79"/>
      <c r="AB72" s="79"/>
      <c r="AC72" s="79"/>
      <c r="AD72" s="79"/>
      <c r="AE72" s="79"/>
      <c r="AF72" s="79"/>
      <c r="AG72" s="79"/>
      <c r="AH72" s="79"/>
      <c r="AI72" s="80"/>
      <c r="AJ72" s="79"/>
      <c r="AK72" s="79"/>
      <c r="AL72" s="79"/>
      <c r="AM72" s="79"/>
      <c r="AN72" s="79"/>
      <c r="AO72" s="79"/>
      <c r="AP72" s="79"/>
      <c r="AQ72" s="79"/>
      <c r="AR72" s="79"/>
      <c r="AS72" s="81"/>
      <c r="AT72" s="81"/>
    </row>
    <row r="73" spans="2:60" s="13" customFormat="1" ht="20.100000000000001" customHeight="1">
      <c r="B73" s="79"/>
      <c r="C73" s="79"/>
      <c r="D73" s="79"/>
      <c r="E73" s="79"/>
      <c r="F73" s="79"/>
      <c r="G73" s="80"/>
      <c r="H73" s="79"/>
      <c r="I73" s="79"/>
      <c r="J73" s="79"/>
      <c r="K73" s="79"/>
      <c r="L73" s="79"/>
      <c r="M73" s="79"/>
      <c r="N73" s="79"/>
      <c r="O73" s="79"/>
      <c r="P73" s="80"/>
      <c r="Q73" s="79"/>
      <c r="R73" s="79"/>
      <c r="S73" s="79"/>
      <c r="T73" s="79"/>
      <c r="U73" s="79"/>
      <c r="V73" s="79"/>
      <c r="W73" s="79"/>
      <c r="X73" s="79"/>
      <c r="Y73" s="80"/>
      <c r="Z73" s="80"/>
      <c r="AA73" s="79"/>
      <c r="AB73" s="79"/>
      <c r="AC73" s="79"/>
      <c r="AD73" s="79"/>
      <c r="AE73" s="79"/>
      <c r="AF73" s="79"/>
      <c r="AG73" s="79"/>
      <c r="AH73" s="79"/>
      <c r="AI73" s="80"/>
      <c r="AJ73" s="79"/>
      <c r="AK73" s="79"/>
      <c r="AL73" s="79"/>
      <c r="AM73" s="79"/>
      <c r="AN73" s="79"/>
      <c r="AO73" s="79"/>
      <c r="AP73" s="79"/>
      <c r="AQ73" s="79"/>
      <c r="AR73" s="79"/>
      <c r="AS73" s="81"/>
      <c r="AT73" s="81"/>
    </row>
    <row r="74" spans="2:60" s="13" customFormat="1" ht="20.100000000000001" customHeight="1">
      <c r="B74" s="79"/>
      <c r="C74" s="78"/>
      <c r="D74" s="79"/>
      <c r="E74" s="79"/>
      <c r="F74" s="79"/>
      <c r="G74" s="80"/>
      <c r="H74" s="79"/>
      <c r="I74" s="79"/>
      <c r="J74" s="79"/>
      <c r="K74" s="79"/>
      <c r="L74" s="79"/>
      <c r="M74" s="79"/>
      <c r="N74" s="79"/>
      <c r="O74" s="79"/>
      <c r="P74" s="80"/>
      <c r="Q74" s="79"/>
      <c r="R74" s="79"/>
      <c r="S74" s="79"/>
      <c r="T74" s="79"/>
      <c r="U74" s="79"/>
      <c r="V74" s="79"/>
      <c r="W74" s="79"/>
      <c r="X74" s="79"/>
      <c r="Y74" s="80"/>
      <c r="Z74" s="80"/>
      <c r="AA74" s="79"/>
      <c r="AB74" s="79"/>
      <c r="AC74" s="79"/>
      <c r="AD74" s="79"/>
      <c r="AE74" s="79"/>
      <c r="AF74" s="79"/>
      <c r="AG74" s="79"/>
      <c r="AH74" s="79"/>
      <c r="AI74" s="80"/>
      <c r="AJ74" s="79"/>
      <c r="AK74" s="79"/>
      <c r="AL74" s="79"/>
      <c r="AM74" s="79"/>
      <c r="AN74" s="79"/>
      <c r="AO74" s="79"/>
      <c r="AP74" s="79"/>
      <c r="AQ74" s="79"/>
      <c r="AR74" s="79"/>
      <c r="AS74" s="81"/>
      <c r="AT74" s="81"/>
    </row>
    <row r="75" spans="2:60" ht="20.100000000000001" customHeight="1">
      <c r="B75" s="79"/>
      <c r="C75" s="79"/>
      <c r="D75" s="79"/>
      <c r="E75" s="79"/>
      <c r="F75" s="79"/>
      <c r="G75" s="80"/>
      <c r="H75" s="79"/>
      <c r="I75" s="79"/>
      <c r="J75" s="79"/>
      <c r="K75" s="79"/>
      <c r="L75" s="79"/>
      <c r="M75" s="79"/>
      <c r="N75" s="79"/>
      <c r="O75" s="79"/>
      <c r="P75" s="80"/>
      <c r="Q75" s="79"/>
      <c r="R75" s="79"/>
      <c r="S75" s="79"/>
      <c r="T75" s="79"/>
      <c r="U75" s="79"/>
      <c r="V75" s="79"/>
      <c r="W75" s="79"/>
      <c r="X75" s="79"/>
      <c r="Y75" s="80"/>
      <c r="Z75" s="80"/>
      <c r="AA75" s="79"/>
      <c r="AB75" s="79"/>
      <c r="AC75" s="79"/>
      <c r="AD75" s="79"/>
      <c r="AE75" s="79"/>
      <c r="AF75" s="79"/>
      <c r="AG75" s="79"/>
      <c r="AH75" s="79"/>
      <c r="AI75" s="80"/>
      <c r="AJ75" s="79"/>
      <c r="AK75" s="79"/>
      <c r="AL75" s="79"/>
      <c r="AM75" s="79"/>
      <c r="AN75" s="79"/>
      <c r="AO75" s="79"/>
      <c r="AP75" s="79"/>
      <c r="AQ75" s="79"/>
      <c r="AR75" s="204"/>
      <c r="AS75" s="190"/>
      <c r="AT75" s="190"/>
    </row>
    <row r="76" spans="2:60" ht="20.100000000000001" customHeight="1">
      <c r="B76" s="79"/>
      <c r="C76" s="79"/>
      <c r="D76" s="79"/>
      <c r="E76" s="79"/>
      <c r="F76" s="79"/>
      <c r="G76" s="80"/>
      <c r="H76" s="79"/>
      <c r="I76" s="79"/>
      <c r="J76" s="79"/>
      <c r="K76" s="79"/>
      <c r="L76" s="79"/>
      <c r="M76" s="79"/>
      <c r="N76" s="79"/>
      <c r="O76" s="79"/>
      <c r="P76" s="80"/>
      <c r="Q76" s="79"/>
      <c r="R76" s="79"/>
      <c r="S76" s="79"/>
      <c r="T76" s="79"/>
      <c r="U76" s="79"/>
      <c r="V76" s="79"/>
      <c r="W76" s="79"/>
      <c r="X76" s="79"/>
      <c r="Y76" s="80"/>
      <c r="Z76" s="80"/>
      <c r="AA76" s="79"/>
      <c r="AB76" s="79"/>
      <c r="AC76" s="79"/>
      <c r="AD76" s="79"/>
      <c r="AE76" s="79"/>
      <c r="AF76" s="79"/>
      <c r="AG76" s="79"/>
      <c r="AH76" s="79"/>
      <c r="AI76" s="80"/>
      <c r="AJ76" s="79"/>
      <c r="AK76" s="79"/>
      <c r="AL76" s="79"/>
      <c r="AM76" s="79"/>
      <c r="AN76" s="79"/>
      <c r="AO76" s="79"/>
      <c r="AP76" s="79"/>
      <c r="AQ76" s="79"/>
      <c r="AR76" s="204"/>
      <c r="AS76" s="190"/>
      <c r="AT76" s="190"/>
    </row>
    <row r="77" spans="2:60" ht="20.100000000000001" customHeight="1">
      <c r="B77" s="79"/>
      <c r="C77" s="79"/>
      <c r="D77" s="79"/>
      <c r="E77" s="79"/>
      <c r="F77" s="79"/>
      <c r="G77" s="80"/>
      <c r="H77" s="79"/>
      <c r="I77" s="79"/>
      <c r="J77" s="79"/>
      <c r="K77" s="79"/>
      <c r="L77" s="79"/>
      <c r="M77" s="79"/>
      <c r="N77" s="79"/>
      <c r="O77" s="79"/>
      <c r="P77" s="80"/>
      <c r="Q77" s="79"/>
      <c r="R77" s="79"/>
      <c r="S77" s="79"/>
      <c r="T77" s="79"/>
      <c r="U77" s="79"/>
      <c r="V77" s="79"/>
      <c r="W77" s="79"/>
      <c r="X77" s="79"/>
      <c r="Y77" s="80"/>
      <c r="Z77" s="80"/>
      <c r="AA77" s="79"/>
      <c r="AB77" s="79"/>
      <c r="AC77" s="79"/>
      <c r="AD77" s="79"/>
      <c r="AE77" s="79"/>
      <c r="AF77" s="79"/>
      <c r="AG77" s="79"/>
      <c r="AH77" s="79"/>
      <c r="AI77" s="80"/>
      <c r="AJ77" s="79"/>
      <c r="AK77" s="79"/>
      <c r="AL77" s="79"/>
      <c r="AM77" s="79"/>
      <c r="AN77" s="79"/>
      <c r="AO77" s="79"/>
      <c r="AP77" s="79"/>
      <c r="AQ77" s="79"/>
      <c r="AR77" s="204"/>
      <c r="AS77" s="190"/>
      <c r="AT77" s="190"/>
    </row>
    <row r="78" spans="2:60" ht="20.100000000000001" customHeight="1">
      <c r="B78" s="79"/>
      <c r="C78" s="79"/>
      <c r="D78" s="79"/>
      <c r="E78" s="79"/>
      <c r="F78" s="79"/>
      <c r="G78" s="80"/>
      <c r="H78" s="79"/>
      <c r="I78" s="79"/>
      <c r="J78" s="79"/>
      <c r="K78" s="79"/>
      <c r="L78" s="79"/>
      <c r="M78" s="79"/>
      <c r="N78" s="79"/>
      <c r="O78" s="79"/>
      <c r="P78" s="80"/>
      <c r="Q78" s="79"/>
      <c r="R78" s="79"/>
      <c r="S78" s="79"/>
      <c r="T78" s="79"/>
      <c r="U78" s="79"/>
      <c r="V78" s="79"/>
      <c r="W78" s="79"/>
      <c r="X78" s="79"/>
      <c r="Y78" s="80"/>
      <c r="Z78" s="80"/>
      <c r="AA78" s="79"/>
      <c r="AB78" s="79"/>
      <c r="AC78" s="79"/>
      <c r="AD78" s="79"/>
      <c r="AE78" s="79"/>
      <c r="AF78" s="79"/>
      <c r="AG78" s="79"/>
      <c r="AH78" s="79"/>
      <c r="AI78" s="80"/>
      <c r="AJ78" s="79"/>
      <c r="AK78" s="79"/>
      <c r="AL78" s="79"/>
      <c r="AM78" s="79"/>
      <c r="AN78" s="79"/>
      <c r="AO78" s="79"/>
      <c r="AP78" s="79"/>
      <c r="AQ78" s="79"/>
      <c r="AR78" s="190"/>
      <c r="AS78" s="190"/>
      <c r="AT78" s="190"/>
    </row>
    <row r="79" spans="2:60" ht="20.100000000000001" customHeight="1">
      <c r="B79" s="79"/>
      <c r="C79" s="78"/>
      <c r="D79" s="79"/>
      <c r="E79" s="79"/>
      <c r="F79" s="79"/>
      <c r="G79" s="80"/>
      <c r="H79" s="79"/>
      <c r="I79" s="79"/>
      <c r="J79" s="79"/>
      <c r="K79" s="79"/>
      <c r="L79" s="79"/>
      <c r="M79" s="79"/>
      <c r="N79" s="79"/>
      <c r="O79" s="79"/>
      <c r="P79" s="80"/>
      <c r="Q79" s="79"/>
      <c r="R79" s="79"/>
      <c r="S79" s="79"/>
      <c r="T79" s="79"/>
      <c r="U79" s="79"/>
      <c r="V79" s="79"/>
      <c r="W79" s="79"/>
      <c r="X79" s="79"/>
      <c r="Y79" s="80"/>
      <c r="Z79" s="80"/>
      <c r="AA79" s="79"/>
      <c r="AB79" s="79"/>
      <c r="AC79" s="79"/>
      <c r="AD79" s="79"/>
      <c r="AE79" s="79"/>
      <c r="AF79" s="79"/>
      <c r="AG79" s="79"/>
      <c r="AH79" s="79"/>
      <c r="AI79" s="80"/>
      <c r="AJ79" s="79"/>
      <c r="AK79" s="79"/>
      <c r="AL79" s="79"/>
      <c r="AM79" s="79"/>
      <c r="AN79" s="79"/>
      <c r="AO79" s="79"/>
      <c r="AP79" s="79"/>
      <c r="AQ79" s="79"/>
      <c r="AR79" s="190"/>
      <c r="AS79" s="190"/>
      <c r="AT79" s="190"/>
    </row>
    <row r="80" spans="2:60" ht="20.100000000000001" customHeight="1">
      <c r="B80" s="79"/>
      <c r="C80" s="79"/>
      <c r="D80" s="79"/>
      <c r="E80" s="79"/>
      <c r="F80" s="79"/>
      <c r="G80" s="80"/>
      <c r="H80" s="79"/>
      <c r="I80" s="79"/>
      <c r="J80" s="79"/>
      <c r="K80" s="79"/>
      <c r="L80" s="79"/>
      <c r="M80" s="79"/>
      <c r="N80" s="79"/>
      <c r="O80" s="79"/>
      <c r="P80" s="80"/>
      <c r="Q80" s="79"/>
      <c r="R80" s="79"/>
      <c r="S80" s="79"/>
      <c r="T80" s="79"/>
      <c r="U80" s="79"/>
      <c r="V80" s="79"/>
      <c r="W80" s="79"/>
      <c r="X80" s="79"/>
      <c r="Y80" s="80"/>
      <c r="Z80" s="80"/>
      <c r="AA80" s="79"/>
      <c r="AB80" s="79"/>
      <c r="AC80" s="79"/>
      <c r="AD80" s="79"/>
      <c r="AE80" s="79"/>
      <c r="AF80" s="79"/>
      <c r="AG80" s="79"/>
      <c r="AH80" s="79"/>
      <c r="AI80" s="80"/>
      <c r="AJ80" s="79"/>
      <c r="AK80" s="79"/>
      <c r="AL80" s="79"/>
      <c r="AM80" s="79"/>
      <c r="AN80" s="79"/>
      <c r="AO80" s="79"/>
      <c r="AP80" s="79"/>
      <c r="AQ80" s="79"/>
      <c r="AR80" s="190"/>
      <c r="AS80" s="190"/>
      <c r="AT80" s="190"/>
    </row>
    <row r="81" spans="2:60" ht="20.100000000000001" customHeight="1">
      <c r="B81" s="79"/>
      <c r="C81" s="79"/>
      <c r="D81" s="79"/>
      <c r="E81" s="79"/>
      <c r="F81" s="79"/>
      <c r="G81" s="80"/>
      <c r="H81" s="79"/>
      <c r="I81" s="79"/>
      <c r="J81" s="79"/>
      <c r="K81" s="79"/>
      <c r="L81" s="79"/>
      <c r="M81" s="79"/>
      <c r="N81" s="79"/>
      <c r="O81" s="79"/>
      <c r="P81" s="80"/>
      <c r="Q81" s="79"/>
      <c r="R81" s="79"/>
      <c r="S81" s="79"/>
      <c r="T81" s="79"/>
      <c r="U81" s="79"/>
      <c r="V81" s="79"/>
      <c r="W81" s="79"/>
      <c r="X81" s="79"/>
      <c r="Y81" s="80"/>
      <c r="Z81" s="80"/>
      <c r="AA81" s="79"/>
      <c r="AB81" s="79"/>
      <c r="AC81" s="79"/>
      <c r="AD81" s="79"/>
      <c r="AE81" s="79"/>
      <c r="AF81" s="79"/>
      <c r="AG81" s="79"/>
      <c r="AH81" s="79"/>
      <c r="AI81" s="80"/>
      <c r="AJ81" s="79"/>
      <c r="AK81" s="79"/>
      <c r="AL81" s="79"/>
      <c r="AM81" s="79"/>
      <c r="AN81" s="79"/>
      <c r="AO81" s="79"/>
      <c r="AP81" s="79"/>
      <c r="AQ81" s="79"/>
      <c r="AR81" s="190"/>
      <c r="AS81" s="190"/>
      <c r="AT81" s="190"/>
    </row>
    <row r="82" spans="2:60" ht="20.100000000000001" customHeight="1">
      <c r="B82" s="79"/>
      <c r="C82" s="79"/>
      <c r="D82" s="79"/>
      <c r="E82" s="79"/>
      <c r="F82" s="79"/>
      <c r="G82" s="80"/>
      <c r="H82" s="79"/>
      <c r="I82" s="79"/>
      <c r="J82" s="79"/>
      <c r="K82" s="79"/>
      <c r="L82" s="79"/>
      <c r="M82" s="79"/>
      <c r="N82" s="79"/>
      <c r="O82" s="79"/>
      <c r="P82" s="80"/>
      <c r="Q82" s="79"/>
      <c r="R82" s="79"/>
      <c r="S82" s="79"/>
      <c r="T82" s="79"/>
      <c r="U82" s="79"/>
      <c r="V82" s="79"/>
      <c r="W82" s="79"/>
      <c r="X82" s="79"/>
      <c r="Y82" s="80"/>
      <c r="Z82" s="80"/>
      <c r="AA82" s="79"/>
      <c r="AB82" s="79"/>
      <c r="AC82" s="79"/>
      <c r="AD82" s="79"/>
      <c r="AE82" s="79"/>
      <c r="AF82" s="79"/>
      <c r="AG82" s="79"/>
      <c r="AH82" s="79"/>
      <c r="AI82" s="80"/>
      <c r="AJ82" s="79"/>
      <c r="AK82" s="79"/>
      <c r="AL82" s="79"/>
      <c r="AM82" s="79"/>
      <c r="AN82" s="79"/>
      <c r="AO82" s="79"/>
      <c r="AP82" s="79"/>
      <c r="AQ82" s="79"/>
      <c r="AR82" s="190"/>
      <c r="AS82" s="190"/>
      <c r="AT82" s="190"/>
    </row>
    <row r="83" spans="2:60" ht="20.100000000000001" customHeight="1">
      <c r="B83" s="79"/>
      <c r="C83" s="79"/>
      <c r="D83" s="79"/>
      <c r="E83" s="79"/>
      <c r="F83" s="79"/>
      <c r="G83" s="80"/>
      <c r="H83" s="79"/>
      <c r="I83" s="79"/>
      <c r="J83" s="79"/>
      <c r="K83" s="79"/>
      <c r="L83" s="79"/>
      <c r="M83" s="79"/>
      <c r="N83" s="79"/>
      <c r="O83" s="79"/>
      <c r="P83" s="80"/>
      <c r="Q83" s="79"/>
      <c r="R83" s="79"/>
      <c r="S83" s="79"/>
      <c r="T83" s="79"/>
      <c r="U83" s="79"/>
      <c r="V83" s="79"/>
      <c r="W83" s="79"/>
      <c r="X83" s="79"/>
      <c r="Y83" s="80"/>
      <c r="Z83" s="80"/>
      <c r="AA83" s="79"/>
      <c r="AB83" s="79"/>
      <c r="AC83" s="79"/>
      <c r="AD83" s="79"/>
      <c r="AE83" s="79"/>
      <c r="AF83" s="79"/>
      <c r="AG83" s="79"/>
      <c r="AH83" s="79"/>
      <c r="AI83" s="80"/>
      <c r="AJ83" s="79"/>
      <c r="AK83" s="79"/>
      <c r="AL83" s="79"/>
      <c r="AM83" s="79"/>
      <c r="AN83" s="79"/>
      <c r="AO83" s="79"/>
      <c r="AP83" s="79"/>
      <c r="AQ83" s="79"/>
      <c r="AR83" s="190"/>
      <c r="AS83" s="190"/>
      <c r="AT83" s="190"/>
    </row>
    <row r="84" spans="2:60" ht="20.100000000000001" customHeight="1">
      <c r="B84" s="79"/>
      <c r="C84" s="78"/>
      <c r="D84" s="79"/>
      <c r="E84" s="79"/>
      <c r="F84" s="79"/>
      <c r="G84" s="80"/>
      <c r="H84" s="79"/>
      <c r="I84" s="79"/>
      <c r="J84" s="79"/>
      <c r="K84" s="79"/>
      <c r="L84" s="79"/>
      <c r="M84" s="79"/>
      <c r="N84" s="79"/>
      <c r="O84" s="79"/>
      <c r="P84" s="80"/>
      <c r="Q84" s="79"/>
      <c r="R84" s="79"/>
      <c r="S84" s="79"/>
      <c r="T84" s="79"/>
      <c r="U84" s="79"/>
      <c r="V84" s="79"/>
      <c r="W84" s="79"/>
      <c r="X84" s="79"/>
      <c r="Y84" s="80"/>
      <c r="Z84" s="80"/>
      <c r="AA84" s="79"/>
      <c r="AB84" s="79"/>
      <c r="AC84" s="79"/>
      <c r="AD84" s="79"/>
      <c r="AE84" s="79"/>
      <c r="AF84" s="79"/>
      <c r="AG84" s="79"/>
      <c r="AH84" s="79"/>
      <c r="AI84" s="80"/>
      <c r="AJ84" s="79"/>
      <c r="AK84" s="79"/>
      <c r="AL84" s="79"/>
      <c r="AM84" s="79"/>
      <c r="AN84" s="79"/>
      <c r="AO84" s="79"/>
      <c r="AP84" s="79"/>
      <c r="AQ84" s="79"/>
      <c r="AR84" s="190"/>
      <c r="AS84" s="190"/>
      <c r="AT84" s="190"/>
    </row>
    <row r="85" spans="2:60" ht="20.100000000000001" customHeight="1">
      <c r="B85" s="79"/>
      <c r="C85" s="79"/>
      <c r="D85" s="79"/>
      <c r="E85" s="79"/>
      <c r="F85" s="79"/>
      <c r="G85" s="80"/>
      <c r="H85" s="79"/>
      <c r="I85" s="79"/>
      <c r="J85" s="79"/>
      <c r="K85" s="79"/>
      <c r="L85" s="79"/>
      <c r="M85" s="79"/>
      <c r="N85" s="79"/>
      <c r="O85" s="79"/>
      <c r="P85" s="80"/>
      <c r="Q85" s="79"/>
      <c r="R85" s="79"/>
      <c r="S85" s="79"/>
      <c r="T85" s="79"/>
      <c r="U85" s="79"/>
      <c r="V85" s="79"/>
      <c r="W85" s="79"/>
      <c r="X85" s="79"/>
      <c r="Y85" s="80"/>
      <c r="Z85" s="80"/>
      <c r="AA85" s="79"/>
      <c r="AB85" s="79"/>
      <c r="AC85" s="79"/>
      <c r="AD85" s="79"/>
      <c r="AE85" s="79"/>
      <c r="AF85" s="79"/>
      <c r="AG85" s="79"/>
      <c r="AH85" s="79"/>
      <c r="AI85" s="80"/>
      <c r="AJ85" s="79"/>
      <c r="AK85" s="79"/>
      <c r="AL85" s="79"/>
      <c r="AM85" s="79"/>
      <c r="AN85" s="79"/>
      <c r="AO85" s="79"/>
      <c r="AP85" s="79"/>
      <c r="AQ85" s="79"/>
      <c r="AR85" s="190"/>
      <c r="AS85" s="190"/>
      <c r="AT85" s="190"/>
    </row>
    <row r="86" spans="2:60" ht="20.100000000000001" customHeight="1">
      <c r="B86" s="79"/>
      <c r="C86" s="79"/>
      <c r="D86" s="79"/>
      <c r="E86" s="79"/>
      <c r="F86" s="79"/>
      <c r="G86" s="80"/>
      <c r="H86" s="79"/>
      <c r="I86" s="79"/>
      <c r="J86" s="79"/>
      <c r="K86" s="79"/>
      <c r="L86" s="79"/>
      <c r="M86" s="79"/>
      <c r="N86" s="79"/>
      <c r="O86" s="79"/>
      <c r="P86" s="80"/>
      <c r="Q86" s="79"/>
      <c r="R86" s="79"/>
      <c r="S86" s="79"/>
      <c r="T86" s="79"/>
      <c r="U86" s="79"/>
      <c r="V86" s="79"/>
      <c r="W86" s="79"/>
      <c r="X86" s="79"/>
      <c r="Y86" s="80"/>
      <c r="Z86" s="80"/>
      <c r="AA86" s="79"/>
      <c r="AB86" s="79"/>
      <c r="AC86" s="79"/>
      <c r="AD86" s="79"/>
      <c r="AE86" s="79"/>
      <c r="AF86" s="79"/>
      <c r="AG86" s="79"/>
      <c r="AH86" s="79"/>
      <c r="AI86" s="80"/>
      <c r="AJ86" s="79"/>
      <c r="AK86" s="79"/>
      <c r="AL86" s="79"/>
      <c r="AM86" s="79"/>
      <c r="AN86" s="79"/>
      <c r="AO86" s="79"/>
      <c r="AP86" s="79"/>
      <c r="AQ86" s="79"/>
      <c r="AR86" s="190"/>
      <c r="AS86" s="190"/>
      <c r="AT86" s="190"/>
    </row>
    <row r="87" spans="2:60" ht="20.100000000000001" customHeight="1">
      <c r="B87" s="79"/>
      <c r="C87" s="79"/>
      <c r="D87" s="79"/>
      <c r="E87" s="79"/>
      <c r="F87" s="79"/>
      <c r="G87" s="80"/>
      <c r="H87" s="79"/>
      <c r="I87" s="79"/>
      <c r="J87" s="79"/>
      <c r="K87" s="79"/>
      <c r="L87" s="79"/>
      <c r="M87" s="79"/>
      <c r="N87" s="79"/>
      <c r="O87" s="79"/>
      <c r="P87" s="80"/>
      <c r="Q87" s="79"/>
      <c r="R87" s="79"/>
      <c r="S87" s="79"/>
      <c r="T87" s="79"/>
      <c r="U87" s="79"/>
      <c r="V87" s="79"/>
      <c r="W87" s="79"/>
      <c r="X87" s="79"/>
      <c r="Y87" s="80"/>
      <c r="Z87" s="80"/>
      <c r="AA87" s="79"/>
      <c r="AB87" s="79"/>
      <c r="AC87" s="79"/>
      <c r="AD87" s="79"/>
      <c r="AE87" s="79"/>
      <c r="AF87" s="79"/>
      <c r="AG87" s="79"/>
      <c r="AH87" s="79"/>
      <c r="AI87" s="80"/>
      <c r="AJ87" s="79"/>
      <c r="AK87" s="79"/>
      <c r="AL87" s="79"/>
      <c r="AM87" s="79"/>
      <c r="AN87" s="79"/>
      <c r="AO87" s="79"/>
      <c r="AP87" s="79"/>
      <c r="AQ87" s="79"/>
      <c r="AR87" s="190"/>
      <c r="AS87" s="190"/>
      <c r="AT87" s="190"/>
    </row>
    <row r="88" spans="2:60" ht="20.100000000000001" customHeight="1">
      <c r="B88" s="79"/>
      <c r="C88" s="79"/>
      <c r="D88" s="79"/>
      <c r="E88" s="79"/>
      <c r="F88" s="79"/>
      <c r="G88" s="80"/>
      <c r="H88" s="79"/>
      <c r="I88" s="79"/>
      <c r="J88" s="79"/>
      <c r="K88" s="79"/>
      <c r="L88" s="79"/>
      <c r="M88" s="79"/>
      <c r="N88" s="79"/>
      <c r="O88" s="79"/>
      <c r="P88" s="80"/>
      <c r="Q88" s="79"/>
      <c r="R88" s="79"/>
      <c r="S88" s="79"/>
      <c r="T88" s="79"/>
      <c r="U88" s="79"/>
      <c r="V88" s="79"/>
      <c r="W88" s="79"/>
      <c r="X88" s="79"/>
      <c r="Y88" s="80"/>
      <c r="Z88" s="80"/>
      <c r="AA88" s="79"/>
      <c r="AB88" s="79"/>
      <c r="AC88" s="79"/>
      <c r="AD88" s="79"/>
      <c r="AE88" s="79"/>
      <c r="AF88" s="79"/>
      <c r="AG88" s="79"/>
      <c r="AH88" s="79"/>
      <c r="AI88" s="80"/>
      <c r="AJ88" s="79"/>
      <c r="AK88" s="79"/>
      <c r="AL88" s="79"/>
      <c r="AM88" s="79"/>
      <c r="AN88" s="79"/>
      <c r="AO88" s="79"/>
      <c r="AP88" s="79"/>
      <c r="AQ88" s="79"/>
      <c r="AR88" s="190"/>
      <c r="AS88" s="190"/>
      <c r="AT88" s="190"/>
    </row>
    <row r="89" spans="2:60" s="190" customFormat="1" ht="5.0999999999999996" customHeight="1">
      <c r="G89" s="43"/>
      <c r="H89" s="204"/>
      <c r="I89" s="189"/>
      <c r="J89" s="204"/>
      <c r="K89" s="189"/>
      <c r="L89" s="204"/>
      <c r="M89" s="204"/>
      <c r="N89" s="204"/>
      <c r="O89" s="189"/>
      <c r="P89" s="43"/>
      <c r="Q89" s="204"/>
      <c r="R89" s="189"/>
      <c r="S89" s="204"/>
      <c r="T89" s="189"/>
      <c r="U89" s="204"/>
      <c r="V89" s="204"/>
      <c r="W89" s="204"/>
      <c r="X89" s="189"/>
      <c r="Y89" s="43"/>
      <c r="Z89" s="43"/>
      <c r="AA89" s="204"/>
      <c r="AB89" s="189"/>
      <c r="AC89" s="204"/>
      <c r="AD89" s="189"/>
      <c r="AE89" s="204"/>
      <c r="AF89" s="204"/>
      <c r="AG89" s="204"/>
      <c r="AH89" s="189"/>
      <c r="AI89" s="43"/>
      <c r="AJ89" s="204"/>
      <c r="AK89" s="189"/>
      <c r="AL89" s="204"/>
      <c r="AM89" s="189"/>
      <c r="AN89" s="204"/>
      <c r="AO89" s="204"/>
      <c r="AP89" s="204"/>
      <c r="AQ89" s="189"/>
      <c r="AR89" s="204"/>
      <c r="AS89" s="204"/>
      <c r="AT89" s="204"/>
      <c r="AU89" s="189"/>
      <c r="AV89" s="43"/>
      <c r="AW89" s="204"/>
      <c r="AX89" s="189"/>
      <c r="AY89" s="204"/>
      <c r="AZ89" s="189"/>
      <c r="BA89" s="204"/>
      <c r="BD89" s="189"/>
      <c r="BH89" s="189"/>
    </row>
    <row r="90" spans="2:60" ht="20.100000000000001" customHeight="1">
      <c r="B90" s="205"/>
      <c r="C90" s="79"/>
      <c r="D90" s="79"/>
      <c r="E90" s="79"/>
      <c r="F90" s="79"/>
      <c r="G90" s="80"/>
      <c r="H90" s="79"/>
      <c r="I90" s="79"/>
      <c r="J90" s="79"/>
      <c r="K90" s="79"/>
      <c r="L90" s="79"/>
      <c r="M90" s="79"/>
      <c r="N90" s="79"/>
      <c r="O90" s="79"/>
      <c r="P90" s="80"/>
      <c r="Q90" s="79"/>
      <c r="R90" s="79"/>
      <c r="S90" s="79"/>
      <c r="T90" s="79"/>
      <c r="U90" s="79"/>
      <c r="V90" s="79"/>
      <c r="W90" s="79"/>
      <c r="X90" s="79"/>
      <c r="Y90" s="80"/>
      <c r="Z90" s="80"/>
      <c r="AA90" s="79"/>
      <c r="AB90" s="79"/>
      <c r="AC90" s="79"/>
      <c r="AD90" s="79"/>
      <c r="AE90" s="79"/>
      <c r="AF90" s="79"/>
      <c r="AG90" s="79"/>
      <c r="AH90" s="79"/>
      <c r="AI90" s="80"/>
      <c r="AJ90" s="79"/>
      <c r="AK90" s="79"/>
      <c r="AL90" s="79"/>
      <c r="AM90" s="79"/>
      <c r="AN90" s="79"/>
      <c r="AO90" s="79"/>
      <c r="AP90" s="79"/>
      <c r="AQ90" s="79"/>
      <c r="AR90" s="190"/>
      <c r="AS90" s="190"/>
      <c r="AT90" s="190"/>
    </row>
    <row r="91" spans="2:60" ht="20.100000000000001" customHeight="1">
      <c r="B91" s="79"/>
      <c r="C91" s="78"/>
      <c r="E91" s="79"/>
      <c r="F91" s="79"/>
      <c r="G91" s="80"/>
      <c r="H91" s="79"/>
      <c r="I91" s="79"/>
      <c r="J91" s="79"/>
      <c r="K91" s="79"/>
      <c r="L91" s="79"/>
      <c r="M91" s="79"/>
      <c r="N91" s="79"/>
      <c r="O91" s="79"/>
      <c r="P91" s="80"/>
      <c r="Q91" s="79"/>
      <c r="R91" s="79"/>
      <c r="S91" s="79"/>
      <c r="T91" s="79"/>
      <c r="U91" s="79"/>
      <c r="V91" s="79"/>
      <c r="W91" s="79"/>
      <c r="X91" s="79"/>
      <c r="Y91" s="80"/>
      <c r="Z91" s="80"/>
      <c r="AA91" s="79"/>
      <c r="AB91" s="79"/>
      <c r="AC91" s="79"/>
      <c r="AD91" s="79"/>
      <c r="AE91" s="79"/>
      <c r="AF91" s="79"/>
      <c r="AG91" s="79"/>
      <c r="AH91" s="79"/>
      <c r="AI91" s="80"/>
      <c r="AJ91" s="79"/>
      <c r="AK91" s="79"/>
      <c r="AL91" s="79"/>
      <c r="AM91" s="79"/>
      <c r="AN91" s="79"/>
      <c r="AO91" s="79"/>
      <c r="AP91" s="79"/>
      <c r="AQ91" s="79"/>
      <c r="AR91" s="190"/>
      <c r="AS91" s="190"/>
      <c r="AT91" s="190"/>
    </row>
    <row r="92" spans="2:60" ht="20.100000000000001" customHeight="1">
      <c r="B92" s="79"/>
      <c r="C92" s="79"/>
      <c r="D92" s="79"/>
      <c r="E92" s="79"/>
      <c r="G92" s="80"/>
      <c r="H92" s="79"/>
      <c r="I92" s="79"/>
      <c r="J92" s="79"/>
      <c r="K92" s="79"/>
      <c r="L92" s="79"/>
      <c r="M92" s="79"/>
      <c r="N92" s="79"/>
      <c r="O92" s="79"/>
      <c r="P92" s="80"/>
      <c r="Q92" s="79"/>
      <c r="R92" s="79"/>
      <c r="S92" s="79"/>
      <c r="T92" s="79"/>
      <c r="U92" s="79"/>
      <c r="V92" s="79"/>
      <c r="W92" s="79"/>
      <c r="X92" s="79"/>
      <c r="Y92" s="80"/>
      <c r="Z92" s="80"/>
      <c r="AA92" s="79"/>
      <c r="AB92" s="79"/>
      <c r="AC92" s="79"/>
      <c r="AD92" s="79"/>
      <c r="AE92" s="79"/>
      <c r="AF92" s="79"/>
      <c r="AG92" s="79"/>
      <c r="AH92" s="79"/>
      <c r="AI92" s="80"/>
      <c r="AJ92" s="79"/>
      <c r="AK92" s="79"/>
      <c r="AL92" s="79"/>
      <c r="AM92" s="79"/>
      <c r="AN92" s="79"/>
      <c r="AO92" s="79"/>
      <c r="AP92" s="79"/>
      <c r="AQ92" s="79"/>
      <c r="AR92" s="190"/>
      <c r="AS92" s="190"/>
      <c r="AT92" s="190"/>
    </row>
    <row r="93" spans="2:60" ht="20.100000000000001" customHeight="1">
      <c r="B93" s="79"/>
      <c r="C93" s="79"/>
      <c r="D93" s="79"/>
      <c r="F93" s="79"/>
      <c r="G93" s="80"/>
      <c r="H93" s="79"/>
      <c r="I93" s="79"/>
      <c r="J93" s="79"/>
      <c r="K93" s="79"/>
      <c r="L93" s="79"/>
      <c r="M93" s="79"/>
      <c r="N93" s="79"/>
      <c r="O93" s="79"/>
      <c r="P93" s="80"/>
      <c r="Q93" s="79"/>
      <c r="R93" s="79"/>
      <c r="S93" s="79"/>
      <c r="T93" s="79"/>
      <c r="U93" s="79"/>
      <c r="V93" s="79"/>
      <c r="W93" s="79"/>
      <c r="X93" s="79"/>
      <c r="Y93" s="80"/>
      <c r="Z93" s="80"/>
      <c r="AA93" s="79"/>
      <c r="AB93" s="79"/>
      <c r="AC93" s="79"/>
      <c r="AD93" s="79"/>
      <c r="AE93" s="79"/>
      <c r="AF93" s="79"/>
      <c r="AG93" s="79"/>
      <c r="AH93" s="79"/>
      <c r="AI93" s="80"/>
      <c r="AJ93" s="79"/>
      <c r="AK93" s="79"/>
      <c r="AL93" s="79"/>
      <c r="AM93" s="79"/>
      <c r="AN93" s="79"/>
      <c r="AO93" s="79"/>
      <c r="AP93" s="79"/>
      <c r="AQ93" s="79"/>
      <c r="AR93" s="190"/>
      <c r="AS93" s="190"/>
      <c r="AT93" s="190"/>
    </row>
    <row r="94" spans="2:60" ht="20.100000000000001" customHeight="1">
      <c r="B94" s="79"/>
      <c r="C94" s="79"/>
      <c r="D94" s="79"/>
      <c r="F94" s="79"/>
      <c r="G94" s="80"/>
      <c r="H94" s="79"/>
      <c r="I94" s="79"/>
      <c r="J94" s="79"/>
      <c r="K94" s="79"/>
      <c r="L94" s="79"/>
      <c r="M94" s="79"/>
      <c r="N94" s="79"/>
      <c r="O94" s="79"/>
      <c r="P94" s="80"/>
      <c r="Q94" s="79"/>
      <c r="R94" s="79"/>
      <c r="S94" s="79"/>
      <c r="T94" s="79"/>
      <c r="U94" s="79"/>
      <c r="V94" s="79"/>
      <c r="W94" s="79"/>
      <c r="X94" s="79"/>
      <c r="Y94" s="80"/>
      <c r="Z94" s="80"/>
      <c r="AA94" s="79"/>
      <c r="AB94" s="79"/>
      <c r="AC94" s="79"/>
      <c r="AD94" s="79"/>
      <c r="AE94" s="79"/>
      <c r="AF94" s="79"/>
      <c r="AG94" s="79"/>
      <c r="AH94" s="79"/>
      <c r="AI94" s="80"/>
      <c r="AJ94" s="79"/>
      <c r="AK94" s="79"/>
      <c r="AL94" s="79"/>
      <c r="AM94" s="79"/>
      <c r="AN94" s="79"/>
      <c r="AO94" s="79"/>
      <c r="AP94" s="79"/>
      <c r="AQ94" s="79"/>
      <c r="AR94" s="190"/>
      <c r="AS94" s="190"/>
      <c r="AT94" s="190"/>
    </row>
    <row r="95" spans="2:60" ht="20.100000000000001" customHeight="1">
      <c r="B95" s="79"/>
      <c r="C95" s="79"/>
      <c r="D95" s="79"/>
      <c r="F95" s="79"/>
      <c r="G95" s="80"/>
      <c r="H95" s="79"/>
      <c r="I95" s="79"/>
      <c r="J95" s="79"/>
      <c r="K95" s="79"/>
      <c r="L95" s="79"/>
      <c r="M95" s="79"/>
      <c r="N95" s="79"/>
      <c r="O95" s="79"/>
      <c r="P95" s="80"/>
      <c r="Q95" s="79"/>
      <c r="R95" s="79"/>
      <c r="S95" s="79"/>
      <c r="T95" s="79"/>
      <c r="U95" s="79"/>
      <c r="V95" s="79"/>
      <c r="W95" s="79"/>
      <c r="X95" s="79"/>
      <c r="Y95" s="80"/>
      <c r="Z95" s="80"/>
      <c r="AA95" s="79"/>
      <c r="AB95" s="79"/>
      <c r="AC95" s="79"/>
      <c r="AD95" s="79"/>
      <c r="AE95" s="79"/>
      <c r="AF95" s="79"/>
      <c r="AG95" s="79"/>
      <c r="AH95" s="79"/>
      <c r="AI95" s="80"/>
      <c r="AJ95" s="79"/>
      <c r="AK95" s="79"/>
      <c r="AL95" s="79"/>
      <c r="AM95" s="79"/>
      <c r="AN95" s="79"/>
      <c r="AO95" s="79"/>
      <c r="AP95" s="79"/>
      <c r="AQ95" s="79"/>
      <c r="AR95" s="190"/>
      <c r="AS95" s="190"/>
      <c r="AT95" s="190"/>
    </row>
    <row r="96" spans="2:60" ht="20.100000000000001" customHeight="1">
      <c r="B96" s="79"/>
      <c r="C96" s="79"/>
      <c r="D96" s="79"/>
      <c r="E96" s="79"/>
      <c r="G96" s="80"/>
      <c r="H96" s="79"/>
      <c r="I96" s="79"/>
      <c r="J96" s="79"/>
      <c r="K96" s="79"/>
      <c r="L96" s="79"/>
      <c r="M96" s="79"/>
      <c r="N96" s="79"/>
      <c r="O96" s="79"/>
      <c r="P96" s="80"/>
      <c r="Q96" s="79"/>
      <c r="R96" s="79"/>
      <c r="S96" s="79"/>
      <c r="T96" s="79"/>
      <c r="U96" s="79"/>
      <c r="V96" s="79"/>
      <c r="W96" s="79"/>
      <c r="X96" s="79"/>
      <c r="Y96" s="80"/>
      <c r="Z96" s="80"/>
      <c r="AA96" s="79"/>
      <c r="AB96" s="79"/>
      <c r="AC96" s="79"/>
      <c r="AD96" s="79"/>
      <c r="AE96" s="79"/>
      <c r="AF96" s="79"/>
      <c r="AG96" s="79"/>
      <c r="AH96" s="79"/>
      <c r="AI96" s="80"/>
      <c r="AJ96" s="79"/>
      <c r="AK96" s="79"/>
      <c r="AL96" s="79"/>
      <c r="AM96" s="79"/>
      <c r="AN96" s="79"/>
      <c r="AO96" s="79"/>
      <c r="AP96" s="79"/>
      <c r="AQ96" s="79"/>
      <c r="AR96" s="190"/>
      <c r="AS96" s="190"/>
      <c r="AT96" s="190"/>
    </row>
    <row r="97" spans="2:46" ht="20.100000000000001" customHeight="1">
      <c r="B97" s="79"/>
      <c r="C97" s="79"/>
      <c r="D97" s="79"/>
      <c r="F97" s="79"/>
      <c r="G97" s="80"/>
      <c r="H97" s="79"/>
      <c r="I97" s="79"/>
      <c r="J97" s="79"/>
      <c r="K97" s="79"/>
      <c r="L97" s="79"/>
      <c r="M97" s="79"/>
      <c r="N97" s="79"/>
      <c r="O97" s="79"/>
      <c r="P97" s="80"/>
      <c r="Q97" s="79"/>
      <c r="R97" s="79"/>
      <c r="S97" s="79"/>
      <c r="T97" s="79"/>
      <c r="U97" s="79"/>
      <c r="V97" s="79"/>
      <c r="W97" s="79"/>
      <c r="X97" s="79"/>
      <c r="Y97" s="80"/>
      <c r="Z97" s="80"/>
      <c r="AA97" s="79"/>
      <c r="AB97" s="79"/>
      <c r="AC97" s="79"/>
      <c r="AD97" s="79"/>
      <c r="AE97" s="79"/>
      <c r="AF97" s="79"/>
      <c r="AG97" s="79"/>
      <c r="AH97" s="79"/>
      <c r="AI97" s="80"/>
      <c r="AJ97" s="79"/>
      <c r="AK97" s="79"/>
      <c r="AL97" s="79"/>
      <c r="AM97" s="79"/>
      <c r="AN97" s="79"/>
      <c r="AO97" s="79"/>
      <c r="AP97" s="79"/>
      <c r="AQ97" s="79"/>
      <c r="AR97" s="190"/>
      <c r="AS97" s="190"/>
      <c r="AT97" s="190"/>
    </row>
    <row r="98" spans="2:46" ht="20.100000000000001" customHeight="1">
      <c r="B98" s="79"/>
      <c r="C98" s="79"/>
      <c r="D98" s="79"/>
      <c r="F98" s="79"/>
      <c r="G98" s="80"/>
      <c r="H98" s="79"/>
      <c r="I98" s="79"/>
      <c r="J98" s="79"/>
      <c r="K98" s="79"/>
      <c r="L98" s="79"/>
      <c r="M98" s="79"/>
      <c r="N98" s="79"/>
      <c r="O98" s="79"/>
      <c r="P98" s="80"/>
      <c r="Q98" s="79"/>
      <c r="R98" s="79"/>
      <c r="S98" s="79"/>
      <c r="T98" s="79"/>
      <c r="U98" s="79"/>
      <c r="V98" s="79"/>
      <c r="W98" s="79"/>
      <c r="X98" s="79"/>
      <c r="Y98" s="80"/>
      <c r="Z98" s="80"/>
      <c r="AA98" s="79"/>
      <c r="AB98" s="79"/>
      <c r="AC98" s="79"/>
      <c r="AD98" s="79"/>
      <c r="AE98" s="79"/>
      <c r="AF98" s="79"/>
      <c r="AG98" s="79"/>
      <c r="AH98" s="79"/>
      <c r="AI98" s="80"/>
      <c r="AJ98" s="79"/>
      <c r="AK98" s="79"/>
      <c r="AL98" s="79"/>
      <c r="AM98" s="79"/>
      <c r="AN98" s="79"/>
      <c r="AO98" s="79"/>
      <c r="AP98" s="79"/>
      <c r="AQ98" s="79"/>
      <c r="AR98" s="190"/>
      <c r="AS98" s="190"/>
      <c r="AT98" s="190"/>
    </row>
    <row r="99" spans="2:46" ht="20.100000000000001" customHeight="1">
      <c r="B99" s="79"/>
      <c r="C99" s="79"/>
      <c r="D99" s="79"/>
      <c r="F99" s="79"/>
      <c r="G99" s="80"/>
      <c r="H99" s="79"/>
      <c r="I99" s="79"/>
      <c r="J99" s="79"/>
      <c r="K99" s="79"/>
      <c r="L99" s="79"/>
      <c r="M99" s="79"/>
      <c r="N99" s="79"/>
      <c r="O99" s="79"/>
      <c r="P99" s="80"/>
      <c r="Q99" s="79"/>
      <c r="R99" s="79"/>
      <c r="S99" s="79"/>
      <c r="T99" s="79"/>
      <c r="U99" s="79"/>
      <c r="V99" s="79"/>
      <c r="W99" s="79"/>
      <c r="X99" s="79"/>
      <c r="Y99" s="80"/>
      <c r="Z99" s="80"/>
      <c r="AA99" s="79"/>
      <c r="AB99" s="79"/>
      <c r="AC99" s="79"/>
      <c r="AD99" s="79"/>
      <c r="AE99" s="79"/>
      <c r="AF99" s="79"/>
      <c r="AG99" s="79"/>
      <c r="AH99" s="79"/>
      <c r="AI99" s="80"/>
      <c r="AJ99" s="79"/>
      <c r="AK99" s="79"/>
      <c r="AL99" s="79"/>
      <c r="AM99" s="79"/>
      <c r="AN99" s="79"/>
      <c r="AO99" s="79"/>
      <c r="AP99" s="79"/>
      <c r="AQ99" s="79"/>
      <c r="AR99" s="190"/>
      <c r="AS99" s="190"/>
      <c r="AT99" s="190"/>
    </row>
    <row r="100" spans="2:46" ht="20.100000000000001" customHeight="1">
      <c r="B100" s="79"/>
      <c r="C100" s="79"/>
      <c r="D100" s="79"/>
      <c r="E100" s="79"/>
      <c r="G100" s="80"/>
      <c r="H100" s="79"/>
      <c r="I100" s="79"/>
      <c r="J100" s="79"/>
      <c r="K100" s="79"/>
      <c r="L100" s="79"/>
      <c r="M100" s="79"/>
      <c r="N100" s="79"/>
      <c r="O100" s="79"/>
      <c r="P100" s="80"/>
      <c r="Q100" s="79"/>
      <c r="R100" s="79"/>
      <c r="S100" s="79"/>
      <c r="T100" s="79"/>
      <c r="U100" s="79"/>
      <c r="V100" s="79"/>
      <c r="W100" s="79"/>
      <c r="X100" s="79"/>
      <c r="Y100" s="80"/>
      <c r="Z100" s="80"/>
      <c r="AA100" s="79"/>
      <c r="AB100" s="79"/>
      <c r="AC100" s="79"/>
      <c r="AD100" s="79"/>
      <c r="AE100" s="79"/>
      <c r="AF100" s="79"/>
      <c r="AG100" s="79"/>
      <c r="AH100" s="79"/>
      <c r="AI100" s="80"/>
      <c r="AJ100" s="79"/>
      <c r="AK100" s="79"/>
      <c r="AL100" s="79"/>
      <c r="AM100" s="79"/>
      <c r="AN100" s="79"/>
      <c r="AO100" s="79"/>
      <c r="AP100" s="79"/>
      <c r="AQ100" s="79"/>
      <c r="AR100" s="190"/>
      <c r="AS100" s="190"/>
      <c r="AT100" s="190"/>
    </row>
    <row r="101" spans="2:46" ht="20.100000000000001" customHeight="1">
      <c r="B101" s="79"/>
      <c r="C101" s="79"/>
      <c r="D101" s="79"/>
      <c r="F101" s="79"/>
      <c r="G101" s="80"/>
      <c r="H101" s="79"/>
      <c r="I101" s="79"/>
      <c r="J101" s="79"/>
      <c r="K101" s="79"/>
      <c r="L101" s="79"/>
      <c r="M101" s="79"/>
      <c r="N101" s="79"/>
      <c r="O101" s="79"/>
      <c r="P101" s="80"/>
      <c r="Q101" s="79"/>
      <c r="R101" s="79"/>
      <c r="S101" s="79"/>
      <c r="T101" s="79"/>
      <c r="U101" s="79"/>
      <c r="V101" s="79"/>
      <c r="W101" s="79"/>
      <c r="X101" s="79"/>
      <c r="Y101" s="80"/>
      <c r="Z101" s="80"/>
      <c r="AA101" s="79"/>
      <c r="AB101" s="79"/>
      <c r="AC101" s="79"/>
      <c r="AD101" s="79"/>
      <c r="AE101" s="79"/>
      <c r="AF101" s="79"/>
      <c r="AG101" s="79"/>
      <c r="AH101" s="79"/>
      <c r="AI101" s="80"/>
      <c r="AJ101" s="79"/>
      <c r="AK101" s="79"/>
      <c r="AL101" s="79"/>
      <c r="AM101" s="79"/>
      <c r="AN101" s="79"/>
      <c r="AO101" s="79"/>
      <c r="AP101" s="79"/>
      <c r="AQ101" s="79"/>
      <c r="AR101" s="190"/>
      <c r="AS101" s="190"/>
      <c r="AT101" s="190"/>
    </row>
    <row r="102" spans="2:46" ht="20.100000000000001" customHeight="1">
      <c r="B102" s="79"/>
      <c r="C102" s="79"/>
      <c r="D102" s="79"/>
      <c r="F102" s="79"/>
      <c r="G102" s="80"/>
      <c r="H102" s="79"/>
      <c r="I102" s="79"/>
      <c r="J102" s="79"/>
      <c r="K102" s="79"/>
      <c r="L102" s="79"/>
      <c r="M102" s="79"/>
      <c r="N102" s="79"/>
      <c r="O102" s="79"/>
      <c r="P102" s="80"/>
      <c r="Q102" s="79"/>
      <c r="R102" s="79"/>
      <c r="S102" s="79"/>
      <c r="T102" s="79"/>
      <c r="U102" s="79"/>
      <c r="V102" s="79"/>
      <c r="W102" s="79"/>
      <c r="X102" s="79"/>
      <c r="Y102" s="80"/>
      <c r="Z102" s="80"/>
      <c r="AA102" s="79"/>
      <c r="AB102" s="79"/>
      <c r="AC102" s="79"/>
      <c r="AD102" s="79"/>
      <c r="AE102" s="79"/>
      <c r="AF102" s="79"/>
      <c r="AG102" s="79"/>
      <c r="AH102" s="79"/>
      <c r="AI102" s="80"/>
      <c r="AJ102" s="79"/>
      <c r="AK102" s="79"/>
      <c r="AL102" s="79"/>
      <c r="AM102" s="79"/>
      <c r="AN102" s="79"/>
      <c r="AO102" s="79"/>
      <c r="AP102" s="79"/>
      <c r="AQ102" s="79"/>
      <c r="AR102" s="190"/>
      <c r="AS102" s="190"/>
      <c r="AT102" s="190"/>
    </row>
    <row r="103" spans="2:46" ht="20.100000000000001" customHeight="1">
      <c r="B103" s="79"/>
      <c r="C103" s="79"/>
      <c r="D103" s="79"/>
      <c r="F103" s="79"/>
      <c r="G103" s="80"/>
      <c r="H103" s="79"/>
      <c r="I103" s="79"/>
      <c r="J103" s="79"/>
      <c r="K103" s="79"/>
      <c r="L103" s="79"/>
      <c r="M103" s="79"/>
      <c r="N103" s="79"/>
      <c r="O103" s="79"/>
      <c r="P103" s="80"/>
      <c r="Q103" s="79"/>
      <c r="R103" s="79"/>
      <c r="S103" s="79"/>
      <c r="T103" s="79"/>
      <c r="U103" s="79"/>
      <c r="V103" s="79"/>
      <c r="W103" s="79"/>
      <c r="X103" s="79"/>
      <c r="Y103" s="80"/>
      <c r="Z103" s="80"/>
      <c r="AA103" s="79"/>
      <c r="AB103" s="79"/>
      <c r="AC103" s="79"/>
      <c r="AD103" s="79"/>
      <c r="AE103" s="79"/>
      <c r="AF103" s="79"/>
      <c r="AG103" s="79"/>
      <c r="AH103" s="79"/>
      <c r="AI103" s="80"/>
      <c r="AJ103" s="79"/>
      <c r="AK103" s="79"/>
      <c r="AL103" s="79"/>
      <c r="AM103" s="79"/>
      <c r="AN103" s="79"/>
      <c r="AO103" s="79"/>
      <c r="AP103" s="79"/>
      <c r="AQ103" s="79"/>
      <c r="AR103" s="190"/>
      <c r="AS103" s="190"/>
      <c r="AT103" s="190"/>
    </row>
    <row r="104" spans="2:46" ht="20.100000000000001" customHeight="1">
      <c r="B104" s="79"/>
      <c r="C104" s="79"/>
      <c r="D104" s="79"/>
      <c r="E104" s="79"/>
      <c r="F104" s="79"/>
      <c r="G104" s="80"/>
      <c r="H104" s="79"/>
      <c r="I104" s="79"/>
      <c r="J104" s="79"/>
      <c r="K104" s="79"/>
      <c r="L104" s="79"/>
      <c r="M104" s="79"/>
      <c r="N104" s="79"/>
      <c r="O104" s="79"/>
      <c r="P104" s="80"/>
      <c r="Q104" s="79"/>
      <c r="R104" s="79"/>
      <c r="S104" s="79"/>
      <c r="T104" s="79"/>
      <c r="U104" s="79"/>
      <c r="V104" s="79"/>
      <c r="W104" s="79"/>
      <c r="X104" s="79"/>
      <c r="Y104" s="80"/>
      <c r="Z104" s="80"/>
      <c r="AA104" s="79"/>
      <c r="AB104" s="79"/>
      <c r="AC104" s="79"/>
      <c r="AD104" s="79"/>
      <c r="AE104" s="79"/>
      <c r="AF104" s="79"/>
      <c r="AG104" s="79"/>
      <c r="AH104" s="79"/>
      <c r="AI104" s="80"/>
      <c r="AJ104" s="79"/>
      <c r="AK104" s="79"/>
      <c r="AL104" s="79"/>
      <c r="AM104" s="79"/>
      <c r="AN104" s="79"/>
      <c r="AO104" s="79"/>
      <c r="AP104" s="79"/>
      <c r="AQ104" s="79"/>
      <c r="AR104" s="190"/>
      <c r="AS104" s="190"/>
      <c r="AT104" s="190"/>
    </row>
    <row r="105" spans="2:46" ht="20.100000000000001" customHeight="1">
      <c r="B105" s="79"/>
      <c r="C105" s="79"/>
      <c r="D105" s="79"/>
      <c r="E105" s="79"/>
      <c r="F105" s="79"/>
      <c r="G105" s="80"/>
      <c r="H105" s="79"/>
      <c r="I105" s="79"/>
      <c r="J105" s="79"/>
      <c r="K105" s="79"/>
      <c r="L105" s="79"/>
      <c r="M105" s="79"/>
      <c r="N105" s="79"/>
      <c r="O105" s="79"/>
      <c r="P105" s="80"/>
      <c r="Q105" s="79"/>
      <c r="R105" s="79"/>
      <c r="S105" s="79"/>
      <c r="T105" s="79"/>
      <c r="U105" s="79"/>
      <c r="V105" s="79"/>
      <c r="W105" s="79"/>
      <c r="X105" s="79"/>
      <c r="Y105" s="80"/>
      <c r="Z105" s="80"/>
      <c r="AA105" s="79"/>
      <c r="AB105" s="79"/>
      <c r="AC105" s="79"/>
      <c r="AD105" s="79"/>
      <c r="AE105" s="79"/>
      <c r="AF105" s="79"/>
      <c r="AG105" s="79"/>
      <c r="AH105" s="79"/>
      <c r="AI105" s="80"/>
      <c r="AJ105" s="79"/>
      <c r="AK105" s="79"/>
      <c r="AL105" s="79"/>
      <c r="AM105" s="79"/>
      <c r="AN105" s="79"/>
      <c r="AO105" s="79"/>
      <c r="AP105" s="79"/>
      <c r="AQ105" s="79"/>
      <c r="AR105" s="190"/>
      <c r="AS105" s="190"/>
      <c r="AT105" s="190"/>
    </row>
    <row r="106" spans="2:46" ht="20.100000000000001" customHeight="1">
      <c r="B106" s="79"/>
      <c r="C106" s="79"/>
      <c r="D106" s="79"/>
      <c r="E106" s="79"/>
      <c r="F106" s="79"/>
      <c r="G106" s="80"/>
      <c r="H106" s="79"/>
      <c r="I106" s="79"/>
      <c r="J106" s="79"/>
      <c r="K106" s="79"/>
      <c r="L106" s="79"/>
      <c r="M106" s="79"/>
      <c r="N106" s="79"/>
      <c r="O106" s="79"/>
      <c r="P106" s="80"/>
      <c r="Q106" s="79"/>
      <c r="R106" s="79"/>
      <c r="S106" s="79"/>
      <c r="T106" s="79"/>
      <c r="U106" s="79"/>
      <c r="V106" s="79"/>
      <c r="W106" s="79"/>
      <c r="X106" s="79"/>
      <c r="Y106" s="80"/>
      <c r="Z106" s="80"/>
      <c r="AA106" s="79"/>
      <c r="AB106" s="79"/>
      <c r="AC106" s="79"/>
      <c r="AD106" s="79"/>
      <c r="AE106" s="79"/>
      <c r="AF106" s="79"/>
      <c r="AG106" s="79"/>
      <c r="AH106" s="79"/>
      <c r="AI106" s="80"/>
      <c r="AJ106" s="79"/>
      <c r="AK106" s="79"/>
      <c r="AL106" s="79"/>
      <c r="AM106" s="79"/>
      <c r="AN106" s="79"/>
      <c r="AO106" s="79"/>
      <c r="AP106" s="79"/>
      <c r="AQ106" s="79"/>
      <c r="AR106" s="190"/>
      <c r="AS106" s="190"/>
      <c r="AT106" s="190"/>
    </row>
    <row r="107" spans="2:46" ht="20.100000000000001" customHeight="1">
      <c r="B107" s="79"/>
      <c r="C107" s="79"/>
      <c r="D107" s="79"/>
      <c r="E107" s="79"/>
      <c r="F107" s="79"/>
      <c r="G107" s="80"/>
      <c r="H107" s="79"/>
      <c r="I107" s="79"/>
      <c r="J107" s="79"/>
      <c r="K107" s="79"/>
      <c r="L107" s="79"/>
      <c r="M107" s="79"/>
      <c r="N107" s="79"/>
      <c r="O107" s="79"/>
      <c r="P107" s="80"/>
      <c r="Q107" s="79"/>
      <c r="R107" s="79"/>
      <c r="S107" s="79"/>
      <c r="T107" s="79"/>
      <c r="U107" s="79"/>
      <c r="V107" s="79"/>
      <c r="W107" s="79"/>
      <c r="X107" s="79"/>
      <c r="Y107" s="80"/>
      <c r="Z107" s="80"/>
      <c r="AA107" s="79"/>
      <c r="AB107" s="79"/>
      <c r="AC107" s="79"/>
      <c r="AD107" s="79"/>
      <c r="AE107" s="79"/>
      <c r="AF107" s="79"/>
      <c r="AG107" s="79"/>
      <c r="AH107" s="79"/>
      <c r="AI107" s="80"/>
      <c r="AJ107" s="79"/>
      <c r="AK107" s="79"/>
      <c r="AL107" s="79"/>
      <c r="AM107" s="79"/>
      <c r="AN107" s="79"/>
      <c r="AO107" s="79"/>
      <c r="AP107" s="79"/>
      <c r="AQ107" s="79"/>
      <c r="AR107" s="190"/>
      <c r="AS107" s="190"/>
      <c r="AT107" s="190"/>
    </row>
    <row r="108" spans="2:46" ht="20.100000000000001" customHeight="1">
      <c r="B108" s="79"/>
      <c r="C108" s="79"/>
      <c r="D108" s="79"/>
      <c r="E108" s="79"/>
      <c r="F108" s="79"/>
      <c r="G108" s="80"/>
      <c r="H108" s="79"/>
      <c r="I108" s="79"/>
      <c r="J108" s="79"/>
      <c r="K108" s="79"/>
      <c r="L108" s="79"/>
      <c r="M108" s="79"/>
      <c r="N108" s="79"/>
      <c r="O108" s="79"/>
      <c r="P108" s="80"/>
      <c r="Q108" s="79"/>
      <c r="R108" s="79"/>
      <c r="S108" s="79"/>
      <c r="T108" s="79"/>
      <c r="U108" s="79"/>
      <c r="V108" s="79"/>
      <c r="W108" s="79"/>
      <c r="X108" s="79"/>
      <c r="Y108" s="80"/>
      <c r="Z108" s="80"/>
      <c r="AA108" s="79"/>
      <c r="AB108" s="79"/>
      <c r="AC108" s="79"/>
      <c r="AD108" s="79"/>
      <c r="AE108" s="79"/>
      <c r="AF108" s="79"/>
      <c r="AG108" s="79"/>
      <c r="AH108" s="79"/>
      <c r="AI108" s="80"/>
      <c r="AJ108" s="79"/>
      <c r="AK108" s="79"/>
      <c r="AL108" s="79"/>
      <c r="AM108" s="79"/>
      <c r="AN108" s="79"/>
      <c r="AO108" s="79"/>
      <c r="AP108" s="79"/>
      <c r="AQ108" s="79"/>
      <c r="AR108" s="190"/>
      <c r="AS108" s="190"/>
      <c r="AT108" s="190"/>
    </row>
    <row r="109" spans="2:46" ht="20.100000000000001" customHeight="1">
      <c r="B109" s="79"/>
      <c r="C109" s="79"/>
      <c r="D109" s="79"/>
      <c r="E109" s="79"/>
      <c r="F109" s="79"/>
      <c r="G109" s="80"/>
      <c r="H109" s="79"/>
      <c r="I109" s="79"/>
      <c r="J109" s="79"/>
      <c r="K109" s="79"/>
      <c r="L109" s="79"/>
      <c r="M109" s="79"/>
      <c r="N109" s="79"/>
      <c r="O109" s="79"/>
      <c r="P109" s="80"/>
      <c r="Q109" s="79"/>
      <c r="R109" s="79"/>
      <c r="S109" s="79"/>
      <c r="T109" s="79"/>
      <c r="U109" s="79"/>
      <c r="V109" s="79"/>
      <c r="W109" s="79"/>
      <c r="X109" s="79"/>
      <c r="Y109" s="80"/>
      <c r="Z109" s="80"/>
      <c r="AA109" s="79"/>
      <c r="AB109" s="79"/>
      <c r="AC109" s="79"/>
      <c r="AD109" s="79"/>
      <c r="AE109" s="79"/>
      <c r="AF109" s="79"/>
      <c r="AG109" s="79"/>
      <c r="AH109" s="79"/>
      <c r="AI109" s="80"/>
      <c r="AJ109" s="79"/>
      <c r="AK109" s="79"/>
      <c r="AL109" s="79"/>
      <c r="AM109" s="79"/>
      <c r="AN109" s="79"/>
      <c r="AO109" s="79"/>
      <c r="AP109" s="79"/>
      <c r="AQ109" s="79"/>
      <c r="AR109" s="190"/>
      <c r="AS109" s="190"/>
      <c r="AT109" s="190"/>
    </row>
    <row r="110" spans="2:46" ht="20.100000000000001" customHeight="1">
      <c r="B110" s="79"/>
      <c r="C110" s="79"/>
      <c r="D110" s="79"/>
      <c r="E110" s="79"/>
      <c r="F110" s="79"/>
      <c r="G110" s="80"/>
      <c r="H110" s="79"/>
      <c r="I110" s="79"/>
      <c r="J110" s="79"/>
      <c r="K110" s="79"/>
      <c r="L110" s="79"/>
      <c r="M110" s="79"/>
      <c r="N110" s="79"/>
      <c r="O110" s="79"/>
      <c r="P110" s="80"/>
      <c r="Q110" s="79"/>
      <c r="R110" s="79"/>
      <c r="S110" s="79"/>
      <c r="T110" s="79"/>
      <c r="U110" s="79"/>
      <c r="V110" s="79"/>
      <c r="W110" s="79"/>
      <c r="X110" s="79"/>
      <c r="Y110" s="80"/>
      <c r="Z110" s="80"/>
      <c r="AA110" s="79"/>
      <c r="AB110" s="79"/>
      <c r="AC110" s="79"/>
      <c r="AD110" s="79"/>
      <c r="AE110" s="79"/>
      <c r="AF110" s="79"/>
      <c r="AG110" s="79"/>
      <c r="AH110" s="79"/>
      <c r="AI110" s="80"/>
      <c r="AJ110" s="79"/>
      <c r="AK110" s="79"/>
      <c r="AL110" s="79"/>
      <c r="AM110" s="79"/>
      <c r="AN110" s="79"/>
      <c r="AO110" s="79"/>
      <c r="AP110" s="79"/>
      <c r="AQ110" s="79"/>
      <c r="AR110" s="190"/>
      <c r="AS110" s="190"/>
      <c r="AT110" s="190"/>
    </row>
    <row r="111" spans="2:46" ht="20.100000000000001" customHeight="1">
      <c r="B111" s="79"/>
      <c r="C111" s="79"/>
      <c r="D111" s="79"/>
      <c r="E111" s="79"/>
      <c r="F111" s="79"/>
      <c r="G111" s="80"/>
      <c r="H111" s="79"/>
      <c r="I111" s="79"/>
      <c r="J111" s="79"/>
      <c r="K111" s="79"/>
      <c r="L111" s="79"/>
      <c r="M111" s="79"/>
      <c r="N111" s="79"/>
      <c r="O111" s="79"/>
      <c r="P111" s="80"/>
      <c r="Q111" s="79"/>
      <c r="R111" s="79"/>
      <c r="S111" s="79"/>
      <c r="T111" s="79"/>
      <c r="U111" s="79"/>
      <c r="V111" s="79"/>
      <c r="W111" s="79"/>
      <c r="X111" s="79"/>
      <c r="Y111" s="80"/>
      <c r="Z111" s="80"/>
      <c r="AA111" s="79"/>
      <c r="AB111" s="79"/>
      <c r="AC111" s="79"/>
      <c r="AD111" s="79"/>
      <c r="AE111" s="79"/>
      <c r="AF111" s="79"/>
      <c r="AG111" s="79"/>
      <c r="AH111" s="79"/>
      <c r="AI111" s="80"/>
      <c r="AJ111" s="79"/>
      <c r="AK111" s="79"/>
      <c r="AL111" s="79"/>
      <c r="AM111" s="79"/>
      <c r="AN111" s="79"/>
      <c r="AO111" s="79"/>
      <c r="AP111" s="79"/>
      <c r="AQ111" s="79"/>
      <c r="AR111" s="190"/>
      <c r="AS111" s="190"/>
      <c r="AT111" s="190"/>
    </row>
    <row r="112" spans="2:46" ht="20.100000000000001" customHeight="1">
      <c r="B112" s="79"/>
      <c r="C112" s="78"/>
      <c r="D112" s="79"/>
      <c r="E112" s="79"/>
      <c r="F112" s="79"/>
      <c r="G112" s="80"/>
      <c r="H112" s="79"/>
      <c r="I112" s="79"/>
      <c r="J112" s="79"/>
      <c r="K112" s="79"/>
      <c r="L112" s="79"/>
      <c r="M112" s="79"/>
      <c r="N112" s="79"/>
      <c r="O112" s="79"/>
      <c r="P112" s="80"/>
      <c r="Q112" s="79"/>
      <c r="R112" s="79"/>
      <c r="S112" s="79"/>
      <c r="T112" s="79"/>
      <c r="U112" s="79"/>
      <c r="V112" s="79"/>
      <c r="W112" s="79"/>
      <c r="X112" s="79"/>
      <c r="Y112" s="80"/>
      <c r="Z112" s="80"/>
      <c r="AA112" s="79"/>
      <c r="AB112" s="79"/>
      <c r="AC112" s="79"/>
      <c r="AD112" s="79"/>
      <c r="AE112" s="79"/>
      <c r="AF112" s="79"/>
      <c r="AG112" s="79"/>
      <c r="AH112" s="79"/>
      <c r="AI112" s="80"/>
      <c r="AJ112" s="79"/>
      <c r="AK112" s="79"/>
      <c r="AL112" s="79"/>
      <c r="AM112" s="79"/>
      <c r="AN112" s="79"/>
      <c r="AO112" s="79"/>
      <c r="AP112" s="79"/>
      <c r="AQ112" s="79"/>
      <c r="AR112" s="190"/>
      <c r="AS112" s="190"/>
      <c r="AT112" s="190"/>
    </row>
    <row r="113" spans="2:46" ht="20.100000000000001" customHeight="1">
      <c r="B113" s="79"/>
      <c r="C113" s="79"/>
      <c r="D113" s="79"/>
      <c r="E113" s="79"/>
      <c r="G113" s="80"/>
      <c r="H113" s="79"/>
      <c r="I113" s="79"/>
      <c r="J113" s="79"/>
      <c r="K113" s="79"/>
      <c r="L113" s="79"/>
      <c r="M113" s="79"/>
      <c r="N113" s="79"/>
      <c r="O113" s="79"/>
      <c r="P113" s="80"/>
      <c r="Q113" s="79"/>
      <c r="R113" s="79"/>
      <c r="S113" s="79"/>
      <c r="T113" s="79"/>
      <c r="U113" s="79"/>
      <c r="V113" s="79"/>
      <c r="W113" s="79"/>
      <c r="X113" s="79"/>
      <c r="Y113" s="80"/>
      <c r="Z113" s="80"/>
      <c r="AA113" s="79"/>
      <c r="AB113" s="79"/>
      <c r="AC113" s="79"/>
      <c r="AD113" s="79"/>
      <c r="AE113" s="79"/>
      <c r="AF113" s="79"/>
      <c r="AG113" s="79"/>
      <c r="AH113" s="79"/>
      <c r="AI113" s="80"/>
      <c r="AJ113" s="79"/>
      <c r="AK113" s="79"/>
      <c r="AL113" s="79"/>
      <c r="AM113" s="79"/>
      <c r="AN113" s="79"/>
      <c r="AO113" s="79"/>
      <c r="AP113" s="79"/>
      <c r="AQ113" s="79"/>
      <c r="AR113" s="190"/>
      <c r="AS113" s="190"/>
      <c r="AT113" s="190"/>
    </row>
    <row r="114" spans="2:46" ht="20.100000000000001" customHeight="1">
      <c r="B114" s="79"/>
      <c r="C114" s="79"/>
      <c r="D114" s="79"/>
      <c r="F114" s="79"/>
      <c r="G114" s="80"/>
      <c r="H114" s="79"/>
      <c r="I114" s="79"/>
      <c r="J114" s="79"/>
      <c r="K114" s="79"/>
      <c r="L114" s="79"/>
      <c r="M114" s="79"/>
      <c r="N114" s="79"/>
      <c r="O114" s="79"/>
      <c r="P114" s="80"/>
      <c r="Q114" s="79"/>
      <c r="R114" s="79"/>
      <c r="S114" s="79"/>
      <c r="T114" s="79"/>
      <c r="U114" s="79"/>
      <c r="V114" s="79"/>
      <c r="W114" s="79"/>
      <c r="X114" s="79"/>
      <c r="Y114" s="80"/>
      <c r="Z114" s="80"/>
      <c r="AA114" s="79"/>
      <c r="AB114" s="79"/>
      <c r="AC114" s="79"/>
      <c r="AD114" s="79"/>
      <c r="AE114" s="79"/>
      <c r="AF114" s="79"/>
      <c r="AG114" s="79"/>
      <c r="AH114" s="79"/>
      <c r="AI114" s="80"/>
      <c r="AJ114" s="79"/>
      <c r="AK114" s="79"/>
      <c r="AL114" s="79"/>
      <c r="AM114" s="79"/>
      <c r="AN114" s="79"/>
      <c r="AO114" s="79"/>
      <c r="AP114" s="79"/>
      <c r="AQ114" s="79"/>
      <c r="AR114" s="190"/>
      <c r="AS114" s="190"/>
      <c r="AT114" s="190"/>
    </row>
    <row r="115" spans="2:46" ht="20.100000000000001" customHeight="1">
      <c r="B115" s="79"/>
      <c r="C115" s="79"/>
      <c r="D115" s="79"/>
      <c r="F115" s="79"/>
      <c r="G115" s="80"/>
      <c r="H115" s="79"/>
      <c r="I115" s="79"/>
      <c r="J115" s="79"/>
      <c r="K115" s="79"/>
      <c r="L115" s="79"/>
      <c r="M115" s="79"/>
      <c r="N115" s="79"/>
      <c r="O115" s="79"/>
      <c r="P115" s="80"/>
      <c r="Q115" s="79"/>
      <c r="R115" s="79"/>
      <c r="S115" s="79"/>
      <c r="T115" s="79"/>
      <c r="U115" s="79"/>
      <c r="V115" s="79"/>
      <c r="W115" s="79"/>
      <c r="X115" s="79"/>
      <c r="Y115" s="80"/>
      <c r="Z115" s="80"/>
      <c r="AA115" s="79"/>
      <c r="AB115" s="79"/>
      <c r="AC115" s="79"/>
      <c r="AD115" s="79"/>
      <c r="AE115" s="79"/>
      <c r="AF115" s="79"/>
      <c r="AG115" s="79"/>
      <c r="AH115" s="79"/>
      <c r="AI115" s="80"/>
      <c r="AJ115" s="79"/>
      <c r="AK115" s="79"/>
      <c r="AL115" s="79"/>
      <c r="AM115" s="79"/>
      <c r="AN115" s="79"/>
      <c r="AO115" s="79"/>
      <c r="AP115" s="79"/>
      <c r="AQ115" s="79"/>
      <c r="AR115" s="190"/>
      <c r="AS115" s="190"/>
      <c r="AT115" s="190"/>
    </row>
    <row r="116" spans="2:46" ht="20.100000000000001" customHeight="1">
      <c r="B116" s="79"/>
      <c r="C116" s="79"/>
      <c r="D116" s="79"/>
      <c r="E116" s="79"/>
      <c r="G116" s="80"/>
      <c r="H116" s="79"/>
      <c r="I116" s="79"/>
      <c r="J116" s="79"/>
      <c r="K116" s="79"/>
      <c r="L116" s="79"/>
      <c r="M116" s="79"/>
      <c r="N116" s="79"/>
      <c r="O116" s="79"/>
      <c r="P116" s="80"/>
      <c r="Q116" s="79"/>
      <c r="R116" s="79"/>
      <c r="S116" s="79"/>
      <c r="T116" s="79"/>
      <c r="U116" s="79"/>
      <c r="V116" s="79"/>
      <c r="W116" s="79"/>
      <c r="X116" s="79"/>
      <c r="Y116" s="80"/>
      <c r="Z116" s="80"/>
      <c r="AA116" s="79"/>
      <c r="AB116" s="79"/>
      <c r="AC116" s="79"/>
      <c r="AD116" s="79"/>
      <c r="AE116" s="79"/>
      <c r="AF116" s="79"/>
      <c r="AG116" s="79"/>
      <c r="AH116" s="79"/>
      <c r="AI116" s="80"/>
      <c r="AJ116" s="79"/>
      <c r="AK116" s="79"/>
      <c r="AL116" s="79"/>
      <c r="AM116" s="79"/>
      <c r="AN116" s="79"/>
      <c r="AO116" s="79"/>
      <c r="AP116" s="79"/>
      <c r="AQ116" s="79"/>
      <c r="AR116" s="190"/>
      <c r="AS116" s="190"/>
      <c r="AT116" s="190"/>
    </row>
    <row r="117" spans="2:46" ht="20.100000000000001" customHeight="1">
      <c r="B117" s="79"/>
      <c r="C117" s="79"/>
      <c r="D117" s="79"/>
      <c r="F117" s="79"/>
      <c r="G117" s="80"/>
      <c r="H117" s="79"/>
      <c r="I117" s="79"/>
      <c r="J117" s="79"/>
      <c r="K117" s="79"/>
      <c r="L117" s="79"/>
      <c r="M117" s="79"/>
      <c r="N117" s="79"/>
      <c r="O117" s="79"/>
      <c r="P117" s="80"/>
      <c r="Q117" s="79"/>
      <c r="R117" s="79"/>
      <c r="S117" s="79"/>
      <c r="T117" s="79"/>
      <c r="U117" s="79"/>
      <c r="V117" s="79"/>
      <c r="W117" s="79"/>
      <c r="X117" s="79"/>
      <c r="Y117" s="80"/>
      <c r="Z117" s="80"/>
      <c r="AA117" s="79"/>
      <c r="AB117" s="79"/>
      <c r="AC117" s="79"/>
      <c r="AD117" s="79"/>
      <c r="AE117" s="79"/>
      <c r="AF117" s="79"/>
      <c r="AG117" s="79"/>
      <c r="AH117" s="79"/>
      <c r="AI117" s="80"/>
      <c r="AJ117" s="79"/>
      <c r="AK117" s="79"/>
      <c r="AL117" s="79"/>
      <c r="AM117" s="79"/>
      <c r="AN117" s="79"/>
      <c r="AO117" s="79"/>
      <c r="AP117" s="79"/>
      <c r="AQ117" s="79"/>
      <c r="AR117" s="190"/>
      <c r="AS117" s="190"/>
      <c r="AT117" s="190"/>
    </row>
    <row r="118" spans="2:46" ht="20.100000000000001" customHeight="1">
      <c r="B118" s="79"/>
      <c r="C118" s="79"/>
      <c r="D118" s="79"/>
      <c r="F118" s="79"/>
      <c r="G118" s="80"/>
      <c r="H118" s="79"/>
      <c r="I118" s="79"/>
      <c r="J118" s="79"/>
      <c r="K118" s="79"/>
      <c r="L118" s="79"/>
      <c r="M118" s="79"/>
      <c r="N118" s="79"/>
      <c r="O118" s="79"/>
      <c r="P118" s="80"/>
      <c r="Q118" s="79"/>
      <c r="R118" s="79"/>
      <c r="S118" s="79"/>
      <c r="T118" s="79"/>
      <c r="U118" s="79"/>
      <c r="V118" s="79"/>
      <c r="W118" s="79"/>
      <c r="X118" s="79"/>
      <c r="Y118" s="80"/>
      <c r="Z118" s="80"/>
      <c r="AA118" s="79"/>
      <c r="AB118" s="79"/>
      <c r="AC118" s="79"/>
      <c r="AD118" s="79"/>
      <c r="AE118" s="79"/>
      <c r="AF118" s="79"/>
      <c r="AG118" s="79"/>
      <c r="AH118" s="79"/>
      <c r="AI118" s="80"/>
      <c r="AJ118" s="79"/>
      <c r="AK118" s="79"/>
      <c r="AL118" s="79"/>
      <c r="AM118" s="79"/>
      <c r="AN118" s="79"/>
      <c r="AO118" s="79"/>
      <c r="AP118" s="79"/>
      <c r="AQ118" s="79"/>
      <c r="AR118" s="190"/>
      <c r="AS118" s="190"/>
      <c r="AT118" s="190"/>
    </row>
    <row r="119" spans="2:46" ht="20.100000000000001" customHeight="1">
      <c r="B119" s="79"/>
      <c r="C119" s="79"/>
      <c r="D119" s="79"/>
      <c r="E119" s="79"/>
      <c r="G119" s="80"/>
      <c r="H119" s="79"/>
      <c r="I119" s="79"/>
      <c r="J119" s="79"/>
      <c r="K119" s="79"/>
      <c r="L119" s="79"/>
      <c r="M119" s="79"/>
      <c r="N119" s="79"/>
      <c r="O119" s="79"/>
      <c r="P119" s="80"/>
      <c r="Q119" s="79"/>
      <c r="R119" s="79"/>
      <c r="S119" s="79"/>
      <c r="T119" s="79"/>
      <c r="U119" s="79"/>
      <c r="V119" s="79"/>
      <c r="W119" s="79"/>
      <c r="X119" s="79"/>
      <c r="Y119" s="80"/>
      <c r="Z119" s="80"/>
      <c r="AA119" s="79"/>
      <c r="AB119" s="79"/>
      <c r="AC119" s="79"/>
      <c r="AD119" s="79"/>
      <c r="AE119" s="79"/>
      <c r="AF119" s="79"/>
      <c r="AG119" s="79"/>
      <c r="AH119" s="79"/>
      <c r="AI119" s="80"/>
      <c r="AJ119" s="79"/>
      <c r="AK119" s="79"/>
      <c r="AL119" s="79"/>
      <c r="AM119" s="79"/>
      <c r="AN119" s="79"/>
      <c r="AO119" s="79"/>
      <c r="AP119" s="79"/>
      <c r="AQ119" s="79"/>
      <c r="AR119" s="190"/>
      <c r="AS119" s="190"/>
      <c r="AT119" s="190"/>
    </row>
    <row r="120" spans="2:46" ht="20.100000000000001" customHeight="1">
      <c r="B120" s="79"/>
      <c r="C120" s="79"/>
      <c r="D120" s="79"/>
      <c r="F120" s="79"/>
      <c r="G120" s="80"/>
      <c r="H120" s="79"/>
      <c r="I120" s="79"/>
      <c r="J120" s="79"/>
      <c r="K120" s="79"/>
      <c r="L120" s="79"/>
      <c r="M120" s="79"/>
      <c r="N120" s="79"/>
      <c r="O120" s="79"/>
      <c r="P120" s="80"/>
      <c r="Q120" s="79"/>
      <c r="R120" s="79"/>
      <c r="S120" s="79"/>
      <c r="T120" s="79"/>
      <c r="U120" s="79"/>
      <c r="V120" s="79"/>
      <c r="W120" s="79"/>
      <c r="X120" s="79"/>
      <c r="Y120" s="80"/>
      <c r="Z120" s="80"/>
      <c r="AA120" s="79"/>
      <c r="AB120" s="79"/>
      <c r="AC120" s="79"/>
      <c r="AD120" s="79"/>
      <c r="AE120" s="79"/>
      <c r="AF120" s="79"/>
      <c r="AG120" s="79"/>
      <c r="AH120" s="79"/>
      <c r="AI120" s="80"/>
      <c r="AJ120" s="79"/>
      <c r="AK120" s="79"/>
      <c r="AL120" s="79"/>
      <c r="AM120" s="79"/>
      <c r="AN120" s="79"/>
      <c r="AO120" s="79"/>
      <c r="AP120" s="79"/>
      <c r="AQ120" s="79"/>
      <c r="AR120" s="190"/>
      <c r="AS120" s="190"/>
      <c r="AT120" s="190"/>
    </row>
    <row r="121" spans="2:46" ht="20.100000000000001" customHeight="1">
      <c r="B121" s="79"/>
      <c r="C121" s="79"/>
      <c r="D121" s="79"/>
      <c r="F121" s="79"/>
      <c r="G121" s="80"/>
      <c r="H121" s="79"/>
      <c r="I121" s="79"/>
      <c r="J121" s="79"/>
      <c r="K121" s="79"/>
      <c r="L121" s="79"/>
      <c r="M121" s="79"/>
      <c r="N121" s="79"/>
      <c r="O121" s="79"/>
      <c r="P121" s="80"/>
      <c r="Q121" s="79"/>
      <c r="R121" s="79"/>
      <c r="S121" s="79"/>
      <c r="T121" s="79"/>
      <c r="U121" s="79"/>
      <c r="V121" s="79"/>
      <c r="W121" s="79"/>
      <c r="X121" s="79"/>
      <c r="Y121" s="80"/>
      <c r="Z121" s="80"/>
      <c r="AA121" s="79"/>
      <c r="AB121" s="79"/>
      <c r="AC121" s="79"/>
      <c r="AD121" s="79"/>
      <c r="AE121" s="79"/>
      <c r="AF121" s="79"/>
      <c r="AG121" s="79"/>
      <c r="AH121" s="79"/>
      <c r="AI121" s="80"/>
      <c r="AJ121" s="79"/>
      <c r="AK121" s="79"/>
      <c r="AL121" s="79"/>
      <c r="AM121" s="79"/>
      <c r="AN121" s="79"/>
      <c r="AO121" s="79"/>
      <c r="AP121" s="79"/>
      <c r="AQ121" s="79"/>
      <c r="AR121" s="190"/>
      <c r="AS121" s="190"/>
      <c r="AT121" s="190"/>
    </row>
    <row r="122" spans="2:46" ht="20.100000000000001" customHeight="1">
      <c r="B122" s="79"/>
      <c r="C122" s="79"/>
      <c r="D122" s="79"/>
      <c r="E122" s="79"/>
      <c r="G122" s="80"/>
      <c r="H122" s="79"/>
      <c r="I122" s="79"/>
      <c r="J122" s="79"/>
      <c r="K122" s="79"/>
      <c r="L122" s="79"/>
      <c r="M122" s="79"/>
      <c r="N122" s="79"/>
      <c r="O122" s="79"/>
      <c r="P122" s="80"/>
      <c r="Q122" s="79"/>
      <c r="R122" s="79"/>
      <c r="S122" s="79"/>
      <c r="T122" s="79"/>
      <c r="U122" s="79"/>
      <c r="V122" s="79"/>
      <c r="W122" s="79"/>
      <c r="X122" s="79"/>
      <c r="Y122" s="80"/>
      <c r="Z122" s="80"/>
      <c r="AA122" s="79"/>
      <c r="AB122" s="79"/>
      <c r="AC122" s="79"/>
      <c r="AD122" s="79"/>
      <c r="AE122" s="79"/>
      <c r="AF122" s="79"/>
      <c r="AG122" s="79"/>
      <c r="AH122" s="79"/>
      <c r="AI122" s="80"/>
      <c r="AJ122" s="79"/>
      <c r="AK122" s="79"/>
      <c r="AL122" s="79"/>
      <c r="AM122" s="79"/>
      <c r="AN122" s="79"/>
      <c r="AO122" s="79"/>
      <c r="AP122" s="79"/>
      <c r="AQ122" s="79"/>
      <c r="AR122" s="190"/>
      <c r="AS122" s="190"/>
      <c r="AT122" s="190"/>
    </row>
    <row r="123" spans="2:46" ht="20.100000000000001" customHeight="1">
      <c r="B123" s="79"/>
      <c r="C123" s="79"/>
      <c r="D123" s="79"/>
      <c r="F123" s="79"/>
      <c r="G123" s="80"/>
      <c r="H123" s="79"/>
      <c r="I123" s="79"/>
      <c r="J123" s="79"/>
      <c r="K123" s="79"/>
      <c r="L123" s="79"/>
      <c r="M123" s="79"/>
      <c r="N123" s="79"/>
      <c r="O123" s="79"/>
      <c r="P123" s="80"/>
      <c r="Q123" s="79"/>
      <c r="R123" s="79"/>
      <c r="S123" s="79"/>
      <c r="T123" s="79"/>
      <c r="U123" s="79"/>
      <c r="V123" s="79"/>
      <c r="W123" s="79"/>
      <c r="X123" s="79"/>
      <c r="Y123" s="80"/>
      <c r="Z123" s="80"/>
      <c r="AA123" s="79"/>
      <c r="AB123" s="79"/>
      <c r="AC123" s="79"/>
      <c r="AD123" s="79"/>
      <c r="AE123" s="79"/>
      <c r="AF123" s="79"/>
      <c r="AG123" s="79"/>
      <c r="AH123" s="79"/>
      <c r="AI123" s="80"/>
      <c r="AJ123" s="79"/>
      <c r="AK123" s="79"/>
      <c r="AL123" s="79"/>
      <c r="AM123" s="79"/>
      <c r="AN123" s="79"/>
      <c r="AO123" s="79"/>
      <c r="AP123" s="79"/>
      <c r="AQ123" s="79"/>
      <c r="AR123" s="190"/>
      <c r="AS123" s="190"/>
      <c r="AT123" s="190"/>
    </row>
    <row r="124" spans="2:46" ht="20.100000000000001" customHeight="1">
      <c r="B124" s="79"/>
      <c r="C124" s="79"/>
      <c r="D124" s="79"/>
      <c r="F124" s="79"/>
      <c r="G124" s="80"/>
      <c r="H124" s="79"/>
      <c r="I124" s="79"/>
      <c r="J124" s="79"/>
      <c r="K124" s="79"/>
      <c r="L124" s="79"/>
      <c r="M124" s="79"/>
      <c r="N124" s="79"/>
      <c r="O124" s="79"/>
      <c r="P124" s="80"/>
      <c r="Q124" s="79"/>
      <c r="R124" s="79"/>
      <c r="S124" s="79"/>
      <c r="T124" s="79"/>
      <c r="U124" s="79"/>
      <c r="V124" s="79"/>
      <c r="W124" s="79"/>
      <c r="X124" s="79"/>
      <c r="Y124" s="80"/>
      <c r="Z124" s="80"/>
      <c r="AA124" s="79"/>
      <c r="AB124" s="79"/>
      <c r="AC124" s="79"/>
      <c r="AD124" s="79"/>
      <c r="AE124" s="79"/>
      <c r="AF124" s="79"/>
      <c r="AG124" s="79"/>
      <c r="AH124" s="79"/>
      <c r="AI124" s="80"/>
      <c r="AJ124" s="79"/>
      <c r="AK124" s="79"/>
      <c r="AL124" s="79"/>
      <c r="AM124" s="79"/>
      <c r="AN124" s="79"/>
      <c r="AO124" s="79"/>
      <c r="AP124" s="79"/>
      <c r="AQ124" s="79"/>
      <c r="AR124" s="190"/>
      <c r="AS124" s="190"/>
      <c r="AT124" s="190"/>
    </row>
    <row r="125" spans="2:46" ht="20.100000000000001" customHeight="1">
      <c r="B125" s="79"/>
      <c r="C125" s="79"/>
      <c r="D125" s="79"/>
      <c r="E125" s="79"/>
      <c r="G125" s="80"/>
      <c r="H125" s="79"/>
      <c r="I125" s="79"/>
      <c r="J125" s="79"/>
      <c r="K125" s="79"/>
      <c r="L125" s="79"/>
      <c r="M125" s="79"/>
      <c r="N125" s="79"/>
      <c r="O125" s="79"/>
      <c r="P125" s="80"/>
      <c r="Q125" s="79"/>
      <c r="R125" s="79"/>
      <c r="S125" s="79"/>
      <c r="T125" s="79"/>
      <c r="U125" s="79"/>
      <c r="V125" s="79"/>
      <c r="W125" s="79"/>
      <c r="X125" s="79"/>
      <c r="Y125" s="80"/>
      <c r="Z125" s="80"/>
      <c r="AA125" s="79"/>
      <c r="AB125" s="79"/>
      <c r="AC125" s="79"/>
      <c r="AD125" s="79"/>
      <c r="AE125" s="79"/>
      <c r="AF125" s="79"/>
      <c r="AG125" s="79"/>
      <c r="AH125" s="79"/>
      <c r="AI125" s="80"/>
      <c r="AJ125" s="79"/>
      <c r="AK125" s="79"/>
      <c r="AL125" s="79"/>
      <c r="AM125" s="79"/>
      <c r="AN125" s="79"/>
      <c r="AO125" s="79"/>
      <c r="AP125" s="79"/>
      <c r="AQ125" s="79"/>
      <c r="AR125" s="190"/>
      <c r="AS125" s="190"/>
      <c r="AT125" s="190"/>
    </row>
    <row r="126" spans="2:46" ht="20.100000000000001" customHeight="1">
      <c r="B126" s="79"/>
      <c r="C126" s="79"/>
      <c r="D126" s="79"/>
      <c r="F126" s="79"/>
      <c r="G126" s="80"/>
      <c r="H126" s="79"/>
      <c r="I126" s="79"/>
      <c r="J126" s="79"/>
      <c r="K126" s="79"/>
      <c r="L126" s="79"/>
      <c r="M126" s="79"/>
      <c r="N126" s="79"/>
      <c r="O126" s="79"/>
      <c r="P126" s="80"/>
      <c r="Q126" s="79"/>
      <c r="R126" s="79"/>
      <c r="S126" s="79"/>
      <c r="T126" s="79"/>
      <c r="U126" s="79"/>
      <c r="V126" s="79"/>
      <c r="W126" s="79"/>
      <c r="X126" s="79"/>
      <c r="Y126" s="80"/>
      <c r="Z126" s="80"/>
      <c r="AA126" s="79"/>
      <c r="AB126" s="79"/>
      <c r="AC126" s="79"/>
      <c r="AD126" s="79"/>
      <c r="AE126" s="79"/>
      <c r="AF126" s="79"/>
      <c r="AG126" s="79"/>
      <c r="AH126" s="79"/>
      <c r="AI126" s="80"/>
      <c r="AJ126" s="79"/>
      <c r="AK126" s="79"/>
      <c r="AL126" s="79"/>
      <c r="AM126" s="79"/>
      <c r="AN126" s="79"/>
      <c r="AO126" s="79"/>
      <c r="AP126" s="79"/>
      <c r="AQ126" s="79"/>
      <c r="AR126" s="190"/>
      <c r="AS126" s="190"/>
      <c r="AT126" s="190"/>
    </row>
    <row r="127" spans="2:46" ht="20.100000000000001" customHeight="1">
      <c r="B127" s="79"/>
      <c r="C127" s="79"/>
      <c r="D127" s="79"/>
      <c r="F127" s="79"/>
      <c r="G127" s="80"/>
      <c r="H127" s="79"/>
      <c r="I127" s="79"/>
      <c r="J127" s="79"/>
      <c r="K127" s="79"/>
      <c r="L127" s="79"/>
      <c r="M127" s="79"/>
      <c r="N127" s="79"/>
      <c r="O127" s="79"/>
      <c r="P127" s="80"/>
      <c r="Q127" s="79"/>
      <c r="R127" s="79"/>
      <c r="S127" s="79"/>
      <c r="T127" s="79"/>
      <c r="U127" s="79"/>
      <c r="V127" s="79"/>
      <c r="W127" s="79"/>
      <c r="X127" s="79"/>
      <c r="Y127" s="80"/>
      <c r="Z127" s="80"/>
      <c r="AA127" s="79"/>
      <c r="AB127" s="79"/>
      <c r="AC127" s="79"/>
      <c r="AD127" s="79"/>
      <c r="AE127" s="79"/>
      <c r="AF127" s="79"/>
      <c r="AG127" s="79"/>
      <c r="AH127" s="79"/>
      <c r="AI127" s="80"/>
      <c r="AJ127" s="79"/>
      <c r="AK127" s="79"/>
      <c r="AL127" s="79"/>
      <c r="AM127" s="79"/>
      <c r="AN127" s="79"/>
      <c r="AO127" s="79"/>
      <c r="AP127" s="79"/>
      <c r="AQ127" s="79"/>
      <c r="AR127" s="190"/>
      <c r="AS127" s="190"/>
      <c r="AT127" s="190"/>
    </row>
    <row r="128" spans="2:46" ht="20.100000000000001" customHeight="1">
      <c r="B128" s="79"/>
      <c r="C128" s="78"/>
      <c r="D128" s="79"/>
      <c r="E128" s="79"/>
      <c r="F128" s="79"/>
      <c r="G128" s="80"/>
      <c r="H128" s="79"/>
      <c r="I128" s="79"/>
      <c r="J128" s="79"/>
      <c r="K128" s="79"/>
      <c r="L128" s="79"/>
      <c r="M128" s="79"/>
      <c r="N128" s="79"/>
      <c r="O128" s="79"/>
      <c r="P128" s="80"/>
      <c r="Q128" s="79"/>
      <c r="R128" s="79"/>
      <c r="S128" s="79"/>
      <c r="T128" s="79"/>
      <c r="U128" s="79"/>
      <c r="V128" s="79"/>
      <c r="W128" s="79"/>
      <c r="X128" s="79"/>
      <c r="Y128" s="80"/>
      <c r="Z128" s="80"/>
      <c r="AA128" s="79"/>
      <c r="AB128" s="79"/>
      <c r="AC128" s="79"/>
      <c r="AD128" s="79"/>
      <c r="AE128" s="79"/>
      <c r="AF128" s="79"/>
      <c r="AG128" s="79"/>
      <c r="AH128" s="79"/>
      <c r="AI128" s="80"/>
      <c r="AJ128" s="79"/>
      <c r="AK128" s="79"/>
      <c r="AL128" s="79"/>
      <c r="AM128" s="79"/>
      <c r="AN128" s="79"/>
      <c r="AO128" s="79"/>
      <c r="AP128" s="79"/>
      <c r="AQ128" s="79"/>
      <c r="AR128" s="190"/>
      <c r="AS128" s="190"/>
      <c r="AT128" s="190"/>
    </row>
    <row r="129" spans="2:46" ht="20.100000000000001" customHeight="1">
      <c r="B129" s="79"/>
      <c r="C129" s="79"/>
      <c r="D129" s="79"/>
      <c r="E129" s="79"/>
      <c r="G129" s="80"/>
      <c r="H129" s="79"/>
      <c r="I129" s="79"/>
      <c r="J129" s="79"/>
      <c r="K129" s="79"/>
      <c r="L129" s="79"/>
      <c r="M129" s="79"/>
      <c r="N129" s="79"/>
      <c r="O129" s="79"/>
      <c r="P129" s="80"/>
      <c r="Q129" s="79"/>
      <c r="R129" s="79"/>
      <c r="S129" s="79"/>
      <c r="T129" s="79"/>
      <c r="U129" s="79"/>
      <c r="V129" s="79"/>
      <c r="W129" s="79"/>
      <c r="X129" s="79"/>
      <c r="Y129" s="80"/>
      <c r="Z129" s="80"/>
      <c r="AA129" s="79"/>
      <c r="AB129" s="79"/>
      <c r="AC129" s="79"/>
      <c r="AD129" s="79"/>
      <c r="AE129" s="79"/>
      <c r="AF129" s="79"/>
      <c r="AG129" s="79"/>
      <c r="AH129" s="79"/>
      <c r="AI129" s="80"/>
      <c r="AJ129" s="79"/>
      <c r="AK129" s="79"/>
      <c r="AL129" s="79"/>
      <c r="AM129" s="79"/>
      <c r="AN129" s="79"/>
      <c r="AO129" s="79"/>
      <c r="AP129" s="79"/>
      <c r="AQ129" s="79"/>
      <c r="AR129" s="190"/>
      <c r="AS129" s="190"/>
      <c r="AT129" s="190"/>
    </row>
    <row r="130" spans="2:46" ht="20.100000000000001" customHeight="1">
      <c r="B130" s="79"/>
      <c r="C130" s="79"/>
      <c r="D130" s="79"/>
      <c r="F130" s="79"/>
      <c r="G130" s="80"/>
      <c r="H130" s="79"/>
      <c r="I130" s="79"/>
      <c r="J130" s="79"/>
      <c r="K130" s="79"/>
      <c r="L130" s="79"/>
      <c r="M130" s="79"/>
      <c r="N130" s="79"/>
      <c r="O130" s="79"/>
      <c r="P130" s="80"/>
      <c r="Q130" s="79"/>
      <c r="R130" s="79"/>
      <c r="S130" s="79"/>
      <c r="T130" s="79"/>
      <c r="U130" s="79"/>
      <c r="V130" s="79"/>
      <c r="W130" s="79"/>
      <c r="X130" s="79"/>
      <c r="Y130" s="80"/>
      <c r="Z130" s="80"/>
      <c r="AA130" s="79"/>
      <c r="AB130" s="79"/>
      <c r="AC130" s="79"/>
      <c r="AD130" s="79"/>
      <c r="AE130" s="79"/>
      <c r="AF130" s="79"/>
      <c r="AG130" s="79"/>
      <c r="AH130" s="79"/>
      <c r="AI130" s="80"/>
      <c r="AJ130" s="79"/>
      <c r="AK130" s="79"/>
      <c r="AL130" s="79"/>
      <c r="AM130" s="79"/>
      <c r="AN130" s="79"/>
      <c r="AO130" s="79"/>
      <c r="AP130" s="79"/>
      <c r="AQ130" s="79"/>
      <c r="AR130" s="190"/>
      <c r="AS130" s="190"/>
      <c r="AT130" s="190"/>
    </row>
    <row r="131" spans="2:46" ht="20.100000000000001" customHeight="1">
      <c r="B131" s="79"/>
      <c r="C131" s="79"/>
      <c r="D131" s="79"/>
      <c r="F131" s="79"/>
      <c r="G131" s="80"/>
      <c r="H131" s="79"/>
      <c r="I131" s="79"/>
      <c r="J131" s="79"/>
      <c r="K131" s="79"/>
      <c r="L131" s="79"/>
      <c r="M131" s="79"/>
      <c r="N131" s="79"/>
      <c r="O131" s="79"/>
      <c r="P131" s="80"/>
      <c r="Q131" s="79"/>
      <c r="R131" s="79"/>
      <c r="S131" s="79"/>
      <c r="T131" s="79"/>
      <c r="U131" s="79"/>
      <c r="V131" s="79"/>
      <c r="W131" s="79"/>
      <c r="X131" s="79"/>
      <c r="Y131" s="80"/>
      <c r="Z131" s="80"/>
      <c r="AA131" s="79"/>
      <c r="AB131" s="79"/>
      <c r="AC131" s="79"/>
      <c r="AD131" s="79"/>
      <c r="AE131" s="79"/>
      <c r="AF131" s="79"/>
      <c r="AG131" s="79"/>
      <c r="AH131" s="79"/>
      <c r="AI131" s="80"/>
      <c r="AJ131" s="79"/>
      <c r="AK131" s="79"/>
      <c r="AL131" s="79"/>
      <c r="AM131" s="79"/>
      <c r="AN131" s="79"/>
      <c r="AO131" s="79"/>
      <c r="AP131" s="79"/>
      <c r="AQ131" s="79"/>
      <c r="AR131" s="190"/>
      <c r="AS131" s="190"/>
      <c r="AT131" s="190"/>
    </row>
    <row r="132" spans="2:46" ht="20.100000000000001" customHeight="1">
      <c r="B132" s="79"/>
      <c r="C132" s="79"/>
      <c r="D132" s="79"/>
      <c r="E132" s="79"/>
      <c r="G132" s="80"/>
      <c r="H132" s="79"/>
      <c r="I132" s="79"/>
      <c r="J132" s="79"/>
      <c r="K132" s="79"/>
      <c r="L132" s="79"/>
      <c r="M132" s="79"/>
      <c r="N132" s="79"/>
      <c r="O132" s="79"/>
      <c r="P132" s="80"/>
      <c r="Q132" s="79"/>
      <c r="R132" s="79"/>
      <c r="S132" s="79"/>
      <c r="T132" s="79"/>
      <c r="U132" s="79"/>
      <c r="V132" s="79"/>
      <c r="W132" s="79"/>
      <c r="X132" s="79"/>
      <c r="Y132" s="80"/>
      <c r="Z132" s="80"/>
      <c r="AA132" s="79"/>
      <c r="AB132" s="79"/>
      <c r="AC132" s="79"/>
      <c r="AD132" s="79"/>
      <c r="AE132" s="79"/>
      <c r="AF132" s="79"/>
      <c r="AG132" s="79"/>
      <c r="AH132" s="79"/>
      <c r="AI132" s="80"/>
      <c r="AJ132" s="79"/>
      <c r="AK132" s="79"/>
      <c r="AL132" s="79"/>
      <c r="AM132" s="79"/>
      <c r="AN132" s="79"/>
      <c r="AO132" s="79"/>
      <c r="AP132" s="79"/>
      <c r="AQ132" s="79"/>
      <c r="AR132" s="190"/>
      <c r="AS132" s="190"/>
      <c r="AT132" s="190"/>
    </row>
    <row r="133" spans="2:46" ht="20.100000000000001" customHeight="1">
      <c r="B133" s="79"/>
      <c r="C133" s="79"/>
      <c r="D133" s="79"/>
      <c r="F133" s="79"/>
      <c r="G133" s="80"/>
      <c r="H133" s="79"/>
      <c r="I133" s="79"/>
      <c r="J133" s="79"/>
      <c r="K133" s="79"/>
      <c r="L133" s="79"/>
      <c r="M133" s="79"/>
      <c r="N133" s="79"/>
      <c r="O133" s="79"/>
      <c r="P133" s="80"/>
      <c r="Q133" s="79"/>
      <c r="R133" s="79"/>
      <c r="S133" s="79"/>
      <c r="T133" s="79"/>
      <c r="U133" s="79"/>
      <c r="V133" s="79"/>
      <c r="W133" s="79"/>
      <c r="X133" s="79"/>
      <c r="Y133" s="80"/>
      <c r="Z133" s="80"/>
      <c r="AA133" s="79"/>
      <c r="AB133" s="79"/>
      <c r="AC133" s="79"/>
      <c r="AD133" s="79"/>
      <c r="AE133" s="79"/>
      <c r="AF133" s="79"/>
      <c r="AG133" s="79"/>
      <c r="AH133" s="79"/>
      <c r="AI133" s="80"/>
      <c r="AJ133" s="79"/>
      <c r="AK133" s="79"/>
      <c r="AL133" s="79"/>
      <c r="AM133" s="79"/>
      <c r="AN133" s="79"/>
      <c r="AO133" s="79"/>
      <c r="AP133" s="79"/>
      <c r="AQ133" s="79"/>
      <c r="AR133" s="190"/>
      <c r="AS133" s="190"/>
      <c r="AT133" s="190"/>
    </row>
    <row r="134" spans="2:46" ht="20.100000000000001" customHeight="1">
      <c r="B134" s="79"/>
      <c r="C134" s="79"/>
      <c r="D134" s="79"/>
      <c r="F134" s="79"/>
      <c r="G134" s="80"/>
      <c r="H134" s="79"/>
      <c r="I134" s="79"/>
      <c r="J134" s="79"/>
      <c r="K134" s="79"/>
      <c r="L134" s="79"/>
      <c r="M134" s="79"/>
      <c r="N134" s="79"/>
      <c r="O134" s="79"/>
      <c r="P134" s="80"/>
      <c r="Q134" s="79"/>
      <c r="R134" s="79"/>
      <c r="S134" s="79"/>
      <c r="T134" s="79"/>
      <c r="U134" s="79"/>
      <c r="V134" s="79"/>
      <c r="W134" s="79"/>
      <c r="X134" s="79"/>
      <c r="Y134" s="80"/>
      <c r="Z134" s="80"/>
      <c r="AA134" s="79"/>
      <c r="AB134" s="79"/>
      <c r="AC134" s="79"/>
      <c r="AD134" s="79"/>
      <c r="AE134" s="79"/>
      <c r="AF134" s="79"/>
      <c r="AG134" s="79"/>
      <c r="AH134" s="79"/>
      <c r="AI134" s="80"/>
      <c r="AJ134" s="79"/>
      <c r="AK134" s="79"/>
      <c r="AL134" s="79"/>
      <c r="AM134" s="79"/>
      <c r="AN134" s="79"/>
      <c r="AO134" s="79"/>
      <c r="AP134" s="79"/>
      <c r="AQ134" s="79"/>
      <c r="AR134" s="190"/>
      <c r="AS134" s="190"/>
      <c r="AT134" s="190"/>
    </row>
    <row r="135" spans="2:46" ht="20.100000000000001" customHeight="1">
      <c r="B135" s="79"/>
      <c r="C135" s="79"/>
      <c r="D135" s="79"/>
      <c r="E135" s="79"/>
      <c r="G135" s="80"/>
      <c r="H135" s="79"/>
      <c r="I135" s="79"/>
      <c r="J135" s="79"/>
      <c r="K135" s="79"/>
      <c r="L135" s="79"/>
      <c r="M135" s="79"/>
      <c r="N135" s="79"/>
      <c r="O135" s="79"/>
      <c r="P135" s="80"/>
      <c r="Q135" s="79"/>
      <c r="R135" s="79"/>
      <c r="S135" s="79"/>
      <c r="T135" s="79"/>
      <c r="U135" s="79"/>
      <c r="V135" s="79"/>
      <c r="W135" s="79"/>
      <c r="X135" s="79"/>
      <c r="Y135" s="80"/>
      <c r="Z135" s="80"/>
      <c r="AA135" s="79"/>
      <c r="AB135" s="79"/>
      <c r="AC135" s="79"/>
      <c r="AD135" s="79"/>
      <c r="AE135" s="79"/>
      <c r="AF135" s="79"/>
      <c r="AG135" s="79"/>
      <c r="AH135" s="79"/>
      <c r="AI135" s="80"/>
      <c r="AJ135" s="79"/>
      <c r="AK135" s="79"/>
      <c r="AL135" s="79"/>
      <c r="AM135" s="79"/>
      <c r="AN135" s="79"/>
      <c r="AO135" s="79"/>
      <c r="AP135" s="79"/>
      <c r="AQ135" s="79"/>
      <c r="AR135" s="190"/>
      <c r="AS135" s="190"/>
      <c r="AT135" s="190"/>
    </row>
    <row r="136" spans="2:46" ht="20.100000000000001" customHeight="1">
      <c r="B136" s="79"/>
      <c r="C136" s="79"/>
      <c r="D136" s="79"/>
      <c r="F136" s="79"/>
      <c r="G136" s="80"/>
      <c r="H136" s="79"/>
      <c r="I136" s="79"/>
      <c r="J136" s="79"/>
      <c r="K136" s="79"/>
      <c r="L136" s="79"/>
      <c r="M136" s="79"/>
      <c r="N136" s="79"/>
      <c r="O136" s="79"/>
      <c r="P136" s="80"/>
      <c r="Q136" s="79"/>
      <c r="R136" s="79"/>
      <c r="S136" s="79"/>
      <c r="T136" s="79"/>
      <c r="U136" s="79"/>
      <c r="V136" s="79"/>
      <c r="W136" s="79"/>
      <c r="X136" s="79"/>
      <c r="Y136" s="80"/>
      <c r="Z136" s="80"/>
      <c r="AA136" s="79"/>
      <c r="AB136" s="79"/>
      <c r="AC136" s="79"/>
      <c r="AD136" s="79"/>
      <c r="AE136" s="79"/>
      <c r="AF136" s="79"/>
      <c r="AG136" s="79"/>
      <c r="AH136" s="79"/>
      <c r="AI136" s="80"/>
      <c r="AJ136" s="79"/>
      <c r="AK136" s="79"/>
      <c r="AL136" s="79"/>
      <c r="AM136" s="79"/>
      <c r="AN136" s="79"/>
      <c r="AO136" s="79"/>
      <c r="AP136" s="79"/>
      <c r="AQ136" s="79"/>
      <c r="AR136" s="190"/>
      <c r="AS136" s="190"/>
      <c r="AT136" s="190"/>
    </row>
    <row r="137" spans="2:46" ht="20.100000000000001" customHeight="1">
      <c r="B137" s="79"/>
      <c r="C137" s="79"/>
      <c r="D137" s="79"/>
      <c r="F137" s="79"/>
      <c r="G137" s="80"/>
      <c r="H137" s="79"/>
      <c r="I137" s="79"/>
      <c r="J137" s="79"/>
      <c r="K137" s="79"/>
      <c r="L137" s="79"/>
      <c r="M137" s="79"/>
      <c r="N137" s="79"/>
      <c r="O137" s="79"/>
      <c r="P137" s="80"/>
      <c r="Q137" s="79"/>
      <c r="R137" s="79"/>
      <c r="S137" s="79"/>
      <c r="T137" s="79"/>
      <c r="U137" s="79"/>
      <c r="V137" s="79"/>
      <c r="W137" s="79"/>
      <c r="X137" s="79"/>
      <c r="Y137" s="80"/>
      <c r="Z137" s="80"/>
      <c r="AA137" s="79"/>
      <c r="AB137" s="79"/>
      <c r="AC137" s="79"/>
      <c r="AD137" s="79"/>
      <c r="AE137" s="79"/>
      <c r="AF137" s="79"/>
      <c r="AG137" s="79"/>
      <c r="AH137" s="79"/>
      <c r="AI137" s="80"/>
      <c r="AJ137" s="79"/>
      <c r="AK137" s="79"/>
      <c r="AL137" s="79"/>
      <c r="AM137" s="79"/>
      <c r="AN137" s="79"/>
      <c r="AO137" s="79"/>
      <c r="AP137" s="79"/>
      <c r="AQ137" s="79"/>
      <c r="AR137" s="190"/>
      <c r="AS137" s="190"/>
      <c r="AT137" s="190"/>
    </row>
    <row r="138" spans="2:46" ht="20.100000000000001" customHeight="1">
      <c r="B138" s="79"/>
      <c r="C138" s="79"/>
      <c r="D138" s="79"/>
      <c r="E138" s="79"/>
      <c r="G138" s="80"/>
      <c r="H138" s="79"/>
      <c r="I138" s="79"/>
      <c r="J138" s="79"/>
      <c r="K138" s="79"/>
      <c r="L138" s="79"/>
      <c r="M138" s="79"/>
      <c r="N138" s="79"/>
      <c r="O138" s="79"/>
      <c r="P138" s="80"/>
      <c r="Q138" s="79"/>
      <c r="R138" s="79"/>
      <c r="S138" s="79"/>
      <c r="T138" s="79"/>
      <c r="U138" s="79"/>
      <c r="V138" s="79"/>
      <c r="W138" s="79"/>
      <c r="X138" s="79"/>
      <c r="Y138" s="80"/>
      <c r="Z138" s="80"/>
      <c r="AA138" s="79"/>
      <c r="AB138" s="79"/>
      <c r="AC138" s="79"/>
      <c r="AD138" s="79"/>
      <c r="AE138" s="79"/>
      <c r="AF138" s="79"/>
      <c r="AG138" s="79"/>
      <c r="AH138" s="79"/>
      <c r="AI138" s="80"/>
      <c r="AJ138" s="79"/>
      <c r="AK138" s="79"/>
      <c r="AL138" s="79"/>
      <c r="AM138" s="79"/>
      <c r="AN138" s="79"/>
      <c r="AO138" s="79"/>
      <c r="AP138" s="79"/>
      <c r="AQ138" s="79"/>
      <c r="AR138" s="190"/>
      <c r="AS138" s="190"/>
      <c r="AT138" s="190"/>
    </row>
    <row r="139" spans="2:46" ht="20.100000000000001" customHeight="1">
      <c r="B139" s="79"/>
      <c r="C139" s="79"/>
      <c r="D139" s="79"/>
      <c r="F139" s="79"/>
      <c r="G139" s="80"/>
      <c r="H139" s="79"/>
      <c r="I139" s="79"/>
      <c r="J139" s="79"/>
      <c r="K139" s="79"/>
      <c r="L139" s="79"/>
      <c r="M139" s="79"/>
      <c r="N139" s="79"/>
      <c r="O139" s="79"/>
      <c r="P139" s="80"/>
      <c r="Q139" s="79"/>
      <c r="R139" s="79"/>
      <c r="S139" s="79"/>
      <c r="T139" s="79"/>
      <c r="U139" s="79"/>
      <c r="V139" s="79"/>
      <c r="W139" s="79"/>
      <c r="X139" s="79"/>
      <c r="Y139" s="80"/>
      <c r="Z139" s="80"/>
      <c r="AA139" s="79"/>
      <c r="AB139" s="79"/>
      <c r="AC139" s="79"/>
      <c r="AD139" s="79"/>
      <c r="AE139" s="79"/>
      <c r="AF139" s="79"/>
      <c r="AG139" s="79"/>
      <c r="AH139" s="79"/>
      <c r="AI139" s="80"/>
      <c r="AJ139" s="79"/>
      <c r="AK139" s="79"/>
      <c r="AL139" s="79"/>
      <c r="AM139" s="79"/>
      <c r="AN139" s="79"/>
      <c r="AO139" s="79"/>
      <c r="AP139" s="79"/>
      <c r="AQ139" s="79"/>
      <c r="AR139" s="190"/>
      <c r="AS139" s="190"/>
      <c r="AT139" s="190"/>
    </row>
    <row r="140" spans="2:46" ht="20.100000000000001" customHeight="1">
      <c r="B140" s="79"/>
      <c r="C140" s="79"/>
      <c r="D140" s="79"/>
      <c r="F140" s="79"/>
      <c r="G140" s="80"/>
      <c r="H140" s="79"/>
      <c r="I140" s="79"/>
      <c r="J140" s="79"/>
      <c r="K140" s="79"/>
      <c r="L140" s="79"/>
      <c r="M140" s="79"/>
      <c r="N140" s="79"/>
      <c r="O140" s="79"/>
      <c r="P140" s="80"/>
      <c r="Q140" s="79"/>
      <c r="R140" s="79"/>
      <c r="S140" s="79"/>
      <c r="T140" s="79"/>
      <c r="U140" s="79"/>
      <c r="V140" s="79"/>
      <c r="W140" s="79"/>
      <c r="X140" s="79"/>
      <c r="Y140" s="80"/>
      <c r="Z140" s="80"/>
      <c r="AA140" s="79"/>
      <c r="AB140" s="79"/>
      <c r="AC140" s="79"/>
      <c r="AD140" s="79"/>
      <c r="AE140" s="79"/>
      <c r="AF140" s="79"/>
      <c r="AG140" s="79"/>
      <c r="AH140" s="79"/>
      <c r="AI140" s="80"/>
      <c r="AJ140" s="79"/>
      <c r="AK140" s="79"/>
      <c r="AL140" s="79"/>
      <c r="AM140" s="79"/>
      <c r="AN140" s="79"/>
      <c r="AO140" s="79"/>
      <c r="AP140" s="79"/>
      <c r="AQ140" s="79"/>
      <c r="AR140" s="190"/>
      <c r="AS140" s="190"/>
      <c r="AT140" s="190"/>
    </row>
    <row r="141" spans="2:46" ht="20.100000000000001" customHeight="1">
      <c r="B141" s="79"/>
      <c r="C141" s="79"/>
      <c r="D141" s="79"/>
      <c r="E141" s="79"/>
      <c r="G141" s="80"/>
      <c r="H141" s="79"/>
      <c r="I141" s="79"/>
      <c r="J141" s="79"/>
      <c r="K141" s="79"/>
      <c r="L141" s="79"/>
      <c r="M141" s="79"/>
      <c r="N141" s="79"/>
      <c r="O141" s="79"/>
      <c r="P141" s="80"/>
      <c r="Q141" s="79"/>
      <c r="R141" s="79"/>
      <c r="S141" s="79"/>
      <c r="T141" s="79"/>
      <c r="U141" s="79"/>
      <c r="V141" s="79"/>
      <c r="W141" s="79"/>
      <c r="X141" s="79"/>
      <c r="Y141" s="80"/>
      <c r="Z141" s="80"/>
      <c r="AA141" s="79"/>
      <c r="AB141" s="79"/>
      <c r="AC141" s="79"/>
      <c r="AD141" s="79"/>
      <c r="AE141" s="79"/>
      <c r="AF141" s="79"/>
      <c r="AG141" s="79"/>
      <c r="AH141" s="79"/>
      <c r="AI141" s="80"/>
      <c r="AJ141" s="79"/>
      <c r="AK141" s="79"/>
      <c r="AL141" s="79"/>
      <c r="AM141" s="79"/>
      <c r="AN141" s="79"/>
      <c r="AO141" s="79"/>
      <c r="AP141" s="79"/>
      <c r="AQ141" s="79"/>
      <c r="AR141" s="190"/>
      <c r="AS141" s="190"/>
      <c r="AT141" s="190"/>
    </row>
    <row r="142" spans="2:46" ht="20.100000000000001" customHeight="1">
      <c r="B142" s="79"/>
      <c r="C142" s="79"/>
      <c r="D142" s="79"/>
      <c r="F142" s="79"/>
      <c r="G142" s="80"/>
      <c r="H142" s="79"/>
      <c r="I142" s="79"/>
      <c r="J142" s="79"/>
      <c r="K142" s="79"/>
      <c r="L142" s="79"/>
      <c r="M142" s="79"/>
      <c r="N142" s="79"/>
      <c r="O142" s="79"/>
      <c r="P142" s="80"/>
      <c r="Q142" s="79"/>
      <c r="R142" s="79"/>
      <c r="S142" s="79"/>
      <c r="T142" s="79"/>
      <c r="U142" s="79"/>
      <c r="V142" s="79"/>
      <c r="W142" s="79"/>
      <c r="X142" s="79"/>
      <c r="Y142" s="80"/>
      <c r="Z142" s="80"/>
      <c r="AA142" s="79"/>
      <c r="AB142" s="79"/>
      <c r="AC142" s="79"/>
      <c r="AD142" s="79"/>
      <c r="AE142" s="79"/>
      <c r="AF142" s="79"/>
      <c r="AG142" s="79"/>
      <c r="AH142" s="79"/>
      <c r="AI142" s="80"/>
      <c r="AJ142" s="79"/>
      <c r="AK142" s="79"/>
      <c r="AL142" s="79"/>
      <c r="AM142" s="79"/>
      <c r="AN142" s="79"/>
      <c r="AO142" s="79"/>
      <c r="AP142" s="79"/>
      <c r="AQ142" s="79"/>
      <c r="AR142" s="190"/>
      <c r="AS142" s="190"/>
      <c r="AT142" s="190"/>
    </row>
    <row r="143" spans="2:46" ht="20.100000000000001" customHeight="1">
      <c r="B143" s="79"/>
      <c r="C143" s="79"/>
      <c r="D143" s="79"/>
      <c r="F143" s="79"/>
      <c r="G143" s="80"/>
      <c r="H143" s="79"/>
      <c r="I143" s="79"/>
      <c r="J143" s="79"/>
      <c r="K143" s="79"/>
      <c r="L143" s="79"/>
      <c r="M143" s="79"/>
      <c r="N143" s="79"/>
      <c r="O143" s="79"/>
      <c r="P143" s="80"/>
      <c r="Q143" s="79"/>
      <c r="R143" s="79"/>
      <c r="S143" s="79"/>
      <c r="T143" s="79"/>
      <c r="U143" s="79"/>
      <c r="V143" s="79"/>
      <c r="W143" s="79"/>
      <c r="X143" s="79"/>
      <c r="Y143" s="80"/>
      <c r="Z143" s="80"/>
      <c r="AA143" s="79"/>
      <c r="AB143" s="79"/>
      <c r="AC143" s="79"/>
      <c r="AD143" s="79"/>
      <c r="AE143" s="79"/>
      <c r="AF143" s="79"/>
      <c r="AG143" s="79"/>
      <c r="AH143" s="79"/>
      <c r="AI143" s="80"/>
      <c r="AJ143" s="79"/>
      <c r="AK143" s="79"/>
      <c r="AL143" s="79"/>
      <c r="AM143" s="79"/>
      <c r="AN143" s="79"/>
      <c r="AO143" s="79"/>
      <c r="AP143" s="79"/>
      <c r="AQ143" s="79"/>
      <c r="AR143" s="190"/>
      <c r="AS143" s="190"/>
      <c r="AT143" s="190"/>
    </row>
    <row r="144" spans="2:46" ht="20.100000000000001" customHeight="1">
      <c r="B144" s="79"/>
      <c r="C144" s="15"/>
      <c r="D144" s="79"/>
      <c r="E144" s="79"/>
      <c r="F144" s="79"/>
      <c r="G144" s="80"/>
      <c r="H144" s="79"/>
      <c r="I144" s="79"/>
      <c r="J144" s="79"/>
      <c r="K144" s="79"/>
      <c r="L144" s="79"/>
      <c r="M144" s="79"/>
      <c r="N144" s="79"/>
      <c r="O144" s="79"/>
      <c r="P144" s="80"/>
      <c r="Q144" s="79"/>
      <c r="R144" s="79"/>
      <c r="S144" s="79"/>
      <c r="T144" s="79"/>
      <c r="U144" s="79"/>
      <c r="V144" s="79"/>
      <c r="W144" s="79"/>
      <c r="X144" s="79"/>
      <c r="Y144" s="80"/>
      <c r="Z144" s="80"/>
      <c r="AA144" s="79"/>
      <c r="AB144" s="79"/>
      <c r="AC144" s="79"/>
      <c r="AD144" s="79"/>
      <c r="AE144" s="79"/>
      <c r="AF144" s="79"/>
      <c r="AG144" s="79"/>
      <c r="AH144" s="79"/>
      <c r="AI144" s="80"/>
      <c r="AJ144" s="79"/>
      <c r="AK144" s="79"/>
      <c r="AL144" s="79"/>
      <c r="AM144" s="79"/>
      <c r="AN144" s="79"/>
      <c r="AO144" s="79"/>
      <c r="AP144" s="79"/>
      <c r="AQ144" s="79"/>
      <c r="AR144" s="190"/>
      <c r="AS144" s="190"/>
      <c r="AT144" s="190"/>
    </row>
    <row r="145" spans="2:46" ht="20.100000000000001" customHeight="1">
      <c r="B145" s="79"/>
      <c r="C145" s="79"/>
      <c r="D145" s="79"/>
      <c r="E145" s="79"/>
      <c r="F145" s="79"/>
      <c r="G145" s="80"/>
      <c r="H145" s="79"/>
      <c r="I145" s="79"/>
      <c r="J145" s="79"/>
      <c r="K145" s="79"/>
      <c r="L145" s="79"/>
      <c r="M145" s="79"/>
      <c r="N145" s="79"/>
      <c r="O145" s="79"/>
      <c r="P145" s="80"/>
      <c r="Q145" s="79"/>
      <c r="R145" s="79"/>
      <c r="S145" s="79"/>
      <c r="T145" s="79"/>
      <c r="U145" s="79"/>
      <c r="V145" s="79"/>
      <c r="W145" s="79"/>
      <c r="X145" s="79"/>
      <c r="Y145" s="80"/>
      <c r="Z145" s="80"/>
      <c r="AA145" s="79"/>
      <c r="AB145" s="79"/>
      <c r="AC145" s="79"/>
      <c r="AD145" s="79"/>
      <c r="AE145" s="79"/>
      <c r="AF145" s="79"/>
      <c r="AG145" s="79"/>
      <c r="AH145" s="79"/>
      <c r="AI145" s="80"/>
      <c r="AJ145" s="79"/>
      <c r="AK145" s="79"/>
      <c r="AL145" s="79"/>
      <c r="AM145" s="79"/>
      <c r="AN145" s="79"/>
      <c r="AO145" s="79"/>
      <c r="AP145" s="79"/>
      <c r="AQ145" s="79"/>
      <c r="AR145" s="190"/>
      <c r="AS145" s="190"/>
      <c r="AT145" s="190"/>
    </row>
    <row r="146" spans="2:46" ht="20.100000000000001" customHeight="1">
      <c r="B146" s="79"/>
      <c r="C146" s="79"/>
      <c r="D146" s="79"/>
      <c r="E146" s="79"/>
      <c r="F146" s="79"/>
      <c r="G146" s="80"/>
      <c r="H146" s="79"/>
      <c r="I146" s="79"/>
      <c r="J146" s="79"/>
      <c r="K146" s="79"/>
      <c r="L146" s="79"/>
      <c r="M146" s="79"/>
      <c r="N146" s="79"/>
      <c r="O146" s="79"/>
      <c r="P146" s="80"/>
      <c r="Q146" s="79"/>
      <c r="R146" s="79"/>
      <c r="S146" s="79"/>
      <c r="T146" s="79"/>
      <c r="U146" s="79"/>
      <c r="V146" s="79"/>
      <c r="W146" s="79"/>
      <c r="X146" s="79"/>
      <c r="Y146" s="80"/>
      <c r="Z146" s="80"/>
      <c r="AA146" s="79"/>
      <c r="AB146" s="79"/>
      <c r="AC146" s="79"/>
      <c r="AD146" s="79"/>
      <c r="AE146" s="79"/>
      <c r="AF146" s="79"/>
      <c r="AG146" s="79"/>
      <c r="AH146" s="79"/>
      <c r="AI146" s="80"/>
      <c r="AJ146" s="79"/>
      <c r="AK146" s="79"/>
      <c r="AL146" s="79"/>
      <c r="AM146" s="79"/>
      <c r="AN146" s="79"/>
      <c r="AO146" s="79"/>
      <c r="AP146" s="79"/>
      <c r="AQ146" s="79"/>
      <c r="AR146" s="190"/>
      <c r="AS146" s="190"/>
      <c r="AT146" s="190"/>
    </row>
    <row r="147" spans="2:46" ht="20.100000000000001" customHeight="1">
      <c r="B147" s="79"/>
      <c r="C147" s="79"/>
      <c r="D147" s="79"/>
      <c r="E147" s="79"/>
      <c r="F147" s="79"/>
      <c r="G147" s="80"/>
      <c r="H147" s="79"/>
      <c r="I147" s="79"/>
      <c r="J147" s="79"/>
      <c r="K147" s="79"/>
      <c r="L147" s="79"/>
      <c r="M147" s="79"/>
      <c r="N147" s="79"/>
      <c r="O147" s="79"/>
      <c r="P147" s="80"/>
      <c r="Q147" s="79"/>
      <c r="R147" s="79"/>
      <c r="S147" s="79"/>
      <c r="T147" s="79"/>
      <c r="U147" s="79"/>
      <c r="V147" s="79"/>
      <c r="W147" s="79"/>
      <c r="X147" s="79"/>
      <c r="Y147" s="80"/>
      <c r="Z147" s="80"/>
      <c r="AA147" s="79"/>
      <c r="AB147" s="79"/>
      <c r="AC147" s="79"/>
      <c r="AD147" s="79"/>
      <c r="AE147" s="79"/>
      <c r="AF147" s="79"/>
      <c r="AG147" s="79"/>
      <c r="AH147" s="79"/>
      <c r="AI147" s="80"/>
      <c r="AJ147" s="79"/>
      <c r="AK147" s="79"/>
      <c r="AL147" s="79"/>
      <c r="AM147" s="79"/>
      <c r="AN147" s="79"/>
      <c r="AO147" s="79"/>
      <c r="AP147" s="79"/>
      <c r="AQ147" s="79"/>
      <c r="AR147" s="190"/>
      <c r="AS147" s="190"/>
      <c r="AT147" s="190"/>
    </row>
    <row r="148" spans="2:46" ht="20.100000000000001" customHeight="1">
      <c r="B148" s="79"/>
      <c r="C148" s="79"/>
      <c r="D148" s="79"/>
      <c r="E148" s="79"/>
      <c r="F148" s="79"/>
      <c r="G148" s="80"/>
      <c r="H148" s="79"/>
      <c r="I148" s="79"/>
      <c r="J148" s="79"/>
      <c r="K148" s="79"/>
      <c r="L148" s="79"/>
      <c r="M148" s="79"/>
      <c r="N148" s="79"/>
      <c r="O148" s="79"/>
      <c r="P148" s="80"/>
      <c r="Q148" s="79"/>
      <c r="R148" s="79"/>
      <c r="S148" s="79"/>
      <c r="T148" s="79"/>
      <c r="U148" s="79"/>
      <c r="V148" s="79"/>
      <c r="W148" s="79"/>
      <c r="X148" s="79"/>
      <c r="Y148" s="80"/>
      <c r="Z148" s="80"/>
      <c r="AA148" s="79"/>
      <c r="AB148" s="79"/>
      <c r="AC148" s="79"/>
      <c r="AD148" s="79"/>
      <c r="AE148" s="79"/>
      <c r="AF148" s="79"/>
      <c r="AG148" s="79"/>
      <c r="AH148" s="79"/>
      <c r="AI148" s="80"/>
      <c r="AJ148" s="79"/>
      <c r="AK148" s="79"/>
      <c r="AL148" s="79"/>
      <c r="AM148" s="79"/>
      <c r="AN148" s="79"/>
      <c r="AO148" s="79"/>
      <c r="AP148" s="79"/>
      <c r="AQ148" s="79"/>
      <c r="AR148" s="190"/>
      <c r="AS148" s="190"/>
      <c r="AT148" s="190"/>
    </row>
    <row r="149" spans="2:46" ht="20.100000000000001" customHeight="1">
      <c r="B149" s="190"/>
      <c r="C149" s="190"/>
      <c r="D149" s="79"/>
      <c r="E149" s="190"/>
      <c r="F149" s="190"/>
      <c r="H149" s="190"/>
      <c r="I149" s="190"/>
      <c r="J149" s="190"/>
      <c r="K149" s="190"/>
      <c r="L149" s="190"/>
      <c r="M149" s="190"/>
      <c r="N149" s="190"/>
      <c r="O149" s="190"/>
      <c r="Q149" s="190"/>
      <c r="R149" s="190"/>
      <c r="S149" s="190"/>
      <c r="T149" s="190"/>
      <c r="U149" s="190"/>
      <c r="V149" s="190"/>
      <c r="W149" s="190"/>
      <c r="X149" s="190"/>
      <c r="AA149" s="190"/>
      <c r="AB149" s="190"/>
      <c r="AC149" s="190"/>
      <c r="AD149" s="190"/>
      <c r="AE149" s="190"/>
      <c r="AF149" s="190"/>
      <c r="AG149" s="190"/>
      <c r="AH149" s="190"/>
      <c r="AJ149" s="190"/>
      <c r="AK149" s="190"/>
      <c r="AL149" s="190"/>
      <c r="AM149" s="190"/>
      <c r="AN149" s="190"/>
      <c r="AO149" s="190"/>
      <c r="AP149" s="190"/>
      <c r="AQ149" s="190"/>
      <c r="AR149" s="190"/>
      <c r="AS149" s="190"/>
      <c r="AT149" s="190"/>
    </row>
    <row r="150" spans="2:46" ht="20.100000000000001" customHeight="1">
      <c r="F150" s="79"/>
    </row>
    <row r="151" spans="2:46" ht="20.100000000000001" customHeight="1">
      <c r="F151" s="79"/>
    </row>
  </sheetData>
  <mergeCells count="37">
    <mergeCell ref="AP6:AP7"/>
    <mergeCell ref="AD6:AD7"/>
    <mergeCell ref="AF6:AF7"/>
    <mergeCell ref="AG6:AG7"/>
    <mergeCell ref="AL6:AL7"/>
    <mergeCell ref="AM6:AM7"/>
    <mergeCell ref="AO6:AO7"/>
    <mergeCell ref="AH5:AH7"/>
    <mergeCell ref="AJ5:AJ7"/>
    <mergeCell ref="AK5:AK7"/>
    <mergeCell ref="AN5:AN7"/>
    <mergeCell ref="AE5:AE7"/>
    <mergeCell ref="T6:T7"/>
    <mergeCell ref="V6:V7"/>
    <mergeCell ref="W6:W7"/>
    <mergeCell ref="AC6:AC7"/>
    <mergeCell ref="R5:R7"/>
    <mergeCell ref="U5:U7"/>
    <mergeCell ref="X5:X7"/>
    <mergeCell ref="AA5:AA7"/>
    <mergeCell ref="AB5:AB7"/>
    <mergeCell ref="B4:F7"/>
    <mergeCell ref="H4:O4"/>
    <mergeCell ref="Q4:X4"/>
    <mergeCell ref="AA4:AH4"/>
    <mergeCell ref="AJ4:AQ4"/>
    <mergeCell ref="H5:H7"/>
    <mergeCell ref="I5:I7"/>
    <mergeCell ref="L5:L7"/>
    <mergeCell ref="O5:O7"/>
    <mergeCell ref="Q5:Q7"/>
    <mergeCell ref="AQ5:AQ7"/>
    <mergeCell ref="J6:J7"/>
    <mergeCell ref="K6:K7"/>
    <mergeCell ref="M6:M7"/>
    <mergeCell ref="N6:N7"/>
    <mergeCell ref="S6:S7"/>
  </mergeCells>
  <phoneticPr fontId="4" type="noConversion"/>
  <printOptions horizontalCentered="1" verticalCentered="1"/>
  <pageMargins left="0.15748031496062992" right="0.15748031496062992" top="0.39370078740157483" bottom="0.39370078740157483" header="0" footer="0"/>
  <pageSetup paperSize="9" scale="60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B2:AO43"/>
  <sheetViews>
    <sheetView showGridLines="0" zoomScaleNormal="100" workbookViewId="0">
      <pane ySplit="7" topLeftCell="A8" activePane="bottomLeft" state="frozen"/>
      <selection activeCell="V28" sqref="V28"/>
      <selection pane="bottomLeft" activeCell="V28" sqref="V28"/>
    </sheetView>
  </sheetViews>
  <sheetFormatPr defaultRowHeight="20.100000000000001" customHeight="1"/>
  <cols>
    <col min="1" max="1" width="4.7109375" style="2" customWidth="1"/>
    <col min="2" max="2" width="2.28515625" style="2" customWidth="1"/>
    <col min="3" max="3" width="3.5703125" style="2" customWidth="1"/>
    <col min="4" max="5" width="2.28515625" style="2" customWidth="1"/>
    <col min="6" max="6" width="27.140625" style="2" customWidth="1"/>
    <col min="7" max="7" width="1" style="43" customWidth="1"/>
    <col min="8" max="15" width="10.7109375" style="2" customWidth="1"/>
    <col min="16" max="16" width="1" style="43" customWidth="1"/>
    <col min="17" max="24" width="10.7109375" style="2" customWidth="1"/>
    <col min="25" max="16384" width="9.140625" style="2"/>
  </cols>
  <sheetData>
    <row r="2" spans="2:41" ht="20.100000000000001" customHeight="1">
      <c r="B2" s="42" t="s">
        <v>1186</v>
      </c>
    </row>
    <row r="3" spans="2:41" ht="14.25" customHeight="1" thickBot="1">
      <c r="G3" s="45"/>
      <c r="P3" s="45"/>
      <c r="X3" s="222" t="s">
        <v>1118</v>
      </c>
    </row>
    <row r="4" spans="2:41" ht="20.100000000000001" customHeight="1">
      <c r="B4" s="676" t="s">
        <v>1119</v>
      </c>
      <c r="C4" s="676"/>
      <c r="D4" s="676"/>
      <c r="E4" s="676"/>
      <c r="F4" s="677"/>
      <c r="G4" s="45"/>
      <c r="H4" s="680" t="s">
        <v>1120</v>
      </c>
      <c r="I4" s="676"/>
      <c r="J4" s="676"/>
      <c r="K4" s="676"/>
      <c r="L4" s="676"/>
      <c r="M4" s="676"/>
      <c r="N4" s="676"/>
      <c r="O4" s="677"/>
      <c r="P4" s="45"/>
      <c r="Q4" s="702" t="s">
        <v>1121</v>
      </c>
      <c r="R4" s="703"/>
      <c r="S4" s="703"/>
      <c r="T4" s="703"/>
      <c r="U4" s="703"/>
      <c r="V4" s="703"/>
      <c r="W4" s="703"/>
      <c r="X4" s="704"/>
    </row>
    <row r="5" spans="2:41" ht="8.25" customHeight="1">
      <c r="B5" s="687"/>
      <c r="C5" s="687"/>
      <c r="D5" s="687"/>
      <c r="E5" s="687"/>
      <c r="F5" s="688"/>
      <c r="G5" s="45"/>
      <c r="H5" s="689" t="s">
        <v>1122</v>
      </c>
      <c r="I5" s="692" t="s">
        <v>1123</v>
      </c>
      <c r="J5" s="223"/>
      <c r="K5" s="225"/>
      <c r="L5" s="692" t="s">
        <v>1124</v>
      </c>
      <c r="M5" s="224"/>
      <c r="N5" s="226"/>
      <c r="O5" s="711" t="s">
        <v>1125</v>
      </c>
      <c r="P5" s="45"/>
      <c r="Q5" s="689" t="s">
        <v>1122</v>
      </c>
      <c r="R5" s="692" t="s">
        <v>1123</v>
      </c>
      <c r="S5" s="223"/>
      <c r="T5" s="225"/>
      <c r="U5" s="692" t="s">
        <v>1124</v>
      </c>
      <c r="V5" s="224"/>
      <c r="W5" s="226"/>
      <c r="X5" s="711" t="s">
        <v>1125</v>
      </c>
    </row>
    <row r="6" spans="2:41" ht="8.25" customHeight="1">
      <c r="B6" s="687"/>
      <c r="C6" s="687"/>
      <c r="D6" s="687"/>
      <c r="E6" s="687"/>
      <c r="F6" s="688"/>
      <c r="G6" s="45"/>
      <c r="H6" s="690"/>
      <c r="I6" s="693"/>
      <c r="J6" s="698" t="s">
        <v>1126</v>
      </c>
      <c r="K6" s="700" t="s">
        <v>1127</v>
      </c>
      <c r="L6" s="693"/>
      <c r="M6" s="698" t="s">
        <v>1128</v>
      </c>
      <c r="N6" s="700" t="s">
        <v>1129</v>
      </c>
      <c r="O6" s="712"/>
      <c r="P6" s="45"/>
      <c r="Q6" s="690"/>
      <c r="R6" s="693"/>
      <c r="S6" s="698" t="s">
        <v>1126</v>
      </c>
      <c r="T6" s="700" t="s">
        <v>1127</v>
      </c>
      <c r="U6" s="693"/>
      <c r="V6" s="698" t="s">
        <v>1128</v>
      </c>
      <c r="W6" s="700" t="s">
        <v>1129</v>
      </c>
      <c r="X6" s="712"/>
    </row>
    <row r="7" spans="2:41" ht="16.5" customHeight="1" thickBot="1">
      <c r="B7" s="687"/>
      <c r="C7" s="687"/>
      <c r="D7" s="687"/>
      <c r="E7" s="687"/>
      <c r="F7" s="688"/>
      <c r="G7" s="50"/>
      <c r="H7" s="690"/>
      <c r="I7" s="693"/>
      <c r="J7" s="714"/>
      <c r="K7" s="715"/>
      <c r="L7" s="693"/>
      <c r="M7" s="714"/>
      <c r="N7" s="715"/>
      <c r="O7" s="712"/>
      <c r="P7" s="50"/>
      <c r="Q7" s="690"/>
      <c r="R7" s="693"/>
      <c r="S7" s="714"/>
      <c r="T7" s="715"/>
      <c r="U7" s="693"/>
      <c r="V7" s="714"/>
      <c r="W7" s="715"/>
      <c r="X7" s="712"/>
    </row>
    <row r="8" spans="2:41" s="81" customFormat="1" ht="20.100000000000001" customHeight="1" thickBot="1">
      <c r="B8" s="336" t="s">
        <v>1187</v>
      </c>
      <c r="C8" s="337"/>
      <c r="D8" s="337"/>
      <c r="E8" s="337"/>
      <c r="F8" s="337"/>
      <c r="G8" s="80"/>
      <c r="H8" s="56"/>
      <c r="I8" s="56"/>
      <c r="J8" s="56"/>
      <c r="K8" s="56"/>
      <c r="L8" s="56"/>
      <c r="M8" s="56"/>
      <c r="N8" s="56"/>
      <c r="O8" s="56"/>
      <c r="P8" s="58"/>
      <c r="Q8" s="56"/>
      <c r="R8" s="56"/>
      <c r="S8" s="56"/>
      <c r="T8" s="56"/>
      <c r="U8" s="56"/>
      <c r="V8" s="56"/>
      <c r="W8" s="56"/>
      <c r="X8" s="56"/>
      <c r="Y8" s="79"/>
    </row>
    <row r="9" spans="2:41" s="81" customFormat="1" ht="18" customHeight="1">
      <c r="B9" s="56"/>
      <c r="C9" s="337" t="s">
        <v>1188</v>
      </c>
      <c r="D9" s="337"/>
      <c r="E9" s="337"/>
      <c r="F9" s="338"/>
      <c r="G9" s="339"/>
      <c r="H9" s="59"/>
      <c r="I9" s="60"/>
      <c r="J9" s="340">
        <v>0.28224808906850968</v>
      </c>
      <c r="K9" s="341"/>
      <c r="L9" s="60"/>
      <c r="M9" s="60"/>
      <c r="N9" s="237"/>
      <c r="O9" s="57"/>
      <c r="P9" s="342"/>
      <c r="Q9" s="59"/>
      <c r="R9" s="60"/>
      <c r="S9" s="60"/>
      <c r="T9" s="237"/>
      <c r="U9" s="60"/>
      <c r="V9" s="60"/>
      <c r="W9" s="237"/>
      <c r="X9" s="57"/>
      <c r="Y9" s="79"/>
    </row>
    <row r="10" spans="2:41" s="81" customFormat="1" ht="18" customHeight="1" thickBot="1">
      <c r="B10" s="332"/>
      <c r="C10" s="343" t="s">
        <v>1189</v>
      </c>
      <c r="D10" s="343"/>
      <c r="E10" s="343"/>
      <c r="F10" s="344"/>
      <c r="G10" s="80"/>
      <c r="H10" s="200"/>
      <c r="I10" s="198"/>
      <c r="J10" s="345">
        <v>0.25227576475292851</v>
      </c>
      <c r="K10" s="346"/>
      <c r="L10" s="198"/>
      <c r="M10" s="198"/>
      <c r="N10" s="334"/>
      <c r="O10" s="333"/>
      <c r="P10" s="58"/>
      <c r="Q10" s="200"/>
      <c r="R10" s="198"/>
      <c r="S10" s="198"/>
      <c r="T10" s="334"/>
      <c r="U10" s="198"/>
      <c r="V10" s="198"/>
      <c r="W10" s="334"/>
      <c r="X10" s="333"/>
      <c r="Y10" s="79"/>
    </row>
    <row r="11" spans="2:41" s="190" customFormat="1" ht="5.0999999999999996" customHeight="1">
      <c r="G11" s="43"/>
      <c r="H11" s="78"/>
      <c r="I11" s="78"/>
      <c r="J11" s="78"/>
      <c r="K11" s="78"/>
      <c r="L11" s="78"/>
      <c r="M11" s="78"/>
      <c r="N11" s="78"/>
      <c r="O11" s="78"/>
      <c r="P11" s="58"/>
      <c r="Q11" s="78"/>
      <c r="R11" s="78"/>
      <c r="S11" s="78"/>
      <c r="T11" s="78"/>
      <c r="U11" s="78"/>
      <c r="V11" s="78"/>
      <c r="W11" s="78"/>
      <c r="X11" s="78"/>
      <c r="Y11" s="204"/>
      <c r="Z11" s="204"/>
      <c r="AA11" s="204"/>
      <c r="AB11" s="189"/>
      <c r="AC11" s="43"/>
      <c r="AD11" s="204"/>
      <c r="AE11" s="189"/>
      <c r="AF11" s="204"/>
      <c r="AG11" s="189"/>
      <c r="AH11" s="204"/>
      <c r="AK11" s="189"/>
      <c r="AO11" s="189"/>
    </row>
    <row r="12" spans="2:41" s="81" customFormat="1" ht="20.100000000000001" customHeight="1" thickBot="1">
      <c r="B12" s="205" t="s">
        <v>1190</v>
      </c>
      <c r="C12" s="79"/>
      <c r="D12" s="79"/>
      <c r="E12" s="79"/>
      <c r="F12" s="79"/>
      <c r="G12" s="80"/>
      <c r="H12" s="78"/>
      <c r="I12" s="78"/>
      <c r="J12" s="78"/>
      <c r="K12" s="78"/>
      <c r="L12" s="78"/>
      <c r="M12" s="78"/>
      <c r="N12" s="78"/>
      <c r="O12" s="78"/>
      <c r="P12" s="58"/>
      <c r="Q12" s="78"/>
      <c r="R12" s="78"/>
      <c r="S12" s="78"/>
      <c r="T12" s="78"/>
      <c r="U12" s="78"/>
      <c r="V12" s="78"/>
      <c r="W12" s="78"/>
      <c r="X12" s="78"/>
      <c r="Y12" s="79"/>
    </row>
    <row r="13" spans="2:41" s="13" customFormat="1" ht="18" customHeight="1">
      <c r="B13" s="56"/>
      <c r="C13" s="337" t="s">
        <v>1191</v>
      </c>
      <c r="D13" s="337"/>
      <c r="E13" s="337"/>
      <c r="F13" s="338"/>
      <c r="G13" s="339"/>
      <c r="H13" s="59"/>
      <c r="I13" s="60"/>
      <c r="J13" s="347"/>
      <c r="K13" s="341"/>
      <c r="L13" s="60"/>
      <c r="M13" s="60"/>
      <c r="N13" s="237"/>
      <c r="O13" s="57"/>
      <c r="P13" s="342"/>
      <c r="Q13" s="59"/>
      <c r="R13" s="60"/>
      <c r="S13" s="60"/>
      <c r="T13" s="237"/>
      <c r="U13" s="60"/>
      <c r="V13" s="60"/>
      <c r="W13" s="237"/>
      <c r="X13" s="57"/>
      <c r="Y13" s="79"/>
      <c r="Z13" s="81"/>
      <c r="AA13" s="81"/>
    </row>
    <row r="14" spans="2:41" s="13" customFormat="1" ht="18" customHeight="1" thickBot="1">
      <c r="B14" s="332"/>
      <c r="C14" s="343" t="s">
        <v>1192</v>
      </c>
      <c r="D14" s="343"/>
      <c r="E14" s="343"/>
      <c r="F14" s="344"/>
      <c r="G14" s="80"/>
      <c r="H14" s="200"/>
      <c r="I14" s="198"/>
      <c r="J14" s="348"/>
      <c r="K14" s="346"/>
      <c r="L14" s="198"/>
      <c r="M14" s="198"/>
      <c r="N14" s="334"/>
      <c r="O14" s="333"/>
      <c r="P14" s="58"/>
      <c r="Q14" s="200"/>
      <c r="R14" s="198"/>
      <c r="S14" s="198"/>
      <c r="T14" s="334"/>
      <c r="U14" s="198"/>
      <c r="V14" s="198"/>
      <c r="W14" s="334"/>
      <c r="X14" s="333"/>
      <c r="Y14" s="79"/>
      <c r="Z14" s="81"/>
      <c r="AA14" s="81"/>
    </row>
    <row r="15" spans="2:41" s="190" customFormat="1" ht="5.0999999999999996" customHeight="1">
      <c r="G15" s="43"/>
      <c r="H15" s="78"/>
      <c r="I15" s="78"/>
      <c r="J15" s="78"/>
      <c r="K15" s="78"/>
      <c r="L15" s="78"/>
      <c r="M15" s="78"/>
      <c r="N15" s="78"/>
      <c r="O15" s="78"/>
      <c r="P15" s="58"/>
      <c r="Q15" s="78"/>
      <c r="R15" s="78"/>
      <c r="S15" s="78"/>
      <c r="T15" s="78"/>
      <c r="U15" s="78"/>
      <c r="V15" s="78"/>
      <c r="W15" s="78"/>
      <c r="X15" s="78"/>
      <c r="Y15" s="204"/>
      <c r="Z15" s="204"/>
      <c r="AA15" s="204"/>
      <c r="AB15" s="189"/>
      <c r="AC15" s="43"/>
      <c r="AD15" s="204"/>
      <c r="AE15" s="189"/>
      <c r="AF15" s="204"/>
      <c r="AG15" s="189"/>
      <c r="AH15" s="204"/>
      <c r="AK15" s="189"/>
      <c r="AO15" s="189"/>
    </row>
    <row r="16" spans="2:41" s="81" customFormat="1" ht="20.100000000000001" customHeight="1" thickBot="1">
      <c r="B16" s="205" t="s">
        <v>1193</v>
      </c>
      <c r="C16" s="79"/>
      <c r="D16" s="79"/>
      <c r="E16" s="79"/>
      <c r="F16" s="79"/>
      <c r="G16" s="80"/>
      <c r="H16" s="78"/>
      <c r="I16" s="78"/>
      <c r="J16" s="78"/>
      <c r="K16" s="78"/>
      <c r="L16" s="78"/>
      <c r="M16" s="78"/>
      <c r="N16" s="78"/>
      <c r="O16" s="78"/>
      <c r="P16" s="58"/>
      <c r="Q16" s="78"/>
      <c r="R16" s="78"/>
      <c r="S16" s="78"/>
      <c r="T16" s="78"/>
      <c r="U16" s="78"/>
      <c r="V16" s="78"/>
      <c r="W16" s="78"/>
      <c r="X16" s="78"/>
      <c r="Y16" s="79"/>
    </row>
    <row r="17" spans="2:27" s="13" customFormat="1" ht="18" customHeight="1">
      <c r="B17" s="56"/>
      <c r="C17" s="56" t="s">
        <v>1194</v>
      </c>
      <c r="D17" s="337"/>
      <c r="E17" s="337"/>
      <c r="F17" s="338"/>
      <c r="G17" s="339"/>
      <c r="H17" s="59"/>
      <c r="I17" s="60"/>
      <c r="J17" s="349">
        <v>4.0016492051057133</v>
      </c>
      <c r="K17" s="350"/>
      <c r="L17" s="60"/>
      <c r="M17" s="60"/>
      <c r="N17" s="237"/>
      <c r="O17" s="57"/>
      <c r="P17" s="58"/>
      <c r="Q17" s="59"/>
      <c r="R17" s="60"/>
      <c r="S17" s="60"/>
      <c r="T17" s="237"/>
      <c r="U17" s="60"/>
      <c r="V17" s="60"/>
      <c r="W17" s="237"/>
      <c r="X17" s="57"/>
      <c r="Y17" s="79"/>
      <c r="Z17" s="81"/>
      <c r="AA17" s="81"/>
    </row>
    <row r="18" spans="2:27" s="13" customFormat="1" ht="18" customHeight="1">
      <c r="B18" s="79"/>
      <c r="C18" s="81"/>
      <c r="D18" s="79" t="s">
        <v>1195</v>
      </c>
      <c r="E18" s="79"/>
      <c r="F18" s="317"/>
      <c r="G18" s="80"/>
      <c r="H18" s="252"/>
      <c r="I18" s="196"/>
      <c r="J18" s="351">
        <v>0.50026060666553929</v>
      </c>
      <c r="K18" s="352">
        <v>0.24</v>
      </c>
      <c r="L18" s="196"/>
      <c r="M18" s="196"/>
      <c r="N18" s="256"/>
      <c r="O18" s="353"/>
      <c r="P18" s="58"/>
      <c r="Q18" s="252"/>
      <c r="R18" s="196"/>
      <c r="S18" s="196"/>
      <c r="T18" s="256"/>
      <c r="U18" s="196"/>
      <c r="V18" s="196"/>
      <c r="W18" s="256"/>
      <c r="X18" s="353"/>
      <c r="Y18" s="79"/>
      <c r="Z18" s="81"/>
      <c r="AA18" s="81"/>
    </row>
    <row r="19" spans="2:27" s="13" customFormat="1" ht="18" customHeight="1">
      <c r="B19" s="79"/>
      <c r="C19" s="79"/>
      <c r="D19" s="79" t="s">
        <v>1196</v>
      </c>
      <c r="E19" s="79"/>
      <c r="F19" s="317"/>
      <c r="G19" s="80"/>
      <c r="H19" s="252"/>
      <c r="I19" s="196"/>
      <c r="J19" s="354">
        <v>7.9991291574575403</v>
      </c>
      <c r="K19" s="355"/>
      <c r="L19" s="196"/>
      <c r="M19" s="196"/>
      <c r="N19" s="256"/>
      <c r="O19" s="353"/>
      <c r="P19" s="58"/>
      <c r="Q19" s="252"/>
      <c r="R19" s="196"/>
      <c r="S19" s="196"/>
      <c r="T19" s="256"/>
      <c r="U19" s="196"/>
      <c r="V19" s="196"/>
      <c r="W19" s="256"/>
      <c r="X19" s="353"/>
      <c r="Y19" s="79"/>
      <c r="Z19" s="81"/>
      <c r="AA19" s="81"/>
    </row>
    <row r="20" spans="2:27" s="13" customFormat="1" ht="18" customHeight="1">
      <c r="B20" s="79"/>
      <c r="C20" s="78" t="s">
        <v>1197</v>
      </c>
      <c r="D20" s="79"/>
      <c r="E20" s="79"/>
      <c r="F20" s="317"/>
      <c r="G20" s="80"/>
      <c r="H20" s="252"/>
      <c r="I20" s="196"/>
      <c r="J20" s="196"/>
      <c r="K20" s="355"/>
      <c r="L20" s="196"/>
      <c r="M20" s="196"/>
      <c r="N20" s="256"/>
      <c r="O20" s="353"/>
      <c r="P20" s="58"/>
      <c r="Q20" s="252"/>
      <c r="R20" s="196"/>
      <c r="S20" s="196"/>
      <c r="T20" s="256"/>
      <c r="U20" s="196"/>
      <c r="V20" s="196"/>
      <c r="W20" s="256"/>
      <c r="X20" s="353"/>
      <c r="Y20" s="79"/>
      <c r="Z20" s="81"/>
      <c r="AA20" s="81"/>
    </row>
    <row r="21" spans="2:27" ht="18" customHeight="1">
      <c r="B21" s="79"/>
      <c r="C21" s="79"/>
      <c r="D21" s="79" t="s">
        <v>1198</v>
      </c>
      <c r="E21" s="79"/>
      <c r="F21" s="317"/>
      <c r="G21" s="80"/>
      <c r="H21" s="252"/>
      <c r="I21" s="196"/>
      <c r="J21" s="356">
        <v>26.338072669826225</v>
      </c>
      <c r="K21" s="355"/>
      <c r="L21" s="196"/>
      <c r="M21" s="196"/>
      <c r="N21" s="256"/>
      <c r="O21" s="353"/>
      <c r="P21" s="58"/>
      <c r="Q21" s="252"/>
      <c r="R21" s="196"/>
      <c r="S21" s="196"/>
      <c r="T21" s="256"/>
      <c r="U21" s="196"/>
      <c r="V21" s="196"/>
      <c r="W21" s="256"/>
      <c r="X21" s="353"/>
      <c r="Y21" s="204"/>
      <c r="Z21" s="190"/>
      <c r="AA21" s="190"/>
    </row>
    <row r="22" spans="2:27" ht="18" customHeight="1">
      <c r="B22" s="79"/>
      <c r="C22" s="79"/>
      <c r="D22" s="79" t="s">
        <v>1199</v>
      </c>
      <c r="E22" s="79"/>
      <c r="F22" s="317"/>
      <c r="G22" s="80"/>
      <c r="H22" s="252"/>
      <c r="I22" s="196"/>
      <c r="J22" s="196">
        <v>1038.3399790067178</v>
      </c>
      <c r="K22" s="355"/>
      <c r="L22" s="196"/>
      <c r="M22" s="196"/>
      <c r="N22" s="256"/>
      <c r="O22" s="353"/>
      <c r="P22" s="58"/>
      <c r="Q22" s="252"/>
      <c r="R22" s="196"/>
      <c r="S22" s="196"/>
      <c r="T22" s="256"/>
      <c r="U22" s="196"/>
      <c r="V22" s="196"/>
      <c r="W22" s="256"/>
      <c r="X22" s="353"/>
      <c r="Y22" s="204"/>
      <c r="Z22" s="190"/>
      <c r="AA22" s="190"/>
    </row>
    <row r="23" spans="2:27" ht="18" customHeight="1">
      <c r="B23" s="79"/>
      <c r="C23" s="79"/>
      <c r="D23" s="79" t="s">
        <v>1200</v>
      </c>
      <c r="E23" s="79"/>
      <c r="F23" s="317"/>
      <c r="G23" s="80"/>
      <c r="H23" s="252"/>
      <c r="I23" s="196"/>
      <c r="J23" s="351">
        <v>2.5234225047984644</v>
      </c>
      <c r="K23" s="355"/>
      <c r="L23" s="196"/>
      <c r="M23" s="196"/>
      <c r="N23" s="256"/>
      <c r="O23" s="353"/>
      <c r="P23" s="58"/>
      <c r="Q23" s="252"/>
      <c r="R23" s="196"/>
      <c r="S23" s="196"/>
      <c r="T23" s="256"/>
      <c r="U23" s="196"/>
      <c r="V23" s="196"/>
      <c r="W23" s="256"/>
      <c r="X23" s="353"/>
      <c r="Y23" s="190"/>
      <c r="Z23" s="190"/>
      <c r="AA23" s="190"/>
    </row>
    <row r="24" spans="2:27" ht="18" customHeight="1">
      <c r="B24" s="79"/>
      <c r="C24" s="79"/>
      <c r="D24" s="79" t="s">
        <v>1201</v>
      </c>
      <c r="E24" s="79"/>
      <c r="F24" s="317"/>
      <c r="G24" s="80"/>
      <c r="H24" s="252"/>
      <c r="I24" s="196"/>
      <c r="J24" s="351">
        <v>1.4492562380038387</v>
      </c>
      <c r="K24" s="355"/>
      <c r="L24" s="196"/>
      <c r="M24" s="196"/>
      <c r="N24" s="256"/>
      <c r="O24" s="353"/>
      <c r="P24" s="58"/>
      <c r="Q24" s="252"/>
      <c r="R24" s="196"/>
      <c r="S24" s="196"/>
      <c r="T24" s="256"/>
      <c r="U24" s="196"/>
      <c r="V24" s="196"/>
      <c r="W24" s="256"/>
      <c r="X24" s="353"/>
      <c r="Y24" s="190"/>
      <c r="Z24" s="190"/>
      <c r="AA24" s="190"/>
    </row>
    <row r="25" spans="2:27" ht="18" customHeight="1">
      <c r="B25" s="79"/>
      <c r="C25" s="78" t="s">
        <v>1202</v>
      </c>
      <c r="D25" s="79"/>
      <c r="E25" s="79"/>
      <c r="F25" s="317"/>
      <c r="G25" s="80"/>
      <c r="H25" s="252"/>
      <c r="I25" s="196"/>
      <c r="J25" s="196"/>
      <c r="K25" s="355"/>
      <c r="L25" s="196"/>
      <c r="M25" s="196"/>
      <c r="N25" s="256"/>
      <c r="O25" s="353"/>
      <c r="P25" s="58"/>
      <c r="Q25" s="252"/>
      <c r="R25" s="196"/>
      <c r="S25" s="196"/>
      <c r="T25" s="256"/>
      <c r="U25" s="196"/>
      <c r="V25" s="196"/>
      <c r="W25" s="256"/>
      <c r="X25" s="353"/>
      <c r="Y25" s="190"/>
      <c r="Z25" s="190"/>
      <c r="AA25" s="190"/>
    </row>
    <row r="26" spans="2:27" ht="18" customHeight="1">
      <c r="B26" s="79"/>
      <c r="C26" s="79"/>
      <c r="D26" s="79" t="s">
        <v>1203</v>
      </c>
      <c r="E26" s="79"/>
      <c r="F26" s="317"/>
      <c r="G26" s="80"/>
      <c r="H26" s="252"/>
      <c r="I26" s="196"/>
      <c r="J26" s="357">
        <v>416.58033545499393</v>
      </c>
      <c r="K26" s="355"/>
      <c r="L26" s="196"/>
      <c r="M26" s="196"/>
      <c r="N26" s="256"/>
      <c r="O26" s="353"/>
      <c r="P26" s="58"/>
      <c r="Q26" s="252"/>
      <c r="R26" s="196"/>
      <c r="S26" s="196"/>
      <c r="T26" s="256"/>
      <c r="U26" s="196"/>
      <c r="V26" s="196"/>
      <c r="W26" s="256"/>
      <c r="X26" s="353"/>
      <c r="Y26" s="190"/>
      <c r="Z26" s="190"/>
      <c r="AA26" s="190"/>
    </row>
    <row r="27" spans="2:27" ht="18" customHeight="1">
      <c r="B27" s="79"/>
      <c r="C27" s="79"/>
      <c r="D27" s="79" t="s">
        <v>1204</v>
      </c>
      <c r="E27" s="79"/>
      <c r="F27" s="317"/>
      <c r="G27" s="80"/>
      <c r="H27" s="252"/>
      <c r="I27" s="196"/>
      <c r="J27" s="196">
        <v>179.2239048982687</v>
      </c>
      <c r="K27" s="355"/>
      <c r="L27" s="196"/>
      <c r="M27" s="196"/>
      <c r="N27" s="256"/>
      <c r="O27" s="353"/>
      <c r="P27" s="58"/>
      <c r="Q27" s="252"/>
      <c r="R27" s="196"/>
      <c r="S27" s="196"/>
      <c r="T27" s="256"/>
      <c r="U27" s="196"/>
      <c r="V27" s="196"/>
      <c r="W27" s="256"/>
      <c r="X27" s="353"/>
      <c r="Y27" s="190"/>
      <c r="Z27" s="190"/>
      <c r="AA27" s="190"/>
    </row>
    <row r="28" spans="2:27" s="28" customFormat="1" ht="18" customHeight="1">
      <c r="B28" s="358"/>
      <c r="C28" s="358"/>
      <c r="D28" s="358"/>
      <c r="E28" s="358" t="s">
        <v>1205</v>
      </c>
      <c r="F28" s="359"/>
      <c r="G28" s="360"/>
      <c r="H28" s="361"/>
      <c r="I28" s="362"/>
      <c r="J28" s="363">
        <v>8.146541131739486</v>
      </c>
      <c r="K28" s="364"/>
      <c r="L28" s="362"/>
      <c r="M28" s="362"/>
      <c r="N28" s="365"/>
      <c r="O28" s="366"/>
      <c r="P28" s="367"/>
      <c r="Q28" s="361"/>
      <c r="R28" s="362"/>
      <c r="S28" s="362"/>
      <c r="T28" s="365"/>
      <c r="U28" s="362"/>
      <c r="V28" s="362"/>
      <c r="W28" s="365"/>
      <c r="X28" s="366"/>
      <c r="Y28" s="368"/>
      <c r="Z28" s="368"/>
      <c r="AA28" s="368"/>
    </row>
    <row r="29" spans="2:27" ht="18" customHeight="1">
      <c r="B29" s="79"/>
      <c r="C29" s="79"/>
      <c r="D29" s="79"/>
      <c r="E29" s="79"/>
      <c r="F29" s="317" t="s">
        <v>1206</v>
      </c>
      <c r="G29" s="80"/>
      <c r="H29" s="252"/>
      <c r="I29" s="196"/>
      <c r="J29" s="196">
        <v>169.61612734776395</v>
      </c>
      <c r="K29" s="355"/>
      <c r="L29" s="196"/>
      <c r="M29" s="196"/>
      <c r="N29" s="256"/>
      <c r="O29" s="353"/>
      <c r="P29" s="58"/>
      <c r="Q29" s="252"/>
      <c r="R29" s="196"/>
      <c r="S29" s="196"/>
      <c r="T29" s="256"/>
      <c r="U29" s="196"/>
      <c r="V29" s="196"/>
      <c r="W29" s="256"/>
      <c r="X29" s="353"/>
      <c r="Y29" s="190"/>
      <c r="Z29" s="190"/>
      <c r="AA29" s="190"/>
    </row>
    <row r="30" spans="2:27" ht="18" customHeight="1">
      <c r="B30" s="79"/>
      <c r="C30" s="79"/>
      <c r="D30" s="79"/>
      <c r="E30" s="79"/>
      <c r="F30" s="317" t="s">
        <v>1207</v>
      </c>
      <c r="G30" s="80"/>
      <c r="H30" s="252"/>
      <c r="I30" s="196"/>
      <c r="J30" s="196">
        <v>9.6077775505047462</v>
      </c>
      <c r="K30" s="355"/>
      <c r="L30" s="196"/>
      <c r="M30" s="196"/>
      <c r="N30" s="256"/>
      <c r="O30" s="353"/>
      <c r="P30" s="58"/>
      <c r="Q30" s="252"/>
      <c r="R30" s="196"/>
      <c r="S30" s="196"/>
      <c r="T30" s="256"/>
      <c r="U30" s="196"/>
      <c r="V30" s="196"/>
      <c r="W30" s="256"/>
      <c r="X30" s="353"/>
      <c r="Y30" s="190"/>
      <c r="Z30" s="190"/>
      <c r="AA30" s="190"/>
    </row>
    <row r="31" spans="2:27" ht="18" customHeight="1">
      <c r="B31" s="79"/>
      <c r="C31" s="78" t="s">
        <v>1208</v>
      </c>
      <c r="D31" s="79"/>
      <c r="E31" s="79"/>
      <c r="F31" s="317"/>
      <c r="G31" s="80"/>
      <c r="H31" s="252"/>
      <c r="I31" s="196"/>
      <c r="J31" s="196"/>
      <c r="K31" s="355"/>
      <c r="L31" s="196"/>
      <c r="M31" s="196"/>
      <c r="N31" s="256"/>
      <c r="O31" s="353"/>
      <c r="P31" s="58"/>
      <c r="Q31" s="252"/>
      <c r="R31" s="196"/>
      <c r="S31" s="196"/>
      <c r="T31" s="256"/>
      <c r="U31" s="196"/>
      <c r="V31" s="196"/>
      <c r="W31" s="256"/>
      <c r="X31" s="353"/>
      <c r="Y31" s="190"/>
      <c r="Z31" s="190"/>
      <c r="AA31" s="190"/>
    </row>
    <row r="32" spans="2:27" ht="18" customHeight="1">
      <c r="B32" s="79"/>
      <c r="C32" s="79"/>
      <c r="D32" s="79" t="s">
        <v>1203</v>
      </c>
      <c r="E32" s="79"/>
      <c r="F32" s="317"/>
      <c r="G32" s="80"/>
      <c r="H32" s="252"/>
      <c r="I32" s="196"/>
      <c r="J32" s="357">
        <v>716.46403981458491</v>
      </c>
      <c r="K32" s="355"/>
      <c r="L32" s="196"/>
      <c r="M32" s="196"/>
      <c r="N32" s="256"/>
      <c r="O32" s="353"/>
      <c r="P32" s="58"/>
      <c r="Q32" s="252"/>
      <c r="R32" s="196"/>
      <c r="S32" s="196"/>
      <c r="T32" s="256"/>
      <c r="U32" s="196"/>
      <c r="V32" s="196"/>
      <c r="W32" s="256"/>
      <c r="X32" s="353"/>
      <c r="Y32" s="190"/>
      <c r="Z32" s="190"/>
      <c r="AA32" s="190"/>
    </row>
    <row r="33" spans="2:27" ht="18" customHeight="1">
      <c r="B33" s="79"/>
      <c r="C33" s="79"/>
      <c r="D33" s="79" t="s">
        <v>1204</v>
      </c>
      <c r="E33" s="79"/>
      <c r="F33" s="317"/>
      <c r="G33" s="80"/>
      <c r="H33" s="252"/>
      <c r="I33" s="196"/>
      <c r="J33" s="196">
        <v>179.04219062991501</v>
      </c>
      <c r="K33" s="355"/>
      <c r="L33" s="196"/>
      <c r="M33" s="196"/>
      <c r="N33" s="256"/>
      <c r="O33" s="353"/>
      <c r="P33" s="58"/>
      <c r="Q33" s="252"/>
      <c r="R33" s="196"/>
      <c r="S33" s="196"/>
      <c r="T33" s="256"/>
      <c r="U33" s="196"/>
      <c r="V33" s="196"/>
      <c r="W33" s="256"/>
      <c r="X33" s="353"/>
      <c r="Y33" s="190"/>
      <c r="Z33" s="190"/>
      <c r="AA33" s="190"/>
    </row>
    <row r="34" spans="2:27" s="28" customFormat="1" ht="18" customHeight="1">
      <c r="B34" s="358"/>
      <c r="C34" s="358"/>
      <c r="D34" s="358"/>
      <c r="E34" s="358" t="s">
        <v>1205</v>
      </c>
      <c r="F34" s="359"/>
      <c r="G34" s="360"/>
      <c r="H34" s="361"/>
      <c r="I34" s="362"/>
      <c r="J34" s="363">
        <v>8.1382813922688637</v>
      </c>
      <c r="K34" s="364"/>
      <c r="L34" s="362"/>
      <c r="M34" s="362"/>
      <c r="N34" s="365"/>
      <c r="O34" s="366"/>
      <c r="P34" s="367"/>
      <c r="Q34" s="361"/>
      <c r="R34" s="362"/>
      <c r="S34" s="362"/>
      <c r="T34" s="365"/>
      <c r="U34" s="362"/>
      <c r="V34" s="362"/>
      <c r="W34" s="365"/>
      <c r="X34" s="366"/>
      <c r="Y34" s="368"/>
      <c r="Z34" s="368"/>
      <c r="AA34" s="368"/>
    </row>
    <row r="35" spans="2:27" ht="18" customHeight="1">
      <c r="B35" s="79"/>
      <c r="C35" s="79"/>
      <c r="D35" s="79"/>
      <c r="E35" s="79"/>
      <c r="F35" s="317" t="s">
        <v>1206</v>
      </c>
      <c r="G35" s="80"/>
      <c r="H35" s="252"/>
      <c r="I35" s="196"/>
      <c r="J35" s="196">
        <v>173.72133556824792</v>
      </c>
      <c r="K35" s="355"/>
      <c r="L35" s="196"/>
      <c r="M35" s="196"/>
      <c r="N35" s="256"/>
      <c r="O35" s="353"/>
      <c r="P35" s="58"/>
      <c r="Q35" s="252"/>
      <c r="R35" s="196"/>
      <c r="S35" s="196"/>
      <c r="T35" s="256"/>
      <c r="U35" s="196"/>
      <c r="V35" s="196"/>
      <c r="W35" s="256"/>
      <c r="X35" s="353"/>
      <c r="Y35" s="190"/>
      <c r="Z35" s="190"/>
      <c r="AA35" s="190"/>
    </row>
    <row r="36" spans="2:27" ht="18" customHeight="1" thickBot="1">
      <c r="B36" s="343"/>
      <c r="C36" s="343"/>
      <c r="D36" s="343"/>
      <c r="E36" s="343"/>
      <c r="F36" s="344" t="s">
        <v>1207</v>
      </c>
      <c r="G36" s="80"/>
      <c r="H36" s="200"/>
      <c r="I36" s="198"/>
      <c r="J36" s="198">
        <v>5.3208550616670802</v>
      </c>
      <c r="K36" s="346"/>
      <c r="L36" s="198"/>
      <c r="M36" s="198"/>
      <c r="N36" s="334"/>
      <c r="O36" s="333"/>
      <c r="P36" s="58"/>
      <c r="Q36" s="200"/>
      <c r="R36" s="198"/>
      <c r="S36" s="198"/>
      <c r="T36" s="334"/>
      <c r="U36" s="198"/>
      <c r="V36" s="198"/>
      <c r="W36" s="334"/>
      <c r="X36" s="333"/>
      <c r="Y36" s="190"/>
      <c r="Z36" s="190"/>
      <c r="AA36" s="190"/>
    </row>
    <row r="37" spans="2:27" ht="20.100000000000001" customHeight="1">
      <c r="B37" s="79"/>
      <c r="C37" s="79"/>
      <c r="D37" s="79"/>
      <c r="E37" s="79"/>
      <c r="F37" s="79"/>
      <c r="G37" s="80"/>
      <c r="H37" s="79"/>
      <c r="I37" s="79"/>
      <c r="J37" s="79"/>
      <c r="K37" s="79"/>
      <c r="L37" s="79"/>
      <c r="M37" s="79"/>
      <c r="N37" s="79"/>
      <c r="O37" s="79"/>
      <c r="P37" s="80"/>
      <c r="Q37" s="79"/>
      <c r="R37" s="79"/>
      <c r="S37" s="79"/>
      <c r="T37" s="79"/>
      <c r="U37" s="79"/>
      <c r="V37" s="79"/>
      <c r="W37" s="79"/>
      <c r="X37" s="79"/>
      <c r="Y37" s="190"/>
      <c r="Z37" s="190"/>
      <c r="AA37" s="190"/>
    </row>
    <row r="38" spans="2:27" ht="20.100000000000001" customHeight="1">
      <c r="B38" s="79"/>
      <c r="C38" s="79"/>
      <c r="D38" s="79"/>
      <c r="E38" s="79"/>
      <c r="F38" s="79"/>
      <c r="G38" s="80"/>
      <c r="H38" s="79"/>
      <c r="I38" s="79"/>
      <c r="J38" s="79"/>
      <c r="K38" s="79"/>
      <c r="L38" s="79"/>
      <c r="M38" s="79"/>
      <c r="N38" s="79"/>
      <c r="O38" s="79"/>
      <c r="P38" s="80"/>
      <c r="Q38" s="79"/>
      <c r="R38" s="79"/>
      <c r="S38" s="79"/>
      <c r="T38" s="79"/>
      <c r="U38" s="79"/>
      <c r="V38" s="79"/>
      <c r="W38" s="79"/>
      <c r="X38" s="79"/>
      <c r="Y38" s="190"/>
      <c r="Z38" s="190"/>
      <c r="AA38" s="190"/>
    </row>
    <row r="39" spans="2:27" ht="20.100000000000001" customHeight="1">
      <c r="B39" s="79"/>
      <c r="C39" s="79"/>
      <c r="D39" s="79"/>
      <c r="E39" s="79"/>
      <c r="F39" s="79"/>
      <c r="G39" s="80"/>
      <c r="H39" s="79"/>
      <c r="I39" s="79"/>
      <c r="J39" s="79"/>
      <c r="K39" s="79"/>
      <c r="L39" s="79"/>
      <c r="M39" s="79"/>
      <c r="N39" s="79"/>
      <c r="O39" s="79"/>
      <c r="P39" s="80"/>
      <c r="Q39" s="79"/>
      <c r="R39" s="79"/>
      <c r="S39" s="79"/>
      <c r="T39" s="79"/>
      <c r="U39" s="79"/>
      <c r="V39" s="79"/>
      <c r="W39" s="79"/>
      <c r="X39" s="79"/>
      <c r="Y39" s="190"/>
      <c r="Z39" s="190"/>
      <c r="AA39" s="190"/>
    </row>
    <row r="40" spans="2:27" ht="20.100000000000001" customHeight="1">
      <c r="B40" s="79"/>
      <c r="C40" s="79"/>
      <c r="D40" s="79"/>
      <c r="E40" s="79"/>
      <c r="F40" s="79"/>
      <c r="G40" s="80"/>
      <c r="H40" s="79"/>
      <c r="I40" s="79"/>
      <c r="J40" s="79"/>
      <c r="K40" s="79"/>
      <c r="L40" s="79"/>
      <c r="M40" s="79"/>
      <c r="N40" s="79"/>
      <c r="O40" s="79"/>
      <c r="P40" s="80"/>
      <c r="Q40" s="79"/>
      <c r="R40" s="79"/>
      <c r="S40" s="79"/>
      <c r="T40" s="79"/>
      <c r="U40" s="79"/>
      <c r="V40" s="79"/>
      <c r="W40" s="79"/>
      <c r="X40" s="79"/>
      <c r="Y40" s="190"/>
      <c r="Z40" s="190"/>
      <c r="AA40" s="190"/>
    </row>
    <row r="41" spans="2:27" ht="20.100000000000001" customHeight="1">
      <c r="B41" s="190"/>
      <c r="C41" s="190"/>
      <c r="D41" s="79"/>
      <c r="E41" s="190"/>
      <c r="F41" s="190"/>
      <c r="H41" s="190"/>
      <c r="I41" s="190"/>
      <c r="J41" s="190"/>
      <c r="K41" s="190"/>
      <c r="L41" s="190"/>
      <c r="M41" s="190"/>
      <c r="N41" s="190"/>
      <c r="O41" s="190"/>
      <c r="Q41" s="190"/>
      <c r="R41" s="190"/>
      <c r="S41" s="190"/>
      <c r="T41" s="190"/>
      <c r="U41" s="190"/>
      <c r="V41" s="190"/>
      <c r="W41" s="190"/>
      <c r="X41" s="190"/>
      <c r="Y41" s="190"/>
      <c r="Z41" s="190"/>
      <c r="AA41" s="190"/>
    </row>
    <row r="42" spans="2:27" ht="20.100000000000001" customHeight="1">
      <c r="F42" s="79"/>
    </row>
    <row r="43" spans="2:27" ht="20.100000000000001" customHeight="1">
      <c r="F43" s="79"/>
    </row>
  </sheetData>
  <mergeCells count="19">
    <mergeCell ref="T6:T7"/>
    <mergeCell ref="V6:V7"/>
    <mergeCell ref="W6:W7"/>
    <mergeCell ref="B4:F7"/>
    <mergeCell ref="H4:O4"/>
    <mergeCell ref="Q4:X4"/>
    <mergeCell ref="H5:H7"/>
    <mergeCell ref="I5:I7"/>
    <mergeCell ref="L5:L7"/>
    <mergeCell ref="O5:O7"/>
    <mergeCell ref="Q5:Q7"/>
    <mergeCell ref="R5:R7"/>
    <mergeCell ref="U5:U7"/>
    <mergeCell ref="X5:X7"/>
    <mergeCell ref="J6:J7"/>
    <mergeCell ref="K6:K7"/>
    <mergeCell ref="M6:M7"/>
    <mergeCell ref="N6:N7"/>
    <mergeCell ref="S6:S7"/>
  </mergeCells>
  <phoneticPr fontId="4" type="noConversion"/>
  <printOptions horizontalCentered="1" verticalCentered="1"/>
  <pageMargins left="0.15748031496062992" right="0.15748031496062992" top="0.39370078740157483" bottom="0.39370078740157483" header="0" footer="0"/>
  <pageSetup paperSize="9" scale="75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B2:AO70"/>
  <sheetViews>
    <sheetView showGridLines="0" zoomScaleNormal="100" workbookViewId="0">
      <selection activeCell="V28" sqref="V28"/>
    </sheetView>
  </sheetViews>
  <sheetFormatPr defaultRowHeight="20.100000000000001" customHeight="1"/>
  <cols>
    <col min="1" max="1" width="4.7109375" style="2" customWidth="1"/>
    <col min="2" max="2" width="2.28515625" style="2" customWidth="1"/>
    <col min="3" max="3" width="3.5703125" style="2" customWidth="1"/>
    <col min="4" max="5" width="2.28515625" style="2" customWidth="1"/>
    <col min="6" max="6" width="24" style="2" customWidth="1"/>
    <col min="7" max="7" width="1" style="43" customWidth="1"/>
    <col min="8" max="15" width="10.7109375" style="2" customWidth="1"/>
    <col min="16" max="16" width="1" style="43" customWidth="1"/>
    <col min="17" max="24" width="10.7109375" style="2" customWidth="1"/>
    <col min="25" max="16384" width="9.140625" style="2"/>
  </cols>
  <sheetData>
    <row r="2" spans="2:27" ht="20.100000000000001" customHeight="1">
      <c r="B2" s="369" t="s">
        <v>1209</v>
      </c>
      <c r="C2" s="190"/>
      <c r="D2" s="190"/>
      <c r="E2" s="190"/>
      <c r="F2" s="190"/>
      <c r="H2" s="190"/>
      <c r="I2" s="190"/>
      <c r="J2" s="190"/>
      <c r="K2" s="190"/>
      <c r="L2" s="190"/>
      <c r="M2" s="190"/>
      <c r="N2" s="190"/>
      <c r="O2" s="190"/>
      <c r="Q2" s="190"/>
      <c r="R2" s="190"/>
      <c r="S2" s="190"/>
      <c r="T2" s="190"/>
      <c r="U2" s="190"/>
      <c r="V2" s="190"/>
      <c r="W2" s="190"/>
      <c r="X2" s="190"/>
    </row>
    <row r="3" spans="2:27" ht="14.25" customHeight="1" thickBot="1">
      <c r="B3" s="190"/>
      <c r="C3" s="190"/>
      <c r="D3" s="190"/>
      <c r="E3" s="190"/>
      <c r="F3" s="190"/>
      <c r="G3" s="45"/>
      <c r="H3" s="190"/>
      <c r="I3" s="190"/>
      <c r="J3" s="190"/>
      <c r="K3" s="190"/>
      <c r="L3" s="190"/>
      <c r="M3" s="190"/>
      <c r="N3" s="190"/>
      <c r="O3" s="190"/>
      <c r="P3" s="45"/>
      <c r="Q3" s="190"/>
      <c r="R3" s="190"/>
      <c r="S3" s="190"/>
      <c r="T3" s="190"/>
      <c r="U3" s="190"/>
      <c r="V3" s="190"/>
      <c r="W3" s="190"/>
      <c r="X3" s="370" t="s">
        <v>1118</v>
      </c>
    </row>
    <row r="4" spans="2:27" ht="20.100000000000001" customHeight="1">
      <c r="B4" s="676" t="s">
        <v>1119</v>
      </c>
      <c r="C4" s="676"/>
      <c r="D4" s="676"/>
      <c r="E4" s="676"/>
      <c r="F4" s="677"/>
      <c r="G4" s="45"/>
      <c r="H4" s="680" t="s">
        <v>1120</v>
      </c>
      <c r="I4" s="676"/>
      <c r="J4" s="676"/>
      <c r="K4" s="676"/>
      <c r="L4" s="676"/>
      <c r="M4" s="676"/>
      <c r="N4" s="676"/>
      <c r="O4" s="677"/>
      <c r="P4" s="45"/>
      <c r="Q4" s="702" t="s">
        <v>1121</v>
      </c>
      <c r="R4" s="703"/>
      <c r="S4" s="703"/>
      <c r="T4" s="703"/>
      <c r="U4" s="703"/>
      <c r="V4" s="703"/>
      <c r="W4" s="703"/>
      <c r="X4" s="704"/>
    </row>
    <row r="5" spans="2:27" ht="8.25" customHeight="1">
      <c r="B5" s="687"/>
      <c r="C5" s="687"/>
      <c r="D5" s="687"/>
      <c r="E5" s="687"/>
      <c r="F5" s="688"/>
      <c r="G5" s="45"/>
      <c r="H5" s="689" t="s">
        <v>1122</v>
      </c>
      <c r="I5" s="692" t="s">
        <v>1123</v>
      </c>
      <c r="J5" s="223"/>
      <c r="K5" s="225"/>
      <c r="L5" s="692" t="s">
        <v>1124</v>
      </c>
      <c r="M5" s="224"/>
      <c r="N5" s="226"/>
      <c r="O5" s="711" t="s">
        <v>1125</v>
      </c>
      <c r="P5" s="45"/>
      <c r="Q5" s="689" t="s">
        <v>1122</v>
      </c>
      <c r="R5" s="692" t="s">
        <v>1123</v>
      </c>
      <c r="S5" s="223"/>
      <c r="T5" s="225"/>
      <c r="U5" s="692" t="s">
        <v>1124</v>
      </c>
      <c r="V5" s="224"/>
      <c r="W5" s="226"/>
      <c r="X5" s="711" t="s">
        <v>1125</v>
      </c>
    </row>
    <row r="6" spans="2:27" ht="8.25" customHeight="1">
      <c r="B6" s="687"/>
      <c r="C6" s="687"/>
      <c r="D6" s="687"/>
      <c r="E6" s="687"/>
      <c r="F6" s="688"/>
      <c r="G6" s="45"/>
      <c r="H6" s="690"/>
      <c r="I6" s="693"/>
      <c r="J6" s="698" t="s">
        <v>1126</v>
      </c>
      <c r="K6" s="700" t="s">
        <v>1127</v>
      </c>
      <c r="L6" s="693"/>
      <c r="M6" s="698" t="s">
        <v>1128</v>
      </c>
      <c r="N6" s="700" t="s">
        <v>1129</v>
      </c>
      <c r="O6" s="712"/>
      <c r="P6" s="45"/>
      <c r="Q6" s="690"/>
      <c r="R6" s="693"/>
      <c r="S6" s="698" t="s">
        <v>1126</v>
      </c>
      <c r="T6" s="700" t="s">
        <v>1127</v>
      </c>
      <c r="U6" s="693"/>
      <c r="V6" s="698" t="s">
        <v>1128</v>
      </c>
      <c r="W6" s="700" t="s">
        <v>1129</v>
      </c>
      <c r="X6" s="712"/>
    </row>
    <row r="7" spans="2:27" ht="16.5" customHeight="1" thickBot="1">
      <c r="B7" s="687"/>
      <c r="C7" s="687"/>
      <c r="D7" s="687"/>
      <c r="E7" s="687"/>
      <c r="F7" s="688"/>
      <c r="G7" s="50"/>
      <c r="H7" s="691"/>
      <c r="I7" s="694"/>
      <c r="J7" s="699"/>
      <c r="K7" s="701"/>
      <c r="L7" s="694"/>
      <c r="M7" s="699"/>
      <c r="N7" s="701"/>
      <c r="O7" s="713"/>
      <c r="P7" s="50"/>
      <c r="Q7" s="691"/>
      <c r="R7" s="694"/>
      <c r="S7" s="699"/>
      <c r="T7" s="701"/>
      <c r="U7" s="694"/>
      <c r="V7" s="699"/>
      <c r="W7" s="701"/>
      <c r="X7" s="713"/>
    </row>
    <row r="8" spans="2:27" ht="20.100000000000001" customHeight="1">
      <c r="B8" s="205" t="s">
        <v>1210</v>
      </c>
      <c r="C8" s="79"/>
      <c r="D8" s="79"/>
      <c r="E8" s="79"/>
      <c r="F8" s="317"/>
      <c r="G8" s="80"/>
      <c r="H8" s="252"/>
      <c r="I8" s="196"/>
      <c r="J8" s="196"/>
      <c r="K8" s="256"/>
      <c r="L8" s="196"/>
      <c r="M8" s="196"/>
      <c r="N8" s="256"/>
      <c r="O8" s="353"/>
      <c r="P8" s="58"/>
      <c r="Q8" s="252"/>
      <c r="R8" s="196"/>
      <c r="S8" s="196"/>
      <c r="T8" s="256"/>
      <c r="U8" s="196"/>
      <c r="V8" s="196"/>
      <c r="W8" s="256"/>
      <c r="X8" s="353"/>
      <c r="Y8" s="190"/>
      <c r="Z8" s="190"/>
      <c r="AA8" s="190"/>
    </row>
    <row r="9" spans="2:27" ht="18" customHeight="1">
      <c r="B9" s="79"/>
      <c r="C9" s="79"/>
      <c r="D9" s="79" t="s">
        <v>1211</v>
      </c>
      <c r="E9" s="79"/>
      <c r="F9" s="260"/>
      <c r="G9" s="80"/>
      <c r="H9" s="252"/>
      <c r="I9" s="196"/>
      <c r="J9" s="196"/>
      <c r="K9" s="256"/>
      <c r="L9" s="196"/>
      <c r="M9" s="196"/>
      <c r="N9" s="256"/>
      <c r="O9" s="353"/>
      <c r="P9" s="58"/>
      <c r="Q9" s="252"/>
      <c r="R9" s="196"/>
      <c r="S9" s="196"/>
      <c r="T9" s="256"/>
      <c r="U9" s="196"/>
      <c r="V9" s="196"/>
      <c r="W9" s="256"/>
      <c r="X9" s="353"/>
      <c r="Y9" s="190"/>
      <c r="Z9" s="190"/>
      <c r="AA9" s="190"/>
    </row>
    <row r="10" spans="2:27" ht="18" customHeight="1">
      <c r="B10" s="79"/>
      <c r="C10" s="79"/>
      <c r="D10" s="79"/>
      <c r="E10" s="190"/>
      <c r="F10" s="317" t="s">
        <v>1212</v>
      </c>
      <c r="G10" s="80"/>
      <c r="H10" s="252"/>
      <c r="I10" s="196"/>
      <c r="J10" s="196"/>
      <c r="K10" s="256"/>
      <c r="L10" s="196"/>
      <c r="M10" s="196"/>
      <c r="N10" s="256"/>
      <c r="O10" s="353"/>
      <c r="P10" s="58"/>
      <c r="Q10" s="252"/>
      <c r="R10" s="196"/>
      <c r="S10" s="196"/>
      <c r="T10" s="256"/>
      <c r="U10" s="196"/>
      <c r="V10" s="196"/>
      <c r="W10" s="256"/>
      <c r="X10" s="353"/>
      <c r="Y10" s="190"/>
      <c r="Z10" s="190"/>
      <c r="AA10" s="190"/>
    </row>
    <row r="11" spans="2:27" ht="18" customHeight="1">
      <c r="B11" s="79"/>
      <c r="C11" s="79"/>
      <c r="D11" s="79"/>
      <c r="E11" s="190"/>
      <c r="F11" s="317" t="s">
        <v>1213</v>
      </c>
      <c r="G11" s="80"/>
      <c r="H11" s="252"/>
      <c r="I11" s="196"/>
      <c r="J11" s="196"/>
      <c r="K11" s="256"/>
      <c r="L11" s="196"/>
      <c r="M11" s="196"/>
      <c r="N11" s="256"/>
      <c r="O11" s="353"/>
      <c r="P11" s="58"/>
      <c r="Q11" s="252"/>
      <c r="R11" s="196"/>
      <c r="S11" s="196"/>
      <c r="T11" s="256"/>
      <c r="U11" s="196"/>
      <c r="V11" s="196"/>
      <c r="W11" s="256"/>
      <c r="X11" s="353"/>
      <c r="Y11" s="190"/>
      <c r="Z11" s="190"/>
      <c r="AA11" s="190"/>
    </row>
    <row r="12" spans="2:27" ht="18" customHeight="1">
      <c r="B12" s="79"/>
      <c r="C12" s="79"/>
      <c r="D12" s="79"/>
      <c r="E12" s="190"/>
      <c r="F12" s="317" t="s">
        <v>1214</v>
      </c>
      <c r="G12" s="80"/>
      <c r="H12" s="252"/>
      <c r="I12" s="196"/>
      <c r="J12" s="196"/>
      <c r="K12" s="256"/>
      <c r="L12" s="196"/>
      <c r="M12" s="196"/>
      <c r="N12" s="256"/>
      <c r="O12" s="353"/>
      <c r="P12" s="58"/>
      <c r="Q12" s="252"/>
      <c r="R12" s="196"/>
      <c r="S12" s="196"/>
      <c r="T12" s="256"/>
      <c r="U12" s="196"/>
      <c r="V12" s="196"/>
      <c r="W12" s="256"/>
      <c r="X12" s="353"/>
      <c r="Y12" s="190"/>
      <c r="Z12" s="190"/>
      <c r="AA12" s="190"/>
    </row>
    <row r="13" spans="2:27" ht="18" customHeight="1">
      <c r="B13" s="79"/>
      <c r="C13" s="79"/>
      <c r="D13" s="79" t="s">
        <v>1215</v>
      </c>
      <c r="E13" s="79"/>
      <c r="F13" s="260"/>
      <c r="G13" s="80"/>
      <c r="H13" s="371"/>
      <c r="I13" s="372"/>
      <c r="J13" s="372"/>
      <c r="K13" s="355"/>
      <c r="L13" s="372"/>
      <c r="M13" s="372"/>
      <c r="N13" s="355"/>
      <c r="O13" s="373"/>
      <c r="P13" s="58"/>
      <c r="Q13" s="371"/>
      <c r="R13" s="372"/>
      <c r="S13" s="372"/>
      <c r="T13" s="355"/>
      <c r="U13" s="372"/>
      <c r="V13" s="372"/>
      <c r="W13" s="355"/>
      <c r="X13" s="373"/>
      <c r="Y13" s="190"/>
      <c r="Z13" s="190"/>
      <c r="AA13" s="190"/>
    </row>
    <row r="14" spans="2:27" ht="18" customHeight="1">
      <c r="B14" s="79"/>
      <c r="C14" s="79"/>
      <c r="D14" s="79"/>
      <c r="E14" s="190"/>
      <c r="F14" s="317" t="s">
        <v>1212</v>
      </c>
      <c r="G14" s="80"/>
      <c r="H14" s="371"/>
      <c r="I14" s="372"/>
      <c r="J14" s="372"/>
      <c r="K14" s="355"/>
      <c r="L14" s="372"/>
      <c r="M14" s="372"/>
      <c r="N14" s="355"/>
      <c r="O14" s="373"/>
      <c r="P14" s="58"/>
      <c r="Q14" s="371"/>
      <c r="R14" s="372"/>
      <c r="S14" s="372"/>
      <c r="T14" s="355"/>
      <c r="U14" s="372"/>
      <c r="V14" s="372"/>
      <c r="W14" s="355"/>
      <c r="X14" s="373"/>
      <c r="Y14" s="190"/>
      <c r="Z14" s="190"/>
      <c r="AA14" s="190"/>
    </row>
    <row r="15" spans="2:27" ht="18" customHeight="1">
      <c r="B15" s="79"/>
      <c r="C15" s="79"/>
      <c r="D15" s="79"/>
      <c r="E15" s="190"/>
      <c r="F15" s="317" t="s">
        <v>1213</v>
      </c>
      <c r="G15" s="80"/>
      <c r="H15" s="371"/>
      <c r="I15" s="372"/>
      <c r="J15" s="372"/>
      <c r="K15" s="355"/>
      <c r="L15" s="372"/>
      <c r="M15" s="372"/>
      <c r="N15" s="355"/>
      <c r="O15" s="373"/>
      <c r="P15" s="58"/>
      <c r="Q15" s="371"/>
      <c r="R15" s="372"/>
      <c r="S15" s="372"/>
      <c r="T15" s="355"/>
      <c r="U15" s="372"/>
      <c r="V15" s="372"/>
      <c r="W15" s="355"/>
      <c r="X15" s="373"/>
      <c r="Y15" s="190"/>
      <c r="Z15" s="190"/>
      <c r="AA15" s="190"/>
    </row>
    <row r="16" spans="2:27" ht="18" customHeight="1">
      <c r="B16" s="79"/>
      <c r="C16" s="79"/>
      <c r="D16" s="79"/>
      <c r="E16" s="190"/>
      <c r="F16" s="317" t="s">
        <v>1214</v>
      </c>
      <c r="G16" s="80"/>
      <c r="H16" s="371"/>
      <c r="I16" s="372"/>
      <c r="J16" s="372"/>
      <c r="K16" s="355"/>
      <c r="L16" s="372"/>
      <c r="M16" s="372"/>
      <c r="N16" s="355"/>
      <c r="O16" s="373"/>
      <c r="P16" s="58"/>
      <c r="Q16" s="371"/>
      <c r="R16" s="372"/>
      <c r="S16" s="372"/>
      <c r="T16" s="355"/>
      <c r="U16" s="372"/>
      <c r="V16" s="372"/>
      <c r="W16" s="355"/>
      <c r="X16" s="373"/>
      <c r="Y16" s="190"/>
      <c r="Z16" s="190"/>
      <c r="AA16" s="190"/>
    </row>
    <row r="17" spans="2:41" ht="18" customHeight="1">
      <c r="B17" s="79"/>
      <c r="C17" s="79"/>
      <c r="D17" s="79" t="s">
        <v>1216</v>
      </c>
      <c r="E17" s="79"/>
      <c r="F17" s="260"/>
      <c r="G17" s="80"/>
      <c r="H17" s="371"/>
      <c r="I17" s="372"/>
      <c r="J17" s="372"/>
      <c r="K17" s="355"/>
      <c r="L17" s="372"/>
      <c r="M17" s="372"/>
      <c r="N17" s="355"/>
      <c r="O17" s="373"/>
      <c r="P17" s="58"/>
      <c r="Q17" s="371"/>
      <c r="R17" s="372"/>
      <c r="S17" s="372"/>
      <c r="T17" s="355"/>
      <c r="U17" s="372"/>
      <c r="V17" s="372"/>
      <c r="W17" s="355"/>
      <c r="X17" s="373"/>
      <c r="Y17" s="190"/>
      <c r="Z17" s="190"/>
      <c r="AA17" s="190"/>
    </row>
    <row r="18" spans="2:41" ht="18" customHeight="1">
      <c r="B18" s="79"/>
      <c r="C18" s="79"/>
      <c r="D18" s="79"/>
      <c r="E18" s="190"/>
      <c r="F18" s="317" t="s">
        <v>1212</v>
      </c>
      <c r="G18" s="80"/>
      <c r="H18" s="371"/>
      <c r="I18" s="372"/>
      <c r="J18" s="372"/>
      <c r="K18" s="355"/>
      <c r="L18" s="372"/>
      <c r="M18" s="372"/>
      <c r="N18" s="355"/>
      <c r="O18" s="373"/>
      <c r="P18" s="58"/>
      <c r="Q18" s="371"/>
      <c r="R18" s="372"/>
      <c r="S18" s="372"/>
      <c r="T18" s="355"/>
      <c r="U18" s="372"/>
      <c r="V18" s="372"/>
      <c r="W18" s="355"/>
      <c r="X18" s="373"/>
      <c r="Y18" s="190"/>
      <c r="Z18" s="190"/>
      <c r="AA18" s="190"/>
    </row>
    <row r="19" spans="2:41" ht="18" customHeight="1">
      <c r="B19" s="79"/>
      <c r="C19" s="79"/>
      <c r="D19" s="79"/>
      <c r="E19" s="190"/>
      <c r="F19" s="317" t="s">
        <v>1213</v>
      </c>
      <c r="G19" s="80"/>
      <c r="H19" s="371"/>
      <c r="I19" s="372"/>
      <c r="J19" s="372"/>
      <c r="K19" s="355"/>
      <c r="L19" s="372"/>
      <c r="M19" s="372"/>
      <c r="N19" s="355"/>
      <c r="O19" s="373"/>
      <c r="P19" s="58"/>
      <c r="Q19" s="371"/>
      <c r="R19" s="372"/>
      <c r="S19" s="372"/>
      <c r="T19" s="355"/>
      <c r="U19" s="372"/>
      <c r="V19" s="372"/>
      <c r="W19" s="355"/>
      <c r="X19" s="373"/>
      <c r="Y19" s="190"/>
      <c r="Z19" s="190"/>
      <c r="AA19" s="190"/>
    </row>
    <row r="20" spans="2:41" ht="18" customHeight="1">
      <c r="B20" s="79"/>
      <c r="C20" s="79"/>
      <c r="D20" s="79"/>
      <c r="E20" s="190"/>
      <c r="F20" s="317" t="s">
        <v>1214</v>
      </c>
      <c r="G20" s="80"/>
      <c r="H20" s="371"/>
      <c r="I20" s="372"/>
      <c r="J20" s="372"/>
      <c r="K20" s="355"/>
      <c r="L20" s="372"/>
      <c r="M20" s="372"/>
      <c r="N20" s="355"/>
      <c r="O20" s="373"/>
      <c r="P20" s="58"/>
      <c r="Q20" s="371"/>
      <c r="R20" s="372"/>
      <c r="S20" s="372"/>
      <c r="T20" s="355"/>
      <c r="U20" s="372"/>
      <c r="V20" s="372"/>
      <c r="W20" s="355"/>
      <c r="X20" s="373"/>
      <c r="Y20" s="190"/>
      <c r="Z20" s="190"/>
      <c r="AA20" s="190"/>
    </row>
    <row r="21" spans="2:41" ht="18" customHeight="1">
      <c r="B21" s="79"/>
      <c r="C21" s="79"/>
      <c r="D21" s="79" t="s">
        <v>1217</v>
      </c>
      <c r="E21" s="79"/>
      <c r="F21" s="317"/>
      <c r="G21" s="80"/>
      <c r="H21" s="371"/>
      <c r="I21" s="372"/>
      <c r="J21" s="372"/>
      <c r="K21" s="355"/>
      <c r="L21" s="372"/>
      <c r="M21" s="372"/>
      <c r="N21" s="355"/>
      <c r="O21" s="373"/>
      <c r="P21" s="58"/>
      <c r="Q21" s="371"/>
      <c r="R21" s="372"/>
      <c r="S21" s="372"/>
      <c r="T21" s="355"/>
      <c r="U21" s="372"/>
      <c r="V21" s="372"/>
      <c r="W21" s="355"/>
      <c r="X21" s="373"/>
      <c r="Y21" s="190"/>
      <c r="Z21" s="190"/>
      <c r="AA21" s="190"/>
    </row>
    <row r="22" spans="2:41" ht="18" customHeight="1">
      <c r="B22" s="79"/>
      <c r="C22" s="79"/>
      <c r="D22" s="79"/>
      <c r="E22" s="79"/>
      <c r="F22" s="317" t="s">
        <v>1212</v>
      </c>
      <c r="G22" s="80"/>
      <c r="H22" s="371"/>
      <c r="I22" s="372"/>
      <c r="J22" s="372"/>
      <c r="K22" s="355"/>
      <c r="L22" s="372"/>
      <c r="M22" s="372"/>
      <c r="N22" s="355"/>
      <c r="O22" s="373"/>
      <c r="P22" s="58"/>
      <c r="Q22" s="371"/>
      <c r="R22" s="372"/>
      <c r="S22" s="372"/>
      <c r="T22" s="355"/>
      <c r="U22" s="372"/>
      <c r="V22" s="372"/>
      <c r="W22" s="355"/>
      <c r="X22" s="373"/>
      <c r="Y22" s="190"/>
      <c r="Z22" s="190"/>
      <c r="AA22" s="190"/>
    </row>
    <row r="23" spans="2:41" ht="18" customHeight="1">
      <c r="B23" s="79"/>
      <c r="C23" s="79"/>
      <c r="D23" s="79"/>
      <c r="E23" s="79"/>
      <c r="F23" s="317" t="s">
        <v>1213</v>
      </c>
      <c r="G23" s="80"/>
      <c r="H23" s="371"/>
      <c r="I23" s="372"/>
      <c r="J23" s="372"/>
      <c r="K23" s="355"/>
      <c r="L23" s="372"/>
      <c r="M23" s="372"/>
      <c r="N23" s="355"/>
      <c r="O23" s="373"/>
      <c r="P23" s="58"/>
      <c r="Q23" s="371"/>
      <c r="R23" s="372"/>
      <c r="S23" s="372"/>
      <c r="T23" s="355"/>
      <c r="U23" s="372"/>
      <c r="V23" s="372"/>
      <c r="W23" s="355"/>
      <c r="X23" s="373"/>
      <c r="Y23" s="190"/>
      <c r="Z23" s="190"/>
      <c r="AA23" s="190"/>
    </row>
    <row r="24" spans="2:41" ht="18" customHeight="1">
      <c r="B24" s="79"/>
      <c r="C24" s="79"/>
      <c r="D24" s="79"/>
      <c r="E24" s="79"/>
      <c r="F24" s="317" t="s">
        <v>1214</v>
      </c>
      <c r="G24" s="80"/>
      <c r="H24" s="371"/>
      <c r="I24" s="372"/>
      <c r="J24" s="372"/>
      <c r="K24" s="355"/>
      <c r="L24" s="372"/>
      <c r="M24" s="372"/>
      <c r="N24" s="355"/>
      <c r="O24" s="373"/>
      <c r="P24" s="58"/>
      <c r="Q24" s="371"/>
      <c r="R24" s="372"/>
      <c r="S24" s="372"/>
      <c r="T24" s="355"/>
      <c r="U24" s="372"/>
      <c r="V24" s="372"/>
      <c r="W24" s="355"/>
      <c r="X24" s="373"/>
      <c r="Y24" s="190"/>
      <c r="Z24" s="190"/>
      <c r="AA24" s="190"/>
    </row>
    <row r="25" spans="2:41" ht="18" customHeight="1">
      <c r="B25" s="79"/>
      <c r="C25" s="79"/>
      <c r="D25" s="79" t="s">
        <v>1218</v>
      </c>
      <c r="E25" s="79"/>
      <c r="F25" s="317"/>
      <c r="G25" s="80"/>
      <c r="H25" s="371"/>
      <c r="I25" s="372"/>
      <c r="J25" s="372"/>
      <c r="K25" s="355"/>
      <c r="L25" s="372"/>
      <c r="M25" s="372"/>
      <c r="N25" s="355"/>
      <c r="O25" s="373"/>
      <c r="P25" s="58"/>
      <c r="Q25" s="371"/>
      <c r="R25" s="372"/>
      <c r="S25" s="372"/>
      <c r="T25" s="355"/>
      <c r="U25" s="372"/>
      <c r="V25" s="372"/>
      <c r="W25" s="355"/>
      <c r="X25" s="373"/>
      <c r="Y25" s="190"/>
      <c r="Z25" s="190"/>
      <c r="AA25" s="190"/>
    </row>
    <row r="26" spans="2:41" ht="18" customHeight="1">
      <c r="B26" s="79"/>
      <c r="C26" s="79"/>
      <c r="D26" s="79"/>
      <c r="E26" s="79"/>
      <c r="F26" s="317" t="s">
        <v>1212</v>
      </c>
      <c r="G26" s="80"/>
      <c r="H26" s="371"/>
      <c r="I26" s="372"/>
      <c r="J26" s="372"/>
      <c r="K26" s="355"/>
      <c r="L26" s="372"/>
      <c r="M26" s="372"/>
      <c r="N26" s="355"/>
      <c r="O26" s="373"/>
      <c r="P26" s="58"/>
      <c r="Q26" s="371"/>
      <c r="R26" s="372"/>
      <c r="S26" s="372"/>
      <c r="T26" s="355"/>
      <c r="U26" s="372"/>
      <c r="V26" s="372"/>
      <c r="W26" s="355"/>
      <c r="X26" s="373"/>
      <c r="Y26" s="190"/>
      <c r="Z26" s="190"/>
      <c r="AA26" s="190"/>
    </row>
    <row r="27" spans="2:41" ht="18" customHeight="1">
      <c r="B27" s="79"/>
      <c r="C27" s="79"/>
      <c r="D27" s="79"/>
      <c r="E27" s="79"/>
      <c r="F27" s="317" t="s">
        <v>1213</v>
      </c>
      <c r="G27" s="80"/>
      <c r="H27" s="371"/>
      <c r="I27" s="372"/>
      <c r="J27" s="372"/>
      <c r="K27" s="355"/>
      <c r="L27" s="372"/>
      <c r="M27" s="372"/>
      <c r="N27" s="355"/>
      <c r="O27" s="373"/>
      <c r="P27" s="58"/>
      <c r="Q27" s="371"/>
      <c r="R27" s="372"/>
      <c r="S27" s="372"/>
      <c r="T27" s="355"/>
      <c r="U27" s="372"/>
      <c r="V27" s="372"/>
      <c r="W27" s="355"/>
      <c r="X27" s="373"/>
      <c r="Y27" s="190"/>
      <c r="Z27" s="190"/>
      <c r="AA27" s="190"/>
    </row>
    <row r="28" spans="2:41" ht="18" customHeight="1" thickBot="1">
      <c r="B28" s="343"/>
      <c r="C28" s="343"/>
      <c r="D28" s="343"/>
      <c r="E28" s="343"/>
      <c r="F28" s="344" t="s">
        <v>1214</v>
      </c>
      <c r="G28" s="80"/>
      <c r="H28" s="374"/>
      <c r="I28" s="348"/>
      <c r="J28" s="348"/>
      <c r="K28" s="346"/>
      <c r="L28" s="348"/>
      <c r="M28" s="348"/>
      <c r="N28" s="346"/>
      <c r="O28" s="375"/>
      <c r="P28" s="58"/>
      <c r="Q28" s="374"/>
      <c r="R28" s="348"/>
      <c r="S28" s="348"/>
      <c r="T28" s="346"/>
      <c r="U28" s="348"/>
      <c r="V28" s="348"/>
      <c r="W28" s="346"/>
      <c r="X28" s="375"/>
      <c r="Y28" s="190"/>
      <c r="Z28" s="190"/>
      <c r="AA28" s="190"/>
    </row>
    <row r="29" spans="2:41" s="190" customFormat="1" ht="5.0999999999999996" customHeight="1" thickBot="1">
      <c r="G29" s="43"/>
      <c r="H29" s="204"/>
      <c r="I29" s="189"/>
      <c r="J29" s="204"/>
      <c r="K29" s="189"/>
      <c r="L29" s="204"/>
      <c r="M29" s="204"/>
      <c r="N29" s="204"/>
      <c r="O29" s="189"/>
      <c r="P29" s="43"/>
      <c r="Q29" s="204"/>
      <c r="R29" s="189"/>
      <c r="S29" s="204"/>
      <c r="T29" s="189"/>
      <c r="U29" s="204"/>
      <c r="V29" s="204"/>
      <c r="W29" s="204"/>
      <c r="X29" s="189"/>
      <c r="Y29" s="204"/>
      <c r="Z29" s="204"/>
      <c r="AA29" s="204"/>
      <c r="AB29" s="189"/>
      <c r="AC29" s="43"/>
      <c r="AD29" s="204"/>
      <c r="AE29" s="189"/>
      <c r="AF29" s="204"/>
      <c r="AG29" s="189"/>
      <c r="AH29" s="204"/>
      <c r="AK29" s="189"/>
      <c r="AO29" s="189"/>
    </row>
    <row r="30" spans="2:41" ht="20.100000000000001" customHeight="1">
      <c r="B30" s="56" t="s">
        <v>1219</v>
      </c>
      <c r="C30" s="56"/>
      <c r="D30" s="337"/>
      <c r="E30" s="337"/>
      <c r="F30" s="338"/>
      <c r="G30" s="80"/>
      <c r="H30" s="59"/>
      <c r="I30" s="60"/>
      <c r="J30" s="60"/>
      <c r="K30" s="237"/>
      <c r="L30" s="60"/>
      <c r="M30" s="60"/>
      <c r="N30" s="237"/>
      <c r="O30" s="57"/>
      <c r="P30" s="58"/>
      <c r="Q30" s="59"/>
      <c r="R30" s="60"/>
      <c r="S30" s="60"/>
      <c r="T30" s="237"/>
      <c r="U30" s="60"/>
      <c r="V30" s="60"/>
      <c r="W30" s="237"/>
      <c r="X30" s="57"/>
      <c r="Y30" s="190"/>
      <c r="Z30" s="190"/>
      <c r="AA30" s="190"/>
    </row>
    <row r="31" spans="2:41" ht="18" customHeight="1">
      <c r="B31" s="79"/>
      <c r="C31" s="79"/>
      <c r="D31" s="79" t="s">
        <v>1211</v>
      </c>
      <c r="E31" s="79"/>
      <c r="F31" s="260"/>
      <c r="G31" s="80"/>
      <c r="H31" s="252"/>
      <c r="I31" s="196"/>
      <c r="J31" s="196"/>
      <c r="K31" s="256"/>
      <c r="L31" s="196"/>
      <c r="M31" s="196"/>
      <c r="N31" s="256"/>
      <c r="O31" s="353"/>
      <c r="P31" s="58"/>
      <c r="Q31" s="252"/>
      <c r="R31" s="196"/>
      <c r="S31" s="196"/>
      <c r="T31" s="256"/>
      <c r="U31" s="196"/>
      <c r="V31" s="196"/>
      <c r="W31" s="256"/>
      <c r="X31" s="353"/>
      <c r="Y31" s="190"/>
      <c r="Z31" s="190"/>
      <c r="AA31" s="190"/>
    </row>
    <row r="32" spans="2:41" ht="18" customHeight="1">
      <c r="B32" s="79"/>
      <c r="C32" s="79"/>
      <c r="D32" s="79"/>
      <c r="E32" s="190"/>
      <c r="F32" s="317" t="s">
        <v>1139</v>
      </c>
      <c r="G32" s="80"/>
      <c r="H32" s="252"/>
      <c r="I32" s="196"/>
      <c r="J32" s="196"/>
      <c r="K32" s="256"/>
      <c r="L32" s="196"/>
      <c r="M32" s="196"/>
      <c r="N32" s="256"/>
      <c r="O32" s="353"/>
      <c r="P32" s="58"/>
      <c r="Q32" s="252"/>
      <c r="R32" s="196"/>
      <c r="S32" s="196"/>
      <c r="T32" s="256"/>
      <c r="U32" s="196"/>
      <c r="V32" s="196"/>
      <c r="W32" s="256"/>
      <c r="X32" s="353"/>
      <c r="Y32" s="190"/>
      <c r="Z32" s="190"/>
      <c r="AA32" s="190"/>
    </row>
    <row r="33" spans="2:27" ht="18" customHeight="1">
      <c r="B33" s="79"/>
      <c r="C33" s="79"/>
      <c r="D33" s="79"/>
      <c r="E33" s="190"/>
      <c r="F33" s="317" t="s">
        <v>1214</v>
      </c>
      <c r="G33" s="80"/>
      <c r="H33" s="252"/>
      <c r="I33" s="196"/>
      <c r="J33" s="196"/>
      <c r="K33" s="256"/>
      <c r="L33" s="196"/>
      <c r="M33" s="196"/>
      <c r="N33" s="256"/>
      <c r="O33" s="353"/>
      <c r="P33" s="58"/>
      <c r="Q33" s="252"/>
      <c r="R33" s="196"/>
      <c r="S33" s="196"/>
      <c r="T33" s="256"/>
      <c r="U33" s="196"/>
      <c r="V33" s="196"/>
      <c r="W33" s="256"/>
      <c r="X33" s="353"/>
      <c r="Y33" s="190"/>
      <c r="Z33" s="190"/>
      <c r="AA33" s="190"/>
    </row>
    <row r="34" spans="2:27" ht="18" customHeight="1">
      <c r="B34" s="79"/>
      <c r="C34" s="79"/>
      <c r="D34" s="79" t="s">
        <v>1215</v>
      </c>
      <c r="E34" s="79"/>
      <c r="F34" s="260"/>
      <c r="G34" s="80"/>
      <c r="H34" s="371"/>
      <c r="I34" s="372"/>
      <c r="J34" s="372"/>
      <c r="K34" s="355"/>
      <c r="L34" s="372"/>
      <c r="M34" s="372"/>
      <c r="N34" s="355"/>
      <c r="O34" s="373"/>
      <c r="P34" s="58"/>
      <c r="Q34" s="371"/>
      <c r="R34" s="372"/>
      <c r="S34" s="372"/>
      <c r="T34" s="355"/>
      <c r="U34" s="372"/>
      <c r="V34" s="372"/>
      <c r="W34" s="355"/>
      <c r="X34" s="373"/>
      <c r="Y34" s="190"/>
      <c r="Z34" s="190"/>
      <c r="AA34" s="190"/>
    </row>
    <row r="35" spans="2:27" ht="18" customHeight="1">
      <c r="B35" s="79"/>
      <c r="C35" s="79"/>
      <c r="D35" s="79"/>
      <c r="E35" s="190"/>
      <c r="F35" s="317" t="s">
        <v>1139</v>
      </c>
      <c r="G35" s="80"/>
      <c r="H35" s="371"/>
      <c r="I35" s="372"/>
      <c r="J35" s="372"/>
      <c r="K35" s="355"/>
      <c r="L35" s="372"/>
      <c r="M35" s="372"/>
      <c r="N35" s="355"/>
      <c r="O35" s="373"/>
      <c r="P35" s="58"/>
      <c r="Q35" s="371"/>
      <c r="R35" s="372"/>
      <c r="S35" s="372"/>
      <c r="T35" s="355"/>
      <c r="U35" s="372"/>
      <c r="V35" s="372"/>
      <c r="W35" s="355"/>
      <c r="X35" s="373"/>
      <c r="Y35" s="190"/>
      <c r="Z35" s="190"/>
      <c r="AA35" s="190"/>
    </row>
    <row r="36" spans="2:27" ht="18" customHeight="1">
      <c r="B36" s="79"/>
      <c r="C36" s="79"/>
      <c r="D36" s="79"/>
      <c r="E36" s="190"/>
      <c r="F36" s="317" t="s">
        <v>1214</v>
      </c>
      <c r="G36" s="80"/>
      <c r="H36" s="371"/>
      <c r="I36" s="372"/>
      <c r="J36" s="372"/>
      <c r="K36" s="355"/>
      <c r="L36" s="372"/>
      <c r="M36" s="372"/>
      <c r="N36" s="355"/>
      <c r="O36" s="373"/>
      <c r="P36" s="58"/>
      <c r="Q36" s="371"/>
      <c r="R36" s="372"/>
      <c r="S36" s="372"/>
      <c r="T36" s="355"/>
      <c r="U36" s="372"/>
      <c r="V36" s="372"/>
      <c r="W36" s="355"/>
      <c r="X36" s="373"/>
      <c r="Y36" s="190"/>
      <c r="Z36" s="190"/>
      <c r="AA36" s="190"/>
    </row>
    <row r="37" spans="2:27" ht="18" customHeight="1">
      <c r="B37" s="79"/>
      <c r="C37" s="79"/>
      <c r="D37" s="79" t="s">
        <v>1216</v>
      </c>
      <c r="E37" s="79"/>
      <c r="F37" s="260"/>
      <c r="G37" s="80"/>
      <c r="H37" s="371"/>
      <c r="I37" s="372"/>
      <c r="J37" s="372"/>
      <c r="K37" s="355"/>
      <c r="L37" s="372"/>
      <c r="M37" s="372"/>
      <c r="N37" s="355"/>
      <c r="O37" s="373"/>
      <c r="P37" s="58"/>
      <c r="Q37" s="371"/>
      <c r="R37" s="372"/>
      <c r="S37" s="372"/>
      <c r="T37" s="355"/>
      <c r="U37" s="372"/>
      <c r="V37" s="372"/>
      <c r="W37" s="355"/>
      <c r="X37" s="373"/>
      <c r="Y37" s="190"/>
      <c r="Z37" s="190"/>
      <c r="AA37" s="190"/>
    </row>
    <row r="38" spans="2:27" ht="18" customHeight="1">
      <c r="B38" s="79"/>
      <c r="C38" s="79"/>
      <c r="D38" s="79"/>
      <c r="E38" s="190"/>
      <c r="F38" s="317" t="s">
        <v>1139</v>
      </c>
      <c r="G38" s="80"/>
      <c r="H38" s="371"/>
      <c r="I38" s="372"/>
      <c r="J38" s="372"/>
      <c r="K38" s="355"/>
      <c r="L38" s="372"/>
      <c r="M38" s="372"/>
      <c r="N38" s="355"/>
      <c r="O38" s="373"/>
      <c r="P38" s="58"/>
      <c r="Q38" s="371"/>
      <c r="R38" s="372"/>
      <c r="S38" s="372"/>
      <c r="T38" s="355"/>
      <c r="U38" s="372"/>
      <c r="V38" s="372"/>
      <c r="W38" s="355"/>
      <c r="X38" s="373"/>
      <c r="Y38" s="190"/>
      <c r="Z38" s="190"/>
      <c r="AA38" s="190"/>
    </row>
    <row r="39" spans="2:27" ht="18" customHeight="1">
      <c r="B39" s="79"/>
      <c r="C39" s="79"/>
      <c r="D39" s="79"/>
      <c r="E39" s="190"/>
      <c r="F39" s="317" t="s">
        <v>1214</v>
      </c>
      <c r="G39" s="80"/>
      <c r="H39" s="371"/>
      <c r="I39" s="372"/>
      <c r="J39" s="372"/>
      <c r="K39" s="355"/>
      <c r="L39" s="372"/>
      <c r="M39" s="372"/>
      <c r="N39" s="355"/>
      <c r="O39" s="373"/>
      <c r="P39" s="58"/>
      <c r="Q39" s="371"/>
      <c r="R39" s="372"/>
      <c r="S39" s="372"/>
      <c r="T39" s="355"/>
      <c r="U39" s="372"/>
      <c r="V39" s="372"/>
      <c r="W39" s="355"/>
      <c r="X39" s="373"/>
      <c r="Y39" s="190"/>
      <c r="Z39" s="190"/>
      <c r="AA39" s="190"/>
    </row>
    <row r="40" spans="2:27" ht="18" customHeight="1">
      <c r="B40" s="79"/>
      <c r="C40" s="79"/>
      <c r="D40" s="79" t="s">
        <v>1217</v>
      </c>
      <c r="E40" s="79"/>
      <c r="F40" s="260"/>
      <c r="G40" s="80"/>
      <c r="H40" s="371"/>
      <c r="I40" s="372"/>
      <c r="J40" s="372"/>
      <c r="K40" s="355"/>
      <c r="L40" s="372"/>
      <c r="M40" s="372"/>
      <c r="N40" s="355"/>
      <c r="O40" s="373"/>
      <c r="P40" s="58"/>
      <c r="Q40" s="371"/>
      <c r="R40" s="372"/>
      <c r="S40" s="372"/>
      <c r="T40" s="355"/>
      <c r="U40" s="372"/>
      <c r="V40" s="372"/>
      <c r="W40" s="355"/>
      <c r="X40" s="373"/>
      <c r="Y40" s="190"/>
      <c r="Z40" s="190"/>
      <c r="AA40" s="190"/>
    </row>
    <row r="41" spans="2:27" ht="18" customHeight="1">
      <c r="B41" s="79"/>
      <c r="C41" s="79"/>
      <c r="D41" s="79"/>
      <c r="E41" s="190"/>
      <c r="F41" s="317" t="s">
        <v>1139</v>
      </c>
      <c r="G41" s="80"/>
      <c r="H41" s="371"/>
      <c r="I41" s="372"/>
      <c r="J41" s="372"/>
      <c r="K41" s="355"/>
      <c r="L41" s="372"/>
      <c r="M41" s="372"/>
      <c r="N41" s="355"/>
      <c r="O41" s="373"/>
      <c r="P41" s="58"/>
      <c r="Q41" s="371"/>
      <c r="R41" s="372"/>
      <c r="S41" s="372"/>
      <c r="T41" s="355"/>
      <c r="U41" s="372"/>
      <c r="V41" s="372"/>
      <c r="W41" s="355"/>
      <c r="X41" s="373"/>
      <c r="Y41" s="190"/>
      <c r="Z41" s="190"/>
      <c r="AA41" s="190"/>
    </row>
    <row r="42" spans="2:27" ht="18" customHeight="1">
      <c r="B42" s="79"/>
      <c r="C42" s="79"/>
      <c r="D42" s="79"/>
      <c r="E42" s="190"/>
      <c r="F42" s="317" t="s">
        <v>1214</v>
      </c>
      <c r="G42" s="80"/>
      <c r="H42" s="371"/>
      <c r="I42" s="372"/>
      <c r="J42" s="372"/>
      <c r="K42" s="355"/>
      <c r="L42" s="372"/>
      <c r="M42" s="372"/>
      <c r="N42" s="355"/>
      <c r="O42" s="373"/>
      <c r="P42" s="58"/>
      <c r="Q42" s="371"/>
      <c r="R42" s="372"/>
      <c r="S42" s="372"/>
      <c r="T42" s="355"/>
      <c r="U42" s="372"/>
      <c r="V42" s="372"/>
      <c r="W42" s="355"/>
      <c r="X42" s="373"/>
      <c r="Y42" s="190"/>
      <c r="Z42" s="190"/>
      <c r="AA42" s="190"/>
    </row>
    <row r="43" spans="2:27" ht="18" customHeight="1">
      <c r="B43" s="79"/>
      <c r="C43" s="79"/>
      <c r="D43" s="79" t="s">
        <v>1218</v>
      </c>
      <c r="E43" s="79"/>
      <c r="F43" s="260"/>
      <c r="G43" s="80"/>
      <c r="H43" s="371"/>
      <c r="I43" s="372"/>
      <c r="J43" s="372"/>
      <c r="K43" s="355"/>
      <c r="L43" s="372"/>
      <c r="M43" s="372"/>
      <c r="N43" s="355"/>
      <c r="O43" s="373"/>
      <c r="P43" s="58"/>
      <c r="Q43" s="371"/>
      <c r="R43" s="372"/>
      <c r="S43" s="372"/>
      <c r="T43" s="355"/>
      <c r="U43" s="372"/>
      <c r="V43" s="372"/>
      <c r="W43" s="355"/>
      <c r="X43" s="373"/>
      <c r="Y43" s="190"/>
      <c r="Z43" s="190"/>
      <c r="AA43" s="190"/>
    </row>
    <row r="44" spans="2:27" ht="18" customHeight="1">
      <c r="B44" s="79"/>
      <c r="C44" s="79"/>
      <c r="D44" s="79"/>
      <c r="E44" s="190"/>
      <c r="F44" s="317" t="s">
        <v>1139</v>
      </c>
      <c r="G44" s="80"/>
      <c r="H44" s="371"/>
      <c r="I44" s="372"/>
      <c r="J44" s="372"/>
      <c r="K44" s="355"/>
      <c r="L44" s="372"/>
      <c r="M44" s="372"/>
      <c r="N44" s="355"/>
      <c r="O44" s="373"/>
      <c r="P44" s="58"/>
      <c r="Q44" s="371"/>
      <c r="R44" s="372"/>
      <c r="S44" s="372"/>
      <c r="T44" s="355"/>
      <c r="U44" s="372"/>
      <c r="V44" s="372"/>
      <c r="W44" s="355"/>
      <c r="X44" s="373"/>
      <c r="Y44" s="190"/>
      <c r="Z44" s="190"/>
      <c r="AA44" s="190"/>
    </row>
    <row r="45" spans="2:27" ht="18" customHeight="1">
      <c r="B45" s="79"/>
      <c r="C45" s="79"/>
      <c r="D45" s="79"/>
      <c r="E45" s="190"/>
      <c r="F45" s="317" t="s">
        <v>1214</v>
      </c>
      <c r="G45" s="80"/>
      <c r="H45" s="371"/>
      <c r="I45" s="372"/>
      <c r="J45" s="372"/>
      <c r="K45" s="355"/>
      <c r="L45" s="372"/>
      <c r="M45" s="372"/>
      <c r="N45" s="355"/>
      <c r="O45" s="373"/>
      <c r="P45" s="58"/>
      <c r="Q45" s="371"/>
      <c r="R45" s="372"/>
      <c r="S45" s="372"/>
      <c r="T45" s="355"/>
      <c r="U45" s="372"/>
      <c r="V45" s="372"/>
      <c r="W45" s="355"/>
      <c r="X45" s="373"/>
      <c r="Y45" s="190"/>
      <c r="Z45" s="190"/>
      <c r="AA45" s="190"/>
    </row>
    <row r="46" spans="2:27" ht="20.100000000000001" customHeight="1">
      <c r="B46" s="78" t="s">
        <v>1220</v>
      </c>
      <c r="C46" s="190"/>
      <c r="D46" s="79"/>
      <c r="E46" s="79"/>
      <c r="F46" s="317"/>
      <c r="G46" s="80"/>
      <c r="H46" s="252"/>
      <c r="I46" s="196"/>
      <c r="J46" s="196"/>
      <c r="K46" s="256"/>
      <c r="L46" s="196"/>
      <c r="M46" s="196"/>
      <c r="N46" s="256"/>
      <c r="O46" s="353"/>
      <c r="P46" s="58"/>
      <c r="Q46" s="252"/>
      <c r="R46" s="196"/>
      <c r="S46" s="196"/>
      <c r="T46" s="256"/>
      <c r="U46" s="196"/>
      <c r="V46" s="196"/>
      <c r="W46" s="256"/>
      <c r="X46" s="353"/>
      <c r="Y46" s="190"/>
      <c r="Z46" s="190"/>
      <c r="AA46" s="190"/>
    </row>
    <row r="47" spans="2:27" ht="18" customHeight="1">
      <c r="B47" s="79"/>
      <c r="C47" s="79"/>
      <c r="D47" s="79" t="s">
        <v>1211</v>
      </c>
      <c r="E47" s="79"/>
      <c r="F47" s="260"/>
      <c r="G47" s="80"/>
      <c r="H47" s="252"/>
      <c r="I47" s="196"/>
      <c r="J47" s="196"/>
      <c r="K47" s="256"/>
      <c r="L47" s="196"/>
      <c r="M47" s="196"/>
      <c r="N47" s="256"/>
      <c r="O47" s="353"/>
      <c r="P47" s="58"/>
      <c r="Q47" s="252"/>
      <c r="R47" s="196"/>
      <c r="S47" s="196"/>
      <c r="T47" s="256"/>
      <c r="U47" s="196"/>
      <c r="V47" s="196"/>
      <c r="W47" s="256"/>
      <c r="X47" s="353"/>
      <c r="Y47" s="190"/>
      <c r="Z47" s="190"/>
      <c r="AA47" s="190"/>
    </row>
    <row r="48" spans="2:27" ht="18" customHeight="1">
      <c r="B48" s="79"/>
      <c r="C48" s="79"/>
      <c r="D48" s="79"/>
      <c r="E48" s="190"/>
      <c r="F48" s="317" t="s">
        <v>1212</v>
      </c>
      <c r="G48" s="80"/>
      <c r="H48" s="252"/>
      <c r="I48" s="196"/>
      <c r="J48" s="196"/>
      <c r="K48" s="256"/>
      <c r="L48" s="196"/>
      <c r="M48" s="196"/>
      <c r="N48" s="256"/>
      <c r="O48" s="353"/>
      <c r="P48" s="58"/>
      <c r="Q48" s="252"/>
      <c r="R48" s="196"/>
      <c r="S48" s="196"/>
      <c r="T48" s="256"/>
      <c r="U48" s="196"/>
      <c r="V48" s="196"/>
      <c r="W48" s="256"/>
      <c r="X48" s="353"/>
      <c r="Y48" s="190"/>
      <c r="Z48" s="190"/>
      <c r="AA48" s="190"/>
    </row>
    <row r="49" spans="2:41" ht="18" customHeight="1">
      <c r="B49" s="79"/>
      <c r="C49" s="79"/>
      <c r="D49" s="79"/>
      <c r="E49" s="190"/>
      <c r="F49" s="317" t="s">
        <v>1214</v>
      </c>
      <c r="G49" s="80"/>
      <c r="H49" s="252"/>
      <c r="I49" s="196"/>
      <c r="J49" s="196"/>
      <c r="K49" s="256"/>
      <c r="L49" s="196"/>
      <c r="M49" s="196"/>
      <c r="N49" s="256"/>
      <c r="O49" s="353"/>
      <c r="P49" s="58"/>
      <c r="Q49" s="252"/>
      <c r="R49" s="196"/>
      <c r="S49" s="196"/>
      <c r="T49" s="256"/>
      <c r="U49" s="196"/>
      <c r="V49" s="196"/>
      <c r="W49" s="256"/>
      <c r="X49" s="353"/>
      <c r="Y49" s="190"/>
      <c r="Z49" s="190"/>
      <c r="AA49" s="190"/>
    </row>
    <row r="50" spans="2:41" ht="18" customHeight="1">
      <c r="B50" s="79"/>
      <c r="C50" s="79"/>
      <c r="D50" s="79" t="s">
        <v>1215</v>
      </c>
      <c r="E50" s="79"/>
      <c r="F50" s="260"/>
      <c r="G50" s="80"/>
      <c r="H50" s="371"/>
      <c r="I50" s="372"/>
      <c r="J50" s="372"/>
      <c r="K50" s="355"/>
      <c r="L50" s="372"/>
      <c r="M50" s="372"/>
      <c r="N50" s="355"/>
      <c r="O50" s="373"/>
      <c r="P50" s="58"/>
      <c r="Q50" s="371"/>
      <c r="R50" s="372"/>
      <c r="S50" s="372"/>
      <c r="T50" s="355"/>
      <c r="U50" s="372"/>
      <c r="V50" s="372"/>
      <c r="W50" s="355"/>
      <c r="X50" s="373"/>
      <c r="Y50" s="190"/>
      <c r="Z50" s="190"/>
      <c r="AA50" s="190"/>
    </row>
    <row r="51" spans="2:41" ht="18" customHeight="1">
      <c r="B51" s="79"/>
      <c r="C51" s="79"/>
      <c r="D51" s="79"/>
      <c r="E51" s="190"/>
      <c r="F51" s="317" t="s">
        <v>1212</v>
      </c>
      <c r="G51" s="80"/>
      <c r="H51" s="371"/>
      <c r="I51" s="372"/>
      <c r="J51" s="372"/>
      <c r="K51" s="355"/>
      <c r="L51" s="372"/>
      <c r="M51" s="372"/>
      <c r="N51" s="355"/>
      <c r="O51" s="373"/>
      <c r="P51" s="58"/>
      <c r="Q51" s="371"/>
      <c r="R51" s="372"/>
      <c r="S51" s="372"/>
      <c r="T51" s="355"/>
      <c r="U51" s="372"/>
      <c r="V51" s="372"/>
      <c r="W51" s="355"/>
      <c r="X51" s="373"/>
      <c r="Y51" s="190"/>
      <c r="Z51" s="190"/>
      <c r="AA51" s="190"/>
    </row>
    <row r="52" spans="2:41" ht="18" customHeight="1">
      <c r="B52" s="79"/>
      <c r="C52" s="79"/>
      <c r="D52" s="79"/>
      <c r="E52" s="190"/>
      <c r="F52" s="317" t="s">
        <v>1214</v>
      </c>
      <c r="G52" s="80"/>
      <c r="H52" s="371"/>
      <c r="I52" s="372"/>
      <c r="J52" s="372"/>
      <c r="K52" s="355"/>
      <c r="L52" s="372"/>
      <c r="M52" s="372"/>
      <c r="N52" s="355"/>
      <c r="O52" s="373"/>
      <c r="P52" s="58"/>
      <c r="Q52" s="371"/>
      <c r="R52" s="372"/>
      <c r="S52" s="372"/>
      <c r="T52" s="355"/>
      <c r="U52" s="372"/>
      <c r="V52" s="372"/>
      <c r="W52" s="355"/>
      <c r="X52" s="373"/>
      <c r="Y52" s="190"/>
      <c r="Z52" s="190"/>
      <c r="AA52" s="190"/>
    </row>
    <row r="53" spans="2:41" ht="18" customHeight="1">
      <c r="B53" s="79"/>
      <c r="C53" s="79"/>
      <c r="D53" s="79" t="s">
        <v>1216</v>
      </c>
      <c r="E53" s="79"/>
      <c r="F53" s="260"/>
      <c r="G53" s="80"/>
      <c r="H53" s="371"/>
      <c r="I53" s="372"/>
      <c r="J53" s="372"/>
      <c r="K53" s="355"/>
      <c r="L53" s="372"/>
      <c r="M53" s="372"/>
      <c r="N53" s="355"/>
      <c r="O53" s="373"/>
      <c r="P53" s="58"/>
      <c r="Q53" s="371"/>
      <c r="R53" s="372"/>
      <c r="S53" s="372"/>
      <c r="T53" s="355"/>
      <c r="U53" s="372"/>
      <c r="V53" s="372"/>
      <c r="W53" s="355"/>
      <c r="X53" s="373"/>
      <c r="Y53" s="190"/>
      <c r="Z53" s="190"/>
      <c r="AA53" s="190"/>
    </row>
    <row r="54" spans="2:41" ht="18" customHeight="1">
      <c r="B54" s="79"/>
      <c r="C54" s="79"/>
      <c r="D54" s="79"/>
      <c r="E54" s="190"/>
      <c r="F54" s="317" t="s">
        <v>1212</v>
      </c>
      <c r="G54" s="80"/>
      <c r="H54" s="371"/>
      <c r="I54" s="372"/>
      <c r="J54" s="372"/>
      <c r="K54" s="355"/>
      <c r="L54" s="372"/>
      <c r="M54" s="372"/>
      <c r="N54" s="355"/>
      <c r="O54" s="373"/>
      <c r="P54" s="58"/>
      <c r="Q54" s="371"/>
      <c r="R54" s="372"/>
      <c r="S54" s="372"/>
      <c r="T54" s="355"/>
      <c r="U54" s="372"/>
      <c r="V54" s="372"/>
      <c r="W54" s="355"/>
      <c r="X54" s="373"/>
      <c r="Y54" s="190"/>
      <c r="Z54" s="190"/>
      <c r="AA54" s="190"/>
    </row>
    <row r="55" spans="2:41" ht="18" customHeight="1">
      <c r="B55" s="79"/>
      <c r="C55" s="79"/>
      <c r="D55" s="79"/>
      <c r="E55" s="190"/>
      <c r="F55" s="317" t="s">
        <v>1214</v>
      </c>
      <c r="G55" s="80"/>
      <c r="H55" s="371"/>
      <c r="I55" s="372"/>
      <c r="J55" s="372"/>
      <c r="K55" s="355"/>
      <c r="L55" s="372"/>
      <c r="M55" s="372"/>
      <c r="N55" s="355"/>
      <c r="O55" s="373"/>
      <c r="P55" s="58"/>
      <c r="Q55" s="371"/>
      <c r="R55" s="372"/>
      <c r="S55" s="372"/>
      <c r="T55" s="355"/>
      <c r="U55" s="372"/>
      <c r="V55" s="372"/>
      <c r="W55" s="355"/>
      <c r="X55" s="373"/>
      <c r="Y55" s="190"/>
      <c r="Z55" s="190"/>
      <c r="AA55" s="190"/>
    </row>
    <row r="56" spans="2:41" ht="18" customHeight="1">
      <c r="B56" s="79"/>
      <c r="C56" s="79"/>
      <c r="D56" s="79" t="s">
        <v>1217</v>
      </c>
      <c r="E56" s="79"/>
      <c r="F56" s="260"/>
      <c r="G56" s="80"/>
      <c r="H56" s="371"/>
      <c r="I56" s="372"/>
      <c r="J56" s="372"/>
      <c r="K56" s="355"/>
      <c r="L56" s="372"/>
      <c r="M56" s="372"/>
      <c r="N56" s="355"/>
      <c r="O56" s="373"/>
      <c r="P56" s="58"/>
      <c r="Q56" s="371"/>
      <c r="R56" s="372"/>
      <c r="S56" s="372"/>
      <c r="T56" s="355"/>
      <c r="U56" s="372"/>
      <c r="V56" s="372"/>
      <c r="W56" s="355"/>
      <c r="X56" s="373"/>
      <c r="Y56" s="190"/>
      <c r="Z56" s="190"/>
      <c r="AA56" s="190"/>
    </row>
    <row r="57" spans="2:41" ht="18" customHeight="1">
      <c r="B57" s="79"/>
      <c r="C57" s="79"/>
      <c r="D57" s="79"/>
      <c r="E57" s="190"/>
      <c r="F57" s="317" t="s">
        <v>1212</v>
      </c>
      <c r="G57" s="80"/>
      <c r="H57" s="371"/>
      <c r="I57" s="372"/>
      <c r="J57" s="372"/>
      <c r="K57" s="355"/>
      <c r="L57" s="372"/>
      <c r="M57" s="372"/>
      <c r="N57" s="355"/>
      <c r="O57" s="373"/>
      <c r="P57" s="58"/>
      <c r="Q57" s="371"/>
      <c r="R57" s="372"/>
      <c r="S57" s="372"/>
      <c r="T57" s="355"/>
      <c r="U57" s="372"/>
      <c r="V57" s="372"/>
      <c r="W57" s="355"/>
      <c r="X57" s="373"/>
      <c r="Y57" s="190"/>
      <c r="Z57" s="190"/>
      <c r="AA57" s="190"/>
    </row>
    <row r="58" spans="2:41" ht="18" customHeight="1">
      <c r="B58" s="79"/>
      <c r="C58" s="79"/>
      <c r="D58" s="79"/>
      <c r="E58" s="190"/>
      <c r="F58" s="317" t="s">
        <v>1214</v>
      </c>
      <c r="G58" s="80"/>
      <c r="H58" s="371"/>
      <c r="I58" s="372"/>
      <c r="J58" s="372"/>
      <c r="K58" s="355"/>
      <c r="L58" s="372"/>
      <c r="M58" s="372"/>
      <c r="N58" s="355"/>
      <c r="O58" s="373"/>
      <c r="P58" s="58"/>
      <c r="Q58" s="371"/>
      <c r="R58" s="372"/>
      <c r="S58" s="372"/>
      <c r="T58" s="355"/>
      <c r="U58" s="372"/>
      <c r="V58" s="372"/>
      <c r="W58" s="355"/>
      <c r="X58" s="373"/>
      <c r="Y58" s="190"/>
      <c r="Z58" s="190"/>
      <c r="AA58" s="190"/>
    </row>
    <row r="59" spans="2:41" ht="18" customHeight="1">
      <c r="B59" s="79"/>
      <c r="C59" s="79"/>
      <c r="D59" s="79" t="s">
        <v>1218</v>
      </c>
      <c r="E59" s="79"/>
      <c r="F59" s="260"/>
      <c r="G59" s="80"/>
      <c r="H59" s="371"/>
      <c r="I59" s="372"/>
      <c r="J59" s="372"/>
      <c r="K59" s="355"/>
      <c r="L59" s="372"/>
      <c r="M59" s="372"/>
      <c r="N59" s="355"/>
      <c r="O59" s="373"/>
      <c r="P59" s="58"/>
      <c r="Q59" s="371"/>
      <c r="R59" s="372"/>
      <c r="S59" s="372"/>
      <c r="T59" s="355"/>
      <c r="U59" s="372"/>
      <c r="V59" s="372"/>
      <c r="W59" s="355"/>
      <c r="X59" s="373"/>
      <c r="Y59" s="190"/>
      <c r="Z59" s="190"/>
      <c r="AA59" s="190"/>
    </row>
    <row r="60" spans="2:41" ht="18" customHeight="1">
      <c r="B60" s="79"/>
      <c r="C60" s="79"/>
      <c r="D60" s="79"/>
      <c r="E60" s="190"/>
      <c r="F60" s="317" t="s">
        <v>1212</v>
      </c>
      <c r="G60" s="80"/>
      <c r="H60" s="371"/>
      <c r="I60" s="372"/>
      <c r="J60" s="372"/>
      <c r="K60" s="355"/>
      <c r="L60" s="372"/>
      <c r="M60" s="372"/>
      <c r="N60" s="355"/>
      <c r="O60" s="373"/>
      <c r="P60" s="58"/>
      <c r="Q60" s="371"/>
      <c r="R60" s="372"/>
      <c r="S60" s="372"/>
      <c r="T60" s="355"/>
      <c r="U60" s="372"/>
      <c r="V60" s="372"/>
      <c r="W60" s="355"/>
      <c r="X60" s="373"/>
      <c r="Y60" s="190"/>
      <c r="Z60" s="190"/>
      <c r="AA60" s="190"/>
    </row>
    <row r="61" spans="2:41" ht="18" customHeight="1" thickBot="1">
      <c r="B61" s="79"/>
      <c r="C61" s="79"/>
      <c r="D61" s="79"/>
      <c r="E61" s="190"/>
      <c r="F61" s="317" t="s">
        <v>1214</v>
      </c>
      <c r="G61" s="80"/>
      <c r="H61" s="371"/>
      <c r="I61" s="372"/>
      <c r="J61" s="372"/>
      <c r="K61" s="355"/>
      <c r="L61" s="372"/>
      <c r="M61" s="372"/>
      <c r="N61" s="355"/>
      <c r="O61" s="373"/>
      <c r="P61" s="58"/>
      <c r="Q61" s="371"/>
      <c r="R61" s="372"/>
      <c r="S61" s="372"/>
      <c r="T61" s="355"/>
      <c r="U61" s="372"/>
      <c r="V61" s="372"/>
      <c r="W61" s="355"/>
      <c r="X61" s="373"/>
      <c r="Y61" s="190"/>
      <c r="Z61" s="190"/>
      <c r="AA61" s="190"/>
    </row>
    <row r="62" spans="2:41" s="190" customFormat="1" ht="5.0999999999999996" customHeight="1" thickBot="1">
      <c r="B62" s="376"/>
      <c r="C62" s="376"/>
      <c r="D62" s="376"/>
      <c r="E62" s="376"/>
      <c r="F62" s="376"/>
      <c r="G62" s="43"/>
      <c r="H62" s="377"/>
      <c r="I62" s="378"/>
      <c r="J62" s="377"/>
      <c r="K62" s="378"/>
      <c r="L62" s="377"/>
      <c r="M62" s="377"/>
      <c r="N62" s="377"/>
      <c r="O62" s="378"/>
      <c r="P62" s="43"/>
      <c r="Q62" s="377"/>
      <c r="R62" s="378"/>
      <c r="S62" s="377"/>
      <c r="T62" s="378"/>
      <c r="U62" s="377"/>
      <c r="V62" s="377"/>
      <c r="W62" s="377"/>
      <c r="X62" s="378"/>
      <c r="Y62" s="204"/>
      <c r="Z62" s="204"/>
      <c r="AA62" s="204"/>
      <c r="AB62" s="189"/>
      <c r="AC62" s="43"/>
      <c r="AD62" s="204"/>
      <c r="AE62" s="189"/>
      <c r="AF62" s="204"/>
      <c r="AG62" s="189"/>
      <c r="AH62" s="204"/>
      <c r="AK62" s="189"/>
      <c r="AO62" s="189"/>
    </row>
    <row r="63" spans="2:41" ht="20.100000000000001" customHeight="1" thickBot="1">
      <c r="B63" s="379" t="s">
        <v>1221</v>
      </c>
      <c r="C63" s="379"/>
      <c r="D63" s="343"/>
      <c r="E63" s="343"/>
      <c r="F63" s="344"/>
      <c r="G63" s="80"/>
      <c r="H63" s="200"/>
      <c r="I63" s="198"/>
      <c r="J63" s="198"/>
      <c r="K63" s="334"/>
      <c r="L63" s="198"/>
      <c r="M63" s="198"/>
      <c r="N63" s="334"/>
      <c r="O63" s="333"/>
      <c r="P63" s="58"/>
      <c r="Q63" s="200"/>
      <c r="R63" s="198"/>
      <c r="S63" s="198"/>
      <c r="T63" s="334"/>
      <c r="U63" s="198"/>
      <c r="V63" s="198"/>
      <c r="W63" s="334"/>
      <c r="X63" s="333"/>
      <c r="Y63" s="190"/>
      <c r="Z63" s="190"/>
      <c r="AA63" s="190"/>
    </row>
    <row r="64" spans="2:41" ht="20.100000000000001" customHeight="1">
      <c r="B64" s="79"/>
      <c r="C64" s="79"/>
      <c r="D64" s="79"/>
      <c r="E64" s="79"/>
      <c r="F64" s="79"/>
      <c r="G64" s="80"/>
      <c r="H64" s="79"/>
      <c r="I64" s="79"/>
      <c r="J64" s="79"/>
      <c r="K64" s="79"/>
      <c r="L64" s="79"/>
      <c r="M64" s="79"/>
      <c r="N64" s="79"/>
      <c r="O64" s="79"/>
      <c r="P64" s="80"/>
      <c r="Q64" s="79"/>
      <c r="R64" s="79"/>
      <c r="S64" s="79"/>
      <c r="T64" s="79"/>
      <c r="U64" s="79"/>
      <c r="V64" s="79"/>
      <c r="W64" s="79"/>
      <c r="X64" s="79"/>
      <c r="Y64" s="190"/>
      <c r="Z64" s="190"/>
      <c r="AA64" s="190"/>
    </row>
    <row r="65" spans="2:41" ht="20.100000000000001" customHeight="1">
      <c r="B65" s="79"/>
      <c r="C65" s="79"/>
      <c r="D65" s="79"/>
      <c r="E65" s="79"/>
      <c r="F65" s="79"/>
      <c r="G65" s="80"/>
      <c r="H65" s="79"/>
      <c r="I65" s="79"/>
      <c r="J65" s="79"/>
      <c r="K65" s="79"/>
      <c r="L65" s="79"/>
      <c r="M65" s="79"/>
      <c r="N65" s="79"/>
      <c r="O65" s="79"/>
      <c r="P65" s="80"/>
      <c r="Q65" s="79"/>
      <c r="R65" s="79"/>
      <c r="S65" s="79"/>
      <c r="T65" s="79"/>
      <c r="U65" s="79"/>
      <c r="V65" s="79"/>
      <c r="W65" s="79"/>
      <c r="X65" s="79"/>
      <c r="Y65" s="190"/>
      <c r="Z65" s="190"/>
      <c r="AA65" s="190"/>
    </row>
    <row r="66" spans="2:41" ht="20.100000000000001" customHeight="1">
      <c r="B66" s="79"/>
      <c r="C66" s="79"/>
      <c r="D66" s="79"/>
      <c r="E66" s="79"/>
      <c r="F66" s="79"/>
      <c r="G66" s="80"/>
      <c r="H66" s="79"/>
      <c r="I66" s="79"/>
      <c r="J66" s="79"/>
      <c r="K66" s="79"/>
      <c r="L66" s="79"/>
      <c r="M66" s="79"/>
      <c r="N66" s="79"/>
      <c r="O66" s="79"/>
      <c r="P66" s="80"/>
      <c r="Q66" s="79"/>
      <c r="R66" s="79"/>
      <c r="S66" s="79"/>
      <c r="T66" s="79"/>
      <c r="U66" s="79"/>
      <c r="V66" s="79"/>
      <c r="W66" s="79"/>
      <c r="X66" s="79"/>
      <c r="Y66" s="190"/>
      <c r="Z66" s="190"/>
      <c r="AA66" s="190"/>
    </row>
    <row r="67" spans="2:41" ht="20.100000000000001" customHeight="1">
      <c r="B67" s="79"/>
      <c r="C67" s="79"/>
      <c r="D67" s="79"/>
      <c r="E67" s="79"/>
      <c r="F67" s="79"/>
      <c r="G67" s="80"/>
      <c r="H67" s="79"/>
      <c r="I67" s="79"/>
      <c r="J67" s="79"/>
      <c r="K67" s="79"/>
      <c r="L67" s="79"/>
      <c r="M67" s="79"/>
      <c r="N67" s="79"/>
      <c r="O67" s="79"/>
      <c r="P67" s="80"/>
      <c r="Q67" s="79"/>
      <c r="R67" s="79"/>
      <c r="S67" s="79"/>
      <c r="T67" s="79"/>
      <c r="U67" s="79"/>
      <c r="V67" s="79"/>
      <c r="W67" s="79"/>
      <c r="X67" s="79"/>
      <c r="Y67" s="190"/>
      <c r="Z67" s="190"/>
      <c r="AA67" s="190"/>
    </row>
    <row r="68" spans="2:41" ht="20.100000000000001" customHeight="1">
      <c r="B68" s="190"/>
      <c r="C68" s="190"/>
      <c r="D68" s="79"/>
      <c r="E68" s="190"/>
      <c r="F68" s="190"/>
      <c r="H68" s="190"/>
      <c r="I68" s="190"/>
      <c r="J68" s="190"/>
      <c r="K68" s="190"/>
      <c r="L68" s="190"/>
      <c r="M68" s="190"/>
      <c r="N68" s="190"/>
      <c r="O68" s="190"/>
      <c r="Q68" s="190"/>
      <c r="R68" s="190"/>
      <c r="S68" s="190"/>
      <c r="T68" s="190"/>
      <c r="U68" s="190"/>
      <c r="V68" s="190"/>
      <c r="W68" s="190"/>
      <c r="X68" s="190"/>
      <c r="Y68" s="190"/>
      <c r="Z68" s="190"/>
      <c r="AA68" s="190"/>
    </row>
    <row r="69" spans="2:41" ht="20.100000000000001" customHeight="1">
      <c r="F69" s="79"/>
    </row>
    <row r="70" spans="2:41" s="43" customFormat="1" ht="20.100000000000001" customHeight="1">
      <c r="B70" s="2"/>
      <c r="C70" s="2"/>
      <c r="D70" s="2"/>
      <c r="E70" s="2"/>
      <c r="F70" s="79"/>
      <c r="H70" s="2"/>
      <c r="I70" s="2"/>
      <c r="J70" s="2"/>
      <c r="K70" s="2"/>
      <c r="L70" s="2"/>
      <c r="M70" s="2"/>
      <c r="N70" s="2"/>
      <c r="O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</row>
  </sheetData>
  <mergeCells count="19">
    <mergeCell ref="T6:T7"/>
    <mergeCell ref="V6:V7"/>
    <mergeCell ref="W6:W7"/>
    <mergeCell ref="B4:F7"/>
    <mergeCell ref="H4:O4"/>
    <mergeCell ref="Q4:X4"/>
    <mergeCell ref="H5:H7"/>
    <mergeCell ref="I5:I7"/>
    <mergeCell ref="L5:L7"/>
    <mergeCell ref="O5:O7"/>
    <mergeCell ref="Q5:Q7"/>
    <mergeCell ref="R5:R7"/>
    <mergeCell ref="U5:U7"/>
    <mergeCell ref="X5:X7"/>
    <mergeCell ref="J6:J7"/>
    <mergeCell ref="K6:K7"/>
    <mergeCell ref="M6:M7"/>
    <mergeCell ref="N6:N7"/>
    <mergeCell ref="S6:S7"/>
  </mergeCells>
  <phoneticPr fontId="4" type="noConversion"/>
  <printOptions horizontalCentered="1" verticalCentered="1"/>
  <pageMargins left="0.15748031496062992" right="0.15748031496062992" top="0.39370078740157483" bottom="0.39370078740157483" header="0" footer="0"/>
  <pageSetup paperSize="9" scale="75" orientation="landscape" r:id="rId1"/>
  <rowBreaks count="1" manualBreakCount="1">
    <brk id="36" min="1" max="23" man="1"/>
  </row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1"/>
  </sheetPr>
  <dimension ref="B4:AC9"/>
  <sheetViews>
    <sheetView showGridLines="0" topLeftCell="B1" zoomScaleNormal="100" workbookViewId="0">
      <selection activeCell="AD31" sqref="AD31"/>
    </sheetView>
  </sheetViews>
  <sheetFormatPr defaultRowHeight="13.5"/>
  <cols>
    <col min="2" max="2" width="2" customWidth="1"/>
    <col min="3" max="3" width="2.85546875" customWidth="1"/>
    <col min="9" max="10" width="4.5703125" customWidth="1"/>
    <col min="17" max="17" width="2.85546875" customWidth="1"/>
    <col min="18" max="18" width="4.5703125" customWidth="1"/>
    <col min="19" max="19" width="2.85546875" customWidth="1"/>
    <col min="29" max="29" width="2.85546875" customWidth="1"/>
  </cols>
  <sheetData>
    <row r="4" spans="2:29" s="543" customFormat="1" ht="30" customHeight="1">
      <c r="B4" s="542" t="s">
        <v>1375</v>
      </c>
    </row>
    <row r="6" spans="2:29" ht="14.25" thickBot="1"/>
    <row r="7" spans="2:29" ht="28.5" customHeight="1" thickBot="1">
      <c r="C7" s="612" t="s">
        <v>1378</v>
      </c>
      <c r="D7" s="610"/>
      <c r="E7" s="610"/>
      <c r="F7" s="610"/>
      <c r="G7" s="610"/>
      <c r="H7" s="610"/>
      <c r="I7" s="610"/>
      <c r="J7" s="610"/>
      <c r="K7" s="610"/>
      <c r="L7" s="610"/>
      <c r="M7" s="610"/>
      <c r="N7" s="610"/>
      <c r="O7" s="610"/>
      <c r="P7" s="610"/>
      <c r="Q7" s="611"/>
      <c r="S7" s="612" t="s">
        <v>1377</v>
      </c>
      <c r="T7" s="610"/>
      <c r="U7" s="610"/>
      <c r="V7" s="610"/>
      <c r="W7" s="610"/>
      <c r="X7" s="610"/>
      <c r="Y7" s="610"/>
      <c r="Z7" s="610"/>
      <c r="AA7" s="610"/>
      <c r="AB7" s="610"/>
      <c r="AC7" s="611"/>
    </row>
    <row r="9" spans="2:29" ht="25.5" customHeight="1">
      <c r="D9" s="609" t="s">
        <v>1376</v>
      </c>
    </row>
  </sheetData>
  <phoneticPr fontId="4" type="noConversion"/>
  <printOptions horizontalCentered="1" verticalCentered="1"/>
  <pageMargins left="0.15748031496062992" right="0.15748031496062992" top="0.39370078740157483" bottom="0.39370078740157483" header="0" footer="0"/>
  <pageSetup paperSize="9" scale="7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13</vt:i4>
      </vt:variant>
      <vt:variant>
        <vt:lpstr>이름이 지정된 범위</vt:lpstr>
      </vt:variant>
      <vt:variant>
        <vt:i4>14</vt:i4>
      </vt:variant>
    </vt:vector>
  </HeadingPairs>
  <TitlesOfParts>
    <vt:vector size="27" baseType="lpstr">
      <vt:lpstr>관리회계손익산출</vt:lpstr>
      <vt:lpstr>운영현황</vt:lpstr>
      <vt:lpstr>참고 글로벌Accounting - BS</vt:lpstr>
      <vt:lpstr>참고 글로벌Accounting - PL</vt:lpstr>
      <vt:lpstr>19-20년도 시스템 개발일정</vt:lpstr>
      <vt:lpstr>PMS-Process</vt:lpstr>
      <vt:lpstr>PMS-Master</vt:lpstr>
      <vt:lpstr>PMS-수기집계양식(현재)</vt:lpstr>
      <vt:lpstr>PMS-예제)본공장손익</vt:lpstr>
      <vt:lpstr>PMS-예제)본공장운영</vt:lpstr>
      <vt:lpstr>PMS-예제)생산성지표</vt:lpstr>
      <vt:lpstr>PMS-예제)비용효율지표</vt:lpstr>
      <vt:lpstr>통합계획</vt:lpstr>
      <vt:lpstr>'19-20년도 시스템 개발일정'!Print_Area</vt:lpstr>
      <vt:lpstr>'PMS-Master'!Print_Area</vt:lpstr>
      <vt:lpstr>'PMS-Process'!Print_Area</vt:lpstr>
      <vt:lpstr>'PMS-수기집계양식(현재)'!Print_Area</vt:lpstr>
      <vt:lpstr>'PMS-예제)본공장손익'!Print_Area</vt:lpstr>
      <vt:lpstr>'PMS-예제)본공장운영'!Print_Area</vt:lpstr>
      <vt:lpstr>'PMS-예제)비용효율지표'!Print_Area</vt:lpstr>
      <vt:lpstr>'PMS-예제)생산성지표'!Print_Area</vt:lpstr>
      <vt:lpstr>관리회계손익산출!Print_Area</vt:lpstr>
      <vt:lpstr>운영현황!Print_Area</vt:lpstr>
      <vt:lpstr>통합계획!Print_Area</vt:lpstr>
      <vt:lpstr>'19-20년도 시스템 개발일정'!Print_Titles</vt:lpstr>
      <vt:lpstr>'PMS-수기집계양식(현재)'!Print_Titles</vt:lpstr>
      <vt:lpstr>'PMS-예제)비용효율지표'!Print_Titles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KK</dc:creator>
  <cp:lastModifiedBy>YR.KIM</cp:lastModifiedBy>
  <cp:lastPrinted>2019-09-19T07:24:04Z</cp:lastPrinted>
  <dcterms:created xsi:type="dcterms:W3CDTF">2019-09-19T05:12:57Z</dcterms:created>
  <dcterms:modified xsi:type="dcterms:W3CDTF">2020-02-18T05:43:09Z</dcterms:modified>
</cp:coreProperties>
</file>