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6870" windowWidth="28830" windowHeight="6930"/>
  </bookViews>
  <sheets>
    <sheet name="판매기준가 관리" sheetId="4" r:id="rId1"/>
    <sheet name="Sheet1" sheetId="1" r:id="rId2"/>
    <sheet name="Sheet2" sheetId="2" r:id="rId3"/>
    <sheet name="Sheet3" sheetId="3" r:id="rId4"/>
  </sheets>
  <definedNames>
    <definedName name="_xlnm.Print_Area" localSheetId="0">'판매기준가 관리'!#REF!,'판매기준가 관리'!#REF!</definedName>
  </definedNames>
  <calcPr calcId="145621"/>
</workbook>
</file>

<file path=xl/calcChain.xml><?xml version="1.0" encoding="utf-8"?>
<calcChain xmlns="http://schemas.openxmlformats.org/spreadsheetml/2006/main">
  <c r="AA398" i="4" l="1"/>
  <c r="AA397" i="4"/>
  <c r="X398" i="4"/>
  <c r="X397" i="4"/>
  <c r="X396" i="4"/>
  <c r="X395" i="4"/>
  <c r="X394" i="4"/>
  <c r="T400" i="4"/>
  <c r="O400" i="4"/>
  <c r="AS378" i="4"/>
  <c r="AZ378" i="4" s="1"/>
  <c r="AS377" i="4"/>
  <c r="AZ377" i="4" s="1"/>
  <c r="AB380" i="4"/>
  <c r="AG380" i="4" s="1"/>
  <c r="N380" i="4"/>
  <c r="U380" i="4"/>
  <c r="AG374" i="4" l="1"/>
  <c r="AL374" i="4" s="1"/>
  <c r="AG375" i="4"/>
  <c r="AL375" i="4" s="1"/>
  <c r="AV50" i="4"/>
  <c r="AV49" i="4"/>
  <c r="AS48" i="4"/>
  <c r="AS47" i="4"/>
  <c r="AP50" i="4"/>
  <c r="AP49" i="4"/>
  <c r="AP48" i="4"/>
  <c r="AP47" i="4"/>
  <c r="AS375" i="4" l="1"/>
  <c r="AZ375" i="4" s="1"/>
  <c r="AA395" i="4"/>
  <c r="AS374" i="4"/>
  <c r="AZ374" i="4" s="1"/>
  <c r="AA394" i="4"/>
  <c r="AG376" i="4"/>
  <c r="AL376" i="4" s="1"/>
  <c r="AA396" i="4" s="1"/>
  <c r="BD104" i="4"/>
  <c r="BD103" i="4"/>
  <c r="AX101" i="4"/>
  <c r="BJ101" i="4" s="1"/>
  <c r="BG104" i="4"/>
  <c r="AX104" i="4"/>
  <c r="BG103" i="4"/>
  <c r="AX103" i="4"/>
  <c r="BA102" i="4"/>
  <c r="BG102" i="4" s="1"/>
  <c r="AX102" i="4"/>
  <c r="BJ102" i="4" s="1"/>
  <c r="BA101" i="4"/>
  <c r="BG101" i="4" s="1"/>
  <c r="AY50" i="4"/>
  <c r="AY49" i="4"/>
  <c r="AY47" i="4"/>
  <c r="AY48" i="4"/>
  <c r="BB47" i="4"/>
  <c r="BB48" i="4"/>
  <c r="AA400" i="4" l="1"/>
  <c r="AL380" i="4"/>
  <c r="AS376" i="4"/>
  <c r="BJ103" i="4"/>
  <c r="BJ104" i="4"/>
  <c r="BB50" i="4"/>
  <c r="BB49" i="4"/>
  <c r="AZ376" i="4" l="1"/>
  <c r="AS380" i="4"/>
  <c r="AZ380" i="4" l="1"/>
  <c r="BE377" i="4" l="1"/>
  <c r="BE375" i="4"/>
  <c r="BE374" i="4"/>
  <c r="AN394" i="4" s="1"/>
  <c r="AS394" i="4" s="1"/>
  <c r="BE376" i="4"/>
  <c r="BL376" i="4" l="1"/>
  <c r="AN396" i="4"/>
  <c r="AS396" i="4" s="1"/>
  <c r="BL375" i="4"/>
  <c r="AN395" i="4"/>
  <c r="AS395" i="4" s="1"/>
  <c r="BL377" i="4"/>
  <c r="AN397" i="4"/>
  <c r="AS397" i="4" s="1"/>
  <c r="BE378" i="4"/>
  <c r="BL374" i="4"/>
  <c r="BL378" i="4" l="1"/>
  <c r="BL380" i="4" s="1"/>
  <c r="AN398" i="4"/>
  <c r="AS398" i="4" l="1"/>
  <c r="AS400" i="4" s="1"/>
  <c r="AN400" i="4"/>
</calcChain>
</file>

<file path=xl/sharedStrings.xml><?xml version="1.0" encoding="utf-8"?>
<sst xmlns="http://schemas.openxmlformats.org/spreadsheetml/2006/main" count="1172" uniqueCount="312">
  <si>
    <t>Ⅰ. 영업관리</t>
    <phoneticPr fontId="3" type="noConversion"/>
  </si>
  <si>
    <t>※ System Menu 구성</t>
    <phoneticPr fontId="3" type="noConversion"/>
  </si>
  <si>
    <t>(R)</t>
    <phoneticPr fontId="3" type="noConversion"/>
  </si>
  <si>
    <t>1-1.</t>
    <phoneticPr fontId="3" type="noConversion"/>
  </si>
  <si>
    <t>등록일자</t>
    <phoneticPr fontId="14" type="noConversion"/>
  </si>
  <si>
    <t>YYYY-MM-DD</t>
    <phoneticPr fontId="3" type="noConversion"/>
  </si>
  <si>
    <t>▤</t>
    <phoneticPr fontId="3" type="noConversion"/>
  </si>
  <si>
    <t>□</t>
    <phoneticPr fontId="3" type="noConversion"/>
  </si>
  <si>
    <t>등록자</t>
    <phoneticPr fontId="14" type="noConversion"/>
  </si>
  <si>
    <t>홍길동</t>
    <phoneticPr fontId="3" type="noConversion"/>
  </si>
  <si>
    <t>Reg no.</t>
    <phoneticPr fontId="14" type="noConversion"/>
  </si>
  <si>
    <t>A220201XXX1</t>
  </si>
  <si>
    <t>저장</t>
    <phoneticPr fontId="3" type="noConversion"/>
  </si>
  <si>
    <t>삭제</t>
    <phoneticPr fontId="3" type="noConversion"/>
  </si>
  <si>
    <t>▼</t>
    <phoneticPr fontId="3" type="noConversion"/>
  </si>
  <si>
    <t>적용기간</t>
    <phoneticPr fontId="14" type="noConversion"/>
  </si>
  <si>
    <t>~</t>
    <phoneticPr fontId="3" type="noConversion"/>
  </si>
  <si>
    <t>BZA4WC1001</t>
    <phoneticPr fontId="3" type="noConversion"/>
  </si>
  <si>
    <t>+</t>
    <phoneticPr fontId="3" type="noConversion"/>
  </si>
  <si>
    <t>BLK</t>
    <phoneticPr fontId="3" type="noConversion"/>
  </si>
  <si>
    <t>대상매장</t>
    <phoneticPr fontId="14" type="noConversion"/>
  </si>
  <si>
    <t>◎</t>
    <phoneticPr fontId="3" type="noConversion"/>
  </si>
  <si>
    <t>○</t>
    <phoneticPr fontId="3" type="noConversion"/>
  </si>
  <si>
    <t>BCA024</t>
    <phoneticPr fontId="3" type="noConversion"/>
  </si>
  <si>
    <t>현대백화점 미아점</t>
    <phoneticPr fontId="3" type="noConversion"/>
  </si>
  <si>
    <t>Excel</t>
    <phoneticPr fontId="3" type="noConversion"/>
  </si>
  <si>
    <t>■</t>
    <phoneticPr fontId="3" type="noConversion"/>
  </si>
  <si>
    <t>대상 SKU</t>
    <phoneticPr fontId="3" type="noConversion"/>
  </si>
  <si>
    <t>Style</t>
    <phoneticPr fontId="3" type="noConversion"/>
  </si>
  <si>
    <t>Color</t>
    <phoneticPr fontId="3" type="noConversion"/>
  </si>
  <si>
    <t>소비자가</t>
    <phoneticPr fontId="3" type="noConversion"/>
  </si>
  <si>
    <t>판매기준가</t>
    <phoneticPr fontId="3" type="noConversion"/>
  </si>
  <si>
    <t>할인율</t>
    <phoneticPr fontId="3" type="noConversion"/>
  </si>
  <si>
    <t>매장코드</t>
    <phoneticPr fontId="3" type="noConversion"/>
  </si>
  <si>
    <t>BCA025</t>
    <phoneticPr fontId="3" type="noConversion"/>
  </si>
  <si>
    <t>:</t>
    <phoneticPr fontId="3" type="noConversion"/>
  </si>
  <si>
    <t>LGR</t>
    <phoneticPr fontId="3" type="noConversion"/>
  </si>
  <si>
    <t>등록일자</t>
    <phoneticPr fontId="3" type="noConversion"/>
  </si>
  <si>
    <t>(All)</t>
    <phoneticPr fontId="3" type="noConversion"/>
  </si>
  <si>
    <t>조회</t>
    <phoneticPr fontId="3" type="noConversion"/>
  </si>
  <si>
    <t>Reg no.</t>
    <phoneticPr fontId="3" type="noConversion"/>
  </si>
  <si>
    <t>등록자</t>
    <phoneticPr fontId="3" type="noConversion"/>
  </si>
  <si>
    <t>From</t>
    <phoneticPr fontId="3" type="noConversion"/>
  </si>
  <si>
    <t>To</t>
    <phoneticPr fontId="3" type="noConversion"/>
  </si>
  <si>
    <t>← 다음 적용시까지 계속될 경우, 9999-99-99 입력</t>
    <phoneticPr fontId="3" type="noConversion"/>
  </si>
  <si>
    <t>부서</t>
    <phoneticPr fontId="14" type="noConversion"/>
  </si>
  <si>
    <t>ZZ사업부</t>
    <phoneticPr fontId="3" type="noConversion"/>
  </si>
  <si>
    <t>저장</t>
    <phoneticPr fontId="3" type="noConversion"/>
  </si>
  <si>
    <t>삭제</t>
    <phoneticPr fontId="3" type="noConversion"/>
  </si>
  <si>
    <t>대상매장</t>
    <phoneticPr fontId="3" type="noConversion"/>
  </si>
  <si>
    <t>매장 선택</t>
    <phoneticPr fontId="3" type="noConversion"/>
  </si>
  <si>
    <t>XXXXXXXX</t>
    <phoneticPr fontId="3" type="noConversion"/>
  </si>
  <si>
    <t>ZL</t>
    <phoneticPr fontId="3" type="noConversion"/>
  </si>
  <si>
    <t>BLK</t>
    <phoneticPr fontId="3" type="noConversion"/>
  </si>
  <si>
    <t>년도</t>
    <phoneticPr fontId="3" type="noConversion"/>
  </si>
  <si>
    <t>시즌</t>
    <phoneticPr fontId="3" type="noConversion"/>
  </si>
  <si>
    <t>2024</t>
    <phoneticPr fontId="3" type="noConversion"/>
  </si>
  <si>
    <t>봄</t>
    <phoneticPr fontId="3" type="noConversion"/>
  </si>
  <si>
    <t>소비자가</t>
    <phoneticPr fontId="3" type="noConversion"/>
  </si>
  <si>
    <t>변경 가격</t>
    <phoneticPr fontId="3" type="noConversion"/>
  </si>
  <si>
    <t>BZA4WC1002</t>
    <phoneticPr fontId="3" type="noConversion"/>
  </si>
  <si>
    <t>BZA4WC1003</t>
    <phoneticPr fontId="3" type="noConversion"/>
  </si>
  <si>
    <t>(All)</t>
    <phoneticPr fontId="3" type="noConversion"/>
  </si>
  <si>
    <t>가격증감</t>
    <phoneticPr fontId="3" type="noConversion"/>
  </si>
  <si>
    <t>할인율증감</t>
    <phoneticPr fontId="3" type="noConversion"/>
  </si>
  <si>
    <t>대상 SKU</t>
    <phoneticPr fontId="14" type="noConversion"/>
  </si>
  <si>
    <t>SKU 선택</t>
    <phoneticPr fontId="3" type="noConversion"/>
  </si>
  <si>
    <t>대상 SKU</t>
    <phoneticPr fontId="3" type="noConversion"/>
  </si>
  <si>
    <t>Sub.B</t>
    <phoneticPr fontId="3" type="noConversion"/>
  </si>
  <si>
    <t>Brand</t>
    <phoneticPr fontId="3" type="noConversion"/>
  </si>
  <si>
    <t>복종</t>
    <phoneticPr fontId="3" type="noConversion"/>
  </si>
  <si>
    <t>TR</t>
    <phoneticPr fontId="3" type="noConversion"/>
  </si>
  <si>
    <t>매장 Upload</t>
    <phoneticPr fontId="3" type="noConversion"/>
  </si>
  <si>
    <t>SKU Upload</t>
    <phoneticPr fontId="3" type="noConversion"/>
  </si>
  <si>
    <t>SKU별 판매기준가 등록</t>
  </si>
  <si>
    <t>SKU별 판매기준가 등록</t>
    <phoneticPr fontId="3" type="noConversion"/>
  </si>
  <si>
    <t>▼</t>
    <phoneticPr fontId="3" type="noConversion"/>
  </si>
  <si>
    <t>Brand</t>
    <phoneticPr fontId="14" type="noConversion"/>
  </si>
  <si>
    <t>시즌년도</t>
    <phoneticPr fontId="14" type="noConversion"/>
  </si>
  <si>
    <t>2024</t>
    <phoneticPr fontId="3" type="noConversion"/>
  </si>
  <si>
    <t>시즌</t>
    <phoneticPr fontId="14" type="noConversion"/>
  </si>
  <si>
    <t>SP</t>
    <phoneticPr fontId="3" type="noConversion"/>
  </si>
  <si>
    <t>↑ 기준가, 할인율 중 하나 입력시, 나머지 자동계산</t>
    <phoneticPr fontId="3" type="noConversion"/>
  </si>
  <si>
    <t>Color</t>
    <phoneticPr fontId="14" type="noConversion"/>
  </si>
  <si>
    <t>Style no.</t>
    <phoneticPr fontId="14" type="noConversion"/>
  </si>
  <si>
    <t>V</t>
    <phoneticPr fontId="3" type="noConversion"/>
  </si>
  <si>
    <t>V</t>
    <phoneticPr fontId="3" type="noConversion"/>
  </si>
  <si>
    <t>Sub.B</t>
    <phoneticPr fontId="14" type="noConversion"/>
  </si>
  <si>
    <t>조회</t>
    <phoneticPr fontId="3" type="noConversion"/>
  </si>
  <si>
    <t>SKU별 판매기준가 등록 내역</t>
  </si>
  <si>
    <t xml:space="preserve">* 상기 조회조건 외, 추가 조건의 경우 의견 받아 추가할 것 </t>
    <phoneticPr fontId="3" type="noConversion"/>
  </si>
  <si>
    <t>SKU별 판매기준가 등록</t>
    <phoneticPr fontId="3" type="noConversion"/>
  </si>
  <si>
    <t>등록일자</t>
    <phoneticPr fontId="3" type="noConversion"/>
  </si>
  <si>
    <t>YYYY-MM-DD</t>
    <phoneticPr fontId="3" type="noConversion"/>
  </si>
  <si>
    <t>▤</t>
    <phoneticPr fontId="3" type="noConversion"/>
  </si>
  <si>
    <t>~</t>
    <phoneticPr fontId="3" type="noConversion"/>
  </si>
  <si>
    <t>조회매장</t>
    <phoneticPr fontId="14" type="noConversion"/>
  </si>
  <si>
    <t>Excel</t>
    <phoneticPr fontId="3" type="noConversion"/>
  </si>
  <si>
    <t>Reg no.</t>
    <phoneticPr fontId="3" type="noConversion"/>
  </si>
  <si>
    <t>부서</t>
    <phoneticPr fontId="3" type="noConversion"/>
  </si>
  <si>
    <t>등록자</t>
    <phoneticPr fontId="3" type="noConversion"/>
  </si>
  <si>
    <t>A220201XXX2</t>
    <phoneticPr fontId="3" type="noConversion"/>
  </si>
  <si>
    <t>A220201XXX3</t>
    <phoneticPr fontId="3" type="noConversion"/>
  </si>
  <si>
    <t>A220201XXX4</t>
    <phoneticPr fontId="3" type="noConversion"/>
  </si>
  <si>
    <t>홍길동</t>
    <phoneticPr fontId="3" type="noConversion"/>
  </si>
  <si>
    <t>ZZ사업부</t>
  </si>
  <si>
    <t>← 행 선택시, 하단 그리드에 Data 조회</t>
    <phoneticPr fontId="3" type="noConversion"/>
  </si>
  <si>
    <t>From</t>
    <phoneticPr fontId="3" type="noConversion"/>
  </si>
  <si>
    <t>To</t>
    <phoneticPr fontId="3" type="noConversion"/>
  </si>
  <si>
    <t>1. 판매기준가 관리</t>
    <phoneticPr fontId="3" type="noConversion"/>
  </si>
  <si>
    <t>조회일자</t>
    <phoneticPr fontId="14" type="noConversion"/>
  </si>
  <si>
    <t>대상매장</t>
    <phoneticPr fontId="14" type="noConversion"/>
  </si>
  <si>
    <t>+</t>
    <phoneticPr fontId="3" type="noConversion"/>
  </si>
  <si>
    <t>매장명</t>
    <phoneticPr fontId="3" type="noConversion"/>
  </si>
  <si>
    <t>Date</t>
    <phoneticPr fontId="3" type="noConversion"/>
  </si>
  <si>
    <t>기간별 매장&amp;SKU별 판매기준가 현황</t>
  </si>
  <si>
    <t>기간별 매장&amp;SKU별 판매기준가 현황</t>
    <phoneticPr fontId="3" type="noConversion"/>
  </si>
  <si>
    <t>매장기준 조회</t>
    <phoneticPr fontId="3" type="noConversion"/>
  </si>
  <si>
    <t>* Style 기준 조회시</t>
    <phoneticPr fontId="3" type="noConversion"/>
  </si>
  <si>
    <t>* 매장 기준 조회시</t>
    <phoneticPr fontId="3" type="noConversion"/>
  </si>
  <si>
    <t>Style 기준 조회</t>
    <phoneticPr fontId="3" type="noConversion"/>
  </si>
  <si>
    <t>Add</t>
    <phoneticPr fontId="3" type="noConversion"/>
  </si>
  <si>
    <t>Del</t>
    <phoneticPr fontId="3" type="noConversion"/>
  </si>
  <si>
    <t>재고수량</t>
    <phoneticPr fontId="3" type="noConversion"/>
  </si>
  <si>
    <t>X,XXX</t>
    <phoneticPr fontId="3" type="noConversion"/>
  </si>
  <si>
    <t>판매율</t>
    <phoneticPr fontId="3" type="noConversion"/>
  </si>
  <si>
    <t>DGR</t>
  </si>
  <si>
    <t>DGR</t>
    <phoneticPr fontId="3" type="noConversion"/>
  </si>
  <si>
    <t>WHI</t>
  </si>
  <si>
    <t>WHI</t>
    <phoneticPr fontId="3" type="noConversion"/>
  </si>
  <si>
    <t>(All)</t>
    <phoneticPr fontId="3" type="noConversion"/>
  </si>
  <si>
    <t>조회</t>
    <phoneticPr fontId="3" type="noConversion"/>
  </si>
  <si>
    <t>SKU 정보</t>
    <phoneticPr fontId="3" type="noConversion"/>
  </si>
  <si>
    <t>Apply</t>
    <phoneticPr fontId="3" type="noConversion"/>
  </si>
  <si>
    <t>완료</t>
    <phoneticPr fontId="3" type="noConversion"/>
  </si>
  <si>
    <t>← 미입력시, 상기 조건 기준 전매장</t>
    <phoneticPr fontId="3" type="noConversion"/>
  </si>
  <si>
    <t>↓ 대상매장 전일자 기준, 최저 판매기준가</t>
    <phoneticPr fontId="3" type="noConversion"/>
  </si>
  <si>
    <t>판매기준가</t>
    <phoneticPr fontId="3" type="noConversion"/>
  </si>
  <si>
    <t>Min</t>
    <phoneticPr fontId="3" type="noConversion"/>
  </si>
  <si>
    <t>기존 판매기준가</t>
    <phoneticPr fontId="3" type="noConversion"/>
  </si>
  <si>
    <t>↓ All 로 Add 했을시, 대상 스타일의 모든 색상 대상 행 추가</t>
    <phoneticPr fontId="3" type="noConversion"/>
  </si>
  <si>
    <t>↑ 전일자 기준 재고수량</t>
    <phoneticPr fontId="3" type="noConversion"/>
  </si>
  <si>
    <t>□</t>
    <phoneticPr fontId="3" type="noConversion"/>
  </si>
  <si>
    <t>1-2.</t>
    <phoneticPr fontId="3" type="noConversion"/>
  </si>
  <si>
    <t>◆ 판매기준가 관리</t>
    <phoneticPr fontId="3" type="noConversion"/>
  </si>
  <si>
    <t>2. 프로모션 관리</t>
    <phoneticPr fontId="3" type="noConversion"/>
  </si>
  <si>
    <t>2-1.</t>
    <phoneticPr fontId="3" type="noConversion"/>
  </si>
  <si>
    <t>SKU별 판매기준가 등록내역</t>
    <phoneticPr fontId="3" type="noConversion"/>
  </si>
  <si>
    <t>SKU별 판매기준가 등록내역</t>
    <phoneticPr fontId="3" type="noConversion"/>
  </si>
  <si>
    <t>금액할인</t>
    <phoneticPr fontId="3" type="noConversion"/>
  </si>
  <si>
    <t>프로모션 기준가</t>
    <phoneticPr fontId="14" type="noConversion"/>
  </si>
  <si>
    <t>Tag Price</t>
    <phoneticPr fontId="3" type="noConversion"/>
  </si>
  <si>
    <t>프로모션명</t>
    <phoneticPr fontId="3" type="noConversion"/>
  </si>
  <si>
    <t>← 프로모션 유형이 균일가일 경우, 비활성화</t>
    <phoneticPr fontId="3" type="noConversion"/>
  </si>
  <si>
    <t>가정의 달 패밀리 세일</t>
    <phoneticPr fontId="3" type="noConversion"/>
  </si>
  <si>
    <t>정기</t>
    <phoneticPr fontId="3" type="noConversion"/>
  </si>
  <si>
    <t>비정기</t>
    <phoneticPr fontId="3" type="noConversion"/>
  </si>
  <si>
    <t>프로모션 목표 판매액</t>
    <phoneticPr fontId="3" type="noConversion"/>
  </si>
  <si>
    <t>백만원</t>
    <phoneticPr fontId="3" type="noConversion"/>
  </si>
  <si>
    <t>프로모션 대상매장</t>
    <phoneticPr fontId="14" type="noConversion"/>
  </si>
  <si>
    <t>← 시작-만료일 필수 입력</t>
    <phoneticPr fontId="3" type="noConversion"/>
  </si>
  <si>
    <t>← 천원/백만원/억원</t>
    <phoneticPr fontId="3" type="noConversion"/>
  </si>
  <si>
    <t>(Unlimited)</t>
    <phoneticPr fontId="3" type="noConversion"/>
  </si>
  <si>
    <t xml:space="preserve">  (Transaction Limit)</t>
    <phoneticPr fontId="3" type="noConversion"/>
  </si>
  <si>
    <t xml:space="preserve">  (Applicable Counts per Transaction)</t>
    <phoneticPr fontId="3" type="noConversion"/>
  </si>
  <si>
    <t>← 1주문당 PR적용 회수 제한</t>
    <phoneticPr fontId="3" type="noConversion"/>
  </si>
  <si>
    <t>주문당 PR적용 회수</t>
    <phoneticPr fontId="14" type="noConversion"/>
  </si>
  <si>
    <t>주문 가능 회수</t>
    <phoneticPr fontId="14" type="noConversion"/>
  </si>
  <si>
    <t>주문 가능 시간</t>
    <phoneticPr fontId="14" type="noConversion"/>
  </si>
  <si>
    <t>HH-MM</t>
    <phoneticPr fontId="3" type="noConversion"/>
  </si>
  <si>
    <t>← 타임세일 등 (미입력시, 제한없음)</t>
    <phoneticPr fontId="3" type="noConversion"/>
  </si>
  <si>
    <t>SKU별 프로모션 등록</t>
  </si>
  <si>
    <t>SKU별 프로모션 등록내역</t>
  </si>
  <si>
    <t>← 한정수량판매 등</t>
    <phoneticPr fontId="3" type="noConversion"/>
  </si>
  <si>
    <t>- Box Setting -</t>
    <phoneticPr fontId="3" type="noConversion"/>
  </si>
  <si>
    <t>교차구매 가능여부</t>
    <phoneticPr fontId="3" type="noConversion"/>
  </si>
  <si>
    <t>PR Box (1)</t>
    <phoneticPr fontId="3" type="noConversion"/>
  </si>
  <si>
    <t>선택가능 수량</t>
    <phoneticPr fontId="3" type="noConversion"/>
  </si>
  <si>
    <t>YES</t>
    <phoneticPr fontId="3" type="noConversion"/>
  </si>
  <si>
    <t>NO</t>
    <phoneticPr fontId="3" type="noConversion"/>
  </si>
  <si>
    <t>(Min)</t>
    <phoneticPr fontId="3" type="noConversion"/>
  </si>
  <si>
    <t>(Max)</t>
    <phoneticPr fontId="3" type="noConversion"/>
  </si>
  <si>
    <t>- 대상 SKU -</t>
    <phoneticPr fontId="3" type="noConversion"/>
  </si>
  <si>
    <t>PR Box (2)</t>
    <phoneticPr fontId="3" type="noConversion"/>
  </si>
  <si>
    <t>PR Box (3)</t>
    <phoneticPr fontId="3" type="noConversion"/>
  </si>
  <si>
    <t>금액할인(원)</t>
    <phoneticPr fontId="3" type="noConversion"/>
  </si>
  <si>
    <t>KRW</t>
    <phoneticPr fontId="3" type="noConversion"/>
  </si>
  <si>
    <t>* PR Box 간 조건은 'And' 조건임</t>
    <phoneticPr fontId="3" type="noConversion"/>
  </si>
  <si>
    <t>2-2.</t>
    <phoneticPr fontId="3" type="noConversion"/>
  </si>
  <si>
    <t>□</t>
    <phoneticPr fontId="3" type="noConversion"/>
  </si>
  <si>
    <t>기한만료 내역 제외</t>
    <phoneticPr fontId="3" type="noConversion"/>
  </si>
  <si>
    <t>Brand</t>
    <phoneticPr fontId="3" type="noConversion"/>
  </si>
  <si>
    <t>XXXXXXX</t>
    <phoneticPr fontId="3" type="noConversion"/>
  </si>
  <si>
    <t>등록자</t>
    <phoneticPr fontId="3" type="noConversion"/>
  </si>
  <si>
    <t>정기</t>
    <phoneticPr fontId="3" type="noConversion"/>
  </si>
  <si>
    <t>비정기</t>
    <phoneticPr fontId="3" type="noConversion"/>
  </si>
  <si>
    <t>금액할인</t>
    <phoneticPr fontId="3" type="noConversion"/>
  </si>
  <si>
    <t>정률할인</t>
    <phoneticPr fontId="3" type="noConversion"/>
  </si>
  <si>
    <t>PR기준가</t>
    <phoneticPr fontId="3" type="noConversion"/>
  </si>
  <si>
    <t>Tag Price</t>
    <phoneticPr fontId="3" type="noConversion"/>
  </si>
  <si>
    <t>판매기준가</t>
    <phoneticPr fontId="3" type="noConversion"/>
  </si>
  <si>
    <t>프로모션 명</t>
    <phoneticPr fontId="3" type="noConversion"/>
  </si>
  <si>
    <t>프로모션 기간</t>
    <phoneticPr fontId="14" type="noConversion"/>
  </si>
  <si>
    <t>등록자</t>
    <phoneticPr fontId="14" type="noConversion"/>
  </si>
  <si>
    <t>목표판매액</t>
    <phoneticPr fontId="3" type="noConversion"/>
  </si>
  <si>
    <t>XX,XXX,XXX</t>
    <phoneticPr fontId="3" type="noConversion"/>
  </si>
  <si>
    <t>대상 매장수</t>
    <phoneticPr fontId="3" type="noConversion"/>
  </si>
  <si>
    <t>대상 SKU (EA)</t>
    <phoneticPr fontId="3" type="noConversion"/>
  </si>
  <si>
    <t>◆ 프로모션 관리</t>
    <phoneticPr fontId="3" type="noConversion"/>
  </si>
  <si>
    <t>↑행 더블클릭시, SKU별 프로모션 등록화면에서 세부내역 Display</t>
    <phoneticPr fontId="3" type="noConversion"/>
  </si>
  <si>
    <t>Style no.</t>
    <phoneticPr fontId="14" type="noConversion"/>
  </si>
  <si>
    <t>+</t>
    <phoneticPr fontId="3" type="noConversion"/>
  </si>
  <si>
    <t>2-3.</t>
    <phoneticPr fontId="3" type="noConversion"/>
  </si>
  <si>
    <t>주문할인 프로모션 등록</t>
    <phoneticPr fontId="3" type="noConversion"/>
  </si>
  <si>
    <t>주문할인 프로모션 등록</t>
    <phoneticPr fontId="3" type="noConversion"/>
  </si>
  <si>
    <t>주문할인 프로모션 등록내역</t>
    <phoneticPr fontId="3" type="noConversion"/>
  </si>
  <si>
    <t>주문할인 PR명</t>
    <phoneticPr fontId="3" type="noConversion"/>
  </si>
  <si>
    <t>주문할인 PR기간</t>
    <phoneticPr fontId="14" type="noConversion"/>
  </si>
  <si>
    <t>PR 적용 회수</t>
    <phoneticPr fontId="14" type="noConversion"/>
  </si>
  <si>
    <t>PR 적용 가능 시간</t>
    <phoneticPr fontId="14" type="noConversion"/>
  </si>
  <si>
    <t>이상</t>
    <phoneticPr fontId="3" type="noConversion"/>
  </si>
  <si>
    <t>쿠폰코드 Upload</t>
    <phoneticPr fontId="3" type="noConversion"/>
  </si>
  <si>
    <t>XXXXXXX</t>
    <phoneticPr fontId="3" type="noConversion"/>
  </si>
  <si>
    <t>← 이상 / 초과</t>
    <phoneticPr fontId="3" type="noConversion"/>
  </si>
  <si>
    <t>PR Box 명</t>
    <phoneticPr fontId="3" type="noConversion"/>
  </si>
  <si>
    <t>24년 SS시즌 정장상의</t>
    <phoneticPr fontId="3" type="noConversion"/>
  </si>
  <si>
    <t>24년 SS시즌 정장하의</t>
    <phoneticPr fontId="3" type="noConversion"/>
  </si>
  <si>
    <t>제상품할인 프로모션 등록</t>
  </si>
  <si>
    <t>제상품할인 프로모션 등록</t>
    <phoneticPr fontId="3" type="noConversion"/>
  </si>
  <si>
    <t>제상품할인 프로모션 등록내역</t>
    <phoneticPr fontId="3" type="noConversion"/>
  </si>
  <si>
    <t>[SKU별 프로모션 설정]</t>
    <phoneticPr fontId="3" type="noConversion"/>
  </si>
  <si>
    <t>프로모션 부합조건</t>
    <phoneticPr fontId="14" type="noConversion"/>
  </si>
  <si>
    <t>* PR Box 는 필요시 User 가 손쉽게 추가할 수 있도록 개발 요망</t>
    <phoneticPr fontId="3" type="noConversion"/>
  </si>
  <si>
    <t>주문할인 PR 부합조건</t>
    <phoneticPr fontId="14" type="noConversion"/>
  </si>
  <si>
    <t>*  쿠폰 등록</t>
    <phoneticPr fontId="3" type="noConversion"/>
  </si>
  <si>
    <t>프로모션 주기</t>
    <phoneticPr fontId="14" type="noConversion"/>
  </si>
  <si>
    <t>프로모션 유형</t>
    <phoneticPr fontId="14" type="noConversion"/>
  </si>
  <si>
    <t>PR 주기</t>
    <phoneticPr fontId="3" type="noConversion"/>
  </si>
  <si>
    <t>PR유형</t>
    <phoneticPr fontId="3" type="noConversion"/>
  </si>
  <si>
    <t>주문할인 PR주기</t>
    <phoneticPr fontId="14" type="noConversion"/>
  </si>
  <si>
    <t>주문할인 PR기준가</t>
    <phoneticPr fontId="14" type="noConversion"/>
  </si>
  <si>
    <t>주문할인 PR유형</t>
    <phoneticPr fontId="14" type="noConversion"/>
  </si>
  <si>
    <t>← 논의 필요</t>
    <phoneticPr fontId="3" type="noConversion"/>
  </si>
  <si>
    <t>제상품 증정</t>
    <phoneticPr fontId="3" type="noConversion"/>
  </si>
  <si>
    <t>넥타이 증정</t>
    <phoneticPr fontId="3" type="noConversion"/>
  </si>
  <si>
    <t>(필수)</t>
    <phoneticPr fontId="3" type="noConversion"/>
  </si>
  <si>
    <t>(옵션)</t>
    <phoneticPr fontId="3" type="noConversion"/>
  </si>
  <si>
    <t>프로모션 사은품</t>
    <phoneticPr fontId="14" type="noConversion"/>
  </si>
  <si>
    <t>↑할인유형에 따라 unit 자동적용 (금액할인-KRW / 정률할인-% / 균일가-KRW / Default-비활성화)</t>
    <phoneticPr fontId="3" type="noConversion"/>
  </si>
  <si>
    <t>↑(Blank) / 금액할인 / 정률할인 / 균일가</t>
    <phoneticPr fontId="3" type="noConversion"/>
  </si>
  <si>
    <t>← 순수 사은품이 아닌, 제품증정의 경우 SKU별 프로모션 설정에서 등록 (판매등록 필요 원인)</t>
    <phoneticPr fontId="3" type="noConversion"/>
  </si>
  <si>
    <t>제상품할인 프로모션 등록내역</t>
    <phoneticPr fontId="3" type="noConversion"/>
  </si>
  <si>
    <t>주문할인 프로모션 등록</t>
  </si>
  <si>
    <t>주문할인 프로모션 등록</t>
    <phoneticPr fontId="3" type="noConversion"/>
  </si>
  <si>
    <t>주문할인 프로모션 등록내역</t>
    <phoneticPr fontId="3" type="noConversion"/>
  </si>
  <si>
    <t>3월 고객감사 행사</t>
  </si>
  <si>
    <t>3월 고객감사 행사</t>
    <phoneticPr fontId="3" type="noConversion"/>
  </si>
  <si>
    <t>↑(Blank) / 금액할인 / 정률할인</t>
    <phoneticPr fontId="3" type="noConversion"/>
  </si>
  <si>
    <t>↑할인유형에 따라 unit 자동적용 (금액할인-KRW / 정률할인-% / Default-비활성화)</t>
    <phoneticPr fontId="3" type="noConversion"/>
  </si>
  <si>
    <t>1) 프로모션 대상 SKU 구매액 기준</t>
    <phoneticPr fontId="3" type="noConversion"/>
  </si>
  <si>
    <t>2) 제상품할인 쿠폰 사용여부</t>
    <phoneticPr fontId="3" type="noConversion"/>
  </si>
  <si>
    <t>주문할인 PR 사은품</t>
    <phoneticPr fontId="14" type="noConversion"/>
  </si>
  <si>
    <t>2) 주문할인 쿠폰 사용여부</t>
    <phoneticPr fontId="3" type="noConversion"/>
  </si>
  <si>
    <t>1) 총 구매액 기준</t>
    <phoneticPr fontId="3" type="noConversion"/>
  </si>
  <si>
    <t>← 한정주문 등</t>
    <phoneticPr fontId="3" type="noConversion"/>
  </si>
  <si>
    <t>주문할인 PR 제상품증정</t>
    <phoneticPr fontId="14" type="noConversion"/>
  </si>
  <si>
    <t>대상 SKU</t>
    <phoneticPr fontId="3" type="noConversion"/>
  </si>
  <si>
    <t>← 순수 사은품이 아닌, 제품증정의 경우 별도 등록 (판매등록 필요 원인)</t>
    <phoneticPr fontId="3" type="noConversion"/>
  </si>
  <si>
    <t>주문할인 PR 목표 판매액</t>
    <phoneticPr fontId="3" type="noConversion"/>
  </si>
  <si>
    <t>24년 SS시즌 정장셔츠</t>
    <phoneticPr fontId="3" type="noConversion"/>
  </si>
  <si>
    <t>제상품할인 프로모션 적용가</t>
    <phoneticPr fontId="3" type="noConversion"/>
  </si>
  <si>
    <t>← 필수정보 X (복합점 등 적용 목적)</t>
    <phoneticPr fontId="3" type="noConversion"/>
  </si>
  <si>
    <t>주문할인 PR 대상매장</t>
    <phoneticPr fontId="14" type="noConversion"/>
  </si>
  <si>
    <t>2-4.</t>
    <phoneticPr fontId="3" type="noConversion"/>
  </si>
  <si>
    <t>주문할인 프로모션 등록내역</t>
    <phoneticPr fontId="3" type="noConversion"/>
  </si>
  <si>
    <t>2-5.</t>
    <phoneticPr fontId="3" type="noConversion"/>
  </si>
  <si>
    <t>고객 주문처리 Process</t>
    <phoneticPr fontId="3" type="noConversion"/>
  </si>
  <si>
    <t>Tag Price</t>
    <phoneticPr fontId="3" type="noConversion"/>
  </si>
  <si>
    <t>정장 상의</t>
    <phoneticPr fontId="3" type="noConversion"/>
  </si>
  <si>
    <t>정장 하의</t>
    <phoneticPr fontId="3" type="noConversion"/>
  </si>
  <si>
    <t>MTM</t>
    <phoneticPr fontId="3" type="noConversion"/>
  </si>
  <si>
    <t>슬랙스</t>
    <phoneticPr fontId="3" type="noConversion"/>
  </si>
  <si>
    <t>셔츠</t>
    <phoneticPr fontId="3" type="noConversion"/>
  </si>
  <si>
    <t>판매기준가</t>
    <phoneticPr fontId="3" type="noConversion"/>
  </si>
  <si>
    <t>정장세트+셔츠
균일가
200,000</t>
    <phoneticPr fontId="3" type="noConversion"/>
  </si>
  <si>
    <t>프로모션가</t>
    <phoneticPr fontId="3" type="noConversion"/>
  </si>
  <si>
    <t>20만원 이상
1만원 할인</t>
    <phoneticPr fontId="3" type="noConversion"/>
  </si>
  <si>
    <t>제품할인 PR</t>
    <phoneticPr fontId="3" type="noConversion"/>
  </si>
  <si>
    <t>주문할인 PR</t>
    <phoneticPr fontId="3" type="noConversion"/>
  </si>
  <si>
    <t>구매가 (판매가)</t>
    <phoneticPr fontId="3" type="noConversion"/>
  </si>
  <si>
    <t>POS 바코드 스캔</t>
    <phoneticPr fontId="3" type="noConversion"/>
  </si>
  <si>
    <t>Step 1</t>
    <phoneticPr fontId="3" type="noConversion"/>
  </si>
  <si>
    <t>제품할인 PR 적용</t>
    <phoneticPr fontId="3" type="noConversion"/>
  </si>
  <si>
    <t>Step 2</t>
    <phoneticPr fontId="3" type="noConversion"/>
  </si>
  <si>
    <t>Step 3</t>
    <phoneticPr fontId="3" type="noConversion"/>
  </si>
  <si>
    <t>주문할인 PR 적용</t>
    <phoneticPr fontId="3" type="noConversion"/>
  </si>
  <si>
    <t>Step 4</t>
    <phoneticPr fontId="3" type="noConversion"/>
  </si>
  <si>
    <t>구매 &amp; 결제</t>
    <phoneticPr fontId="3" type="noConversion"/>
  </si>
  <si>
    <t>할인율</t>
    <phoneticPr fontId="3" type="noConversion"/>
  </si>
  <si>
    <t>↑</t>
    <phoneticPr fontId="3" type="noConversion"/>
  </si>
  <si>
    <t>프로모션 기준가에 따름</t>
    <phoneticPr fontId="3" type="noConversion"/>
  </si>
  <si>
    <t>상기 예제는 판매기준가가 프로모션 기준가</t>
    <phoneticPr fontId="3" type="noConversion"/>
  </si>
  <si>
    <t>주문할인</t>
    <phoneticPr fontId="3" type="noConversion"/>
  </si>
  <si>
    <t>제품할인</t>
    <phoneticPr fontId="3" type="noConversion"/>
  </si>
  <si>
    <t>정장세트+서츠 균일가 행사</t>
    <phoneticPr fontId="3" type="noConversion"/>
  </si>
  <si>
    <t>프로모션 내역</t>
    <phoneticPr fontId="3" type="noConversion"/>
  </si>
  <si>
    <t>POS 정산내역 Display</t>
    <phoneticPr fontId="3" type="noConversion"/>
  </si>
  <si>
    <t>[전제조건] 동일일자 기준, 특정 매장의 특정 SKU 에 대한 제상품할인 프로모션은 유일해야 함. (특정매장의 특정 SKU 에 대한 제상품할인 프로모션 중복 등록 불가</t>
    <phoneticPr fontId="3" type="noConversion"/>
  </si>
  <si>
    <t>↑ 금액대별 주문할인 PR유형 적용기준 차등 적용 필요시, PR유형과 PR부합조건을 Mix 해 등록할 수 있도록 수정 필요</t>
    <phoneticPr fontId="3" type="noConversion"/>
  </si>
  <si>
    <t>**** [중요] 제상품증정의 경우, 키오스크에서는 증정권만 인쇄 or 표기후, 매장 POS 에서 증정품 바코드 스캔창을 별도로 띄워서 읽히고, 구매내역에 판매가 '0' 로 Display 필요</t>
    <phoneticPr fontId="3" type="noConversion"/>
  </si>
  <si>
    <t>[주의] 동일일자 기준, 특정 매장의 주문할인 프로모션 다수 적용 가능토록 해야할 지 여부, 협의 필요 (다수 적용 필요시, 키오스크 이용고객 편의 목적, 할인가 높은 주문할인 프로모션으로 자동선택 해주는 Logic 필요)</t>
    <phoneticPr fontId="3" type="noConversion"/>
  </si>
  <si>
    <t>[주의] 제상품할인 프로모션 등록시, 유통사 판매수수료율 일부 인하 등 발생시, 변경 수수료율을 프로모션 등록화면에 넣어 운영할지 여부 협의 필요 (현재 브랜드마다 운영방법 상이 및 영업관리 수기 관리중)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</si>
</sst>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8">
    <numFmt numFmtId="41" formatCode="_-* #,##0_-;\-* #,##0_-;_-* &quot;-&quot;_-;_-@_-"/>
    <numFmt numFmtId="43" formatCode="_-* #,##0.00_-;\-* #,##0.00_-;_-* &quot;-&quot;??_-;_-@_-"/>
    <numFmt numFmtId="176" formatCode="_(* #,##0_);[Red]_(* \(#,##0\);_(* &quot;-&quot;_);_(@_)"/>
    <numFmt numFmtId="177" formatCode="_-\$* #,##0_-;&quot;-$&quot;* #,##0_-;_-\$* \-_-;_-@_-"/>
    <numFmt numFmtId="178" formatCode="_(* #,##0_);_(* \(#,##0\);_(* \-??_);_(@_)"/>
    <numFmt numFmtId="179" formatCode="\\#,##0.00;[Red]&quot;\\\\\\-&quot;#,##0.00"/>
    <numFmt numFmtId="180" formatCode="_(\$* #,##0.00_);_(\$* \(#,##0.00\);_(\$* \-??_);_(@_)"/>
    <numFmt numFmtId="181" formatCode="\\#,##0;[Red]&quot;\\-&quot;#,##0"/>
    <numFmt numFmtId="182" formatCode="_ * #,##0.00_ ;_ * \-#,##0.00_ ;_ * \-??_ ;_ @_ "/>
    <numFmt numFmtId="183" formatCode="_ * #,##0_ ;_ * \-#,##0_ ;_ * \-_ ;_ @_ "/>
    <numFmt numFmtId="184" formatCode="_-* #,##0_-;\-* #,##0_-;_-* \-_-;_-@_-"/>
    <numFmt numFmtId="185" formatCode="_-* #,##0\ _€_-;\-* #,##0\ _€_-;_-* &quot;- &quot;_€_-;_-@_-"/>
    <numFmt numFmtId="186" formatCode="_(* #,##0_);_(* \(#,##0\);_(* \-_);_(@_)"/>
    <numFmt numFmtId="187" formatCode="_(\$* #,##0_);_(\$* \(#,##0\);_(\$* \-_);_(@_)"/>
    <numFmt numFmtId="188" formatCode="_-* #,##0\ _B_F_-;\-* #,##0\ _B_F_-;_-* &quot;- &quot;_B_F_-;_-@_-"/>
    <numFmt numFmtId="189" formatCode="_-* #,##0.00_-;\-* #,##0.00_-;_-* \-??_-;_-@_-"/>
    <numFmt numFmtId="190" formatCode="_-* #,##0.00\ _€_-;\-* #,##0.00\ _€_-;_-* \-??\ _€_-;_-@_-"/>
    <numFmt numFmtId="191" formatCode="_(* #,##0.00_);_(* \(#,##0.00\);_(* \-??_);_(@_)"/>
    <numFmt numFmtId="192" formatCode="0.000000"/>
    <numFmt numFmtId="193" formatCode="_(* #,##0.0000_);_(* \(#,##0.0000\);_(* \-??_);_(@_)"/>
    <numFmt numFmtId="194" formatCode="&quot;SFr. &quot;#,##0.00;[Red]&quot;SFr. -&quot;#,##0.00"/>
    <numFmt numFmtId="195" formatCode="_ &quot;SFr. &quot;* #,##0_ ;_ &quot;SFr. &quot;* \-#,##0_ ;_ &quot;SFr. &quot;* \-_ ;_ @_ "/>
    <numFmt numFmtId="196" formatCode="#,##0.0_);\(#,##0.0\)"/>
    <numFmt numFmtId="197" formatCode="0.0%;[Red]\(0.0%\)"/>
    <numFmt numFmtId="198" formatCode="_ * #,##0.00_)\£_ ;_ * \(#,##0.00&quot;)£&quot;_ ;_ * \-??_)\£_ ;_ @_ "/>
    <numFmt numFmtId="199" formatCode="_-\$* #,##0.00_-;&quot;-$&quot;* #,##0.00_-;_-\$* \-??_-;_-@_-"/>
    <numFmt numFmtId="200" formatCode="0.0%;\(0.0%\)"/>
    <numFmt numFmtId="201" formatCode="_-* #,##0.00&quot; F&quot;_-;\-* #,##0.00&quot; F&quot;_-;_-* \-??&quot; F&quot;_-;_-@_-"/>
    <numFmt numFmtId="202" formatCode="0.000_)"/>
    <numFmt numFmtId="203" formatCode="#,##0\ ;\-#,##0\ ;&quot; - &quot;;@\ "/>
    <numFmt numFmtId="204" formatCode="_ * #,##0_ ;_ * \-#,##0_ ;_ * &quot;-&quot;_ ;_ @_ "/>
    <numFmt numFmtId="205" formatCode="#,##0;\(#,##0\)"/>
    <numFmt numFmtId="206" formatCode="_ * #,##0.00_ ;_ * \-#,##0.00_ ;_ * &quot;-&quot;??_ ;_ @_ "/>
    <numFmt numFmtId="207" formatCode="\$#,##0\ ;&quot;($&quot;#,##0\)"/>
    <numFmt numFmtId="208" formatCode="\t0.00%"/>
    <numFmt numFmtId="209" formatCode="&quot;US$&quot;#,##0.00;&quot;(US$&quot;#,##0.00\)"/>
    <numFmt numFmtId="210" formatCode="_-* #,##0\ _D_M_-;\-* #,##0\ _D_M_-;_-* &quot;- &quot;_D_M_-;_-@_-"/>
    <numFmt numFmtId="211" formatCode="_-* #,##0.00\ _D_M_-;\-* #,##0.00\ _D_M_-;_-* \-??\ _D_M_-;_-@_-"/>
    <numFmt numFmtId="212" formatCode="\t#\ ??/??"/>
    <numFmt numFmtId="213" formatCode="_([$€-2]* #,##0.00_);_([$€-2]* \(#,##0.00\);_([$€-2]* \-??_)"/>
    <numFmt numFmtId="214" formatCode="0."/>
    <numFmt numFmtId="215" formatCode="_(* #,##0.000000_);_(* \(#,##0.000000\);_(* \-??_);_(@_)"/>
    <numFmt numFmtId="216" formatCode=";;;"/>
    <numFmt numFmtId="217" formatCode="mmm"/>
    <numFmt numFmtId="218" formatCode="mmm&quot; D&quot;"/>
    <numFmt numFmtId="219" formatCode="&quot;DDD&quot;__\ mmm__&quot; D&quot;__"/>
    <numFmt numFmtId="220" formatCode="&quot;R &quot;#,##0.00;&quot;R -&quot;#,##0.00"/>
    <numFmt numFmtId="221" formatCode="&quot;DDD &quot;mmm&quot; D&quot;__"/>
    <numFmt numFmtId="222" formatCode="#,##0\ \ ;&quot;△&quot;#,##0\ \ \ "/>
    <numFmt numFmtId="223" formatCode="#,##0\ \ ;&quot;△&quot;#,##0\ \ "/>
    <numFmt numFmtId="224" formatCode="\ß#,##0;&quot;-ß&quot;#,##0"/>
    <numFmt numFmtId="225" formatCode="*x"/>
    <numFmt numFmtId="226" formatCode="#,##0.000_);\(#,##0.000\)"/>
    <numFmt numFmtId="227" formatCode="#,##0.00&quot; F&quot;;[Red]\-#,##0.00&quot; F&quot;"/>
    <numFmt numFmtId="228" formatCode="\\#,##0;[Red]&quot;-\&quot;#,##0"/>
    <numFmt numFmtId="229" formatCode="#,##0&quot; F&quot;;\-#,##0&quot; F&quot;"/>
    <numFmt numFmtId="230" formatCode="#,##0&quot; F&quot;;[Red]\-#,##0&quot; F&quot;"/>
    <numFmt numFmtId="231" formatCode="_-* #,##0&quot; F&quot;_-;\-* #,##0&quot; F&quot;_-;_-* &quot;- F&quot;_-;_-@_-"/>
    <numFmt numFmtId="232" formatCode="\\#,##0.00;&quot;-\&quot;#,##0.00"/>
    <numFmt numFmtId="233" formatCode="0000"/>
    <numFmt numFmtId="234" formatCode="00"/>
    <numFmt numFmtId="235" formatCode="000"/>
    <numFmt numFmtId="236" formatCode="#,##0.00&quot; F&quot;;\-#,##0.00&quot; F&quot;"/>
    <numFmt numFmtId="237" formatCode="\$#,##0_);&quot;($&quot;#,##0\)"/>
    <numFmt numFmtId="238" formatCode="\$#,##0_);[Red]&quot;($&quot;#,##0\)"/>
    <numFmt numFmtId="239" formatCode="_-* #,##0&quot; DM&quot;_-;\-* #,##0&quot; DM&quot;_-;_-* &quot;- DM&quot;_-;_-@_-"/>
    <numFmt numFmtId="240" formatCode="_-* #,##0.00&quot; DM&quot;_-;\-* #,##0.00&quot; DM&quot;_-;_-* \-??&quot; DM&quot;_-;_-@_-"/>
    <numFmt numFmtId="241" formatCode="_(* #,##0_);_(* \(#,##0\);_(* &quot;-&quot;_);_(@_)"/>
    <numFmt numFmtId="242" formatCode="#,##0_ "/>
    <numFmt numFmtId="243" formatCode="_(&quot;₩&quot;* #,##0_);_(&quot;₩&quot;* \(#,##0\);_(&quot;₩&quot;* &quot;-&quot;_);_(@_)"/>
    <numFmt numFmtId="244" formatCode="_-[$$-409]* #,##0.00_ ;_-[$$-409]* \-#,##0.00\ ;_-[$$-409]* &quot;-&quot;??_ ;_-@_ "/>
    <numFmt numFmtId="245" formatCode="&quot;₩&quot;#,##0.00\ ;\(&quot;₩&quot;#,##0.00\)"/>
    <numFmt numFmtId="246" formatCode="&quot;₩&quot;#,##0;&quot;₩&quot;\-#,##0"/>
    <numFmt numFmtId="247" formatCode="&quot;+&quot;#,##0_-;&quot;△&quot;#,##0_-;_-* &quot;-&quot;_-;_-@_-"/>
    <numFmt numFmtId="248" formatCode="&quot;+&quot;0.00%;&quot;△&quot;0.00%"/>
    <numFmt numFmtId="249" formatCode="0.0%"/>
    <numFmt numFmtId="250" formatCode="_-* #,##0_-;\-* #,##0_-;_-* &quot;-&quot;??_-;_-@_-"/>
    <numFmt numFmtId="251" formatCode="[Blue]&quot;△&quot;#,##0_-;\-* #,##0_-;_-* &quot;-&quot;_-;_-@_-"/>
  </numFmts>
  <fonts count="158">
    <font>
      <sz val="9"/>
      <color theme="1"/>
      <name val="맑은 고딕"/>
      <family val="2"/>
      <charset val="129"/>
    </font>
    <font>
      <sz val="9"/>
      <color theme="1"/>
      <name val="맑은 고딕"/>
      <family val="2"/>
      <charset val="129"/>
    </font>
    <font>
      <sz val="9"/>
      <color rgb="FFFF0000"/>
      <name val="맑은 고딕"/>
      <family val="2"/>
      <charset val="129"/>
    </font>
    <font>
      <sz val="8"/>
      <name val="맑은 고딕"/>
      <family val="2"/>
      <charset val="129"/>
    </font>
    <font>
      <b/>
      <sz val="16"/>
      <color theme="1"/>
      <name val="맑은 고딕"/>
      <family val="2"/>
      <charset val="129"/>
    </font>
    <font>
      <b/>
      <sz val="12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b/>
      <sz val="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sz val="10"/>
      <name val="Arial"/>
      <family val="2"/>
    </font>
    <font>
      <sz val="9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8"/>
      <color theme="0"/>
      <name val="맑은 고딕"/>
      <family val="3"/>
      <charset val="129"/>
    </font>
    <font>
      <sz val="8"/>
      <color rgb="FF0000FF"/>
      <name val="맑은 고딕"/>
      <family val="2"/>
      <charset val="129"/>
    </font>
    <font>
      <sz val="8"/>
      <color rgb="FFFF0000"/>
      <name val="맑은 고딕"/>
      <family val="2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2"/>
      <charset val="129"/>
    </font>
    <font>
      <sz val="8"/>
      <color rgb="FF0000FF"/>
      <name val="맑은 고딕"/>
      <family val="3"/>
      <charset val="129"/>
    </font>
    <font>
      <b/>
      <sz val="8"/>
      <color rgb="FF0000FF"/>
      <name val="맑은 고딕"/>
      <family val="3"/>
      <charset val="129"/>
    </font>
    <font>
      <b/>
      <sz val="8"/>
      <color rgb="FFFF0000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10"/>
      <name val="VN-NTime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sz val="12"/>
      <name val="VNTime"/>
      <family val="2"/>
    </font>
    <font>
      <sz val="10"/>
      <name val=".VnTime"/>
      <family val="2"/>
    </font>
    <font>
      <sz val="14"/>
      <name val="Terminal"/>
      <family val="3"/>
      <charset val="255"/>
    </font>
    <font>
      <sz val="14"/>
      <name val="lr ¾©"/>
      <family val="1"/>
      <charset val="128"/>
    </font>
    <font>
      <b/>
      <u/>
      <sz val="14"/>
      <color indexed="8"/>
      <name val=".VnBook-AntiquaH"/>
      <family val="2"/>
    </font>
    <font>
      <sz val="10"/>
      <name val="VnTimes"/>
      <family val="2"/>
    </font>
    <font>
      <sz val="12"/>
      <color indexed="8"/>
      <name val="¹ÙÅÁÃ¼"/>
      <family val="1"/>
      <charset val="129"/>
    </font>
    <font>
      <i/>
      <sz val="12"/>
      <color indexed="8"/>
      <name val=".VnBook-AntiquaH"/>
      <family val="2"/>
    </font>
    <font>
      <sz val="11"/>
      <color indexed="8"/>
      <name val="맑은 고딕"/>
      <family val="3"/>
      <charset val="129"/>
    </font>
    <font>
      <sz val="11"/>
      <color indexed="8"/>
      <name val="돋움"/>
      <family val="3"/>
      <charset val="129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1"/>
      <color indexed="9"/>
      <name val="맑은 고딕"/>
      <family val="3"/>
      <charset val="129"/>
    </font>
    <font>
      <sz val="11"/>
      <color indexed="9"/>
      <name val="돋움"/>
      <family val="3"/>
      <charset val="129"/>
    </font>
    <font>
      <sz val="8"/>
      <name val="Times New Roman"/>
      <family val="1"/>
    </font>
    <font>
      <sz val="11"/>
      <color indexed="20"/>
      <name val="맑은 고딕"/>
      <family val="3"/>
      <charset val="129"/>
    </font>
    <font>
      <sz val="12"/>
      <name val="Times New Roman"/>
      <family val="1"/>
    </font>
    <font>
      <sz val="12"/>
      <name val="¹UAAA¼"/>
      <family val="3"/>
      <charset val="129"/>
    </font>
    <font>
      <sz val="10"/>
      <name val="Times New Roman"/>
      <family val="1"/>
    </font>
    <font>
      <b/>
      <sz val="11"/>
      <color indexed="52"/>
      <name val="맑은 고딕"/>
      <family val="3"/>
      <charset val="129"/>
    </font>
    <font>
      <b/>
      <sz val="10"/>
      <name val="Arial"/>
      <family val="2"/>
    </font>
    <font>
      <b/>
      <sz val="11"/>
      <color indexed="9"/>
      <name val="맑은 고딕"/>
      <family val="3"/>
      <charset val="129"/>
    </font>
    <font>
      <sz val="10"/>
      <name val="VNI-Aptima"/>
      <family val="2"/>
    </font>
    <font>
      <b/>
      <sz val="8"/>
      <name val="Arial"/>
      <family val="2"/>
    </font>
    <font>
      <sz val="11"/>
      <name val="Times New Roman"/>
      <family val="1"/>
    </font>
    <font>
      <sz val="11"/>
      <name val="돋움"/>
      <family val="3"/>
      <charset val="129"/>
    </font>
    <font>
      <sz val="10"/>
      <name val="MS Serif"/>
      <family val="1"/>
    </font>
    <font>
      <sz val="10"/>
      <name val="Courier New"/>
      <family val="3"/>
    </font>
    <font>
      <sz val="10"/>
      <color indexed="8"/>
      <name val="Arial"/>
      <family val="2"/>
    </font>
    <font>
      <sz val="12"/>
      <name val="Arial"/>
      <family val="2"/>
    </font>
    <font>
      <b/>
      <sz val="11"/>
      <color indexed="8"/>
      <name val="VNI-Times"/>
      <family val="2"/>
    </font>
    <font>
      <sz val="10"/>
      <name val="VNI-Times"/>
      <family val="2"/>
    </font>
    <font>
      <sz val="10"/>
      <color indexed="16"/>
      <name val="MS Serif"/>
      <family val="1"/>
    </font>
    <font>
      <i/>
      <sz val="11"/>
      <color indexed="23"/>
      <name val="맑은 고딕"/>
      <family val="3"/>
      <charset val="129"/>
    </font>
    <font>
      <sz val="18"/>
      <color indexed="24"/>
      <name val="Times New Roman"/>
      <family val="1"/>
    </font>
    <font>
      <sz val="8"/>
      <color indexed="24"/>
      <name val="Times New Roman"/>
      <family val="1"/>
    </font>
    <font>
      <i/>
      <sz val="12"/>
      <color indexed="24"/>
      <name val="Times New Roman"/>
      <family val="1"/>
    </font>
    <font>
      <sz val="12"/>
      <color indexed="24"/>
      <name val="Arial"/>
      <family val="2"/>
    </font>
    <font>
      <sz val="8"/>
      <color indexed="24"/>
      <name val="Arial"/>
      <family val="2"/>
    </font>
    <font>
      <i/>
      <sz val="12"/>
      <color indexed="24"/>
      <name val="Arial"/>
      <family val="2"/>
    </font>
    <font>
      <sz val="11"/>
      <color indexed="17"/>
      <name val="맑은 고딕"/>
      <family val="3"/>
      <charset val="129"/>
    </font>
    <font>
      <sz val="8"/>
      <name val="Arial"/>
      <family val="2"/>
    </font>
    <font>
      <b/>
      <sz val="12"/>
      <color indexed="9"/>
      <name val="Times New Roman"/>
      <family val="1"/>
    </font>
    <font>
      <b/>
      <sz val="12"/>
      <name val="Arial"/>
      <family val="2"/>
    </font>
    <font>
      <b/>
      <sz val="15"/>
      <color indexed="56"/>
      <name val="맑은 고딕"/>
      <family val="3"/>
      <charset val="129"/>
    </font>
    <font>
      <b/>
      <sz val="12"/>
      <name val="Tahoma"/>
      <family val="2"/>
    </font>
    <font>
      <b/>
      <sz val="15"/>
      <color indexed="48"/>
      <name val="Calibri"/>
      <family val="2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2"/>
      <name val="VNI-Times"/>
      <family val="2"/>
    </font>
    <font>
      <b/>
      <sz val="12"/>
      <name val=".VnTime"/>
      <family val="2"/>
    </font>
    <font>
      <b/>
      <sz val="8"/>
      <name val="MS Sans Serif"/>
      <family val="2"/>
    </font>
    <font>
      <b/>
      <sz val="10"/>
      <name val=".VnTime"/>
      <family val="2"/>
    </font>
    <font>
      <b/>
      <sz val="14"/>
      <name val=".VnTimeH"/>
      <family val="2"/>
    </font>
    <font>
      <sz val="10"/>
      <name val="Tahoma"/>
      <family val="2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name val="Arial"/>
      <family val="2"/>
    </font>
    <font>
      <sz val="11"/>
      <name val="굴림체"/>
      <family val="3"/>
      <charset val="129"/>
    </font>
    <font>
      <sz val="11"/>
      <color indexed="60"/>
      <name val="맑은 고딕"/>
      <family val="3"/>
      <charset val="129"/>
    </font>
    <font>
      <sz val="7"/>
      <name val="Small Fonts"/>
      <family val="2"/>
    </font>
    <font>
      <sz val="12"/>
      <name val=".VnTime"/>
      <family val="2"/>
    </font>
    <font>
      <sz val="11"/>
      <name val="Arial MT"/>
      <family val="2"/>
    </font>
    <font>
      <b/>
      <sz val="11"/>
      <color indexed="63"/>
      <name val="맑은 고딕"/>
      <family val="3"/>
      <charset val="129"/>
    </font>
    <font>
      <sz val="12"/>
      <color indexed="8"/>
      <name val="Times New Roman"/>
      <family val="1"/>
    </font>
    <font>
      <b/>
      <sz val="10"/>
      <name val="MS Sans Serif"/>
      <family val="2"/>
    </font>
    <font>
      <b/>
      <sz val="12"/>
      <color indexed="9"/>
      <name val="Arial"/>
      <family val="2"/>
    </font>
    <font>
      <sz val="11"/>
      <name val="Arial"/>
      <family val="2"/>
    </font>
    <font>
      <b/>
      <sz val="18"/>
      <color indexed="8"/>
      <name val="Cambria"/>
      <family val="1"/>
    </font>
    <font>
      <sz val="8"/>
      <name val="MS Sans Serif"/>
      <family val="2"/>
    </font>
    <font>
      <b/>
      <sz val="10"/>
      <name val="Tahoma"/>
      <family val="2"/>
    </font>
    <font>
      <b/>
      <sz val="8"/>
      <color indexed="8"/>
      <name val="Arial"/>
      <family val="2"/>
    </font>
    <font>
      <sz val="13"/>
      <name val=".VnTime"/>
      <family val="2"/>
    </font>
    <font>
      <sz val="12"/>
      <name val=".VnArial"/>
      <family val="2"/>
    </font>
    <font>
      <b/>
      <sz val="18"/>
      <color indexed="56"/>
      <name val="맑은 고딕"/>
      <family val="3"/>
      <charset val="129"/>
    </font>
    <font>
      <b/>
      <sz val="11"/>
      <name val=".VnTime"/>
      <family val="2"/>
    </font>
    <font>
      <i/>
      <sz val="12"/>
      <name val=".VnTime"/>
      <family val="2"/>
    </font>
    <font>
      <b/>
      <sz val="11"/>
      <color indexed="8"/>
      <name val="맑은 고딕"/>
      <family val="3"/>
      <charset val="129"/>
    </font>
    <font>
      <sz val="7"/>
      <name val="VNI-Times"/>
      <family val="2"/>
    </font>
    <font>
      <sz val="10"/>
      <name val="VNtimes new roman"/>
      <family val="2"/>
    </font>
    <font>
      <b/>
      <sz val="8"/>
      <name val="VN Helvetica"/>
      <family val="2"/>
    </font>
    <font>
      <b/>
      <sz val="10"/>
      <name val="VN AvantGBook"/>
      <family val="2"/>
    </font>
    <font>
      <b/>
      <sz val="16"/>
      <name val=".VnTime"/>
      <family val="2"/>
    </font>
    <font>
      <sz val="9"/>
      <name val=".VnTime"/>
      <family val="2"/>
    </font>
    <font>
      <sz val="11"/>
      <color indexed="10"/>
      <name val="맑은 고딕"/>
      <family val="3"/>
      <charset val="129"/>
    </font>
    <font>
      <sz val="14"/>
      <name val=".VnArial"/>
      <family val="2"/>
    </font>
    <font>
      <sz val="16"/>
      <name val="AngsanaUPC"/>
      <family val="1"/>
    </font>
    <font>
      <sz val="11"/>
      <color indexed="10"/>
      <name val="돋움"/>
      <family val="3"/>
      <charset val="129"/>
    </font>
    <font>
      <b/>
      <sz val="11"/>
      <color indexed="52"/>
      <name val="돋움"/>
      <family val="3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color indexed="20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Arial"/>
      <family val="2"/>
      <charset val="129"/>
    </font>
    <font>
      <sz val="10"/>
      <name val="宋体"/>
      <family val="3"/>
      <charset val="129"/>
    </font>
    <font>
      <sz val="11"/>
      <color indexed="60"/>
      <name val="돋움"/>
      <family val="3"/>
      <charset val="129"/>
    </font>
    <font>
      <sz val="12"/>
      <name val="뼻뮝"/>
      <family val="1"/>
      <charset val="129"/>
    </font>
    <font>
      <sz val="10"/>
      <name val="宋体"/>
      <family val="3"/>
      <charset val="134"/>
    </font>
    <font>
      <i/>
      <sz val="11"/>
      <color indexed="23"/>
      <name val="돋움"/>
      <family val="3"/>
      <charset val="129"/>
    </font>
    <font>
      <b/>
      <sz val="11"/>
      <color indexed="9"/>
      <name val="돋움"/>
      <family val="3"/>
      <charset val="129"/>
    </font>
    <font>
      <u/>
      <sz val="12"/>
      <color indexed="20"/>
      <name val="Times New Roman"/>
      <family val="1"/>
    </font>
    <font>
      <sz val="9"/>
      <color theme="1"/>
      <name val="굴림"/>
      <family val="3"/>
      <charset val="129"/>
    </font>
    <font>
      <sz val="9"/>
      <color theme="1"/>
      <name val="굴림"/>
      <family val="2"/>
      <charset val="129"/>
    </font>
    <font>
      <sz val="10"/>
      <name val="Arial"/>
      <family val="2"/>
      <charset val="129"/>
    </font>
    <font>
      <sz val="11"/>
      <color indexed="52"/>
      <name val="돋움"/>
      <family val="3"/>
      <charset val="129"/>
    </font>
    <font>
      <b/>
      <sz val="11"/>
      <color indexed="8"/>
      <name val="돋움"/>
      <family val="3"/>
      <charset val="129"/>
    </font>
    <font>
      <sz val="11"/>
      <color indexed="62"/>
      <name val="돋움"/>
      <family val="3"/>
      <charset val="129"/>
    </font>
    <font>
      <b/>
      <sz val="15"/>
      <color indexed="56"/>
      <name val="돋움"/>
      <family val="3"/>
      <charset val="129"/>
    </font>
    <font>
      <b/>
      <sz val="13"/>
      <color indexed="56"/>
      <name val="돋움"/>
      <family val="3"/>
      <charset val="129"/>
    </font>
    <font>
      <b/>
      <sz val="11"/>
      <color indexed="56"/>
      <name val="돋움"/>
      <family val="3"/>
      <charset val="129"/>
    </font>
    <font>
      <sz val="11"/>
      <color indexed="17"/>
      <name val="돋움"/>
      <family val="3"/>
      <charset val="129"/>
    </font>
    <font>
      <u/>
      <sz val="12"/>
      <color indexed="12"/>
      <name val="Times New Roman"/>
      <family val="1"/>
    </font>
    <font>
      <b/>
      <sz val="11"/>
      <color indexed="63"/>
      <name val="돋움"/>
      <family val="3"/>
      <charset val="129"/>
    </font>
    <font>
      <sz val="11"/>
      <color theme="1"/>
      <name val="맑은 고딕"/>
      <family val="3"/>
      <charset val="129"/>
    </font>
    <font>
      <sz val="9"/>
      <name val="ＭＳ Ｐゴシック"/>
      <family val="2"/>
      <charset val="128"/>
    </font>
    <font>
      <b/>
      <sz val="8.5"/>
      <color theme="1"/>
      <name val="맑은 고딕"/>
      <family val="3"/>
      <charset val="129"/>
    </font>
    <font>
      <sz val="8"/>
      <color theme="1" tint="0.34998626667073579"/>
      <name val="맑은 고딕"/>
      <family val="3"/>
      <charset val="129"/>
    </font>
    <font>
      <sz val="16"/>
      <color rgb="FFFF0000"/>
      <name val="맑은 고딕"/>
      <family val="3"/>
      <charset val="129"/>
    </font>
    <font>
      <sz val="8"/>
      <color theme="1"/>
      <name val="맑은 고딕"/>
      <family val="3"/>
      <charset val="129"/>
    </font>
    <font>
      <b/>
      <sz val="8.5"/>
      <color theme="0"/>
      <name val="맑은 고딕"/>
      <family val="3"/>
      <charset val="129"/>
    </font>
    <font>
      <b/>
      <sz val="6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8"/>
      <color theme="1"/>
      <name val="맑은 고딕"/>
      <family val="2"/>
      <charset val="129"/>
    </font>
    <font>
      <b/>
      <sz val="16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u/>
      <sz val="9"/>
      <color theme="1"/>
      <name val="맑은 고딕"/>
      <family val="3"/>
      <charset val="129"/>
    </font>
    <font>
      <b/>
      <sz val="9"/>
      <color rgb="FFFF0000"/>
      <name val="맑은 고딕"/>
      <family val="3"/>
      <charset val="129"/>
    </font>
  </fonts>
  <fills count="5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1"/>
        <bgColor indexed="50"/>
      </patternFill>
    </fill>
    <fill>
      <patternFill patternType="solid">
        <fgColor indexed="26"/>
        <bgColor indexed="34"/>
      </patternFill>
    </fill>
    <fill>
      <patternFill patternType="solid">
        <fgColor indexed="9"/>
        <bgColor indexed="26"/>
      </patternFill>
    </fill>
    <fill>
      <patternFill patternType="solid">
        <fgColor indexed="8"/>
        <bgColor indexed="58"/>
      </patternFill>
    </fill>
    <fill>
      <patternFill patternType="solid">
        <fgColor indexed="34"/>
        <bgColor indexed="26"/>
      </patternFill>
    </fill>
    <fill>
      <patternFill patternType="solid">
        <fgColor indexed="40"/>
        <bgColor indexed="49"/>
      </patternFill>
    </fill>
    <fill>
      <patternFill patternType="solid">
        <fgColor indexed="43"/>
        <bgColor indexed="34"/>
      </patternFill>
    </fill>
    <fill>
      <patternFill patternType="solid">
        <fgColor indexed="15"/>
        <bgColor indexed="40"/>
      </patternFill>
    </fill>
    <fill>
      <patternFill patternType="solid">
        <fgColor indexed="12"/>
        <bgColor indexed="3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4"/>
        <bgColor indexed="23"/>
      </patternFill>
    </fill>
    <fill>
      <patternFill patternType="solid">
        <fgColor indexed="63"/>
        <bgColor indexed="21"/>
      </patternFill>
    </fill>
    <fill>
      <patternFill patternType="solid">
        <fgColor indexed="47"/>
        <bgColor indexed="51"/>
      </patternFill>
    </fill>
    <fill>
      <patternFill patternType="solid">
        <fgColor indexed="58"/>
        <bgColor indexed="56"/>
      </patternFill>
    </fill>
    <fill>
      <patternFill patternType="solid">
        <fgColor indexed="27"/>
        <bgColor indexed="9"/>
      </patternFill>
    </fill>
  </fills>
  <borders count="7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44"/>
      </bottom>
      <diagonal/>
    </border>
    <border>
      <left/>
      <right/>
      <top style="hair">
        <color indexed="44"/>
      </top>
      <bottom style="hair">
        <color indexed="4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/>
      <right style="thin">
        <color theme="0"/>
      </right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/>
      <right/>
      <top style="medium">
        <color rgb="FF0000FF"/>
      </top>
      <bottom/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/>
      <top/>
      <bottom/>
      <diagonal/>
    </border>
    <border>
      <left/>
      <right style="medium">
        <color rgb="FF0000FF"/>
      </right>
      <top/>
      <bottom/>
      <diagonal/>
    </border>
    <border>
      <left style="medium">
        <color rgb="FF0000FF"/>
      </left>
      <right/>
      <top/>
      <bottom style="medium">
        <color rgb="FF0000FF"/>
      </bottom>
      <diagonal/>
    </border>
    <border>
      <left/>
      <right/>
      <top/>
      <bottom style="medium">
        <color rgb="FF0000FF"/>
      </bottom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288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/>
    <xf numFmtId="177" fontId="24" fillId="0" borderId="0" applyFill="0" applyBorder="0" applyAlignment="0" applyProtection="0"/>
    <xf numFmtId="0" fontId="12" fillId="0" borderId="0"/>
    <xf numFmtId="178" fontId="24" fillId="0" borderId="0" applyBorder="0"/>
    <xf numFmtId="178" fontId="24" fillId="0" borderId="0" applyBorder="0"/>
    <xf numFmtId="179" fontId="24" fillId="0" borderId="0" applyFill="0" applyBorder="0" applyAlignment="0" applyProtection="0"/>
    <xf numFmtId="180" fontId="24" fillId="0" borderId="0" applyFill="0" applyBorder="0" applyAlignment="0" applyProtection="0"/>
    <xf numFmtId="181" fontId="24" fillId="0" borderId="0" applyFill="0" applyBorder="0" applyAlignment="0" applyProtection="0"/>
    <xf numFmtId="0" fontId="25" fillId="0" borderId="0"/>
    <xf numFmtId="182" fontId="24" fillId="0" borderId="0" applyFill="0" applyBorder="0" applyAlignment="0" applyProtection="0"/>
    <xf numFmtId="183" fontId="24" fillId="0" borderId="0" applyFill="0" applyBorder="0" applyAlignment="0" applyProtection="0"/>
    <xf numFmtId="184" fontId="24" fillId="0" borderId="0" applyFill="0" applyBorder="0" applyAlignment="0" applyProtection="0"/>
    <xf numFmtId="9" fontId="24" fillId="0" borderId="0" applyFill="0" applyBorder="0" applyAlignment="0" applyProtection="0"/>
    <xf numFmtId="185" fontId="24" fillId="0" borderId="0" applyFill="0" applyBorder="0" applyAlignment="0" applyProtection="0"/>
    <xf numFmtId="185" fontId="24" fillId="0" borderId="0" applyFill="0" applyBorder="0" applyAlignment="0" applyProtection="0"/>
    <xf numFmtId="186" fontId="24" fillId="0" borderId="0" applyFill="0" applyBorder="0" applyAlignment="0" applyProtection="0"/>
    <xf numFmtId="0" fontId="24" fillId="0" borderId="0" applyFill="0" applyBorder="0" applyAlignment="0" applyProtection="0"/>
    <xf numFmtId="185" fontId="24" fillId="0" borderId="0" applyFill="0" applyBorder="0" applyAlignment="0" applyProtection="0"/>
    <xf numFmtId="185" fontId="24" fillId="0" borderId="0" applyFill="0" applyBorder="0" applyAlignment="0" applyProtection="0"/>
    <xf numFmtId="186" fontId="24" fillId="0" borderId="0" applyFill="0" applyBorder="0" applyAlignment="0" applyProtection="0"/>
    <xf numFmtId="177" fontId="24" fillId="0" borderId="0" applyFill="0" applyBorder="0" applyAlignment="0" applyProtection="0"/>
    <xf numFmtId="187" fontId="24" fillId="0" borderId="0" applyFill="0" applyBorder="0" applyAlignment="0" applyProtection="0"/>
    <xf numFmtId="187" fontId="24" fillId="0" borderId="0" applyFill="0" applyBorder="0" applyAlignment="0" applyProtection="0"/>
    <xf numFmtId="177" fontId="24" fillId="0" borderId="0" applyFill="0" applyBorder="0" applyAlignment="0" applyProtection="0"/>
    <xf numFmtId="188" fontId="24" fillId="0" borderId="0" applyFill="0" applyBorder="0" applyAlignment="0" applyProtection="0"/>
    <xf numFmtId="188" fontId="24" fillId="0" borderId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17"/>
    <xf numFmtId="0" fontId="27" fillId="0" borderId="17"/>
    <xf numFmtId="187" fontId="24" fillId="0" borderId="0" applyFill="0" applyBorder="0" applyAlignment="0" applyProtection="0"/>
    <xf numFmtId="0" fontId="28" fillId="0" borderId="0" applyNumberFormat="0" applyFill="0" applyBorder="0" applyAlignment="0" applyProtection="0"/>
    <xf numFmtId="177" fontId="24" fillId="0" borderId="0" applyFill="0" applyBorder="0" applyAlignment="0" applyProtection="0"/>
    <xf numFmtId="177" fontId="24" fillId="0" borderId="0" applyFill="0" applyBorder="0" applyAlignment="0" applyProtection="0"/>
    <xf numFmtId="0" fontId="27" fillId="0" borderId="17"/>
    <xf numFmtId="0" fontId="27" fillId="0" borderId="17"/>
    <xf numFmtId="0" fontId="27" fillId="0" borderId="17"/>
    <xf numFmtId="0" fontId="27" fillId="0" borderId="17"/>
    <xf numFmtId="187" fontId="24" fillId="0" borderId="0" applyFill="0" applyBorder="0" applyAlignment="0" applyProtection="0"/>
    <xf numFmtId="187" fontId="24" fillId="0" borderId="0" applyFill="0" applyBorder="0" applyAlignment="0" applyProtection="0"/>
    <xf numFmtId="187" fontId="24" fillId="0" borderId="0" applyFill="0" applyBorder="0" applyAlignment="0" applyProtection="0"/>
    <xf numFmtId="187" fontId="24" fillId="0" borderId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87" fontId="24" fillId="0" borderId="0" applyFill="0" applyBorder="0" applyAlignment="0" applyProtection="0"/>
    <xf numFmtId="177" fontId="24" fillId="0" borderId="0" applyFill="0" applyBorder="0" applyAlignment="0" applyProtection="0"/>
    <xf numFmtId="177" fontId="24" fillId="0" borderId="0" applyFill="0" applyBorder="0" applyAlignment="0" applyProtection="0"/>
    <xf numFmtId="0" fontId="26" fillId="0" borderId="0"/>
    <xf numFmtId="0" fontId="26" fillId="0" borderId="0"/>
    <xf numFmtId="0" fontId="12" fillId="0" borderId="0"/>
    <xf numFmtId="0" fontId="12" fillId="0" borderId="0"/>
    <xf numFmtId="0" fontId="28" fillId="0" borderId="0" applyNumberFormat="0" applyFill="0" applyBorder="0" applyAlignment="0" applyProtection="0"/>
    <xf numFmtId="187" fontId="24" fillId="0" borderId="0" applyFill="0" applyBorder="0" applyAlignment="0" applyProtection="0"/>
    <xf numFmtId="187" fontId="24" fillId="0" borderId="0" applyFill="0" applyBorder="0" applyAlignment="0" applyProtection="0"/>
    <xf numFmtId="0" fontId="28" fillId="0" borderId="0" applyNumberFormat="0" applyFill="0" applyBorder="0" applyAlignment="0" applyProtection="0"/>
    <xf numFmtId="0" fontId="26" fillId="0" borderId="0"/>
    <xf numFmtId="0" fontId="26" fillId="0" borderId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87" fontId="24" fillId="0" borderId="0" applyFill="0" applyBorder="0" applyAlignment="0" applyProtection="0"/>
    <xf numFmtId="187" fontId="24" fillId="0" borderId="0" applyFill="0" applyBorder="0" applyAlignment="0" applyProtection="0"/>
    <xf numFmtId="0" fontId="12" fillId="0" borderId="0"/>
    <xf numFmtId="0" fontId="12" fillId="0" borderId="0"/>
    <xf numFmtId="0" fontId="26" fillId="0" borderId="0"/>
    <xf numFmtId="0" fontId="26" fillId="0" borderId="0"/>
    <xf numFmtId="187" fontId="24" fillId="0" borderId="0" applyFill="0" applyBorder="0" applyAlignment="0" applyProtection="0"/>
    <xf numFmtId="177" fontId="24" fillId="0" borderId="0" applyFill="0" applyBorder="0" applyAlignment="0" applyProtection="0"/>
    <xf numFmtId="177" fontId="24" fillId="0" borderId="0" applyFill="0" applyBorder="0" applyAlignment="0" applyProtection="0"/>
    <xf numFmtId="189" fontId="24" fillId="0" borderId="0" applyFill="0" applyBorder="0" applyAlignment="0" applyProtection="0"/>
    <xf numFmtId="189" fontId="24" fillId="0" borderId="0" applyFill="0" applyBorder="0" applyAlignment="0" applyProtection="0"/>
    <xf numFmtId="190" fontId="24" fillId="0" borderId="0" applyFill="0" applyBorder="0" applyAlignment="0" applyProtection="0"/>
    <xf numFmtId="191" fontId="24" fillId="0" borderId="0" applyFill="0" applyBorder="0" applyAlignment="0" applyProtection="0"/>
    <xf numFmtId="191" fontId="24" fillId="0" borderId="0" applyFill="0" applyBorder="0" applyAlignment="0" applyProtection="0"/>
    <xf numFmtId="190" fontId="24" fillId="0" borderId="0" applyFill="0" applyBorder="0" applyAlignment="0" applyProtection="0"/>
    <xf numFmtId="184" fontId="24" fillId="0" borderId="0" applyFill="0" applyBorder="0" applyAlignment="0" applyProtection="0"/>
    <xf numFmtId="184" fontId="24" fillId="0" borderId="0" applyFill="0" applyBorder="0" applyAlignment="0" applyProtection="0"/>
    <xf numFmtId="187" fontId="24" fillId="0" borderId="0" applyFill="0" applyBorder="0" applyAlignment="0" applyProtection="0"/>
    <xf numFmtId="177" fontId="24" fillId="0" borderId="0" applyFill="0" applyBorder="0" applyAlignment="0" applyProtection="0"/>
    <xf numFmtId="177" fontId="24" fillId="0" borderId="0" applyFill="0" applyBorder="0" applyAlignment="0" applyProtection="0"/>
    <xf numFmtId="187" fontId="24" fillId="0" borderId="0" applyFill="0" applyBorder="0" applyAlignment="0" applyProtection="0"/>
    <xf numFmtId="190" fontId="24" fillId="0" borderId="0" applyFill="0" applyBorder="0" applyAlignment="0" applyProtection="0"/>
    <xf numFmtId="191" fontId="24" fillId="0" borderId="0" applyFill="0" applyBorder="0" applyAlignment="0" applyProtection="0"/>
    <xf numFmtId="191" fontId="24" fillId="0" borderId="0" applyFill="0" applyBorder="0" applyAlignment="0" applyProtection="0"/>
    <xf numFmtId="190" fontId="24" fillId="0" borderId="0" applyFill="0" applyBorder="0" applyAlignment="0" applyProtection="0"/>
    <xf numFmtId="189" fontId="24" fillId="0" borderId="0" applyFill="0" applyBorder="0" applyAlignment="0" applyProtection="0"/>
    <xf numFmtId="189" fontId="24" fillId="0" borderId="0" applyFill="0" applyBorder="0" applyAlignment="0" applyProtection="0"/>
    <xf numFmtId="185" fontId="24" fillId="0" borderId="0" applyFill="0" applyBorder="0" applyAlignment="0" applyProtection="0"/>
    <xf numFmtId="186" fontId="24" fillId="0" borderId="0" applyFill="0" applyBorder="0" applyAlignment="0" applyProtection="0"/>
    <xf numFmtId="186" fontId="24" fillId="0" borderId="0" applyFill="0" applyBorder="0" applyAlignment="0" applyProtection="0"/>
    <xf numFmtId="185" fontId="24" fillId="0" borderId="0" applyFill="0" applyBorder="0" applyAlignment="0" applyProtection="0"/>
    <xf numFmtId="177" fontId="24" fillId="0" borderId="0" applyFill="0" applyBorder="0" applyAlignment="0" applyProtection="0"/>
    <xf numFmtId="177" fontId="24" fillId="0" borderId="0" applyFill="0" applyBorder="0" applyAlignment="0" applyProtection="0"/>
    <xf numFmtId="187" fontId="24" fillId="0" borderId="0" applyFill="0" applyBorder="0" applyAlignment="0" applyProtection="0"/>
    <xf numFmtId="184" fontId="24" fillId="0" borderId="0" applyFill="0" applyBorder="0" applyAlignment="0" applyProtection="0"/>
    <xf numFmtId="184" fontId="24" fillId="0" borderId="0" applyFill="0" applyBorder="0" applyAlignment="0" applyProtection="0"/>
    <xf numFmtId="189" fontId="24" fillId="0" borderId="0" applyFill="0" applyBorder="0" applyAlignment="0" applyProtection="0"/>
    <xf numFmtId="185" fontId="24" fillId="0" borderId="0" applyFill="0" applyBorder="0" applyAlignment="0" applyProtection="0"/>
    <xf numFmtId="186" fontId="24" fillId="0" borderId="0" applyFill="0" applyBorder="0" applyAlignment="0" applyProtection="0"/>
    <xf numFmtId="186" fontId="24" fillId="0" borderId="0" applyFill="0" applyBorder="0" applyAlignment="0" applyProtection="0"/>
    <xf numFmtId="185" fontId="24" fillId="0" borderId="0" applyFill="0" applyBorder="0" applyAlignment="0" applyProtection="0"/>
    <xf numFmtId="190" fontId="24" fillId="0" borderId="0" applyFill="0" applyBorder="0" applyAlignment="0" applyProtection="0"/>
    <xf numFmtId="191" fontId="24" fillId="0" borderId="0" applyFill="0" applyBorder="0" applyAlignment="0" applyProtection="0"/>
    <xf numFmtId="191" fontId="24" fillId="0" borderId="0" applyFill="0" applyBorder="0" applyAlignment="0" applyProtection="0"/>
    <xf numFmtId="190" fontId="24" fillId="0" borderId="0" applyFill="0" applyBorder="0" applyAlignment="0" applyProtection="0"/>
    <xf numFmtId="184" fontId="24" fillId="0" borderId="0" applyFill="0" applyBorder="0" applyAlignment="0" applyProtection="0"/>
    <xf numFmtId="184" fontId="24" fillId="0" borderId="0" applyFill="0" applyBorder="0" applyAlignment="0" applyProtection="0"/>
    <xf numFmtId="177" fontId="24" fillId="0" borderId="0" applyFill="0" applyBorder="0" applyAlignment="0" applyProtection="0"/>
    <xf numFmtId="177" fontId="24" fillId="0" borderId="0" applyFill="0" applyBorder="0" applyAlignment="0" applyProtection="0"/>
    <xf numFmtId="189" fontId="24" fillId="0" borderId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87" fontId="24" fillId="0" borderId="0" applyFill="0" applyBorder="0" applyAlignment="0" applyProtection="0"/>
    <xf numFmtId="187" fontId="24" fillId="0" borderId="0" applyFill="0" applyBorder="0" applyAlignment="0" applyProtection="0"/>
    <xf numFmtId="177" fontId="24" fillId="0" borderId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187" fontId="24" fillId="0" borderId="0" applyFill="0" applyBorder="0" applyAlignment="0" applyProtection="0"/>
    <xf numFmtId="187" fontId="24" fillId="0" borderId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184" fontId="24" fillId="0" borderId="0" applyFill="0" applyBorder="0" applyAlignment="0" applyProtection="0"/>
    <xf numFmtId="185" fontId="24" fillId="0" borderId="0" applyFill="0" applyBorder="0" applyAlignment="0" applyProtection="0"/>
    <xf numFmtId="186" fontId="24" fillId="0" borderId="0" applyFill="0" applyBorder="0" applyAlignment="0" applyProtection="0"/>
    <xf numFmtId="186" fontId="24" fillId="0" borderId="0" applyFill="0" applyBorder="0" applyAlignment="0" applyProtection="0"/>
    <xf numFmtId="185" fontId="24" fillId="0" borderId="0" applyFill="0" applyBorder="0" applyAlignment="0" applyProtection="0"/>
    <xf numFmtId="190" fontId="24" fillId="0" borderId="0" applyFill="0" applyBorder="0" applyAlignment="0" applyProtection="0"/>
    <xf numFmtId="191" fontId="24" fillId="0" borderId="0" applyFill="0" applyBorder="0" applyAlignment="0" applyProtection="0"/>
    <xf numFmtId="191" fontId="24" fillId="0" borderId="0" applyFill="0" applyBorder="0" applyAlignment="0" applyProtection="0"/>
    <xf numFmtId="190" fontId="24" fillId="0" borderId="0" applyFill="0" applyBorder="0" applyAlignment="0" applyProtection="0"/>
    <xf numFmtId="177" fontId="24" fillId="0" borderId="0" applyFill="0" applyBorder="0" applyAlignment="0" applyProtection="0"/>
    <xf numFmtId="177" fontId="24" fillId="0" borderId="0" applyFill="0" applyBorder="0" applyAlignment="0" applyProtection="0"/>
    <xf numFmtId="189" fontId="24" fillId="0" borderId="0" applyFill="0" applyBorder="0" applyAlignment="0" applyProtection="0"/>
    <xf numFmtId="189" fontId="24" fillId="0" borderId="0" applyFill="0" applyBorder="0" applyAlignment="0" applyProtection="0"/>
    <xf numFmtId="184" fontId="24" fillId="0" borderId="0" applyFill="0" applyBorder="0" applyAlignment="0" applyProtection="0"/>
    <xf numFmtId="187" fontId="24" fillId="0" borderId="0" applyFill="0" applyBorder="0" applyAlignment="0" applyProtection="0"/>
    <xf numFmtId="187" fontId="24" fillId="0" borderId="0" applyFill="0" applyBorder="0" applyAlignment="0" applyProtection="0"/>
    <xf numFmtId="0" fontId="28" fillId="0" borderId="0" applyNumberFormat="0" applyFill="0" applyBorder="0" applyAlignment="0" applyProtection="0"/>
    <xf numFmtId="0" fontId="26" fillId="0" borderId="0"/>
    <xf numFmtId="0" fontId="26" fillId="0" borderId="0"/>
    <xf numFmtId="192" fontId="24" fillId="0" borderId="0" applyFill="0" applyBorder="0" applyAlignment="0" applyProtection="0"/>
    <xf numFmtId="193" fontId="24" fillId="0" borderId="0" applyFill="0" applyBorder="0" applyAlignment="0" applyProtection="0"/>
    <xf numFmtId="0" fontId="29" fillId="0" borderId="0"/>
    <xf numFmtId="37" fontId="30" fillId="0" borderId="0"/>
    <xf numFmtId="0" fontId="31" fillId="14" borderId="0"/>
    <xf numFmtId="0" fontId="31" fillId="14" borderId="0"/>
    <xf numFmtId="0" fontId="32" fillId="0" borderId="0"/>
    <xf numFmtId="9" fontId="33" fillId="0" borderId="0" applyBorder="0" applyAlignment="0" applyProtection="0"/>
    <xf numFmtId="0" fontId="34" fillId="14" borderId="0"/>
    <xf numFmtId="0" fontId="34" fillId="14" borderId="0"/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14" borderId="0"/>
    <xf numFmtId="0" fontId="37" fillId="14" borderId="0"/>
    <xf numFmtId="0" fontId="12" fillId="0" borderId="0"/>
    <xf numFmtId="0" fontId="38" fillId="0" borderId="0">
      <alignment wrapText="1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37" fontId="12" fillId="0" borderId="0" applyFill="0" applyBorder="0" applyAlignment="0" applyProtection="0"/>
    <xf numFmtId="194" fontId="24" fillId="0" borderId="0" applyFill="0" applyBorder="0" applyAlignment="0" applyProtection="0"/>
    <xf numFmtId="0" fontId="24" fillId="0" borderId="0" applyFill="0" applyBorder="0" applyAlignment="0" applyProtection="0"/>
    <xf numFmtId="195" fontId="24" fillId="0" borderId="0" applyFill="0" applyBorder="0" applyAlignment="0" applyProtection="0"/>
    <xf numFmtId="0" fontId="24" fillId="0" borderId="0" applyFill="0" applyBorder="0" applyAlignment="0" applyProtection="0"/>
    <xf numFmtId="195" fontId="24" fillId="0" borderId="0" applyFill="0" applyBorder="0" applyAlignment="0" applyProtection="0"/>
    <xf numFmtId="0" fontId="41" fillId="0" borderId="0">
      <alignment horizontal="center" wrapText="1"/>
      <protection locked="0"/>
    </xf>
    <xf numFmtId="183" fontId="24" fillId="0" borderId="0" applyFill="0" applyBorder="0" applyAlignment="0" applyProtection="0"/>
    <xf numFmtId="0" fontId="24" fillId="0" borderId="0" applyFill="0" applyBorder="0" applyAlignment="0" applyProtection="0"/>
    <xf numFmtId="183" fontId="24" fillId="0" borderId="0" applyFill="0" applyBorder="0" applyAlignment="0" applyProtection="0"/>
    <xf numFmtId="182" fontId="24" fillId="0" borderId="0" applyFill="0" applyBorder="0" applyAlignment="0" applyProtection="0"/>
    <xf numFmtId="0" fontId="24" fillId="0" borderId="0" applyFill="0" applyBorder="0" applyAlignment="0" applyProtection="0"/>
    <xf numFmtId="182" fontId="24" fillId="0" borderId="0" applyFill="0" applyBorder="0" applyAlignment="0" applyProtection="0"/>
    <xf numFmtId="177" fontId="24" fillId="0" borderId="0" applyFill="0" applyBorder="0" applyAlignment="0" applyProtection="0"/>
    <xf numFmtId="0" fontId="42" fillId="1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/>
    <xf numFmtId="0" fontId="44" fillId="0" borderId="0"/>
    <xf numFmtId="0" fontId="45" fillId="0" borderId="0"/>
    <xf numFmtId="0" fontId="44" fillId="0" borderId="0"/>
    <xf numFmtId="0" fontId="12" fillId="0" borderId="0" applyFill="0" applyBorder="0" applyAlignment="0"/>
    <xf numFmtId="196" fontId="12" fillId="0" borderId="0" applyFill="0" applyBorder="0" applyAlignment="0"/>
    <xf numFmtId="193" fontId="12" fillId="0" borderId="0" applyFill="0" applyBorder="0" applyAlignment="0"/>
    <xf numFmtId="197" fontId="12" fillId="0" borderId="0" applyFill="0" applyBorder="0" applyAlignment="0"/>
    <xf numFmtId="198" fontId="12" fillId="0" borderId="0" applyFill="0" applyBorder="0" applyAlignment="0"/>
    <xf numFmtId="199" fontId="12" fillId="0" borderId="0" applyFill="0" applyBorder="0" applyAlignment="0"/>
    <xf numFmtId="200" fontId="12" fillId="0" borderId="0" applyFill="0" applyBorder="0" applyAlignment="0"/>
    <xf numFmtId="196" fontId="12" fillId="0" borderId="0" applyFill="0" applyBorder="0" applyAlignment="0"/>
    <xf numFmtId="0" fontId="46" fillId="33" borderId="18" applyNumberFormat="0" applyAlignment="0" applyProtection="0">
      <alignment vertical="center"/>
    </xf>
    <xf numFmtId="0" fontId="46" fillId="33" borderId="18" applyNumberFormat="0" applyAlignment="0" applyProtection="0">
      <alignment vertical="center"/>
    </xf>
    <xf numFmtId="0" fontId="46" fillId="33" borderId="18" applyNumberFormat="0" applyAlignment="0" applyProtection="0">
      <alignment vertical="center"/>
    </xf>
    <xf numFmtId="0" fontId="46" fillId="33" borderId="18" applyNumberFormat="0" applyAlignment="0" applyProtection="0">
      <alignment vertical="center"/>
    </xf>
    <xf numFmtId="0" fontId="46" fillId="33" borderId="18" applyNumberFormat="0" applyAlignment="0" applyProtection="0">
      <alignment vertical="center"/>
    </xf>
    <xf numFmtId="0" fontId="46" fillId="33" borderId="18" applyNumberFormat="0" applyAlignment="0" applyProtection="0">
      <alignment vertical="center"/>
    </xf>
    <xf numFmtId="0" fontId="46" fillId="33" borderId="18" applyNumberFormat="0" applyAlignment="0" applyProtection="0">
      <alignment vertical="center"/>
    </xf>
    <xf numFmtId="0" fontId="46" fillId="33" borderId="18" applyNumberFormat="0" applyAlignment="0" applyProtection="0">
      <alignment vertical="center"/>
    </xf>
    <xf numFmtId="0" fontId="46" fillId="33" borderId="18" applyNumberFormat="0" applyAlignment="0" applyProtection="0">
      <alignment vertical="center"/>
    </xf>
    <xf numFmtId="0" fontId="46" fillId="33" borderId="18" applyNumberFormat="0" applyAlignment="0" applyProtection="0">
      <alignment vertical="center"/>
    </xf>
    <xf numFmtId="0" fontId="46" fillId="33" borderId="18" applyNumberFormat="0" applyAlignment="0" applyProtection="0">
      <alignment vertical="center"/>
    </xf>
    <xf numFmtId="0" fontId="46" fillId="33" borderId="18" applyNumberFormat="0" applyAlignment="0" applyProtection="0">
      <alignment vertical="center"/>
    </xf>
    <xf numFmtId="0" fontId="46" fillId="33" borderId="18" applyNumberFormat="0" applyAlignment="0" applyProtection="0">
      <alignment vertical="center"/>
    </xf>
    <xf numFmtId="0" fontId="46" fillId="33" borderId="18" applyNumberFormat="0" applyAlignment="0" applyProtection="0">
      <alignment vertical="center"/>
    </xf>
    <xf numFmtId="0" fontId="46" fillId="33" borderId="18" applyNumberFormat="0" applyAlignment="0" applyProtection="0">
      <alignment vertical="center"/>
    </xf>
    <xf numFmtId="0" fontId="46" fillId="33" borderId="18" applyNumberFormat="0" applyAlignment="0" applyProtection="0">
      <alignment vertical="center"/>
    </xf>
    <xf numFmtId="0" fontId="47" fillId="0" borderId="0"/>
    <xf numFmtId="201" fontId="24" fillId="0" borderId="0" applyFill="0" applyBorder="0" applyAlignment="0" applyProtection="0"/>
    <xf numFmtId="0" fontId="48" fillId="34" borderId="19" applyNumberFormat="0" applyAlignment="0" applyProtection="0">
      <alignment vertical="center"/>
    </xf>
    <xf numFmtId="1" fontId="49" fillId="0" borderId="0" applyBorder="0"/>
    <xf numFmtId="0" fontId="50" fillId="0" borderId="11">
      <alignment horizontal="center"/>
    </xf>
    <xf numFmtId="202" fontId="51" fillId="0" borderId="0"/>
    <xf numFmtId="202" fontId="51" fillId="0" borderId="0"/>
    <xf numFmtId="202" fontId="51" fillId="0" borderId="0"/>
    <xf numFmtId="202" fontId="51" fillId="0" borderId="0"/>
    <xf numFmtId="202" fontId="51" fillId="0" borderId="0"/>
    <xf numFmtId="202" fontId="51" fillId="0" borderId="0"/>
    <xf numFmtId="202" fontId="51" fillId="0" borderId="0"/>
    <xf numFmtId="202" fontId="51" fillId="0" borderId="0"/>
    <xf numFmtId="41" fontId="52" fillId="0" borderId="0" applyFont="0" applyFill="0" applyBorder="0" applyAlignment="0" applyProtection="0">
      <alignment vertical="center"/>
    </xf>
    <xf numFmtId="203" fontId="52" fillId="0" borderId="0" applyFill="0" applyBorder="0" applyProtection="0">
      <alignment vertical="center"/>
    </xf>
    <xf numFmtId="204" fontId="12" fillId="0" borderId="0" applyFont="0" applyFill="0" applyBorder="0" applyAlignment="0" applyProtection="0"/>
    <xf numFmtId="199" fontId="24" fillId="0" borderId="0" applyFill="0" applyBorder="0" applyAlignment="0" applyProtection="0"/>
    <xf numFmtId="191" fontId="24" fillId="0" borderId="0" applyFill="0" applyBorder="0" applyAlignment="0" applyProtection="0"/>
    <xf numFmtId="191" fontId="24" fillId="0" borderId="0" applyFill="0" applyBorder="0" applyAlignment="0" applyProtection="0"/>
    <xf numFmtId="205" fontId="45" fillId="0" borderId="0"/>
    <xf numFmtId="206" fontId="12" fillId="0" borderId="0" applyFont="0" applyFill="0" applyBorder="0" applyAlignment="0" applyProtection="0"/>
    <xf numFmtId="3" fontId="24" fillId="0" borderId="0" applyFill="0" applyBorder="0" applyAlignment="0" applyProtection="0"/>
    <xf numFmtId="37" fontId="12" fillId="0" borderId="0" applyFill="0" applyBorder="0" applyAlignment="0" applyProtection="0"/>
    <xf numFmtId="0" fontId="53" fillId="0" borderId="0" applyNumberFormat="0" applyAlignment="0"/>
    <xf numFmtId="0" fontId="54" fillId="0" borderId="0" applyNumberFormat="0" applyAlignment="0"/>
    <xf numFmtId="0" fontId="12" fillId="0" borderId="0" applyFont="0" applyFill="0" applyBorder="0" applyAlignment="0" applyProtection="0"/>
    <xf numFmtId="196" fontId="24" fillId="0" borderId="0" applyFill="0" applyBorder="0" applyAlignment="0" applyProtection="0"/>
    <xf numFmtId="0" fontId="12" fillId="0" borderId="0" applyFont="0" applyFill="0" applyBorder="0" applyAlignment="0" applyProtection="0"/>
    <xf numFmtId="207" fontId="24" fillId="0" borderId="0" applyFill="0" applyBorder="0" applyAlignment="0" applyProtection="0"/>
    <xf numFmtId="208" fontId="12" fillId="0" borderId="0"/>
    <xf numFmtId="0" fontId="24" fillId="0" borderId="0" applyNumberFormat="0" applyFill="0" applyBorder="0" applyProtection="0">
      <alignment horizontal="left"/>
    </xf>
    <xf numFmtId="0" fontId="24" fillId="0" borderId="0" applyFill="0" applyBorder="0" applyAlignment="0" applyProtection="0"/>
    <xf numFmtId="14" fontId="55" fillId="0" borderId="0" applyFill="0" applyBorder="0" applyAlignment="0"/>
    <xf numFmtId="0" fontId="56" fillId="0" borderId="0" applyProtection="0"/>
    <xf numFmtId="209" fontId="12" fillId="0" borderId="20">
      <alignment vertical="center"/>
    </xf>
    <xf numFmtId="210" fontId="24" fillId="0" borderId="0" applyFill="0" applyBorder="0" applyAlignment="0" applyProtection="0"/>
    <xf numFmtId="211" fontId="24" fillId="0" borderId="0" applyFill="0" applyBorder="0" applyAlignment="0" applyProtection="0"/>
    <xf numFmtId="212" fontId="12" fillId="0" borderId="0"/>
    <xf numFmtId="3" fontId="24" fillId="0" borderId="0" applyBorder="0" applyAlignment="0"/>
    <xf numFmtId="3" fontId="24" fillId="0" borderId="0" applyBorder="0" applyAlignment="0"/>
    <xf numFmtId="0" fontId="57" fillId="35" borderId="0" applyNumberFormat="0" applyBorder="0" applyAlignment="0" applyProtection="0"/>
    <xf numFmtId="0" fontId="57" fillId="36" borderId="0" applyNumberFormat="0" applyBorder="0" applyAlignment="0" applyProtection="0"/>
    <xf numFmtId="0" fontId="57" fillId="36" borderId="0" applyNumberFormat="0" applyBorder="0" applyAlignment="0" applyProtection="0"/>
    <xf numFmtId="0" fontId="58" fillId="0" borderId="0"/>
    <xf numFmtId="199" fontId="12" fillId="0" borderId="0" applyFill="0" applyBorder="0" applyAlignment="0"/>
    <xf numFmtId="196" fontId="12" fillId="0" borderId="0" applyFill="0" applyBorder="0" applyAlignment="0"/>
    <xf numFmtId="199" fontId="12" fillId="0" borderId="0" applyFill="0" applyBorder="0" applyAlignment="0"/>
    <xf numFmtId="200" fontId="12" fillId="0" borderId="0" applyFill="0" applyBorder="0" applyAlignment="0"/>
    <xf numFmtId="196" fontId="12" fillId="0" borderId="0" applyFill="0" applyBorder="0" applyAlignment="0"/>
    <xf numFmtId="0" fontId="59" fillId="0" borderId="0" applyNumberFormat="0" applyAlignment="0"/>
    <xf numFmtId="213" fontId="24" fillId="0" borderId="0" applyFill="0" applyBorder="0" applyAlignment="0" applyProtection="0"/>
    <xf numFmtId="0" fontId="60" fillId="0" borderId="0" applyNumberFormat="0" applyFill="0" applyBorder="0" applyAlignment="0" applyProtection="0">
      <alignment vertical="center"/>
    </xf>
    <xf numFmtId="3" fontId="24" fillId="0" borderId="0" applyBorder="0" applyAlignment="0"/>
    <xf numFmtId="3" fontId="24" fillId="0" borderId="0" applyBorder="0" applyAlignment="0"/>
    <xf numFmtId="0" fontId="61" fillId="0" borderId="0" applyProtection="0"/>
    <xf numFmtId="0" fontId="62" fillId="0" borderId="0" applyProtection="0"/>
    <xf numFmtId="0" fontId="63" fillId="0" borderId="0" applyProtection="0"/>
    <xf numFmtId="0" fontId="64" fillId="0" borderId="0" applyProtection="0"/>
    <xf numFmtId="0" fontId="24" fillId="0" borderId="0" applyNumberFormat="0" applyFill="0" applyBorder="0" applyAlignment="0" applyProtection="0"/>
    <xf numFmtId="0" fontId="65" fillId="0" borderId="0" applyProtection="0"/>
    <xf numFmtId="0" fontId="66" fillId="0" borderId="0" applyProtection="0"/>
    <xf numFmtId="2" fontId="24" fillId="0" borderId="0" applyFill="0" applyBorder="0" applyAlignment="0" applyProtection="0"/>
    <xf numFmtId="0" fontId="67" fillId="17" borderId="0" applyNumberFormat="0" applyBorder="0" applyAlignment="0" applyProtection="0">
      <alignment vertical="center"/>
    </xf>
    <xf numFmtId="0" fontId="68" fillId="37" borderId="0" applyNumberFormat="0" applyBorder="0" applyAlignment="0" applyProtection="0"/>
    <xf numFmtId="0" fontId="24" fillId="0" borderId="0" applyNumberFormat="0" applyBorder="0" applyAlignment="0"/>
    <xf numFmtId="0" fontId="69" fillId="38" borderId="0"/>
    <xf numFmtId="0" fontId="70" fillId="0" borderId="0">
      <alignment horizontal="left"/>
    </xf>
    <xf numFmtId="0" fontId="70" fillId="0" borderId="21" applyNumberFormat="0" applyAlignment="0" applyProtection="0"/>
    <xf numFmtId="0" fontId="70" fillId="0" borderId="21" applyNumberFormat="0" applyAlignment="0" applyProtection="0"/>
    <xf numFmtId="0" fontId="70" fillId="0" borderId="22">
      <alignment horizontal="left" vertical="center"/>
    </xf>
    <xf numFmtId="0" fontId="70" fillId="0" borderId="22">
      <alignment horizontal="left" vertical="center"/>
    </xf>
    <xf numFmtId="0" fontId="71" fillId="0" borderId="23" applyNumberFormat="0" applyFill="0" applyAlignment="0" applyProtection="0">
      <alignment vertical="center"/>
    </xf>
    <xf numFmtId="214" fontId="72" fillId="39" borderId="0">
      <alignment horizontal="left" vertical="top"/>
    </xf>
    <xf numFmtId="0" fontId="73" fillId="0" borderId="23" applyNumberFormat="0" applyFill="0" applyAlignment="0" applyProtection="0"/>
    <xf numFmtId="0" fontId="74" fillId="0" borderId="24" applyNumberFormat="0" applyFill="0" applyAlignment="0" applyProtection="0">
      <alignment vertical="center"/>
    </xf>
    <xf numFmtId="0" fontId="75" fillId="0" borderId="25" applyNumberFormat="0" applyFill="0" applyAlignment="0" applyProtection="0">
      <alignment vertical="center"/>
    </xf>
    <xf numFmtId="0" fontId="75" fillId="0" borderId="25" applyNumberFormat="0" applyFill="0" applyAlignment="0" applyProtection="0">
      <alignment vertical="center"/>
    </xf>
    <xf numFmtId="0" fontId="75" fillId="0" borderId="25" applyNumberFormat="0" applyFill="0" applyAlignment="0" applyProtection="0">
      <alignment vertical="center"/>
    </xf>
    <xf numFmtId="0" fontId="75" fillId="0" borderId="25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215" fontId="76" fillId="0" borderId="0">
      <protection locked="0"/>
    </xf>
    <xf numFmtId="215" fontId="76" fillId="0" borderId="0">
      <protection locked="0"/>
    </xf>
    <xf numFmtId="215" fontId="76" fillId="0" borderId="0">
      <protection locked="0"/>
    </xf>
    <xf numFmtId="0" fontId="77" fillId="0" borderId="0" applyNumberFormat="0" applyFill="0" applyBorder="0" applyAlignment="0" applyProtection="0"/>
    <xf numFmtId="0" fontId="78" fillId="0" borderId="26">
      <alignment horizontal="center"/>
    </xf>
    <xf numFmtId="0" fontId="78" fillId="0" borderId="0">
      <alignment horizontal="center"/>
    </xf>
    <xf numFmtId="0" fontId="79" fillId="40" borderId="27" applyNumberFormat="0" applyAlignment="0"/>
    <xf numFmtId="0" fontId="79" fillId="40" borderId="27" applyNumberFormat="0" applyAlignment="0"/>
    <xf numFmtId="216" fontId="24" fillId="0" borderId="0" applyFill="0" applyBorder="0" applyAlignment="0" applyProtection="0"/>
    <xf numFmtId="0" fontId="24" fillId="14" borderId="0" applyNumberFormat="0" applyBorder="0" applyAlignment="0"/>
    <xf numFmtId="0" fontId="24" fillId="41" borderId="0" applyNumberFormat="0" applyBorder="0" applyAlignment="0"/>
    <xf numFmtId="49" fontId="80" fillId="0" borderId="27">
      <alignment vertical="center"/>
    </xf>
    <xf numFmtId="49" fontId="80" fillId="0" borderId="27">
      <alignment vertical="center"/>
    </xf>
    <xf numFmtId="191" fontId="24" fillId="0" borderId="0" applyFill="0" applyBorder="0" applyAlignment="0" applyProtection="0"/>
    <xf numFmtId="191" fontId="24" fillId="0" borderId="0" applyFill="0" applyBorder="0" applyAlignment="0" applyProtection="0"/>
    <xf numFmtId="186" fontId="24" fillId="0" borderId="0" applyFill="0" applyBorder="0" applyAlignment="0" applyProtection="0"/>
    <xf numFmtId="186" fontId="24" fillId="0" borderId="0" applyFill="0" applyBorder="0" applyAlignment="0" applyProtection="0"/>
    <xf numFmtId="0" fontId="81" fillId="39" borderId="0">
      <alignment horizontal="left" wrapText="1" indent="2"/>
    </xf>
    <xf numFmtId="0" fontId="82" fillId="20" borderId="18" applyNumberFormat="0" applyAlignment="0" applyProtection="0">
      <alignment vertical="center"/>
    </xf>
    <xf numFmtId="0" fontId="68" fillId="37" borderId="0" applyNumberFormat="0" applyBorder="0" applyAlignment="0" applyProtection="0"/>
    <xf numFmtId="0" fontId="82" fillId="20" borderId="18" applyNumberFormat="0" applyAlignment="0" applyProtection="0">
      <alignment vertical="center"/>
    </xf>
    <xf numFmtId="0" fontId="82" fillId="20" borderId="18" applyNumberFormat="0" applyAlignment="0" applyProtection="0">
      <alignment vertical="center"/>
    </xf>
    <xf numFmtId="0" fontId="82" fillId="20" borderId="18" applyNumberFormat="0" applyAlignment="0" applyProtection="0">
      <alignment vertical="center"/>
    </xf>
    <xf numFmtId="0" fontId="82" fillId="20" borderId="18" applyNumberFormat="0" applyAlignment="0" applyProtection="0">
      <alignment vertical="center"/>
    </xf>
    <xf numFmtId="0" fontId="82" fillId="20" borderId="18" applyNumberFormat="0" applyAlignment="0" applyProtection="0">
      <alignment vertical="center"/>
    </xf>
    <xf numFmtId="0" fontId="82" fillId="20" borderId="18" applyNumberFormat="0" applyAlignment="0" applyProtection="0">
      <alignment vertical="center"/>
    </xf>
    <xf numFmtId="0" fontId="82" fillId="20" borderId="18" applyNumberFormat="0" applyAlignment="0" applyProtection="0">
      <alignment vertical="center"/>
    </xf>
    <xf numFmtId="0" fontId="82" fillId="20" borderId="18" applyNumberFormat="0" applyAlignment="0" applyProtection="0">
      <alignment vertical="center"/>
    </xf>
    <xf numFmtId="0" fontId="82" fillId="20" borderId="18" applyNumberFormat="0" applyAlignment="0" applyProtection="0">
      <alignment vertical="center"/>
    </xf>
    <xf numFmtId="0" fontId="82" fillId="20" borderId="18" applyNumberFormat="0" applyAlignment="0" applyProtection="0">
      <alignment vertical="center"/>
    </xf>
    <xf numFmtId="0" fontId="82" fillId="20" borderId="18" applyNumberFormat="0" applyAlignment="0" applyProtection="0">
      <alignment vertical="center"/>
    </xf>
    <xf numFmtId="0" fontId="82" fillId="20" borderId="18" applyNumberFormat="0" applyAlignment="0" applyProtection="0">
      <alignment vertical="center"/>
    </xf>
    <xf numFmtId="0" fontId="82" fillId="20" borderId="18" applyNumberFormat="0" applyAlignment="0" applyProtection="0">
      <alignment vertical="center"/>
    </xf>
    <xf numFmtId="0" fontId="82" fillId="20" borderId="18" applyNumberFormat="0" applyAlignment="0" applyProtection="0">
      <alignment vertical="center"/>
    </xf>
    <xf numFmtId="0" fontId="82" fillId="20" borderId="18" applyNumberFormat="0" applyAlignment="0" applyProtection="0">
      <alignment vertical="center"/>
    </xf>
    <xf numFmtId="217" fontId="58" fillId="42" borderId="0"/>
    <xf numFmtId="205" fontId="12" fillId="0" borderId="0" applyFill="0" applyBorder="0" applyAlignment="0"/>
    <xf numFmtId="0" fontId="26" fillId="0" borderId="0"/>
    <xf numFmtId="0" fontId="26" fillId="0" borderId="0"/>
    <xf numFmtId="199" fontId="12" fillId="0" borderId="0" applyFill="0" applyBorder="0" applyAlignment="0"/>
    <xf numFmtId="196" fontId="12" fillId="0" borderId="0" applyFill="0" applyBorder="0" applyAlignment="0"/>
    <xf numFmtId="199" fontId="12" fillId="0" borderId="0" applyFill="0" applyBorder="0" applyAlignment="0"/>
    <xf numFmtId="200" fontId="12" fillId="0" borderId="0" applyFill="0" applyBorder="0" applyAlignment="0"/>
    <xf numFmtId="196" fontId="12" fillId="0" borderId="0" applyFill="0" applyBorder="0" applyAlignment="0"/>
    <xf numFmtId="0" fontId="83" fillId="0" borderId="28" applyNumberFormat="0" applyFill="0" applyAlignment="0" applyProtection="0">
      <alignment vertical="center"/>
    </xf>
    <xf numFmtId="217" fontId="58" fillId="43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8" fontId="24" fillId="0" borderId="0" applyFill="0" applyBorder="0" applyAlignment="0" applyProtection="0"/>
    <xf numFmtId="219" fontId="24" fillId="0" borderId="0" applyFill="0" applyBorder="0" applyAlignment="0" applyProtection="0"/>
    <xf numFmtId="0" fontId="84" fillId="0" borderId="26"/>
    <xf numFmtId="220" fontId="24" fillId="0" borderId="0" applyFill="0" applyBorder="0" applyAlignment="0" applyProtection="0"/>
    <xf numFmtId="221" fontId="24" fillId="0" borderId="0" applyFill="0" applyBorder="0" applyAlignment="0" applyProtection="0"/>
    <xf numFmtId="222" fontId="85" fillId="0" borderId="0" applyFont="0" applyFill="0" applyBorder="0" applyAlignment="0" applyProtection="0"/>
    <xf numFmtId="223" fontId="85" fillId="0" borderId="0" applyFont="0" applyFill="0" applyBorder="0" applyAlignment="0" applyProtection="0"/>
    <xf numFmtId="58" fontId="24" fillId="0" borderId="0" applyFill="0" applyBorder="0" applyAlignment="0" applyProtection="0"/>
    <xf numFmtId="224" fontId="24" fillId="0" borderId="0" applyFill="0" applyBorder="0" applyAlignment="0" applyProtection="0"/>
    <xf numFmtId="0" fontId="24" fillId="0" borderId="0" applyNumberFormat="0" applyFill="0" applyAlignment="0"/>
    <xf numFmtId="0" fontId="24" fillId="0" borderId="0" applyNumberFormat="0" applyFill="0" applyAlignment="0"/>
    <xf numFmtId="0" fontId="86" fillId="44" borderId="0" applyNumberFormat="0" applyBorder="0" applyAlignment="0" applyProtection="0">
      <alignment vertical="center"/>
    </xf>
    <xf numFmtId="0" fontId="45" fillId="0" borderId="0"/>
    <xf numFmtId="37" fontId="87" fillId="0" borderId="0"/>
    <xf numFmtId="225" fontId="24" fillId="14" borderId="0" applyBorder="0">
      <alignment horizontal="center" vertical="center"/>
    </xf>
    <xf numFmtId="0" fontId="24" fillId="0" borderId="0" applyNumberFormat="0" applyFill="0" applyBorder="0" applyAlignment="0"/>
    <xf numFmtId="0" fontId="12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4" fillId="0" borderId="0"/>
    <xf numFmtId="0" fontId="5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8" fillId="0" borderId="0"/>
    <xf numFmtId="37" fontId="89" fillId="0" borderId="0"/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190" fontId="24" fillId="0" borderId="0" applyFill="0" applyBorder="0" applyAlignment="0" applyProtection="0"/>
    <xf numFmtId="185" fontId="24" fillId="0" borderId="0" applyFill="0" applyBorder="0" applyAlignment="0" applyProtection="0"/>
    <xf numFmtId="0" fontId="84" fillId="0" borderId="0" applyNumberFormat="0" applyFill="0" applyBorder="0" applyAlignment="0" applyProtection="0"/>
    <xf numFmtId="0" fontId="24" fillId="0" borderId="0" applyFill="0" applyBorder="0" applyAlignment="0" applyProtection="0"/>
    <xf numFmtId="0" fontId="45" fillId="0" borderId="0"/>
    <xf numFmtId="0" fontId="90" fillId="33" borderId="30" applyNumberFormat="0" applyAlignment="0" applyProtection="0">
      <alignment vertical="center"/>
    </xf>
    <xf numFmtId="0" fontId="90" fillId="33" borderId="30" applyNumberFormat="0" applyAlignment="0" applyProtection="0">
      <alignment vertical="center"/>
    </xf>
    <xf numFmtId="0" fontId="90" fillId="33" borderId="30" applyNumberFormat="0" applyAlignment="0" applyProtection="0">
      <alignment vertical="center"/>
    </xf>
    <xf numFmtId="0" fontId="90" fillId="33" borderId="30" applyNumberFormat="0" applyAlignment="0" applyProtection="0">
      <alignment vertical="center"/>
    </xf>
    <xf numFmtId="0" fontId="90" fillId="33" borderId="30" applyNumberFormat="0" applyAlignment="0" applyProtection="0">
      <alignment vertical="center"/>
    </xf>
    <xf numFmtId="0" fontId="90" fillId="33" borderId="30" applyNumberFormat="0" applyAlignment="0" applyProtection="0">
      <alignment vertical="center"/>
    </xf>
    <xf numFmtId="0" fontId="90" fillId="33" borderId="30" applyNumberFormat="0" applyAlignment="0" applyProtection="0">
      <alignment vertical="center"/>
    </xf>
    <xf numFmtId="0" fontId="90" fillId="33" borderId="30" applyNumberFormat="0" applyAlignment="0" applyProtection="0">
      <alignment vertical="center"/>
    </xf>
    <xf numFmtId="0" fontId="90" fillId="33" borderId="30" applyNumberFormat="0" applyAlignment="0" applyProtection="0">
      <alignment vertical="center"/>
    </xf>
    <xf numFmtId="0" fontId="90" fillId="33" borderId="30" applyNumberFormat="0" applyAlignment="0" applyProtection="0">
      <alignment vertical="center"/>
    </xf>
    <xf numFmtId="0" fontId="90" fillId="33" borderId="30" applyNumberFormat="0" applyAlignment="0" applyProtection="0">
      <alignment vertical="center"/>
    </xf>
    <xf numFmtId="0" fontId="90" fillId="33" borderId="30" applyNumberFormat="0" applyAlignment="0" applyProtection="0">
      <alignment vertical="center"/>
    </xf>
    <xf numFmtId="0" fontId="90" fillId="33" borderId="30" applyNumberFormat="0" applyAlignment="0" applyProtection="0">
      <alignment vertical="center"/>
    </xf>
    <xf numFmtId="0" fontId="90" fillId="33" borderId="30" applyNumberFormat="0" applyAlignment="0" applyProtection="0">
      <alignment vertical="center"/>
    </xf>
    <xf numFmtId="0" fontId="90" fillId="33" borderId="30" applyNumberFormat="0" applyAlignment="0" applyProtection="0">
      <alignment vertical="center"/>
    </xf>
    <xf numFmtId="0" fontId="90" fillId="33" borderId="30" applyNumberFormat="0" applyAlignment="0" applyProtection="0">
      <alignment vertical="center"/>
    </xf>
    <xf numFmtId="3" fontId="12" fillId="0" borderId="0" applyFill="0" applyBorder="0" applyAlignment="0" applyProtection="0"/>
    <xf numFmtId="0" fontId="91" fillId="37" borderId="0"/>
    <xf numFmtId="14" fontId="41" fillId="0" borderId="0">
      <alignment horizontal="center" wrapText="1"/>
      <protection locked="0"/>
    </xf>
    <xf numFmtId="198" fontId="24" fillId="0" borderId="0" applyFill="0" applyBorder="0" applyAlignment="0" applyProtection="0"/>
    <xf numFmtId="226" fontId="24" fillId="0" borderId="0" applyFill="0" applyBorder="0" applyAlignment="0" applyProtection="0"/>
    <xf numFmtId="10" fontId="24" fillId="0" borderId="0" applyFill="0" applyBorder="0" applyAlignment="0" applyProtection="0"/>
    <xf numFmtId="9" fontId="24" fillId="0" borderId="0" applyFill="0" applyBorder="0" applyAlignment="0" applyProtection="0"/>
    <xf numFmtId="0" fontId="26" fillId="0" borderId="0" applyNumberFormat="0" applyBorder="0"/>
    <xf numFmtId="199" fontId="12" fillId="0" borderId="0" applyFill="0" applyBorder="0" applyAlignment="0"/>
    <xf numFmtId="196" fontId="12" fillId="0" borderId="0" applyFill="0" applyBorder="0" applyAlignment="0"/>
    <xf numFmtId="199" fontId="12" fillId="0" borderId="0" applyFill="0" applyBorder="0" applyAlignment="0"/>
    <xf numFmtId="200" fontId="12" fillId="0" borderId="0" applyFill="0" applyBorder="0" applyAlignment="0"/>
    <xf numFmtId="196" fontId="12" fillId="0" borderId="0" applyFill="0" applyBorder="0" applyAlignment="0"/>
    <xf numFmtId="0" fontId="56" fillId="0" borderId="0"/>
    <xf numFmtId="0" fontId="24" fillId="0" borderId="0" applyFill="0" applyBorder="0" applyAlignment="0" applyProtection="0"/>
    <xf numFmtId="0" fontId="24" fillId="0" borderId="0" applyNumberFormat="0" applyFill="0" applyBorder="0" applyAlignment="0" applyProtection="0"/>
    <xf numFmtId="0" fontId="92" fillId="0" borderId="26">
      <alignment horizontal="center"/>
    </xf>
    <xf numFmtId="0" fontId="24" fillId="46" borderId="0" applyNumberFormat="0" applyBorder="0" applyAlignment="0"/>
    <xf numFmtId="0" fontId="68" fillId="0" borderId="0" applyNumberFormat="0" applyFill="0" applyBorder="0" applyAlignment="0" applyProtection="0"/>
    <xf numFmtId="186" fontId="24" fillId="0" borderId="0" applyFill="0" applyBorder="0" applyAlignment="0" applyProtection="0"/>
    <xf numFmtId="186" fontId="24" fillId="0" borderId="0" applyFill="0" applyBorder="0" applyAlignment="0" applyProtection="0"/>
    <xf numFmtId="0" fontId="93" fillId="47" borderId="31" applyNumberFormat="0" applyProtection="0">
      <alignment horizontal="left" vertical="center"/>
    </xf>
    <xf numFmtId="3" fontId="56" fillId="37" borderId="32" applyProtection="0">
      <alignment horizontal="right" vertical="center"/>
    </xf>
    <xf numFmtId="0" fontId="94" fillId="39" borderId="31" applyNumberFormat="0" applyProtection="0">
      <alignment horizontal="left" vertical="center" wrapText="1"/>
    </xf>
    <xf numFmtId="0" fontId="24" fillId="48" borderId="22" applyNumberFormat="0" applyAlignment="0"/>
    <xf numFmtId="0" fontId="24" fillId="48" borderId="22" applyNumberFormat="0" applyAlignment="0"/>
    <xf numFmtId="0" fontId="95" fillId="0" borderId="0" applyNumberFormat="0" applyFill="0" applyBorder="0" applyAlignment="0" applyProtection="0"/>
    <xf numFmtId="0" fontId="96" fillId="0" borderId="0" applyNumberFormat="0" applyFill="0" applyBorder="0" applyAlignment="0"/>
    <xf numFmtId="0" fontId="12" fillId="49" borderId="0"/>
    <xf numFmtId="0" fontId="12" fillId="0" borderId="0"/>
    <xf numFmtId="185" fontId="24" fillId="0" borderId="0" applyFill="0" applyBorder="0" applyAlignment="0" applyProtection="0"/>
    <xf numFmtId="185" fontId="24" fillId="0" borderId="0" applyFill="0" applyBorder="0" applyAlignment="0" applyProtection="0"/>
    <xf numFmtId="187" fontId="24" fillId="0" borderId="0" applyFill="0" applyBorder="0" applyAlignment="0" applyProtection="0"/>
    <xf numFmtId="0" fontId="84" fillId="0" borderId="0"/>
    <xf numFmtId="0" fontId="97" fillId="39" borderId="0">
      <alignment wrapText="1"/>
    </xf>
    <xf numFmtId="40" fontId="98" fillId="0" borderId="0" applyBorder="0">
      <alignment horizontal="right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0" fontId="24" fillId="0" borderId="0"/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8" fontId="88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227" fontId="99" fillId="0" borderId="33">
      <alignment horizontal="right" vertical="center"/>
    </xf>
    <xf numFmtId="37" fontId="55" fillId="0" borderId="0" applyBorder="0" applyAlignment="0" applyProtection="0"/>
    <xf numFmtId="49" fontId="55" fillId="0" borderId="0" applyFill="0" applyBorder="0" applyAlignment="0"/>
    <xf numFmtId="229" fontId="12" fillId="0" borderId="0" applyFill="0" applyBorder="0" applyAlignment="0"/>
    <xf numFmtId="230" fontId="12" fillId="0" borderId="0" applyFill="0" applyBorder="0" applyAlignment="0"/>
    <xf numFmtId="231" fontId="99" fillId="0" borderId="33">
      <alignment horizontal="center"/>
    </xf>
    <xf numFmtId="0" fontId="27" fillId="0" borderId="17"/>
    <xf numFmtId="231" fontId="99" fillId="0" borderId="33">
      <alignment horizontal="center"/>
    </xf>
    <xf numFmtId="232" fontId="88" fillId="0" borderId="33">
      <alignment horizontal="center"/>
    </xf>
    <xf numFmtId="0" fontId="27" fillId="0" borderId="17"/>
    <xf numFmtId="232" fontId="88" fillId="0" borderId="33">
      <alignment horizontal="center"/>
    </xf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232" fontId="88" fillId="0" borderId="33">
      <alignment horizontal="center"/>
    </xf>
    <xf numFmtId="0" fontId="27" fillId="0" borderId="17"/>
    <xf numFmtId="232" fontId="88" fillId="0" borderId="33">
      <alignment horizontal="center"/>
    </xf>
    <xf numFmtId="0" fontId="27" fillId="0" borderId="17"/>
    <xf numFmtId="232" fontId="88" fillId="0" borderId="33">
      <alignment horizontal="center"/>
    </xf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232" fontId="88" fillId="0" borderId="33">
      <alignment horizontal="center"/>
    </xf>
    <xf numFmtId="0" fontId="27" fillId="0" borderId="17"/>
    <xf numFmtId="0" fontId="27" fillId="0" borderId="17"/>
    <xf numFmtId="232" fontId="88" fillId="0" borderId="33">
      <alignment horizontal="center"/>
    </xf>
    <xf numFmtId="0" fontId="27" fillId="0" borderId="17"/>
    <xf numFmtId="0" fontId="27" fillId="0" borderId="17"/>
    <xf numFmtId="232" fontId="88" fillId="0" borderId="33">
      <alignment horizontal="center"/>
    </xf>
    <xf numFmtId="0" fontId="27" fillId="0" borderId="17"/>
    <xf numFmtId="231" fontId="99" fillId="0" borderId="33">
      <alignment horizontal="center"/>
    </xf>
    <xf numFmtId="0" fontId="27" fillId="0" borderId="17"/>
    <xf numFmtId="231" fontId="99" fillId="0" borderId="33">
      <alignment horizontal="center"/>
    </xf>
    <xf numFmtId="0" fontId="100" fillId="0" borderId="0">
      <alignment vertical="center" wrapText="1"/>
      <protection locked="0"/>
    </xf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27" fillId="0" borderId="17"/>
    <xf numFmtId="0" fontId="84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4" fillId="0" borderId="34" applyNumberFormat="0" applyFill="0" applyAlignment="0" applyProtection="0">
      <alignment vertical="center"/>
    </xf>
    <xf numFmtId="0" fontId="104" fillId="0" borderId="34" applyNumberFormat="0" applyFill="0" applyAlignment="0" applyProtection="0">
      <alignment vertical="center"/>
    </xf>
    <xf numFmtId="0" fontId="104" fillId="0" borderId="34" applyNumberFormat="0" applyFill="0" applyAlignment="0" applyProtection="0">
      <alignment vertical="center"/>
    </xf>
    <xf numFmtId="0" fontId="104" fillId="0" borderId="34" applyNumberFormat="0" applyFill="0" applyAlignment="0" applyProtection="0">
      <alignment vertical="center"/>
    </xf>
    <xf numFmtId="0" fontId="104" fillId="0" borderId="34" applyNumberFormat="0" applyFill="0" applyAlignment="0" applyProtection="0">
      <alignment vertical="center"/>
    </xf>
    <xf numFmtId="0" fontId="104" fillId="0" borderId="34" applyNumberFormat="0" applyFill="0" applyAlignment="0" applyProtection="0">
      <alignment vertical="center"/>
    </xf>
    <xf numFmtId="0" fontId="104" fillId="0" borderId="34" applyNumberFormat="0" applyFill="0" applyAlignment="0" applyProtection="0">
      <alignment vertical="center"/>
    </xf>
    <xf numFmtId="0" fontId="104" fillId="0" borderId="34" applyNumberFormat="0" applyFill="0" applyAlignment="0" applyProtection="0">
      <alignment vertical="center"/>
    </xf>
    <xf numFmtId="0" fontId="104" fillId="0" borderId="34" applyNumberFormat="0" applyFill="0" applyAlignment="0" applyProtection="0">
      <alignment vertical="center"/>
    </xf>
    <xf numFmtId="0" fontId="104" fillId="0" borderId="34" applyNumberFormat="0" applyFill="0" applyAlignment="0" applyProtection="0">
      <alignment vertical="center"/>
    </xf>
    <xf numFmtId="0" fontId="104" fillId="0" borderId="34" applyNumberFormat="0" applyFill="0" applyAlignment="0" applyProtection="0">
      <alignment vertical="center"/>
    </xf>
    <xf numFmtId="0" fontId="104" fillId="0" borderId="34" applyNumberFormat="0" applyFill="0" applyAlignment="0" applyProtection="0">
      <alignment vertical="center"/>
    </xf>
    <xf numFmtId="0" fontId="104" fillId="0" borderId="34" applyNumberFormat="0" applyFill="0" applyAlignment="0" applyProtection="0">
      <alignment vertical="center"/>
    </xf>
    <xf numFmtId="0" fontId="104" fillId="0" borderId="34" applyNumberFormat="0" applyFill="0" applyAlignment="0" applyProtection="0">
      <alignment vertical="center"/>
    </xf>
    <xf numFmtId="0" fontId="104" fillId="0" borderId="34" applyNumberFormat="0" applyFill="0" applyAlignment="0" applyProtection="0">
      <alignment vertical="center"/>
    </xf>
    <xf numFmtId="0" fontId="104" fillId="0" borderId="34" applyNumberFormat="0" applyFill="0" applyAlignment="0" applyProtection="0">
      <alignment vertical="center"/>
    </xf>
    <xf numFmtId="0" fontId="12" fillId="0" borderId="0"/>
    <xf numFmtId="233" fontId="24" fillId="0" borderId="0" applyFill="0" applyBorder="0" applyProtection="0">
      <alignment horizontal="center"/>
    </xf>
    <xf numFmtId="234" fontId="24" fillId="0" borderId="0" applyFill="0" applyBorder="0" applyProtection="0">
      <alignment horizontal="center"/>
    </xf>
    <xf numFmtId="38" fontId="24" fillId="0" borderId="0" applyFill="0" applyBorder="0" applyAlignment="0" applyProtection="0"/>
    <xf numFmtId="15" fontId="24" fillId="0" borderId="0" applyFill="0" applyBorder="0" applyProtection="0">
      <alignment horizontal="center"/>
    </xf>
    <xf numFmtId="10" fontId="24" fillId="0" borderId="0" applyFill="0" applyBorder="0" applyProtection="0">
      <alignment horizontal="center"/>
    </xf>
    <xf numFmtId="235" fontId="24" fillId="0" borderId="0" applyFill="0" applyBorder="0" applyProtection="0">
      <alignment horizontal="center"/>
    </xf>
    <xf numFmtId="0" fontId="105" fillId="0" borderId="35">
      <alignment horizontal="center" vertical="center"/>
    </xf>
    <xf numFmtId="0" fontId="105" fillId="0" borderId="35">
      <alignment horizontal="center" vertical="center"/>
    </xf>
    <xf numFmtId="230" fontId="99" fillId="0" borderId="0"/>
    <xf numFmtId="236" fontId="99" fillId="0" borderId="27"/>
    <xf numFmtId="236" fontId="99" fillId="0" borderId="27"/>
    <xf numFmtId="0" fontId="106" fillId="0" borderId="0"/>
    <xf numFmtId="0" fontId="106" fillId="0" borderId="0"/>
    <xf numFmtId="237" fontId="107" fillId="42" borderId="36">
      <alignment vertical="top"/>
    </xf>
    <xf numFmtId="237" fontId="107" fillId="42" borderId="36">
      <alignment vertical="top"/>
    </xf>
    <xf numFmtId="0" fontId="77" fillId="50" borderId="27">
      <alignment horizontal="left" vertical="center"/>
    </xf>
    <xf numFmtId="0" fontId="77" fillId="50" borderId="27">
      <alignment horizontal="left" vertical="center"/>
    </xf>
    <xf numFmtId="238" fontId="108" fillId="39" borderId="36"/>
    <xf numFmtId="238" fontId="108" fillId="39" borderId="36"/>
    <xf numFmtId="237" fontId="79" fillId="0" borderId="36">
      <alignment horizontal="left" vertical="top"/>
    </xf>
    <xf numFmtId="237" fontId="79" fillId="0" borderId="36">
      <alignment horizontal="left" vertical="top"/>
    </xf>
    <xf numFmtId="0" fontId="109" fillId="37" borderId="0">
      <alignment horizontal="left" vertical="center"/>
    </xf>
    <xf numFmtId="237" fontId="28" fillId="0" borderId="37">
      <alignment horizontal="left" vertical="top"/>
    </xf>
    <xf numFmtId="0" fontId="110" fillId="0" borderId="37">
      <alignment horizontal="left" vertical="center"/>
    </xf>
    <xf numFmtId="239" fontId="24" fillId="0" borderId="0" applyFill="0" applyBorder="0" applyAlignment="0" applyProtection="0"/>
    <xf numFmtId="240" fontId="24" fillId="0" borderId="0" applyFill="0" applyBorder="0" applyAlignment="0" applyProtection="0"/>
    <xf numFmtId="0" fontId="111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/>
    <xf numFmtId="187" fontId="24" fillId="0" borderId="0" applyFill="0" applyBorder="0" applyAlignment="0" applyProtection="0"/>
    <xf numFmtId="180" fontId="24" fillId="0" borderId="0" applyFill="0" applyBorder="0" applyAlignment="0" applyProtection="0"/>
    <xf numFmtId="0" fontId="113" fillId="0" borderId="0"/>
    <xf numFmtId="0" fontId="24" fillId="0" borderId="0" applyFill="0" applyBorder="0" applyAlignment="0" applyProtection="0"/>
    <xf numFmtId="0" fontId="24" fillId="0" borderId="0" applyFill="0" applyBorder="0" applyAlignment="0" applyProtection="0"/>
    <xf numFmtId="0" fontId="43" fillId="0" borderId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0" fontId="115" fillId="33" borderId="18" applyNumberFormat="0" applyAlignment="0" applyProtection="0">
      <alignment vertical="center"/>
    </xf>
    <xf numFmtId="2" fontId="116" fillId="0" borderId="0" applyFont="0" applyFill="0" applyBorder="0" applyAlignment="0" applyProtection="0"/>
    <xf numFmtId="0" fontId="117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9" fillId="16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6" fillId="0" borderId="0" applyFont="0" applyFill="0" applyBorder="0" applyAlignment="0" applyProtection="0"/>
    <xf numFmtId="0" fontId="116" fillId="0" borderId="0" applyFont="0" applyFill="0" applyBorder="0" applyAlignment="0" applyProtection="0"/>
    <xf numFmtId="40" fontId="24" fillId="0" borderId="0" applyFill="0" applyBorder="0" applyAlignment="0" applyProtection="0"/>
    <xf numFmtId="38" fontId="24" fillId="0" borderId="0" applyFill="0" applyBorder="0" applyAlignment="0" applyProtection="0"/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52" fillId="45" borderId="29" applyNumberFormat="0" applyFont="0" applyAlignment="0" applyProtection="0">
      <alignment vertical="center"/>
    </xf>
    <xf numFmtId="0" fontId="24" fillId="0" borderId="0" applyFill="0" applyBorder="0" applyAlignment="0" applyProtection="0"/>
    <xf numFmtId="0" fontId="24" fillId="0" borderId="0" applyFill="0" applyBorder="0" applyAlignment="0" applyProtection="0"/>
    <xf numFmtId="9" fontId="52" fillId="0" borderId="0" applyFont="0" applyFill="0" applyBorder="0" applyAlignment="0" applyProtection="0"/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>
      <alignment vertical="center"/>
    </xf>
    <xf numFmtId="9" fontId="121" fillId="0" borderId="0" applyFont="0" applyFill="0" applyBorder="0" applyAlignment="0" applyProtection="0">
      <alignment vertical="center"/>
    </xf>
    <xf numFmtId="9" fontId="12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/>
    <xf numFmtId="9" fontId="123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3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3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3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3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3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3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3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3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3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3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3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3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3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3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3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3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3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3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3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3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3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3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3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9" fontId="125" fillId="0" borderId="0" applyFont="0" applyFill="0" applyBorder="0" applyAlignment="0" applyProtection="0">
      <alignment vertical="center"/>
    </xf>
    <xf numFmtId="9" fontId="125" fillId="0" borderId="0" applyFont="0" applyFill="0" applyBorder="0" applyAlignment="0" applyProtection="0">
      <alignment vertical="center"/>
    </xf>
    <xf numFmtId="9" fontId="125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/>
    <xf numFmtId="0" fontId="126" fillId="44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7" fillId="0" borderId="0"/>
    <xf numFmtId="0" fontId="128" fillId="0" borderId="0"/>
    <xf numFmtId="0" fontId="125" fillId="0" borderId="0"/>
    <xf numFmtId="0" fontId="52" fillId="0" borderId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0" fillId="34" borderId="19" applyNumberFormat="0" applyAlignment="0" applyProtection="0">
      <alignment vertical="center"/>
    </xf>
    <xf numFmtId="0" fontId="130" fillId="34" borderId="19" applyNumberFormat="0" applyAlignment="0" applyProtection="0">
      <alignment vertical="center"/>
    </xf>
    <xf numFmtId="0" fontId="130" fillId="34" borderId="19" applyNumberFormat="0" applyAlignment="0" applyProtection="0">
      <alignment vertical="center"/>
    </xf>
    <xf numFmtId="0" fontId="131" fillId="0" borderId="0" applyNumberFormat="0" applyFill="0" applyBorder="0" applyAlignment="0" applyProtection="0"/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/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/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/>
    <xf numFmtId="41" fontId="120" fillId="0" borderId="0" applyFont="0" applyFill="0" applyBorder="0" applyAlignment="0" applyProtection="0">
      <alignment vertical="center"/>
    </xf>
    <xf numFmtId="41" fontId="122" fillId="0" borderId="0" applyFont="0" applyFill="0" applyBorder="0" applyAlignment="0" applyProtection="0">
      <alignment vertical="center"/>
    </xf>
    <xf numFmtId="241" fontId="1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/>
    <xf numFmtId="204" fontId="125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/>
    <xf numFmtId="41" fontId="132" fillId="0" borderId="0" applyFont="0" applyFill="0" applyBorder="0" applyAlignment="0" applyProtection="0">
      <alignment vertical="center"/>
    </xf>
    <xf numFmtId="41" fontId="133" fillId="0" borderId="0" applyFont="0" applyFill="0" applyBorder="0" applyAlignment="0" applyProtection="0">
      <alignment vertical="center"/>
    </xf>
    <xf numFmtId="41" fontId="132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5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191" fontId="12" fillId="0" borderId="0" applyFill="0" applyBorder="0" applyAlignment="0" applyProtection="0"/>
    <xf numFmtId="191" fontId="12" fillId="0" borderId="0" applyFill="0" applyBorder="0" applyAlignment="0" applyProtection="0"/>
    <xf numFmtId="191" fontId="134" fillId="0" borderId="0" applyFill="0" applyBorder="0" applyAlignment="0" applyProtection="0"/>
    <xf numFmtId="191" fontId="12" fillId="0" borderId="0" applyFill="0" applyBorder="0" applyAlignment="0" applyProtection="0"/>
    <xf numFmtId="0" fontId="135" fillId="0" borderId="28" applyNumberFormat="0" applyFill="0" applyAlignment="0" applyProtection="0">
      <alignment vertical="center"/>
    </xf>
    <xf numFmtId="0" fontId="135" fillId="0" borderId="28" applyNumberFormat="0" applyFill="0" applyAlignment="0" applyProtection="0">
      <alignment vertical="center"/>
    </xf>
    <xf numFmtId="0" fontId="135" fillId="0" borderId="28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136" fillId="0" borderId="34" applyNumberFormat="0" applyFill="0" applyAlignment="0" applyProtection="0">
      <alignment vertical="center"/>
    </xf>
    <xf numFmtId="0" fontId="56" fillId="0" borderId="0"/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0" fontId="137" fillId="20" borderId="18" applyNumberFormat="0" applyAlignment="0" applyProtection="0">
      <alignment vertical="center"/>
    </xf>
    <xf numFmtId="4" fontId="116" fillId="0" borderId="0" applyFont="0" applyFill="0" applyBorder="0" applyAlignment="0" applyProtection="0"/>
    <xf numFmtId="3" fontId="116" fillId="0" borderId="0" applyFont="0" applyFill="0" applyBorder="0" applyAlignment="0" applyProtection="0"/>
    <xf numFmtId="0" fontId="138" fillId="0" borderId="23" applyNumberFormat="0" applyFill="0" applyAlignment="0" applyProtection="0">
      <alignment vertical="center"/>
    </xf>
    <xf numFmtId="0" fontId="138" fillId="0" borderId="23" applyNumberFormat="0" applyFill="0" applyAlignment="0" applyProtection="0">
      <alignment vertical="center"/>
    </xf>
    <xf numFmtId="0" fontId="138" fillId="0" borderId="23" applyNumberFormat="0" applyFill="0" applyAlignment="0" applyProtection="0">
      <alignment vertical="center"/>
    </xf>
    <xf numFmtId="0" fontId="139" fillId="0" borderId="24" applyNumberFormat="0" applyFill="0" applyAlignment="0" applyProtection="0">
      <alignment vertical="center"/>
    </xf>
    <xf numFmtId="0" fontId="139" fillId="0" borderId="24" applyNumberFormat="0" applyFill="0" applyAlignment="0" applyProtection="0">
      <alignment vertical="center"/>
    </xf>
    <xf numFmtId="0" fontId="139" fillId="0" borderId="24" applyNumberFormat="0" applyFill="0" applyAlignment="0" applyProtection="0">
      <alignment vertical="center"/>
    </xf>
    <xf numFmtId="0" fontId="140" fillId="0" borderId="25" applyNumberFormat="0" applyFill="0" applyAlignment="0" applyProtection="0">
      <alignment vertical="center"/>
    </xf>
    <xf numFmtId="0" fontId="140" fillId="0" borderId="25" applyNumberFormat="0" applyFill="0" applyAlignment="0" applyProtection="0">
      <alignment vertical="center"/>
    </xf>
    <xf numFmtId="0" fontId="140" fillId="0" borderId="25" applyNumberFormat="0" applyFill="0" applyAlignment="0" applyProtection="0">
      <alignment vertical="center"/>
    </xf>
    <xf numFmtId="0" fontId="140" fillId="0" borderId="25" applyNumberFormat="0" applyFill="0" applyAlignment="0" applyProtection="0">
      <alignment vertical="center"/>
    </xf>
    <xf numFmtId="0" fontId="140" fillId="0" borderId="25" applyNumberFormat="0" applyFill="0" applyAlignment="0" applyProtection="0">
      <alignment vertical="center"/>
    </xf>
    <xf numFmtId="0" fontId="140" fillId="0" borderId="25" applyNumberFormat="0" applyFill="0" applyAlignment="0" applyProtection="0">
      <alignment vertical="center"/>
    </xf>
    <xf numFmtId="0" fontId="140" fillId="0" borderId="25" applyNumberFormat="0" applyFill="0" applyAlignment="0" applyProtection="0">
      <alignment vertical="center"/>
    </xf>
    <xf numFmtId="0" fontId="140" fillId="0" borderId="25" applyNumberFormat="0" applyFill="0" applyAlignment="0" applyProtection="0">
      <alignment vertical="center"/>
    </xf>
    <xf numFmtId="0" fontId="140" fillId="0" borderId="25" applyNumberFormat="0" applyFill="0" applyAlignment="0" applyProtection="0">
      <alignment vertical="center"/>
    </xf>
    <xf numFmtId="0" fontId="140" fillId="0" borderId="25" applyNumberFormat="0" applyFill="0" applyAlignment="0" applyProtection="0">
      <alignment vertical="center"/>
    </xf>
    <xf numFmtId="0" fontId="140" fillId="0" borderId="25" applyNumberFormat="0" applyFill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41" fillId="17" borderId="0" applyNumberFormat="0" applyBorder="0" applyAlignment="0" applyProtection="0">
      <alignment vertical="center"/>
    </xf>
    <xf numFmtId="0" fontId="141" fillId="17" borderId="0" applyNumberFormat="0" applyBorder="0" applyAlignment="0" applyProtection="0">
      <alignment vertical="center"/>
    </xf>
    <xf numFmtId="0" fontId="141" fillId="17" borderId="0" applyNumberFormat="0" applyBorder="0" applyAlignment="0" applyProtection="0">
      <alignment vertical="center"/>
    </xf>
    <xf numFmtId="0" fontId="25" fillId="0" borderId="0"/>
    <xf numFmtId="184" fontId="24" fillId="0" borderId="0" applyFill="0" applyBorder="0" applyAlignment="0" applyProtection="0"/>
    <xf numFmtId="189" fontId="24" fillId="0" borderId="0" applyFill="0" applyBorder="0" applyAlignment="0" applyProtection="0"/>
    <xf numFmtId="242" fontId="128" fillId="0" borderId="0" applyFont="0" applyFill="0" applyBorder="0" applyAlignment="0" applyProtection="0"/>
    <xf numFmtId="242" fontId="125" fillId="0" borderId="0" applyFont="0" applyFill="0" applyBorder="0" applyAlignment="0" applyProtection="0"/>
    <xf numFmtId="0" fontId="142" fillId="0" borderId="0" applyNumberFormat="0" applyFill="0" applyBorder="0" applyAlignment="0" applyProtection="0"/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43" fillId="33" borderId="30" applyNumberFormat="0" applyAlignment="0" applyProtection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4" fillId="0" borderId="0" applyFill="0" applyBorder="0" applyAlignment="0" applyProtection="0"/>
    <xf numFmtId="0" fontId="24" fillId="0" borderId="0" applyFill="0" applyBorder="0" applyAlignment="0" applyProtection="0"/>
    <xf numFmtId="180" fontId="24" fillId="0" borderId="0" applyFill="0" applyBorder="0" applyAlignment="0" applyProtection="0"/>
    <xf numFmtId="243" fontId="35" fillId="0" borderId="0" applyFont="0" applyFill="0" applyBorder="0" applyAlignment="0" applyProtection="0">
      <alignment vertical="center"/>
    </xf>
    <xf numFmtId="187" fontId="24" fillId="0" borderId="0" applyFill="0" applyBorder="0" applyAlignment="0" applyProtection="0"/>
    <xf numFmtId="10" fontId="116" fillId="0" borderId="0" applyFont="0" applyFill="0" applyBorder="0" applyAlignment="0" applyProtection="0"/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" fillId="0" borderId="0"/>
    <xf numFmtId="0" fontId="52" fillId="0" borderId="0"/>
    <xf numFmtId="0" fontId="12" fillId="0" borderId="0"/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" fillId="0" borderId="0"/>
    <xf numFmtId="0" fontId="52" fillId="0" borderId="0"/>
    <xf numFmtId="0" fontId="12" fillId="0" borderId="0"/>
    <xf numFmtId="0" fontId="120" fillId="0" borderId="0">
      <alignment vertical="center"/>
    </xf>
    <xf numFmtId="0" fontId="120" fillId="0" borderId="0">
      <alignment vertical="center"/>
    </xf>
    <xf numFmtId="0" fontId="12" fillId="0" borderId="0"/>
    <xf numFmtId="0" fontId="52" fillId="0" borderId="0"/>
    <xf numFmtId="0" fontId="12" fillId="0" borderId="0"/>
    <xf numFmtId="0" fontId="120" fillId="0" borderId="0">
      <alignment vertical="center"/>
    </xf>
    <xf numFmtId="0" fontId="120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244" fontId="144" fillId="0" borderId="0">
      <alignment vertical="center"/>
    </xf>
    <xf numFmtId="0" fontId="123" fillId="0" borderId="0">
      <alignment vertical="center"/>
    </xf>
    <xf numFmtId="0" fontId="52" fillId="0" borderId="0"/>
    <xf numFmtId="0" fontId="12" fillId="0" borderId="0"/>
    <xf numFmtId="0" fontId="121" fillId="0" borderId="0">
      <alignment vertical="center"/>
    </xf>
    <xf numFmtId="0" fontId="123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28" fillId="0" borderId="0"/>
    <xf numFmtId="0" fontId="125" fillId="0" borderId="0"/>
    <xf numFmtId="0" fontId="120" fillId="0" borderId="0">
      <alignment vertical="center"/>
    </xf>
    <xf numFmtId="0" fontId="120" fillId="0" borderId="0">
      <alignment vertical="center"/>
    </xf>
    <xf numFmtId="0" fontId="35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0" fillId="0" borderId="0">
      <alignment vertical="center"/>
    </xf>
    <xf numFmtId="0" fontId="121" fillId="0" borderId="0">
      <alignment vertical="center"/>
    </xf>
    <xf numFmtId="0" fontId="120" fillId="0" borderId="0">
      <alignment vertical="center"/>
    </xf>
    <xf numFmtId="0" fontId="122" fillId="0" borderId="0"/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3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3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3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" fillId="0" borderId="0"/>
    <xf numFmtId="0" fontId="120" fillId="0" borderId="0">
      <alignment vertical="center"/>
    </xf>
    <xf numFmtId="0" fontId="52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" fillId="0" borderId="0"/>
    <xf numFmtId="0" fontId="52" fillId="0" borderId="0">
      <alignment vertical="center"/>
    </xf>
    <xf numFmtId="0" fontId="12" fillId="0" borderId="0"/>
    <xf numFmtId="0" fontId="123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3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3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3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3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3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3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3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3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3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3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3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3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3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3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3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3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3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3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" fillId="0" borderId="0"/>
    <xf numFmtId="0" fontId="120" fillId="0" borderId="0">
      <alignment vertical="center"/>
    </xf>
    <xf numFmtId="0" fontId="133" fillId="0" borderId="0">
      <alignment vertical="center"/>
    </xf>
    <xf numFmtId="0" fontId="132" fillId="0" borderId="0">
      <alignment vertical="center"/>
    </xf>
    <xf numFmtId="0" fontId="12" fillId="0" borderId="0"/>
    <xf numFmtId="0" fontId="125" fillId="0" borderId="0"/>
    <xf numFmtId="0" fontId="125" fillId="0" borderId="0"/>
    <xf numFmtId="0" fontId="125" fillId="0" borderId="0"/>
    <xf numFmtId="0" fontId="12" fillId="0" borderId="0"/>
    <xf numFmtId="0" fontId="145" fillId="0" borderId="0"/>
    <xf numFmtId="0" fontId="116" fillId="0" borderId="38" applyNumberFormat="0" applyFont="0" applyFill="0" applyAlignment="0" applyProtection="0"/>
    <xf numFmtId="182" fontId="24" fillId="0" borderId="0" applyFill="0" applyBorder="0" applyAlignment="0" applyProtection="0"/>
    <xf numFmtId="183" fontId="24" fillId="0" borderId="0" applyFill="0" applyBorder="0" applyAlignment="0" applyProtection="0"/>
    <xf numFmtId="177" fontId="24" fillId="0" borderId="0" applyFill="0" applyBorder="0" applyAlignment="0" applyProtection="0"/>
    <xf numFmtId="238" fontId="24" fillId="0" borderId="0" applyFill="0" applyBorder="0" applyAlignment="0" applyProtection="0"/>
    <xf numFmtId="199" fontId="24" fillId="0" borderId="0" applyFill="0" applyBorder="0" applyAlignment="0" applyProtection="0"/>
    <xf numFmtId="245" fontId="116" fillId="0" borderId="0" applyFont="0" applyFill="0" applyBorder="0" applyAlignment="0" applyProtection="0"/>
    <xf numFmtId="246" fontId="116" fillId="0" borderId="0" applyFont="0" applyFill="0" applyBorder="0" applyAlignment="0" applyProtection="0"/>
  </cellStyleXfs>
  <cellXfs count="291">
    <xf numFmtId="0" fontId="0" fillId="0" borderId="0" xfId="0">
      <alignment vertical="center"/>
    </xf>
    <xf numFmtId="0" fontId="4" fillId="0" borderId="0" xfId="0" applyNumberFormat="1" applyFont="1">
      <alignment vertical="center"/>
    </xf>
    <xf numFmtId="41" fontId="0" fillId="0" borderId="0" xfId="1" applyFont="1" applyFill="1">
      <alignment vertical="center"/>
    </xf>
    <xf numFmtId="41" fontId="5" fillId="0" borderId="0" xfId="1" applyFont="1" applyFill="1">
      <alignment vertical="center"/>
    </xf>
    <xf numFmtId="41" fontId="0" fillId="0" borderId="0" xfId="1" applyFont="1">
      <alignment vertical="center"/>
    </xf>
    <xf numFmtId="41" fontId="5" fillId="0" borderId="0" xfId="1" applyFont="1">
      <alignment vertical="center"/>
    </xf>
    <xf numFmtId="41" fontId="6" fillId="2" borderId="0" xfId="1" applyFont="1" applyFill="1" applyBorder="1">
      <alignment vertical="center"/>
    </xf>
    <xf numFmtId="41" fontId="0" fillId="2" borderId="0" xfId="1" applyFont="1" applyFill="1" applyBorder="1">
      <alignment vertical="center"/>
    </xf>
    <xf numFmtId="41" fontId="0" fillId="2" borderId="0" xfId="1" applyFont="1" applyFill="1">
      <alignment vertical="center"/>
    </xf>
    <xf numFmtId="41" fontId="7" fillId="2" borderId="0" xfId="1" applyFont="1" applyFill="1" applyBorder="1">
      <alignment vertical="center"/>
    </xf>
    <xf numFmtId="41" fontId="8" fillId="3" borderId="0" xfId="1" applyFont="1" applyFill="1" applyAlignment="1">
      <alignment horizontal="center" vertical="center"/>
    </xf>
    <xf numFmtId="41" fontId="0" fillId="3" borderId="0" xfId="1" applyFont="1" applyFill="1">
      <alignment vertical="center"/>
    </xf>
    <xf numFmtId="41" fontId="5" fillId="0" borderId="0" xfId="1" quotePrefix="1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0" fillId="0" borderId="0" xfId="0" applyFill="1">
      <alignment vertical="center"/>
    </xf>
    <xf numFmtId="0" fontId="0" fillId="0" borderId="0" xfId="0" applyBorder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41" fontId="0" fillId="0" borderId="0" xfId="1" applyFont="1" applyBorder="1">
      <alignment vertical="center"/>
    </xf>
    <xf numFmtId="0" fontId="10" fillId="0" borderId="4" xfId="0" applyFont="1" applyBorder="1" applyAlignment="1">
      <alignment horizontal="centerContinuous" vertical="center"/>
    </xf>
    <xf numFmtId="0" fontId="10" fillId="0" borderId="0" xfId="0" applyFont="1" applyBorder="1" applyAlignment="1">
      <alignment horizontal="centerContinuous" vertical="center"/>
    </xf>
    <xf numFmtId="0" fontId="10" fillId="0" borderId="5" xfId="0" applyFont="1" applyBorder="1" applyAlignment="1">
      <alignment horizontal="centerContinuous" vertical="center"/>
    </xf>
    <xf numFmtId="41" fontId="11" fillId="5" borderId="6" xfId="1" applyFont="1" applyFill="1" applyBorder="1" applyAlignment="1">
      <alignment horizontal="centerContinuous" vertical="center"/>
    </xf>
    <xf numFmtId="41" fontId="10" fillId="5" borderId="7" xfId="1" applyFont="1" applyFill="1" applyBorder="1" applyAlignment="1">
      <alignment horizontal="centerContinuous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41" fontId="13" fillId="0" borderId="0" xfId="3" applyFont="1" applyFill="1" applyBorder="1" applyAlignment="1">
      <alignment horizontal="left" vertical="center"/>
    </xf>
    <xf numFmtId="0" fontId="13" fillId="0" borderId="0" xfId="4" applyFont="1" applyFill="1" applyBorder="1" applyAlignment="1">
      <alignment horizontal="centerContinuous" vertical="center"/>
    </xf>
    <xf numFmtId="176" fontId="10" fillId="7" borderId="9" xfId="3" applyNumberFormat="1" applyFont="1" applyFill="1" applyBorder="1" applyAlignment="1">
      <alignment horizontal="center" vertical="center"/>
    </xf>
    <xf numFmtId="41" fontId="13" fillId="0" borderId="0" xfId="3" applyFont="1" applyFill="1" applyBorder="1" applyAlignment="1">
      <alignment horizontal="centerContinuous" vertical="center"/>
    </xf>
    <xf numFmtId="41" fontId="9" fillId="7" borderId="6" xfId="3" applyFont="1" applyFill="1" applyBorder="1" applyAlignment="1">
      <alignment horizontal="centerContinuous" vertical="center"/>
    </xf>
    <xf numFmtId="41" fontId="9" fillId="7" borderId="7" xfId="3" applyFont="1" applyFill="1" applyBorder="1" applyAlignment="1">
      <alignment horizontal="centerContinuous" vertical="center"/>
    </xf>
    <xf numFmtId="41" fontId="9" fillId="7" borderId="8" xfId="3" applyFont="1" applyFill="1" applyBorder="1" applyAlignment="1">
      <alignment horizontal="centerContinuous" vertical="center"/>
    </xf>
    <xf numFmtId="0" fontId="0" fillId="0" borderId="5" xfId="0" applyBorder="1">
      <alignment vertical="center"/>
    </xf>
    <xf numFmtId="41" fontId="9" fillId="0" borderId="6" xfId="3" quotePrefix="1" applyFont="1" applyFill="1" applyBorder="1" applyAlignment="1">
      <alignment horizontal="centerContinuous" vertical="center"/>
    </xf>
    <xf numFmtId="41" fontId="9" fillId="0" borderId="7" xfId="3" applyFont="1" applyFill="1" applyBorder="1" applyAlignment="1">
      <alignment horizontal="centerContinuous" vertical="center"/>
    </xf>
    <xf numFmtId="41" fontId="9" fillId="0" borderId="8" xfId="3" applyFont="1" applyFill="1" applyBorder="1" applyAlignment="1">
      <alignment horizontal="centerContinuous" vertical="center"/>
    </xf>
    <xf numFmtId="176" fontId="10" fillId="0" borderId="9" xfId="3" applyNumberFormat="1" applyFont="1" applyFill="1" applyBorder="1" applyAlignment="1">
      <alignment horizontal="center" vertical="center"/>
    </xf>
    <xf numFmtId="41" fontId="0" fillId="0" borderId="0" xfId="1" applyFont="1" applyFill="1" applyBorder="1" applyAlignment="1">
      <alignment horizontal="center" vertical="center"/>
    </xf>
    <xf numFmtId="41" fontId="16" fillId="0" borderId="0" xfId="1" applyFont="1" applyFill="1" applyBorder="1">
      <alignment vertical="center"/>
    </xf>
    <xf numFmtId="41" fontId="0" fillId="0" borderId="0" xfId="1" applyFont="1" applyBorder="1" applyAlignment="1">
      <alignment horizontal="left" vertical="center"/>
    </xf>
    <xf numFmtId="41" fontId="9" fillId="0" borderId="6" xfId="3" applyFont="1" applyFill="1" applyBorder="1" applyAlignment="1">
      <alignment horizontal="centerContinuous" vertical="center"/>
    </xf>
    <xf numFmtId="41" fontId="10" fillId="0" borderId="7" xfId="3" applyFont="1" applyFill="1" applyBorder="1" applyAlignment="1">
      <alignment horizontal="centerContinuous" vertical="center"/>
    </xf>
    <xf numFmtId="41" fontId="9" fillId="0" borderId="9" xfId="1" applyFont="1" applyBorder="1">
      <alignment vertical="center"/>
    </xf>
    <xf numFmtId="0" fontId="13" fillId="0" borderId="0" xfId="4" applyFont="1" applyFill="1" applyBorder="1" applyAlignment="1">
      <alignment horizontal="left" vertical="center"/>
    </xf>
    <xf numFmtId="41" fontId="9" fillId="2" borderId="6" xfId="3" applyFont="1" applyFill="1" applyBorder="1" applyAlignment="1">
      <alignment horizontal="centerContinuous" vertical="center"/>
    </xf>
    <xf numFmtId="41" fontId="10" fillId="2" borderId="7" xfId="3" applyFont="1" applyFill="1" applyBorder="1" applyAlignment="1">
      <alignment horizontal="centerContinuous" vertical="center"/>
    </xf>
    <xf numFmtId="41" fontId="10" fillId="2" borderId="8" xfId="3" applyFont="1" applyFill="1" applyBorder="1" applyAlignment="1">
      <alignment horizontal="centerContinuous" vertical="center"/>
    </xf>
    <xf numFmtId="41" fontId="0" fillId="0" borderId="0" xfId="1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41" fontId="10" fillId="0" borderId="8" xfId="3" applyFont="1" applyFill="1" applyBorder="1" applyAlignment="1">
      <alignment horizontal="centerContinuous" vertical="center"/>
    </xf>
    <xf numFmtId="41" fontId="9" fillId="0" borderId="6" xfId="3" applyFont="1" applyFill="1" applyBorder="1" applyAlignment="1">
      <alignment horizontal="left" vertical="center"/>
    </xf>
    <xf numFmtId="0" fontId="10" fillId="3" borderId="11" xfId="0" quotePrefix="1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Continuous" vertical="center"/>
    </xf>
    <xf numFmtId="0" fontId="10" fillId="3" borderId="7" xfId="0" applyFont="1" applyFill="1" applyBorder="1" applyAlignment="1">
      <alignment horizontal="centerContinuous" vertical="center"/>
    </xf>
    <xf numFmtId="0" fontId="10" fillId="3" borderId="8" xfId="0" applyFont="1" applyFill="1" applyBorder="1" applyAlignment="1">
      <alignment horizontal="centerContinuous" vertical="center"/>
    </xf>
    <xf numFmtId="176" fontId="10" fillId="3" borderId="11" xfId="3" applyNumberFormat="1" applyFont="1" applyFill="1" applyBorder="1" applyAlignment="1">
      <alignment horizontal="center" vertical="center"/>
    </xf>
    <xf numFmtId="41" fontId="9" fillId="0" borderId="1" xfId="3" applyFont="1" applyFill="1" applyBorder="1" applyAlignment="1">
      <alignment horizontal="centerContinuous" vertical="center"/>
    </xf>
    <xf numFmtId="41" fontId="10" fillId="0" borderId="2" xfId="3" applyFont="1" applyFill="1" applyBorder="1" applyAlignment="1">
      <alignment horizontal="centerContinuous" vertical="center"/>
    </xf>
    <xf numFmtId="41" fontId="10" fillId="0" borderId="3" xfId="3" applyFont="1" applyFill="1" applyBorder="1" applyAlignment="1">
      <alignment horizontal="centerContinuous" vertical="center"/>
    </xf>
    <xf numFmtId="176" fontId="10" fillId="0" borderId="11" xfId="3" applyNumberFormat="1" applyFont="1" applyFill="1" applyBorder="1" applyAlignment="1">
      <alignment horizontal="center" vertical="center"/>
    </xf>
    <xf numFmtId="41" fontId="0" fillId="0" borderId="16" xfId="1" applyFont="1" applyBorder="1">
      <alignment vertical="center"/>
    </xf>
    <xf numFmtId="41" fontId="0" fillId="0" borderId="12" xfId="1" applyFont="1" applyBorder="1">
      <alignment vertical="center"/>
    </xf>
    <xf numFmtId="41" fontId="17" fillId="0" borderId="0" xfId="1" applyFont="1" applyFill="1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19" fillId="0" borderId="0" xfId="0" applyFont="1">
      <alignment vertical="center"/>
    </xf>
    <xf numFmtId="41" fontId="20" fillId="0" borderId="6" xfId="3" applyFont="1" applyFill="1" applyBorder="1" applyAlignment="1">
      <alignment horizontal="centerContinuous" vertical="center"/>
    </xf>
    <xf numFmtId="0" fontId="16" fillId="0" borderId="0" xfId="0" applyFont="1" applyBorder="1">
      <alignment vertical="center"/>
    </xf>
    <xf numFmtId="41" fontId="9" fillId="0" borderId="3" xfId="3" applyFont="1" applyFill="1" applyBorder="1" applyAlignment="1">
      <alignment horizontal="centerContinuous" vertical="center"/>
    </xf>
    <xf numFmtId="41" fontId="9" fillId="0" borderId="2" xfId="3" applyFont="1" applyFill="1" applyBorder="1" applyAlignment="1">
      <alignment horizontal="centerContinuous" vertical="center"/>
    </xf>
    <xf numFmtId="0" fontId="16" fillId="0" borderId="14" xfId="0" applyFont="1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Continuous" vertical="center"/>
    </xf>
    <xf numFmtId="41" fontId="15" fillId="5" borderId="6" xfId="1" applyFont="1" applyFill="1" applyBorder="1" applyAlignment="1">
      <alignment horizontal="centerContinuous" vertical="center"/>
    </xf>
    <xf numFmtId="41" fontId="0" fillId="5" borderId="8" xfId="1" applyFont="1" applyFill="1" applyBorder="1" applyAlignment="1">
      <alignment horizontal="centerContinuous" vertical="center"/>
    </xf>
    <xf numFmtId="41" fontId="0" fillId="0" borderId="9" xfId="1" applyFont="1" applyBorder="1">
      <alignment vertical="center"/>
    </xf>
    <xf numFmtId="41" fontId="9" fillId="6" borderId="6" xfId="3" quotePrefix="1" applyFont="1" applyFill="1" applyBorder="1" applyAlignment="1">
      <alignment horizontal="centerContinuous" vertical="center"/>
    </xf>
    <xf numFmtId="41" fontId="9" fillId="6" borderId="6" xfId="3" applyFont="1" applyFill="1" applyBorder="1" applyAlignment="1">
      <alignment horizontal="centerContinuous" vertical="center"/>
    </xf>
    <xf numFmtId="0" fontId="0" fillId="0" borderId="7" xfId="0" applyBorder="1">
      <alignment vertical="center"/>
    </xf>
    <xf numFmtId="0" fontId="2" fillId="0" borderId="0" xfId="0" applyFont="1">
      <alignment vertical="center"/>
    </xf>
    <xf numFmtId="0" fontId="10" fillId="0" borderId="0" xfId="0" applyFont="1" applyBorder="1">
      <alignment vertical="center"/>
    </xf>
    <xf numFmtId="0" fontId="21" fillId="0" borderId="0" xfId="0" applyFont="1" applyBorder="1">
      <alignment vertical="center"/>
    </xf>
    <xf numFmtId="41" fontId="9" fillId="0" borderId="1" xfId="3" quotePrefix="1" applyFont="1" applyFill="1" applyBorder="1" applyAlignment="1">
      <alignment horizontal="centerContinuous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22" fillId="0" borderId="0" xfId="0" applyFont="1" applyBorder="1">
      <alignment vertical="center"/>
    </xf>
    <xf numFmtId="41" fontId="10" fillId="13" borderId="8" xfId="3" applyFont="1" applyFill="1" applyBorder="1" applyAlignment="1">
      <alignment horizontal="centerContinuous" vertical="center"/>
    </xf>
    <xf numFmtId="0" fontId="0" fillId="0" borderId="3" xfId="0" applyBorder="1">
      <alignment vertical="center"/>
    </xf>
    <xf numFmtId="0" fontId="10" fillId="13" borderId="6" xfId="0" applyFont="1" applyFill="1" applyBorder="1" applyAlignment="1">
      <alignment horizontal="centerContinuous" vertical="center"/>
    </xf>
    <xf numFmtId="0" fontId="10" fillId="13" borderId="7" xfId="0" applyFont="1" applyFill="1" applyBorder="1" applyAlignment="1">
      <alignment horizontal="centerContinuous" vertical="center"/>
    </xf>
    <xf numFmtId="0" fontId="10" fillId="13" borderId="8" xfId="0" applyFont="1" applyFill="1" applyBorder="1" applyAlignment="1">
      <alignment horizontal="centerContinuous" vertical="center"/>
    </xf>
    <xf numFmtId="41" fontId="9" fillId="13" borderId="6" xfId="3" applyFont="1" applyFill="1" applyBorder="1" applyAlignment="1">
      <alignment horizontal="centerContinuous" vertical="center"/>
    </xf>
    <xf numFmtId="41" fontId="10" fillId="13" borderId="7" xfId="3" applyFont="1" applyFill="1" applyBorder="1" applyAlignment="1">
      <alignment horizontal="centerContinuous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3" borderId="11" xfId="0" quotePrefix="1" applyFont="1" applyFill="1" applyBorder="1" applyAlignment="1">
      <alignment horizontal="center" vertical="center"/>
    </xf>
    <xf numFmtId="41" fontId="146" fillId="6" borderId="6" xfId="1" applyFont="1" applyFill="1" applyBorder="1" applyAlignment="1">
      <alignment horizontal="centerContinuous" vertical="center"/>
    </xf>
    <xf numFmtId="41" fontId="146" fillId="6" borderId="7" xfId="1" applyFont="1" applyFill="1" applyBorder="1" applyAlignment="1">
      <alignment horizontal="centerContinuous" vertical="center"/>
    </xf>
    <xf numFmtId="41" fontId="146" fillId="6" borderId="8" xfId="1" applyFont="1" applyFill="1" applyBorder="1" applyAlignment="1">
      <alignment horizontal="centerContinuous" vertical="center"/>
    </xf>
    <xf numFmtId="10" fontId="9" fillId="0" borderId="1" xfId="3" applyNumberFormat="1" applyFont="1" applyFill="1" applyBorder="1" applyAlignment="1">
      <alignment horizontal="centerContinuous" vertical="center"/>
    </xf>
    <xf numFmtId="10" fontId="9" fillId="0" borderId="6" xfId="3" applyNumberFormat="1" applyFont="1" applyFill="1" applyBorder="1" applyAlignment="1">
      <alignment horizontal="centerContinuous" vertical="center"/>
    </xf>
    <xf numFmtId="0" fontId="10" fillId="3" borderId="9" xfId="0" applyFont="1" applyFill="1" applyBorder="1" applyAlignment="1">
      <alignment horizontal="centerContinuous" vertical="center"/>
    </xf>
    <xf numFmtId="41" fontId="9" fillId="2" borderId="1" xfId="3" applyFont="1" applyFill="1" applyBorder="1" applyAlignment="1">
      <alignment horizontal="centerContinuous" vertical="center"/>
    </xf>
    <xf numFmtId="41" fontId="10" fillId="2" borderId="2" xfId="3" applyFont="1" applyFill="1" applyBorder="1" applyAlignment="1">
      <alignment horizontal="centerContinuous" vertical="center"/>
    </xf>
    <xf numFmtId="41" fontId="10" fillId="2" borderId="3" xfId="3" applyFont="1" applyFill="1" applyBorder="1" applyAlignment="1">
      <alignment horizontal="centerContinuous" vertical="center"/>
    </xf>
    <xf numFmtId="41" fontId="147" fillId="0" borderId="1" xfId="3" applyFont="1" applyFill="1" applyBorder="1" applyAlignment="1">
      <alignment horizontal="centerContinuous" vertical="center"/>
    </xf>
    <xf numFmtId="41" fontId="147" fillId="0" borderId="2" xfId="3" applyFont="1" applyFill="1" applyBorder="1" applyAlignment="1">
      <alignment horizontal="centerContinuous" vertical="center"/>
    </xf>
    <xf numFmtId="41" fontId="147" fillId="0" borderId="3" xfId="3" applyFont="1" applyFill="1" applyBorder="1" applyAlignment="1">
      <alignment horizontal="centerContinuous" vertical="center"/>
    </xf>
    <xf numFmtId="41" fontId="147" fillId="0" borderId="6" xfId="3" applyFont="1" applyFill="1" applyBorder="1" applyAlignment="1">
      <alignment horizontal="centerContinuous" vertical="center"/>
    </xf>
    <xf numFmtId="41" fontId="147" fillId="0" borderId="7" xfId="3" applyFont="1" applyFill="1" applyBorder="1" applyAlignment="1">
      <alignment horizontal="centerContinuous" vertical="center"/>
    </xf>
    <xf numFmtId="41" fontId="147" fillId="0" borderId="8" xfId="3" applyFont="1" applyFill="1" applyBorder="1" applyAlignment="1">
      <alignment horizontal="centerContinuous" vertical="center"/>
    </xf>
    <xf numFmtId="248" fontId="9" fillId="0" borderId="1" xfId="3" applyNumberFormat="1" applyFont="1" applyFill="1" applyBorder="1" applyAlignment="1">
      <alignment horizontal="centerContinuous" vertical="center"/>
    </xf>
    <xf numFmtId="248" fontId="9" fillId="0" borderId="6" xfId="3" applyNumberFormat="1" applyFont="1" applyFill="1" applyBorder="1" applyAlignment="1">
      <alignment horizontal="centerContinuous" vertical="center"/>
    </xf>
    <xf numFmtId="0" fontId="0" fillId="0" borderId="39" xfId="0" applyBorder="1">
      <alignment vertical="center"/>
    </xf>
    <xf numFmtId="41" fontId="9" fillId="6" borderId="7" xfId="3" applyFont="1" applyFill="1" applyBorder="1" applyAlignment="1">
      <alignment horizontal="centerContinuous" vertical="center"/>
    </xf>
    <xf numFmtId="41" fontId="9" fillId="6" borderId="8" xfId="3" applyFont="1" applyFill="1" applyBorder="1" applyAlignment="1">
      <alignment horizontal="centerContinuous" vertical="center"/>
    </xf>
    <xf numFmtId="41" fontId="16" fillId="0" borderId="7" xfId="1" applyFont="1" applyFill="1" applyBorder="1">
      <alignment vertical="center"/>
    </xf>
    <xf numFmtId="0" fontId="18" fillId="0" borderId="6" xfId="0" applyFont="1" applyFill="1" applyBorder="1" applyAlignment="1">
      <alignment horizontal="centerContinuous" vertical="center"/>
    </xf>
    <xf numFmtId="41" fontId="9" fillId="0" borderId="7" xfId="3" quotePrefix="1" applyFont="1" applyFill="1" applyBorder="1" applyAlignment="1">
      <alignment horizontal="centerContinuous" vertical="center"/>
    </xf>
    <xf numFmtId="0" fontId="0" fillId="0" borderId="41" xfId="0" applyBorder="1">
      <alignment vertical="center"/>
    </xf>
    <xf numFmtId="0" fontId="148" fillId="0" borderId="0" xfId="0" applyFont="1">
      <alignment vertical="center"/>
    </xf>
    <xf numFmtId="0" fontId="10" fillId="10" borderId="6" xfId="0" applyFont="1" applyFill="1" applyBorder="1" applyAlignment="1">
      <alignment horizontal="centerContinuous" vertical="center"/>
    </xf>
    <xf numFmtId="0" fontId="10" fillId="10" borderId="7" xfId="0" applyFont="1" applyFill="1" applyBorder="1" applyAlignment="1">
      <alignment horizontal="centerContinuous" vertical="center"/>
    </xf>
    <xf numFmtId="0" fontId="10" fillId="10" borderId="8" xfId="0" applyFont="1" applyFill="1" applyBorder="1" applyAlignment="1">
      <alignment horizontal="centerContinuous" vertical="center"/>
    </xf>
    <xf numFmtId="41" fontId="11" fillId="5" borderId="1" xfId="1" applyFont="1" applyFill="1" applyBorder="1" applyAlignment="1">
      <alignment horizontal="centerContinuous" vertical="center"/>
    </xf>
    <xf numFmtId="41" fontId="10" fillId="5" borderId="2" xfId="1" applyFont="1" applyFill="1" applyBorder="1" applyAlignment="1">
      <alignment horizontal="centerContinuous" vertical="center"/>
    </xf>
    <xf numFmtId="0" fontId="10" fillId="0" borderId="39" xfId="0" applyFont="1" applyBorder="1" applyAlignment="1">
      <alignment horizontal="centerContinuous" vertical="center"/>
    </xf>
    <xf numFmtId="0" fontId="18" fillId="0" borderId="0" xfId="0" applyFont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41" fontId="0" fillId="5" borderId="10" xfId="1" applyFont="1" applyFill="1" applyBorder="1" applyAlignment="1">
      <alignment horizontal="centerContinuous" vertical="center"/>
    </xf>
    <xf numFmtId="41" fontId="15" fillId="5" borderId="40" xfId="1" applyFont="1" applyFill="1" applyBorder="1" applyAlignment="1">
      <alignment horizontal="centerContinuous" vertical="center"/>
    </xf>
    <xf numFmtId="41" fontId="15" fillId="9" borderId="42" xfId="1" applyFont="1" applyFill="1" applyBorder="1" applyAlignment="1">
      <alignment horizontal="centerContinuous" vertical="center"/>
    </xf>
    <xf numFmtId="41" fontId="0" fillId="9" borderId="43" xfId="1" applyFont="1" applyFill="1" applyBorder="1" applyAlignment="1">
      <alignment horizontal="centerContinuous" vertical="center"/>
    </xf>
    <xf numFmtId="41" fontId="0" fillId="9" borderId="44" xfId="1" applyFont="1" applyFill="1" applyBorder="1" applyAlignment="1">
      <alignment horizontal="centerContinuous" vertical="center"/>
    </xf>
    <xf numFmtId="41" fontId="16" fillId="0" borderId="14" xfId="1" applyFont="1" applyFill="1" applyBorder="1">
      <alignment vertical="center"/>
    </xf>
    <xf numFmtId="41" fontId="9" fillId="11" borderId="1" xfId="3" applyFont="1" applyFill="1" applyBorder="1" applyAlignment="1">
      <alignment horizontal="centerContinuous" vertical="center"/>
    </xf>
    <xf numFmtId="41" fontId="10" fillId="11" borderId="2" xfId="3" applyFont="1" applyFill="1" applyBorder="1" applyAlignment="1">
      <alignment horizontal="centerContinuous" vertical="center"/>
    </xf>
    <xf numFmtId="41" fontId="10" fillId="11" borderId="3" xfId="3" applyFont="1" applyFill="1" applyBorder="1" applyAlignment="1">
      <alignment horizontal="centerContinuous" vertical="center"/>
    </xf>
    <xf numFmtId="41" fontId="9" fillId="11" borderId="6" xfId="3" applyFont="1" applyFill="1" applyBorder="1" applyAlignment="1">
      <alignment horizontal="centerContinuous" vertical="center"/>
    </xf>
    <xf numFmtId="41" fontId="10" fillId="11" borderId="7" xfId="3" applyFont="1" applyFill="1" applyBorder="1" applyAlignment="1">
      <alignment horizontal="centerContinuous" vertical="center"/>
    </xf>
    <xf numFmtId="41" fontId="10" fillId="11" borderId="8" xfId="3" applyFont="1" applyFill="1" applyBorder="1" applyAlignment="1">
      <alignment horizontal="centerContinuous" vertical="center"/>
    </xf>
    <xf numFmtId="41" fontId="9" fillId="11" borderId="2" xfId="3" applyFont="1" applyFill="1" applyBorder="1" applyAlignment="1">
      <alignment horizontal="centerContinuous" vertical="center"/>
    </xf>
    <xf numFmtId="41" fontId="9" fillId="11" borderId="3" xfId="3" applyFont="1" applyFill="1" applyBorder="1" applyAlignment="1">
      <alignment horizontal="centerContinuous" vertical="center"/>
    </xf>
    <xf numFmtId="41" fontId="9" fillId="11" borderId="7" xfId="3" applyFont="1" applyFill="1" applyBorder="1" applyAlignment="1">
      <alignment horizontal="centerContinuous" vertical="center"/>
    </xf>
    <xf numFmtId="41" fontId="9" fillId="11" borderId="8" xfId="3" applyFont="1" applyFill="1" applyBorder="1" applyAlignment="1">
      <alignment horizontal="centerContinuous" vertical="center"/>
    </xf>
    <xf numFmtId="0" fontId="0" fillId="0" borderId="45" xfId="0" applyBorder="1">
      <alignment vertical="center"/>
    </xf>
    <xf numFmtId="41" fontId="150" fillId="5" borderId="6" xfId="1" applyFont="1" applyFill="1" applyBorder="1" applyAlignment="1">
      <alignment horizontal="centerContinuous" vertical="center"/>
    </xf>
    <xf numFmtId="41" fontId="150" fillId="5" borderId="7" xfId="1" applyFont="1" applyFill="1" applyBorder="1" applyAlignment="1">
      <alignment horizontal="centerContinuous" vertical="center"/>
    </xf>
    <xf numFmtId="41" fontId="150" fillId="5" borderId="8" xfId="1" applyFont="1" applyFill="1" applyBorder="1" applyAlignment="1">
      <alignment horizontal="centerContinuous" vertical="center"/>
    </xf>
    <xf numFmtId="41" fontId="151" fillId="2" borderId="0" xfId="1" applyFont="1" applyFill="1" applyAlignment="1">
      <alignment horizontal="center" vertical="center"/>
    </xf>
    <xf numFmtId="41" fontId="152" fillId="0" borderId="0" xfId="1" applyFont="1">
      <alignment vertical="center"/>
    </xf>
    <xf numFmtId="41" fontId="9" fillId="0" borderId="6" xfId="3" applyFont="1" applyFill="1" applyBorder="1" applyAlignment="1">
      <alignment horizontal="left" vertical="center"/>
    </xf>
    <xf numFmtId="0" fontId="0" fillId="0" borderId="6" xfId="0" applyBorder="1" applyAlignment="1">
      <alignment horizontal="centerContinuous" vertical="center"/>
    </xf>
    <xf numFmtId="0" fontId="0" fillId="0" borderId="8" xfId="0" applyBorder="1" applyAlignment="1">
      <alignment horizontal="centerContinuous" vertical="center"/>
    </xf>
    <xf numFmtId="0" fontId="0" fillId="0" borderId="0" xfId="0" quotePrefix="1" applyBorder="1">
      <alignment vertical="center"/>
    </xf>
    <xf numFmtId="0" fontId="153" fillId="0" borderId="0" xfId="0" applyFont="1" applyBorder="1">
      <alignment vertical="center"/>
    </xf>
    <xf numFmtId="0" fontId="149" fillId="0" borderId="0" xfId="0" applyFont="1" applyBorder="1">
      <alignment vertical="center"/>
    </xf>
    <xf numFmtId="41" fontId="149" fillId="13" borderId="6" xfId="3" applyFont="1" applyFill="1" applyBorder="1" applyAlignment="1">
      <alignment horizontal="centerContinuous" vertical="center"/>
    </xf>
    <xf numFmtId="41" fontId="8" fillId="13" borderId="8" xfId="3" applyFont="1" applyFill="1" applyBorder="1" applyAlignment="1">
      <alignment horizontal="centerContinuous" vertical="center"/>
    </xf>
    <xf numFmtId="0" fontId="19" fillId="0" borderId="0" xfId="0" applyFont="1" applyBorder="1">
      <alignment vertical="center"/>
    </xf>
    <xf numFmtId="0" fontId="0" fillId="0" borderId="0" xfId="0" applyAlignment="1">
      <alignment horizontal="center" vertical="center"/>
    </xf>
    <xf numFmtId="0" fontId="9" fillId="3" borderId="7" xfId="0" applyFont="1" applyFill="1" applyBorder="1" applyAlignment="1">
      <alignment horizontal="centerContinuous" vertical="center"/>
    </xf>
    <xf numFmtId="0" fontId="9" fillId="3" borderId="8" xfId="0" applyFont="1" applyFill="1" applyBorder="1" applyAlignment="1">
      <alignment horizontal="centerContinuous" vertical="center"/>
    </xf>
    <xf numFmtId="41" fontId="10" fillId="3" borderId="7" xfId="3" applyFont="1" applyFill="1" applyBorder="1" applyAlignment="1">
      <alignment horizontal="centerContinuous" vertical="center"/>
    </xf>
    <xf numFmtId="41" fontId="10" fillId="3" borderId="8" xfId="3" applyFont="1" applyFill="1" applyBorder="1" applyAlignment="1">
      <alignment horizontal="centerContinuous" vertical="center"/>
    </xf>
    <xf numFmtId="41" fontId="10" fillId="3" borderId="6" xfId="3" applyFont="1" applyFill="1" applyBorder="1" applyAlignment="1">
      <alignment horizontal="centerContinuous" vertical="center"/>
    </xf>
    <xf numFmtId="0" fontId="10" fillId="0" borderId="0" xfId="0" quotePrefix="1" applyFont="1" applyBorder="1">
      <alignment vertical="center"/>
    </xf>
    <xf numFmtId="0" fontId="154" fillId="0" borderId="0" xfId="0" applyFont="1">
      <alignment vertical="center"/>
    </xf>
    <xf numFmtId="41" fontId="0" fillId="0" borderId="0" xfId="1" quotePrefix="1" applyFont="1" applyBorder="1" applyAlignment="1">
      <alignment horizontal="left" vertical="center"/>
    </xf>
    <xf numFmtId="41" fontId="0" fillId="0" borderId="6" xfId="1" applyFont="1" applyBorder="1" applyAlignment="1">
      <alignment horizontal="centerContinuous" vertical="center"/>
    </xf>
    <xf numFmtId="41" fontId="0" fillId="0" borderId="7" xfId="1" applyFont="1" applyBorder="1" applyAlignment="1">
      <alignment horizontal="centerContinuous" vertical="center"/>
    </xf>
    <xf numFmtId="0" fontId="0" fillId="0" borderId="7" xfId="0" applyBorder="1" applyAlignment="1">
      <alignment horizontal="centerContinuous" vertical="center"/>
    </xf>
    <xf numFmtId="41" fontId="15" fillId="8" borderId="6" xfId="1" applyFont="1" applyFill="1" applyBorder="1" applyAlignment="1">
      <alignment horizontal="centerContinuous" vertical="center"/>
    </xf>
    <xf numFmtId="41" fontId="0" fillId="8" borderId="10" xfId="1" applyFont="1" applyFill="1" applyBorder="1" applyAlignment="1">
      <alignment horizontal="centerContinuous" vertical="center"/>
    </xf>
    <xf numFmtId="41" fontId="0" fillId="8" borderId="8" xfId="1" applyFont="1" applyFill="1" applyBorder="1" applyAlignment="1">
      <alignment horizontal="centerContinuous" vertical="center"/>
    </xf>
    <xf numFmtId="0" fontId="0" fillId="0" borderId="8" xfId="0" applyBorder="1">
      <alignment vertical="center"/>
    </xf>
    <xf numFmtId="41" fontId="0" fillId="0" borderId="6" xfId="1" applyFont="1" applyBorder="1">
      <alignment vertical="center"/>
    </xf>
    <xf numFmtId="0" fontId="0" fillId="0" borderId="0" xfId="0" applyFill="1" applyBorder="1">
      <alignment vertical="center"/>
    </xf>
    <xf numFmtId="0" fontId="0" fillId="6" borderId="1" xfId="0" applyFill="1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0" fontId="0" fillId="6" borderId="39" xfId="0" applyFill="1" applyBorder="1">
      <alignment vertical="center"/>
    </xf>
    <xf numFmtId="0" fontId="10" fillId="6" borderId="0" xfId="0" quotePrefix="1" applyFont="1" applyFill="1" applyBorder="1">
      <alignment vertical="center"/>
    </xf>
    <xf numFmtId="0" fontId="0" fillId="6" borderId="0" xfId="0" applyFill="1" applyBorder="1">
      <alignment vertical="center"/>
    </xf>
    <xf numFmtId="0" fontId="0" fillId="6" borderId="5" xfId="0" applyFill="1" applyBorder="1">
      <alignment vertical="center"/>
    </xf>
    <xf numFmtId="41" fontId="0" fillId="6" borderId="0" xfId="1" applyFont="1" applyFill="1" applyBorder="1" applyAlignment="1">
      <alignment horizontal="center" vertical="center"/>
    </xf>
    <xf numFmtId="41" fontId="0" fillId="6" borderId="0" xfId="1" applyFont="1" applyFill="1" applyBorder="1" applyAlignment="1">
      <alignment horizontal="left" vertical="center"/>
    </xf>
    <xf numFmtId="41" fontId="0" fillId="6" borderId="0" xfId="1" applyFont="1" applyFill="1" applyBorder="1">
      <alignment vertical="center"/>
    </xf>
    <xf numFmtId="0" fontId="0" fillId="6" borderId="0" xfId="0" quotePrefix="1" applyFill="1" applyBorder="1">
      <alignment vertical="center"/>
    </xf>
    <xf numFmtId="41" fontId="16" fillId="6" borderId="0" xfId="1" applyFont="1" applyFill="1" applyBorder="1">
      <alignment vertical="center"/>
    </xf>
    <xf numFmtId="0" fontId="0" fillId="6" borderId="13" xfId="0" applyFill="1" applyBorder="1">
      <alignment vertical="center"/>
    </xf>
    <xf numFmtId="0" fontId="0" fillId="6" borderId="14" xfId="0" applyFill="1" applyBorder="1">
      <alignment vertical="center"/>
    </xf>
    <xf numFmtId="0" fontId="0" fillId="6" borderId="15" xfId="0" applyFill="1" applyBorder="1">
      <alignment vertical="center"/>
    </xf>
    <xf numFmtId="41" fontId="0" fillId="0" borderId="9" xfId="1" applyFont="1" applyFill="1" applyBorder="1">
      <alignment vertical="center"/>
    </xf>
    <xf numFmtId="41" fontId="0" fillId="0" borderId="16" xfId="1" applyFont="1" applyFill="1" applyBorder="1">
      <alignment vertical="center"/>
    </xf>
    <xf numFmtId="41" fontId="9" fillId="0" borderId="9" xfId="1" applyFont="1" applyFill="1" applyBorder="1">
      <alignment vertical="center"/>
    </xf>
    <xf numFmtId="41" fontId="0" fillId="0" borderId="0" xfId="1" applyFont="1" applyAlignment="1">
      <alignment horizontal="left" vertical="center"/>
    </xf>
    <xf numFmtId="0" fontId="0" fillId="0" borderId="39" xfId="0" applyFill="1" applyBorder="1">
      <alignment vertical="center"/>
    </xf>
    <xf numFmtId="0" fontId="0" fillId="6" borderId="0" xfId="0" applyFill="1">
      <alignment vertical="center"/>
    </xf>
    <xf numFmtId="0" fontId="155" fillId="0" borderId="0" xfId="0" applyFont="1">
      <alignment vertical="center"/>
    </xf>
    <xf numFmtId="41" fontId="1" fillId="0" borderId="0" xfId="1" applyFont="1" applyAlignment="1">
      <alignment horizontal="center" vertical="center"/>
    </xf>
    <xf numFmtId="0" fontId="156" fillId="0" borderId="0" xfId="0" applyFont="1" applyAlignment="1">
      <alignment horizontal="center" vertical="center"/>
    </xf>
    <xf numFmtId="41" fontId="10" fillId="0" borderId="0" xfId="1" applyFont="1" applyAlignment="1">
      <alignment horizontal="center" vertical="center"/>
    </xf>
    <xf numFmtId="250" fontId="1" fillId="0" borderId="0" xfId="1" applyNumberFormat="1" applyFont="1" applyAlignment="1">
      <alignment horizontal="center" vertical="center"/>
    </xf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0" fillId="0" borderId="49" xfId="0" applyBorder="1">
      <alignment vertical="center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54" xfId="0" applyBorder="1">
      <alignment vertical="center"/>
    </xf>
    <xf numFmtId="0" fontId="0" fillId="0" borderId="55" xfId="0" applyBorder="1">
      <alignment vertical="center"/>
    </xf>
    <xf numFmtId="0" fontId="0" fillId="0" borderId="56" xfId="0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>
      <alignment vertical="center"/>
    </xf>
    <xf numFmtId="0" fontId="156" fillId="0" borderId="58" xfId="0" applyFont="1" applyBorder="1" applyAlignment="1">
      <alignment horizontal="center" vertical="center"/>
    </xf>
    <xf numFmtId="250" fontId="1" fillId="0" borderId="58" xfId="1" applyNumberFormat="1" applyFont="1" applyBorder="1" applyAlignment="1">
      <alignment horizontal="center" vertical="center"/>
    </xf>
    <xf numFmtId="41" fontId="1" fillId="0" borderId="58" xfId="1" applyFont="1" applyBorder="1" applyAlignment="1">
      <alignment horizontal="center" vertical="center"/>
    </xf>
    <xf numFmtId="41" fontId="10" fillId="0" borderId="58" xfId="1" applyFont="1" applyBorder="1" applyAlignment="1">
      <alignment horizontal="center" vertical="center"/>
    </xf>
    <xf numFmtId="0" fontId="156" fillId="0" borderId="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41" fontId="23" fillId="0" borderId="0" xfId="1" applyFont="1">
      <alignment vertical="center"/>
    </xf>
    <xf numFmtId="0" fontId="157" fillId="0" borderId="0" xfId="0" applyFont="1">
      <alignment vertical="center"/>
    </xf>
    <xf numFmtId="41" fontId="22" fillId="0" borderId="0" xfId="1" applyFont="1" applyFill="1" applyBorder="1">
      <alignment vertical="center"/>
    </xf>
    <xf numFmtId="0" fontId="11" fillId="5" borderId="51" xfId="0" applyFont="1" applyFill="1" applyBorder="1" applyAlignment="1">
      <alignment horizontal="center" vertical="center"/>
    </xf>
    <xf numFmtId="0" fontId="11" fillId="5" borderId="52" xfId="0" applyFont="1" applyFill="1" applyBorder="1" applyAlignment="1">
      <alignment horizontal="center" vertical="center"/>
    </xf>
    <xf numFmtId="0" fontId="11" fillId="5" borderId="53" xfId="0" applyFont="1" applyFill="1" applyBorder="1" applyAlignment="1">
      <alignment horizontal="center" vertical="center"/>
    </xf>
    <xf numFmtId="41" fontId="10" fillId="0" borderId="0" xfId="1" applyFont="1" applyBorder="1" applyAlignment="1">
      <alignment horizontal="center" vertical="center"/>
    </xf>
    <xf numFmtId="0" fontId="156" fillId="0" borderId="0" xfId="0" applyFont="1" applyBorder="1" applyAlignment="1">
      <alignment horizontal="center" vertical="center"/>
    </xf>
    <xf numFmtId="251" fontId="1" fillId="0" borderId="0" xfId="1" applyNumberFormat="1" applyFont="1" applyBorder="1" applyAlignment="1">
      <alignment horizontal="center" vertical="center"/>
    </xf>
    <xf numFmtId="251" fontId="10" fillId="0" borderId="0" xfId="1" applyNumberFormat="1" applyFont="1" applyBorder="1" applyAlignment="1">
      <alignment horizontal="center" vertical="center"/>
    </xf>
    <xf numFmtId="249" fontId="0" fillId="0" borderId="0" xfId="2" applyNumberFormat="1" applyFont="1" applyBorder="1">
      <alignment vertical="center"/>
    </xf>
    <xf numFmtId="250" fontId="1" fillId="0" borderId="0" xfId="1" applyNumberFormat="1" applyFont="1" applyBorder="1" applyAlignment="1">
      <alignment horizontal="center" vertical="center"/>
    </xf>
    <xf numFmtId="41" fontId="1" fillId="0" borderId="0" xfId="1" applyFont="1" applyBorder="1" applyAlignment="1">
      <alignment horizontal="center" vertical="center"/>
    </xf>
    <xf numFmtId="0" fontId="15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12" borderId="65" xfId="0" applyFill="1" applyBorder="1" applyAlignment="1">
      <alignment horizontal="center" vertical="center" wrapText="1"/>
    </xf>
    <xf numFmtId="0" fontId="0" fillId="12" borderId="66" xfId="0" applyFill="1" applyBorder="1" applyAlignment="1">
      <alignment horizontal="center" vertical="center" wrapText="1"/>
    </xf>
    <xf numFmtId="0" fontId="0" fillId="12" borderId="67" xfId="0" applyFill="1" applyBorder="1" applyAlignment="1">
      <alignment horizontal="center" vertical="center" wrapText="1"/>
    </xf>
    <xf numFmtId="0" fontId="0" fillId="12" borderId="68" xfId="0" applyFill="1" applyBorder="1" applyAlignment="1">
      <alignment horizontal="center" vertical="center" wrapText="1"/>
    </xf>
    <xf numFmtId="0" fontId="0" fillId="12" borderId="0" xfId="0" applyFill="1" applyBorder="1" applyAlignment="1">
      <alignment horizontal="center" vertical="center" wrapText="1"/>
    </xf>
    <xf numFmtId="0" fontId="0" fillId="12" borderId="69" xfId="0" applyFill="1" applyBorder="1" applyAlignment="1">
      <alignment horizontal="center" vertical="center" wrapText="1"/>
    </xf>
    <xf numFmtId="0" fontId="0" fillId="12" borderId="70" xfId="0" applyFill="1" applyBorder="1" applyAlignment="1">
      <alignment horizontal="center" vertical="center" wrapText="1"/>
    </xf>
    <xf numFmtId="0" fontId="0" fillId="12" borderId="71" xfId="0" applyFill="1" applyBorder="1" applyAlignment="1">
      <alignment horizontal="center" vertical="center" wrapText="1"/>
    </xf>
    <xf numFmtId="0" fontId="0" fillId="12" borderId="72" xfId="0" applyFill="1" applyBorder="1" applyAlignment="1">
      <alignment horizontal="center" vertical="center" wrapText="1"/>
    </xf>
    <xf numFmtId="0" fontId="10" fillId="4" borderId="62" xfId="0" applyFont="1" applyFill="1" applyBorder="1" applyAlignment="1">
      <alignment horizontal="center" vertical="center"/>
    </xf>
    <xf numFmtId="0" fontId="10" fillId="4" borderId="63" xfId="0" applyFont="1" applyFill="1" applyBorder="1" applyAlignment="1">
      <alignment horizontal="center" vertical="center"/>
    </xf>
    <xf numFmtId="0" fontId="10" fillId="4" borderId="64" xfId="0" applyFont="1" applyFill="1" applyBorder="1" applyAlignment="1">
      <alignment horizontal="center" vertical="center"/>
    </xf>
    <xf numFmtId="41" fontId="10" fillId="0" borderId="0" xfId="1" applyFont="1" applyAlignment="1">
      <alignment horizontal="center" vertical="center"/>
    </xf>
    <xf numFmtId="41" fontId="1" fillId="0" borderId="0" xfId="1" applyFont="1" applyAlignment="1">
      <alignment horizontal="center" vertical="center"/>
    </xf>
    <xf numFmtId="41" fontId="9" fillId="0" borderId="6" xfId="3" applyFont="1" applyFill="1" applyBorder="1" applyAlignment="1">
      <alignment horizontal="center" vertical="center"/>
    </xf>
    <xf numFmtId="41" fontId="9" fillId="0" borderId="7" xfId="3" applyFont="1" applyFill="1" applyBorder="1" applyAlignment="1">
      <alignment horizontal="center" vertical="center"/>
    </xf>
    <xf numFmtId="41" fontId="9" fillId="0" borderId="8" xfId="3" applyFont="1" applyFill="1" applyBorder="1" applyAlignment="1">
      <alignment horizontal="center" vertical="center"/>
    </xf>
    <xf numFmtId="0" fontId="10" fillId="3" borderId="11" xfId="0" quotePrefix="1" applyFont="1" applyFill="1" applyBorder="1" applyAlignment="1">
      <alignment horizontal="center" vertical="center"/>
    </xf>
    <xf numFmtId="0" fontId="10" fillId="3" borderId="12" xfId="0" quotePrefix="1" applyFont="1" applyFill="1" applyBorder="1" applyAlignment="1">
      <alignment horizontal="center" vertical="center"/>
    </xf>
    <xf numFmtId="41" fontId="9" fillId="0" borderId="6" xfId="3" applyFont="1" applyFill="1" applyBorder="1" applyAlignment="1">
      <alignment horizontal="right" vertical="center"/>
    </xf>
    <xf numFmtId="41" fontId="9" fillId="0" borderId="7" xfId="3" applyFont="1" applyFill="1" applyBorder="1" applyAlignment="1">
      <alignment horizontal="right" vertical="center"/>
    </xf>
    <xf numFmtId="249" fontId="9" fillId="0" borderId="6" xfId="3" applyNumberFormat="1" applyFont="1" applyFill="1" applyBorder="1" applyAlignment="1">
      <alignment horizontal="right" vertical="center"/>
    </xf>
    <xf numFmtId="249" fontId="9" fillId="0" borderId="7" xfId="3" applyNumberFormat="1" applyFont="1" applyFill="1" applyBorder="1" applyAlignment="1">
      <alignment horizontal="right" vertical="center"/>
    </xf>
    <xf numFmtId="41" fontId="9" fillId="2" borderId="6" xfId="3" applyFont="1" applyFill="1" applyBorder="1" applyAlignment="1">
      <alignment horizontal="center" vertical="center"/>
    </xf>
    <xf numFmtId="41" fontId="9" fillId="2" borderId="7" xfId="3" applyFont="1" applyFill="1" applyBorder="1" applyAlignment="1">
      <alignment horizontal="center" vertical="center"/>
    </xf>
    <xf numFmtId="41" fontId="9" fillId="2" borderId="8" xfId="3" applyFont="1" applyFill="1" applyBorder="1" applyAlignment="1">
      <alignment horizontal="center" vertical="center"/>
    </xf>
    <xf numFmtId="247" fontId="9" fillId="0" borderId="6" xfId="3" applyNumberFormat="1" applyFont="1" applyFill="1" applyBorder="1" applyAlignment="1">
      <alignment horizontal="right" vertical="center"/>
    </xf>
    <xf numFmtId="247" fontId="9" fillId="0" borderId="7" xfId="3" applyNumberFormat="1" applyFont="1" applyFill="1" applyBorder="1" applyAlignment="1">
      <alignment horizontal="right" vertical="center"/>
    </xf>
    <xf numFmtId="247" fontId="9" fillId="0" borderId="8" xfId="3" applyNumberFormat="1" applyFont="1" applyFill="1" applyBorder="1" applyAlignment="1">
      <alignment horizontal="right" vertical="center"/>
    </xf>
    <xf numFmtId="41" fontId="9" fillId="6" borderId="6" xfId="3" applyFont="1" applyFill="1" applyBorder="1" applyAlignment="1">
      <alignment horizontal="center" vertical="center"/>
    </xf>
    <xf numFmtId="41" fontId="9" fillId="6" borderId="7" xfId="3" applyFont="1" applyFill="1" applyBorder="1" applyAlignment="1">
      <alignment horizontal="center" vertical="center"/>
    </xf>
    <xf numFmtId="41" fontId="9" fillId="6" borderId="8" xfId="3" applyFont="1" applyFill="1" applyBorder="1" applyAlignment="1">
      <alignment horizontal="center" vertical="center"/>
    </xf>
    <xf numFmtId="41" fontId="9" fillId="0" borderId="6" xfId="3" applyFont="1" applyFill="1" applyBorder="1" applyAlignment="1">
      <alignment horizontal="left" vertical="center"/>
    </xf>
    <xf numFmtId="41" fontId="9" fillId="0" borderId="7" xfId="3" applyFont="1" applyFill="1" applyBorder="1" applyAlignment="1">
      <alignment horizontal="left" vertical="center"/>
    </xf>
    <xf numFmtId="41" fontId="9" fillId="0" borderId="8" xfId="3" applyFont="1" applyFill="1" applyBorder="1" applyAlignment="1">
      <alignment horizontal="left" vertical="center"/>
    </xf>
    <xf numFmtId="41" fontId="9" fillId="13" borderId="6" xfId="3" applyFont="1" applyFill="1" applyBorder="1" applyAlignment="1">
      <alignment horizontal="center" vertical="center"/>
    </xf>
    <xf numFmtId="41" fontId="9" fillId="13" borderId="7" xfId="3" applyFont="1" applyFill="1" applyBorder="1" applyAlignment="1">
      <alignment horizontal="center" vertical="center"/>
    </xf>
    <xf numFmtId="41" fontId="9" fillId="13" borderId="8" xfId="3" applyFont="1" applyFill="1" applyBorder="1" applyAlignment="1">
      <alignment horizontal="center" vertical="center"/>
    </xf>
    <xf numFmtId="248" fontId="9" fillId="0" borderId="6" xfId="3" applyNumberFormat="1" applyFont="1" applyFill="1" applyBorder="1" applyAlignment="1">
      <alignment horizontal="right" vertical="center"/>
    </xf>
    <xf numFmtId="248" fontId="9" fillId="0" borderId="7" xfId="3" applyNumberFormat="1" applyFont="1" applyFill="1" applyBorder="1" applyAlignment="1">
      <alignment horizontal="right" vertical="center"/>
    </xf>
    <xf numFmtId="248" fontId="9" fillId="0" borderId="8" xfId="3" applyNumberFormat="1" applyFont="1" applyFill="1" applyBorder="1" applyAlignment="1">
      <alignment horizontal="right" vertical="center"/>
    </xf>
    <xf numFmtId="10" fontId="9" fillId="2" borderId="6" xfId="3" applyNumberFormat="1" applyFont="1" applyFill="1" applyBorder="1" applyAlignment="1">
      <alignment horizontal="right" vertical="center"/>
    </xf>
    <xf numFmtId="10" fontId="9" fillId="2" borderId="7" xfId="3" applyNumberFormat="1" applyFont="1" applyFill="1" applyBorder="1" applyAlignment="1">
      <alignment horizontal="right" vertical="center"/>
    </xf>
    <xf numFmtId="10" fontId="9" fillId="2" borderId="8" xfId="3" applyNumberFormat="1" applyFont="1" applyFill="1" applyBorder="1" applyAlignment="1">
      <alignment horizontal="right" vertical="center"/>
    </xf>
  </cellXfs>
  <cellStyles count="2888">
    <cellStyle name="_x0001_" xfId="5"/>
    <cellStyle name=" 1" xfId="6"/>
    <cellStyle name="." xfId="7"/>
    <cellStyle name="._PIT092008" xfId="8"/>
    <cellStyle name="??" xfId="9"/>
    <cellStyle name="?? [0.00]_List-dwg" xfId="10"/>
    <cellStyle name="?? [0]" xfId="11"/>
    <cellStyle name="??&amp;O?&amp;H?_x0008__x000f__x0007_?_x0007__x0001__x0001_" xfId="12"/>
    <cellStyle name="???? [0.00]_List-dwg" xfId="13"/>
    <cellStyle name="????_List-dwg" xfId="14"/>
    <cellStyle name="???[0]_Book1" xfId="15"/>
    <cellStyle name="???_???" xfId="16"/>
    <cellStyle name="?_x0010__x0001_??Pr" xfId="17"/>
    <cellStyle name="?_x0010__x0001_??Pr 1" xfId="18"/>
    <cellStyle name="?_x0010__x0001_??Pr_Book1" xfId="19"/>
    <cellStyle name="??_ ??? ???? " xfId="20"/>
    <cellStyle name="??9JS—_x0008_??????????????????H_x0001_????&lt;i·0??????????_x0007_?_x0010__x0001_??Thongso??9JS—_x0008_??????????????????‚_x0001_?" xfId="21"/>
    <cellStyle name="??9JS—_x0008_??????????????????H_x0001_????&lt;i·0??????????_x0007_?_x0010__x0001_??Thongso??9JS—_x0008_??????????????????‚_x0001_? 1" xfId="22"/>
    <cellStyle name="??9JS—_x0008_??????????????????H_x0001_????&lt;i·0??????????_x0007_?_x0010__x0001_??Thongso??9JS—_x0008_??????????????????‚_x0001_?_Book1" xfId="23"/>
    <cellStyle name="_x0001_??Thanh_phan?9š" xfId="24"/>
    <cellStyle name="?Sums?9^R—_x0008_????????????????????N_x0004__x0002__x0003_1?_x0014_" xfId="25"/>
    <cellStyle name="?Sums?9^R—_x0008_????????????????????N_x0004__x0002__x0003_1?_x0014_ 1" xfId="26"/>
    <cellStyle name="?Sums?9^R—_x0008_????????????????????N_x0004__x0002__x0003_1?_x0014__Book1" xfId="27"/>
    <cellStyle name="_03TBH MOI" xfId="28"/>
    <cellStyle name="_03TBH MOI_PIT092008" xfId="29"/>
    <cellStyle name="_A5-v4-client's comment" xfId="30"/>
    <cellStyle name="_A5-v4-client's comment_PIT092008" xfId="31"/>
    <cellStyle name="_Ac 2160 - BO" xfId="32"/>
    <cellStyle name="_Ac 2160 - BO_PIT092008" xfId="33"/>
    <cellStyle name="_BC 10-7-2006" xfId="34"/>
    <cellStyle name="_BC 10-7-2006_PIT092008" xfId="35"/>
    <cellStyle name="_Book1" xfId="36"/>
    <cellStyle name="_Book1_03TBH MOI" xfId="37"/>
    <cellStyle name="_Book1_1" xfId="38"/>
    <cellStyle name="_Book1_1_PIT092008" xfId="39"/>
    <cellStyle name="_Book1_1_SAY FASHION" xfId="40"/>
    <cellStyle name="_Book1_1_SAY FASHION_PIT092008" xfId="41"/>
    <cellStyle name="_Book1_2" xfId="42"/>
    <cellStyle name="_Book1_2_PIT092008" xfId="43"/>
    <cellStyle name="_Book1_Book1" xfId="44"/>
    <cellStyle name="_Book1_Book1_PIT092008" xfId="45"/>
    <cellStyle name="_Book1_dS" xfId="46"/>
    <cellStyle name="_Book1_dS_PIT092008" xfId="47"/>
    <cellStyle name="_Book1_F4_5_6__Bao_cao_tai_NPP BICH TIEN" xfId="48"/>
    <cellStyle name="_Book1_Mau -bao_cao_XNT_NVTK_tai_NPP 19.7" xfId="49"/>
    <cellStyle name="_Book1_Mau_bao_cao_XNT_NVTK_tai_NPP 21.7" xfId="50"/>
    <cellStyle name="_Book1_PIT092008" xfId="51"/>
    <cellStyle name="_Book1_SAY FASHION" xfId="52"/>
    <cellStyle name="_Book1_SAY FASHION_PIT092008" xfId="53"/>
    <cellStyle name="_Castrol - Sales &amp; AR - NTHH" xfId="54"/>
    <cellStyle name="_Castrol - Sales &amp; AR - NTHH_PIT092008" xfId="55"/>
    <cellStyle name="_Castrol - Stock WPs - NTHH" xfId="56"/>
    <cellStyle name="_Castrol - Stock WPs - NTHH_PIT092008" xfId="57"/>
    <cellStyle name="_Copy of Mau_bao_cao_XNT_NVTK_tai_NPP" xfId="58"/>
    <cellStyle name="_doiPK_DC" xfId="59"/>
    <cellStyle name="_doiPK_DC_PIT092008" xfId="60"/>
    <cellStyle name="_ĐƠN ĐẶT HÀNG VNM" xfId="61"/>
    <cellStyle name="_EXPENSES-1206" xfId="62"/>
    <cellStyle name="_EXPENSES-1206_PIT092008" xfId="63"/>
    <cellStyle name="_F4_5_6__Bao_cao_tai_NPP BICH TIEN" xfId="64"/>
    <cellStyle name="_form__moi__bao_cao_ngay_NEW_AGAIN" xfId="65"/>
    <cellStyle name="_HAN SU DUNG" xfId="66"/>
    <cellStyle name="_HU2_BenCat" xfId="67"/>
    <cellStyle name="_HU2_BenCat_PIT092008" xfId="68"/>
    <cellStyle name="_icp 7-07" xfId="69"/>
    <cellStyle name="_icp 7-07_PIT092008" xfId="70"/>
    <cellStyle name="_KD - Stock WPs - NTHH" xfId="71"/>
    <cellStyle name="_KD - Stock WPs - NTHH_PIT092008" xfId="72"/>
    <cellStyle name="_KT (2)" xfId="73"/>
    <cellStyle name="_KT (2)_1" xfId="74"/>
    <cellStyle name="_KT (2)_1_PIT092008" xfId="75"/>
    <cellStyle name="_KT (2)_2" xfId="76"/>
    <cellStyle name="_KT (2)_2_PIT092008" xfId="77"/>
    <cellStyle name="_KT (2)_2_TG-TH" xfId="78"/>
    <cellStyle name="_KT (2)_2_TG-TH_Book1" xfId="79"/>
    <cellStyle name="_KT (2)_2_TG-TH_Book1_PIT092008" xfId="80"/>
    <cellStyle name="_KT (2)_2_TG-TH_PIT092008" xfId="81"/>
    <cellStyle name="_KT (2)_3" xfId="82"/>
    <cellStyle name="_KT (2)_3_PIT092008" xfId="83"/>
    <cellStyle name="_KT (2)_3_TG-TH" xfId="84"/>
    <cellStyle name="_KT (2)_3_TG-TH_Book1" xfId="85"/>
    <cellStyle name="_KT (2)_3_TG-TH_Book1_PIT092008" xfId="86"/>
    <cellStyle name="_KT (2)_3_TG-TH_PIT092008" xfId="87"/>
    <cellStyle name="_KT (2)_4" xfId="88"/>
    <cellStyle name="_KT (2)_4_Book1" xfId="89"/>
    <cellStyle name="_KT (2)_4_Book1_PIT092008" xfId="90"/>
    <cellStyle name="_KT (2)_4_PIT092008" xfId="91"/>
    <cellStyle name="_KT (2)_4_TG-TH" xfId="92"/>
    <cellStyle name="_KT (2)_4_TG-TH_PIT092008" xfId="93"/>
    <cellStyle name="_KT (2)_5" xfId="94"/>
    <cellStyle name="_KT (2)_5_Book1" xfId="95"/>
    <cellStyle name="_KT (2)_5_Book1_PIT092008" xfId="96"/>
    <cellStyle name="_KT (2)_5_PIT092008" xfId="97"/>
    <cellStyle name="_KT (2)_Book1" xfId="98"/>
    <cellStyle name="_KT (2)_Book1_PIT092008" xfId="99"/>
    <cellStyle name="_KT (2)_PIT092008" xfId="100"/>
    <cellStyle name="_KT (2)_TG-TH" xfId="101"/>
    <cellStyle name="_KT (2)_TG-TH_PIT092008" xfId="102"/>
    <cellStyle name="_KT_TG" xfId="103"/>
    <cellStyle name="_KT_TG_1" xfId="104"/>
    <cellStyle name="_KT_TG_1_Book1" xfId="105"/>
    <cellStyle name="_KT_TG_1_Book1_PIT092008" xfId="106"/>
    <cellStyle name="_KT_TG_1_PIT092008" xfId="107"/>
    <cellStyle name="_KT_TG_2" xfId="108"/>
    <cellStyle name="_KT_TG_2_Book1" xfId="109"/>
    <cellStyle name="_KT_TG_2_Book1_PIT092008" xfId="110"/>
    <cellStyle name="_KT_TG_2_PIT092008" xfId="111"/>
    <cellStyle name="_KT_TG_3" xfId="112"/>
    <cellStyle name="_KT_TG_3_PIT092008" xfId="113"/>
    <cellStyle name="_KT_TG_4" xfId="114"/>
    <cellStyle name="_KT_TG_4_PIT092008" xfId="115"/>
    <cellStyle name="_KT_TG_PIT092008" xfId="116"/>
    <cellStyle name="_Mau -bao_cao_XNT_NVTK_tai_NPP 19.7" xfId="117"/>
    <cellStyle name="_Mau_bao_cao_XNT_NVTK_tai_NPP 21.7" xfId="118"/>
    <cellStyle name="_Mau_bao_cao_XNT_NVTK_tai_NPP 3.7" xfId="119"/>
    <cellStyle name="_Mau_bao_cao_XNT_NVTK_tai_NPP 3.7_1" xfId="120"/>
    <cellStyle name="_PepsiCo_BD_ 2008.06 Mau 02a (1)" xfId="121"/>
    <cellStyle name="_PepsiCo_BD_ 2008.06 Mau 02a (1)_PIT092008" xfId="122"/>
    <cellStyle name="_x0001__PIT092008" xfId="123"/>
    <cellStyle name="_Purchasing 2006 YTD" xfId="124"/>
    <cellStyle name="_Purchasing 2006 YTD_PIT092008" xfId="125"/>
    <cellStyle name="_RM FG INV 2006" xfId="126"/>
    <cellStyle name="_RM FG INV 2006_PIT092008" xfId="127"/>
    <cellStyle name="_SAY FASHION" xfId="128"/>
    <cellStyle name="_SAY FASHION_PIT092008" xfId="129"/>
    <cellStyle name="_Stock" xfId="130"/>
    <cellStyle name="_Stock_PIT092008" xfId="131"/>
    <cellStyle name="_STT_Huyen" xfId="132"/>
    <cellStyle name="_STT_Huyen_PIT092008" xfId="133"/>
    <cellStyle name="_TG-TH" xfId="134"/>
    <cellStyle name="_TG-TH_1" xfId="135"/>
    <cellStyle name="_TG-TH_1_Book1" xfId="136"/>
    <cellStyle name="_TG-TH_1_Book1_PIT092008" xfId="137"/>
    <cellStyle name="_TG-TH_1_PIT092008" xfId="138"/>
    <cellStyle name="_TG-TH_2" xfId="139"/>
    <cellStyle name="_TG-TH_2_Book1" xfId="140"/>
    <cellStyle name="_TG-TH_2_Book1_PIT092008" xfId="141"/>
    <cellStyle name="_TG-TH_2_PIT092008" xfId="142"/>
    <cellStyle name="_TG-TH_3" xfId="143"/>
    <cellStyle name="_TG-TH_3_PIT092008" xfId="144"/>
    <cellStyle name="_TG-TH_4" xfId="145"/>
    <cellStyle name="_TG-TH_4_PIT092008" xfId="146"/>
    <cellStyle name="_TG-TH_PIT092008" xfId="147"/>
    <cellStyle name="_tong hop Mau Ngay 04.10.07" xfId="148"/>
    <cellStyle name="_tong hop Mau Ngay 04.10.07_PIT092008" xfId="149"/>
    <cellStyle name="_tong kho 31.12.06" xfId="150"/>
    <cellStyle name="_Write off" xfId="151"/>
    <cellStyle name="_Write off_PIT092008" xfId="152"/>
    <cellStyle name="’Ê‰Ý [0.00]_laroux" xfId="153"/>
    <cellStyle name="’Ê‰Ý_laroux" xfId="154"/>
    <cellStyle name="•W€_¯–ì" xfId="155"/>
    <cellStyle name="W_RENKETU1" xfId="156"/>
    <cellStyle name="1" xfId="157"/>
    <cellStyle name="1_PIT092008" xfId="158"/>
    <cellStyle name="15" xfId="159"/>
    <cellStyle name="¹éºÐÀ²_      " xfId="160"/>
    <cellStyle name="2" xfId="161"/>
    <cellStyle name="2_PIT092008" xfId="162"/>
    <cellStyle name="20% - Accent1" xfId="163"/>
    <cellStyle name="20% - Accent2" xfId="164"/>
    <cellStyle name="20% - Accent3" xfId="165"/>
    <cellStyle name="20% - Accent4" xfId="166"/>
    <cellStyle name="20% - Accent5" xfId="167"/>
    <cellStyle name="20% - Accent6" xfId="168"/>
    <cellStyle name="20% - 강조색1 2" xfId="169"/>
    <cellStyle name="20% - 강조색1 3" xfId="170"/>
    <cellStyle name="20% - 강조색1 4" xfId="171"/>
    <cellStyle name="20% - 강조색2 2" xfId="172"/>
    <cellStyle name="20% - 강조색2 3" xfId="173"/>
    <cellStyle name="20% - 강조색2 4" xfId="174"/>
    <cellStyle name="20% - 강조색3 2" xfId="175"/>
    <cellStyle name="20% - 강조색3 3" xfId="176"/>
    <cellStyle name="20% - 강조색3 4" xfId="177"/>
    <cellStyle name="20% - 강조색4 2" xfId="178"/>
    <cellStyle name="20% - 강조색4 3" xfId="179"/>
    <cellStyle name="20% - 강조색4 4" xfId="180"/>
    <cellStyle name="20% - 강조색5 2" xfId="181"/>
    <cellStyle name="20% - 강조색5 3" xfId="182"/>
    <cellStyle name="20% - 강조색5 4" xfId="183"/>
    <cellStyle name="20% - 강조색6 2" xfId="184"/>
    <cellStyle name="20% - 강조색6 3" xfId="185"/>
    <cellStyle name="20% - 강조색6 4" xfId="186"/>
    <cellStyle name="3" xfId="187"/>
    <cellStyle name="3_PIT092008" xfId="188"/>
    <cellStyle name="32B12" xfId="189"/>
    <cellStyle name="4" xfId="190"/>
    <cellStyle name="40% - Accent1" xfId="191"/>
    <cellStyle name="40% - Accent2" xfId="192"/>
    <cellStyle name="40% - Accent3" xfId="193"/>
    <cellStyle name="40% - Accent4" xfId="194"/>
    <cellStyle name="40% - Accent5" xfId="195"/>
    <cellStyle name="40% - Accent6" xfId="196"/>
    <cellStyle name="40% - 강조색1 2" xfId="197"/>
    <cellStyle name="40% - 강조색1 3" xfId="198"/>
    <cellStyle name="40% - 강조색1 4" xfId="199"/>
    <cellStyle name="40% - 강조색2 2" xfId="200"/>
    <cellStyle name="40% - 강조색2 3" xfId="201"/>
    <cellStyle name="40% - 강조색2 4" xfId="202"/>
    <cellStyle name="40% - 강조색3 2" xfId="203"/>
    <cellStyle name="40% - 강조색3 3" xfId="204"/>
    <cellStyle name="40% - 강조색3 4" xfId="205"/>
    <cellStyle name="40% - 강조색4 2" xfId="206"/>
    <cellStyle name="40% - 강조색4 3" xfId="207"/>
    <cellStyle name="40% - 강조색4 4" xfId="208"/>
    <cellStyle name="40% - 강조색5 2" xfId="209"/>
    <cellStyle name="40% - 강조색5 3" xfId="210"/>
    <cellStyle name="40% - 강조색5 4" xfId="211"/>
    <cellStyle name="40% - 강조색6 2" xfId="212"/>
    <cellStyle name="40% - 강조색6 3" xfId="213"/>
    <cellStyle name="40% - 강조색6 4" xfId="214"/>
    <cellStyle name="60% - Accent1" xfId="215"/>
    <cellStyle name="60% - Accent2" xfId="216"/>
    <cellStyle name="60% - Accent3" xfId="217"/>
    <cellStyle name="60% - Accent4" xfId="218"/>
    <cellStyle name="60% - Accent5" xfId="219"/>
    <cellStyle name="60% - Accent6" xfId="220"/>
    <cellStyle name="60% - 강조색1 2" xfId="221"/>
    <cellStyle name="60% - 강조색1 3" xfId="222"/>
    <cellStyle name="60% - 강조색1 4" xfId="223"/>
    <cellStyle name="60% - 강조색2 2" xfId="224"/>
    <cellStyle name="60% - 강조색2 3" xfId="225"/>
    <cellStyle name="60% - 강조색2 4" xfId="226"/>
    <cellStyle name="60% - 강조색3 2" xfId="227"/>
    <cellStyle name="60% - 강조색3 3" xfId="228"/>
    <cellStyle name="60% - 강조색3 4" xfId="229"/>
    <cellStyle name="60% - 강조색4 2" xfId="230"/>
    <cellStyle name="60% - 강조색4 3" xfId="231"/>
    <cellStyle name="60% - 강조색4 4" xfId="232"/>
    <cellStyle name="60% - 강조색5 2" xfId="233"/>
    <cellStyle name="60% - 강조색5 3" xfId="234"/>
    <cellStyle name="60% - 강조색5 4" xfId="235"/>
    <cellStyle name="60% - 강조색6 2" xfId="236"/>
    <cellStyle name="60% - 강조색6 3" xfId="237"/>
    <cellStyle name="60% - 강조색6 4" xfId="238"/>
    <cellStyle name="Accent1" xfId="239"/>
    <cellStyle name="Accent2" xfId="240"/>
    <cellStyle name="Accent3" xfId="241"/>
    <cellStyle name="Accent4" xfId="242"/>
    <cellStyle name="Accent5" xfId="243"/>
    <cellStyle name="Accent6" xfId="244"/>
    <cellStyle name="Account" xfId="245"/>
    <cellStyle name="ÅëÈ­ [0]_      " xfId="246"/>
    <cellStyle name="AeE­ [0]_INQUIRY ¿?¾÷AßAø " xfId="247"/>
    <cellStyle name="ÅëÈ­_      " xfId="248"/>
    <cellStyle name="AeE­_INQUIRY ¿?¾÷AßAø " xfId="249"/>
    <cellStyle name="ÅëÈ­_L601CPT" xfId="250"/>
    <cellStyle name="args.style" xfId="251"/>
    <cellStyle name="ÄÞ¸¶ [0]_      " xfId="252"/>
    <cellStyle name="AÞ¸¶ [0]_INQUIRY ¿?¾÷AßAø " xfId="253"/>
    <cellStyle name="ÄÞ¸¶ [0]_L601CPT" xfId="254"/>
    <cellStyle name="ÄÞ¸¶_      " xfId="255"/>
    <cellStyle name="AÞ¸¶_INQUIRY ¿?¾÷AßAø " xfId="256"/>
    <cellStyle name="ÄÞ¸¶_L601CPT" xfId="257"/>
    <cellStyle name="AutoFormat Options" xfId="258"/>
    <cellStyle name="Bad" xfId="259"/>
    <cellStyle name="Body" xfId="260"/>
    <cellStyle name="C?AØ_¿?¾÷CoE² " xfId="261"/>
    <cellStyle name="Ç¥ÁØ_      " xfId="262"/>
    <cellStyle name="C￥AØ_¿μ¾÷CoE² " xfId="263"/>
    <cellStyle name="Calc Currency (0)" xfId="264"/>
    <cellStyle name="Calc Currency (2)" xfId="265"/>
    <cellStyle name="Calc Percent (0)" xfId="266"/>
    <cellStyle name="Calc Percent (1)" xfId="267"/>
    <cellStyle name="Calc Percent (2)" xfId="268"/>
    <cellStyle name="Calc Units (0)" xfId="269"/>
    <cellStyle name="Calc Units (1)" xfId="270"/>
    <cellStyle name="Calc Units (2)" xfId="271"/>
    <cellStyle name="Calculation" xfId="272"/>
    <cellStyle name="Calculation 2" xfId="273"/>
    <cellStyle name="Calculation 2 2" xfId="274"/>
    <cellStyle name="Calculation 2 2 2" xfId="275"/>
    <cellStyle name="Calculation 2 3" xfId="276"/>
    <cellStyle name="Calculation 3" xfId="277"/>
    <cellStyle name="Calculation 3 2" xfId="278"/>
    <cellStyle name="Calculation 3 2 2" xfId="279"/>
    <cellStyle name="Calculation 3 3" xfId="280"/>
    <cellStyle name="Calculation 4" xfId="281"/>
    <cellStyle name="Calculation 4 2" xfId="282"/>
    <cellStyle name="Calculation 5" xfId="283"/>
    <cellStyle name="Calculation 5 2" xfId="284"/>
    <cellStyle name="Calculation 6" xfId="285"/>
    <cellStyle name="Calculation 6 2" xfId="286"/>
    <cellStyle name="Calculation 7" xfId="287"/>
    <cellStyle name="category" xfId="288"/>
    <cellStyle name="Cerrency_Sheet2_XANGDAU" xfId="289"/>
    <cellStyle name="Check Cell" xfId="290"/>
    <cellStyle name="CHUONG" xfId="291"/>
    <cellStyle name="Column_Title" xfId="292"/>
    <cellStyle name="Comma  - Style1" xfId="293"/>
    <cellStyle name="Comma  - Style2" xfId="294"/>
    <cellStyle name="Comma  - Style3" xfId="295"/>
    <cellStyle name="Comma  - Style4" xfId="296"/>
    <cellStyle name="Comma  - Style5" xfId="297"/>
    <cellStyle name="Comma  - Style6" xfId="298"/>
    <cellStyle name="Comma  - Style7" xfId="299"/>
    <cellStyle name="Comma  - Style8" xfId="300"/>
    <cellStyle name="Comma [0] 2" xfId="301"/>
    <cellStyle name="Comma [0] 5" xfId="302"/>
    <cellStyle name="Comma [0]_ SG&amp;A Bridge " xfId="303"/>
    <cellStyle name="Comma [00]" xfId="304"/>
    <cellStyle name="Comma 2" xfId="305"/>
    <cellStyle name="Comma 6" xfId="306"/>
    <cellStyle name="comma zerodec" xfId="307"/>
    <cellStyle name="Comma_ SG&amp;A Bridge " xfId="308"/>
    <cellStyle name="Comma0" xfId="309"/>
    <cellStyle name="computed cell" xfId="310"/>
    <cellStyle name="Copied" xfId="311"/>
    <cellStyle name="COST1" xfId="312"/>
    <cellStyle name="Currency [0]_ SG&amp;A Bridge " xfId="313"/>
    <cellStyle name="Currency [00]" xfId="314"/>
    <cellStyle name="Currency_ SG&amp;A Bridge " xfId="315"/>
    <cellStyle name="Currency0" xfId="316"/>
    <cellStyle name="Currency1" xfId="317"/>
    <cellStyle name="Dan" xfId="318"/>
    <cellStyle name="Date" xfId="319"/>
    <cellStyle name="Date Short" xfId="320"/>
    <cellStyle name="Date_Bao Cao Kiem Tra  trung bay Ke milk-yomilk CK 2" xfId="321"/>
    <cellStyle name="DELTA" xfId="322"/>
    <cellStyle name="Dezimal [0]_68574_Materialbedarfsliste" xfId="323"/>
    <cellStyle name="Dezimal_68574_Materialbedarfsliste" xfId="324"/>
    <cellStyle name="Dollar (zero dec)" xfId="325"/>
    <cellStyle name="e" xfId="326"/>
    <cellStyle name="e_PIT092008" xfId="327"/>
    <cellStyle name="Emphasis 1" xfId="328"/>
    <cellStyle name="Emphasis 2" xfId="329"/>
    <cellStyle name="Emphasis 3" xfId="330"/>
    <cellStyle name="EN CO.," xfId="331"/>
    <cellStyle name="Enter Currency (0)" xfId="332"/>
    <cellStyle name="Enter Currency (2)" xfId="333"/>
    <cellStyle name="Enter Units (0)" xfId="334"/>
    <cellStyle name="Enter Units (1)" xfId="335"/>
    <cellStyle name="Enter Units (2)" xfId="336"/>
    <cellStyle name="Entered" xfId="337"/>
    <cellStyle name="Euro" xfId="338"/>
    <cellStyle name="Explanatory Text" xfId="339"/>
    <cellStyle name="f" xfId="340"/>
    <cellStyle name="f_PIT092008" xfId="341"/>
    <cellStyle name="F2" xfId="342"/>
    <cellStyle name="F3" xfId="343"/>
    <cellStyle name="F4" xfId="344"/>
    <cellStyle name="F5" xfId="345"/>
    <cellStyle name="F6" xfId="346"/>
    <cellStyle name="F7" xfId="347"/>
    <cellStyle name="F8" xfId="348"/>
    <cellStyle name="Fixed" xfId="349"/>
    <cellStyle name="Good" xfId="350"/>
    <cellStyle name="Grey" xfId="351"/>
    <cellStyle name="ha" xfId="352"/>
    <cellStyle name="Head 1" xfId="353"/>
    <cellStyle name="HEADER" xfId="354"/>
    <cellStyle name="Header1" xfId="355"/>
    <cellStyle name="Header1 2" xfId="356"/>
    <cellStyle name="Header2" xfId="357"/>
    <cellStyle name="Header2 2" xfId="358"/>
    <cellStyle name="Heading 1" xfId="359"/>
    <cellStyle name="Heading 1 1" xfId="360"/>
    <cellStyle name="Heading 1 1 1" xfId="361"/>
    <cellStyle name="Heading 2" xfId="362"/>
    <cellStyle name="Heading 3" xfId="363"/>
    <cellStyle name="Heading 3 2" xfId="364"/>
    <cellStyle name="Heading 3 2 2" xfId="365"/>
    <cellStyle name="Heading 3 3" xfId="366"/>
    <cellStyle name="Heading 4" xfId="367"/>
    <cellStyle name="Heading1 1" xfId="368"/>
    <cellStyle name="Heading1 1 1" xfId="369"/>
    <cellStyle name="Heading2" xfId="370"/>
    <cellStyle name="Heading3" xfId="371"/>
    <cellStyle name="HEADINGS" xfId="372"/>
    <cellStyle name="HEADINGSTOP" xfId="373"/>
    <cellStyle name="headoption" xfId="374"/>
    <cellStyle name="headoption 2" xfId="375"/>
    <cellStyle name="hidden" xfId="376"/>
    <cellStyle name="HMRCalculated" xfId="377"/>
    <cellStyle name="HMRInput" xfId="378"/>
    <cellStyle name="Hoa-Scholl" xfId="379"/>
    <cellStyle name="Hoa-Scholl 2" xfId="380"/>
    <cellStyle name="i·0??????????_x0003_?_x0010__x0001_??Luu??9JS—_x0008_??????????????????ò_x0001_????&lt;i·0???" xfId="381"/>
    <cellStyle name="i·0??????????_x0003_?_x0010__x0001_??Luu??9JS—_x0008_??????????????????ò_x0001_????&lt;i·0??? 1" xfId="382"/>
    <cellStyle name="i·0??????????_x0007_?_x0010__x0001_??PrintDT??9JS—_x0008_??????????????????¼_x0001_????&lt;i·" xfId="383"/>
    <cellStyle name="i·0??????????_x0007_?_x0010__x0001_??PrintDT??9JS—_x0008_??????????????????¼_x0001_????&lt;i· 1" xfId="384"/>
    <cellStyle name="Indent" xfId="385"/>
    <cellStyle name="Input" xfId="386"/>
    <cellStyle name="Input [yellow]" xfId="387"/>
    <cellStyle name="Input 2" xfId="388"/>
    <cellStyle name="Input 2 2" xfId="389"/>
    <cellStyle name="Input 2 2 2" xfId="390"/>
    <cellStyle name="Input 2 3" xfId="391"/>
    <cellStyle name="Input 3" xfId="392"/>
    <cellStyle name="Input 3 2" xfId="393"/>
    <cellStyle name="Input 3 2 2" xfId="394"/>
    <cellStyle name="Input 3 3" xfId="395"/>
    <cellStyle name="Input 4" xfId="396"/>
    <cellStyle name="Input 4 2" xfId="397"/>
    <cellStyle name="Input 5" xfId="398"/>
    <cellStyle name="Input 5 2" xfId="399"/>
    <cellStyle name="Input 6" xfId="400"/>
    <cellStyle name="Input 6 2" xfId="401"/>
    <cellStyle name="Input 7" xfId="402"/>
    <cellStyle name="Input Cells" xfId="403"/>
    <cellStyle name="Latest Estimate" xfId="404"/>
    <cellStyle name="Ledger 17 x 11 in" xfId="405"/>
    <cellStyle name="Line" xfId="406"/>
    <cellStyle name="Link Currency (0)" xfId="407"/>
    <cellStyle name="Link Currency (2)" xfId="408"/>
    <cellStyle name="Link Units (0)" xfId="409"/>
    <cellStyle name="Link Units (1)" xfId="410"/>
    <cellStyle name="Link Units (2)" xfId="411"/>
    <cellStyle name="Linked Cell" xfId="412"/>
    <cellStyle name="Linked Cells" xfId="413"/>
    <cellStyle name="Millares [0]_PERSONAL" xfId="414"/>
    <cellStyle name="Millares_PERSONAL" xfId="415"/>
    <cellStyle name="Milliers [0]_!!!GO" xfId="416"/>
    <cellStyle name="Milliers_!!!GO" xfId="417"/>
    <cellStyle name="Model" xfId="418"/>
    <cellStyle name="Mon?aire [0]_!!!GO" xfId="419"/>
    <cellStyle name="Mon?aire_!!!GO" xfId="420"/>
    <cellStyle name="Moneda [0]_CONTENCION CONDELL 25.051" xfId="421"/>
    <cellStyle name="Moneda_CONTENCION CONDELL 25.051" xfId="422"/>
    <cellStyle name="Monétaire [0]_TARIFFS DB" xfId="423"/>
    <cellStyle name="Monétaire_TARIFFS DB" xfId="424"/>
    <cellStyle name="n" xfId="425"/>
    <cellStyle name="n_PIT092008" xfId="426"/>
    <cellStyle name="Neutral" xfId="427"/>
    <cellStyle name="New Times Roman" xfId="428"/>
    <cellStyle name="no dec" xfId="429"/>
    <cellStyle name="NoFill" xfId="430"/>
    <cellStyle name="ÑONVÒ" xfId="431"/>
    <cellStyle name="Normal - Style1" xfId="432"/>
    <cellStyle name="Normal - 유형1" xfId="433"/>
    <cellStyle name="Normal 10" xfId="434"/>
    <cellStyle name="Normal 11" xfId="435"/>
    <cellStyle name="Normal 12" xfId="436"/>
    <cellStyle name="Normal 13" xfId="437"/>
    <cellStyle name="Normal 14" xfId="438"/>
    <cellStyle name="Normal 17" xfId="439"/>
    <cellStyle name="Normal 18" xfId="440"/>
    <cellStyle name="Normal 19" xfId="441"/>
    <cellStyle name="Normal 2" xfId="442"/>
    <cellStyle name="Normal 20" xfId="443"/>
    <cellStyle name="Normal 22" xfId="444"/>
    <cellStyle name="Normal 23" xfId="445"/>
    <cellStyle name="Normal 24" xfId="446"/>
    <cellStyle name="Normal 25" xfId="447"/>
    <cellStyle name="Normal 26" xfId="448"/>
    <cellStyle name="Normal 27" xfId="449"/>
    <cellStyle name="Normal 28" xfId="450"/>
    <cellStyle name="Normal 29" xfId="451"/>
    <cellStyle name="Normal 30" xfId="452"/>
    <cellStyle name="Normal 31" xfId="453"/>
    <cellStyle name="Normal 32" xfId="454"/>
    <cellStyle name="Normal 33" xfId="455"/>
    <cellStyle name="Normal 34" xfId="456"/>
    <cellStyle name="Normal 35" xfId="457"/>
    <cellStyle name="Normal 4" xfId="458"/>
    <cellStyle name="Normal 5" xfId="459"/>
    <cellStyle name="Normal 81" xfId="460"/>
    <cellStyle name="Normal 87" xfId="461"/>
    <cellStyle name="Normal 89" xfId="462"/>
    <cellStyle name="Normal 94" xfId="463"/>
    <cellStyle name="Normal_ SG&amp;A Bridge " xfId="464"/>
    <cellStyle name="Normal1" xfId="465"/>
    <cellStyle name="normální_A" xfId="466"/>
    <cellStyle name="Note" xfId="467"/>
    <cellStyle name="Note 2" xfId="468"/>
    <cellStyle name="Note 2 2" xfId="469"/>
    <cellStyle name="Note 2 2 2" xfId="470"/>
    <cellStyle name="Note 2 3" xfId="471"/>
    <cellStyle name="Note 3" xfId="472"/>
    <cellStyle name="Note 3 2" xfId="473"/>
    <cellStyle name="Note 3 2 2" xfId="474"/>
    <cellStyle name="Note 3 3" xfId="475"/>
    <cellStyle name="Note 4" xfId="476"/>
    <cellStyle name="Note 4 2" xfId="477"/>
    <cellStyle name="Note 5" xfId="478"/>
    <cellStyle name="Note 5 2" xfId="479"/>
    <cellStyle name="Note 6" xfId="480"/>
    <cellStyle name="Note 6 2" xfId="481"/>
    <cellStyle name="Note 7" xfId="482"/>
    <cellStyle name="Œ…‹æØ‚è [0.00]_laroux" xfId="483"/>
    <cellStyle name="Œ…‹æØ‚è_laroux" xfId="484"/>
    <cellStyle name="oft Excel]_x000d__x000a_Comment=open=/f ‚ðw’è‚·‚é‚ÆAƒ†[ƒU[’è‹`ŠÖ”‚ðŠÖ”“\‚è•t‚¯‚Ìˆê——‚É“o˜^‚·‚é‚±‚Æ‚ª‚Å‚«‚Ü‚·B_x000d__x000a_Maximized" xfId="485"/>
    <cellStyle name="omma [0]_Mktg Prog" xfId="486"/>
    <cellStyle name="ormal_Sheet1_1" xfId="487"/>
    <cellStyle name="Output" xfId="488"/>
    <cellStyle name="Output 2" xfId="489"/>
    <cellStyle name="Output 2 2" xfId="490"/>
    <cellStyle name="Output 2 2 2" xfId="491"/>
    <cellStyle name="Output 2 3" xfId="492"/>
    <cellStyle name="Output 3" xfId="493"/>
    <cellStyle name="Output 3 2" xfId="494"/>
    <cellStyle name="Output 3 2 2" xfId="495"/>
    <cellStyle name="Output 3 3" xfId="496"/>
    <cellStyle name="Output 4" xfId="497"/>
    <cellStyle name="Output 4 2" xfId="498"/>
    <cellStyle name="Output 5" xfId="499"/>
    <cellStyle name="Output 5 2" xfId="500"/>
    <cellStyle name="Output 6" xfId="501"/>
    <cellStyle name="Output 6 2" xfId="502"/>
    <cellStyle name="Output 7" xfId="503"/>
    <cellStyle name="Package_numbers" xfId="504"/>
    <cellStyle name="paint" xfId="505"/>
    <cellStyle name="per.style" xfId="506"/>
    <cellStyle name="Percent [0]" xfId="507"/>
    <cellStyle name="Percent [00]" xfId="508"/>
    <cellStyle name="Percent [2]" xfId="509"/>
    <cellStyle name="Percent 2" xfId="510"/>
    <cellStyle name="PERCENTAGE" xfId="511"/>
    <cellStyle name="PrePop Currency (0)" xfId="512"/>
    <cellStyle name="PrePop Currency (2)" xfId="513"/>
    <cellStyle name="PrePop Units (0)" xfId="514"/>
    <cellStyle name="PrePop Units (1)" xfId="515"/>
    <cellStyle name="PrePop Units (2)" xfId="516"/>
    <cellStyle name="pricing" xfId="517"/>
    <cellStyle name="Print_header" xfId="518"/>
    <cellStyle name="PSChar" xfId="519"/>
    <cellStyle name="PSHeading" xfId="520"/>
    <cellStyle name="regstoresfromspecstores" xfId="521"/>
    <cellStyle name="RevList" xfId="522"/>
    <cellStyle name="S—_x0008_??????????????????‚_x0001_????&lt;i·0??????????_x0007_?_x0010__x0001_??PrintDT??9JS—_x0008_?????????????" xfId="523"/>
    <cellStyle name="S—_x0008_??????????????????‚_x0001_????&lt;i·0??????????_x0007_?_x0010__x0001_??PrintDT??9JS—_x0008_????????????? 1" xfId="524"/>
    <cellStyle name="SAPBEXchaText" xfId="525"/>
    <cellStyle name="SAPBEXstdData" xfId="526"/>
    <cellStyle name="SAPBEXstdItem" xfId="527"/>
    <cellStyle name="SHADEDSTORES" xfId="528"/>
    <cellStyle name="SHADEDSTORES 2" xfId="529"/>
    <cellStyle name="Sheet Title" xfId="530"/>
    <cellStyle name="specstores" xfId="531"/>
    <cellStyle name="Standard_Anpassen der Amortisation" xfId="532"/>
    <cellStyle name="Style 1" xfId="533"/>
    <cellStyle name="Style 2" xfId="534"/>
    <cellStyle name="Style 3" xfId="535"/>
    <cellStyle name="Style 4" xfId="536"/>
    <cellStyle name="subhead" xfId="537"/>
    <cellStyle name="SubHeading" xfId="538"/>
    <cellStyle name="Subtotal" xfId="539"/>
    <cellStyle name="T" xfId="540"/>
    <cellStyle name="T 2" xfId="541"/>
    <cellStyle name="T_22_5_Dat_CF_MM_de_dat_chi_tieu_nhom_G__CK5" xfId="542"/>
    <cellStyle name="T_22_5_Dat_CF_MM_de_dat_chi_tieu_nhom_G__CK5 2" xfId="543"/>
    <cellStyle name="T_22_5_Dat_CF_MM_de_dat_chi_tieu_nhom_G__CK5_PIT092008" xfId="544"/>
    <cellStyle name="T_22_5_Dat_CF_MM_de_dat_chi_tieu_nhom_G__CK5_PIT092008 2" xfId="545"/>
    <cellStyle name="T_3. Trien khai Muc Tieu GSMV-NVBH-CK6_Bien Thuy_Hai Duong" xfId="546"/>
    <cellStyle name="T_3. Trien khai Muc Tieu GSMV-NVBH-CK6_Bien Thuy_Hai Duong 2" xfId="547"/>
    <cellStyle name="T_3. Trien khai Muc Tieu GSMV-NVBH-CK6_Bien Thuy_Hai Duong_PIT092008" xfId="548"/>
    <cellStyle name="T_3. Trien khai Muc Tieu GSMV-NVBH-CK6_Bien Thuy_Hai Duong_PIT092008 2" xfId="549"/>
    <cellStyle name="T_Bao cao kttb milk yomilkYAO-mien bac" xfId="550"/>
    <cellStyle name="T_Bao cao kttb milk yomilkYAO-mien bac 2" xfId="551"/>
    <cellStyle name="T_Bao cao kttb milk yomilkYAO-mien bac_Book1" xfId="552"/>
    <cellStyle name="T_Bao cao kttb milk yomilkYAO-mien bac_Book1 2" xfId="553"/>
    <cellStyle name="T_Bao cao kttb milk yomilkYAO-mien bac_Book1_F4_5_6__Bao_cao_tai_NPP BICH TIEN" xfId="554"/>
    <cellStyle name="T_Bao cao kttb milk yomilkYAO-mien bac_Book1_F4_5_6__Bao_cao_tai_NPP BICH TIEN 2" xfId="555"/>
    <cellStyle name="T_Bao cao kttb milk yomilkYAO-mien bac_Book1_F4_5_6__Bao_cao_tai_NPP BICH TIEN_PIT092008" xfId="556"/>
    <cellStyle name="T_Bao cao kttb milk yomilkYAO-mien bac_Book1_F4_5_6__Bao_cao_tai_NPP BICH TIEN_PIT092008 2" xfId="557"/>
    <cellStyle name="T_Bao cao kttb milk yomilkYAO-mien bac_Book1_Mau_bao_cao_XNT_NVTK_tai_NPP 21.7" xfId="558"/>
    <cellStyle name="T_Bao cao kttb milk yomilkYAO-mien bac_Book1_Mau_bao_cao_XNT_NVTK_tai_NPP 21.7 2" xfId="559"/>
    <cellStyle name="T_Bao cao kttb milk yomilkYAO-mien bac_Book1_Mau_bao_cao_XNT_NVTK_tai_NPP 21.7_PIT092008" xfId="560"/>
    <cellStyle name="T_Bao cao kttb milk yomilkYAO-mien bac_Book1_Mau_bao_cao_XNT_NVTK_tai_NPP 21.7_PIT092008 2" xfId="561"/>
    <cellStyle name="T_Bao cao kttb milk yomilkYAO-mien bac_Book1_PIT092008" xfId="562"/>
    <cellStyle name="T_Bao cao kttb milk yomilkYAO-mien bac_Book1_PIT092008 2" xfId="563"/>
    <cellStyle name="T_Bao cao kttb milk yomilkYAO-mien bac_Copy of Mau_bao_cao_XNT_NVTK_tai_NPP" xfId="564"/>
    <cellStyle name="T_Bao cao kttb milk yomilkYAO-mien bac_Copy of Mau_bao_cao_XNT_NVTK_tai_NPP 2" xfId="565"/>
    <cellStyle name="T_Bao cao kttb milk yomilkYAO-mien bac_Copy of Mau_bao_cao_XNT_NVTK_tai_NPP_PIT092008" xfId="566"/>
    <cellStyle name="T_Bao cao kttb milk yomilkYAO-mien bac_Copy of Mau_bao_cao_XNT_NVTK_tai_NPP_PIT092008 2" xfId="567"/>
    <cellStyle name="T_Bao cao kttb milk yomilkYAO-mien bac_ĐƠN ĐẶT HÀNG VNM" xfId="568"/>
    <cellStyle name="T_Bao cao kttb milk yomilkYAO-mien bac_ĐƠN ĐẶT HÀNG VNM 2" xfId="569"/>
    <cellStyle name="T_Bao cao kttb milk yomilkYAO-mien bac_ĐƠN ĐẶT HÀNG VNM_PIT092008" xfId="570"/>
    <cellStyle name="T_Bao cao kttb milk yomilkYAO-mien bac_ĐƠN ĐẶT HÀNG VNM_PIT092008 2" xfId="571"/>
    <cellStyle name="T_Bao cao kttb milk yomilkYAO-mien bac_F4_5_6__Bao_cao_tai_NPP BICH TIEN" xfId="572"/>
    <cellStyle name="T_Bao cao kttb milk yomilkYAO-mien bac_F4_5_6__Bao_cao_tai_NPP BICH TIEN 2" xfId="573"/>
    <cellStyle name="T_Bao cao kttb milk yomilkYAO-mien bac_F4_5_6__Bao_cao_tai_NPP BICH TIEN_PIT092008" xfId="574"/>
    <cellStyle name="T_Bao cao kttb milk yomilkYAO-mien bac_F4_5_6__Bao_cao_tai_NPP BICH TIEN_PIT092008 2" xfId="575"/>
    <cellStyle name="T_Bao cao kttb milk yomilkYAO-mien bac_form__moi__bao_cao_ngay_NEW_AGAIN" xfId="576"/>
    <cellStyle name="T_Bao cao kttb milk yomilkYAO-mien bac_form__moi__bao_cao_ngay_NEW_AGAIN 2" xfId="577"/>
    <cellStyle name="T_Bao cao kttb milk yomilkYAO-mien bac_form__moi__bao_cao_ngay_NEW_AGAIN_PIT092008" xfId="578"/>
    <cellStyle name="T_Bao cao kttb milk yomilkYAO-mien bac_form__moi__bao_cao_ngay_NEW_AGAIN_PIT092008 2" xfId="579"/>
    <cellStyle name="T_Bao cao kttb milk yomilkYAO-mien bac_Mau -bao_cao_XNT_NVTK_tai_NPP 19.7" xfId="580"/>
    <cellStyle name="T_Bao cao kttb milk yomilkYAO-mien bac_Mau -bao_cao_XNT_NVTK_tai_NPP 19.7 2" xfId="581"/>
    <cellStyle name="T_Bao cao kttb milk yomilkYAO-mien bac_Mau -bao_cao_XNT_NVTK_tai_NPP 19.7_PIT092008" xfId="582"/>
    <cellStyle name="T_Bao cao kttb milk yomilkYAO-mien bac_Mau -bao_cao_XNT_NVTK_tai_NPP 19.7_PIT092008 2" xfId="583"/>
    <cellStyle name="T_Bao cao kttb milk yomilkYAO-mien bac_Mau -bao_cao_XNT_NVTK_tai_NPP 19.7_S#650995" xfId="584"/>
    <cellStyle name="T_Bao cao kttb milk yomilkYAO-mien bac_Mau_bao_cao_XNT_NVTK_tai_NPP 21.7" xfId="585"/>
    <cellStyle name="T_Bao cao kttb milk yomilkYAO-mien bac_Mau_bao_cao_XNT_NVTK_tai_NPP 21.7 2" xfId="586"/>
    <cellStyle name="T_Bao cao kttb milk yomilkYAO-mien bac_Mau_bao_cao_XNT_NVTK_tai_NPP 21.7_PIT092008" xfId="587"/>
    <cellStyle name="T_Bao cao kttb milk yomilkYAO-mien bac_Mau_bao_cao_XNT_NVTK_tai_NPP 21.7_PIT092008 2" xfId="588"/>
    <cellStyle name="T_Bao cao kttb milk yomilkYAO-mien bac_Mau_bao_cao_XNT_NVTK_tai_NPP 3.7" xfId="589"/>
    <cellStyle name="T_Bao cao kttb milk yomilkYAO-mien bac_Mau_bao_cao_XNT_NVTK_tai_NPP 3.7 2" xfId="590"/>
    <cellStyle name="T_Bao cao kttb milk yomilkYAO-mien bac_Mau_bao_cao_XNT_NVTK_tai_NPP 3.7_1" xfId="591"/>
    <cellStyle name="T_Bao cao kttb milk yomilkYAO-mien bac_Mau_bao_cao_XNT_NVTK_tai_NPP 3.7_1 2" xfId="592"/>
    <cellStyle name="T_Bao cao kttb milk yomilkYAO-mien bac_Mau_bao_cao_XNT_NVTK_tai_NPP 3.7_1_PIT092008" xfId="593"/>
    <cellStyle name="T_Bao cao kttb milk yomilkYAO-mien bac_Mau_bao_cao_XNT_NVTK_tai_NPP 3.7_1_PIT092008 2" xfId="594"/>
    <cellStyle name="T_Bao cao kttb milk yomilkYAO-mien bac_Mau_bao_cao_XNT_NVTK_tai_NPP 3.7_PIT092008" xfId="595"/>
    <cellStyle name="T_Bao cao kttb milk yomilkYAO-mien bac_Mau_bao_cao_XNT_NVTK_tai_NPP 3.7_PIT092008 2" xfId="596"/>
    <cellStyle name="T_Bao cao kttb milk yomilkYAO-mien bac_PIT092008" xfId="597"/>
    <cellStyle name="T_Bao cao kttb milk yomilkYAO-mien bac_PIT092008 2" xfId="598"/>
    <cellStyle name="T_Bao_cao_tuan_CK6_NPP_BÍCH TIẾN" xfId="599"/>
    <cellStyle name="T_Bao_cao_tuan_CK6_NPP_BÍCH TIẾN 2" xfId="600"/>
    <cellStyle name="T_Bao_cao_tuan_CK6_NPP_BÍCH TIẾN_PIT092008" xfId="601"/>
    <cellStyle name="T_Bao_cao_tuan_CK6_NPP_BÍCH TIẾN_PIT092008 2" xfId="602"/>
    <cellStyle name="T_bc_km_ngay" xfId="603"/>
    <cellStyle name="T_bc_km_ngay 2" xfId="604"/>
    <cellStyle name="T_bc_km_ngay_Book1" xfId="605"/>
    <cellStyle name="T_bc_km_ngay_Book1 2" xfId="606"/>
    <cellStyle name="T_bc_km_ngay_Book1_F4_5_6__Bao_cao_tai_NPP BICH TIEN" xfId="607"/>
    <cellStyle name="T_bc_km_ngay_Book1_F4_5_6__Bao_cao_tai_NPP BICH TIEN 2" xfId="608"/>
    <cellStyle name="T_bc_km_ngay_Book1_F4_5_6__Bao_cao_tai_NPP BICH TIEN_PIT092008" xfId="609"/>
    <cellStyle name="T_bc_km_ngay_Book1_F4_5_6__Bao_cao_tai_NPP BICH TIEN_PIT092008 2" xfId="610"/>
    <cellStyle name="T_bc_km_ngay_Book1_Mau_bao_cao_XNT_NVTK_tai_NPP 21.7" xfId="611"/>
    <cellStyle name="T_bc_km_ngay_Book1_Mau_bao_cao_XNT_NVTK_tai_NPP 21.7 2" xfId="612"/>
    <cellStyle name="T_bc_km_ngay_Book1_Mau_bao_cao_XNT_NVTK_tai_NPP 21.7_PIT092008" xfId="613"/>
    <cellStyle name="T_bc_km_ngay_Book1_Mau_bao_cao_XNT_NVTK_tai_NPP 21.7_PIT092008 2" xfId="614"/>
    <cellStyle name="T_bc_km_ngay_Book1_PIT092008" xfId="615"/>
    <cellStyle name="T_bc_km_ngay_Book1_PIT092008 2" xfId="616"/>
    <cellStyle name="T_bc_km_ngay_Copy of Mau_bao_cao_XNT_NVTK_tai_NPP" xfId="617"/>
    <cellStyle name="T_bc_km_ngay_Copy of Mau_bao_cao_XNT_NVTK_tai_NPP 2" xfId="618"/>
    <cellStyle name="T_bc_km_ngay_Copy of Mau_bao_cao_XNT_NVTK_tai_NPP_PIT092008" xfId="619"/>
    <cellStyle name="T_bc_km_ngay_Copy of Mau_bao_cao_XNT_NVTK_tai_NPP_PIT092008 2" xfId="620"/>
    <cellStyle name="T_bc_km_ngay_ĐƠN ĐẶT HÀNG VNM" xfId="621"/>
    <cellStyle name="T_bc_km_ngay_ĐƠN ĐẶT HÀNG VNM 2" xfId="622"/>
    <cellStyle name="T_bc_km_ngay_ĐƠN ĐẶT HÀNG VNM_PIT092008" xfId="623"/>
    <cellStyle name="T_bc_km_ngay_ĐƠN ĐẶT HÀNG VNM_PIT092008 2" xfId="624"/>
    <cellStyle name="T_bc_km_ngay_F4_5_6__Bao_cao_tai_NPP BICH TIEN" xfId="625"/>
    <cellStyle name="T_bc_km_ngay_F4_5_6__Bao_cao_tai_NPP BICH TIEN 2" xfId="626"/>
    <cellStyle name="T_bc_km_ngay_F4_5_6__Bao_cao_tai_NPP BICH TIEN_PIT092008" xfId="627"/>
    <cellStyle name="T_bc_km_ngay_F4_5_6__Bao_cao_tai_NPP BICH TIEN_PIT092008 2" xfId="628"/>
    <cellStyle name="T_bc_km_ngay_form__moi__bao_cao_ngay_NEW_AGAIN" xfId="629"/>
    <cellStyle name="T_bc_km_ngay_form__moi__bao_cao_ngay_NEW_AGAIN 2" xfId="630"/>
    <cellStyle name="T_bc_km_ngay_form__moi__bao_cao_ngay_NEW_AGAIN_PIT092008" xfId="631"/>
    <cellStyle name="T_bc_km_ngay_form__moi__bao_cao_ngay_NEW_AGAIN_PIT092008 2" xfId="632"/>
    <cellStyle name="T_bc_km_ngay_Mau -bao_cao_XNT_NVTK_tai_NPP 19.7" xfId="633"/>
    <cellStyle name="T_bc_km_ngay_Mau -bao_cao_XNT_NVTK_tai_NPP 19.7 2" xfId="634"/>
    <cellStyle name="T_bc_km_ngay_Mau -bao_cao_XNT_NVTK_tai_NPP 19.7_PIT092008" xfId="635"/>
    <cellStyle name="T_bc_km_ngay_Mau -bao_cao_XNT_NVTK_tai_NPP 19.7_PIT092008 2" xfId="636"/>
    <cellStyle name="T_bc_km_ngay_Mau_bao_cao_XNT_NVTK_tai_NPP 21.7" xfId="637"/>
    <cellStyle name="T_bc_km_ngay_Mau_bao_cao_XNT_NVTK_tai_NPP 21.7 2" xfId="638"/>
    <cellStyle name="T_bc_km_ngay_Mau_bao_cao_XNT_NVTK_tai_NPP 21.7_PIT092008" xfId="639"/>
    <cellStyle name="T_bc_km_ngay_Mau_bao_cao_XNT_NVTK_tai_NPP 21.7_PIT092008 2" xfId="640"/>
    <cellStyle name="T_bc_km_ngay_Mau_bao_cao_XNT_NVTK_tai_NPP 3.7" xfId="641"/>
    <cellStyle name="T_bc_km_ngay_Mau_bao_cao_XNT_NVTK_tai_NPP 3.7 2" xfId="642"/>
    <cellStyle name="T_bc_km_ngay_Mau_bao_cao_XNT_NVTK_tai_NPP 3.7_1" xfId="643"/>
    <cellStyle name="T_bc_km_ngay_Mau_bao_cao_XNT_NVTK_tai_NPP 3.7_1 2" xfId="644"/>
    <cellStyle name="T_bc_km_ngay_Mau_bao_cao_XNT_NVTK_tai_NPP 3.7_1_PIT092008" xfId="645"/>
    <cellStyle name="T_bc_km_ngay_Mau_bao_cao_XNT_NVTK_tai_NPP 3.7_1_PIT092008 2" xfId="646"/>
    <cellStyle name="T_bc_km_ngay_Mau_bao_cao_XNT_NVTK_tai_NPP 3.7_PIT092008" xfId="647"/>
    <cellStyle name="T_bc_km_ngay_Mau_bao_cao_XNT_NVTK_tai_NPP 3.7_PIT092008 2" xfId="648"/>
    <cellStyle name="T_bc_km_ngay_PIT092008" xfId="649"/>
    <cellStyle name="T_bc_km_ngay_PIT092008 2" xfId="650"/>
    <cellStyle name="T_Book1" xfId="651"/>
    <cellStyle name="T_Book1 2" xfId="652"/>
    <cellStyle name="T_Book1_03TBH MOI" xfId="653"/>
    <cellStyle name="T_Book1_03TBH MOI 2" xfId="654"/>
    <cellStyle name="T_Book1_03TBH MOI_PIT092008" xfId="655"/>
    <cellStyle name="T_Book1_03TBH MOI_PIT092008 2" xfId="656"/>
    <cellStyle name="T_Book1_1" xfId="657"/>
    <cellStyle name="T_Book1_1 2" xfId="658"/>
    <cellStyle name="T_Book1_1_F4_5_6__Bao_cao_tai_NPP BICH TIEN" xfId="659"/>
    <cellStyle name="T_Book1_1_F4_5_6__Bao_cao_tai_NPP BICH TIEN 2" xfId="660"/>
    <cellStyle name="T_Book1_1_F4_5_6__Bao_cao_tai_NPP BICH TIEN_PIT092008" xfId="661"/>
    <cellStyle name="T_Book1_1_F4_5_6__Bao_cao_tai_NPP BICH TIEN_PIT092008 2" xfId="662"/>
    <cellStyle name="T_Book1_1_Mau -bao_cao_XNT_NVTK_tai_NPP 19.7" xfId="663"/>
    <cellStyle name="T_Book1_1_Mau -bao_cao_XNT_NVTK_tai_NPP 19.7 2" xfId="664"/>
    <cellStyle name="T_Book1_1_Mau -bao_cao_XNT_NVTK_tai_NPP 19.7_PIT092008" xfId="665"/>
    <cellStyle name="T_Book1_1_Mau -bao_cao_XNT_NVTK_tai_NPP 19.7_PIT092008 2" xfId="666"/>
    <cellStyle name="T_Book1_1_PIT092008" xfId="667"/>
    <cellStyle name="T_Book1_1_PIT092008 2" xfId="668"/>
    <cellStyle name="T_Book1_2" xfId="669"/>
    <cellStyle name="T_Book1_2 2" xfId="670"/>
    <cellStyle name="T_Book1_2_F4_5_6__Bao_cao_tai_NPP BICH TIEN" xfId="671"/>
    <cellStyle name="T_Book1_2_F4_5_6__Bao_cao_tai_NPP BICH TIEN 2" xfId="672"/>
    <cellStyle name="T_Book1_2_F4_5_6__Bao_cao_tai_NPP BICH TIEN_PIT092008" xfId="673"/>
    <cellStyle name="T_Book1_2_F4_5_6__Bao_cao_tai_NPP BICH TIEN_PIT092008 2" xfId="674"/>
    <cellStyle name="T_Book1_2_Mau_bao_cao_XNT_NVTK_tai_NPP 21.7" xfId="675"/>
    <cellStyle name="T_Book1_2_Mau_bao_cao_XNT_NVTK_tai_NPP 21.7 2" xfId="676"/>
    <cellStyle name="T_Book1_2_Mau_bao_cao_XNT_NVTK_tai_NPP 21.7_PIT092008" xfId="677"/>
    <cellStyle name="T_Book1_2_Mau_bao_cao_XNT_NVTK_tai_NPP 21.7_PIT092008 2" xfId="678"/>
    <cellStyle name="T_Book1_2_PIT092008" xfId="679"/>
    <cellStyle name="T_Book1_2_PIT092008 2" xfId="680"/>
    <cellStyle name="T_Book1_Book1" xfId="681"/>
    <cellStyle name="T_Book1_Book1 2" xfId="682"/>
    <cellStyle name="T_Book1_Book1_1" xfId="683"/>
    <cellStyle name="T_Book1_Book1_1 2" xfId="684"/>
    <cellStyle name="T_Book1_Book1_1_F4_5_6__Bao_cao_tai_NPP BICH TIEN" xfId="685"/>
    <cellStyle name="T_Book1_Book1_1_F4_5_6__Bao_cao_tai_NPP BICH TIEN 2" xfId="686"/>
    <cellStyle name="T_Book1_Book1_1_F4_5_6__Bao_cao_tai_NPP BICH TIEN_PIT092008" xfId="687"/>
    <cellStyle name="T_Book1_Book1_1_F4_5_6__Bao_cao_tai_NPP BICH TIEN_PIT092008 2" xfId="688"/>
    <cellStyle name="T_Book1_Book1_1_PIT092008" xfId="689"/>
    <cellStyle name="T_Book1_Book1_1_PIT092008 2" xfId="690"/>
    <cellStyle name="T_Book1_Book1_F4_5_6__Bao_cao_tai_NPP BICH TIEN" xfId="691"/>
    <cellStyle name="T_Book1_Book1_F4_5_6__Bao_cao_tai_NPP BICH TIEN 2" xfId="692"/>
    <cellStyle name="T_Book1_Book1_F4_5_6__Bao_cao_tai_NPP BICH TIEN_PIT092008" xfId="693"/>
    <cellStyle name="T_Book1_Book1_F4_5_6__Bao_cao_tai_NPP BICH TIEN_PIT092008 2" xfId="694"/>
    <cellStyle name="T_Book1_Book1_Mau_bao_cao_XNT_NVTK_tai_NPP 21.7" xfId="695"/>
    <cellStyle name="T_Book1_Book1_Mau_bao_cao_XNT_NVTK_tai_NPP 21.7 2" xfId="696"/>
    <cellStyle name="T_Book1_Book1_Mau_bao_cao_XNT_NVTK_tai_NPP 21.7_PIT092008" xfId="697"/>
    <cellStyle name="T_Book1_Book1_Mau_bao_cao_XNT_NVTK_tai_NPP 21.7_PIT092008 2" xfId="698"/>
    <cellStyle name="T_Book1_Book1_PIT092008" xfId="699"/>
    <cellStyle name="T_Book1_Book1_PIT092008 2" xfId="700"/>
    <cellStyle name="T_Book1_Book1_SAY FASHION" xfId="701"/>
    <cellStyle name="T_Book1_Book1_SAY FASHION 2" xfId="702"/>
    <cellStyle name="T_Book1_Book1_SAY FASHION_PIT092008" xfId="703"/>
    <cellStyle name="T_Book1_Book1_SAY FASHION_PIT092008 2" xfId="704"/>
    <cellStyle name="T_Book1_Copy of Mau_bao_cao_XNT_NVTK_tai_NPP" xfId="705"/>
    <cellStyle name="T_Book1_Copy of Mau_bao_cao_XNT_NVTK_tai_NPP 2" xfId="706"/>
    <cellStyle name="T_Book1_Copy of Mau_bao_cao_XNT_NVTK_tai_NPP_PIT092008" xfId="707"/>
    <cellStyle name="T_Book1_Copy of Mau_bao_cao_XNT_NVTK_tai_NPP_PIT092008 2" xfId="708"/>
    <cellStyle name="T_Book1_ĐƠN ĐẶT HÀNG VNM" xfId="709"/>
    <cellStyle name="T_Book1_ĐƠN ĐẶT HÀNG VNM 2" xfId="710"/>
    <cellStyle name="T_Book1_ĐƠN ĐẶT HÀNG VNM_PIT092008" xfId="711"/>
    <cellStyle name="T_Book1_ĐƠN ĐẶT HÀNG VNM_PIT092008 2" xfId="712"/>
    <cellStyle name="T_Book1_F4_5_6__Bao_cao_tai_NPP BICH TIEN" xfId="713"/>
    <cellStyle name="T_Book1_F4_5_6__Bao_cao_tai_NPP BICH TIEN 2" xfId="714"/>
    <cellStyle name="T_Book1_F4_5_6__Bao_cao_tai_NPP BICH TIEN_PIT092008" xfId="715"/>
    <cellStyle name="T_Book1_F4_5_6__Bao_cao_tai_NPP BICH TIEN_PIT092008 2" xfId="716"/>
    <cellStyle name="T_Book1_form__moi__bao_cao_ngay_NEW_AGAIN" xfId="717"/>
    <cellStyle name="T_Book1_form__moi__bao_cao_ngay_NEW_AGAIN 2" xfId="718"/>
    <cellStyle name="T_Book1_form__moi__bao_cao_ngay_NEW_AGAIN_PIT092008" xfId="719"/>
    <cellStyle name="T_Book1_form__moi__bao_cao_ngay_NEW_AGAIN_PIT092008 2" xfId="720"/>
    <cellStyle name="T_Book1_Mau -bao_cao_XNT_NVTK_tai_NPP 19.7" xfId="721"/>
    <cellStyle name="T_Book1_Mau -bao_cao_XNT_NVTK_tai_NPP 19.7 2" xfId="722"/>
    <cellStyle name="T_Book1_Mau -bao_cao_XNT_NVTK_tai_NPP 19.7_PIT092008" xfId="723"/>
    <cellStyle name="T_Book1_Mau -bao_cao_XNT_NVTK_tai_NPP 19.7_PIT092008 2" xfId="724"/>
    <cellStyle name="T_Book1_Mau_bao_cao_XNT_NVTK_tai_NPP 21.7" xfId="725"/>
    <cellStyle name="T_Book1_Mau_bao_cao_XNT_NVTK_tai_NPP 21.7 2" xfId="726"/>
    <cellStyle name="T_Book1_Mau_bao_cao_XNT_NVTK_tai_NPP 21.7_PIT092008" xfId="727"/>
    <cellStyle name="T_Book1_Mau_bao_cao_XNT_NVTK_tai_NPP 21.7_PIT092008 2" xfId="728"/>
    <cellStyle name="T_Book1_Mau_bao_cao_XNT_NVTK_tai_NPP 3.7" xfId="729"/>
    <cellStyle name="T_Book1_Mau_bao_cao_XNT_NVTK_tai_NPP 3.7 2" xfId="730"/>
    <cellStyle name="T_Book1_Mau_bao_cao_XNT_NVTK_tai_NPP 3.7_1" xfId="731"/>
    <cellStyle name="T_Book1_Mau_bao_cao_XNT_NVTK_tai_NPP 3.7_1 2" xfId="732"/>
    <cellStyle name="T_Book1_Mau_bao_cao_XNT_NVTK_tai_NPP 3.7_1_PIT092008" xfId="733"/>
    <cellStyle name="T_Book1_Mau_bao_cao_XNT_NVTK_tai_NPP 3.7_1_PIT092008 2" xfId="734"/>
    <cellStyle name="T_Book1_Mau_bao_cao_XNT_NVTK_tai_NPP 3.7_PIT092008" xfId="735"/>
    <cellStyle name="T_Book1_Mau_bao_cao_XNT_NVTK_tai_NPP 3.7_PIT092008 2" xfId="736"/>
    <cellStyle name="T_Book1_PIT092008" xfId="737"/>
    <cellStyle name="T_Book1_PIT092008 2" xfId="738"/>
    <cellStyle name="T_Book1_SAY FASHION" xfId="739"/>
    <cellStyle name="T_Book1_SAY FASHION 2" xfId="740"/>
    <cellStyle name="T_Book1_SAY FASHION_PIT092008" xfId="741"/>
    <cellStyle name="T_Book1_SAY FASHION_PIT092008 2" xfId="742"/>
    <cellStyle name="T_Cac bao cao TB  Milk-Yomilk-co Ke- CK 1-Vinh Thang" xfId="743"/>
    <cellStyle name="T_Cac bao cao TB  Milk-Yomilk-co Ke- CK 1-Vinh Thang 2" xfId="744"/>
    <cellStyle name="T_Cac bao cao TB  Milk-Yomilk-co Ke- CK 1-Vinh Thang_Book1" xfId="745"/>
    <cellStyle name="T_Cac bao cao TB  Milk-Yomilk-co Ke- CK 1-Vinh Thang_Book1 2" xfId="746"/>
    <cellStyle name="T_Cac bao cao TB  Milk-Yomilk-co Ke- CK 1-Vinh Thang_Book1_F4_5_6__Bao_cao_tai_NPP BICH TIEN" xfId="747"/>
    <cellStyle name="T_Cac bao cao TB  Milk-Yomilk-co Ke- CK 1-Vinh Thang_Book1_F4_5_6__Bao_cao_tai_NPP BICH TIEN 2" xfId="748"/>
    <cellStyle name="T_Cac bao cao TB  Milk-Yomilk-co Ke- CK 1-Vinh Thang_Book1_F4_5_6__Bao_cao_tai_NPP BICH TIEN_PIT092008" xfId="749"/>
    <cellStyle name="T_Cac bao cao TB  Milk-Yomilk-co Ke- CK 1-Vinh Thang_Book1_F4_5_6__Bao_cao_tai_NPP BICH TIEN_PIT092008 2" xfId="750"/>
    <cellStyle name="T_Cac bao cao TB  Milk-Yomilk-co Ke- CK 1-Vinh Thang_Book1_Mau_bao_cao_XNT_NVTK_tai_NPP 21.7" xfId="751"/>
    <cellStyle name="T_Cac bao cao TB  Milk-Yomilk-co Ke- CK 1-Vinh Thang_Book1_Mau_bao_cao_XNT_NVTK_tai_NPP 21.7 2" xfId="752"/>
    <cellStyle name="T_Cac bao cao TB  Milk-Yomilk-co Ke- CK 1-Vinh Thang_Book1_Mau_bao_cao_XNT_NVTK_tai_NPP 21.7_PIT092008" xfId="753"/>
    <cellStyle name="T_Cac bao cao TB  Milk-Yomilk-co Ke- CK 1-Vinh Thang_Book1_Mau_bao_cao_XNT_NVTK_tai_NPP 21.7_PIT092008 2" xfId="754"/>
    <cellStyle name="T_Cac bao cao TB  Milk-Yomilk-co Ke- CK 1-Vinh Thang_Book1_PIT092008" xfId="755"/>
    <cellStyle name="T_Cac bao cao TB  Milk-Yomilk-co Ke- CK 1-Vinh Thang_Book1_PIT092008 2" xfId="756"/>
    <cellStyle name="T_Cac bao cao TB  Milk-Yomilk-co Ke- CK 1-Vinh Thang_Copy of Mau_bao_cao_XNT_NVTK_tai_NPP" xfId="757"/>
    <cellStyle name="T_Cac bao cao TB  Milk-Yomilk-co Ke- CK 1-Vinh Thang_Copy of Mau_bao_cao_XNT_NVTK_tai_NPP 2" xfId="758"/>
    <cellStyle name="T_Cac bao cao TB  Milk-Yomilk-co Ke- CK 1-Vinh Thang_Copy of Mau_bao_cao_XNT_NVTK_tai_NPP_PIT092008" xfId="759"/>
    <cellStyle name="T_Cac bao cao TB  Milk-Yomilk-co Ke- CK 1-Vinh Thang_Copy of Mau_bao_cao_XNT_NVTK_tai_NPP_PIT092008 2" xfId="760"/>
    <cellStyle name="T_Cac bao cao TB  Milk-Yomilk-co Ke- CK 1-Vinh Thang_ĐƠN ĐẶT HÀNG VNM" xfId="761"/>
    <cellStyle name="T_Cac bao cao TB  Milk-Yomilk-co Ke- CK 1-Vinh Thang_ĐƠN ĐẶT HÀNG VNM 2" xfId="762"/>
    <cellStyle name="T_Cac bao cao TB  Milk-Yomilk-co Ke- CK 1-Vinh Thang_ĐƠN ĐẶT HÀNG VNM_PIT092008" xfId="763"/>
    <cellStyle name="T_Cac bao cao TB  Milk-Yomilk-co Ke- CK 1-Vinh Thang_ĐƠN ĐẶT HÀNG VNM_PIT092008 2" xfId="764"/>
    <cellStyle name="T_Cac bao cao TB  Milk-Yomilk-co Ke- CK 1-Vinh Thang_F4_5_6__Bao_cao_tai_NPP BICH TIEN" xfId="765"/>
    <cellStyle name="T_Cac bao cao TB  Milk-Yomilk-co Ke- CK 1-Vinh Thang_F4_5_6__Bao_cao_tai_NPP BICH TIEN 2" xfId="766"/>
    <cellStyle name="T_Cac bao cao TB  Milk-Yomilk-co Ke- CK 1-Vinh Thang_F4_5_6__Bao_cao_tai_NPP BICH TIEN_PIT092008" xfId="767"/>
    <cellStyle name="T_Cac bao cao TB  Milk-Yomilk-co Ke- CK 1-Vinh Thang_F4_5_6__Bao_cao_tai_NPP BICH TIEN_PIT092008 2" xfId="768"/>
    <cellStyle name="T_Cac bao cao TB  Milk-Yomilk-co Ke- CK 1-Vinh Thang_form__moi__bao_cao_ngay_NEW_AGAIN" xfId="769"/>
    <cellStyle name="T_Cac bao cao TB  Milk-Yomilk-co Ke- CK 1-Vinh Thang_form__moi__bao_cao_ngay_NEW_AGAIN 2" xfId="770"/>
    <cellStyle name="T_Cac bao cao TB  Milk-Yomilk-co Ke- CK 1-Vinh Thang_form__moi__bao_cao_ngay_NEW_AGAIN_PIT092008" xfId="771"/>
    <cellStyle name="T_Cac bao cao TB  Milk-Yomilk-co Ke- CK 1-Vinh Thang_form__moi__bao_cao_ngay_NEW_AGAIN_PIT092008 2" xfId="772"/>
    <cellStyle name="T_Cac bao cao TB  Milk-Yomilk-co Ke- CK 1-Vinh Thang_Mau -bao_cao_XNT_NVTK_tai_NPP 19.7" xfId="773"/>
    <cellStyle name="T_Cac bao cao TB  Milk-Yomilk-co Ke- CK 1-Vinh Thang_Mau -bao_cao_XNT_NVTK_tai_NPP 19.7 2" xfId="774"/>
    <cellStyle name="T_Cac bao cao TB  Milk-Yomilk-co Ke- CK 1-Vinh Thang_Mau -bao_cao_XNT_NVTK_tai_NPP 19.7_PIT092008" xfId="775"/>
    <cellStyle name="T_Cac bao cao TB  Milk-Yomilk-co Ke- CK 1-Vinh Thang_Mau -bao_cao_XNT_NVTK_tai_NPP 19.7_PIT092008 2" xfId="776"/>
    <cellStyle name="T_Cac bao cao TB  Milk-Yomilk-co Ke- CK 1-Vinh Thang_Mau_bao_cao_XNT_NVTK_tai_NPP 21.7" xfId="777"/>
    <cellStyle name="T_Cac bao cao TB  Milk-Yomilk-co Ke- CK 1-Vinh Thang_Mau_bao_cao_XNT_NVTK_tai_NPP 21.7 2" xfId="778"/>
    <cellStyle name="T_Cac bao cao TB  Milk-Yomilk-co Ke- CK 1-Vinh Thang_Mau_bao_cao_XNT_NVTK_tai_NPP 21.7_PIT092008" xfId="779"/>
    <cellStyle name="T_Cac bao cao TB  Milk-Yomilk-co Ke- CK 1-Vinh Thang_Mau_bao_cao_XNT_NVTK_tai_NPP 21.7_PIT092008 2" xfId="780"/>
    <cellStyle name="T_Cac bao cao TB  Milk-Yomilk-co Ke- CK 1-Vinh Thang_Mau_bao_cao_XNT_NVTK_tai_NPP 3.7" xfId="781"/>
    <cellStyle name="T_Cac bao cao TB  Milk-Yomilk-co Ke- CK 1-Vinh Thang_Mau_bao_cao_XNT_NVTK_tai_NPP 3.7 2" xfId="782"/>
    <cellStyle name="T_Cac bao cao TB  Milk-Yomilk-co Ke- CK 1-Vinh Thang_Mau_bao_cao_XNT_NVTK_tai_NPP 3.7_1" xfId="783"/>
    <cellStyle name="T_Cac bao cao TB  Milk-Yomilk-co Ke- CK 1-Vinh Thang_Mau_bao_cao_XNT_NVTK_tai_NPP 3.7_1 2" xfId="784"/>
    <cellStyle name="T_Cac bao cao TB  Milk-Yomilk-co Ke- CK 1-Vinh Thang_Mau_bao_cao_XNT_NVTK_tai_NPP 3.7_1_PIT092008" xfId="785"/>
    <cellStyle name="T_Cac bao cao TB  Milk-Yomilk-co Ke- CK 1-Vinh Thang_Mau_bao_cao_XNT_NVTK_tai_NPP 3.7_1_PIT092008 2" xfId="786"/>
    <cellStyle name="T_Cac bao cao TB  Milk-Yomilk-co Ke- CK 1-Vinh Thang_Mau_bao_cao_XNT_NVTK_tai_NPP 3.7_PIT092008" xfId="787"/>
    <cellStyle name="T_Cac bao cao TB  Milk-Yomilk-co Ke- CK 1-Vinh Thang_Mau_bao_cao_XNT_NVTK_tai_NPP 3.7_PIT092008 2" xfId="788"/>
    <cellStyle name="T_Cac bao cao TB  Milk-Yomilk-co Ke- CK 1-Vinh Thang_PIT092008" xfId="789"/>
    <cellStyle name="T_Cac bao cao TB  Milk-Yomilk-co Ke- CK 1-Vinh Thang_PIT092008 2" xfId="790"/>
    <cellStyle name="T_cham diem Milk chu ky2-ANH MINH" xfId="791"/>
    <cellStyle name="T_cham diem Milk chu ky2-ANH MINH 2" xfId="792"/>
    <cellStyle name="T_cham diem Milk chu ky2-ANH MINH_Book1" xfId="793"/>
    <cellStyle name="T_cham diem Milk chu ky2-ANH MINH_Book1 2" xfId="794"/>
    <cellStyle name="T_cham diem Milk chu ky2-ANH MINH_Book1_F4_5_6__Bao_cao_tai_NPP BICH TIEN" xfId="795"/>
    <cellStyle name="T_cham diem Milk chu ky2-ANH MINH_Book1_F4_5_6__Bao_cao_tai_NPP BICH TIEN 2" xfId="796"/>
    <cellStyle name="T_cham diem Milk chu ky2-ANH MINH_Book1_F4_5_6__Bao_cao_tai_NPP BICH TIEN_PIT092008" xfId="797"/>
    <cellStyle name="T_cham diem Milk chu ky2-ANH MINH_Book1_F4_5_6__Bao_cao_tai_NPP BICH TIEN_PIT092008 2" xfId="798"/>
    <cellStyle name="T_cham diem Milk chu ky2-ANH MINH_Book1_Mau_bao_cao_XNT_NVTK_tai_NPP 21.7" xfId="799"/>
    <cellStyle name="T_cham diem Milk chu ky2-ANH MINH_Book1_Mau_bao_cao_XNT_NVTK_tai_NPP 21.7 2" xfId="800"/>
    <cellStyle name="T_cham diem Milk chu ky2-ANH MINH_Book1_Mau_bao_cao_XNT_NVTK_tai_NPP 21.7_PIT092008" xfId="801"/>
    <cellStyle name="T_cham diem Milk chu ky2-ANH MINH_Book1_Mau_bao_cao_XNT_NVTK_tai_NPP 21.7_PIT092008 2" xfId="802"/>
    <cellStyle name="T_cham diem Milk chu ky2-ANH MINH_Book1_PIT092008" xfId="803"/>
    <cellStyle name="T_cham diem Milk chu ky2-ANH MINH_Book1_PIT092008 2" xfId="804"/>
    <cellStyle name="T_cham diem Milk chu ky2-ANH MINH_Copy of Mau_bao_cao_XNT_NVTK_tai_NPP" xfId="805"/>
    <cellStyle name="T_cham diem Milk chu ky2-ANH MINH_Copy of Mau_bao_cao_XNT_NVTK_tai_NPP 2" xfId="806"/>
    <cellStyle name="T_cham diem Milk chu ky2-ANH MINH_Copy of Mau_bao_cao_XNT_NVTK_tai_NPP_PIT092008" xfId="807"/>
    <cellStyle name="T_cham diem Milk chu ky2-ANH MINH_Copy of Mau_bao_cao_XNT_NVTK_tai_NPP_PIT092008 2" xfId="808"/>
    <cellStyle name="T_cham diem Milk chu ky2-ANH MINH_ĐƠN ĐẶT HÀNG VNM" xfId="809"/>
    <cellStyle name="T_cham diem Milk chu ky2-ANH MINH_ĐƠN ĐẶT HÀNG VNM 2" xfId="810"/>
    <cellStyle name="T_cham diem Milk chu ky2-ANH MINH_ĐƠN ĐẶT HÀNG VNM_PIT092008" xfId="811"/>
    <cellStyle name="T_cham diem Milk chu ky2-ANH MINH_ĐƠN ĐẶT HÀNG VNM_PIT092008 2" xfId="812"/>
    <cellStyle name="T_cham diem Milk chu ky2-ANH MINH_F4_5_6__Bao_cao_tai_NPP BICH TIEN" xfId="813"/>
    <cellStyle name="T_cham diem Milk chu ky2-ANH MINH_F4_5_6__Bao_cao_tai_NPP BICH TIEN 2" xfId="814"/>
    <cellStyle name="T_cham diem Milk chu ky2-ANH MINH_F4_5_6__Bao_cao_tai_NPP BICH TIEN_PIT092008" xfId="815"/>
    <cellStyle name="T_cham diem Milk chu ky2-ANH MINH_F4_5_6__Bao_cao_tai_NPP BICH TIEN_PIT092008 2" xfId="816"/>
    <cellStyle name="T_cham diem Milk chu ky2-ANH MINH_form__moi__bao_cao_ngay_NEW_AGAIN" xfId="817"/>
    <cellStyle name="T_cham diem Milk chu ky2-ANH MINH_form__moi__bao_cao_ngay_NEW_AGAIN 2" xfId="818"/>
    <cellStyle name="T_cham diem Milk chu ky2-ANH MINH_form__moi__bao_cao_ngay_NEW_AGAIN_PIT092008" xfId="819"/>
    <cellStyle name="T_cham diem Milk chu ky2-ANH MINH_form__moi__bao_cao_ngay_NEW_AGAIN_PIT092008 2" xfId="820"/>
    <cellStyle name="T_cham diem Milk chu ky2-ANH MINH_Mau -bao_cao_XNT_NVTK_tai_NPP 19.7" xfId="821"/>
    <cellStyle name="T_cham diem Milk chu ky2-ANH MINH_Mau -bao_cao_XNT_NVTK_tai_NPP 19.7 2" xfId="822"/>
    <cellStyle name="T_cham diem Milk chu ky2-ANH MINH_Mau -bao_cao_XNT_NVTK_tai_NPP 19.7_PIT092008" xfId="823"/>
    <cellStyle name="T_cham diem Milk chu ky2-ANH MINH_Mau -bao_cao_XNT_NVTK_tai_NPP 19.7_PIT092008 2" xfId="824"/>
    <cellStyle name="T_cham diem Milk chu ky2-ANH MINH_Mau_bao_cao_XNT_NVTK_tai_NPP 21.7" xfId="825"/>
    <cellStyle name="T_cham diem Milk chu ky2-ANH MINH_Mau_bao_cao_XNT_NVTK_tai_NPP 21.7 2" xfId="826"/>
    <cellStyle name="T_cham diem Milk chu ky2-ANH MINH_Mau_bao_cao_XNT_NVTK_tai_NPP 21.7_PIT092008" xfId="827"/>
    <cellStyle name="T_cham diem Milk chu ky2-ANH MINH_Mau_bao_cao_XNT_NVTK_tai_NPP 21.7_PIT092008 2" xfId="828"/>
    <cellStyle name="T_cham diem Milk chu ky2-ANH MINH_Mau_bao_cao_XNT_NVTK_tai_NPP 3.7" xfId="829"/>
    <cellStyle name="T_cham diem Milk chu ky2-ANH MINH_Mau_bao_cao_XNT_NVTK_tai_NPP 3.7 2" xfId="830"/>
    <cellStyle name="T_cham diem Milk chu ky2-ANH MINH_Mau_bao_cao_XNT_NVTK_tai_NPP 3.7_1" xfId="831"/>
    <cellStyle name="T_cham diem Milk chu ky2-ANH MINH_Mau_bao_cao_XNT_NVTK_tai_NPP 3.7_1 2" xfId="832"/>
    <cellStyle name="T_cham diem Milk chu ky2-ANH MINH_Mau_bao_cao_XNT_NVTK_tai_NPP 3.7_1_PIT092008" xfId="833"/>
    <cellStyle name="T_cham diem Milk chu ky2-ANH MINH_Mau_bao_cao_XNT_NVTK_tai_NPP 3.7_1_PIT092008 2" xfId="834"/>
    <cellStyle name="T_cham diem Milk chu ky2-ANH MINH_Mau_bao_cao_XNT_NVTK_tai_NPP 3.7_PIT092008" xfId="835"/>
    <cellStyle name="T_cham diem Milk chu ky2-ANH MINH_Mau_bao_cao_XNT_NVTK_tai_NPP 3.7_PIT092008 2" xfId="836"/>
    <cellStyle name="T_cham diem Milk chu ky2-ANH MINH_PIT092008" xfId="837"/>
    <cellStyle name="T_cham diem Milk chu ky2-ANH MINH_PIT092008 2" xfId="838"/>
    <cellStyle name="T_cham trung bay ck 1 m.Bac milk co ke 2" xfId="839"/>
    <cellStyle name="T_cham trung bay ck 1 m.Bac milk co ke 2 2" xfId="840"/>
    <cellStyle name="T_cham trung bay ck 1 m.Bac milk co ke 2_Book1" xfId="841"/>
    <cellStyle name="T_cham trung bay ck 1 m.Bac milk co ke 2_Book1 2" xfId="842"/>
    <cellStyle name="T_cham trung bay ck 1 m.Bac milk co ke 2_Book1_F4_5_6__Bao_cao_tai_NPP BICH TIEN" xfId="843"/>
    <cellStyle name="T_cham trung bay ck 1 m.Bac milk co ke 2_Book1_F4_5_6__Bao_cao_tai_NPP BICH TIEN 2" xfId="844"/>
    <cellStyle name="T_cham trung bay ck 1 m.Bac milk co ke 2_Book1_F4_5_6__Bao_cao_tai_NPP BICH TIEN_PIT092008" xfId="845"/>
    <cellStyle name="T_cham trung bay ck 1 m.Bac milk co ke 2_Book1_F4_5_6__Bao_cao_tai_NPP BICH TIEN_PIT092008 2" xfId="846"/>
    <cellStyle name="T_cham trung bay ck 1 m.Bac milk co ke 2_Book1_Mau_bao_cao_XNT_NVTK_tai_NPP 21.7" xfId="847"/>
    <cellStyle name="T_cham trung bay ck 1 m.Bac milk co ke 2_Book1_Mau_bao_cao_XNT_NVTK_tai_NPP 21.7 2" xfId="848"/>
    <cellStyle name="T_cham trung bay ck 1 m.Bac milk co ke 2_Book1_Mau_bao_cao_XNT_NVTK_tai_NPP 21.7_PIT092008" xfId="849"/>
    <cellStyle name="T_cham trung bay ck 1 m.Bac milk co ke 2_Book1_Mau_bao_cao_XNT_NVTK_tai_NPP 21.7_PIT092008 2" xfId="850"/>
    <cellStyle name="T_cham trung bay ck 1 m.Bac milk co ke 2_Book1_PIT092008" xfId="851"/>
    <cellStyle name="T_cham trung bay ck 1 m.Bac milk co ke 2_Book1_PIT092008 2" xfId="852"/>
    <cellStyle name="T_cham trung bay ck 1 m.Bac milk co ke 2_Copy of Mau_bao_cao_XNT_NVTK_tai_NPP" xfId="853"/>
    <cellStyle name="T_cham trung bay ck 1 m.Bac milk co ke 2_Copy of Mau_bao_cao_XNT_NVTK_tai_NPP 2" xfId="854"/>
    <cellStyle name="T_cham trung bay ck 1 m.Bac milk co ke 2_Copy of Mau_bao_cao_XNT_NVTK_tai_NPP_PIT092008" xfId="855"/>
    <cellStyle name="T_cham trung bay ck 1 m.Bac milk co ke 2_Copy of Mau_bao_cao_XNT_NVTK_tai_NPP_PIT092008 2" xfId="856"/>
    <cellStyle name="T_cham trung bay ck 1 m.Bac milk co ke 2_ĐƠN ĐẶT HÀNG VNM" xfId="857"/>
    <cellStyle name="T_cham trung bay ck 1 m.Bac milk co ke 2_ĐƠN ĐẶT HÀNG VNM 2" xfId="858"/>
    <cellStyle name="T_cham trung bay ck 1 m.Bac milk co ke 2_ĐƠN ĐẶT HÀNG VNM_PIT092008" xfId="859"/>
    <cellStyle name="T_cham trung bay ck 1 m.Bac milk co ke 2_ĐƠN ĐẶT HÀNG VNM_PIT092008 2" xfId="860"/>
    <cellStyle name="T_cham trung bay ck 1 m.Bac milk co ke 2_F4_5_6__Bao_cao_tai_NPP BICH TIEN" xfId="861"/>
    <cellStyle name="T_cham trung bay ck 1 m.Bac milk co ke 2_F4_5_6__Bao_cao_tai_NPP BICH TIEN 2" xfId="862"/>
    <cellStyle name="T_cham trung bay ck 1 m.Bac milk co ke 2_F4_5_6__Bao_cao_tai_NPP BICH TIEN_PIT092008" xfId="863"/>
    <cellStyle name="T_cham trung bay ck 1 m.Bac milk co ke 2_F4_5_6__Bao_cao_tai_NPP BICH TIEN_PIT092008 2" xfId="864"/>
    <cellStyle name="T_cham trung bay ck 1 m.Bac milk co ke 2_form__moi__bao_cao_ngay_NEW_AGAIN" xfId="865"/>
    <cellStyle name="T_cham trung bay ck 1 m.Bac milk co ke 2_form__moi__bao_cao_ngay_NEW_AGAIN 2" xfId="866"/>
    <cellStyle name="T_cham trung bay ck 1 m.Bac milk co ke 2_form__moi__bao_cao_ngay_NEW_AGAIN_PIT092008" xfId="867"/>
    <cellStyle name="T_cham trung bay ck 1 m.Bac milk co ke 2_form__moi__bao_cao_ngay_NEW_AGAIN_PIT092008 2" xfId="868"/>
    <cellStyle name="T_cham trung bay ck 1 m.Bac milk co ke 2_Mau -bao_cao_XNT_NVTK_tai_NPP 19.7" xfId="869"/>
    <cellStyle name="T_cham trung bay ck 1 m.Bac milk co ke 2_Mau -bao_cao_XNT_NVTK_tai_NPP 19.7 2" xfId="870"/>
    <cellStyle name="T_cham trung bay ck 1 m.Bac milk co ke 2_Mau -bao_cao_XNT_NVTK_tai_NPP 19.7_PIT092008" xfId="871"/>
    <cellStyle name="T_cham trung bay ck 1 m.Bac milk co ke 2_Mau -bao_cao_XNT_NVTK_tai_NPP 19.7_PIT092008 2" xfId="872"/>
    <cellStyle name="T_cham trung bay ck 1 m.Bac milk co ke 2_Mau_bao_cao_XNT_NVTK_tai_NPP 21.7" xfId="873"/>
    <cellStyle name="T_cham trung bay ck 1 m.Bac milk co ke 2_Mau_bao_cao_XNT_NVTK_tai_NPP 21.7 2" xfId="874"/>
    <cellStyle name="T_cham trung bay ck 1 m.Bac milk co ke 2_Mau_bao_cao_XNT_NVTK_tai_NPP 21.7_PIT092008" xfId="875"/>
    <cellStyle name="T_cham trung bay ck 1 m.Bac milk co ke 2_Mau_bao_cao_XNT_NVTK_tai_NPP 21.7_PIT092008 2" xfId="876"/>
    <cellStyle name="T_cham trung bay ck 1 m.Bac milk co ke 2_Mau_bao_cao_XNT_NVTK_tai_NPP 3.7" xfId="877"/>
    <cellStyle name="T_cham trung bay ck 1 m.Bac milk co ke 2_Mau_bao_cao_XNT_NVTK_tai_NPP 3.7 2" xfId="878"/>
    <cellStyle name="T_cham trung bay ck 1 m.Bac milk co ke 2_Mau_bao_cao_XNT_NVTK_tai_NPP 3.7_1" xfId="879"/>
    <cellStyle name="T_cham trung bay ck 1 m.Bac milk co ke 2_Mau_bao_cao_XNT_NVTK_tai_NPP 3.7_1 2" xfId="880"/>
    <cellStyle name="T_cham trung bay ck 1 m.Bac milk co ke 2_Mau_bao_cao_XNT_NVTK_tai_NPP 3.7_1_PIT092008" xfId="881"/>
    <cellStyle name="T_cham trung bay ck 1 m.Bac milk co ke 2_Mau_bao_cao_XNT_NVTK_tai_NPP 3.7_1_PIT092008 2" xfId="882"/>
    <cellStyle name="T_cham trung bay ck 1 m.Bac milk co ke 2_Mau_bao_cao_XNT_NVTK_tai_NPP 3.7_PIT092008" xfId="883"/>
    <cellStyle name="T_cham trung bay ck 1 m.Bac milk co ke 2_Mau_bao_cao_XNT_NVTK_tai_NPP 3.7_PIT092008 2" xfId="884"/>
    <cellStyle name="T_cham trung bay ck 1 m.Bac milk co ke 2_PIT092008" xfId="885"/>
    <cellStyle name="T_cham trung bay ck 1 m.Bac milk co ke 2_PIT092008 2" xfId="886"/>
    <cellStyle name="T_cham trung bay yao smart milk ck 2 mien Bac" xfId="887"/>
    <cellStyle name="T_cham trung bay yao smart milk ck 2 mien Bac 2" xfId="888"/>
    <cellStyle name="T_cham trung bay yao smart milk ck 2 mien Bac_Book1" xfId="889"/>
    <cellStyle name="T_cham trung bay yao smart milk ck 2 mien Bac_Book1 2" xfId="890"/>
    <cellStyle name="T_cham trung bay yao smart milk ck 2 mien Bac_Book1_F4_5_6__Bao_cao_tai_NPP BICH TIEN" xfId="891"/>
    <cellStyle name="T_cham trung bay yao smart milk ck 2 mien Bac_Book1_F4_5_6__Bao_cao_tai_NPP BICH TIEN 2" xfId="892"/>
    <cellStyle name="T_cham trung bay yao smart milk ck 2 mien Bac_Book1_F4_5_6__Bao_cao_tai_NPP BICH TIEN_PIT092008" xfId="893"/>
    <cellStyle name="T_cham trung bay yao smart milk ck 2 mien Bac_Book1_F4_5_6__Bao_cao_tai_NPP BICH TIEN_PIT092008 2" xfId="894"/>
    <cellStyle name="T_cham trung bay yao smart milk ck 2 mien Bac_Book1_Mau_bao_cao_XNT_NVTK_tai_NPP 21.7" xfId="895"/>
    <cellStyle name="T_cham trung bay yao smart milk ck 2 mien Bac_Book1_Mau_bao_cao_XNT_NVTK_tai_NPP 21.7 2" xfId="896"/>
    <cellStyle name="T_cham trung bay yao smart milk ck 2 mien Bac_Book1_Mau_bao_cao_XNT_NVTK_tai_NPP 21.7_PIT092008" xfId="897"/>
    <cellStyle name="T_cham trung bay yao smart milk ck 2 mien Bac_Book1_Mau_bao_cao_XNT_NVTK_tai_NPP 21.7_PIT092008 2" xfId="898"/>
    <cellStyle name="T_cham trung bay yao smart milk ck 2 mien Bac_Book1_PIT092008" xfId="899"/>
    <cellStyle name="T_cham trung bay yao smart milk ck 2 mien Bac_Book1_PIT092008 2" xfId="900"/>
    <cellStyle name="T_cham trung bay yao smart milk ck 2 mien Bac_Copy of Mau_bao_cao_XNT_NVTK_tai_NPP" xfId="901"/>
    <cellStyle name="T_cham trung bay yao smart milk ck 2 mien Bac_Copy of Mau_bao_cao_XNT_NVTK_tai_NPP 2" xfId="902"/>
    <cellStyle name="T_cham trung bay yao smart milk ck 2 mien Bac_Copy of Mau_bao_cao_XNT_NVTK_tai_NPP_PIT092008" xfId="903"/>
    <cellStyle name="T_cham trung bay yao smart milk ck 2 mien Bac_Copy of Mau_bao_cao_XNT_NVTK_tai_NPP_PIT092008 2" xfId="904"/>
    <cellStyle name="T_cham trung bay yao smart milk ck 2 mien Bac_ĐƠN ĐẶT HÀNG VNM" xfId="905"/>
    <cellStyle name="T_cham trung bay yao smart milk ck 2 mien Bac_ĐƠN ĐẶT HÀNG VNM 2" xfId="906"/>
    <cellStyle name="T_cham trung bay yao smart milk ck 2 mien Bac_ĐƠN ĐẶT HÀNG VNM_PIT092008" xfId="907"/>
    <cellStyle name="T_cham trung bay yao smart milk ck 2 mien Bac_ĐƠN ĐẶT HÀNG VNM_PIT092008 2" xfId="908"/>
    <cellStyle name="T_cham trung bay yao smart milk ck 2 mien Bac_F4_5_6__Bao_cao_tai_NPP BICH TIEN" xfId="909"/>
    <cellStyle name="T_cham trung bay yao smart milk ck 2 mien Bac_F4_5_6__Bao_cao_tai_NPP BICH TIEN 2" xfId="910"/>
    <cellStyle name="T_cham trung bay yao smart milk ck 2 mien Bac_F4_5_6__Bao_cao_tai_NPP BICH TIEN_PIT092008" xfId="911"/>
    <cellStyle name="T_cham trung bay yao smart milk ck 2 mien Bac_F4_5_6__Bao_cao_tai_NPP BICH TIEN_PIT092008 2" xfId="912"/>
    <cellStyle name="T_cham trung bay yao smart milk ck 2 mien Bac_form__moi__bao_cao_ngay_NEW_AGAIN" xfId="913"/>
    <cellStyle name="T_cham trung bay yao smart milk ck 2 mien Bac_form__moi__bao_cao_ngay_NEW_AGAIN 2" xfId="914"/>
    <cellStyle name="T_cham trung bay yao smart milk ck 2 mien Bac_form__moi__bao_cao_ngay_NEW_AGAIN_PIT092008" xfId="915"/>
    <cellStyle name="T_cham trung bay yao smart milk ck 2 mien Bac_form__moi__bao_cao_ngay_NEW_AGAIN_PIT092008 2" xfId="916"/>
    <cellStyle name="T_cham trung bay yao smart milk ck 2 mien Bac_Mau -bao_cao_XNT_NVTK_tai_NPP 19.7" xfId="917"/>
    <cellStyle name="T_cham trung bay yao smart milk ck 2 mien Bac_Mau -bao_cao_XNT_NVTK_tai_NPP 19.7 2" xfId="918"/>
    <cellStyle name="T_cham trung bay yao smart milk ck 2 mien Bac_Mau -bao_cao_XNT_NVTK_tai_NPP 19.7_PIT092008" xfId="919"/>
    <cellStyle name="T_cham trung bay yao smart milk ck 2 mien Bac_Mau -bao_cao_XNT_NVTK_tai_NPP 19.7_PIT092008 2" xfId="920"/>
    <cellStyle name="T_cham trung bay yao smart milk ck 2 mien Bac_Mau_bao_cao_XNT_NVTK_tai_NPP 21.7" xfId="921"/>
    <cellStyle name="T_cham trung bay yao smart milk ck 2 mien Bac_Mau_bao_cao_XNT_NVTK_tai_NPP 21.7 2" xfId="922"/>
    <cellStyle name="T_cham trung bay yao smart milk ck 2 mien Bac_Mau_bao_cao_XNT_NVTK_tai_NPP 21.7_PIT092008" xfId="923"/>
    <cellStyle name="T_cham trung bay yao smart milk ck 2 mien Bac_Mau_bao_cao_XNT_NVTK_tai_NPP 21.7_PIT092008 2" xfId="924"/>
    <cellStyle name="T_cham trung bay yao smart milk ck 2 mien Bac_Mau_bao_cao_XNT_NVTK_tai_NPP 3.7" xfId="925"/>
    <cellStyle name="T_cham trung bay yao smart milk ck 2 mien Bac_Mau_bao_cao_XNT_NVTK_tai_NPP 3.7 2" xfId="926"/>
    <cellStyle name="T_cham trung bay yao smart milk ck 2 mien Bac_Mau_bao_cao_XNT_NVTK_tai_NPP 3.7_1" xfId="927"/>
    <cellStyle name="T_cham trung bay yao smart milk ck 2 mien Bac_Mau_bao_cao_XNT_NVTK_tai_NPP 3.7_1 2" xfId="928"/>
    <cellStyle name="T_cham trung bay yao smart milk ck 2 mien Bac_Mau_bao_cao_XNT_NVTK_tai_NPP 3.7_1_PIT092008" xfId="929"/>
    <cellStyle name="T_cham trung bay yao smart milk ck 2 mien Bac_Mau_bao_cao_XNT_NVTK_tai_NPP 3.7_1_PIT092008 2" xfId="930"/>
    <cellStyle name="T_cham trung bay yao smart milk ck 2 mien Bac_Mau_bao_cao_XNT_NVTK_tai_NPP 3.7_PIT092008" xfId="931"/>
    <cellStyle name="T_cham trung bay yao smart milk ck 2 mien Bac_Mau_bao_cao_XNT_NVTK_tai_NPP 3.7_PIT092008 2" xfId="932"/>
    <cellStyle name="T_cham trung bay yao smart milk ck 2 mien Bac_PIT092008" xfId="933"/>
    <cellStyle name="T_cham trung bay yao smart milk ck 2 mien Bac_PIT092008 2" xfId="934"/>
    <cellStyle name="T_CLB_CK9_10_11_DOT_2_va_CK_12_13_gui_lai" xfId="935"/>
    <cellStyle name="T_CLB_CK9_10_11_DOT_2_va_CK_12_13_gui_lai 2" xfId="936"/>
    <cellStyle name="T_CLB_CK9_10_11_DOT_2_va_CK_12_13_gui_lai_PIT092008" xfId="937"/>
    <cellStyle name="T_CLB_CK9_10_11_DOT_2_va_CK_12_13_gui_lai_PIT092008 2" xfId="938"/>
    <cellStyle name="T_Copy of Mau_bao_cao_XNT_NVTK_tai_NPP" xfId="939"/>
    <cellStyle name="T_Copy of Mau_bao_cao_XNT_NVTK_tai_NPP 2" xfId="940"/>
    <cellStyle name="T_Copy of Mau_bao_cao_XNT_NVTK_tai_NPP_PIT092008" xfId="941"/>
    <cellStyle name="T_Copy of Mau_bao_cao_XNT_NVTK_tai_NPP_PIT092008 2" xfId="942"/>
    <cellStyle name="T_Danh sach chua nop bcao trung bay CK 1 co ke tinh den 1-3-06" xfId="943"/>
    <cellStyle name="T_Danh sach chua nop bcao trung bay CK 1 co ke tinh den 1-3-06 2" xfId="944"/>
    <cellStyle name="T_Danh sach chua nop bcao trung bay CK 1 co ke tinh den 1-3-06_PIT092008" xfId="945"/>
    <cellStyle name="T_Danh sach chua nop bcao trung bay CK 1 co ke tinh den 1-3-06_PIT092008 2" xfId="946"/>
    <cellStyle name="T_danh sach chua nop bcao trung bay sua chua  tinh den 1-3-06" xfId="947"/>
    <cellStyle name="T_danh sach chua nop bcao trung bay sua chua  tinh den 1-3-06 2" xfId="948"/>
    <cellStyle name="T_danh sach chua nop bcao trung bay sua chua  tinh den 1-3-06_Book1" xfId="949"/>
    <cellStyle name="T_danh sach chua nop bcao trung bay sua chua  tinh den 1-3-06_Book1 2" xfId="950"/>
    <cellStyle name="T_danh sach chua nop bcao trung bay sua chua  tinh den 1-3-06_Book1_F4_5_6__Bao_cao_tai_NPP BICH TIEN" xfId="951"/>
    <cellStyle name="T_danh sach chua nop bcao trung bay sua chua  tinh den 1-3-06_Book1_F4_5_6__Bao_cao_tai_NPP BICH TIEN 2" xfId="952"/>
    <cellStyle name="T_danh sach chua nop bcao trung bay sua chua  tinh den 1-3-06_Book1_F4_5_6__Bao_cao_tai_NPP BICH TIEN_PIT092008" xfId="953"/>
    <cellStyle name="T_danh sach chua nop bcao trung bay sua chua  tinh den 1-3-06_Book1_F4_5_6__Bao_cao_tai_NPP BICH TIEN_PIT092008 2" xfId="954"/>
    <cellStyle name="T_danh sach chua nop bcao trung bay sua chua  tinh den 1-3-06_Book1_Mau_bao_cao_XNT_NVTK_tai_NPP 21.7" xfId="955"/>
    <cellStyle name="T_danh sach chua nop bcao trung bay sua chua  tinh den 1-3-06_Book1_Mau_bao_cao_XNT_NVTK_tai_NPP 21.7 2" xfId="956"/>
    <cellStyle name="T_danh sach chua nop bcao trung bay sua chua  tinh den 1-3-06_Book1_Mau_bao_cao_XNT_NVTK_tai_NPP 21.7_PIT092008" xfId="957"/>
    <cellStyle name="T_danh sach chua nop bcao trung bay sua chua  tinh den 1-3-06_Book1_Mau_bao_cao_XNT_NVTK_tai_NPP 21.7_PIT092008 2" xfId="958"/>
    <cellStyle name="T_danh sach chua nop bcao trung bay sua chua  tinh den 1-3-06_Book1_PIT092008" xfId="959"/>
    <cellStyle name="T_danh sach chua nop bcao trung bay sua chua  tinh den 1-3-06_Book1_PIT092008 2" xfId="960"/>
    <cellStyle name="T_danh sach chua nop bcao trung bay sua chua  tinh den 1-3-06_Copy of Mau_bao_cao_XNT_NVTK_tai_NPP" xfId="961"/>
    <cellStyle name="T_danh sach chua nop bcao trung bay sua chua  tinh den 1-3-06_Copy of Mau_bao_cao_XNT_NVTK_tai_NPP 2" xfId="962"/>
    <cellStyle name="T_danh sach chua nop bcao trung bay sua chua  tinh den 1-3-06_Copy of Mau_bao_cao_XNT_NVTK_tai_NPP_PIT092008" xfId="963"/>
    <cellStyle name="T_danh sach chua nop bcao trung bay sua chua  tinh den 1-3-06_Copy of Mau_bao_cao_XNT_NVTK_tai_NPP_PIT092008 2" xfId="964"/>
    <cellStyle name="T_danh sach chua nop bcao trung bay sua chua  tinh den 1-3-06_ĐƠN ĐẶT HÀNG VNM" xfId="965"/>
    <cellStyle name="T_danh sach chua nop bcao trung bay sua chua  tinh den 1-3-06_ĐƠN ĐẶT HÀNG VNM 2" xfId="966"/>
    <cellStyle name="T_danh sach chua nop bcao trung bay sua chua  tinh den 1-3-06_ĐƠN ĐẶT HÀNG VNM_PIT092008" xfId="967"/>
    <cellStyle name="T_danh sach chua nop bcao trung bay sua chua  tinh den 1-3-06_ĐƠN ĐẶT HÀNG VNM_PIT092008 2" xfId="968"/>
    <cellStyle name="T_danh sach chua nop bcao trung bay sua chua  tinh den 1-3-06_F4_5_6__Bao_cao_tai_NPP BICH TIEN" xfId="969"/>
    <cellStyle name="T_danh sach chua nop bcao trung bay sua chua  tinh den 1-3-06_F4_5_6__Bao_cao_tai_NPP BICH TIEN 2" xfId="970"/>
    <cellStyle name="T_danh sach chua nop bcao trung bay sua chua  tinh den 1-3-06_F4_5_6__Bao_cao_tai_NPP BICH TIEN_PIT092008" xfId="971"/>
    <cellStyle name="T_danh sach chua nop bcao trung bay sua chua  tinh den 1-3-06_F4_5_6__Bao_cao_tai_NPP BICH TIEN_PIT092008 2" xfId="972"/>
    <cellStyle name="T_danh sach chua nop bcao trung bay sua chua  tinh den 1-3-06_form__moi__bao_cao_ngay_NEW_AGAIN" xfId="973"/>
    <cellStyle name="T_danh sach chua nop bcao trung bay sua chua  tinh den 1-3-06_form__moi__bao_cao_ngay_NEW_AGAIN 2" xfId="974"/>
    <cellStyle name="T_danh sach chua nop bcao trung bay sua chua  tinh den 1-3-06_form__moi__bao_cao_ngay_NEW_AGAIN_PIT092008" xfId="975"/>
    <cellStyle name="T_danh sach chua nop bcao trung bay sua chua  tinh den 1-3-06_form__moi__bao_cao_ngay_NEW_AGAIN_PIT092008 2" xfId="976"/>
    <cellStyle name="T_danh sach chua nop bcao trung bay sua chua  tinh den 1-3-06_Mau -bao_cao_XNT_NVTK_tai_NPP 19.7" xfId="977"/>
    <cellStyle name="T_danh sach chua nop bcao trung bay sua chua  tinh den 1-3-06_Mau -bao_cao_XNT_NVTK_tai_NPP 19.7 2" xfId="978"/>
    <cellStyle name="T_danh sach chua nop bcao trung bay sua chua  tinh den 1-3-06_Mau -bao_cao_XNT_NVTK_tai_NPP 19.7_PIT092008" xfId="979"/>
    <cellStyle name="T_danh sach chua nop bcao trung bay sua chua  tinh den 1-3-06_Mau -bao_cao_XNT_NVTK_tai_NPP 19.7_PIT092008 2" xfId="980"/>
    <cellStyle name="T_danh sach chua nop bcao trung bay sua chua  tinh den 1-3-06_Mau_bao_cao_XNT_NVTK_tai_NPP 21.7" xfId="981"/>
    <cellStyle name="T_danh sach chua nop bcao trung bay sua chua  tinh den 1-3-06_Mau_bao_cao_XNT_NVTK_tai_NPP 21.7 2" xfId="982"/>
    <cellStyle name="T_danh sach chua nop bcao trung bay sua chua  tinh den 1-3-06_Mau_bao_cao_XNT_NVTK_tai_NPP 21.7_PIT092008" xfId="983"/>
    <cellStyle name="T_danh sach chua nop bcao trung bay sua chua  tinh den 1-3-06_Mau_bao_cao_XNT_NVTK_tai_NPP 21.7_PIT092008 2" xfId="984"/>
    <cellStyle name="T_danh sach chua nop bcao trung bay sua chua  tinh den 1-3-06_Mau_bao_cao_XNT_NVTK_tai_NPP 3.7" xfId="985"/>
    <cellStyle name="T_danh sach chua nop bcao trung bay sua chua  tinh den 1-3-06_Mau_bao_cao_XNT_NVTK_tai_NPP 3.7 2" xfId="986"/>
    <cellStyle name="T_danh sach chua nop bcao trung bay sua chua  tinh den 1-3-06_Mau_bao_cao_XNT_NVTK_tai_NPP 3.7_1" xfId="987"/>
    <cellStyle name="T_danh sach chua nop bcao trung bay sua chua  tinh den 1-3-06_Mau_bao_cao_XNT_NVTK_tai_NPP 3.7_1 2" xfId="988"/>
    <cellStyle name="T_danh sach chua nop bcao trung bay sua chua  tinh den 1-3-06_Mau_bao_cao_XNT_NVTK_tai_NPP 3.7_1_PIT092008" xfId="989"/>
    <cellStyle name="T_danh sach chua nop bcao trung bay sua chua  tinh den 1-3-06_Mau_bao_cao_XNT_NVTK_tai_NPP 3.7_1_PIT092008 2" xfId="990"/>
    <cellStyle name="T_danh sach chua nop bcao trung bay sua chua  tinh den 1-3-06_Mau_bao_cao_XNT_NVTK_tai_NPP 3.7_PIT092008" xfId="991"/>
    <cellStyle name="T_danh sach chua nop bcao trung bay sua chua  tinh den 1-3-06_Mau_bao_cao_XNT_NVTK_tai_NPP 3.7_PIT092008 2" xfId="992"/>
    <cellStyle name="T_danh sach chua nop bcao trung bay sua chua  tinh den 1-3-06_PIT092008" xfId="993"/>
    <cellStyle name="T_danh sach chua nop bcao trung bay sua chua  tinh den 1-3-06_PIT092008 2" xfId="994"/>
    <cellStyle name="T_Danh sach KH TB MilkYomilk Yao  Smart chu ky 2-Vinh Thang" xfId="995"/>
    <cellStyle name="T_Danh sach KH TB MilkYomilk Yao  Smart chu ky 2-Vinh Thang 2" xfId="996"/>
    <cellStyle name="T_Danh sach KH TB MilkYomilk Yao  Smart chu ky 2-Vinh Thang_Book1" xfId="997"/>
    <cellStyle name="T_Danh sach KH TB MilkYomilk Yao  Smart chu ky 2-Vinh Thang_Book1 2" xfId="998"/>
    <cellStyle name="T_Danh sach KH TB MilkYomilk Yao  Smart chu ky 2-Vinh Thang_Book1_F4_5_6__Bao_cao_tai_NPP BICH TIEN" xfId="999"/>
    <cellStyle name="T_Danh sach KH TB MilkYomilk Yao  Smart chu ky 2-Vinh Thang_Book1_F4_5_6__Bao_cao_tai_NPP BICH TIEN 2" xfId="1000"/>
    <cellStyle name="T_Danh sach KH TB MilkYomilk Yao  Smart chu ky 2-Vinh Thang_Book1_F4_5_6__Bao_cao_tai_NPP BICH TIEN_PIT092008" xfId="1001"/>
    <cellStyle name="T_Danh sach KH TB MilkYomilk Yao  Smart chu ky 2-Vinh Thang_Book1_F4_5_6__Bao_cao_tai_NPP BICH TIEN_PIT092008 2" xfId="1002"/>
    <cellStyle name="T_Danh sach KH TB MilkYomilk Yao  Smart chu ky 2-Vinh Thang_Book1_Mau_bao_cao_XNT_NVTK_tai_NPP 21.7" xfId="1003"/>
    <cellStyle name="T_Danh sach KH TB MilkYomilk Yao  Smart chu ky 2-Vinh Thang_Book1_Mau_bao_cao_XNT_NVTK_tai_NPP 21.7 2" xfId="1004"/>
    <cellStyle name="T_Danh sach KH TB MilkYomilk Yao  Smart chu ky 2-Vinh Thang_Book1_Mau_bao_cao_XNT_NVTK_tai_NPP 21.7_PIT092008" xfId="1005"/>
    <cellStyle name="T_Danh sach KH TB MilkYomilk Yao  Smart chu ky 2-Vinh Thang_Book1_Mau_bao_cao_XNT_NVTK_tai_NPP 21.7_PIT092008 2" xfId="1006"/>
    <cellStyle name="T_Danh sach KH TB MilkYomilk Yao  Smart chu ky 2-Vinh Thang_Book1_PIT092008" xfId="1007"/>
    <cellStyle name="T_Danh sach KH TB MilkYomilk Yao  Smart chu ky 2-Vinh Thang_Book1_PIT092008 2" xfId="1008"/>
    <cellStyle name="T_Danh sach KH TB MilkYomilk Yao  Smart chu ky 2-Vinh Thang_Copy of Mau_bao_cao_XNT_NVTK_tai_NPP" xfId="1009"/>
    <cellStyle name="T_Danh sach KH TB MilkYomilk Yao  Smart chu ky 2-Vinh Thang_Copy of Mau_bao_cao_XNT_NVTK_tai_NPP 2" xfId="1010"/>
    <cellStyle name="T_Danh sach KH TB MilkYomilk Yao  Smart chu ky 2-Vinh Thang_Copy of Mau_bao_cao_XNT_NVTK_tai_NPP_PIT092008" xfId="1011"/>
    <cellStyle name="T_Danh sach KH TB MilkYomilk Yao  Smart chu ky 2-Vinh Thang_Copy of Mau_bao_cao_XNT_NVTK_tai_NPP_PIT092008 2" xfId="1012"/>
    <cellStyle name="T_Danh sach KH TB MilkYomilk Yao  Smart chu ky 2-Vinh Thang_ĐƠN ĐẶT HÀNG VNM" xfId="1013"/>
    <cellStyle name="T_Danh sach KH TB MilkYomilk Yao  Smart chu ky 2-Vinh Thang_ĐƠN ĐẶT HÀNG VNM 2" xfId="1014"/>
    <cellStyle name="T_Danh sach KH TB MilkYomilk Yao  Smart chu ky 2-Vinh Thang_ĐƠN ĐẶT HÀNG VNM_PIT092008" xfId="1015"/>
    <cellStyle name="T_Danh sach KH TB MilkYomilk Yao  Smart chu ky 2-Vinh Thang_ĐƠN ĐẶT HÀNG VNM_PIT092008 2" xfId="1016"/>
    <cellStyle name="T_Danh sach KH TB MilkYomilk Yao  Smart chu ky 2-Vinh Thang_F4_5_6__Bao_cao_tai_NPP BICH TIEN" xfId="1017"/>
    <cellStyle name="T_Danh sach KH TB MilkYomilk Yao  Smart chu ky 2-Vinh Thang_F4_5_6__Bao_cao_tai_NPP BICH TIEN 2" xfId="1018"/>
    <cellStyle name="T_Danh sach KH TB MilkYomilk Yao  Smart chu ky 2-Vinh Thang_F4_5_6__Bao_cao_tai_NPP BICH TIEN_PIT092008" xfId="1019"/>
    <cellStyle name="T_Danh sach KH TB MilkYomilk Yao  Smart chu ky 2-Vinh Thang_F4_5_6__Bao_cao_tai_NPP BICH TIEN_PIT092008 2" xfId="1020"/>
    <cellStyle name="T_Danh sach KH TB MilkYomilk Yao  Smart chu ky 2-Vinh Thang_form__moi__bao_cao_ngay_NEW_AGAIN" xfId="1021"/>
    <cellStyle name="T_Danh sach KH TB MilkYomilk Yao  Smart chu ky 2-Vinh Thang_form__moi__bao_cao_ngay_NEW_AGAIN 2" xfId="1022"/>
    <cellStyle name="T_Danh sach KH TB MilkYomilk Yao  Smart chu ky 2-Vinh Thang_form__moi__bao_cao_ngay_NEW_AGAIN_PIT092008" xfId="1023"/>
    <cellStyle name="T_Danh sach KH TB MilkYomilk Yao  Smart chu ky 2-Vinh Thang_form__moi__bao_cao_ngay_NEW_AGAIN_PIT092008 2" xfId="1024"/>
    <cellStyle name="T_Danh sach KH TB MilkYomilk Yao  Smart chu ky 2-Vinh Thang_Mau -bao_cao_XNT_NVTK_tai_NPP 19.7" xfId="1025"/>
    <cellStyle name="T_Danh sach KH TB MilkYomilk Yao  Smart chu ky 2-Vinh Thang_Mau -bao_cao_XNT_NVTK_tai_NPP 19.7 2" xfId="1026"/>
    <cellStyle name="T_Danh sach KH TB MilkYomilk Yao  Smart chu ky 2-Vinh Thang_Mau -bao_cao_XNT_NVTK_tai_NPP 19.7_PIT092008" xfId="1027"/>
    <cellStyle name="T_Danh sach KH TB MilkYomilk Yao  Smart chu ky 2-Vinh Thang_Mau -bao_cao_XNT_NVTK_tai_NPP 19.7_PIT092008 2" xfId="1028"/>
    <cellStyle name="T_Danh sach KH TB MilkYomilk Yao  Smart chu ky 2-Vinh Thang_Mau_bao_cao_XNT_NVTK_tai_NPP 21.7" xfId="1029"/>
    <cellStyle name="T_Danh sach KH TB MilkYomilk Yao  Smart chu ky 2-Vinh Thang_Mau_bao_cao_XNT_NVTK_tai_NPP 21.7 2" xfId="1030"/>
    <cellStyle name="T_Danh sach KH TB MilkYomilk Yao  Smart chu ky 2-Vinh Thang_Mau_bao_cao_XNT_NVTK_tai_NPP 21.7_PIT092008" xfId="1031"/>
    <cellStyle name="T_Danh sach KH TB MilkYomilk Yao  Smart chu ky 2-Vinh Thang_Mau_bao_cao_XNT_NVTK_tai_NPP 21.7_PIT092008 2" xfId="1032"/>
    <cellStyle name="T_Danh sach KH TB MilkYomilk Yao  Smart chu ky 2-Vinh Thang_Mau_bao_cao_XNT_NVTK_tai_NPP 3.7" xfId="1033"/>
    <cellStyle name="T_Danh sach KH TB MilkYomilk Yao  Smart chu ky 2-Vinh Thang_Mau_bao_cao_XNT_NVTK_tai_NPP 3.7 2" xfId="1034"/>
    <cellStyle name="T_Danh sach KH TB MilkYomilk Yao  Smart chu ky 2-Vinh Thang_Mau_bao_cao_XNT_NVTK_tai_NPP 3.7_1" xfId="1035"/>
    <cellStyle name="T_Danh sach KH TB MilkYomilk Yao  Smart chu ky 2-Vinh Thang_Mau_bao_cao_XNT_NVTK_tai_NPP 3.7_1 2" xfId="1036"/>
    <cellStyle name="T_Danh sach KH TB MilkYomilk Yao  Smart chu ky 2-Vinh Thang_Mau_bao_cao_XNT_NVTK_tai_NPP 3.7_1_PIT092008" xfId="1037"/>
    <cellStyle name="T_Danh sach KH TB MilkYomilk Yao  Smart chu ky 2-Vinh Thang_Mau_bao_cao_XNT_NVTK_tai_NPP 3.7_1_PIT092008 2" xfId="1038"/>
    <cellStyle name="T_Danh sach KH TB MilkYomilk Yao  Smart chu ky 2-Vinh Thang_Mau_bao_cao_XNT_NVTK_tai_NPP 3.7_PIT092008" xfId="1039"/>
    <cellStyle name="T_Danh sach KH TB MilkYomilk Yao  Smart chu ky 2-Vinh Thang_Mau_bao_cao_XNT_NVTK_tai_NPP 3.7_PIT092008 2" xfId="1040"/>
    <cellStyle name="T_Danh sach KH TB MilkYomilk Yao  Smart chu ky 2-Vinh Thang_PIT092008" xfId="1041"/>
    <cellStyle name="T_Danh sach KH TB MilkYomilk Yao  Smart chu ky 2-Vinh Thang_PIT092008 2" xfId="1042"/>
    <cellStyle name="T_Danh sach KH trung bay MilkYomilk co ke chu ky 2-Vinh Thang" xfId="1043"/>
    <cellStyle name="T_Danh sach KH trung bay MilkYomilk co ke chu ky 2-Vinh Thang 2" xfId="1044"/>
    <cellStyle name="T_Danh sach KH trung bay MilkYomilk co ke chu ky 2-Vinh Thang_Book1" xfId="1045"/>
    <cellStyle name="T_Danh sach KH trung bay MilkYomilk co ke chu ky 2-Vinh Thang_Book1 2" xfId="1046"/>
    <cellStyle name="T_Danh sach KH trung bay MilkYomilk co ke chu ky 2-Vinh Thang_Book1_F4_5_6__Bao_cao_tai_NPP BICH TIEN" xfId="1047"/>
    <cellStyle name="T_Danh sach KH trung bay MilkYomilk co ke chu ky 2-Vinh Thang_Book1_F4_5_6__Bao_cao_tai_NPP BICH TIEN 2" xfId="1048"/>
    <cellStyle name="T_Danh sach KH trung bay MilkYomilk co ke chu ky 2-Vinh Thang_Book1_F4_5_6__Bao_cao_tai_NPP BICH TIEN_PIT092008" xfId="1049"/>
    <cellStyle name="T_Danh sach KH trung bay MilkYomilk co ke chu ky 2-Vinh Thang_Book1_F4_5_6__Bao_cao_tai_NPP BICH TIEN_PIT092008 2" xfId="1050"/>
    <cellStyle name="T_Danh sach KH trung bay MilkYomilk co ke chu ky 2-Vinh Thang_Book1_Mau_bao_cao_XNT_NVTK_tai_NPP 21.7" xfId="1051"/>
    <cellStyle name="T_Danh sach KH trung bay MilkYomilk co ke chu ky 2-Vinh Thang_Book1_Mau_bao_cao_XNT_NVTK_tai_NPP 21.7 2" xfId="1052"/>
    <cellStyle name="T_Danh sach KH trung bay MilkYomilk co ke chu ky 2-Vinh Thang_Book1_Mau_bao_cao_XNT_NVTK_tai_NPP 21.7_PIT092008" xfId="1053"/>
    <cellStyle name="T_Danh sach KH trung bay MilkYomilk co ke chu ky 2-Vinh Thang_Book1_Mau_bao_cao_XNT_NVTK_tai_NPP 21.7_PIT092008 2" xfId="1054"/>
    <cellStyle name="T_Danh sach KH trung bay MilkYomilk co ke chu ky 2-Vinh Thang_Book1_PIT092008" xfId="1055"/>
    <cellStyle name="T_Danh sach KH trung bay MilkYomilk co ke chu ky 2-Vinh Thang_Book1_PIT092008 2" xfId="1056"/>
    <cellStyle name="T_Danh sach KH trung bay MilkYomilk co ke chu ky 2-Vinh Thang_Copy of Mau_bao_cao_XNT_NVTK_tai_NPP" xfId="1057"/>
    <cellStyle name="T_Danh sach KH trung bay MilkYomilk co ke chu ky 2-Vinh Thang_Copy of Mau_bao_cao_XNT_NVTK_tai_NPP 2" xfId="1058"/>
    <cellStyle name="T_Danh sach KH trung bay MilkYomilk co ke chu ky 2-Vinh Thang_Copy of Mau_bao_cao_XNT_NVTK_tai_NPP_PIT092008" xfId="1059"/>
    <cellStyle name="T_Danh sach KH trung bay MilkYomilk co ke chu ky 2-Vinh Thang_Copy of Mau_bao_cao_XNT_NVTK_tai_NPP_PIT092008 2" xfId="1060"/>
    <cellStyle name="T_Danh sach KH trung bay MilkYomilk co ke chu ky 2-Vinh Thang_ĐƠN ĐẶT HÀNG VNM" xfId="1061"/>
    <cellStyle name="T_Danh sach KH trung bay MilkYomilk co ke chu ky 2-Vinh Thang_ĐƠN ĐẶT HÀNG VNM 2" xfId="1062"/>
    <cellStyle name="T_Danh sach KH trung bay MilkYomilk co ke chu ky 2-Vinh Thang_ĐƠN ĐẶT HÀNG VNM_PIT092008" xfId="1063"/>
    <cellStyle name="T_Danh sach KH trung bay MilkYomilk co ke chu ky 2-Vinh Thang_ĐƠN ĐẶT HÀNG VNM_PIT092008 2" xfId="1064"/>
    <cellStyle name="T_Danh sach KH trung bay MilkYomilk co ke chu ky 2-Vinh Thang_F4_5_6__Bao_cao_tai_NPP BICH TIEN" xfId="1065"/>
    <cellStyle name="T_Danh sach KH trung bay MilkYomilk co ke chu ky 2-Vinh Thang_F4_5_6__Bao_cao_tai_NPP BICH TIEN 2" xfId="1066"/>
    <cellStyle name="T_Danh sach KH trung bay MilkYomilk co ke chu ky 2-Vinh Thang_F4_5_6__Bao_cao_tai_NPP BICH TIEN_PIT092008" xfId="1067"/>
    <cellStyle name="T_Danh sach KH trung bay MilkYomilk co ke chu ky 2-Vinh Thang_F4_5_6__Bao_cao_tai_NPP BICH TIEN_PIT092008 2" xfId="1068"/>
    <cellStyle name="T_Danh sach KH trung bay MilkYomilk co ke chu ky 2-Vinh Thang_form__moi__bao_cao_ngay_NEW_AGAIN" xfId="1069"/>
    <cellStyle name="T_Danh sach KH trung bay MilkYomilk co ke chu ky 2-Vinh Thang_form__moi__bao_cao_ngay_NEW_AGAIN 2" xfId="1070"/>
    <cellStyle name="T_Danh sach KH trung bay MilkYomilk co ke chu ky 2-Vinh Thang_form__moi__bao_cao_ngay_NEW_AGAIN_PIT092008" xfId="1071"/>
    <cellStyle name="T_Danh sach KH trung bay MilkYomilk co ke chu ky 2-Vinh Thang_form__moi__bao_cao_ngay_NEW_AGAIN_PIT092008 2" xfId="1072"/>
    <cellStyle name="T_Danh sach KH trung bay MilkYomilk co ke chu ky 2-Vinh Thang_Mau -bao_cao_XNT_NVTK_tai_NPP 19.7" xfId="1073"/>
    <cellStyle name="T_Danh sach KH trung bay MilkYomilk co ke chu ky 2-Vinh Thang_Mau -bao_cao_XNT_NVTK_tai_NPP 19.7 2" xfId="1074"/>
    <cellStyle name="T_Danh sach KH trung bay MilkYomilk co ke chu ky 2-Vinh Thang_Mau -bao_cao_XNT_NVTK_tai_NPP 19.7_PIT092008" xfId="1075"/>
    <cellStyle name="T_Danh sach KH trung bay MilkYomilk co ke chu ky 2-Vinh Thang_Mau -bao_cao_XNT_NVTK_tai_NPP 19.7_PIT092008 2" xfId="1076"/>
    <cellStyle name="T_Danh sach KH trung bay MilkYomilk co ke chu ky 2-Vinh Thang_Mau_bao_cao_XNT_NVTK_tai_NPP 21.7" xfId="1077"/>
    <cellStyle name="T_Danh sach KH trung bay MilkYomilk co ke chu ky 2-Vinh Thang_Mau_bao_cao_XNT_NVTK_tai_NPP 21.7 2" xfId="1078"/>
    <cellStyle name="T_Danh sach KH trung bay MilkYomilk co ke chu ky 2-Vinh Thang_Mau_bao_cao_XNT_NVTK_tai_NPP 21.7_PIT092008" xfId="1079"/>
    <cellStyle name="T_Danh sach KH trung bay MilkYomilk co ke chu ky 2-Vinh Thang_Mau_bao_cao_XNT_NVTK_tai_NPP 21.7_PIT092008 2" xfId="1080"/>
    <cellStyle name="T_Danh sach KH trung bay MilkYomilk co ke chu ky 2-Vinh Thang_Mau_bao_cao_XNT_NVTK_tai_NPP 3.7" xfId="1081"/>
    <cellStyle name="T_Danh sach KH trung bay MilkYomilk co ke chu ky 2-Vinh Thang_Mau_bao_cao_XNT_NVTK_tai_NPP 3.7 2" xfId="1082"/>
    <cellStyle name="T_Danh sach KH trung bay MilkYomilk co ke chu ky 2-Vinh Thang_Mau_bao_cao_XNT_NVTK_tai_NPP 3.7_1" xfId="1083"/>
    <cellStyle name="T_Danh sach KH trung bay MilkYomilk co ke chu ky 2-Vinh Thang_Mau_bao_cao_XNT_NVTK_tai_NPP 3.7_1 2" xfId="1084"/>
    <cellStyle name="T_Danh sach KH trung bay MilkYomilk co ke chu ky 2-Vinh Thang_Mau_bao_cao_XNT_NVTK_tai_NPP 3.7_1_PIT092008" xfId="1085"/>
    <cellStyle name="T_Danh sach KH trung bay MilkYomilk co ke chu ky 2-Vinh Thang_Mau_bao_cao_XNT_NVTK_tai_NPP 3.7_1_PIT092008 2" xfId="1086"/>
    <cellStyle name="T_Danh sach KH trung bay MilkYomilk co ke chu ky 2-Vinh Thang_Mau_bao_cao_XNT_NVTK_tai_NPP 3.7_PIT092008" xfId="1087"/>
    <cellStyle name="T_Danh sach KH trung bay MilkYomilk co ke chu ky 2-Vinh Thang_Mau_bao_cao_XNT_NVTK_tai_NPP 3.7_PIT092008 2" xfId="1088"/>
    <cellStyle name="T_Danh sach KH trung bay MilkYomilk co ke chu ky 2-Vinh Thang_PIT092008" xfId="1089"/>
    <cellStyle name="T_Danh sach KH trung bay MilkYomilk co ke chu ky 2-Vinh Thang_PIT092008 2" xfId="1090"/>
    <cellStyle name="T_Danh sach MilkYomilk CK2 M.Bac cap nhat21-02-06 lai HANOI" xfId="1091"/>
    <cellStyle name="T_Danh sach MilkYomilk CK2 M.Bac cap nhat21-02-06 lai HANOI 2" xfId="1092"/>
    <cellStyle name="T_Danh sach MilkYomilk CK2 M.Bac cap nhat21-02-06 lai HANOI_PIT092008" xfId="1093"/>
    <cellStyle name="T_Danh sach MilkYomilk CK2 M.Bac cap nhat21-02-06 lai HANOI_PIT092008 2" xfId="1094"/>
    <cellStyle name="T_ĐƠN ĐẶT HÀNG VNM" xfId="1095"/>
    <cellStyle name="T_ĐƠN ĐẶT HÀNG VNM 2" xfId="1096"/>
    <cellStyle name="T_ĐƠN ĐẶT HÀNG VNM_PIT092008" xfId="1097"/>
    <cellStyle name="T_ĐƠN ĐẶT HÀNG VNM_PIT092008 2" xfId="1098"/>
    <cellStyle name="T_DS KH  CLB da nhan va chua nhan tien theo ket qua tra cua cty Chu ky 111213-Vinh Thang" xfId="1099"/>
    <cellStyle name="T_DS KH  CLB da nhan va chua nhan tien theo ket qua tra cua cty Chu ky 111213-Vinh Thang 2" xfId="1100"/>
    <cellStyle name="T_DS KH  CLB da nhan va chua nhan tien theo ket qua tra cua cty Chu ky 111213-Vinh Thang_PIT092008" xfId="1101"/>
    <cellStyle name="T_DS KH  CLB da nhan va chua nhan tien theo ket qua tra cua cty Chu ky 111213-Vinh Thang_PIT092008 2" xfId="1102"/>
    <cellStyle name="T_DSACH MILK YO MILK CK 2 M.BAC" xfId="1103"/>
    <cellStyle name="T_DSACH MILK YO MILK CK 2 M.BAC 2" xfId="1104"/>
    <cellStyle name="T_DSACH MILK YO MILK CK 2 M.BAC_Book1" xfId="1105"/>
    <cellStyle name="T_DSACH MILK YO MILK CK 2 M.BAC_Book1 2" xfId="1106"/>
    <cellStyle name="T_DSACH MILK YO MILK CK 2 M.BAC_Book1_F4_5_6__Bao_cao_tai_NPP BICH TIEN" xfId="1107"/>
    <cellStyle name="T_DSACH MILK YO MILK CK 2 M.BAC_Book1_F4_5_6__Bao_cao_tai_NPP BICH TIEN 2" xfId="1108"/>
    <cellStyle name="T_DSACH MILK YO MILK CK 2 M.BAC_Book1_F4_5_6__Bao_cao_tai_NPP BICH TIEN_PIT092008" xfId="1109"/>
    <cellStyle name="T_DSACH MILK YO MILK CK 2 M.BAC_Book1_F4_5_6__Bao_cao_tai_NPP BICH TIEN_PIT092008 2" xfId="1110"/>
    <cellStyle name="T_DSACH MILK YO MILK CK 2 M.BAC_Book1_Mau_bao_cao_XNT_NVTK_tai_NPP 21.7" xfId="1111"/>
    <cellStyle name="T_DSACH MILK YO MILK CK 2 M.BAC_Book1_Mau_bao_cao_XNT_NVTK_tai_NPP 21.7 2" xfId="1112"/>
    <cellStyle name="T_DSACH MILK YO MILK CK 2 M.BAC_Book1_Mau_bao_cao_XNT_NVTK_tai_NPP 21.7_PIT092008" xfId="1113"/>
    <cellStyle name="T_DSACH MILK YO MILK CK 2 M.BAC_Book1_Mau_bao_cao_XNT_NVTK_tai_NPP 21.7_PIT092008 2" xfId="1114"/>
    <cellStyle name="T_DSACH MILK YO MILK CK 2 M.BAC_Book1_PIT092008" xfId="1115"/>
    <cellStyle name="T_DSACH MILK YO MILK CK 2 M.BAC_Book1_PIT092008 2" xfId="1116"/>
    <cellStyle name="T_DSACH MILK YO MILK CK 2 M.BAC_Copy of Mau_bao_cao_XNT_NVTK_tai_NPP" xfId="1117"/>
    <cellStyle name="T_DSACH MILK YO MILK CK 2 M.BAC_Copy of Mau_bao_cao_XNT_NVTK_tai_NPP 2" xfId="1118"/>
    <cellStyle name="T_DSACH MILK YO MILK CK 2 M.BAC_Copy of Mau_bao_cao_XNT_NVTK_tai_NPP_PIT092008" xfId="1119"/>
    <cellStyle name="T_DSACH MILK YO MILK CK 2 M.BAC_Copy of Mau_bao_cao_XNT_NVTK_tai_NPP_PIT092008 2" xfId="1120"/>
    <cellStyle name="T_DSACH MILK YO MILK CK 2 M.BAC_ĐƠN ĐẶT HÀNG VNM" xfId="1121"/>
    <cellStyle name="T_DSACH MILK YO MILK CK 2 M.BAC_ĐƠN ĐẶT HÀNG VNM 2" xfId="1122"/>
    <cellStyle name="T_DSACH MILK YO MILK CK 2 M.BAC_ĐƠN ĐẶT HÀNG VNM_PIT092008" xfId="1123"/>
    <cellStyle name="T_DSACH MILK YO MILK CK 2 M.BAC_ĐƠN ĐẶT HÀNG VNM_PIT092008 2" xfId="1124"/>
    <cellStyle name="T_DSACH MILK YO MILK CK 2 M.BAC_F4_5_6__Bao_cao_tai_NPP BICH TIEN" xfId="1125"/>
    <cellStyle name="T_DSACH MILK YO MILK CK 2 M.BAC_F4_5_6__Bao_cao_tai_NPP BICH TIEN 2" xfId="1126"/>
    <cellStyle name="T_DSACH MILK YO MILK CK 2 M.BAC_F4_5_6__Bao_cao_tai_NPP BICH TIEN_PIT092008" xfId="1127"/>
    <cellStyle name="T_DSACH MILK YO MILK CK 2 M.BAC_F4_5_6__Bao_cao_tai_NPP BICH TIEN_PIT092008 2" xfId="1128"/>
    <cellStyle name="T_DSACH MILK YO MILK CK 2 M.BAC_form__moi__bao_cao_ngay_NEW_AGAIN" xfId="1129"/>
    <cellStyle name="T_DSACH MILK YO MILK CK 2 M.BAC_form__moi__bao_cao_ngay_NEW_AGAIN 2" xfId="1130"/>
    <cellStyle name="T_DSACH MILK YO MILK CK 2 M.BAC_form__moi__bao_cao_ngay_NEW_AGAIN_PIT092008" xfId="1131"/>
    <cellStyle name="T_DSACH MILK YO MILK CK 2 M.BAC_form__moi__bao_cao_ngay_NEW_AGAIN_PIT092008 2" xfId="1132"/>
    <cellStyle name="T_DSACH MILK YO MILK CK 2 M.BAC_Mau -bao_cao_XNT_NVTK_tai_NPP 19.7" xfId="1133"/>
    <cellStyle name="T_DSACH MILK YO MILK CK 2 M.BAC_Mau -bao_cao_XNT_NVTK_tai_NPP 19.7 2" xfId="1134"/>
    <cellStyle name="T_DSACH MILK YO MILK CK 2 M.BAC_Mau -bao_cao_XNT_NVTK_tai_NPP 19.7_PIT092008" xfId="1135"/>
    <cellStyle name="T_DSACH MILK YO MILK CK 2 M.BAC_Mau -bao_cao_XNT_NVTK_tai_NPP 19.7_PIT092008 2" xfId="1136"/>
    <cellStyle name="T_DSACH MILK YO MILK CK 2 M.BAC_Mau_bao_cao_XNT_NVTK_tai_NPP 21.7" xfId="1137"/>
    <cellStyle name="T_DSACH MILK YO MILK CK 2 M.BAC_Mau_bao_cao_XNT_NVTK_tai_NPP 21.7 2" xfId="1138"/>
    <cellStyle name="T_DSACH MILK YO MILK CK 2 M.BAC_Mau_bao_cao_XNT_NVTK_tai_NPP 21.7_PIT092008" xfId="1139"/>
    <cellStyle name="T_DSACH MILK YO MILK CK 2 M.BAC_Mau_bao_cao_XNT_NVTK_tai_NPP 21.7_PIT092008 2" xfId="1140"/>
    <cellStyle name="T_DSACH MILK YO MILK CK 2 M.BAC_Mau_bao_cao_XNT_NVTK_tai_NPP 3.7" xfId="1141"/>
    <cellStyle name="T_DSACH MILK YO MILK CK 2 M.BAC_Mau_bao_cao_XNT_NVTK_tai_NPP 3.7 2" xfId="1142"/>
    <cellStyle name="T_DSACH MILK YO MILK CK 2 M.BAC_Mau_bao_cao_XNT_NVTK_tai_NPP 3.7_1" xfId="1143"/>
    <cellStyle name="T_DSACH MILK YO MILK CK 2 M.BAC_Mau_bao_cao_XNT_NVTK_tai_NPP 3.7_1 2" xfId="1144"/>
    <cellStyle name="T_DSACH MILK YO MILK CK 2 M.BAC_Mau_bao_cao_XNT_NVTK_tai_NPP 3.7_1_PIT092008" xfId="1145"/>
    <cellStyle name="T_DSACH MILK YO MILK CK 2 M.BAC_Mau_bao_cao_XNT_NVTK_tai_NPP 3.7_1_PIT092008 2" xfId="1146"/>
    <cellStyle name="T_DSACH MILK YO MILK CK 2 M.BAC_Mau_bao_cao_XNT_NVTK_tai_NPP 3.7_PIT092008" xfId="1147"/>
    <cellStyle name="T_DSACH MILK YO MILK CK 2 M.BAC_Mau_bao_cao_XNT_NVTK_tai_NPP 3.7_PIT092008 2" xfId="1148"/>
    <cellStyle name="T_DSACH MILK YO MILK CK 2 M.BAC_PIT092008" xfId="1149"/>
    <cellStyle name="T_DSACH MILK YO MILK CK 2 M.BAC_PIT092008 2" xfId="1150"/>
    <cellStyle name="T_DSKH Tbay Milk , Yomilk CK 2 Vu Thi Hanh" xfId="1151"/>
    <cellStyle name="T_DSKH Tbay Milk , Yomilk CK 2 Vu Thi Hanh 2" xfId="1152"/>
    <cellStyle name="T_DSKH Tbay Milk , Yomilk CK 2 Vu Thi Hanh_Book1" xfId="1153"/>
    <cellStyle name="T_DSKH Tbay Milk , Yomilk CK 2 Vu Thi Hanh_Book1 2" xfId="1154"/>
    <cellStyle name="T_DSKH Tbay Milk , Yomilk CK 2 Vu Thi Hanh_Book1_F4_5_6__Bao_cao_tai_NPP BICH TIEN" xfId="1155"/>
    <cellStyle name="T_DSKH Tbay Milk , Yomilk CK 2 Vu Thi Hanh_Book1_F4_5_6__Bao_cao_tai_NPP BICH TIEN 2" xfId="1156"/>
    <cellStyle name="T_DSKH Tbay Milk , Yomilk CK 2 Vu Thi Hanh_Book1_F4_5_6__Bao_cao_tai_NPP BICH TIEN_PIT092008" xfId="1157"/>
    <cellStyle name="T_DSKH Tbay Milk , Yomilk CK 2 Vu Thi Hanh_Book1_F4_5_6__Bao_cao_tai_NPP BICH TIEN_PIT092008 2" xfId="1158"/>
    <cellStyle name="T_DSKH Tbay Milk , Yomilk CK 2 Vu Thi Hanh_Book1_Mau_bao_cao_XNT_NVTK_tai_NPP 21.7" xfId="1159"/>
    <cellStyle name="T_DSKH Tbay Milk , Yomilk CK 2 Vu Thi Hanh_Book1_Mau_bao_cao_XNT_NVTK_tai_NPP 21.7 2" xfId="1160"/>
    <cellStyle name="T_DSKH Tbay Milk , Yomilk CK 2 Vu Thi Hanh_Book1_Mau_bao_cao_XNT_NVTK_tai_NPP 21.7_PIT092008" xfId="1161"/>
    <cellStyle name="T_DSKH Tbay Milk , Yomilk CK 2 Vu Thi Hanh_Book1_Mau_bao_cao_XNT_NVTK_tai_NPP 21.7_PIT092008 2" xfId="1162"/>
    <cellStyle name="T_DSKH Tbay Milk , Yomilk CK 2 Vu Thi Hanh_Book1_PIT092008" xfId="1163"/>
    <cellStyle name="T_DSKH Tbay Milk , Yomilk CK 2 Vu Thi Hanh_Book1_PIT092008 2" xfId="1164"/>
    <cellStyle name="T_DSKH Tbay Milk , Yomilk CK 2 Vu Thi Hanh_Copy of Mau_bao_cao_XNT_NVTK_tai_NPP" xfId="1165"/>
    <cellStyle name="T_DSKH Tbay Milk , Yomilk CK 2 Vu Thi Hanh_Copy of Mau_bao_cao_XNT_NVTK_tai_NPP 2" xfId="1166"/>
    <cellStyle name="T_DSKH Tbay Milk , Yomilk CK 2 Vu Thi Hanh_Copy of Mau_bao_cao_XNT_NVTK_tai_NPP_PIT092008" xfId="1167"/>
    <cellStyle name="T_DSKH Tbay Milk , Yomilk CK 2 Vu Thi Hanh_Copy of Mau_bao_cao_XNT_NVTK_tai_NPP_PIT092008 2" xfId="1168"/>
    <cellStyle name="T_DSKH Tbay Milk , Yomilk CK 2 Vu Thi Hanh_ĐƠN ĐẶT HÀNG VNM" xfId="1169"/>
    <cellStyle name="T_DSKH Tbay Milk , Yomilk CK 2 Vu Thi Hanh_ĐƠN ĐẶT HÀNG VNM 2" xfId="1170"/>
    <cellStyle name="T_DSKH Tbay Milk , Yomilk CK 2 Vu Thi Hanh_ĐƠN ĐẶT HÀNG VNM_PIT092008" xfId="1171"/>
    <cellStyle name="T_DSKH Tbay Milk , Yomilk CK 2 Vu Thi Hanh_ĐƠN ĐẶT HÀNG VNM_PIT092008 2" xfId="1172"/>
    <cellStyle name="T_DSKH Tbay Milk , Yomilk CK 2 Vu Thi Hanh_F4_5_6__Bao_cao_tai_NPP BICH TIEN" xfId="1173"/>
    <cellStyle name="T_DSKH Tbay Milk , Yomilk CK 2 Vu Thi Hanh_F4_5_6__Bao_cao_tai_NPP BICH TIEN 2" xfId="1174"/>
    <cellStyle name="T_DSKH Tbay Milk , Yomilk CK 2 Vu Thi Hanh_F4_5_6__Bao_cao_tai_NPP BICH TIEN_PIT092008" xfId="1175"/>
    <cellStyle name="T_DSKH Tbay Milk , Yomilk CK 2 Vu Thi Hanh_F4_5_6__Bao_cao_tai_NPP BICH TIEN_PIT092008 2" xfId="1176"/>
    <cellStyle name="T_DSKH Tbay Milk , Yomilk CK 2 Vu Thi Hanh_form__moi__bao_cao_ngay_NEW_AGAIN" xfId="1177"/>
    <cellStyle name="T_DSKH Tbay Milk , Yomilk CK 2 Vu Thi Hanh_form__moi__bao_cao_ngay_NEW_AGAIN 2" xfId="1178"/>
    <cellStyle name="T_DSKH Tbay Milk , Yomilk CK 2 Vu Thi Hanh_form__moi__bao_cao_ngay_NEW_AGAIN_PIT092008" xfId="1179"/>
    <cellStyle name="T_DSKH Tbay Milk , Yomilk CK 2 Vu Thi Hanh_form__moi__bao_cao_ngay_NEW_AGAIN_PIT092008 2" xfId="1180"/>
    <cellStyle name="T_DSKH Tbay Milk , Yomilk CK 2 Vu Thi Hanh_Mau -bao_cao_XNT_NVTK_tai_NPP 19.7" xfId="1181"/>
    <cellStyle name="T_DSKH Tbay Milk , Yomilk CK 2 Vu Thi Hanh_Mau -bao_cao_XNT_NVTK_tai_NPP 19.7 2" xfId="1182"/>
    <cellStyle name="T_DSKH Tbay Milk , Yomilk CK 2 Vu Thi Hanh_Mau -bao_cao_XNT_NVTK_tai_NPP 19.7_PIT092008" xfId="1183"/>
    <cellStyle name="T_DSKH Tbay Milk , Yomilk CK 2 Vu Thi Hanh_Mau -bao_cao_XNT_NVTK_tai_NPP 19.7_PIT092008 2" xfId="1184"/>
    <cellStyle name="T_DSKH Tbay Milk , Yomilk CK 2 Vu Thi Hanh_Mau_bao_cao_XNT_NVTK_tai_NPP 21.7" xfId="1185"/>
    <cellStyle name="T_DSKH Tbay Milk , Yomilk CK 2 Vu Thi Hanh_Mau_bao_cao_XNT_NVTK_tai_NPP 21.7 2" xfId="1186"/>
    <cellStyle name="T_DSKH Tbay Milk , Yomilk CK 2 Vu Thi Hanh_Mau_bao_cao_XNT_NVTK_tai_NPP 21.7_PIT092008" xfId="1187"/>
    <cellStyle name="T_DSKH Tbay Milk , Yomilk CK 2 Vu Thi Hanh_Mau_bao_cao_XNT_NVTK_tai_NPP 21.7_PIT092008 2" xfId="1188"/>
    <cellStyle name="T_DSKH Tbay Milk , Yomilk CK 2 Vu Thi Hanh_Mau_bao_cao_XNT_NVTK_tai_NPP 3.7" xfId="1189"/>
    <cellStyle name="T_DSKH Tbay Milk , Yomilk CK 2 Vu Thi Hanh_Mau_bao_cao_XNT_NVTK_tai_NPP 3.7 2" xfId="1190"/>
    <cellStyle name="T_DSKH Tbay Milk , Yomilk CK 2 Vu Thi Hanh_Mau_bao_cao_XNT_NVTK_tai_NPP 3.7_1" xfId="1191"/>
    <cellStyle name="T_DSKH Tbay Milk , Yomilk CK 2 Vu Thi Hanh_Mau_bao_cao_XNT_NVTK_tai_NPP 3.7_1 2" xfId="1192"/>
    <cellStyle name="T_DSKH Tbay Milk , Yomilk CK 2 Vu Thi Hanh_Mau_bao_cao_XNT_NVTK_tai_NPP 3.7_1_PIT092008" xfId="1193"/>
    <cellStyle name="T_DSKH Tbay Milk , Yomilk CK 2 Vu Thi Hanh_Mau_bao_cao_XNT_NVTK_tai_NPP 3.7_1_PIT092008 2" xfId="1194"/>
    <cellStyle name="T_DSKH Tbay Milk , Yomilk CK 2 Vu Thi Hanh_Mau_bao_cao_XNT_NVTK_tai_NPP 3.7_PIT092008" xfId="1195"/>
    <cellStyle name="T_DSKH Tbay Milk , Yomilk CK 2 Vu Thi Hanh_Mau_bao_cao_XNT_NVTK_tai_NPP 3.7_PIT092008 2" xfId="1196"/>
    <cellStyle name="T_DSKH Tbay Milk , Yomilk CK 2 Vu Thi Hanh_PIT092008" xfId="1197"/>
    <cellStyle name="T_DSKH Tbay Milk , Yomilk CK 2 Vu Thi Hanh_PIT092008 2" xfId="1198"/>
    <cellStyle name="T_F4_5_6__Bao_cao_tai_NPP BICH TIEN" xfId="1199"/>
    <cellStyle name="T_F4_5_6__Bao_cao_tai_NPP BICH TIEN 2" xfId="1200"/>
    <cellStyle name="T_F4_5_6__Bao_cao_tai_NPP BICH TIEN_PIT092008" xfId="1201"/>
    <cellStyle name="T_F4_5_6__Bao_cao_tai_NPP BICH TIEN_PIT092008 2" xfId="1202"/>
    <cellStyle name="T_form ton kho CK 2 tuan 8" xfId="1203"/>
    <cellStyle name="T_form ton kho CK 2 tuan 8 2" xfId="1204"/>
    <cellStyle name="T_form ton kho CK 2 tuan 8_Book1" xfId="1205"/>
    <cellStyle name="T_form ton kho CK 2 tuan 8_Book1 2" xfId="1206"/>
    <cellStyle name="T_form ton kho CK 2 tuan 8_Book1_F4_5_6__Bao_cao_tai_NPP BICH TIEN" xfId="1207"/>
    <cellStyle name="T_form ton kho CK 2 tuan 8_Book1_F4_5_6__Bao_cao_tai_NPP BICH TIEN 2" xfId="1208"/>
    <cellStyle name="T_form ton kho CK 2 tuan 8_Book1_F4_5_6__Bao_cao_tai_NPP BICH TIEN_PIT092008" xfId="1209"/>
    <cellStyle name="T_form ton kho CK 2 tuan 8_Book1_F4_5_6__Bao_cao_tai_NPP BICH TIEN_PIT092008 2" xfId="1210"/>
    <cellStyle name="T_form ton kho CK 2 tuan 8_Book1_Mau_bao_cao_XNT_NVTK_tai_NPP 21.7" xfId="1211"/>
    <cellStyle name="T_form ton kho CK 2 tuan 8_Book1_Mau_bao_cao_XNT_NVTK_tai_NPP 21.7 2" xfId="1212"/>
    <cellStyle name="T_form ton kho CK 2 tuan 8_Book1_Mau_bao_cao_XNT_NVTK_tai_NPP 21.7_PIT092008" xfId="1213"/>
    <cellStyle name="T_form ton kho CK 2 tuan 8_Book1_Mau_bao_cao_XNT_NVTK_tai_NPP 21.7_PIT092008 2" xfId="1214"/>
    <cellStyle name="T_form ton kho CK 2 tuan 8_Book1_PIT092008" xfId="1215"/>
    <cellStyle name="T_form ton kho CK 2 tuan 8_Book1_PIT092008 2" xfId="1216"/>
    <cellStyle name="T_form ton kho CK 2 tuan 8_Copy of Mau_bao_cao_XNT_NVTK_tai_NPP" xfId="1217"/>
    <cellStyle name="T_form ton kho CK 2 tuan 8_Copy of Mau_bao_cao_XNT_NVTK_tai_NPP 2" xfId="1218"/>
    <cellStyle name="T_form ton kho CK 2 tuan 8_Copy of Mau_bao_cao_XNT_NVTK_tai_NPP_PIT092008" xfId="1219"/>
    <cellStyle name="T_form ton kho CK 2 tuan 8_Copy of Mau_bao_cao_XNT_NVTK_tai_NPP_PIT092008 2" xfId="1220"/>
    <cellStyle name="T_form ton kho CK 2 tuan 8_ĐƠN ĐẶT HÀNG VNM" xfId="1221"/>
    <cellStyle name="T_form ton kho CK 2 tuan 8_ĐƠN ĐẶT HÀNG VNM 2" xfId="1222"/>
    <cellStyle name="T_form ton kho CK 2 tuan 8_ĐƠN ĐẶT HÀNG VNM_PIT092008" xfId="1223"/>
    <cellStyle name="T_form ton kho CK 2 tuan 8_ĐƠN ĐẶT HÀNG VNM_PIT092008 2" xfId="1224"/>
    <cellStyle name="T_form ton kho CK 2 tuan 8_F4_5_6__Bao_cao_tai_NPP BICH TIEN" xfId="1225"/>
    <cellStyle name="T_form ton kho CK 2 tuan 8_F4_5_6__Bao_cao_tai_NPP BICH TIEN 2" xfId="1226"/>
    <cellStyle name="T_form ton kho CK 2 tuan 8_F4_5_6__Bao_cao_tai_NPP BICH TIEN_PIT092008" xfId="1227"/>
    <cellStyle name="T_form ton kho CK 2 tuan 8_F4_5_6__Bao_cao_tai_NPP BICH TIEN_PIT092008 2" xfId="1228"/>
    <cellStyle name="T_form ton kho CK 2 tuan 8_form__moi__bao_cao_ngay_NEW_AGAIN" xfId="1229"/>
    <cellStyle name="T_form ton kho CK 2 tuan 8_form__moi__bao_cao_ngay_NEW_AGAIN 2" xfId="1230"/>
    <cellStyle name="T_form ton kho CK 2 tuan 8_form__moi__bao_cao_ngay_NEW_AGAIN_PIT092008" xfId="1231"/>
    <cellStyle name="T_form ton kho CK 2 tuan 8_form__moi__bao_cao_ngay_NEW_AGAIN_PIT092008 2" xfId="1232"/>
    <cellStyle name="T_form ton kho CK 2 tuan 8_Mau -bao_cao_XNT_NVTK_tai_NPP 19.7" xfId="1233"/>
    <cellStyle name="T_form ton kho CK 2 tuan 8_Mau -bao_cao_XNT_NVTK_tai_NPP 19.7 2" xfId="1234"/>
    <cellStyle name="T_form ton kho CK 2 tuan 8_Mau -bao_cao_XNT_NVTK_tai_NPP 19.7_PIT092008" xfId="1235"/>
    <cellStyle name="T_form ton kho CK 2 tuan 8_Mau -bao_cao_XNT_NVTK_tai_NPP 19.7_PIT092008 2" xfId="1236"/>
    <cellStyle name="T_form ton kho CK 2 tuan 8_Mau_bao_cao_XNT_NVTK_tai_NPP 21.7" xfId="1237"/>
    <cellStyle name="T_form ton kho CK 2 tuan 8_Mau_bao_cao_XNT_NVTK_tai_NPP 21.7 2" xfId="1238"/>
    <cellStyle name="T_form ton kho CK 2 tuan 8_Mau_bao_cao_XNT_NVTK_tai_NPP 21.7_PIT092008" xfId="1239"/>
    <cellStyle name="T_form ton kho CK 2 tuan 8_Mau_bao_cao_XNT_NVTK_tai_NPP 21.7_PIT092008 2" xfId="1240"/>
    <cellStyle name="T_form ton kho CK 2 tuan 8_Mau_bao_cao_XNT_NVTK_tai_NPP 3.7" xfId="1241"/>
    <cellStyle name="T_form ton kho CK 2 tuan 8_Mau_bao_cao_XNT_NVTK_tai_NPP 3.7 2" xfId="1242"/>
    <cellStyle name="T_form ton kho CK 2 tuan 8_Mau_bao_cao_XNT_NVTK_tai_NPP 3.7_1" xfId="1243"/>
    <cellStyle name="T_form ton kho CK 2 tuan 8_Mau_bao_cao_XNT_NVTK_tai_NPP 3.7_1 2" xfId="1244"/>
    <cellStyle name="T_form ton kho CK 2 tuan 8_Mau_bao_cao_XNT_NVTK_tai_NPP 3.7_1_PIT092008" xfId="1245"/>
    <cellStyle name="T_form ton kho CK 2 tuan 8_Mau_bao_cao_XNT_NVTK_tai_NPP 3.7_1_PIT092008 2" xfId="1246"/>
    <cellStyle name="T_form ton kho CK 2 tuan 8_Mau_bao_cao_XNT_NVTK_tai_NPP 3.7_PIT092008" xfId="1247"/>
    <cellStyle name="T_form ton kho CK 2 tuan 8_Mau_bao_cao_XNT_NVTK_tai_NPP 3.7_PIT092008 2" xfId="1248"/>
    <cellStyle name="T_form ton kho CK 2 tuan 8_PIT092008" xfId="1249"/>
    <cellStyle name="T_form ton kho CK 2 tuan 8_PIT092008 2" xfId="1250"/>
    <cellStyle name="T_form__moi__bao_cao_ngay_NEW_AGAIN" xfId="1251"/>
    <cellStyle name="T_form__moi__bao_cao_ngay_NEW_AGAIN 2" xfId="1252"/>
    <cellStyle name="T_form__moi__bao_cao_ngay_NEW_AGAIN_PIT092008" xfId="1253"/>
    <cellStyle name="T_form__moi__bao_cao_ngay_NEW_AGAIN_PIT092008 2" xfId="1254"/>
    <cellStyle name="T_Form_thanh_toan_Ho_tro_CP_Ban_va_GT_SP_VNM" xfId="1255"/>
    <cellStyle name="T_Form_thanh_toan_Ho_tro_CP_Ban_va_GT_SP_VNM 2" xfId="1256"/>
    <cellStyle name="T_Form_thanh_toan_Ho_tro_CP_Ban_va_GT_SP_VNM_PIT092008" xfId="1257"/>
    <cellStyle name="T_Form_thanh_toan_Ho_tro_CP_Ban_va_GT_SP_VNM_PIT092008 2" xfId="1258"/>
    <cellStyle name="T_form_ton_kho_tu_ck_5" xfId="1259"/>
    <cellStyle name="T_form_ton_kho_tu_ck_5 2" xfId="1260"/>
    <cellStyle name="T_form_ton_kho_tu_ck_5_PIT092008" xfId="1261"/>
    <cellStyle name="T_form_ton_kho_tu_ck_5_PIT092008 2" xfId="1262"/>
    <cellStyle name="T_HAN SU DUNG" xfId="1263"/>
    <cellStyle name="T_HAN SU DUNG 2" xfId="1264"/>
    <cellStyle name="T_HAN SU DUNG_PIT092008" xfId="1265"/>
    <cellStyle name="T_HAN SU DUNG_PIT092008 2" xfId="1266"/>
    <cellStyle name="T_KD - Stock WPs - NTHH" xfId="1267"/>
    <cellStyle name="T_KD - Stock WPs - NTHH 2" xfId="1268"/>
    <cellStyle name="T_KD - Stock WPs - NTHH_PIT092008" xfId="1269"/>
    <cellStyle name="T_KD - Stock WPs - NTHH_PIT092008 2" xfId="1270"/>
    <cellStyle name="T_Mau -bao_cao_XNT_NVTK_tai_NPP 19.7" xfId="1271"/>
    <cellStyle name="T_Mau -bao_cao_XNT_NVTK_tai_NPP 19.7 2" xfId="1272"/>
    <cellStyle name="T_Mau -bao_cao_XNT_NVTK_tai_NPP 19.7_PIT092008" xfId="1273"/>
    <cellStyle name="T_Mau -bao_cao_XNT_NVTK_tai_NPP 19.7_PIT092008 2" xfId="1274"/>
    <cellStyle name="T_Mau_bao_cao_XNT_NVTK_tai_NPP 21.7" xfId="1275"/>
    <cellStyle name="T_Mau_bao_cao_XNT_NVTK_tai_NPP 21.7 2" xfId="1276"/>
    <cellStyle name="T_Mau_bao_cao_XNT_NVTK_tai_NPP 21.7_PIT092008" xfId="1277"/>
    <cellStyle name="T_Mau_bao_cao_XNT_NVTK_tai_NPP 21.7_PIT092008 2" xfId="1278"/>
    <cellStyle name="T_Mau_bao_cao_XNT_NVTK_tai_NPP 3.7" xfId="1279"/>
    <cellStyle name="T_Mau_bao_cao_XNT_NVTK_tai_NPP 3.7 2" xfId="1280"/>
    <cellStyle name="T_Mau_bao_cao_XNT_NVTK_tai_NPP 3.7_1" xfId="1281"/>
    <cellStyle name="T_Mau_bao_cao_XNT_NVTK_tai_NPP 3.7_1 2" xfId="1282"/>
    <cellStyle name="T_Mau_bao_cao_XNT_NVTK_tai_NPP 3.7_1_PIT092008" xfId="1283"/>
    <cellStyle name="T_Mau_bao_cao_XNT_NVTK_tai_NPP 3.7_1_PIT092008 2" xfId="1284"/>
    <cellStyle name="T_Mau_bao_cao_XNT_NVTK_tai_NPP 3.7_PIT092008" xfId="1285"/>
    <cellStyle name="T_Mau_bao_cao_XNT_NVTK_tai_NPP 3.7_PIT092008 2" xfId="1286"/>
    <cellStyle name="T_Mau_TONG_KET_chuong_trinh_be_milk" xfId="1287"/>
    <cellStyle name="T_Mau_TONG_KET_chuong_trinh_be_milk 2" xfId="1288"/>
    <cellStyle name="T_Mau_TONG_KET_chuong_trinh_be_milk_PIT092008" xfId="1289"/>
    <cellStyle name="T_Mau_TONG_KET_chuong_trinh_be_milk_PIT092008 2" xfId="1290"/>
    <cellStyle name="T_NPP Khanh Vinh Thai Nguyen - BC KTTB_CTrinh_TB__20_loc__Milk_Yomilk_CK1" xfId="1291"/>
    <cellStyle name="T_NPP Khanh Vinh Thai Nguyen - BC KTTB_CTrinh_TB__20_loc__Milk_Yomilk_CK1 2" xfId="1292"/>
    <cellStyle name="T_NPP Khanh Vinh Thai Nguyen - BC KTTB_CTrinh_TB__20_loc__Milk_Yomilk_CK1_Book1" xfId="1293"/>
    <cellStyle name="T_NPP Khanh Vinh Thai Nguyen - BC KTTB_CTrinh_TB__20_loc__Milk_Yomilk_CK1_Book1 2" xfId="1294"/>
    <cellStyle name="T_NPP Khanh Vinh Thai Nguyen - BC KTTB_CTrinh_TB__20_loc__Milk_Yomilk_CK1_Book1_F4_5_6__Bao_cao_tai_NPP BICH TIEN" xfId="1295"/>
    <cellStyle name="T_NPP Khanh Vinh Thai Nguyen - BC KTTB_CTrinh_TB__20_loc__Milk_Yomilk_CK1_Book1_F4_5_6__Bao_cao_tai_NPP BICH TIEN 2" xfId="1296"/>
    <cellStyle name="T_NPP Khanh Vinh Thai Nguyen - BC KTTB_CTrinh_TB__20_loc__Milk_Yomilk_CK1_Book1_F4_5_6__Bao_cao_tai_NPP BICH TIEN_PIT092008" xfId="1297"/>
    <cellStyle name="T_NPP Khanh Vinh Thai Nguyen - BC KTTB_CTrinh_TB__20_loc__Milk_Yomilk_CK1_Book1_F4_5_6__Bao_cao_tai_NPP BICH TIEN_PIT092008 2" xfId="1298"/>
    <cellStyle name="T_NPP Khanh Vinh Thai Nguyen - BC KTTB_CTrinh_TB__20_loc__Milk_Yomilk_CK1_Book1_Mau_bao_cao_XNT_NVTK_tai_NPP 21.7" xfId="1299"/>
    <cellStyle name="T_NPP Khanh Vinh Thai Nguyen - BC KTTB_CTrinh_TB__20_loc__Milk_Yomilk_CK1_Book1_Mau_bao_cao_XNT_NVTK_tai_NPP 21.7 2" xfId="1300"/>
    <cellStyle name="T_NPP Khanh Vinh Thai Nguyen - BC KTTB_CTrinh_TB__20_loc__Milk_Yomilk_CK1_Book1_Mau_bao_cao_XNT_NVTK_tai_NPP 21.7_PIT092008" xfId="1301"/>
    <cellStyle name="T_NPP Khanh Vinh Thai Nguyen - BC KTTB_CTrinh_TB__20_loc__Milk_Yomilk_CK1_Book1_Mau_bao_cao_XNT_NVTK_tai_NPP 21.7_PIT092008 2" xfId="1302"/>
    <cellStyle name="T_NPP Khanh Vinh Thai Nguyen - BC KTTB_CTrinh_TB__20_loc__Milk_Yomilk_CK1_Book1_PIT092008" xfId="1303"/>
    <cellStyle name="T_NPP Khanh Vinh Thai Nguyen - BC KTTB_CTrinh_TB__20_loc__Milk_Yomilk_CK1_Book1_PIT092008 2" xfId="1304"/>
    <cellStyle name="T_NPP Khanh Vinh Thai Nguyen - BC KTTB_CTrinh_TB__20_loc__Milk_Yomilk_CK1_Copy of Mau_bao_cao_XNT_NVTK_tai_NPP" xfId="1305"/>
    <cellStyle name="T_NPP Khanh Vinh Thai Nguyen - BC KTTB_CTrinh_TB__20_loc__Milk_Yomilk_CK1_Copy of Mau_bao_cao_XNT_NVTK_tai_NPP 2" xfId="1306"/>
    <cellStyle name="T_NPP Khanh Vinh Thai Nguyen - BC KTTB_CTrinh_TB__20_loc__Milk_Yomilk_CK1_Copy of Mau_bao_cao_XNT_NVTK_tai_NPP_PIT092008" xfId="1307"/>
    <cellStyle name="T_NPP Khanh Vinh Thai Nguyen - BC KTTB_CTrinh_TB__20_loc__Milk_Yomilk_CK1_Copy of Mau_bao_cao_XNT_NVTK_tai_NPP_PIT092008 2" xfId="1308"/>
    <cellStyle name="T_NPP Khanh Vinh Thai Nguyen - BC KTTB_CTrinh_TB__20_loc__Milk_Yomilk_CK1_ĐƠN ĐẶT HÀNG VNM" xfId="1309"/>
    <cellStyle name="T_NPP Khanh Vinh Thai Nguyen - BC KTTB_CTrinh_TB__20_loc__Milk_Yomilk_CK1_ĐƠN ĐẶT HÀNG VNM 2" xfId="1310"/>
    <cellStyle name="T_NPP Khanh Vinh Thai Nguyen - BC KTTB_CTrinh_TB__20_loc__Milk_Yomilk_CK1_ĐƠN ĐẶT HÀNG VNM_PIT092008" xfId="1311"/>
    <cellStyle name="T_NPP Khanh Vinh Thai Nguyen - BC KTTB_CTrinh_TB__20_loc__Milk_Yomilk_CK1_ĐƠN ĐẶT HÀNG VNM_PIT092008 2" xfId="1312"/>
    <cellStyle name="T_NPP Khanh Vinh Thai Nguyen - BC KTTB_CTrinh_TB__20_loc__Milk_Yomilk_CK1_F4_5_6__Bao_cao_tai_NPP BICH TIEN" xfId="1313"/>
    <cellStyle name="T_NPP Khanh Vinh Thai Nguyen - BC KTTB_CTrinh_TB__20_loc__Milk_Yomilk_CK1_F4_5_6__Bao_cao_tai_NPP BICH TIEN 2" xfId="1314"/>
    <cellStyle name="T_NPP Khanh Vinh Thai Nguyen - BC KTTB_CTrinh_TB__20_loc__Milk_Yomilk_CK1_F4_5_6__Bao_cao_tai_NPP BICH TIEN_PIT092008" xfId="1315"/>
    <cellStyle name="T_NPP Khanh Vinh Thai Nguyen - BC KTTB_CTrinh_TB__20_loc__Milk_Yomilk_CK1_F4_5_6__Bao_cao_tai_NPP BICH TIEN_PIT092008 2" xfId="1316"/>
    <cellStyle name="T_NPP Khanh Vinh Thai Nguyen - BC KTTB_CTrinh_TB__20_loc__Milk_Yomilk_CK1_form__moi__bao_cao_ngay_NEW_AGAIN" xfId="1317"/>
    <cellStyle name="T_NPP Khanh Vinh Thai Nguyen - BC KTTB_CTrinh_TB__20_loc__Milk_Yomilk_CK1_form__moi__bao_cao_ngay_NEW_AGAIN 2" xfId="1318"/>
    <cellStyle name="T_NPP Khanh Vinh Thai Nguyen - BC KTTB_CTrinh_TB__20_loc__Milk_Yomilk_CK1_form__moi__bao_cao_ngay_NEW_AGAIN_PIT092008" xfId="1319"/>
    <cellStyle name="T_NPP Khanh Vinh Thai Nguyen - BC KTTB_CTrinh_TB__20_loc__Milk_Yomilk_CK1_form__moi__bao_cao_ngay_NEW_AGAIN_PIT092008 2" xfId="1320"/>
    <cellStyle name="T_NPP Khanh Vinh Thai Nguyen - BC KTTB_CTrinh_TB__20_loc__Milk_Yomilk_CK1_Mau -bao_cao_XNT_NVTK_tai_NPP 19.7" xfId="1321"/>
    <cellStyle name="T_NPP Khanh Vinh Thai Nguyen - BC KTTB_CTrinh_TB__20_loc__Milk_Yomilk_CK1_Mau -bao_cao_XNT_NVTK_tai_NPP 19.7 2" xfId="1322"/>
    <cellStyle name="T_NPP Khanh Vinh Thai Nguyen - BC KTTB_CTrinh_TB__20_loc__Milk_Yomilk_CK1_Mau -bao_cao_XNT_NVTK_tai_NPP 19.7_PIT092008" xfId="1323"/>
    <cellStyle name="T_NPP Khanh Vinh Thai Nguyen - BC KTTB_CTrinh_TB__20_loc__Milk_Yomilk_CK1_Mau -bao_cao_XNT_NVTK_tai_NPP 19.7_PIT092008 2" xfId="1324"/>
    <cellStyle name="T_NPP Khanh Vinh Thai Nguyen - BC KTTB_CTrinh_TB__20_loc__Milk_Yomilk_CK1_Mau_bao_cao_XNT_NVTK_tai_NPP 21.7" xfId="1325"/>
    <cellStyle name="T_NPP Khanh Vinh Thai Nguyen - BC KTTB_CTrinh_TB__20_loc__Milk_Yomilk_CK1_Mau_bao_cao_XNT_NVTK_tai_NPP 21.7 2" xfId="1326"/>
    <cellStyle name="T_NPP Khanh Vinh Thai Nguyen - BC KTTB_CTrinh_TB__20_loc__Milk_Yomilk_CK1_Mau_bao_cao_XNT_NVTK_tai_NPP 21.7_PIT092008" xfId="1327"/>
    <cellStyle name="T_NPP Khanh Vinh Thai Nguyen - BC KTTB_CTrinh_TB__20_loc__Milk_Yomilk_CK1_Mau_bao_cao_XNT_NVTK_tai_NPP 21.7_PIT092008 2" xfId="1328"/>
    <cellStyle name="T_NPP Khanh Vinh Thai Nguyen - BC KTTB_CTrinh_TB__20_loc__Milk_Yomilk_CK1_Mau_bao_cao_XNT_NVTK_tai_NPP 3.7" xfId="1329"/>
    <cellStyle name="T_NPP Khanh Vinh Thai Nguyen - BC KTTB_CTrinh_TB__20_loc__Milk_Yomilk_CK1_Mau_bao_cao_XNT_NVTK_tai_NPP 3.7 2" xfId="1330"/>
    <cellStyle name="T_NPP Khanh Vinh Thai Nguyen - BC KTTB_CTrinh_TB__20_loc__Milk_Yomilk_CK1_Mau_bao_cao_XNT_NVTK_tai_NPP 3.7_1" xfId="1331"/>
    <cellStyle name="T_NPP Khanh Vinh Thai Nguyen - BC KTTB_CTrinh_TB__20_loc__Milk_Yomilk_CK1_Mau_bao_cao_XNT_NVTK_tai_NPP 3.7_1 2" xfId="1332"/>
    <cellStyle name="T_NPP Khanh Vinh Thai Nguyen - BC KTTB_CTrinh_TB__20_loc__Milk_Yomilk_CK1_Mau_bao_cao_XNT_NVTK_tai_NPP 3.7_1_PIT092008" xfId="1333"/>
    <cellStyle name="T_NPP Khanh Vinh Thai Nguyen - BC KTTB_CTrinh_TB__20_loc__Milk_Yomilk_CK1_Mau_bao_cao_XNT_NVTK_tai_NPP 3.7_1_PIT092008 2" xfId="1334"/>
    <cellStyle name="T_NPP Khanh Vinh Thai Nguyen - BC KTTB_CTrinh_TB__20_loc__Milk_Yomilk_CK1_Mau_bao_cao_XNT_NVTK_tai_NPP 3.7_PIT092008" xfId="1335"/>
    <cellStyle name="T_NPP Khanh Vinh Thai Nguyen - BC KTTB_CTrinh_TB__20_loc__Milk_Yomilk_CK1_Mau_bao_cao_XNT_NVTK_tai_NPP 3.7_PIT092008 2" xfId="1336"/>
    <cellStyle name="T_NPP Khanh Vinh Thai Nguyen - BC KTTB_CTrinh_TB__20_loc__Milk_Yomilk_CK1_PIT092008" xfId="1337"/>
    <cellStyle name="T_NPP Khanh Vinh Thai Nguyen - BC KTTB_CTrinh_TB__20_loc__Milk_Yomilk_CK1_PIT092008 2" xfId="1338"/>
    <cellStyle name="T_PIT092008" xfId="1339"/>
    <cellStyle name="T_PIT092008 2" xfId="1340"/>
    <cellStyle name="T_Sheet1" xfId="1341"/>
    <cellStyle name="T_Sheet1 2" xfId="1342"/>
    <cellStyle name="T_Sheet1_Book1" xfId="1343"/>
    <cellStyle name="T_Sheet1_Book1 2" xfId="1344"/>
    <cellStyle name="T_Sheet1_Book1_F4_5_6__Bao_cao_tai_NPP BICH TIEN" xfId="1345"/>
    <cellStyle name="T_Sheet1_Book1_F4_5_6__Bao_cao_tai_NPP BICH TIEN 2" xfId="1346"/>
    <cellStyle name="T_Sheet1_Book1_F4_5_6__Bao_cao_tai_NPP BICH TIEN_PIT092008" xfId="1347"/>
    <cellStyle name="T_Sheet1_Book1_F4_5_6__Bao_cao_tai_NPP BICH TIEN_PIT092008 2" xfId="1348"/>
    <cellStyle name="T_Sheet1_Book1_Mau_bao_cao_XNT_NVTK_tai_NPP 21.7" xfId="1349"/>
    <cellStyle name="T_Sheet1_Book1_Mau_bao_cao_XNT_NVTK_tai_NPP 21.7 2" xfId="1350"/>
    <cellStyle name="T_Sheet1_Book1_Mau_bao_cao_XNT_NVTK_tai_NPP 21.7_PIT092008" xfId="1351"/>
    <cellStyle name="T_Sheet1_Book1_Mau_bao_cao_XNT_NVTK_tai_NPP 21.7_PIT092008 2" xfId="1352"/>
    <cellStyle name="T_Sheet1_Book1_PIT092008" xfId="1353"/>
    <cellStyle name="T_Sheet1_Book1_PIT092008 2" xfId="1354"/>
    <cellStyle name="T_Sheet1_Copy of Mau_bao_cao_XNT_NVTK_tai_NPP" xfId="1355"/>
    <cellStyle name="T_Sheet1_Copy of Mau_bao_cao_XNT_NVTK_tai_NPP 2" xfId="1356"/>
    <cellStyle name="T_Sheet1_Copy of Mau_bao_cao_XNT_NVTK_tai_NPP_PIT092008" xfId="1357"/>
    <cellStyle name="T_Sheet1_Copy of Mau_bao_cao_XNT_NVTK_tai_NPP_PIT092008 2" xfId="1358"/>
    <cellStyle name="T_Sheet1_ĐƠN ĐẶT HÀNG VNM" xfId="1359"/>
    <cellStyle name="T_Sheet1_ĐƠN ĐẶT HÀNG VNM 2" xfId="1360"/>
    <cellStyle name="T_Sheet1_ĐƠN ĐẶT HÀNG VNM_PIT092008" xfId="1361"/>
    <cellStyle name="T_Sheet1_ĐƠN ĐẶT HÀNG VNM_PIT092008 2" xfId="1362"/>
    <cellStyle name="T_Sheet1_F4_5_6__Bao_cao_tai_NPP BICH TIEN" xfId="1363"/>
    <cellStyle name="T_Sheet1_F4_5_6__Bao_cao_tai_NPP BICH TIEN 2" xfId="1364"/>
    <cellStyle name="T_Sheet1_F4_5_6__Bao_cao_tai_NPP BICH TIEN_PIT092008" xfId="1365"/>
    <cellStyle name="T_Sheet1_F4_5_6__Bao_cao_tai_NPP BICH TIEN_PIT092008 2" xfId="1366"/>
    <cellStyle name="T_Sheet1_form__moi__bao_cao_ngay_NEW_AGAIN" xfId="1367"/>
    <cellStyle name="T_Sheet1_form__moi__bao_cao_ngay_NEW_AGAIN 2" xfId="1368"/>
    <cellStyle name="T_Sheet1_form__moi__bao_cao_ngay_NEW_AGAIN_PIT092008" xfId="1369"/>
    <cellStyle name="T_Sheet1_form__moi__bao_cao_ngay_NEW_AGAIN_PIT092008 2" xfId="1370"/>
    <cellStyle name="T_Sheet1_Mau -bao_cao_XNT_NVTK_tai_NPP 19.7" xfId="1371"/>
    <cellStyle name="T_Sheet1_Mau -bao_cao_XNT_NVTK_tai_NPP 19.7 2" xfId="1372"/>
    <cellStyle name="T_Sheet1_Mau -bao_cao_XNT_NVTK_tai_NPP 19.7_PIT092008" xfId="1373"/>
    <cellStyle name="T_Sheet1_Mau -bao_cao_XNT_NVTK_tai_NPP 19.7_PIT092008 2" xfId="1374"/>
    <cellStyle name="T_Sheet1_Mau_bao_cao_XNT_NVTK_tai_NPP 21.7" xfId="1375"/>
    <cellStyle name="T_Sheet1_Mau_bao_cao_XNT_NVTK_tai_NPP 21.7 2" xfId="1376"/>
    <cellStyle name="T_Sheet1_Mau_bao_cao_XNT_NVTK_tai_NPP 21.7_PIT092008" xfId="1377"/>
    <cellStyle name="T_Sheet1_Mau_bao_cao_XNT_NVTK_tai_NPP 21.7_PIT092008 2" xfId="1378"/>
    <cellStyle name="T_Sheet1_Mau_bao_cao_XNT_NVTK_tai_NPP 3.7" xfId="1379"/>
    <cellStyle name="T_Sheet1_Mau_bao_cao_XNT_NVTK_tai_NPP 3.7 2" xfId="1380"/>
    <cellStyle name="T_Sheet1_Mau_bao_cao_XNT_NVTK_tai_NPP 3.7_1" xfId="1381"/>
    <cellStyle name="T_Sheet1_Mau_bao_cao_XNT_NVTK_tai_NPP 3.7_1 2" xfId="1382"/>
    <cellStyle name="T_Sheet1_Mau_bao_cao_XNT_NVTK_tai_NPP 3.7_1_PIT092008" xfId="1383"/>
    <cellStyle name="T_Sheet1_Mau_bao_cao_XNT_NVTK_tai_NPP 3.7_1_PIT092008 2" xfId="1384"/>
    <cellStyle name="T_Sheet1_Mau_bao_cao_XNT_NVTK_tai_NPP 3.7_PIT092008" xfId="1385"/>
    <cellStyle name="T_Sheet1_Mau_bao_cao_XNT_NVTK_tai_NPP 3.7_PIT092008 2" xfId="1386"/>
    <cellStyle name="T_Sheet1_PIT092008" xfId="1387"/>
    <cellStyle name="T_Sheet1_PIT092008 2" xfId="1388"/>
    <cellStyle name="T_sua chua cham trung bay  mien Bac" xfId="1389"/>
    <cellStyle name="T_sua chua cham trung bay  mien Bac 2" xfId="1390"/>
    <cellStyle name="T_sua chua cham trung bay  mien Bac_Book1" xfId="1391"/>
    <cellStyle name="T_sua chua cham trung bay  mien Bac_Book1 2" xfId="1392"/>
    <cellStyle name="T_sua chua cham trung bay  mien Bac_Book1_F4_5_6__Bao_cao_tai_NPP BICH TIEN" xfId="1393"/>
    <cellStyle name="T_sua chua cham trung bay  mien Bac_Book1_F4_5_6__Bao_cao_tai_NPP BICH TIEN 2" xfId="1394"/>
    <cellStyle name="T_sua chua cham trung bay  mien Bac_Book1_F4_5_6__Bao_cao_tai_NPP BICH TIEN_PIT092008" xfId="1395"/>
    <cellStyle name="T_sua chua cham trung bay  mien Bac_Book1_F4_5_6__Bao_cao_tai_NPP BICH TIEN_PIT092008 2" xfId="1396"/>
    <cellStyle name="T_sua chua cham trung bay  mien Bac_Book1_Mau_bao_cao_XNT_NVTK_tai_NPP 21.7" xfId="1397"/>
    <cellStyle name="T_sua chua cham trung bay  mien Bac_Book1_Mau_bao_cao_XNT_NVTK_tai_NPP 21.7 2" xfId="1398"/>
    <cellStyle name="T_sua chua cham trung bay  mien Bac_Book1_Mau_bao_cao_XNT_NVTK_tai_NPP 21.7_PIT092008" xfId="1399"/>
    <cellStyle name="T_sua chua cham trung bay  mien Bac_Book1_Mau_bao_cao_XNT_NVTK_tai_NPP 21.7_PIT092008 2" xfId="1400"/>
    <cellStyle name="T_sua chua cham trung bay  mien Bac_Book1_PIT092008" xfId="1401"/>
    <cellStyle name="T_sua chua cham trung bay  mien Bac_Book1_PIT092008 2" xfId="1402"/>
    <cellStyle name="T_sua chua cham trung bay  mien Bac_Copy of Mau_bao_cao_XNT_NVTK_tai_NPP" xfId="1403"/>
    <cellStyle name="T_sua chua cham trung bay  mien Bac_Copy of Mau_bao_cao_XNT_NVTK_tai_NPP 2" xfId="1404"/>
    <cellStyle name="T_sua chua cham trung bay  mien Bac_Copy of Mau_bao_cao_XNT_NVTK_tai_NPP_PIT092008" xfId="1405"/>
    <cellStyle name="T_sua chua cham trung bay  mien Bac_Copy of Mau_bao_cao_XNT_NVTK_tai_NPP_PIT092008 2" xfId="1406"/>
    <cellStyle name="T_sua chua cham trung bay  mien Bac_ĐƠN ĐẶT HÀNG VNM" xfId="1407"/>
    <cellStyle name="T_sua chua cham trung bay  mien Bac_ĐƠN ĐẶT HÀNG VNM 2" xfId="1408"/>
    <cellStyle name="T_sua chua cham trung bay  mien Bac_ĐƠN ĐẶT HÀNG VNM_PIT092008" xfId="1409"/>
    <cellStyle name="T_sua chua cham trung bay  mien Bac_ĐƠN ĐẶT HÀNG VNM_PIT092008 2" xfId="1410"/>
    <cellStyle name="T_sua chua cham trung bay  mien Bac_F4_5_6__Bao_cao_tai_NPP BICH TIEN" xfId="1411"/>
    <cellStyle name="T_sua chua cham trung bay  mien Bac_F4_5_6__Bao_cao_tai_NPP BICH TIEN 2" xfId="1412"/>
    <cellStyle name="T_sua chua cham trung bay  mien Bac_F4_5_6__Bao_cao_tai_NPP BICH TIEN_PIT092008" xfId="1413"/>
    <cellStyle name="T_sua chua cham trung bay  mien Bac_F4_5_6__Bao_cao_tai_NPP BICH TIEN_PIT092008 2" xfId="1414"/>
    <cellStyle name="T_sua chua cham trung bay  mien Bac_form__moi__bao_cao_ngay_NEW_AGAIN" xfId="1415"/>
    <cellStyle name="T_sua chua cham trung bay  mien Bac_form__moi__bao_cao_ngay_NEW_AGAIN 2" xfId="1416"/>
    <cellStyle name="T_sua chua cham trung bay  mien Bac_form__moi__bao_cao_ngay_NEW_AGAIN_PIT092008" xfId="1417"/>
    <cellStyle name="T_sua chua cham trung bay  mien Bac_form__moi__bao_cao_ngay_NEW_AGAIN_PIT092008 2" xfId="1418"/>
    <cellStyle name="T_sua chua cham trung bay  mien Bac_Mau -bao_cao_XNT_NVTK_tai_NPP 19.7" xfId="1419"/>
    <cellStyle name="T_sua chua cham trung bay  mien Bac_Mau -bao_cao_XNT_NVTK_tai_NPP 19.7 2" xfId="1420"/>
    <cellStyle name="T_sua chua cham trung bay  mien Bac_Mau -bao_cao_XNT_NVTK_tai_NPP 19.7_PIT092008" xfId="1421"/>
    <cellStyle name="T_sua chua cham trung bay  mien Bac_Mau -bao_cao_XNT_NVTK_tai_NPP 19.7_PIT092008 2" xfId="1422"/>
    <cellStyle name="T_sua chua cham trung bay  mien Bac_Mau_bao_cao_XNT_NVTK_tai_NPP 21.7" xfId="1423"/>
    <cellStyle name="T_sua chua cham trung bay  mien Bac_Mau_bao_cao_XNT_NVTK_tai_NPP 21.7 2" xfId="1424"/>
    <cellStyle name="T_sua chua cham trung bay  mien Bac_Mau_bao_cao_XNT_NVTK_tai_NPP 21.7_PIT092008" xfId="1425"/>
    <cellStyle name="T_sua chua cham trung bay  mien Bac_Mau_bao_cao_XNT_NVTK_tai_NPP 21.7_PIT092008 2" xfId="1426"/>
    <cellStyle name="T_sua chua cham trung bay  mien Bac_Mau_bao_cao_XNT_NVTK_tai_NPP 3.7" xfId="1427"/>
    <cellStyle name="T_sua chua cham trung bay  mien Bac_Mau_bao_cao_XNT_NVTK_tai_NPP 3.7 2" xfId="1428"/>
    <cellStyle name="T_sua chua cham trung bay  mien Bac_Mau_bao_cao_XNT_NVTK_tai_NPP 3.7_1" xfId="1429"/>
    <cellStyle name="T_sua chua cham trung bay  mien Bac_Mau_bao_cao_XNT_NVTK_tai_NPP 3.7_1 2" xfId="1430"/>
    <cellStyle name="T_sua chua cham trung bay  mien Bac_Mau_bao_cao_XNT_NVTK_tai_NPP 3.7_1_PIT092008" xfId="1431"/>
    <cellStyle name="T_sua chua cham trung bay  mien Bac_Mau_bao_cao_XNT_NVTK_tai_NPP 3.7_1_PIT092008 2" xfId="1432"/>
    <cellStyle name="T_sua chua cham trung bay  mien Bac_Mau_bao_cao_XNT_NVTK_tai_NPP 3.7_PIT092008" xfId="1433"/>
    <cellStyle name="T_sua chua cham trung bay  mien Bac_Mau_bao_cao_XNT_NVTK_tai_NPP 3.7_PIT092008 2" xfId="1434"/>
    <cellStyle name="T_sua chua cham trung bay  mien Bac_PIT092008" xfId="1435"/>
    <cellStyle name="T_sua chua cham trung bay  mien Bac_PIT092008 2" xfId="1436"/>
    <cellStyle name="T_tong kho 31.12.06" xfId="1437"/>
    <cellStyle name="T_tong kho 31.12.06 2" xfId="1438"/>
    <cellStyle name="T_tong kho 31.12.06_PIT092008" xfId="1439"/>
    <cellStyle name="T_tong kho 31.12.06_PIT092008 2" xfId="1440"/>
    <cellStyle name="T_Week21__Form_BCKM" xfId="1441"/>
    <cellStyle name="T_Week21__Form_BCKM 2" xfId="1442"/>
    <cellStyle name="T_Week21__Form_BCKM_PIT092008" xfId="1443"/>
    <cellStyle name="T_Week21__Form_BCKM_PIT092008 2" xfId="1444"/>
    <cellStyle name="Text" xfId="1445"/>
    <cellStyle name="Text Indent A" xfId="1446"/>
    <cellStyle name="Text Indent B" xfId="1447"/>
    <cellStyle name="Text Indent C" xfId="1448"/>
    <cellStyle name="th" xfId="1449"/>
    <cellStyle name="þ_x001d_" xfId="1450"/>
    <cellStyle name="th 2" xfId="1451"/>
    <cellStyle name="th_Book1" xfId="1452"/>
    <cellStyle name="þ_x001d__Book1" xfId="1453"/>
    <cellStyle name="th_Book1 2" xfId="1454"/>
    <cellStyle name="þ_Book1_1" xfId="1455"/>
    <cellStyle name="þ_Book1_1_PIT092008" xfId="1456"/>
    <cellStyle name="þ_Book1_bao cao ngay 26-10-2006_sb-sd" xfId="1457"/>
    <cellStyle name="þ_Book1_bao cao ngay 26-10-2006_sb-sd_PIT092008" xfId="1458"/>
    <cellStyle name="þ_Book1_BAO CAO TY LE THUC HIEN DEN NGAY 21-10" xfId="1459"/>
    <cellStyle name="þ_Book1_BAO CAO TY LE THUC HIEN DEN NGAY 21-10_PIT092008" xfId="1460"/>
    <cellStyle name="þ_Book1_BAO CAO TY LE THUC HIEN DEN NGAY 25-10" xfId="1461"/>
    <cellStyle name="þ_Book1_BAO CAO TY LE THUC HIEN DEN NGAY 25-10_PIT092008" xfId="1462"/>
    <cellStyle name="th_Book1_PIT092008" xfId="1463"/>
    <cellStyle name="þ_x001d__Book1_PIT092008" xfId="1464"/>
    <cellStyle name="th_Book1_PIT092008 2" xfId="1465"/>
    <cellStyle name="þ_Copy of Mau_bao_cao_XNT_NVTK_tai_NPP" xfId="1466"/>
    <cellStyle name="th_Copy of Mau_bao_cao_XNT_NVTK_tai_NPP_1" xfId="1467"/>
    <cellStyle name="þ_Copy of Mau_bao_cao_XNT_NVTK_tai_NPP_PIT092008" xfId="1468"/>
    <cellStyle name="þ_DS Diem Le F6A 3-8" xfId="1469"/>
    <cellStyle name="þ_DS Diem Le F6A 3-8_PIT092008" xfId="1470"/>
    <cellStyle name="þ_gui DuongNXT" xfId="1471"/>
    <cellStyle name="þ_gui DuongNXT_PIT092008" xfId="1472"/>
    <cellStyle name="þ_Mau_bao_cao_XNT_NVTK_tai_NPP" xfId="1473"/>
    <cellStyle name="th_Mau_bao_cao_XNT_NVTK_tai_NPP 1.7" xfId="1474"/>
    <cellStyle name="þ_Mau_bao_cao_XNT_NVTK_tai_NPP 21.7_1" xfId="1475"/>
    <cellStyle name="þ_Mau_bao_cao_XNT_NVTK_tai_NPP 21.7_1_PIT092008" xfId="1476"/>
    <cellStyle name="th_Mau_bao_cao_XNT_NVTK_tai_NPP 3.7" xfId="1477"/>
    <cellStyle name="þ_Mau_bao_cao_XNT_NVTK_tai_NPP 3.7_1" xfId="1478"/>
    <cellStyle name="þ_Mau_bao_cao_XNT_NVTK_tai_NPP 3.7_1_PIT092008" xfId="1479"/>
    <cellStyle name="th_Mau_bao_cao_XNT_NVTK_tai_NPP 3.7_PIT092008" xfId="1480"/>
    <cellStyle name="þ_Mau_bao_cao_XNT_NVTK_tai_NPP_PIT092008" xfId="1481"/>
    <cellStyle name="th_PIT092008" xfId="1482"/>
    <cellStyle name="þ_x001d__PIT092008" xfId="1483"/>
    <cellStyle name="th_PIT092008 2" xfId="1484"/>
    <cellStyle name="Thanh" xfId="1485"/>
    <cellStyle name="þ_x001d_ð" xfId="1486"/>
    <cellStyle name="þ_x001d_ð¤" xfId="1487"/>
    <cellStyle name="þ_x001d_ð¤_x000c_" xfId="1488"/>
    <cellStyle name="þ_x001d_ð¤_x000c_¯" xfId="1489"/>
    <cellStyle name="þ_x001d_ð¤_x000c_¯þ_x0014_" xfId="1490"/>
    <cellStyle name="þ_x001d_ð¤_x000c_¯þ_x0014__x000d_" xfId="1491"/>
    <cellStyle name="þ_x001d_ð¤_x000c_¯þ_x0014__x000d_¨" xfId="1492"/>
    <cellStyle name="þ_x001d_ð¤_x000c_¯þ_x0014__x000d_¨þ" xfId="1493"/>
    <cellStyle name="þ_x001d_ð¤_x000c_¯þ_x0014__x000d_¨þU" xfId="1494"/>
    <cellStyle name="þ_x001d_ð¤_x000c_¯þ_x0014__x000d_¨þU_x0001_" xfId="1495"/>
    <cellStyle name="þ_x001d_ð¤_x000c_¯þ_x0014__x000d_¨þU_PIT092008" xfId="1496"/>
    <cellStyle name="þ_x001d_ð¤_x000c_¯þ_x0014__x000d_¨þU_x0001__PIT092008" xfId="1497"/>
    <cellStyle name="þ_x001d_ð¤_x000c_¯þ_x0014__x000d_¨þU_x0001_À" xfId="1498"/>
    <cellStyle name="þ_x001d_ð¤_x000c_¯þ_x0014__x000d_¨þU_x0001_À_x0004_ " xfId="1499"/>
    <cellStyle name="þ_x001d_ð¤_x000c_¯þ_x0014__x000d_¨þU_x0001_À_x0004_ _x0015_" xfId="1500"/>
    <cellStyle name="þ_x001d_ð¤_x000c_¯þ_x0014__x000d_¨þU_x0001_À_x0004_ _x0015__x000f_" xfId="1501"/>
    <cellStyle name="þ_x001d_ð¤_x000c_¯þ_x0014__x000d_¨þU_x0001_À_x0004_ _x0015__x000f__x0001_" xfId="1502"/>
    <cellStyle name="þ_x001d_ð¤_x000c_¯þ_x0014__x000d_¨þU_x0001_À_x0004_ _x0015__x000f__x0001__x0001_" xfId="1503"/>
    <cellStyle name="þ_x001d_ð¤_x000c_¯þ_x0014__x000d_¨þU_x0001_À_x0004_ _x0015__x000f__x0001__x0001_?_x0002_" xfId="1504"/>
    <cellStyle name="þ_x001d_ð¤_x000c_¯þ_x0014__x000d_¨þU_x0001_À_x0004_ _x0015__x000f__x0001__x0001_?_x0002_ 1" xfId="1505"/>
    <cellStyle name="þ_x001d_ð¤_x000c_¯þ_x0014__x000d_¨þU_x0001_À_x0004_ _x0015__x000f__x0001__x0001_?_bao cao ngay 11-9" xfId="1506"/>
    <cellStyle name="þ_x001d_ð¤_x000c_¯þ_x0014__x000d_¨þU_x0001_À_x0004_ _x0015__x000f__x0001__x0001_?_x0002_ÿ" xfId="1507"/>
    <cellStyle name="þ_x001d_ð¤_x000c_¯þ_x0014__x000d_¨þU_x0001_À_x0004_ _x0015__x000f__x0001__x0001_?_x0002_ÿ 1" xfId="1508"/>
    <cellStyle name="þ_x001d_ð¤_x000c_¯þ_x0014__x000d_¨þU_x0001_À_x0004_ _x0015__x000f__x0001__x0001_?_x0002_ÿÿ" xfId="1509"/>
    <cellStyle name="þ_x001d_ð¤_x000c_¯þ_x0014__x000d_¨þU_x0001_À_x0004_ _x0015__x000f__x0001__x0001_?_x0002_ÿÿ 1" xfId="1510"/>
    <cellStyle name="þ_x001d_ð¤_x000c_¯þ_x0014__x000d_¨þU_x0001_À_x0004_ _x0015__x000f__x0001__x0001_?_x0002_ÿÿÿ" xfId="1511"/>
    <cellStyle name="þ_x001d_ð¤_x000c_¯þ_x0014__x000d_¨þU_x0001_À_x0004_ _x0015__x000f__x0001__x0001_?_x0002_ÿÿÿ 1" xfId="1512"/>
    <cellStyle name="þ_x001d_ð¤_x000c_¯þ_x0014__x000d_¨þU_x0001_À_x0004_ _x0015__x000f__x0001__x0001_?_x0002_ÿÿÿÿÿ" xfId="1513"/>
    <cellStyle name="þ_x001d_ð¤_x000c_¯þ_x0014__x000d_¨þU_x0001_À_x0004_ _x0015__x000f__x0001__x0001_?_x0002_ÿÿÿÿÿ 1" xfId="1514"/>
    <cellStyle name="þ_x001d_ð¤_x000c_¯þ_x0014__x000d_¨þU_x0001_À_x0004_ _x0015__x000f__x0001__x0001_?_x0002_ÿÿÿÿÿÿÿÿÿ" xfId="1515"/>
    <cellStyle name="þ_x001d_ð¤_x000c_¯þ_x0014__x000d_¨þU_x0001_À_x0004_ _x0015__x000f__x0001__x0001_?_x0002_ÿÿÿÿÿÿÿÿÿ 1" xfId="1516"/>
    <cellStyle name="þ_x001d_ð¤_x000c_¯þ_x0014__x000d_¨þU_x0001_À_x0004_ _x0015__x000f__x0001__x0001_?_x0002_ÿÿÿÿÿÿÿÿÿÿÿÿ" xfId="1517"/>
    <cellStyle name="þ_x001d_ð¤_x000c_¯þ_x0014__x000d_¨þU_x0001_À_x0004_ _x0015__x000f__x0001__x0001_?_x0002_ÿÿÿÿÿÿÿÿÿÿÿÿ 1" xfId="1518"/>
    <cellStyle name="þ_x001d_ð¤_x000c_¯þ_x0014__x000d_¨þU_x0001_À_x0004_ _x0015__x000f__x0001__x0001_?_x0002_ÿÿÿÿÿÿÿÿÿÿÿÿÿ" xfId="1519"/>
    <cellStyle name="þ_x001d_ð¤_x000c_¯þ_x0014__x000d_¨þU_x0001_À_x0004_ _x0015__x000f__x0001__x0001_?_x0002_ÿÿÿÿÿÿÿÿÿÿÿÿÿ 1" xfId="1520"/>
    <cellStyle name="þ_x001d_ð¤_x000c_¯þ_x0014__x000d_¨þU_x0001_À_x0004_ _x0015__x000f__x0001__x0001_?_x0002_ÿÿÿÿÿÿÿÿÿÿÿÿÿÿ" xfId="1521"/>
    <cellStyle name="þ_x001d_ð¤_x000c_¯þ_x0014__x000d_¨þU_x0001_À_x0004_ _x0015__x000f__x0001__x0001_?_x0002_ÿÿÿÿÿÿÿÿÿÿÿÿÿÿ 1" xfId="1522"/>
    <cellStyle name="þ_x001d_ð¤_x000c_¯þ_x0014__x000d_¨þU_x0001_À_x0004_ _x0015__x000f__x0001__x0001_?_x0002_ÿÿÿÿÿÿÿÿÿÿÿÿÿÿÿ¯?" xfId="1523"/>
    <cellStyle name="þ_x001d_ð¤_x000c_¯þ_x0014__x000d_¨þU_x0001_À_x0004_ _x0015__x000f__x0001__x0001_?_x0002_ÿÿÿÿÿÿÿÿÿÿÿÿÿÿÿ¯? 1" xfId="1524"/>
    <cellStyle name="þ_x001d_ð¤_x000c_¯þ_x0014__x000d_¨þU_x0001_À_x0004_ _x0015__x000f__x0001__x0001_?_x0002_ÿÿÿÿÿÿÿÿÿÿÿÿÿÿÿ¯?(_x0002_" xfId="1525"/>
    <cellStyle name="þ_x001d_ð¤_x000c_¯þ_x0014__x000d_¨þU_x0001_À_x0004_ _x0015__x000f__x0001__x0001_?_x0002_ÿÿÿÿÿÿÿÿÿÿÿÿÿÿÿ¯?(_x0002__x001d_" xfId="1526"/>
    <cellStyle name="þ_x001d_ð¤_x000c_¯þ_x0014__x000d_¨þU_x0001_À_x0004_ _x0015__x000f__x0001__x0001_?_x0002_ÿÿÿÿÿÿÿÿÿÿÿÿÿÿÿ¯?(_x0002__x001d__x0017_ ?" xfId="1527"/>
    <cellStyle name="þ_x001d_ð¤_x000c_¯þ_x0014__x000d_¨þU_x0001_À_x0004_ _x0015__x000f__x0001__x0001_?_x0002_ÿÿÿÿÿÿÿÿÿÿÿÿÿÿÿ¯?(_x0002__x001d__x0017_ ? 1" xfId="1528"/>
    <cellStyle name="þ_x001d_ð¤_x000c_¯þ_x0014__x000d_¨þU_x0001_À_x0004_ _x0015__x000f__x0001__x0001_?_x0002_ÿÿÿÿÿÿÿÿÿÿÿÿÿÿÿ¯?(_x0002__x001d__x0017_ ???º%ÿÿÿ" xfId="1529"/>
    <cellStyle name="þ_x001d_ð¤_x000c_¯þ_x0014__x000d_¨þU_x0001_À_x0004_ _x0015__x000f__x0001__x0001_?_x0002_ÿÿÿÿÿÿÿÿÿÿÿÿÿÿÿ¯?(_x0002__x001d__x0017_ ???º%ÿÿÿ 1" xfId="1530"/>
    <cellStyle name="þ_x001d_ð¤_x000c_¯þ_x0014__x000d_¨þU_x0001_À_x0004_ _x0015__x000f__x0001__x0001_?_x0002_ÿÿÿÿÿÿÿÿÿÿÿÿÿÿÿ¯?(_x0002__x001d__x0017_ ???º%ÿÿÿÿ????_x0006__x0016_??????????????Í!Ë??????????           ?????           ?????????_x000d__x000d_U_x000d_H\D2_x000d_D2\DEMO.MSC_x000d_S;C:\DOS;C:\HANH\D3;C:\HANH\D2;C:\NC_x000d_????????????????????????????????????????????????????????????" xfId="1531"/>
    <cellStyle name="þ_x001d_ð¤_x000c_¯þ_x0014__x000d_¨þU_x0001_À_x0004_ _x0015__x000f__x0001__x0001_?_x0002_ÿÿÿÿÿÿÿÿÿÿÿÿÿÿÿ¯?(_x0002__x001d__x0017_ ???º%ÿÿÿÿ????_x0006__x0016_??????????????Í!Ë??????????           ?????           ?????????_x000d__x000d_U_x000d_H\D2_x000d_D2\DEMO.MSC_x000d_S;C:\DOS;C:\HANH\D3;C:\HANH\D2;C:\NC_x000d_???????????????????????????????????????????????????????????? 1" xfId="1532"/>
    <cellStyle name="þ_x001d_ð¤_x000c_¯þ_x0014__x000d_¨þU_x0001_À_x0004_ _x0015__x000f__x0001__x0001_?_x0002_ÿÿÿÿÿÿÿÿÿÿÿÿÿÿÿ¯?(_x0002__x001d__x0017_ ???º%ÿÿÿÿ????_x0006__x0016_??????????????Í!Ë??????????           ?????           ?????????_x000d__x000d_U_x000d_H\D2_x000d_D2\DEMO.MSC_x000d_S;C:\DOS;C:\HANH\D3;C:\HANH\D2;C:\NC_x000d_????????????????????????????????????????????????????????????_02-08" xfId="1533"/>
    <cellStyle name="þ_x001d_ð¤_x000c_¯þ_x0014__x000d_¨þU_x0001_À_x0004_ _x0015__x000f__x0001__x0001_?_x0002_ÿÿÿÿÿÿÿÿÿÿÿÿÿÿÿ¯?(_x0002_ 1" xfId="1534"/>
    <cellStyle name="þ_x001d_ð¤_x000c_¯þ_x0014__x000d_¨þU_x0001_À_x0004_ _x0015__x000f__x0001__x0001_?_x0002_ÿÿÿÿÿÿÿÿÿÿÿÿÿÿÿ¯?(_x0002__x001d_ 1" xfId="1535"/>
    <cellStyle name="þ_x001d_ð¤_x000c_¯þ_x0014__x000d_¨þU_x0001_À_x0004_ _x0015__x000f__x0001__x0001__Bao cao cua NVTK tai NPP" xfId="1536"/>
    <cellStyle name="þ_x001d_ð¤_x000c_¯þ_x0014__x000d_¨þU_x0001_À_x0004_ _bao cao ngay 26-10-2006_sb-sd" xfId="1537"/>
    <cellStyle name="þ_x001d_ð¤_x000c_¯þ_x0014__x000d_¨þU_x0001_À_x0004_ _x0015__bao cao ngay 26-10-2006_sb-sd" xfId="1538"/>
    <cellStyle name="þ_x001d_ð¤_x000c_¯þ_x0014__x000d_¨þU_x0001_À_x0004_ _bao cao ngay 26-10-2006_sb-sd_PIT092008" xfId="1539"/>
    <cellStyle name="þ_x001d_ð¤_x000c_¯þ_x0014__x000d_¨þU_x0001_À_x0004_ _x0015__bao cao ngay 26-10-2006_sb-sd_PIT092008" xfId="1540"/>
    <cellStyle name="þ_x001d_ð¤_x000c_¯þ_x0014__x000d_¨þU_x0001_À_x0004_ _x0015__x000f__x0001__x0001__bao cao ngay 28-9" xfId="1541"/>
    <cellStyle name="þ_x001d_ð¤_x000c_¯þ_x0014__x000d_¨þU_x0001_À_x0004_ _Bao cao NVTK NPP Vinh Tuyen ngay 21-09 (2)" xfId="1542"/>
    <cellStyle name="þ_x001d_ð¤_x000c_¯þ_x0014__x000d_¨þU_x0001_À_x0004_ _x0015__x000f__x0001__x0001__Bao cao NVTK NPP Vinh Tuyen ngay 21-09 (2)" xfId="1543"/>
    <cellStyle name="þ_x001d_ð¤_x000c_¯þ_x0014__x000d_¨þU_x0001_À_x0004_ _Bao cao NVTK NPP Vinh Tuyen ngay 21-09 (2)_PIT092008" xfId="1544"/>
    <cellStyle name="þ_x001d_ð¤_x000c_¯þ_x0014__x000d_¨þU_x0001_À_x0004_ _x0015__x000f__x0001__x0001__Bao cao NVTK NPP Vinh Tuyen ngay 21-09 (2)_PIT092008" xfId="1545"/>
    <cellStyle name="þ_x001d_ð¤_x000c_¯þ_x0014__x000d_¨þU_x0001_À_x0004_ _x0015__BAO CAO TONG HOP TINH HINH DAT HANG  NPP (1)" xfId="1546"/>
    <cellStyle name="þ_x001d_ð¤_x000c_¯þ_x0014__x000d_¨þU_x0001_À_x0004_ _BAO CAO TY LE THUC HIEN DEN NGAY 21-10" xfId="1547"/>
    <cellStyle name="þ_x001d_ð¤_x000c_¯þ_x0014__x000d_¨þU_x0001_À_x0004_ _x0015__BAO CAO TY LE THUC HIEN DEN NGAY 21-10" xfId="1548"/>
    <cellStyle name="þ_x001d_ð¤_x000c_¯þ_x0014__x000d_¨þU_x0001_À_x0004_ _BAO CAO TY LE THUC HIEN DEN NGAY 21-10_PIT092008" xfId="1549"/>
    <cellStyle name="þ_x001d_ð¤_x000c_¯þ_x0014__x000d_¨þU_x0001_À_x0004_ _x0015__BAO CAO TY LE THUC HIEN DEN NGAY 21-10_PIT092008" xfId="1550"/>
    <cellStyle name="þ_x001d_ð¤_x000c_¯þ_x0014__x000d_¨þU_x0001_À_x0004_ _BAO CAO TY LE THUC HIEN DEN NGAY 25-10" xfId="1551"/>
    <cellStyle name="þ_x001d_ð¤_x000c_¯þ_x0014__x000d_¨þU_x0001_À_x0004_ _x0015__BAO CAO TY LE THUC HIEN DEN NGAY 25-10" xfId="1552"/>
    <cellStyle name="þ_x001d_ð¤_x000c_¯þ_x0014__x000d_¨þU_x0001_À_x0004_ _BAO CAO TY LE THUC HIEN DEN NGAY 25-10_PIT092008" xfId="1553"/>
    <cellStyle name="þ_x001d_ð¤_x000c_¯þ_x0014__x000d_¨þU_x0001_À_x0004_ _x0015__BAO CAO TY LE THUC HIEN DEN NGAY 25-10_PIT092008" xfId="1554"/>
    <cellStyle name="þ_x001d_ð¤_x000c_¯þ_x0014__x000d_¨þU_x0001_À_x0004_ _x0015__x000f__Book1" xfId="1555"/>
    <cellStyle name="þ_x001d_ð¤_x000c_¯þ_x0014__x000d_¨þU_x0001_À_x0004_ _PIT092008" xfId="1556"/>
    <cellStyle name="þ_x001d_ð¤_x000c_¯þ_x0014__x000d_¨þU_x0001_À_x0004_ _x0015__PIT092008" xfId="1557"/>
    <cellStyle name="þ_x001d_ð¤_x000c_¯þ_x0014__x000d_¨þU_x0001_À_x0004_ _x0015__x000f__PIT092008" xfId="1558"/>
    <cellStyle name="þ_x001d_ð¤_x000c_¯þ_x0014__x000d_¨þU_x0001_À_x0004_ _x0015__x000f__x0001__PIT092008" xfId="1559"/>
    <cellStyle name="þ_x001d_ð¤_x000c_¯þ_x0014__x000d_¨þU_x0001_À_x0004_ _x0015__x000f__x0001__x0001__PIT092008" xfId="1560"/>
    <cellStyle name="þ_x001d_ð¤_x000c_¯þ_x0014__x000d_¨þU_x0001_À_Bao cao F1_don dat hang 03.09.06 NPP Q.1" xfId="1561"/>
    <cellStyle name="þ_x001d_ð¤_x000c_¯þ_x0014__bao cao ngay 26-10-2006_sb-sd" xfId="1562"/>
    <cellStyle name="þ_x001d_ð¤_BC- HOANG GIA F1- 2- 06.07.06" xfId="1563"/>
    <cellStyle name="þ_x001d_ðK_x000c_Fý_x001b__x000d_9ýU_x0001_Ð_x0008_¦)_x0007__x0001__x0001_?_x0002_ÿÿÿÿÿÿÿÿÿÿÿÿÿÿÿ¯?(_x0002_$- ???&amp;&lt;ÿÿÿÿ??Î_x0005__x0006__x0014_??????????????Í!Ë??????????           ?????           ?????????_x000d_._x000d__DELL2\VOL1:NET_CONF\MESSAGE2.TXT_x000d_AMAMOTO_x000d_\HYPERION\HYPPROGS_x000d_??????????????????????????????????????????????????????" xfId="1564"/>
    <cellStyle name="Title" xfId="1565"/>
    <cellStyle name="TitleCol" xfId="1566"/>
    <cellStyle name="TitleTme" xfId="1567"/>
    <cellStyle name="Total" xfId="1568"/>
    <cellStyle name="Total 2" xfId="1569"/>
    <cellStyle name="Total 2 2" xfId="1570"/>
    <cellStyle name="Total 2 2 2" xfId="1571"/>
    <cellStyle name="Total 2 3" xfId="1572"/>
    <cellStyle name="Total 3" xfId="1573"/>
    <cellStyle name="Total 3 2" xfId="1574"/>
    <cellStyle name="Total 3 2 2" xfId="1575"/>
    <cellStyle name="Total 3 3" xfId="1576"/>
    <cellStyle name="Total 4" xfId="1577"/>
    <cellStyle name="Total 4 2" xfId="1578"/>
    <cellStyle name="Total 5" xfId="1579"/>
    <cellStyle name="Total 5 2" xfId="1580"/>
    <cellStyle name="Total 6" xfId="1581"/>
    <cellStyle name="Total 6 2" xfId="1582"/>
    <cellStyle name="Total 7" xfId="1583"/>
    <cellStyle name="ts" xfId="1584"/>
    <cellStyle name="UNIDAGSCode" xfId="1585"/>
    <cellStyle name="UNIDAGSCode2" xfId="1586"/>
    <cellStyle name="UNIDAGSCurrency" xfId="1587"/>
    <cellStyle name="UNIDAGSDate" xfId="1588"/>
    <cellStyle name="UNIDAGSPercent" xfId="1589"/>
    <cellStyle name="UNIDAGSPercent2" xfId="1590"/>
    <cellStyle name="v" xfId="1591"/>
    <cellStyle name="v_PIT092008" xfId="1592"/>
    <cellStyle name="viet" xfId="1593"/>
    <cellStyle name="viet2" xfId="1594"/>
    <cellStyle name="viet2 2" xfId="1595"/>
    <cellStyle name="VN new romanNormal" xfId="1596"/>
    <cellStyle name="VN time new roman" xfId="1597"/>
    <cellStyle name="vnbo" xfId="1598"/>
    <cellStyle name="vnbo 2" xfId="1599"/>
    <cellStyle name="vnhead1" xfId="1600"/>
    <cellStyle name="vnhead1 2" xfId="1601"/>
    <cellStyle name="vnhead2" xfId="1602"/>
    <cellStyle name="vnhead2 2" xfId="1603"/>
    <cellStyle name="vnhead3" xfId="1604"/>
    <cellStyle name="vnhead3 2" xfId="1605"/>
    <cellStyle name="vnhead4" xfId="1606"/>
    <cellStyle name="vntxt1" xfId="1607"/>
    <cellStyle name="vntxt2" xfId="1608"/>
    <cellStyle name="Währung [0]_68574_Materialbedarfsliste" xfId="1609"/>
    <cellStyle name="Währung_68574_Materialbedarfsliste" xfId="1610"/>
    <cellStyle name="Warning Text" xfId="1611"/>
    <cellStyle name="xuan" xfId="1612"/>
    <cellStyle name="เครื่องหมายสกุลเงิน [0]_FTC_OFFER" xfId="1613"/>
    <cellStyle name="เครื่องหมายสกุลเงิน_FTC_OFFER" xfId="1614"/>
    <cellStyle name="ปกติ_FTC_OFFER" xfId="1615"/>
    <cellStyle name=" [0.00]_ Att. 1- Cover" xfId="1616"/>
    <cellStyle name="_ Att. 1- Cover" xfId="1617"/>
    <cellStyle name="?_ Att. 1- Cover" xfId="1618"/>
    <cellStyle name="강조색1 2" xfId="1619"/>
    <cellStyle name="강조색1 3" xfId="1620"/>
    <cellStyle name="강조색1 4" xfId="1621"/>
    <cellStyle name="강조색2 2" xfId="1622"/>
    <cellStyle name="강조색2 3" xfId="1623"/>
    <cellStyle name="강조색2 4" xfId="1624"/>
    <cellStyle name="강조색3 2" xfId="1625"/>
    <cellStyle name="강조색3 3" xfId="1626"/>
    <cellStyle name="강조색3 4" xfId="1627"/>
    <cellStyle name="강조색4 2" xfId="1628"/>
    <cellStyle name="강조색4 3" xfId="1629"/>
    <cellStyle name="강조색4 4" xfId="1630"/>
    <cellStyle name="강조색5 2" xfId="1631"/>
    <cellStyle name="강조색5 3" xfId="1632"/>
    <cellStyle name="강조색5 4" xfId="1633"/>
    <cellStyle name="강조색6 2" xfId="1634"/>
    <cellStyle name="강조색6 3" xfId="1635"/>
    <cellStyle name="강조색6 4" xfId="1636"/>
    <cellStyle name="경고문 2" xfId="1637"/>
    <cellStyle name="경고문 3" xfId="1638"/>
    <cellStyle name="경고문 4" xfId="1639"/>
    <cellStyle name="계산 2" xfId="1640"/>
    <cellStyle name="계산 2 2" xfId="1641"/>
    <cellStyle name="계산 2 2 2" xfId="1642"/>
    <cellStyle name="계산 2 2 2 2" xfId="1643"/>
    <cellStyle name="계산 2 2 2 2 2" xfId="1644"/>
    <cellStyle name="계산 2 2 2 3" xfId="1645"/>
    <cellStyle name="계산 2 2 3" xfId="1646"/>
    <cellStyle name="계산 2 2 3 2" xfId="1647"/>
    <cellStyle name="계산 2 2 3 2 2" xfId="1648"/>
    <cellStyle name="계산 2 2 3 3" xfId="1649"/>
    <cellStyle name="계산 2 2 4" xfId="1650"/>
    <cellStyle name="계산 2 2 4 2" xfId="1651"/>
    <cellStyle name="계산 2 2 5" xfId="1652"/>
    <cellStyle name="계산 2 2 5 2" xfId="1653"/>
    <cellStyle name="계산 2 2 6" xfId="1654"/>
    <cellStyle name="계산 2 2 6 2" xfId="1655"/>
    <cellStyle name="계산 2 2 7" xfId="1656"/>
    <cellStyle name="계산 2 3" xfId="1657"/>
    <cellStyle name="계산 2 3 2" xfId="1658"/>
    <cellStyle name="계산 2 3 2 2" xfId="1659"/>
    <cellStyle name="계산 2 3 3" xfId="1660"/>
    <cellStyle name="계산 2 4" xfId="1661"/>
    <cellStyle name="계산 2 4 2" xfId="1662"/>
    <cellStyle name="계산 2 4 2 2" xfId="1663"/>
    <cellStyle name="계산 2 4 3" xfId="1664"/>
    <cellStyle name="계산 2 5" xfId="1665"/>
    <cellStyle name="계산 2 5 2" xfId="1666"/>
    <cellStyle name="계산 2 6" xfId="1667"/>
    <cellStyle name="계산 2 6 2" xfId="1668"/>
    <cellStyle name="계산 2 7" xfId="1669"/>
    <cellStyle name="계산 2 7 2" xfId="1670"/>
    <cellStyle name="계산 2 8" xfId="1671"/>
    <cellStyle name="계산 3" xfId="1672"/>
    <cellStyle name="계산 3 2" xfId="1673"/>
    <cellStyle name="계산 3 2 2" xfId="1674"/>
    <cellStyle name="계산 3 3" xfId="1675"/>
    <cellStyle name="계산 4" xfId="1676"/>
    <cellStyle name="계산 4 2" xfId="1677"/>
    <cellStyle name="계산 4 2 2" xfId="1678"/>
    <cellStyle name="계산 4 3" xfId="1679"/>
    <cellStyle name="계산 5" xfId="1680"/>
    <cellStyle name="계산 5 2" xfId="1681"/>
    <cellStyle name="계산 5 2 2" xfId="1682"/>
    <cellStyle name="계산 5 3" xfId="1683"/>
    <cellStyle name="계산 6" xfId="1684"/>
    <cellStyle name="계산 6 2" xfId="1685"/>
    <cellStyle name="계산 6 2 2" xfId="1686"/>
    <cellStyle name="계산 6 3" xfId="1687"/>
    <cellStyle name="계산 7" xfId="1688"/>
    <cellStyle name="계산 7 2" xfId="1689"/>
    <cellStyle name="계산 8" xfId="1690"/>
    <cellStyle name="계산 8 2" xfId="1691"/>
    <cellStyle name="계산 9" xfId="1692"/>
    <cellStyle name="계산 9 2" xfId="1693"/>
    <cellStyle name="고정소숫점" xfId="1694"/>
    <cellStyle name="고정출력1" xfId="1695"/>
    <cellStyle name="고정출력2" xfId="1696"/>
    <cellStyle name="나쁨 2" xfId="1697"/>
    <cellStyle name="나쁨 3" xfId="1698"/>
    <cellStyle name="나쁨 4" xfId="1699"/>
    <cellStyle name="날짜" xfId="1700"/>
    <cellStyle name="달러" xfId="1701"/>
    <cellStyle name="똿뗦먛귟 [0.00]_PRODUCT DETAIL Q1" xfId="1702"/>
    <cellStyle name="똿뗦먛귟_PRODUCT DETAIL Q1" xfId="1703"/>
    <cellStyle name="메모 2" xfId="1704"/>
    <cellStyle name="메모 2 2" xfId="1705"/>
    <cellStyle name="메모 2 2 2" xfId="1706"/>
    <cellStyle name="메모 2 2 2 2" xfId="1707"/>
    <cellStyle name="메모 2 2 2 2 2" xfId="1708"/>
    <cellStyle name="메모 2 2 2 3" xfId="1709"/>
    <cellStyle name="메모 2 2 3" xfId="1710"/>
    <cellStyle name="메모 2 2 3 2" xfId="1711"/>
    <cellStyle name="메모 2 2 3 2 2" xfId="1712"/>
    <cellStyle name="메모 2 2 3 3" xfId="1713"/>
    <cellStyle name="메모 2 2 4" xfId="1714"/>
    <cellStyle name="메모 2 2 4 2" xfId="1715"/>
    <cellStyle name="메모 2 2 5" xfId="1716"/>
    <cellStyle name="메모 2 2 5 2" xfId="1717"/>
    <cellStyle name="메모 2 2 6" xfId="1718"/>
    <cellStyle name="메모 2 2 6 2" xfId="1719"/>
    <cellStyle name="메모 2 2 7" xfId="1720"/>
    <cellStyle name="메모 2 3" xfId="1721"/>
    <cellStyle name="메모 2 3 2" xfId="1722"/>
    <cellStyle name="메모 2 3 2 2" xfId="1723"/>
    <cellStyle name="메모 2 3 3" xfId="1724"/>
    <cellStyle name="메모 2 4" xfId="1725"/>
    <cellStyle name="메모 2 4 2" xfId="1726"/>
    <cellStyle name="메모 2 4 2 2" xfId="1727"/>
    <cellStyle name="메모 2 4 3" xfId="1728"/>
    <cellStyle name="메모 2 5" xfId="1729"/>
    <cellStyle name="메모 2 5 2" xfId="1730"/>
    <cellStyle name="메모 2 6" xfId="1731"/>
    <cellStyle name="메모 2 6 2" xfId="1732"/>
    <cellStyle name="메모 2 7" xfId="1733"/>
    <cellStyle name="메모 2 7 2" xfId="1734"/>
    <cellStyle name="메모 2 8" xfId="1735"/>
    <cellStyle name="메모 3" xfId="1736"/>
    <cellStyle name="메모 3 2" xfId="1737"/>
    <cellStyle name="메모 3 2 2" xfId="1738"/>
    <cellStyle name="메모 3 3" xfId="1739"/>
    <cellStyle name="메모 4" xfId="1740"/>
    <cellStyle name="메모 4 2" xfId="1741"/>
    <cellStyle name="메모 4 2 2" xfId="1742"/>
    <cellStyle name="메모 4 3" xfId="1743"/>
    <cellStyle name="메모 5" xfId="1744"/>
    <cellStyle name="메모 5 2" xfId="1745"/>
    <cellStyle name="메모 5 2 2" xfId="1746"/>
    <cellStyle name="메모 5 3" xfId="1747"/>
    <cellStyle name="메모 6" xfId="1748"/>
    <cellStyle name="메모 6 2" xfId="1749"/>
    <cellStyle name="메모 6 2 2" xfId="1750"/>
    <cellStyle name="메모 6 3" xfId="1751"/>
    <cellStyle name="메모 7" xfId="1752"/>
    <cellStyle name="메모 7 2" xfId="1753"/>
    <cellStyle name="메모 8" xfId="1754"/>
    <cellStyle name="메모 8 2" xfId="1755"/>
    <cellStyle name="메모 9" xfId="1756"/>
    <cellStyle name="메모 9 2" xfId="1757"/>
    <cellStyle name="믅됞 [0.00]_PRODUCT DETAIL Q1" xfId="1758"/>
    <cellStyle name="믅됞_PRODUCT DETAIL Q1" xfId="1759"/>
    <cellStyle name="백분율" xfId="2" builtinId="5"/>
    <cellStyle name="백분율 10" xfId="1760"/>
    <cellStyle name="백분율 11" xfId="1761"/>
    <cellStyle name="백분율 11 2" xfId="1762"/>
    <cellStyle name="백분율 12" xfId="1763"/>
    <cellStyle name="백분율 13" xfId="1764"/>
    <cellStyle name="백분율 14" xfId="1765"/>
    <cellStyle name="백분율 15" xfId="1766"/>
    <cellStyle name="백분율 2" xfId="1767"/>
    <cellStyle name="백분율 2 2" xfId="1768"/>
    <cellStyle name="백분율 2 2 2" xfId="1769"/>
    <cellStyle name="백분율 2 2 3" xfId="1770"/>
    <cellStyle name="백분율 2 2 3 2" xfId="1771"/>
    <cellStyle name="백분율 2 2 3 2 2" xfId="1772"/>
    <cellStyle name="백분율 2 2 3 3" xfId="1773"/>
    <cellStyle name="백분율 2 2 4" xfId="1774"/>
    <cellStyle name="백분율 2 2 4 2" xfId="1775"/>
    <cellStyle name="백분율 2 2 5" xfId="1776"/>
    <cellStyle name="백분율 2 2 6" xfId="1777"/>
    <cellStyle name="백분율 2 3" xfId="1778"/>
    <cellStyle name="백분율 2 3 2" xfId="1779"/>
    <cellStyle name="백분율 2 4" xfId="1780"/>
    <cellStyle name="백분율 3" xfId="1781"/>
    <cellStyle name="백분율 3 2" xfId="1782"/>
    <cellStyle name="백분율 4" xfId="1783"/>
    <cellStyle name="백분율 4 2" xfId="1784"/>
    <cellStyle name="백분율 4 2 2" xfId="1785"/>
    <cellStyle name="백분율 4 2 2 2" xfId="1786"/>
    <cellStyle name="백분율 4 2 2 3" xfId="1787"/>
    <cellStyle name="백분율 4 2 2 3 2" xfId="1788"/>
    <cellStyle name="백분율 4 2 2 3 2 2" xfId="1789"/>
    <cellStyle name="백분율 4 2 2 3 3" xfId="1790"/>
    <cellStyle name="백분율 4 2 2 4" xfId="1791"/>
    <cellStyle name="백분율 4 2 2 4 2" xfId="1792"/>
    <cellStyle name="백분율 4 2 2 5" xfId="1793"/>
    <cellStyle name="백분율 4 2 2 6" xfId="1794"/>
    <cellStyle name="백분율 4 2 3" xfId="1795"/>
    <cellStyle name="백분율 4 2 4" xfId="1796"/>
    <cellStyle name="백분율 4 2 4 2" xfId="1797"/>
    <cellStyle name="백분율 4 2 4 2 2" xfId="1798"/>
    <cellStyle name="백분율 4 2 4 3" xfId="1799"/>
    <cellStyle name="백분율 4 2 5" xfId="1800"/>
    <cellStyle name="백분율 4 2 5 2" xfId="1801"/>
    <cellStyle name="백분율 4 2 6" xfId="1802"/>
    <cellStyle name="백분율 4 2 7" xfId="1803"/>
    <cellStyle name="백분율 4 3" xfId="1804"/>
    <cellStyle name="백분율 4 3 2" xfId="1805"/>
    <cellStyle name="백분율 4 3 3" xfId="1806"/>
    <cellStyle name="백분율 4 3 3 2" xfId="1807"/>
    <cellStyle name="백분율 4 3 3 2 2" xfId="1808"/>
    <cellStyle name="백분율 4 3 3 3" xfId="1809"/>
    <cellStyle name="백분율 4 3 4" xfId="1810"/>
    <cellStyle name="백분율 4 3 4 2" xfId="1811"/>
    <cellStyle name="백분율 4 3 5" xfId="1812"/>
    <cellStyle name="백분율 4 3 6" xfId="1813"/>
    <cellStyle name="백분율 4 4" xfId="1814"/>
    <cellStyle name="백분율 4 5" xfId="1815"/>
    <cellStyle name="백분율 4 5 2" xfId="1816"/>
    <cellStyle name="백분율 4 5 2 2" xfId="1817"/>
    <cellStyle name="백분율 4 5 3" xfId="1818"/>
    <cellStyle name="백분율 4 6" xfId="1819"/>
    <cellStyle name="백분율 4 6 2" xfId="1820"/>
    <cellStyle name="백분율 4 7" xfId="1821"/>
    <cellStyle name="백분율 4 8" xfId="1822"/>
    <cellStyle name="백분율 5" xfId="1823"/>
    <cellStyle name="백분율 6" xfId="1824"/>
    <cellStyle name="백분율 7" xfId="1825"/>
    <cellStyle name="백분율 7 2" xfId="1826"/>
    <cellStyle name="백분율 7 2 2" xfId="1827"/>
    <cellStyle name="백분율 7 2 2 2" xfId="1828"/>
    <cellStyle name="백분율 7 2 2 2 2" xfId="1829"/>
    <cellStyle name="백분율 7 2 2 2 3" xfId="1830"/>
    <cellStyle name="백분율 7 2 2 2 3 2" xfId="1831"/>
    <cellStyle name="백분율 7 2 2 2 3 2 2" xfId="1832"/>
    <cellStyle name="백분율 7 2 2 2 3 3" xfId="1833"/>
    <cellStyle name="백분율 7 2 2 2 4" xfId="1834"/>
    <cellStyle name="백분율 7 2 2 2 4 2" xfId="1835"/>
    <cellStyle name="백분율 7 2 2 2 5" xfId="1836"/>
    <cellStyle name="백분율 7 2 2 2 6" xfId="1837"/>
    <cellStyle name="백분율 7 2 2 3" xfId="1838"/>
    <cellStyle name="백분율 7 2 2 3 2" xfId="1839"/>
    <cellStyle name="백분율 7 2 2 3 2 2" xfId="1840"/>
    <cellStyle name="백분율 7 2 2 3 2 3" xfId="1841"/>
    <cellStyle name="백분율 7 2 2 3 2 3 2" xfId="1842"/>
    <cellStyle name="백분율 7 2 2 3 2 3 2 2" xfId="1843"/>
    <cellStyle name="백분율 7 2 2 3 2 3 3" xfId="1844"/>
    <cellStyle name="백분율 7 2 2 3 2 4" xfId="1845"/>
    <cellStyle name="백분율 7 2 2 3 2 4 2" xfId="1846"/>
    <cellStyle name="백분율 7 2 2 3 2 5" xfId="1847"/>
    <cellStyle name="백분율 7 2 2 3 2 6" xfId="1848"/>
    <cellStyle name="백분율 7 2 2 3 3" xfId="1849"/>
    <cellStyle name="백분율 7 2 2 3 3 2" xfId="1850"/>
    <cellStyle name="백분율 7 2 2 3 3 2 2" xfId="1851"/>
    <cellStyle name="백분율 7 2 2 3 3 2 2 2" xfId="1852"/>
    <cellStyle name="백분율 7 2 2 3 3 2 2 2 2" xfId="1853"/>
    <cellStyle name="백분율 7 2 2 3 3 2 2 2 2 2" xfId="1854"/>
    <cellStyle name="백분율 7 2 2 3 3 2 2 2 2 2 2" xfId="1855"/>
    <cellStyle name="백분율 7 2 2 3 3 2 2 2 2 2 2 2" xfId="1856"/>
    <cellStyle name="백분율 7 2 2 3 3 2 2 2 2 2 2 2 2" xfId="1857"/>
    <cellStyle name="백분율 7 2 2 3 3 2 2 2 2 2 2 2 2 2" xfId="1858"/>
    <cellStyle name="백분율 7 2 2 3 3 2 2 2 2 2 2 2 2 2 2" xfId="1859"/>
    <cellStyle name="백분율 7 2 2 3 3 2 2 2 2 2 2 2 2 2 2 2" xfId="1860"/>
    <cellStyle name="백분율 7 2 2 3 3 2 2 2 2 2 2 2 2 2 2 2 2" xfId="1861"/>
    <cellStyle name="백분율 7 2 2 3 3 2 2 2 2 2 2 2 2 2 2 2 2 2" xfId="1862"/>
    <cellStyle name="백분율 7 2 2 3 3 2 2 2 2 2 2 2 2 2 2 2 2 2 2" xfId="1863"/>
    <cellStyle name="백분율 7 2 2 3 3 2 2 2 2 2 2 2 2 2 2 2 2 2 2 2" xfId="1864"/>
    <cellStyle name="백분율 7 2 2 3 3 2 2 2 2 2 2 2 2 2 2 2 2 2 2 2 2" xfId="1865"/>
    <cellStyle name="백분율 7 2 2 3 3 2 2 2 2 2 2 2 2 2 2 2 2 2 2 2 2 2" xfId="1866"/>
    <cellStyle name="백분율 7 2 2 3 3 2 2 2 2 2 2 2 2 2 2 2 2 2 2 2 3" xfId="1867"/>
    <cellStyle name="백분율 7 2 2 3 3 2 2 2 2 2 2 2 2 2 2 2 2 2 2 2 3 2" xfId="1868"/>
    <cellStyle name="백분율 7 2 2 3 3 2 2 2 2 2 2 2 2 2 2 2 2 2 2 2 3 2 2" xfId="1869"/>
    <cellStyle name="백분율 7 2 2 3 3 2 2 2 2 2 2 2 2 2 2 2 2 2 2 2 3 2 2 2" xfId="1870"/>
    <cellStyle name="백분율 7 2 2 3 3 2 2 2 2 2 2 2 2 2 2 2 2 2 2 2 3 2 2 2 2" xfId="1871"/>
    <cellStyle name="백분율 7 2 2 3 3 2 2 2 2 2 2 2 2 2 2 2 2 2 2 2 3 2 2 3" xfId="1872"/>
    <cellStyle name="백분율 7 2 2 3 3 2 2 2 2 2 2 2 2 2 2 2 2 2 2 2 3 2 3" xfId="1873"/>
    <cellStyle name="백분율 7 2 2 3 3 2 2 2 2 2 2 2 2 2 2 2 2 2 2 2 3 3" xfId="1874"/>
    <cellStyle name="백분율 7 2 2 3 3 2 2 2 2 2 2 2 2 2 2 2 2 2 2 2 4" xfId="1875"/>
    <cellStyle name="백분율 7 2 2 3 3 2 2 2 2 2 2 2 2 2 2 2 2 2 2 3" xfId="1876"/>
    <cellStyle name="백분율 7 2 2 3 3 2 2 2 2 2 2 2 2 2 2 2 2 2 2 3 2" xfId="1877"/>
    <cellStyle name="백분율 7 2 2 3 3 2 2 2 2 2 2 2 2 2 2 2 2 2 2 4" xfId="1878"/>
    <cellStyle name="백분율 7 2 2 3 3 2 2 2 2 2 2 2 2 2 2 2 2 2 3" xfId="1879"/>
    <cellStyle name="백분율 7 2 2 3 3 2 2 2 2 2 2 2 2 2 2 2 2 2 3 2" xfId="1880"/>
    <cellStyle name="백분율 7 2 2 3 3 2 2 2 2 2 2 2 2 2 2 2 2 2 3 2 2" xfId="1881"/>
    <cellStyle name="백분율 7 2 2 3 3 2 2 2 2 2 2 2 2 2 2 2 2 2 3 3" xfId="1882"/>
    <cellStyle name="백분율 7 2 2 3 3 2 2 2 2 2 2 2 2 2 2 2 2 2 4" xfId="1883"/>
    <cellStyle name="백분율 7 2 2 3 3 2 2 2 2 2 2 2 2 2 2 2 2 2 4 2" xfId="1884"/>
    <cellStyle name="백분율 7 2 2 3 3 2 2 2 2 2 2 2 2 2 2 2 2 2 5" xfId="1885"/>
    <cellStyle name="백분율 7 2 2 3 3 2 2 2 2 2 2 2 2 2 2 2 2 3" xfId="1886"/>
    <cellStyle name="백분율 7 2 2 3 3 2 2 2 2 2 2 2 2 2 2 2 2 3 2" xfId="1887"/>
    <cellStyle name="백분율 7 2 2 3 3 2 2 2 2 2 2 2 2 2 2 2 2 3 2 2" xfId="1888"/>
    <cellStyle name="백분율 7 2 2 3 3 2 2 2 2 2 2 2 2 2 2 2 2 3 3" xfId="1889"/>
    <cellStyle name="백분율 7 2 2 3 3 2 2 2 2 2 2 2 2 2 2 2 2 4" xfId="1890"/>
    <cellStyle name="백분율 7 2 2 3 3 2 2 2 2 2 2 2 2 2 2 2 2 4 2" xfId="1891"/>
    <cellStyle name="백분율 7 2 2 3 3 2 2 2 2 2 2 2 2 2 2 2 2 5" xfId="1892"/>
    <cellStyle name="백분율 7 2 2 3 3 2 2 2 2 2 2 2 2 2 2 2 3" xfId="1893"/>
    <cellStyle name="백분율 7 2 2 3 3 2 2 2 2 2 2 2 2 2 2 2 4" xfId="1894"/>
    <cellStyle name="백분율 7 2 2 3 3 2 2 2 2 2 2 2 2 2 2 2 4 2" xfId="1895"/>
    <cellStyle name="백분율 7 2 2 3 3 2 2 2 2 2 2 2 2 2 2 2 4 2 2" xfId="1896"/>
    <cellStyle name="백분율 7 2 2 3 3 2 2 2 2 2 2 2 2 2 2 2 4 3" xfId="1897"/>
    <cellStyle name="백분율 7 2 2 3 3 2 2 2 2 2 2 2 2 2 2 2 5" xfId="1898"/>
    <cellStyle name="백분율 7 2 2 3 3 2 2 2 2 2 2 2 2 2 2 2 5 2" xfId="1899"/>
    <cellStyle name="백분율 7 2 2 3 3 2 2 2 2 2 2 2 2 2 2 2 6" xfId="1900"/>
    <cellStyle name="백분율 7 2 2 3 3 2 2 2 2 2 2 2 2 2 2 3" xfId="1901"/>
    <cellStyle name="백분율 7 2 2 3 3 2 2 2 2 2 2 2 2 2 2 4" xfId="1902"/>
    <cellStyle name="백분율 7 2 2 3 3 2 2 2 2 2 2 2 2 2 2 4 2" xfId="1903"/>
    <cellStyle name="백분율 7 2 2 3 3 2 2 2 2 2 2 2 2 2 2 4 2 2" xfId="1904"/>
    <cellStyle name="백분율 7 2 2 3 3 2 2 2 2 2 2 2 2 2 2 4 3" xfId="1905"/>
    <cellStyle name="백분율 7 2 2 3 3 2 2 2 2 2 2 2 2 2 2 5" xfId="1906"/>
    <cellStyle name="백분율 7 2 2 3 3 2 2 2 2 2 2 2 2 2 2 5 2" xfId="1907"/>
    <cellStyle name="백분율 7 2 2 3 3 2 2 2 2 2 2 2 2 2 2 6" xfId="1908"/>
    <cellStyle name="백분율 7 2 2 3 3 2 2 2 2 2 2 2 2 2 2 7" xfId="1909"/>
    <cellStyle name="백분율 7 2 2 3 3 2 2 2 2 2 2 2 2 2 3" xfId="1910"/>
    <cellStyle name="백분율 7 2 2 3 3 2 2 2 2 2 2 2 2 2 4" xfId="1911"/>
    <cellStyle name="백분율 7 2 2 3 3 2 2 2 2 2 2 2 2 2 4 2" xfId="1912"/>
    <cellStyle name="백분율 7 2 2 3 3 2 2 2 2 2 2 2 2 2 4 2 2" xfId="1913"/>
    <cellStyle name="백분율 7 2 2 3 3 2 2 2 2 2 2 2 2 2 4 3" xfId="1914"/>
    <cellStyle name="백분율 7 2 2 3 3 2 2 2 2 2 2 2 2 2 5" xfId="1915"/>
    <cellStyle name="백분율 7 2 2 3 3 2 2 2 2 2 2 2 2 2 5 2" xfId="1916"/>
    <cellStyle name="백분율 7 2 2 3 3 2 2 2 2 2 2 2 2 2 6" xfId="1917"/>
    <cellStyle name="백분율 7 2 2 3 3 2 2 2 2 2 2 2 2 2 7" xfId="1918"/>
    <cellStyle name="백분율 7 2 2 3 3 2 2 2 2 2 2 2 2 3" xfId="1919"/>
    <cellStyle name="백분율 7 2 2 3 3 2 2 2 2 2 2 2 2 4" xfId="1920"/>
    <cellStyle name="백분율 7 2 2 3 3 2 2 2 2 2 2 2 2 4 2" xfId="1921"/>
    <cellStyle name="백분율 7 2 2 3 3 2 2 2 2 2 2 2 2 4 2 2" xfId="1922"/>
    <cellStyle name="백분율 7 2 2 3 3 2 2 2 2 2 2 2 2 4 3" xfId="1923"/>
    <cellStyle name="백분율 7 2 2 3 3 2 2 2 2 2 2 2 2 5" xfId="1924"/>
    <cellStyle name="백분율 7 2 2 3 3 2 2 2 2 2 2 2 2 5 2" xfId="1925"/>
    <cellStyle name="백분율 7 2 2 3 3 2 2 2 2 2 2 2 2 6" xfId="1926"/>
    <cellStyle name="백분율 7 2 2 3 3 2 2 2 2 2 2 2 2 7" xfId="1927"/>
    <cellStyle name="백분율 7 2 2 3 3 2 2 2 2 2 2 2 3" xfId="1928"/>
    <cellStyle name="백분율 7 2 2 3 3 2 2 2 2 2 2 2 4" xfId="1929"/>
    <cellStyle name="백분율 7 2 2 3 3 2 2 2 2 2 2 2 4 2" xfId="1930"/>
    <cellStyle name="백분율 7 2 2 3 3 2 2 2 2 2 2 2 4 2 2" xfId="1931"/>
    <cellStyle name="백분율 7 2 2 3 3 2 2 2 2 2 2 2 4 3" xfId="1932"/>
    <cellStyle name="백분율 7 2 2 3 3 2 2 2 2 2 2 2 5" xfId="1933"/>
    <cellStyle name="백분율 7 2 2 3 3 2 2 2 2 2 2 2 5 2" xfId="1934"/>
    <cellStyle name="백분율 7 2 2 3 3 2 2 2 2 2 2 2 6" xfId="1935"/>
    <cellStyle name="백분율 7 2 2 3 3 2 2 2 2 2 2 2 7" xfId="1936"/>
    <cellStyle name="백분율 7 2 2 3 3 2 2 2 2 2 2 3" xfId="1937"/>
    <cellStyle name="백분율 7 2 2 3 3 2 2 2 2 2 2 4" xfId="1938"/>
    <cellStyle name="백분율 7 2 2 3 3 2 2 2 2 2 2 4 2" xfId="1939"/>
    <cellStyle name="백분율 7 2 2 3 3 2 2 2 2 2 2 4 2 2" xfId="1940"/>
    <cellStyle name="백분율 7 2 2 3 3 2 2 2 2 2 2 4 3" xfId="1941"/>
    <cellStyle name="백분율 7 2 2 3 3 2 2 2 2 2 2 5" xfId="1942"/>
    <cellStyle name="백분율 7 2 2 3 3 2 2 2 2 2 2 5 2" xfId="1943"/>
    <cellStyle name="백분율 7 2 2 3 3 2 2 2 2 2 2 6" xfId="1944"/>
    <cellStyle name="백분율 7 2 2 3 3 2 2 2 2 2 2 7" xfId="1945"/>
    <cellStyle name="백분율 7 2 2 3 3 2 2 2 2 2 3" xfId="1946"/>
    <cellStyle name="백분율 7 2 2 3 3 2 2 2 2 2 4" xfId="1947"/>
    <cellStyle name="백분율 7 2 2 3 3 2 2 2 2 2 4 2" xfId="1948"/>
    <cellStyle name="백분율 7 2 2 3 3 2 2 2 2 2 4 2 2" xfId="1949"/>
    <cellStyle name="백분율 7 2 2 3 3 2 2 2 2 2 4 3" xfId="1950"/>
    <cellStyle name="백분율 7 2 2 3 3 2 2 2 2 2 5" xfId="1951"/>
    <cellStyle name="백분율 7 2 2 3 3 2 2 2 2 2 5 2" xfId="1952"/>
    <cellStyle name="백분율 7 2 2 3 3 2 2 2 2 2 6" xfId="1953"/>
    <cellStyle name="백분율 7 2 2 3 3 2 2 2 2 2 7" xfId="1954"/>
    <cellStyle name="백분율 7 2 2 3 3 2 2 2 2 3" xfId="1955"/>
    <cellStyle name="백분율 7 2 2 3 3 2 2 2 2 4" xfId="1956"/>
    <cellStyle name="백분율 7 2 2 3 3 2 2 2 2 4 2" xfId="1957"/>
    <cellStyle name="백분율 7 2 2 3 3 2 2 2 2 4 2 2" xfId="1958"/>
    <cellStyle name="백분율 7 2 2 3 3 2 2 2 2 4 3" xfId="1959"/>
    <cellStyle name="백분율 7 2 2 3 3 2 2 2 2 5" xfId="1960"/>
    <cellStyle name="백분율 7 2 2 3 3 2 2 2 2 5 2" xfId="1961"/>
    <cellStyle name="백분율 7 2 2 3 3 2 2 2 2 6" xfId="1962"/>
    <cellStyle name="백분율 7 2 2 3 3 2 2 2 2 7" xfId="1963"/>
    <cellStyle name="백분율 7 2 2 3 3 2 2 2 3" xfId="1964"/>
    <cellStyle name="백분율 7 2 2 3 3 2 2 2 4" xfId="1965"/>
    <cellStyle name="백분율 7 2 2 3 3 2 2 2 4 2" xfId="1966"/>
    <cellStyle name="백분율 7 2 2 3 3 2 2 2 4 2 2" xfId="1967"/>
    <cellStyle name="백분율 7 2 2 3 3 2 2 2 4 3" xfId="1968"/>
    <cellStyle name="백분율 7 2 2 3 3 2 2 2 5" xfId="1969"/>
    <cellStyle name="백분율 7 2 2 3 3 2 2 2 5 2" xfId="1970"/>
    <cellStyle name="백분율 7 2 2 3 3 2 2 2 6" xfId="1971"/>
    <cellStyle name="백분율 7 2 2 3 3 2 2 2 7" xfId="1972"/>
    <cellStyle name="백분율 7 2 2 3 3 2 2 3" xfId="1973"/>
    <cellStyle name="백분율 7 2 2 3 3 2 2 4" xfId="1974"/>
    <cellStyle name="백분율 7 2 2 3 3 2 2 4 2" xfId="1975"/>
    <cellStyle name="백분율 7 2 2 3 3 2 2 4 2 2" xfId="1976"/>
    <cellStyle name="백분율 7 2 2 3 3 2 2 4 3" xfId="1977"/>
    <cellStyle name="백분율 7 2 2 3 3 2 2 5" xfId="1978"/>
    <cellStyle name="백분율 7 2 2 3 3 2 2 5 2" xfId="1979"/>
    <cellStyle name="백분율 7 2 2 3 3 2 2 6" xfId="1980"/>
    <cellStyle name="백분율 7 2 2 3 3 2 2 7" xfId="1981"/>
    <cellStyle name="백분율 7 2 2 3 3 2 3" xfId="1982"/>
    <cellStyle name="백분율 7 2 2 3 3 2 4" xfId="1983"/>
    <cellStyle name="백분율 7 2 2 3 3 2 4 2" xfId="1984"/>
    <cellStyle name="백분율 7 2 2 3 3 2 4 2 2" xfId="1985"/>
    <cellStyle name="백분율 7 2 2 3 3 2 4 3" xfId="1986"/>
    <cellStyle name="백분율 7 2 2 3 3 2 5" xfId="1987"/>
    <cellStyle name="백분율 7 2 2 3 3 2 5 2" xfId="1988"/>
    <cellStyle name="백분율 7 2 2 3 3 2 6" xfId="1989"/>
    <cellStyle name="백분율 7 2 2 3 3 2 7" xfId="1990"/>
    <cellStyle name="백분율 7 2 2 3 3 3" xfId="1991"/>
    <cellStyle name="백분율 7 2 2 3 3 4" xfId="1992"/>
    <cellStyle name="백분율 7 2 2 3 3 4 2" xfId="1993"/>
    <cellStyle name="백분율 7 2 2 3 3 4 2 2" xfId="1994"/>
    <cellStyle name="백분율 7 2 2 3 3 4 3" xfId="1995"/>
    <cellStyle name="백분율 7 2 2 3 3 5" xfId="1996"/>
    <cellStyle name="백분율 7 2 2 3 3 5 2" xfId="1997"/>
    <cellStyle name="백분율 7 2 2 3 3 6" xfId="1998"/>
    <cellStyle name="백분율 7 2 2 3 3 7" xfId="1999"/>
    <cellStyle name="백분율 7 2 2 3 4" xfId="2000"/>
    <cellStyle name="백분율 7 2 2 3 5" xfId="2001"/>
    <cellStyle name="백분율 7 2 2 3 5 2" xfId="2002"/>
    <cellStyle name="백분율 7 2 2 3 5 2 2" xfId="2003"/>
    <cellStyle name="백분율 7 2 2 3 5 3" xfId="2004"/>
    <cellStyle name="백분율 7 2 2 3 6" xfId="2005"/>
    <cellStyle name="백분율 7 2 2 3 6 2" xfId="2006"/>
    <cellStyle name="백분율 7 2 2 3 7" xfId="2007"/>
    <cellStyle name="백분율 7 2 2 3 8" xfId="2008"/>
    <cellStyle name="백분율 7 2 2 4" xfId="2009"/>
    <cellStyle name="백분율 7 2 2 5" xfId="2010"/>
    <cellStyle name="백분율 7 2 2 5 2" xfId="2011"/>
    <cellStyle name="백분율 7 2 2 5 2 2" xfId="2012"/>
    <cellStyle name="백분율 7 2 2 5 3" xfId="2013"/>
    <cellStyle name="백분율 7 2 2 6" xfId="2014"/>
    <cellStyle name="백분율 7 2 2 6 2" xfId="2015"/>
    <cellStyle name="백분율 7 2 2 7" xfId="2016"/>
    <cellStyle name="백분율 7 2 2 8" xfId="2017"/>
    <cellStyle name="백분율 7 2 3" xfId="2018"/>
    <cellStyle name="백분율 7 2 4" xfId="2019"/>
    <cellStyle name="백분율 7 2 4 2" xfId="2020"/>
    <cellStyle name="백분율 7 2 4 2 2" xfId="2021"/>
    <cellStyle name="백분율 7 2 4 3" xfId="2022"/>
    <cellStyle name="백분율 7 2 5" xfId="2023"/>
    <cellStyle name="백분율 7 2 5 2" xfId="2024"/>
    <cellStyle name="백분율 7 2 6" xfId="2025"/>
    <cellStyle name="백분율 7 2 6 2" xfId="2026"/>
    <cellStyle name="백분율 7 2 6 3" xfId="2027"/>
    <cellStyle name="백분율 7 2 7" xfId="2028"/>
    <cellStyle name="백분율 7 2 8" xfId="2029"/>
    <cellStyle name="백분율 7 3" xfId="2030"/>
    <cellStyle name="백분율 7 4" xfId="2031"/>
    <cellStyle name="백분율 7 4 2" xfId="2032"/>
    <cellStyle name="백분율 7 4 2 2" xfId="2033"/>
    <cellStyle name="백분율 7 4 3" xfId="2034"/>
    <cellStyle name="백분율 7 5" xfId="2035"/>
    <cellStyle name="백분율 7 5 2" xfId="2036"/>
    <cellStyle name="백분율 7 6" xfId="2037"/>
    <cellStyle name="백분율 7 7" xfId="2038"/>
    <cellStyle name="백분율 8" xfId="2039"/>
    <cellStyle name="백분율 8 2" xfId="2040"/>
    <cellStyle name="백분율 8 2 2" xfId="2041"/>
    <cellStyle name="백분율 9" xfId="2042"/>
    <cellStyle name="보통 2" xfId="2043"/>
    <cellStyle name="보통 3" xfId="2044"/>
    <cellStyle name="보통 4" xfId="2045"/>
    <cellStyle name="뷭?_BOOKSHIP" xfId="2046"/>
    <cellStyle name="常规 2" xfId="2047"/>
    <cellStyle name="常规 2 2" xfId="2048"/>
    <cellStyle name="常规_업무협조전(제품재고)" xfId="2049"/>
    <cellStyle name="설명 텍스트 2" xfId="2050"/>
    <cellStyle name="설명 텍스트 3" xfId="2051"/>
    <cellStyle name="설명 텍스트 4" xfId="2052"/>
    <cellStyle name="셀 확인 2" xfId="2053"/>
    <cellStyle name="셀 확인 3" xfId="2054"/>
    <cellStyle name="셀 확인 4" xfId="2055"/>
    <cellStyle name="隨後的超連結_Book1" xfId="2056"/>
    <cellStyle name="쉼표 [0]" xfId="1" builtinId="6"/>
    <cellStyle name="쉼표 [0] 10" xfId="2057"/>
    <cellStyle name="쉼표 [0] 10 2" xfId="2058"/>
    <cellStyle name="쉼표 [0] 10 2 2" xfId="2059"/>
    <cellStyle name="쉼표 [0] 10 2 2 2" xfId="2060"/>
    <cellStyle name="쉼표 [0] 10 2 3" xfId="2061"/>
    <cellStyle name="쉼표 [0] 10 3" xfId="2062"/>
    <cellStyle name="쉼표 [0] 10 3 2" xfId="2063"/>
    <cellStyle name="쉼표 [0] 10 4" xfId="2064"/>
    <cellStyle name="쉼표 [0] 11" xfId="2065"/>
    <cellStyle name="쉼표 [0] 12" xfId="2066"/>
    <cellStyle name="쉼표 [0] 12 2" xfId="2067"/>
    <cellStyle name="쉼표 [0] 12 2 2" xfId="2068"/>
    <cellStyle name="쉼표 [0] 12 3" xfId="2069"/>
    <cellStyle name="쉼표 [0] 13" xfId="2070"/>
    <cellStyle name="쉼표 [0] 14" xfId="2071"/>
    <cellStyle name="쉼표 [0] 14 2" xfId="2072"/>
    <cellStyle name="쉼표 [0] 15" xfId="2073"/>
    <cellStyle name="쉼표 [0] 16" xfId="2074"/>
    <cellStyle name="쉼표 [0] 17" xfId="2075"/>
    <cellStyle name="쉼표 [0] 18" xfId="2076"/>
    <cellStyle name="쉼표 [0] 2" xfId="2077"/>
    <cellStyle name="쉼표 [0] 2 2" xfId="2078"/>
    <cellStyle name="쉼표 [0] 2 2 2" xfId="2079"/>
    <cellStyle name="쉼표 [0] 2 3" xfId="2080"/>
    <cellStyle name="쉼표 [0] 3" xfId="3"/>
    <cellStyle name="쉼표 [0] 3 2" xfId="2081"/>
    <cellStyle name="쉼표 [0] 4" xfId="2082"/>
    <cellStyle name="쉼표 [0] 5" xfId="2083"/>
    <cellStyle name="쉼표 [0] 5 2" xfId="2084"/>
    <cellStyle name="쉼표 [0] 5 2 2" xfId="2085"/>
    <cellStyle name="쉼표 [0] 5 2 2 2" xfId="2086"/>
    <cellStyle name="쉼표 [0] 6" xfId="2087"/>
    <cellStyle name="쉼표 [0] 6 2" xfId="2088"/>
    <cellStyle name="쉼표 [0] 6 2 2" xfId="2089"/>
    <cellStyle name="쉼표 [0] 6 2 2 2" xfId="2090"/>
    <cellStyle name="쉼표 [0] 6 2 2 2 2" xfId="2091"/>
    <cellStyle name="쉼표 [0] 6 2 2 2 3" xfId="2092"/>
    <cellStyle name="쉼표 [0] 6 2 2 2 3 2" xfId="2093"/>
    <cellStyle name="쉼표 [0] 6 2 2 2 3 2 2" xfId="2094"/>
    <cellStyle name="쉼표 [0] 6 2 2 2 3 3" xfId="2095"/>
    <cellStyle name="쉼표 [0] 6 2 2 2 4" xfId="2096"/>
    <cellStyle name="쉼표 [0] 6 2 2 2 4 2" xfId="2097"/>
    <cellStyle name="쉼표 [0] 6 2 2 2 5" xfId="2098"/>
    <cellStyle name="쉼표 [0] 6 2 2 2 6" xfId="2099"/>
    <cellStyle name="쉼표 [0] 6 2 2 3" xfId="2100"/>
    <cellStyle name="쉼표 [0] 6 2 2 3 2" xfId="2101"/>
    <cellStyle name="쉼표 [0] 6 2 2 3 2 2" xfId="2102"/>
    <cellStyle name="쉼표 [0] 6 2 2 3 2 3" xfId="2103"/>
    <cellStyle name="쉼표 [0] 6 2 2 3 2 3 2" xfId="2104"/>
    <cellStyle name="쉼표 [0] 6 2 2 3 2 3 2 2" xfId="2105"/>
    <cellStyle name="쉼표 [0] 6 2 2 3 2 3 3" xfId="2106"/>
    <cellStyle name="쉼표 [0] 6 2 2 3 2 4" xfId="2107"/>
    <cellStyle name="쉼표 [0] 6 2 2 3 2 4 2" xfId="2108"/>
    <cellStyle name="쉼표 [0] 6 2 2 3 2 5" xfId="2109"/>
    <cellStyle name="쉼표 [0] 6 2 2 3 2 6" xfId="2110"/>
    <cellStyle name="쉼표 [0] 6 2 2 3 3" xfId="2111"/>
    <cellStyle name="쉼표 [0] 6 2 2 3 3 2" xfId="2112"/>
    <cellStyle name="쉼표 [0] 6 2 2 3 3 2 2" xfId="2113"/>
    <cellStyle name="쉼표 [0] 6 2 2 3 3 2 2 2" xfId="2114"/>
    <cellStyle name="쉼표 [0] 6 2 2 3 3 2 2 2 2" xfId="2115"/>
    <cellStyle name="쉼표 [0] 6 2 2 3 3 2 2 2 2 2" xfId="2116"/>
    <cellStyle name="쉼표 [0] 6 2 2 3 3 2 2 2 2 2 2" xfId="2117"/>
    <cellStyle name="쉼표 [0] 6 2 2 3 3 2 2 2 2 2 2 2" xfId="2118"/>
    <cellStyle name="쉼표 [0] 6 2 2 3 3 2 2 2 2 2 2 2 2" xfId="2119"/>
    <cellStyle name="쉼표 [0] 6 2 2 3 3 2 2 2 2 2 2 2 2 2" xfId="2120"/>
    <cellStyle name="쉼표 [0] 6 2 2 3 3 2 2 2 2 2 2 2 2 2 2" xfId="2121"/>
    <cellStyle name="쉼표 [0] 6 2 2 3 3 2 2 2 2 2 2 2 2 2 2 2" xfId="2122"/>
    <cellStyle name="쉼표 [0] 6 2 2 3 3 2 2 2 2 2 2 2 2 2 2 2 2" xfId="2123"/>
    <cellStyle name="쉼표 [0] 6 2 2 3 3 2 2 2 2 2 2 2 2 2 2 2 2 2" xfId="2124"/>
    <cellStyle name="쉼표 [0] 6 2 2 3 3 2 2 2 2 2 2 2 2 2 2 2 2 2 2" xfId="2125"/>
    <cellStyle name="쉼표 [0] 6 2 2 3 3 2 2 2 2 2 2 2 2 2 2 2 2 2 2 2" xfId="2126"/>
    <cellStyle name="쉼표 [0] 6 2 2 3 3 2 2 2 2 2 2 2 2 2 2 2 2 2 2 2 2" xfId="2127"/>
    <cellStyle name="쉼표 [0] 6 2 2 3 3 2 2 2 2 2 2 2 2 2 2 2 2 2 2 2 2 2" xfId="2128"/>
    <cellStyle name="쉼표 [0] 6 2 2 3 3 2 2 2 2 2 2 2 2 2 2 2 2 2 2 2 3" xfId="2129"/>
    <cellStyle name="쉼표 [0] 6 2 2 3 3 2 2 2 2 2 2 2 2 2 2 2 2 2 2 2 3 2" xfId="2130"/>
    <cellStyle name="쉼표 [0] 6 2 2 3 3 2 2 2 2 2 2 2 2 2 2 2 2 2 2 2 3 2 2" xfId="2131"/>
    <cellStyle name="쉼표 [0] 6 2 2 3 3 2 2 2 2 2 2 2 2 2 2 2 2 2 2 2 3 2 2 2" xfId="2132"/>
    <cellStyle name="쉼표 [0] 6 2 2 3 3 2 2 2 2 2 2 2 2 2 2 2 2 2 2 2 3 2 2 2 2" xfId="2133"/>
    <cellStyle name="쉼표 [0] 6 2 2 3 3 2 2 2 2 2 2 2 2 2 2 2 2 2 2 2 3 2 2 3" xfId="2134"/>
    <cellStyle name="쉼표 [0] 6 2 2 3 3 2 2 2 2 2 2 2 2 2 2 2 2 2 2 2 3 2 3" xfId="2135"/>
    <cellStyle name="쉼표 [0] 6 2 2 3 3 2 2 2 2 2 2 2 2 2 2 2 2 2 2 2 3 3" xfId="2136"/>
    <cellStyle name="쉼표 [0] 6 2 2 3 3 2 2 2 2 2 2 2 2 2 2 2 2 2 2 2 4" xfId="2137"/>
    <cellStyle name="쉼표 [0] 6 2 2 3 3 2 2 2 2 2 2 2 2 2 2 2 2 2 2 3" xfId="2138"/>
    <cellStyle name="쉼표 [0] 6 2 2 3 3 2 2 2 2 2 2 2 2 2 2 2 2 2 2 3 2" xfId="2139"/>
    <cellStyle name="쉼표 [0] 6 2 2 3 3 2 2 2 2 2 2 2 2 2 2 2 2 2 2 4" xfId="2140"/>
    <cellStyle name="쉼표 [0] 6 2 2 3 3 2 2 2 2 2 2 2 2 2 2 2 2 2 3" xfId="2141"/>
    <cellStyle name="쉼표 [0] 6 2 2 3 3 2 2 2 2 2 2 2 2 2 2 2 2 2 3 2" xfId="2142"/>
    <cellStyle name="쉼표 [0] 6 2 2 3 3 2 2 2 2 2 2 2 2 2 2 2 2 2 3 2 2" xfId="2143"/>
    <cellStyle name="쉼표 [0] 6 2 2 3 3 2 2 2 2 2 2 2 2 2 2 2 2 2 3 3" xfId="2144"/>
    <cellStyle name="쉼표 [0] 6 2 2 3 3 2 2 2 2 2 2 2 2 2 2 2 2 2 4" xfId="2145"/>
    <cellStyle name="쉼표 [0] 6 2 2 3 3 2 2 2 2 2 2 2 2 2 2 2 2 2 4 2" xfId="2146"/>
    <cellStyle name="쉼표 [0] 6 2 2 3 3 2 2 2 2 2 2 2 2 2 2 2 2 2 5" xfId="2147"/>
    <cellStyle name="쉼표 [0] 6 2 2 3 3 2 2 2 2 2 2 2 2 2 2 2 2 3" xfId="2148"/>
    <cellStyle name="쉼표 [0] 6 2 2 3 3 2 2 2 2 2 2 2 2 2 2 2 2 3 2" xfId="2149"/>
    <cellStyle name="쉼표 [0] 6 2 2 3 3 2 2 2 2 2 2 2 2 2 2 2 2 3 2 2" xfId="2150"/>
    <cellStyle name="쉼표 [0] 6 2 2 3 3 2 2 2 2 2 2 2 2 2 2 2 2 3 3" xfId="2151"/>
    <cellStyle name="쉼표 [0] 6 2 2 3 3 2 2 2 2 2 2 2 2 2 2 2 2 4" xfId="2152"/>
    <cellStyle name="쉼표 [0] 6 2 2 3 3 2 2 2 2 2 2 2 2 2 2 2 2 4 2" xfId="2153"/>
    <cellStyle name="쉼표 [0] 6 2 2 3 3 2 2 2 2 2 2 2 2 2 2 2 2 5" xfId="2154"/>
    <cellStyle name="쉼표 [0] 6 2 2 3 3 2 2 2 2 2 2 2 2 2 2 2 3" xfId="2155"/>
    <cellStyle name="쉼표 [0] 6 2 2 3 3 2 2 2 2 2 2 2 2 2 2 2 4" xfId="2156"/>
    <cellStyle name="쉼표 [0] 6 2 2 3 3 2 2 2 2 2 2 2 2 2 2 2 4 2" xfId="2157"/>
    <cellStyle name="쉼표 [0] 6 2 2 3 3 2 2 2 2 2 2 2 2 2 2 2 4 2 2" xfId="2158"/>
    <cellStyle name="쉼표 [0] 6 2 2 3 3 2 2 2 2 2 2 2 2 2 2 2 4 3" xfId="2159"/>
    <cellStyle name="쉼표 [0] 6 2 2 3 3 2 2 2 2 2 2 2 2 2 2 2 5" xfId="2160"/>
    <cellStyle name="쉼표 [0] 6 2 2 3 3 2 2 2 2 2 2 2 2 2 2 2 5 2" xfId="2161"/>
    <cellStyle name="쉼표 [0] 6 2 2 3 3 2 2 2 2 2 2 2 2 2 2 2 6" xfId="2162"/>
    <cellStyle name="쉼표 [0] 6 2 2 3 3 2 2 2 2 2 2 2 2 2 2 3" xfId="2163"/>
    <cellStyle name="쉼표 [0] 6 2 2 3 3 2 2 2 2 2 2 2 2 2 2 4" xfId="2164"/>
    <cellStyle name="쉼표 [0] 6 2 2 3 3 2 2 2 2 2 2 2 2 2 2 4 2" xfId="2165"/>
    <cellStyle name="쉼표 [0] 6 2 2 3 3 2 2 2 2 2 2 2 2 2 2 4 2 2" xfId="2166"/>
    <cellStyle name="쉼표 [0] 6 2 2 3 3 2 2 2 2 2 2 2 2 2 2 4 3" xfId="2167"/>
    <cellStyle name="쉼표 [0] 6 2 2 3 3 2 2 2 2 2 2 2 2 2 2 5" xfId="2168"/>
    <cellStyle name="쉼표 [0] 6 2 2 3 3 2 2 2 2 2 2 2 2 2 2 5 2" xfId="2169"/>
    <cellStyle name="쉼표 [0] 6 2 2 3 3 2 2 2 2 2 2 2 2 2 2 6" xfId="2170"/>
    <cellStyle name="쉼표 [0] 6 2 2 3 3 2 2 2 2 2 2 2 2 2 2 7" xfId="2171"/>
    <cellStyle name="쉼표 [0] 6 2 2 3 3 2 2 2 2 2 2 2 2 2 3" xfId="2172"/>
    <cellStyle name="쉼표 [0] 6 2 2 3 3 2 2 2 2 2 2 2 2 2 4" xfId="2173"/>
    <cellStyle name="쉼표 [0] 6 2 2 3 3 2 2 2 2 2 2 2 2 2 4 2" xfId="2174"/>
    <cellStyle name="쉼표 [0] 6 2 2 3 3 2 2 2 2 2 2 2 2 2 4 2 2" xfId="2175"/>
    <cellStyle name="쉼표 [0] 6 2 2 3 3 2 2 2 2 2 2 2 2 2 4 3" xfId="2176"/>
    <cellStyle name="쉼표 [0] 6 2 2 3 3 2 2 2 2 2 2 2 2 2 5" xfId="2177"/>
    <cellStyle name="쉼표 [0] 6 2 2 3 3 2 2 2 2 2 2 2 2 2 5 2" xfId="2178"/>
    <cellStyle name="쉼표 [0] 6 2 2 3 3 2 2 2 2 2 2 2 2 2 6" xfId="2179"/>
    <cellStyle name="쉼표 [0] 6 2 2 3 3 2 2 2 2 2 2 2 2 2 7" xfId="2180"/>
    <cellStyle name="쉼표 [0] 6 2 2 3 3 2 2 2 2 2 2 2 2 3" xfId="2181"/>
    <cellStyle name="쉼표 [0] 6 2 2 3 3 2 2 2 2 2 2 2 2 4" xfId="2182"/>
    <cellStyle name="쉼표 [0] 6 2 2 3 3 2 2 2 2 2 2 2 2 4 2" xfId="2183"/>
    <cellStyle name="쉼표 [0] 6 2 2 3 3 2 2 2 2 2 2 2 2 4 2 2" xfId="2184"/>
    <cellStyle name="쉼표 [0] 6 2 2 3 3 2 2 2 2 2 2 2 2 4 3" xfId="2185"/>
    <cellStyle name="쉼표 [0] 6 2 2 3 3 2 2 2 2 2 2 2 2 5" xfId="2186"/>
    <cellStyle name="쉼표 [0] 6 2 2 3 3 2 2 2 2 2 2 2 2 5 2" xfId="2187"/>
    <cellStyle name="쉼표 [0] 6 2 2 3 3 2 2 2 2 2 2 2 2 6" xfId="2188"/>
    <cellStyle name="쉼표 [0] 6 2 2 3 3 2 2 2 2 2 2 2 2 7" xfId="2189"/>
    <cellStyle name="쉼표 [0] 6 2 2 3 3 2 2 2 2 2 2 2 3" xfId="2190"/>
    <cellStyle name="쉼표 [0] 6 2 2 3 3 2 2 2 2 2 2 2 4" xfId="2191"/>
    <cellStyle name="쉼표 [0] 6 2 2 3 3 2 2 2 2 2 2 2 4 2" xfId="2192"/>
    <cellStyle name="쉼표 [0] 6 2 2 3 3 2 2 2 2 2 2 2 4 2 2" xfId="2193"/>
    <cellStyle name="쉼표 [0] 6 2 2 3 3 2 2 2 2 2 2 2 4 3" xfId="2194"/>
    <cellStyle name="쉼표 [0] 6 2 2 3 3 2 2 2 2 2 2 2 5" xfId="2195"/>
    <cellStyle name="쉼표 [0] 6 2 2 3 3 2 2 2 2 2 2 2 5 2" xfId="2196"/>
    <cellStyle name="쉼표 [0] 6 2 2 3 3 2 2 2 2 2 2 2 6" xfId="2197"/>
    <cellStyle name="쉼표 [0] 6 2 2 3 3 2 2 2 2 2 2 2 7" xfId="2198"/>
    <cellStyle name="쉼표 [0] 6 2 2 3 3 2 2 2 2 2 2 3" xfId="2199"/>
    <cellStyle name="쉼표 [0] 6 2 2 3 3 2 2 2 2 2 2 4" xfId="2200"/>
    <cellStyle name="쉼표 [0] 6 2 2 3 3 2 2 2 2 2 2 4 2" xfId="2201"/>
    <cellStyle name="쉼표 [0] 6 2 2 3 3 2 2 2 2 2 2 4 2 2" xfId="2202"/>
    <cellStyle name="쉼표 [0] 6 2 2 3 3 2 2 2 2 2 2 4 3" xfId="2203"/>
    <cellStyle name="쉼표 [0] 6 2 2 3 3 2 2 2 2 2 2 5" xfId="2204"/>
    <cellStyle name="쉼표 [0] 6 2 2 3 3 2 2 2 2 2 2 5 2" xfId="2205"/>
    <cellStyle name="쉼표 [0] 6 2 2 3 3 2 2 2 2 2 2 6" xfId="2206"/>
    <cellStyle name="쉼표 [0] 6 2 2 3 3 2 2 2 2 2 2 7" xfId="2207"/>
    <cellStyle name="쉼표 [0] 6 2 2 3 3 2 2 2 2 2 3" xfId="2208"/>
    <cellStyle name="쉼표 [0] 6 2 2 3 3 2 2 2 2 2 4" xfId="2209"/>
    <cellStyle name="쉼표 [0] 6 2 2 3 3 2 2 2 2 2 4 2" xfId="2210"/>
    <cellStyle name="쉼표 [0] 6 2 2 3 3 2 2 2 2 2 4 2 2" xfId="2211"/>
    <cellStyle name="쉼표 [0] 6 2 2 3 3 2 2 2 2 2 4 3" xfId="2212"/>
    <cellStyle name="쉼표 [0] 6 2 2 3 3 2 2 2 2 2 5" xfId="2213"/>
    <cellStyle name="쉼표 [0] 6 2 2 3 3 2 2 2 2 2 5 2" xfId="2214"/>
    <cellStyle name="쉼표 [0] 6 2 2 3 3 2 2 2 2 2 6" xfId="2215"/>
    <cellStyle name="쉼표 [0] 6 2 2 3 3 2 2 2 2 2 7" xfId="2216"/>
    <cellStyle name="쉼표 [0] 6 2 2 3 3 2 2 2 2 3" xfId="2217"/>
    <cellStyle name="쉼표 [0] 6 2 2 3 3 2 2 2 2 4" xfId="2218"/>
    <cellStyle name="쉼표 [0] 6 2 2 3 3 2 2 2 2 4 2" xfId="2219"/>
    <cellStyle name="쉼표 [0] 6 2 2 3 3 2 2 2 2 4 2 2" xfId="2220"/>
    <cellStyle name="쉼표 [0] 6 2 2 3 3 2 2 2 2 4 3" xfId="2221"/>
    <cellStyle name="쉼표 [0] 6 2 2 3 3 2 2 2 2 5" xfId="2222"/>
    <cellStyle name="쉼표 [0] 6 2 2 3 3 2 2 2 2 5 2" xfId="2223"/>
    <cellStyle name="쉼표 [0] 6 2 2 3 3 2 2 2 2 6" xfId="2224"/>
    <cellStyle name="쉼표 [0] 6 2 2 3 3 2 2 2 2 7" xfId="2225"/>
    <cellStyle name="쉼표 [0] 6 2 2 3 3 2 2 2 3" xfId="2226"/>
    <cellStyle name="쉼표 [0] 6 2 2 3 3 2 2 2 4" xfId="2227"/>
    <cellStyle name="쉼표 [0] 6 2 2 3 3 2 2 2 4 2" xfId="2228"/>
    <cellStyle name="쉼표 [0] 6 2 2 3 3 2 2 2 4 2 2" xfId="2229"/>
    <cellStyle name="쉼표 [0] 6 2 2 3 3 2 2 2 4 3" xfId="2230"/>
    <cellStyle name="쉼표 [0] 6 2 2 3 3 2 2 2 5" xfId="2231"/>
    <cellStyle name="쉼표 [0] 6 2 2 3 3 2 2 2 5 2" xfId="2232"/>
    <cellStyle name="쉼표 [0] 6 2 2 3 3 2 2 2 6" xfId="2233"/>
    <cellStyle name="쉼표 [0] 6 2 2 3 3 2 2 2 7" xfId="2234"/>
    <cellStyle name="쉼표 [0] 6 2 2 3 3 2 2 3" xfId="2235"/>
    <cellStyle name="쉼표 [0] 6 2 2 3 3 2 2 4" xfId="2236"/>
    <cellStyle name="쉼표 [0] 6 2 2 3 3 2 2 4 2" xfId="2237"/>
    <cellStyle name="쉼표 [0] 6 2 2 3 3 2 2 4 2 2" xfId="2238"/>
    <cellStyle name="쉼표 [0] 6 2 2 3 3 2 2 4 3" xfId="2239"/>
    <cellStyle name="쉼표 [0] 6 2 2 3 3 2 2 5" xfId="2240"/>
    <cellStyle name="쉼표 [0] 6 2 2 3 3 2 2 5 2" xfId="2241"/>
    <cellStyle name="쉼표 [0] 6 2 2 3 3 2 2 6" xfId="2242"/>
    <cellStyle name="쉼표 [0] 6 2 2 3 3 2 2 7" xfId="2243"/>
    <cellStyle name="쉼표 [0] 6 2 2 3 3 2 3" xfId="2244"/>
    <cellStyle name="쉼표 [0] 6 2 2 3 3 2 4" xfId="2245"/>
    <cellStyle name="쉼표 [0] 6 2 2 3 3 2 4 2" xfId="2246"/>
    <cellStyle name="쉼표 [0] 6 2 2 3 3 2 4 2 2" xfId="2247"/>
    <cellStyle name="쉼표 [0] 6 2 2 3 3 2 4 3" xfId="2248"/>
    <cellStyle name="쉼표 [0] 6 2 2 3 3 2 5" xfId="2249"/>
    <cellStyle name="쉼표 [0] 6 2 2 3 3 2 5 2" xfId="2250"/>
    <cellStyle name="쉼표 [0] 6 2 2 3 3 2 6" xfId="2251"/>
    <cellStyle name="쉼표 [0] 6 2 2 3 3 2 7" xfId="2252"/>
    <cellStyle name="쉼표 [0] 6 2 2 3 3 3" xfId="2253"/>
    <cellStyle name="쉼표 [0] 6 2 2 3 3 4" xfId="2254"/>
    <cellStyle name="쉼표 [0] 6 2 2 3 3 4 2" xfId="2255"/>
    <cellStyle name="쉼표 [0] 6 2 2 3 3 4 2 2" xfId="2256"/>
    <cellStyle name="쉼표 [0] 6 2 2 3 3 4 3" xfId="2257"/>
    <cellStyle name="쉼표 [0] 6 2 2 3 3 5" xfId="2258"/>
    <cellStyle name="쉼표 [0] 6 2 2 3 3 5 2" xfId="2259"/>
    <cellStyle name="쉼표 [0] 6 2 2 3 3 6" xfId="2260"/>
    <cellStyle name="쉼표 [0] 6 2 2 3 3 7" xfId="2261"/>
    <cellStyle name="쉼표 [0] 6 2 2 3 4" xfId="2262"/>
    <cellStyle name="쉼표 [0] 6 2 2 3 5" xfId="2263"/>
    <cellStyle name="쉼표 [0] 6 2 2 3 5 2" xfId="2264"/>
    <cellStyle name="쉼표 [0] 6 2 2 3 5 2 2" xfId="2265"/>
    <cellStyle name="쉼표 [0] 6 2 2 3 5 3" xfId="2266"/>
    <cellStyle name="쉼표 [0] 6 2 2 3 6" xfId="2267"/>
    <cellStyle name="쉼표 [0] 6 2 2 3 6 2" xfId="2268"/>
    <cellStyle name="쉼표 [0] 6 2 2 3 7" xfId="2269"/>
    <cellStyle name="쉼표 [0] 6 2 2 3 8" xfId="2270"/>
    <cellStyle name="쉼표 [0] 6 2 2 4" xfId="2271"/>
    <cellStyle name="쉼표 [0] 6 2 2 5" xfId="2272"/>
    <cellStyle name="쉼표 [0] 6 2 2 5 2" xfId="2273"/>
    <cellStyle name="쉼표 [0] 6 2 2 5 2 2" xfId="2274"/>
    <cellStyle name="쉼표 [0] 6 2 2 5 3" xfId="2275"/>
    <cellStyle name="쉼표 [0] 6 2 2 6" xfId="2276"/>
    <cellStyle name="쉼표 [0] 6 2 2 6 2" xfId="2277"/>
    <cellStyle name="쉼표 [0] 6 2 2 7" xfId="2278"/>
    <cellStyle name="쉼표 [0] 6 2 2 8" xfId="2279"/>
    <cellStyle name="쉼표 [0] 6 2 3" xfId="2280"/>
    <cellStyle name="쉼표 [0] 6 2 4" xfId="2281"/>
    <cellStyle name="쉼표 [0] 6 2 4 2" xfId="2282"/>
    <cellStyle name="쉼표 [0] 6 2 4 2 2" xfId="2283"/>
    <cellStyle name="쉼표 [0] 6 2 4 3" xfId="2284"/>
    <cellStyle name="쉼표 [0] 6 2 5" xfId="2285"/>
    <cellStyle name="쉼표 [0] 6 2 5 2" xfId="2286"/>
    <cellStyle name="쉼표 [0] 6 2 6" xfId="2287"/>
    <cellStyle name="쉼표 [0] 6 2 6 2" xfId="2288"/>
    <cellStyle name="쉼표 [0] 6 2 6 3" xfId="2289"/>
    <cellStyle name="쉼표 [0] 6 2 7" xfId="2290"/>
    <cellStyle name="쉼표 [0] 6 2 8" xfId="2291"/>
    <cellStyle name="쉼표 [0] 6 3" xfId="2292"/>
    <cellStyle name="쉼표 [0] 6 4" xfId="2293"/>
    <cellStyle name="쉼표 [0] 6 4 2" xfId="2294"/>
    <cellStyle name="쉼표 [0] 6 4 2 2" xfId="2295"/>
    <cellStyle name="쉼표 [0] 6 4 3" xfId="2296"/>
    <cellStyle name="쉼표 [0] 6 5" xfId="2297"/>
    <cellStyle name="쉼표 [0] 6 5 2" xfId="2298"/>
    <cellStyle name="쉼표 [0] 6 6" xfId="2299"/>
    <cellStyle name="쉼표 [0] 6 7" xfId="2300"/>
    <cellStyle name="쉼표 [0] 7" xfId="2301"/>
    <cellStyle name="쉼표 [0] 7 2" xfId="2302"/>
    <cellStyle name="쉼표 [0] 8" xfId="2303"/>
    <cellStyle name="쉼표 [0] 8 2" xfId="2304"/>
    <cellStyle name="쉼표 [0] 8 3" xfId="2305"/>
    <cellStyle name="쉼표 [0] 8 3 2" xfId="2306"/>
    <cellStyle name="쉼표 [0] 8 3 2 2" xfId="2307"/>
    <cellStyle name="쉼표 [0] 8 3 3" xfId="2308"/>
    <cellStyle name="쉼표 [0] 8 4" xfId="2309"/>
    <cellStyle name="쉼표 [0] 8 4 2" xfId="2310"/>
    <cellStyle name="쉼표 [0] 8 5" xfId="2311"/>
    <cellStyle name="쉼표 [0] 8 6" xfId="2312"/>
    <cellStyle name="쉼표 [0] 9" xfId="2313"/>
    <cellStyle name="쉼표 2" xfId="2314"/>
    <cellStyle name="쉼표 3" xfId="2315"/>
    <cellStyle name="쉼표 4" xfId="2316"/>
    <cellStyle name="쉼표 4 2" xfId="2317"/>
    <cellStyle name="연결된 셀 2" xfId="2318"/>
    <cellStyle name="연결된 셀 3" xfId="2319"/>
    <cellStyle name="연결된 셀 4" xfId="2320"/>
    <cellStyle name="요약 2" xfId="2321"/>
    <cellStyle name="요약 2 2" xfId="2322"/>
    <cellStyle name="요약 2 2 2" xfId="2323"/>
    <cellStyle name="요약 2 2 2 2" xfId="2324"/>
    <cellStyle name="요약 2 2 2 2 2" xfId="2325"/>
    <cellStyle name="요약 2 2 2 3" xfId="2326"/>
    <cellStyle name="요약 2 2 3" xfId="2327"/>
    <cellStyle name="요약 2 2 3 2" xfId="2328"/>
    <cellStyle name="요약 2 2 3 2 2" xfId="2329"/>
    <cellStyle name="요약 2 2 3 3" xfId="2330"/>
    <cellStyle name="요약 2 2 4" xfId="2331"/>
    <cellStyle name="요약 2 2 4 2" xfId="2332"/>
    <cellStyle name="요약 2 2 5" xfId="2333"/>
    <cellStyle name="요약 2 2 5 2" xfId="2334"/>
    <cellStyle name="요약 2 2 6" xfId="2335"/>
    <cellStyle name="요약 2 2 6 2" xfId="2336"/>
    <cellStyle name="요약 2 2 7" xfId="2337"/>
    <cellStyle name="요약 2 3" xfId="2338"/>
    <cellStyle name="요약 2 3 2" xfId="2339"/>
    <cellStyle name="요약 2 3 2 2" xfId="2340"/>
    <cellStyle name="요약 2 3 3" xfId="2341"/>
    <cellStyle name="요약 2 4" xfId="2342"/>
    <cellStyle name="요약 2 4 2" xfId="2343"/>
    <cellStyle name="요약 2 4 2 2" xfId="2344"/>
    <cellStyle name="요약 2 4 3" xfId="2345"/>
    <cellStyle name="요약 2 5" xfId="2346"/>
    <cellStyle name="요약 2 5 2" xfId="2347"/>
    <cellStyle name="요약 2 6" xfId="2348"/>
    <cellStyle name="요약 2 6 2" xfId="2349"/>
    <cellStyle name="요약 2 7" xfId="2350"/>
    <cellStyle name="요약 2 7 2" xfId="2351"/>
    <cellStyle name="요약 2 8" xfId="2352"/>
    <cellStyle name="요약 3" xfId="2353"/>
    <cellStyle name="요약 3 2" xfId="2354"/>
    <cellStyle name="요약 3 2 2" xfId="2355"/>
    <cellStyle name="요약 3 3" xfId="2356"/>
    <cellStyle name="요약 4" xfId="2357"/>
    <cellStyle name="요약 4 2" xfId="2358"/>
    <cellStyle name="요약 4 2 2" xfId="2359"/>
    <cellStyle name="요약 4 3" xfId="2360"/>
    <cellStyle name="요약 5" xfId="2361"/>
    <cellStyle name="요약 5 2" xfId="2362"/>
    <cellStyle name="요약 5 2 2" xfId="2363"/>
    <cellStyle name="요약 5 3" xfId="2364"/>
    <cellStyle name="요약 6" xfId="2365"/>
    <cellStyle name="요약 6 2" xfId="2366"/>
    <cellStyle name="요약 6 2 2" xfId="2367"/>
    <cellStyle name="요약 6 3" xfId="2368"/>
    <cellStyle name="요약 7" xfId="2369"/>
    <cellStyle name="요약 7 2" xfId="2370"/>
    <cellStyle name="요약 8" xfId="2371"/>
    <cellStyle name="요약 8 2" xfId="2372"/>
    <cellStyle name="요약 9" xfId="2373"/>
    <cellStyle name="요약 9 2" xfId="2374"/>
    <cellStyle name="一般_00Q3902REV.1" xfId="2375"/>
    <cellStyle name="입력 2" xfId="2376"/>
    <cellStyle name="입력 2 2" xfId="2377"/>
    <cellStyle name="입력 2 2 2" xfId="2378"/>
    <cellStyle name="입력 2 2 2 2" xfId="2379"/>
    <cellStyle name="입력 2 2 2 2 2" xfId="2380"/>
    <cellStyle name="입력 2 2 2 3" xfId="2381"/>
    <cellStyle name="입력 2 2 3" xfId="2382"/>
    <cellStyle name="입력 2 2 3 2" xfId="2383"/>
    <cellStyle name="입력 2 2 3 2 2" xfId="2384"/>
    <cellStyle name="입력 2 2 3 3" xfId="2385"/>
    <cellStyle name="입력 2 2 4" xfId="2386"/>
    <cellStyle name="입력 2 2 4 2" xfId="2387"/>
    <cellStyle name="입력 2 2 5" xfId="2388"/>
    <cellStyle name="입력 2 2 5 2" xfId="2389"/>
    <cellStyle name="입력 2 2 6" xfId="2390"/>
    <cellStyle name="입력 2 2 6 2" xfId="2391"/>
    <cellStyle name="입력 2 2 7" xfId="2392"/>
    <cellStyle name="입력 2 3" xfId="2393"/>
    <cellStyle name="입력 2 3 2" xfId="2394"/>
    <cellStyle name="입력 2 3 2 2" xfId="2395"/>
    <cellStyle name="입력 2 3 3" xfId="2396"/>
    <cellStyle name="입력 2 4" xfId="2397"/>
    <cellStyle name="입력 2 4 2" xfId="2398"/>
    <cellStyle name="입력 2 4 2 2" xfId="2399"/>
    <cellStyle name="입력 2 4 3" xfId="2400"/>
    <cellStyle name="입력 2 5" xfId="2401"/>
    <cellStyle name="입력 2 5 2" xfId="2402"/>
    <cellStyle name="입력 2 6" xfId="2403"/>
    <cellStyle name="입력 2 6 2" xfId="2404"/>
    <cellStyle name="입력 2 7" xfId="2405"/>
    <cellStyle name="입력 2 7 2" xfId="2406"/>
    <cellStyle name="입력 2 8" xfId="2407"/>
    <cellStyle name="입력 3" xfId="2408"/>
    <cellStyle name="입력 3 2" xfId="2409"/>
    <cellStyle name="입력 3 2 2" xfId="2410"/>
    <cellStyle name="입력 3 3" xfId="2411"/>
    <cellStyle name="입력 4" xfId="2412"/>
    <cellStyle name="입력 4 2" xfId="2413"/>
    <cellStyle name="입력 4 2 2" xfId="2414"/>
    <cellStyle name="입력 4 3" xfId="2415"/>
    <cellStyle name="입력 5" xfId="2416"/>
    <cellStyle name="입력 5 2" xfId="2417"/>
    <cellStyle name="입력 5 2 2" xfId="2418"/>
    <cellStyle name="입력 5 3" xfId="2419"/>
    <cellStyle name="입력 6" xfId="2420"/>
    <cellStyle name="입력 6 2" xfId="2421"/>
    <cellStyle name="입력 6 2 2" xfId="2422"/>
    <cellStyle name="입력 6 3" xfId="2423"/>
    <cellStyle name="입력 7" xfId="2424"/>
    <cellStyle name="입력 7 2" xfId="2425"/>
    <cellStyle name="입력 8" xfId="2426"/>
    <cellStyle name="입력 8 2" xfId="2427"/>
    <cellStyle name="입력 9" xfId="2428"/>
    <cellStyle name="입력 9 2" xfId="2429"/>
    <cellStyle name="자리수" xfId="2430"/>
    <cellStyle name="자리수0" xfId="2431"/>
    <cellStyle name="제목 1 2" xfId="2432"/>
    <cellStyle name="제목 1 3" xfId="2433"/>
    <cellStyle name="제목 1 4" xfId="2434"/>
    <cellStyle name="제목 2 2" xfId="2435"/>
    <cellStyle name="제목 2 3" xfId="2436"/>
    <cellStyle name="제목 2 4" xfId="2437"/>
    <cellStyle name="제목 3 2" xfId="2438"/>
    <cellStyle name="제목 3 2 2" xfId="2439"/>
    <cellStyle name="제목 3 2 2 2" xfId="2440"/>
    <cellStyle name="제목 3 2 3" xfId="2441"/>
    <cellStyle name="제목 3 3" xfId="2442"/>
    <cellStyle name="제목 3 3 2" xfId="2443"/>
    <cellStyle name="제목 3 4" xfId="2444"/>
    <cellStyle name="제목 3 4 2" xfId="2445"/>
    <cellStyle name="제목 3 5" xfId="2446"/>
    <cellStyle name="제목 3 5 2" xfId="2447"/>
    <cellStyle name="제목 3 6" xfId="2448"/>
    <cellStyle name="제목 4 2" xfId="2449"/>
    <cellStyle name="제목 4 3" xfId="2450"/>
    <cellStyle name="제목 4 4" xfId="2451"/>
    <cellStyle name="제목 5" xfId="2452"/>
    <cellStyle name="제목 6" xfId="2453"/>
    <cellStyle name="제목 7" xfId="2454"/>
    <cellStyle name="좋음 2" xfId="2455"/>
    <cellStyle name="좋음 3" xfId="2456"/>
    <cellStyle name="좋음 4" xfId="2457"/>
    <cellStyle name="지정되지 않음" xfId="2458"/>
    <cellStyle name="千分位[0]_00Q3902REV.1" xfId="2459"/>
    <cellStyle name="千分位_00Q3902REV.1" xfId="2460"/>
    <cellStyle name="千位分隔[0] 2" xfId="2461"/>
    <cellStyle name="千位分隔[0] 2 2" xfId="2462"/>
    <cellStyle name="超連結_Book1" xfId="2463"/>
    <cellStyle name="출력 2" xfId="2464"/>
    <cellStyle name="출력 2 2" xfId="2465"/>
    <cellStyle name="출력 2 2 2" xfId="2466"/>
    <cellStyle name="출력 2 2 2 2" xfId="2467"/>
    <cellStyle name="출력 2 2 2 2 2" xfId="2468"/>
    <cellStyle name="출력 2 2 2 3" xfId="2469"/>
    <cellStyle name="출력 2 2 3" xfId="2470"/>
    <cellStyle name="출력 2 2 3 2" xfId="2471"/>
    <cellStyle name="출력 2 2 3 2 2" xfId="2472"/>
    <cellStyle name="출력 2 2 3 3" xfId="2473"/>
    <cellStyle name="출력 2 2 4" xfId="2474"/>
    <cellStyle name="출력 2 2 4 2" xfId="2475"/>
    <cellStyle name="출력 2 2 5" xfId="2476"/>
    <cellStyle name="출력 2 2 5 2" xfId="2477"/>
    <cellStyle name="출력 2 2 6" xfId="2478"/>
    <cellStyle name="출력 2 2 6 2" xfId="2479"/>
    <cellStyle name="출력 2 2 7" xfId="2480"/>
    <cellStyle name="출력 2 3" xfId="2481"/>
    <cellStyle name="출력 2 3 2" xfId="2482"/>
    <cellStyle name="출력 2 3 2 2" xfId="2483"/>
    <cellStyle name="출력 2 3 3" xfId="2484"/>
    <cellStyle name="출력 2 4" xfId="2485"/>
    <cellStyle name="출력 2 4 2" xfId="2486"/>
    <cellStyle name="출력 2 4 2 2" xfId="2487"/>
    <cellStyle name="출력 2 4 3" xfId="2488"/>
    <cellStyle name="출력 2 5" xfId="2489"/>
    <cellStyle name="출력 2 5 2" xfId="2490"/>
    <cellStyle name="출력 2 6" xfId="2491"/>
    <cellStyle name="출력 2 6 2" xfId="2492"/>
    <cellStyle name="출력 2 7" xfId="2493"/>
    <cellStyle name="출력 2 7 2" xfId="2494"/>
    <cellStyle name="출력 2 8" xfId="2495"/>
    <cellStyle name="출력 3" xfId="2496"/>
    <cellStyle name="출력 3 2" xfId="2497"/>
    <cellStyle name="출력 3 2 2" xfId="2498"/>
    <cellStyle name="출력 3 3" xfId="2499"/>
    <cellStyle name="출력 4" xfId="2500"/>
    <cellStyle name="출력 4 2" xfId="2501"/>
    <cellStyle name="출력 4 2 2" xfId="2502"/>
    <cellStyle name="출력 4 3" xfId="2503"/>
    <cellStyle name="출력 5" xfId="2504"/>
    <cellStyle name="출력 5 2" xfId="2505"/>
    <cellStyle name="출력 5 2 2" xfId="2506"/>
    <cellStyle name="출력 5 3" xfId="2507"/>
    <cellStyle name="출력 6" xfId="2508"/>
    <cellStyle name="출력 6 2" xfId="2509"/>
    <cellStyle name="출력 6 2 2" xfId="2510"/>
    <cellStyle name="출력 6 3" xfId="2511"/>
    <cellStyle name="출력 7" xfId="2512"/>
    <cellStyle name="출력 7 2" xfId="2513"/>
    <cellStyle name="출력 8" xfId="2514"/>
    <cellStyle name="출력 8 2" xfId="2515"/>
    <cellStyle name="출력 9" xfId="2516"/>
    <cellStyle name="출력 9 2" xfId="2517"/>
    <cellStyle name="콤마 [ - 유형1" xfId="2518"/>
    <cellStyle name="콤마 [ - 유형2" xfId="2519"/>
    <cellStyle name="콤마 [ - 유형3" xfId="2520"/>
    <cellStyle name="콤마 [ - 유형4" xfId="2521"/>
    <cellStyle name="콤마 [ - 유형5" xfId="2522"/>
    <cellStyle name="콤마 [ - 유형6" xfId="2523"/>
    <cellStyle name="콤마 [ - 유형7" xfId="2524"/>
    <cellStyle name="콤마 [ - 유형8" xfId="2525"/>
    <cellStyle name="콤마 [0]_ 비목별 월별기술 " xfId="2526"/>
    <cellStyle name="콤마_ 비목별 월별기술 " xfId="2527"/>
    <cellStyle name="通貨 [0.00]_List-dwgwg" xfId="2528"/>
    <cellStyle name="통화 [0] 4 2" xfId="2529"/>
    <cellStyle name="通貨_List-dwgis" xfId="2530"/>
    <cellStyle name="퍼센트" xfId="2531"/>
    <cellStyle name="표준" xfId="0" builtinId="0"/>
    <cellStyle name="표준 10" xfId="2532"/>
    <cellStyle name="표준 10 2" xfId="2533"/>
    <cellStyle name="표준 10 2 2" xfId="2534"/>
    <cellStyle name="표준 10 2 2 2" xfId="2535"/>
    <cellStyle name="표준 10 2 3" xfId="2536"/>
    <cellStyle name="표준 10 3" xfId="2537"/>
    <cellStyle name="표준 10 3 2" xfId="2538"/>
    <cellStyle name="표준 10 4" xfId="2539"/>
    <cellStyle name="표준 10 5" xfId="2540"/>
    <cellStyle name="표준 11" xfId="2541"/>
    <cellStyle name="표준 11 2" xfId="2542"/>
    <cellStyle name="표준 12" xfId="2543"/>
    <cellStyle name="표준 12 2" xfId="2544"/>
    <cellStyle name="표준 12 2 2" xfId="2545"/>
    <cellStyle name="표준 12 3" xfId="2546"/>
    <cellStyle name="표준 12 4" xfId="2547"/>
    <cellStyle name="표준 13" xfId="2548"/>
    <cellStyle name="표준 13 2" xfId="2549"/>
    <cellStyle name="표준 14" xfId="2550"/>
    <cellStyle name="표준 14 2" xfId="2551"/>
    <cellStyle name="표준 14 3" xfId="2552"/>
    <cellStyle name="표준 15" xfId="2553"/>
    <cellStyle name="표준 15 2" xfId="2554"/>
    <cellStyle name="표준 16" xfId="2555"/>
    <cellStyle name="표준 16 2" xfId="2556"/>
    <cellStyle name="표준 16 3" xfId="2557"/>
    <cellStyle name="표준 17" xfId="2558"/>
    <cellStyle name="표준 18" xfId="2559"/>
    <cellStyle name="표준 19" xfId="2560"/>
    <cellStyle name="표준 2" xfId="2561"/>
    <cellStyle name="표준 2 2" xfId="2562"/>
    <cellStyle name="표준 2 2 2" xfId="2563"/>
    <cellStyle name="표준 2 2 2 2" xfId="2564"/>
    <cellStyle name="표준 2 2 3" xfId="2565"/>
    <cellStyle name="표준 2 3" xfId="2566"/>
    <cellStyle name="표준 2 3 2" xfId="2567"/>
    <cellStyle name="표준 2 3_A.TION HONDURAS 2009년도 사업 계획 (3)" xfId="2568"/>
    <cellStyle name="표준 2 4" xfId="2569"/>
    <cellStyle name="표준 2 4 2" xfId="2570"/>
    <cellStyle name="표준 2 5" xfId="2571"/>
    <cellStyle name="표준 2 5 2" xfId="2572"/>
    <cellStyle name="표준 2_2009년 사업계획(에이션)-수정" xfId="2573"/>
    <cellStyle name="표준 20" xfId="2574"/>
    <cellStyle name="표준 21" xfId="2575"/>
    <cellStyle name="표준 22" xfId="2576"/>
    <cellStyle name="표준 23" xfId="2577"/>
    <cellStyle name="표준 24" xfId="2578"/>
    <cellStyle name="표준 25" xfId="2579"/>
    <cellStyle name="표준 26" xfId="2580"/>
    <cellStyle name="표준 27" xfId="2581"/>
    <cellStyle name="표준 28" xfId="2582"/>
    <cellStyle name="표준 29" xfId="2583"/>
    <cellStyle name="표준 3" xfId="4"/>
    <cellStyle name="표준 3 2" xfId="2584"/>
    <cellStyle name="표준 30" xfId="2585"/>
    <cellStyle name="표준 31" xfId="2586"/>
    <cellStyle name="표준 32" xfId="2587"/>
    <cellStyle name="표준 33" xfId="2588"/>
    <cellStyle name="표준 34" xfId="2589"/>
    <cellStyle name="표준 35" xfId="2590"/>
    <cellStyle name="표준 4" xfId="2591"/>
    <cellStyle name="표준 4 2" xfId="2592"/>
    <cellStyle name="표준 4 2 2" xfId="2593"/>
    <cellStyle name="표준 4 2 2 2" xfId="2594"/>
    <cellStyle name="표준 4 2 2 3" xfId="2595"/>
    <cellStyle name="표준 4 2 2 3 2" xfId="2596"/>
    <cellStyle name="표준 4 2 2 3 2 2" xfId="2597"/>
    <cellStyle name="표준 4 2 2 3 3" xfId="2598"/>
    <cellStyle name="표준 4 2 2 4" xfId="2599"/>
    <cellStyle name="표준 4 2 2 4 2" xfId="2600"/>
    <cellStyle name="표준 4 2 2 5" xfId="2601"/>
    <cellStyle name="표준 4 2 2 6" xfId="2602"/>
    <cellStyle name="표준 4 2 3" xfId="2603"/>
    <cellStyle name="표준 4 2 4" xfId="2604"/>
    <cellStyle name="표준 4 2 4 2" xfId="2605"/>
    <cellStyle name="표준 4 2 4 2 2" xfId="2606"/>
    <cellStyle name="표준 4 2 4 3" xfId="2607"/>
    <cellStyle name="표준 4 2 5" xfId="2608"/>
    <cellStyle name="표준 4 2 5 2" xfId="2609"/>
    <cellStyle name="표준 4 2 6" xfId="2610"/>
    <cellStyle name="표준 4 2 7" xfId="2611"/>
    <cellStyle name="표준 4 3" xfId="2612"/>
    <cellStyle name="표준 4 4" xfId="2613"/>
    <cellStyle name="표준 4 4 2" xfId="2614"/>
    <cellStyle name="표준 4 4 2 2" xfId="2615"/>
    <cellStyle name="표준 4 4 3" xfId="2616"/>
    <cellStyle name="표준 4 5" xfId="2617"/>
    <cellStyle name="표준 4 5 2" xfId="2618"/>
    <cellStyle name="표준 4 6" xfId="2619"/>
    <cellStyle name="표준 4 7" xfId="2620"/>
    <cellStyle name="표준 4 8" xfId="2621"/>
    <cellStyle name="표준 5" xfId="2622"/>
    <cellStyle name="표준 5 2" xfId="2623"/>
    <cellStyle name="표준 5 2 2" xfId="2624"/>
    <cellStyle name="표준 5 3" xfId="2625"/>
    <cellStyle name="표준 6" xfId="2626"/>
    <cellStyle name="표준 6 2" xfId="2627"/>
    <cellStyle name="표준 6 3" xfId="2628"/>
    <cellStyle name="표준 7" xfId="2629"/>
    <cellStyle name="표준 7 2" xfId="2630"/>
    <cellStyle name="표준 7 2 2" xfId="2631"/>
    <cellStyle name="표준 7 2 2 2" xfId="2632"/>
    <cellStyle name="표준 7 2 2 2 2" xfId="2633"/>
    <cellStyle name="표준 7 2 2 2 3" xfId="2634"/>
    <cellStyle name="표준 7 2 2 2 3 2" xfId="2635"/>
    <cellStyle name="표준 7 2 2 2 3 2 2" xfId="2636"/>
    <cellStyle name="표준 7 2 2 2 3 3" xfId="2637"/>
    <cellStyle name="표준 7 2 2 2 4" xfId="2638"/>
    <cellStyle name="표준 7 2 2 2 4 2" xfId="2639"/>
    <cellStyle name="표준 7 2 2 2 5" xfId="2640"/>
    <cellStyle name="표준 7 2 2 2 6" xfId="2641"/>
    <cellStyle name="표준 7 2 2 3" xfId="2642"/>
    <cellStyle name="표준 7 2 2 3 2" xfId="2643"/>
    <cellStyle name="표준 7 2 2 3 2 2" xfId="2644"/>
    <cellStyle name="표준 7 2 2 3 2 3" xfId="2645"/>
    <cellStyle name="표준 7 2 2 3 2 3 2" xfId="2646"/>
    <cellStyle name="표준 7 2 2 3 2 3 2 2" xfId="2647"/>
    <cellStyle name="표준 7 2 2 3 2 3 3" xfId="2648"/>
    <cellStyle name="표준 7 2 2 3 2 4" xfId="2649"/>
    <cellStyle name="표준 7 2 2 3 2 4 2" xfId="2650"/>
    <cellStyle name="표준 7 2 2 3 2 5" xfId="2651"/>
    <cellStyle name="표준 7 2 2 3 2 6" xfId="2652"/>
    <cellStyle name="표준 7 2 2 3 3" xfId="2653"/>
    <cellStyle name="표준 7 2 2 3 3 2" xfId="2654"/>
    <cellStyle name="표준 7 2 2 3 3 2 2" xfId="2655"/>
    <cellStyle name="표준 7 2 2 3 3 2 2 2" xfId="2656"/>
    <cellStyle name="표준 7 2 2 3 3 2 2 2 2" xfId="2657"/>
    <cellStyle name="표준 7 2 2 3 3 2 2 2 2 2" xfId="2658"/>
    <cellStyle name="표준 7 2 2 3 3 2 2 2 2 2 2" xfId="2659"/>
    <cellStyle name="표준 7 2 2 3 3 2 2 2 2 2 2 2" xfId="2660"/>
    <cellStyle name="표준 7 2 2 3 3 2 2 2 2 2 2 2 2" xfId="2661"/>
    <cellStyle name="표준 7 2 2 3 3 2 2 2 2 2 2 2 2 2" xfId="2662"/>
    <cellStyle name="표준 7 2 2 3 3 2 2 2 2 2 2 2 2 2 2" xfId="2663"/>
    <cellStyle name="표준 7 2 2 3 3 2 2 2 2 2 2 2 2 2 2 2" xfId="2664"/>
    <cellStyle name="표준 7 2 2 3 3 2 2 2 2 2 2 2 2 2 2 2 2" xfId="2665"/>
    <cellStyle name="표준 7 2 2 3 3 2 2 2 2 2 2 2 2 2 2 2 2 2" xfId="2666"/>
    <cellStyle name="표준 7 2 2 3 3 2 2 2 2 2 2 2 2 2 2 2 2 2 2" xfId="2667"/>
    <cellStyle name="표준 7 2 2 3 3 2 2 2 2 2 2 2 2 2 2 2 2 2 2 2" xfId="2668"/>
    <cellStyle name="표준 7 2 2 3 3 2 2 2 2 2 2 2 2 2 2 2 2 2 2 2 2" xfId="2669"/>
    <cellStyle name="표준 7 2 2 3 3 2 2 2 2 2 2 2 2 2 2 2 2 2 2 2 2 2" xfId="2670"/>
    <cellStyle name="표준 7 2 2 3 3 2 2 2 2 2 2 2 2 2 2 2 2 2 2 2 3" xfId="2671"/>
    <cellStyle name="표준 7 2 2 3 3 2 2 2 2 2 2 2 2 2 2 2 2 2 2 2 3 2" xfId="2672"/>
    <cellStyle name="표준 7 2 2 3 3 2 2 2 2 2 2 2 2 2 2 2 2 2 2 2 3 2 2" xfId="2673"/>
    <cellStyle name="표준 7 2 2 3 3 2 2 2 2 2 2 2 2 2 2 2 2 2 2 2 3 2 2 2" xfId="2674"/>
    <cellStyle name="표준 7 2 2 3 3 2 2 2 2 2 2 2 2 2 2 2 2 2 2 2 3 2 2 2 2" xfId="2675"/>
    <cellStyle name="표준 7 2 2 3 3 2 2 2 2 2 2 2 2 2 2 2 2 2 2 2 3 2 2 3" xfId="2676"/>
    <cellStyle name="표준 7 2 2 3 3 2 2 2 2 2 2 2 2 2 2 2 2 2 2 2 3 2 3" xfId="2677"/>
    <cellStyle name="표준 7 2 2 3 3 2 2 2 2 2 2 2 2 2 2 2 2 2 2 2 3 3" xfId="2678"/>
    <cellStyle name="표준 7 2 2 3 3 2 2 2 2 2 2 2 2 2 2 2 2 2 2 2 4" xfId="2679"/>
    <cellStyle name="표준 7 2 2 3 3 2 2 2 2 2 2 2 2 2 2 2 2 2 2 2 4 2" xfId="2680"/>
    <cellStyle name="표준 7 2 2 3 3 2 2 2 2 2 2 2 2 2 2 2 2 2 2 2 5" xfId="2681"/>
    <cellStyle name="표준 7 2 2 3 3 2 2 2 2 2 2 2 2 2 2 2 2 2 2 3" xfId="2682"/>
    <cellStyle name="표준 7 2 2 3 3 2 2 2 2 2 2 2 2 2 2 2 2 2 2 3 2" xfId="2683"/>
    <cellStyle name="표준 7 2 2 3 3 2 2 2 2 2 2 2 2 2 2 2 2 2 2 4" xfId="2684"/>
    <cellStyle name="표준 7 2 2 3 3 2 2 2 2 2 2 2 2 2 2 2 2 2 3" xfId="2685"/>
    <cellStyle name="표준 7 2 2 3 3 2 2 2 2 2 2 2 2 2 2 2 2 2 3 2" xfId="2686"/>
    <cellStyle name="표준 7 2 2 3 3 2 2 2 2 2 2 2 2 2 2 2 2 2 3 2 2" xfId="2687"/>
    <cellStyle name="표준 7 2 2 3 3 2 2 2 2 2 2 2 2 2 2 2 2 2 3 3" xfId="2688"/>
    <cellStyle name="표준 7 2 2 3 3 2 2 2 2 2 2 2 2 2 2 2 2 2 4" xfId="2689"/>
    <cellStyle name="표준 7 2 2 3 3 2 2 2 2 2 2 2 2 2 2 2 2 2 4 2" xfId="2690"/>
    <cellStyle name="표준 7 2 2 3 3 2 2 2 2 2 2 2 2 2 2 2 2 2 5" xfId="2691"/>
    <cellStyle name="표준 7 2 2 3 3 2 2 2 2 2 2 2 2 2 2 2 2 3" xfId="2692"/>
    <cellStyle name="표준 7 2 2 3 3 2 2 2 2 2 2 2 2 2 2 2 2 3 2" xfId="2693"/>
    <cellStyle name="표준 7 2 2 3 3 2 2 2 2 2 2 2 2 2 2 2 2 3 2 2" xfId="2694"/>
    <cellStyle name="표준 7 2 2 3 3 2 2 2 2 2 2 2 2 2 2 2 2 3 2 2 2" xfId="2695"/>
    <cellStyle name="표준 7 2 2 3 3 2 2 2 2 2 2 2 2 2 2 2 2 3 2 3" xfId="2696"/>
    <cellStyle name="표준 7 2 2 3 3 2 2 2 2 2 2 2 2 2 2 2 2 3 2 3 2" xfId="2697"/>
    <cellStyle name="표준 7 2 2 3 3 2 2 2 2 2 2 2 2 2 2 2 2 3 2 3 2 2" xfId="2698"/>
    <cellStyle name="표준 7 2 2 3 3 2 2 2 2 2 2 2 2 2 2 2 2 3 2 3 2 2 2" xfId="2699"/>
    <cellStyle name="표준 7 2 2 3 3 2 2 2 2 2 2 2 2 2 2 2 2 3 2 3 2 2 2 2" xfId="2700"/>
    <cellStyle name="표준 7 2 2 3 3 2 2 2 2 2 2 2 2 2 2 2 2 3 2 3 2 2 2 2 2" xfId="2701"/>
    <cellStyle name="표준 7 2 2 3 3 2 2 2 2 2 2 2 2 2 2 2 2 3 2 3 2 2 2 3" xfId="2702"/>
    <cellStyle name="표준 7 2 2 3 3 2 2 2 2 2 2 2 2 2 2 2 2 3 2 3 2 2 3" xfId="2703"/>
    <cellStyle name="표준 7 2 2 3 3 2 2 2 2 2 2 2 2 2 2 2 2 3 2 3 2 3" xfId="2704"/>
    <cellStyle name="표준 7 2 2 3 3 2 2 2 2 2 2 2 2 2 2 2 2 3 2 3 3" xfId="2705"/>
    <cellStyle name="표준 7 2 2 3 3 2 2 2 2 2 2 2 2 2 2 2 2 3 2 3 4" xfId="2706"/>
    <cellStyle name="표준 7 2 2 3 3 2 2 2 2 2 2 2 2 2 2 2 2 3 2 4" xfId="2707"/>
    <cellStyle name="표준 7 2 2 3 3 2 2 2 2 2 2 2 2 2 2 2 2 3 2 4 2" xfId="2708"/>
    <cellStyle name="표준 7 2 2 3 3 2 2 2 2 2 2 2 2 2 2 2 2 3 2 5" xfId="2709"/>
    <cellStyle name="표준 7 2 2 3 3 2 2 2 2 2 2 2 2 2 2 2 2 3 3" xfId="2710"/>
    <cellStyle name="표준 7 2 2 3 3 2 2 2 2 2 2 2 2 2 2 2 2 3 3 2" xfId="2711"/>
    <cellStyle name="표준 7 2 2 3 3 2 2 2 2 2 2 2 2 2 2 2 2 3 4" xfId="2712"/>
    <cellStyle name="표준 7 2 2 3 3 2 2 2 2 2 2 2 2 2 2 2 2 4" xfId="2713"/>
    <cellStyle name="표준 7 2 2 3 3 2 2 2 2 2 2 2 2 2 2 2 2 4 2" xfId="2714"/>
    <cellStyle name="표준 7 2 2 3 3 2 2 2 2 2 2 2 2 2 2 2 2 4 2 2" xfId="2715"/>
    <cellStyle name="표준 7 2 2 3 3 2 2 2 2 2 2 2 2 2 2 2 2 4 3" xfId="2716"/>
    <cellStyle name="표준 7 2 2 3 3 2 2 2 2 2 2 2 2 2 2 2 2 5" xfId="2717"/>
    <cellStyle name="표준 7 2 2 3 3 2 2 2 2 2 2 2 2 2 2 2 2 5 2" xfId="2718"/>
    <cellStyle name="표준 7 2 2 3 3 2 2 2 2 2 2 2 2 2 2 2 2 6" xfId="2719"/>
    <cellStyle name="표준 7 2 2 3 3 2 2 2 2 2 2 2 2 2 2 2 3" xfId="2720"/>
    <cellStyle name="표준 7 2 2 3 3 2 2 2 2 2 2 2 2 2 2 2 4" xfId="2721"/>
    <cellStyle name="표준 7 2 2 3 3 2 2 2 2 2 2 2 2 2 2 2 4 2" xfId="2722"/>
    <cellStyle name="표준 7 2 2 3 3 2 2 2 2 2 2 2 2 2 2 2 4 2 2" xfId="2723"/>
    <cellStyle name="표준 7 2 2 3 3 2 2 2 2 2 2 2 2 2 2 2 4 3" xfId="2724"/>
    <cellStyle name="표준 7 2 2 3 3 2 2 2 2 2 2 2 2 2 2 2 5" xfId="2725"/>
    <cellStyle name="표준 7 2 2 3 3 2 2 2 2 2 2 2 2 2 2 2 5 2" xfId="2726"/>
    <cellStyle name="표준 7 2 2 3 3 2 2 2 2 2 2 2 2 2 2 2 6" xfId="2727"/>
    <cellStyle name="표준 7 2 2 3 3 2 2 2 2 2 2 2 2 2 2 3" xfId="2728"/>
    <cellStyle name="표준 7 2 2 3 3 2 2 2 2 2 2 2 2 2 2 4" xfId="2729"/>
    <cellStyle name="표준 7 2 2 3 3 2 2 2 2 2 2 2 2 2 2 4 2" xfId="2730"/>
    <cellStyle name="표준 7 2 2 3 3 2 2 2 2 2 2 2 2 2 2 4 2 2" xfId="2731"/>
    <cellStyle name="표준 7 2 2 3 3 2 2 2 2 2 2 2 2 2 2 4 3" xfId="2732"/>
    <cellStyle name="표준 7 2 2 3 3 2 2 2 2 2 2 2 2 2 2 5" xfId="2733"/>
    <cellStyle name="표준 7 2 2 3 3 2 2 2 2 2 2 2 2 2 2 5 2" xfId="2734"/>
    <cellStyle name="표준 7 2 2 3 3 2 2 2 2 2 2 2 2 2 2 6" xfId="2735"/>
    <cellStyle name="표준 7 2 2 3 3 2 2 2 2 2 2 2 2 2 2 7" xfId="2736"/>
    <cellStyle name="표준 7 2 2 3 3 2 2 2 2 2 2 2 2 2 3" xfId="2737"/>
    <cellStyle name="표준 7 2 2 3 3 2 2 2 2 2 2 2 2 2 4" xfId="2738"/>
    <cellStyle name="표준 7 2 2 3 3 2 2 2 2 2 2 2 2 2 4 2" xfId="2739"/>
    <cellStyle name="표준 7 2 2 3 3 2 2 2 2 2 2 2 2 2 4 2 2" xfId="2740"/>
    <cellStyle name="표준 7 2 2 3 3 2 2 2 2 2 2 2 2 2 4 3" xfId="2741"/>
    <cellStyle name="표준 7 2 2 3 3 2 2 2 2 2 2 2 2 2 5" xfId="2742"/>
    <cellStyle name="표준 7 2 2 3 3 2 2 2 2 2 2 2 2 2 5 2" xfId="2743"/>
    <cellStyle name="표준 7 2 2 3 3 2 2 2 2 2 2 2 2 2 6" xfId="2744"/>
    <cellStyle name="표준 7 2 2 3 3 2 2 2 2 2 2 2 2 2 6 2" xfId="2745"/>
    <cellStyle name="표준 7 2 2 3 3 2 2 2 2 2 2 2 2 2 7" xfId="2746"/>
    <cellStyle name="표준 7 2 2 3 3 2 2 2 2 2 2 2 2 2 8" xfId="2747"/>
    <cellStyle name="표준 7 2 2 3 3 2 2 2 2 2 2 2 2 3" xfId="2748"/>
    <cellStyle name="표준 7 2 2 3 3 2 2 2 2 2 2 2 2 4" xfId="2749"/>
    <cellStyle name="표준 7 2 2 3 3 2 2 2 2 2 2 2 2 4 2" xfId="2750"/>
    <cellStyle name="표준 7 2 2 3 3 2 2 2 2 2 2 2 2 4 2 2" xfId="2751"/>
    <cellStyle name="표준 7 2 2 3 3 2 2 2 2 2 2 2 2 4 3" xfId="2752"/>
    <cellStyle name="표준 7 2 2 3 3 2 2 2 2 2 2 2 2 5" xfId="2753"/>
    <cellStyle name="표준 7 2 2 3 3 2 2 2 2 2 2 2 2 5 2" xfId="2754"/>
    <cellStyle name="표준 7 2 2 3 3 2 2 2 2 2 2 2 2 6" xfId="2755"/>
    <cellStyle name="표준 7 2 2 3 3 2 2 2 2 2 2 2 2 7" xfId="2756"/>
    <cellStyle name="표준 7 2 2 3 3 2 2 2 2 2 2 2 3" xfId="2757"/>
    <cellStyle name="표준 7 2 2 3 3 2 2 2 2 2 2 2 4" xfId="2758"/>
    <cellStyle name="표준 7 2 2 3 3 2 2 2 2 2 2 2 4 2" xfId="2759"/>
    <cellStyle name="표준 7 2 2 3 3 2 2 2 2 2 2 2 4 2 2" xfId="2760"/>
    <cellStyle name="표준 7 2 2 3 3 2 2 2 2 2 2 2 4 3" xfId="2761"/>
    <cellStyle name="표준 7 2 2 3 3 2 2 2 2 2 2 2 5" xfId="2762"/>
    <cellStyle name="표준 7 2 2 3 3 2 2 2 2 2 2 2 5 2" xfId="2763"/>
    <cellStyle name="표준 7 2 2 3 3 2 2 2 2 2 2 2 6" xfId="2764"/>
    <cellStyle name="표준 7 2 2 3 3 2 2 2 2 2 2 2 7" xfId="2765"/>
    <cellStyle name="표준 7 2 2 3 3 2 2 2 2 2 2 3" xfId="2766"/>
    <cellStyle name="표준 7 2 2 3 3 2 2 2 2 2 2 4" xfId="2767"/>
    <cellStyle name="표준 7 2 2 3 3 2 2 2 2 2 2 4 2" xfId="2768"/>
    <cellStyle name="표준 7 2 2 3 3 2 2 2 2 2 2 4 2 2" xfId="2769"/>
    <cellStyle name="표준 7 2 2 3 3 2 2 2 2 2 2 4 3" xfId="2770"/>
    <cellStyle name="표준 7 2 2 3 3 2 2 2 2 2 2 5" xfId="2771"/>
    <cellStyle name="표준 7 2 2 3 3 2 2 2 2 2 2 5 2" xfId="2772"/>
    <cellStyle name="표준 7 2 2 3 3 2 2 2 2 2 2 6" xfId="2773"/>
    <cellStyle name="표준 7 2 2 3 3 2 2 2 2 2 2 7" xfId="2774"/>
    <cellStyle name="표준 7 2 2 3 3 2 2 2 2 2 3" xfId="2775"/>
    <cellStyle name="표준 7 2 2 3 3 2 2 2 2 2 4" xfId="2776"/>
    <cellStyle name="표준 7 2 2 3 3 2 2 2 2 2 4 2" xfId="2777"/>
    <cellStyle name="표준 7 2 2 3 3 2 2 2 2 2 4 2 2" xfId="2778"/>
    <cellStyle name="표준 7 2 2 3 3 2 2 2 2 2 4 3" xfId="2779"/>
    <cellStyle name="표준 7 2 2 3 3 2 2 2 2 2 5" xfId="2780"/>
    <cellStyle name="표준 7 2 2 3 3 2 2 2 2 2 5 2" xfId="2781"/>
    <cellStyle name="표준 7 2 2 3 3 2 2 2 2 2 6" xfId="2782"/>
    <cellStyle name="표준 7 2 2 3 3 2 2 2 2 2 7" xfId="2783"/>
    <cellStyle name="표준 7 2 2 3 3 2 2 2 2 3" xfId="2784"/>
    <cellStyle name="표준 7 2 2 3 3 2 2 2 2 4" xfId="2785"/>
    <cellStyle name="표준 7 2 2 3 3 2 2 2 2 4 2" xfId="2786"/>
    <cellStyle name="표준 7 2 2 3 3 2 2 2 2 4 2 2" xfId="2787"/>
    <cellStyle name="표준 7 2 2 3 3 2 2 2 2 4 3" xfId="2788"/>
    <cellStyle name="표준 7 2 2 3 3 2 2 2 2 5" xfId="2789"/>
    <cellStyle name="표준 7 2 2 3 3 2 2 2 2 5 2" xfId="2790"/>
    <cellStyle name="표준 7 2 2 3 3 2 2 2 2 6" xfId="2791"/>
    <cellStyle name="표준 7 2 2 3 3 2 2 2 2 7" xfId="2792"/>
    <cellStyle name="표준 7 2 2 3 3 2 2 2 3" xfId="2793"/>
    <cellStyle name="표준 7 2 2 3 3 2 2 2 4" xfId="2794"/>
    <cellStyle name="표준 7 2 2 3 3 2 2 2 4 2" xfId="2795"/>
    <cellStyle name="표준 7 2 2 3 3 2 2 2 4 2 2" xfId="2796"/>
    <cellStyle name="표준 7 2 2 3 3 2 2 2 4 3" xfId="2797"/>
    <cellStyle name="표준 7 2 2 3 3 2 2 2 5" xfId="2798"/>
    <cellStyle name="표준 7 2 2 3 3 2 2 2 5 2" xfId="2799"/>
    <cellStyle name="표준 7 2 2 3 3 2 2 2 6" xfId="2800"/>
    <cellStyle name="표준 7 2 2 3 3 2 2 2 7" xfId="2801"/>
    <cellStyle name="표준 7 2 2 3 3 2 2 3" xfId="2802"/>
    <cellStyle name="표준 7 2 2 3 3 2 2 4" xfId="2803"/>
    <cellStyle name="표준 7 2 2 3 3 2 2 4 2" xfId="2804"/>
    <cellStyle name="표준 7 2 2 3 3 2 2 4 2 2" xfId="2805"/>
    <cellStyle name="표준 7 2 2 3 3 2 2 4 3" xfId="2806"/>
    <cellStyle name="표준 7 2 2 3 3 2 2 5" xfId="2807"/>
    <cellStyle name="표준 7 2 2 3 3 2 2 5 2" xfId="2808"/>
    <cellStyle name="표준 7 2 2 3 3 2 2 6" xfId="2809"/>
    <cellStyle name="표준 7 2 2 3 3 2 2 7" xfId="2810"/>
    <cellStyle name="표준 7 2 2 3 3 2 3" xfId="2811"/>
    <cellStyle name="표준 7 2 2 3 3 2 4" xfId="2812"/>
    <cellStyle name="표준 7 2 2 3 3 2 4 2" xfId="2813"/>
    <cellStyle name="표준 7 2 2 3 3 2 4 2 2" xfId="2814"/>
    <cellStyle name="표준 7 2 2 3 3 2 4 3" xfId="2815"/>
    <cellStyle name="표준 7 2 2 3 3 2 5" xfId="2816"/>
    <cellStyle name="표준 7 2 2 3 3 2 5 2" xfId="2817"/>
    <cellStyle name="표준 7 2 2 3 3 2 6" xfId="2818"/>
    <cellStyle name="표준 7 2 2 3 3 2 7" xfId="2819"/>
    <cellStyle name="표준 7 2 2 3 3 3" xfId="2820"/>
    <cellStyle name="표준 7 2 2 3 3 4" xfId="2821"/>
    <cellStyle name="표준 7 2 2 3 3 4 2" xfId="2822"/>
    <cellStyle name="표준 7 2 2 3 3 4 2 2" xfId="2823"/>
    <cellStyle name="표준 7 2 2 3 3 4 3" xfId="2824"/>
    <cellStyle name="표준 7 2 2 3 3 5" xfId="2825"/>
    <cellStyle name="표준 7 2 2 3 3 5 2" xfId="2826"/>
    <cellStyle name="표준 7 2 2 3 3 6" xfId="2827"/>
    <cellStyle name="표준 7 2 2 3 3 7" xfId="2828"/>
    <cellStyle name="표준 7 2 2 3 4" xfId="2829"/>
    <cellStyle name="표준 7 2 2 3 5" xfId="2830"/>
    <cellStyle name="표준 7 2 2 3 5 2" xfId="2831"/>
    <cellStyle name="표준 7 2 2 3 5 2 2" xfId="2832"/>
    <cellStyle name="표준 7 2 2 3 5 3" xfId="2833"/>
    <cellStyle name="표준 7 2 2 3 6" xfId="2834"/>
    <cellStyle name="표준 7 2 2 3 6 2" xfId="2835"/>
    <cellStyle name="표준 7 2 2 3 7" xfId="2836"/>
    <cellStyle name="표준 7 2 2 3 8" xfId="2837"/>
    <cellStyle name="표준 7 2 2 4" xfId="2838"/>
    <cellStyle name="표준 7 2 2 5" xfId="2839"/>
    <cellStyle name="표준 7 2 2 5 2" xfId="2840"/>
    <cellStyle name="표준 7 2 2 5 2 2" xfId="2841"/>
    <cellStyle name="표준 7 2 2 5 3" xfId="2842"/>
    <cellStyle name="표준 7 2 2 6" xfId="2843"/>
    <cellStyle name="표준 7 2 2 6 2" xfId="2844"/>
    <cellStyle name="표준 7 2 2 7" xfId="2845"/>
    <cellStyle name="표준 7 2 2 8" xfId="2846"/>
    <cellStyle name="표준 7 2 3" xfId="2847"/>
    <cellStyle name="표준 7 2 4" xfId="2848"/>
    <cellStyle name="표준 7 2 4 2" xfId="2849"/>
    <cellStyle name="표준 7 2 4 2 2" xfId="2850"/>
    <cellStyle name="표준 7 2 4 3" xfId="2851"/>
    <cellStyle name="표준 7 2 5" xfId="2852"/>
    <cellStyle name="표준 7 2 5 2" xfId="2853"/>
    <cellStyle name="표준 7 2 6" xfId="2854"/>
    <cellStyle name="표준 7 2 6 2" xfId="2855"/>
    <cellStyle name="표준 7 2 6 3" xfId="2856"/>
    <cellStyle name="표준 7 2 7" xfId="2857"/>
    <cellStyle name="표준 7 2 8" xfId="2858"/>
    <cellStyle name="표준 7 3" xfId="2859"/>
    <cellStyle name="표준 7 4" xfId="2860"/>
    <cellStyle name="표준 7 4 2" xfId="2861"/>
    <cellStyle name="표준 7 4 2 2" xfId="2862"/>
    <cellStyle name="표준 7 4 3" xfId="2863"/>
    <cellStyle name="표준 7 5" xfId="2864"/>
    <cellStyle name="표준 7 5 2" xfId="2865"/>
    <cellStyle name="표준 7 6" xfId="2866"/>
    <cellStyle name="표준 7 6 2" xfId="2867"/>
    <cellStyle name="표준 7 6 3" xfId="2868"/>
    <cellStyle name="표준 7 7" xfId="2869"/>
    <cellStyle name="표준 7 8" xfId="2870"/>
    <cellStyle name="표준 7 9" xfId="2871"/>
    <cellStyle name="표준 8" xfId="2872"/>
    <cellStyle name="표준 8 2" xfId="2873"/>
    <cellStyle name="표준 8 3" xfId="2874"/>
    <cellStyle name="표준 9" xfId="2875"/>
    <cellStyle name="표준 9 2" xfId="2876"/>
    <cellStyle name="표준 9 2 2" xfId="2877"/>
    <cellStyle name="표준 9 3" xfId="2878"/>
    <cellStyle name="標準_0101全社計" xfId="2879"/>
    <cellStyle name="합산" xfId="2880"/>
    <cellStyle name="桁区切り [0.00]_List-dwg瑩畳䵜楡" xfId="2881"/>
    <cellStyle name="桁区切り_List-dwgist-" xfId="2882"/>
    <cellStyle name="貨幣 [0]_00Q3902REV.1" xfId="2883"/>
    <cellStyle name="貨幣[0]_BRE" xfId="2884"/>
    <cellStyle name="貨幣_00Q3902REV.1" xfId="2885"/>
    <cellStyle name="화폐기호" xfId="2886"/>
    <cellStyle name="화폐기호0" xfId="2887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196</xdr:row>
      <xdr:rowOff>9525</xdr:rowOff>
    </xdr:from>
    <xdr:to>
      <xdr:col>40</xdr:col>
      <xdr:colOff>0</xdr:colOff>
      <xdr:row>200</xdr:row>
      <xdr:rowOff>0</xdr:rowOff>
    </xdr:to>
    <xdr:sp macro="" textlink="">
      <xdr:nvSpPr>
        <xdr:cNvPr id="3" name="직사각형 2"/>
        <xdr:cNvSpPr/>
      </xdr:nvSpPr>
      <xdr:spPr>
        <a:xfrm>
          <a:off x="3962400" y="36737925"/>
          <a:ext cx="5943600" cy="94297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ko-KR" altLang="en-US" sz="1000">
              <a:solidFill>
                <a:srgbClr val="0000FF"/>
              </a:solidFill>
            </a:rPr>
            <a:t>정장상의</a:t>
          </a:r>
        </a:p>
      </xdr:txBody>
    </xdr:sp>
    <xdr:clientData/>
  </xdr:twoCellAnchor>
  <xdr:twoCellAnchor>
    <xdr:from>
      <xdr:col>16</xdr:col>
      <xdr:colOff>0</xdr:colOff>
      <xdr:row>213</xdr:row>
      <xdr:rowOff>0</xdr:rowOff>
    </xdr:from>
    <xdr:to>
      <xdr:col>40</xdr:col>
      <xdr:colOff>0</xdr:colOff>
      <xdr:row>216</xdr:row>
      <xdr:rowOff>228600</xdr:rowOff>
    </xdr:to>
    <xdr:sp macro="" textlink="">
      <xdr:nvSpPr>
        <xdr:cNvPr id="4" name="직사각형 3"/>
        <xdr:cNvSpPr/>
      </xdr:nvSpPr>
      <xdr:spPr>
        <a:xfrm>
          <a:off x="3962400" y="40024050"/>
          <a:ext cx="5943600" cy="94297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ko-KR" altLang="en-US" sz="1000">
              <a:solidFill>
                <a:srgbClr val="0000FF"/>
              </a:solidFill>
            </a:rPr>
            <a:t>정장하의</a:t>
          </a:r>
        </a:p>
      </xdr:txBody>
    </xdr:sp>
    <xdr:clientData/>
  </xdr:twoCellAnchor>
  <xdr:twoCellAnchor>
    <xdr:from>
      <xdr:col>16</xdr:col>
      <xdr:colOff>0</xdr:colOff>
      <xdr:row>232</xdr:row>
      <xdr:rowOff>9525</xdr:rowOff>
    </xdr:from>
    <xdr:to>
      <xdr:col>40</xdr:col>
      <xdr:colOff>0</xdr:colOff>
      <xdr:row>236</xdr:row>
      <xdr:rowOff>0</xdr:rowOff>
    </xdr:to>
    <xdr:sp macro="" textlink="">
      <xdr:nvSpPr>
        <xdr:cNvPr id="5" name="직사각형 4"/>
        <xdr:cNvSpPr/>
      </xdr:nvSpPr>
      <xdr:spPr>
        <a:xfrm>
          <a:off x="3962400" y="43329225"/>
          <a:ext cx="5943600" cy="94297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ko-KR" altLang="en-US" sz="1000">
              <a:solidFill>
                <a:srgbClr val="0000FF"/>
              </a:solidFill>
            </a:rPr>
            <a:t>셔츠</a:t>
          </a:r>
        </a:p>
      </xdr:txBody>
    </xdr:sp>
    <xdr:clientData/>
  </xdr:twoCellAnchor>
  <xdr:twoCellAnchor>
    <xdr:from>
      <xdr:col>16</xdr:col>
      <xdr:colOff>0</xdr:colOff>
      <xdr:row>253</xdr:row>
      <xdr:rowOff>9525</xdr:rowOff>
    </xdr:from>
    <xdr:to>
      <xdr:col>40</xdr:col>
      <xdr:colOff>0</xdr:colOff>
      <xdr:row>257</xdr:row>
      <xdr:rowOff>0</xdr:rowOff>
    </xdr:to>
    <xdr:sp macro="" textlink="">
      <xdr:nvSpPr>
        <xdr:cNvPr id="6" name="직사각형 5"/>
        <xdr:cNvSpPr/>
      </xdr:nvSpPr>
      <xdr:spPr>
        <a:xfrm>
          <a:off x="3962400" y="47386875"/>
          <a:ext cx="5943600" cy="94297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ko-KR" altLang="en-US" sz="1000">
              <a:solidFill>
                <a:srgbClr val="0000FF"/>
              </a:solidFill>
            </a:rPr>
            <a:t>셔츠</a:t>
          </a:r>
        </a:p>
      </xdr:txBody>
    </xdr:sp>
    <xdr:clientData/>
  </xdr:twoCellAnchor>
  <xdr:twoCellAnchor>
    <xdr:from>
      <xdr:col>26</xdr:col>
      <xdr:colOff>219076</xdr:colOff>
      <xdr:row>237</xdr:row>
      <xdr:rowOff>142876</xdr:rowOff>
    </xdr:from>
    <xdr:to>
      <xdr:col>28</xdr:col>
      <xdr:colOff>161926</xdr:colOff>
      <xdr:row>239</xdr:row>
      <xdr:rowOff>104776</xdr:rowOff>
    </xdr:to>
    <xdr:sp macro="" textlink="">
      <xdr:nvSpPr>
        <xdr:cNvPr id="7" name="십자형 6"/>
        <xdr:cNvSpPr/>
      </xdr:nvSpPr>
      <xdr:spPr>
        <a:xfrm>
          <a:off x="6657976" y="48596551"/>
          <a:ext cx="438150" cy="438150"/>
        </a:xfrm>
        <a:prstGeom prst="plus">
          <a:avLst>
            <a:gd name="adj" fmla="val 35448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0</xdr:colOff>
      <xdr:row>335</xdr:row>
      <xdr:rowOff>9525</xdr:rowOff>
    </xdr:from>
    <xdr:to>
      <xdr:col>42</xdr:col>
      <xdr:colOff>0</xdr:colOff>
      <xdr:row>339</xdr:row>
      <xdr:rowOff>0</xdr:rowOff>
    </xdr:to>
    <xdr:sp macro="" textlink="">
      <xdr:nvSpPr>
        <xdr:cNvPr id="8" name="직사각형 7"/>
        <xdr:cNvSpPr/>
      </xdr:nvSpPr>
      <xdr:spPr>
        <a:xfrm>
          <a:off x="3962400" y="50920650"/>
          <a:ext cx="5943600" cy="94297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ko-KR" altLang="en-US" sz="1000">
              <a:solidFill>
                <a:srgbClr val="0000FF"/>
              </a:solidFill>
            </a:rPr>
            <a:t>셔츠</a:t>
          </a:r>
        </a:p>
      </xdr:txBody>
    </xdr:sp>
    <xdr:clientData/>
  </xdr:twoCellAnchor>
  <xdr:twoCellAnchor>
    <xdr:from>
      <xdr:col>25</xdr:col>
      <xdr:colOff>28575</xdr:colOff>
      <xdr:row>381</xdr:row>
      <xdr:rowOff>57150</xdr:rowOff>
    </xdr:from>
    <xdr:to>
      <xdr:col>25</xdr:col>
      <xdr:colOff>212577</xdr:colOff>
      <xdr:row>382</xdr:row>
      <xdr:rowOff>190500</xdr:rowOff>
    </xdr:to>
    <xdr:sp macro="" textlink="">
      <xdr:nvSpPr>
        <xdr:cNvPr id="9" name="위쪽 화살표 8"/>
        <xdr:cNvSpPr/>
      </xdr:nvSpPr>
      <xdr:spPr>
        <a:xfrm>
          <a:off x="6219825" y="77238225"/>
          <a:ext cx="184002" cy="371475"/>
        </a:xfrm>
        <a:prstGeom prst="up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49</xdr:col>
      <xdr:colOff>38100</xdr:colOff>
      <xdr:row>381</xdr:row>
      <xdr:rowOff>57150</xdr:rowOff>
    </xdr:from>
    <xdr:to>
      <xdr:col>49</xdr:col>
      <xdr:colOff>222102</xdr:colOff>
      <xdr:row>382</xdr:row>
      <xdr:rowOff>190500</xdr:rowOff>
    </xdr:to>
    <xdr:sp macro="" textlink="">
      <xdr:nvSpPr>
        <xdr:cNvPr id="10" name="위쪽 화살표 9"/>
        <xdr:cNvSpPr/>
      </xdr:nvSpPr>
      <xdr:spPr>
        <a:xfrm>
          <a:off x="12172950" y="77238225"/>
          <a:ext cx="184002" cy="371475"/>
        </a:xfrm>
        <a:prstGeom prst="up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D2:BQ401"/>
  <sheetViews>
    <sheetView showGridLines="0" tabSelected="1" zoomScaleNormal="100" workbookViewId="0">
      <selection activeCell="L136" sqref="L136"/>
    </sheetView>
  </sheetViews>
  <sheetFormatPr defaultColWidth="3.7109375" defaultRowHeight="18.95" customHeight="1"/>
  <cols>
    <col min="2" max="4" width="3.7109375" customWidth="1"/>
    <col min="31" max="44" width="3.7109375" customWidth="1"/>
  </cols>
  <sheetData>
    <row r="2" spans="4:34" ht="27.75" customHeight="1">
      <c r="E2" s="1" t="s">
        <v>0</v>
      </c>
      <c r="Q2" s="125"/>
    </row>
    <row r="4" spans="4:34" s="4" customFormat="1" ht="18.95" customHeight="1">
      <c r="D4" s="2"/>
      <c r="E4" s="2"/>
      <c r="F4" s="3" t="s">
        <v>1</v>
      </c>
    </row>
    <row r="6" spans="4:34" ht="18.95" customHeight="1">
      <c r="H6" s="156" t="s">
        <v>144</v>
      </c>
      <c r="I6" s="4"/>
      <c r="J6" s="4"/>
      <c r="K6" s="4"/>
      <c r="L6" s="4"/>
      <c r="M6" s="4"/>
      <c r="Q6" s="155" t="s">
        <v>142</v>
      </c>
      <c r="R6" s="6" t="s">
        <v>75</v>
      </c>
      <c r="S6" s="6"/>
      <c r="T6" s="7"/>
      <c r="U6" s="7"/>
      <c r="V6" s="7"/>
      <c r="W6" s="7"/>
      <c r="X6" s="7"/>
      <c r="Y6" s="7"/>
      <c r="Z6" s="8"/>
      <c r="AA6" s="8"/>
      <c r="AB6" s="8"/>
      <c r="AC6" s="8"/>
      <c r="AD6" s="8"/>
      <c r="AE6" s="8"/>
      <c r="AH6" s="173"/>
    </row>
    <row r="7" spans="4:34" ht="18.95" customHeight="1">
      <c r="G7" s="5"/>
      <c r="H7" s="4"/>
      <c r="I7" s="4"/>
      <c r="J7" s="4"/>
      <c r="K7" s="4"/>
      <c r="L7" s="4"/>
      <c r="M7" s="4"/>
      <c r="Q7" s="155" t="s">
        <v>142</v>
      </c>
      <c r="R7" s="6" t="s">
        <v>89</v>
      </c>
      <c r="S7" s="6"/>
      <c r="T7" s="7"/>
      <c r="U7" s="7"/>
      <c r="V7" s="7"/>
      <c r="W7" s="7"/>
      <c r="X7" s="7"/>
      <c r="Y7" s="7"/>
      <c r="Z7" s="8"/>
      <c r="AA7" s="8"/>
      <c r="AB7" s="8"/>
      <c r="AC7" s="8"/>
      <c r="AD7" s="8"/>
      <c r="AE7" s="8"/>
      <c r="AH7" s="173"/>
    </row>
    <row r="8" spans="4:34" ht="18.95" customHeight="1">
      <c r="Q8" s="155" t="s">
        <v>142</v>
      </c>
      <c r="R8" s="9" t="s">
        <v>115</v>
      </c>
      <c r="S8" s="9"/>
      <c r="T8" s="7"/>
      <c r="U8" s="7"/>
      <c r="V8" s="7"/>
      <c r="W8" s="7"/>
      <c r="X8" s="7"/>
      <c r="Y8" s="7"/>
      <c r="Z8" s="8"/>
      <c r="AA8" s="8"/>
      <c r="AB8" s="8"/>
      <c r="AC8" s="8"/>
      <c r="AD8" s="8"/>
      <c r="AE8" s="8"/>
    </row>
    <row r="9" spans="4:34" ht="9.9499999999999993" customHeight="1"/>
    <row r="10" spans="4:34" ht="18.95" customHeight="1">
      <c r="Q10" s="10" t="s">
        <v>2</v>
      </c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2" spans="4:34" ht="18.95" customHeight="1">
      <c r="H12" s="156" t="s">
        <v>208</v>
      </c>
      <c r="I12" s="4"/>
      <c r="J12" s="4"/>
      <c r="K12" s="4"/>
      <c r="L12" s="4"/>
      <c r="M12" s="4"/>
      <c r="Q12" s="155" t="s">
        <v>142</v>
      </c>
      <c r="R12" s="6" t="s">
        <v>227</v>
      </c>
      <c r="S12" s="6"/>
      <c r="T12" s="7"/>
      <c r="U12" s="7"/>
      <c r="V12" s="7"/>
      <c r="W12" s="7"/>
      <c r="X12" s="7"/>
      <c r="Y12" s="7"/>
      <c r="Z12" s="8"/>
      <c r="AA12" s="8"/>
      <c r="AB12" s="8"/>
      <c r="AC12" s="8"/>
      <c r="AD12" s="8"/>
      <c r="AE12" s="8"/>
    </row>
    <row r="13" spans="4:34" ht="18.95" customHeight="1">
      <c r="G13" s="5"/>
      <c r="H13" s="4"/>
      <c r="I13" s="4"/>
      <c r="J13" s="4"/>
      <c r="K13" s="4"/>
      <c r="L13" s="4"/>
      <c r="M13" s="4"/>
      <c r="Q13" s="155" t="s">
        <v>142</v>
      </c>
      <c r="R13" s="6" t="s">
        <v>251</v>
      </c>
      <c r="S13" s="6"/>
      <c r="T13" s="7"/>
      <c r="U13" s="7"/>
      <c r="V13" s="7"/>
      <c r="W13" s="7"/>
      <c r="X13" s="7"/>
      <c r="Y13" s="7"/>
      <c r="Z13" s="8"/>
      <c r="AA13" s="8"/>
      <c r="AB13" s="8"/>
      <c r="AC13" s="8"/>
      <c r="AD13" s="8"/>
      <c r="AE13" s="8"/>
    </row>
    <row r="14" spans="4:34" ht="18.95" customHeight="1">
      <c r="Q14" s="155" t="s">
        <v>7</v>
      </c>
      <c r="R14" s="6" t="s">
        <v>253</v>
      </c>
      <c r="S14" s="6"/>
      <c r="T14" s="7"/>
      <c r="U14" s="7"/>
      <c r="V14" s="7"/>
      <c r="W14" s="7"/>
      <c r="X14" s="7"/>
      <c r="Y14" s="7"/>
      <c r="Z14" s="8"/>
      <c r="AA14" s="8"/>
      <c r="AB14" s="8"/>
      <c r="AC14" s="8"/>
      <c r="AD14" s="8"/>
      <c r="AE14" s="8"/>
    </row>
    <row r="15" spans="4:34" ht="18.95" customHeight="1">
      <c r="Q15" s="155" t="s">
        <v>7</v>
      </c>
      <c r="R15" s="6" t="s">
        <v>254</v>
      </c>
      <c r="S15" s="6"/>
      <c r="T15" s="7"/>
      <c r="U15" s="7"/>
      <c r="V15" s="7"/>
      <c r="W15" s="7"/>
      <c r="X15" s="7"/>
      <c r="Y15" s="7"/>
      <c r="Z15" s="8"/>
      <c r="AA15" s="8"/>
      <c r="AB15" s="8"/>
      <c r="AC15" s="8"/>
      <c r="AD15" s="8"/>
      <c r="AE15" s="8"/>
    </row>
    <row r="16" spans="4:34" ht="9.9499999999999993" customHeight="1"/>
    <row r="17" spans="4:61" ht="18.95" customHeight="1">
      <c r="Q17" s="10" t="s">
        <v>2</v>
      </c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21" spans="4:61" ht="18.95" customHeight="1">
      <c r="G21" s="5" t="s">
        <v>109</v>
      </c>
    </row>
    <row r="23" spans="4:61" ht="18.95" customHeight="1">
      <c r="H23" s="12" t="s">
        <v>3</v>
      </c>
      <c r="I23" s="13"/>
      <c r="J23" s="5" t="s">
        <v>91</v>
      </c>
    </row>
    <row r="26" spans="4:61" s="4" customFormat="1" ht="5.0999999999999996" customHeight="1">
      <c r="D26" s="2"/>
      <c r="E26" s="2"/>
      <c r="F26" s="14"/>
      <c r="G26"/>
      <c r="H26"/>
      <c r="I26"/>
      <c r="J26" s="15"/>
      <c r="K26" s="16"/>
      <c r="L26" s="17"/>
      <c r="M26" s="17"/>
      <c r="N26" s="17"/>
      <c r="O26" s="17"/>
      <c r="P26" s="17"/>
      <c r="Q26" s="17"/>
      <c r="R26" s="18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</row>
    <row r="27" spans="4:61" s="4" customFormat="1" ht="18.95" customHeight="1">
      <c r="D27" s="2"/>
      <c r="E27" s="2"/>
      <c r="F27" s="14"/>
      <c r="G27"/>
      <c r="H27"/>
      <c r="I27"/>
      <c r="J27" s="15"/>
      <c r="K27" s="131" t="s">
        <v>75</v>
      </c>
      <c r="L27" s="21"/>
      <c r="M27" s="21"/>
      <c r="N27" s="21"/>
      <c r="O27" s="21"/>
      <c r="P27" s="21"/>
      <c r="Q27" s="21"/>
      <c r="R27" s="22"/>
      <c r="S27" s="129" t="s">
        <v>147</v>
      </c>
      <c r="T27" s="130"/>
      <c r="U27" s="130"/>
      <c r="V27" s="130"/>
      <c r="W27" s="130"/>
      <c r="X27" s="130"/>
      <c r="Y27" s="130"/>
      <c r="Z27" s="130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S27" s="19"/>
      <c r="AT27" s="19"/>
      <c r="AU27" s="19"/>
      <c r="AV27" s="19"/>
      <c r="AW27" s="19"/>
      <c r="BA27" s="19"/>
      <c r="BB27" s="19"/>
      <c r="BC27" s="19"/>
      <c r="BD27" s="19"/>
    </row>
    <row r="28" spans="4:61" s="4" customFormat="1" ht="9.9499999999999993" customHeight="1">
      <c r="D28" s="2"/>
      <c r="E28" s="2"/>
      <c r="F28" s="14"/>
      <c r="G28"/>
      <c r="H28"/>
      <c r="I28"/>
      <c r="J28" s="25"/>
      <c r="K28" s="15"/>
      <c r="L28" s="15"/>
      <c r="M28" s="15"/>
      <c r="N28" s="15"/>
      <c r="O28" s="15"/>
      <c r="P28" s="15"/>
      <c r="Q28" s="15"/>
      <c r="R28" s="15"/>
      <c r="S28" s="26"/>
      <c r="T28" s="26"/>
      <c r="U28" s="26"/>
      <c r="V28" s="26"/>
      <c r="W28" s="26"/>
      <c r="X28" s="26"/>
      <c r="Y28" s="26"/>
      <c r="Z28" s="26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8"/>
    </row>
    <row r="29" spans="4:61" ht="18.95" customHeight="1">
      <c r="J29" s="118"/>
      <c r="K29" s="29" t="s">
        <v>4</v>
      </c>
      <c r="L29" s="30"/>
      <c r="M29" s="30"/>
      <c r="N29" s="276" t="s">
        <v>5</v>
      </c>
      <c r="O29" s="277"/>
      <c r="P29" s="277"/>
      <c r="Q29" s="278"/>
      <c r="R29" s="31" t="s">
        <v>6</v>
      </c>
      <c r="S29" s="15"/>
      <c r="T29" s="32" t="s">
        <v>203</v>
      </c>
      <c r="U29" s="30"/>
      <c r="V29" s="77"/>
      <c r="W29" s="81" t="s">
        <v>46</v>
      </c>
      <c r="X29" s="119"/>
      <c r="Y29" s="119"/>
      <c r="Z29" s="120"/>
      <c r="AA29" s="276" t="s">
        <v>9</v>
      </c>
      <c r="AB29" s="277"/>
      <c r="AC29" s="277"/>
      <c r="AD29" s="278"/>
      <c r="AI29" s="15"/>
      <c r="AJ29" s="15"/>
      <c r="AK29" s="32" t="s">
        <v>10</v>
      </c>
      <c r="AL29" s="30"/>
      <c r="AM29" s="30"/>
      <c r="AN29" s="82" t="s">
        <v>11</v>
      </c>
      <c r="AO29" s="119"/>
      <c r="AP29" s="119"/>
      <c r="AQ29" s="119"/>
      <c r="AR29" s="120"/>
      <c r="AS29" s="15"/>
      <c r="AT29" s="15"/>
      <c r="AU29" s="15"/>
      <c r="AV29" s="15"/>
      <c r="AW29" s="15"/>
      <c r="AX29" s="15"/>
      <c r="AY29" s="101" t="s">
        <v>47</v>
      </c>
      <c r="AZ29" s="102"/>
      <c r="BA29" s="103"/>
      <c r="BB29" s="101" t="s">
        <v>48</v>
      </c>
      <c r="BC29" s="102"/>
      <c r="BD29" s="103"/>
      <c r="BE29" s="15"/>
      <c r="BF29" s="36"/>
    </row>
    <row r="30" spans="4:61" ht="9.9499999999999993" customHeight="1">
      <c r="J30" s="118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36"/>
    </row>
    <row r="31" spans="4:61" ht="18.95" customHeight="1">
      <c r="J31" s="118"/>
      <c r="K31" s="29" t="s">
        <v>15</v>
      </c>
      <c r="L31" s="30"/>
      <c r="M31" s="30"/>
      <c r="N31" s="261" t="s">
        <v>5</v>
      </c>
      <c r="O31" s="262"/>
      <c r="P31" s="262"/>
      <c r="Q31" s="263"/>
      <c r="R31" s="31" t="s">
        <v>6</v>
      </c>
      <c r="S31" s="41" t="s">
        <v>16</v>
      </c>
      <c r="T31" s="261" t="s">
        <v>5</v>
      </c>
      <c r="U31" s="262"/>
      <c r="V31" s="262"/>
      <c r="W31" s="263"/>
      <c r="X31" s="31" t="s">
        <v>6</v>
      </c>
      <c r="Y31" s="42" t="s">
        <v>44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36"/>
    </row>
    <row r="32" spans="4:61" ht="9.9499999999999993" customHeight="1">
      <c r="J32" s="118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36"/>
    </row>
    <row r="33" spans="10:58" ht="18.95" customHeight="1">
      <c r="J33" s="118"/>
      <c r="K33" s="29" t="s">
        <v>77</v>
      </c>
      <c r="L33" s="30"/>
      <c r="M33" s="30"/>
      <c r="N33" s="270" t="s">
        <v>51</v>
      </c>
      <c r="O33" s="271"/>
      <c r="P33" s="271"/>
      <c r="Q33" s="272"/>
      <c r="R33" s="46" t="s">
        <v>14</v>
      </c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36"/>
    </row>
    <row r="34" spans="10:58" ht="9.9499999999999993" customHeight="1">
      <c r="J34" s="118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36"/>
    </row>
    <row r="35" spans="10:58" ht="18.95" customHeight="1">
      <c r="J35" s="118"/>
      <c r="K35" s="29" t="s">
        <v>20</v>
      </c>
      <c r="L35" s="30"/>
      <c r="M35" s="30"/>
      <c r="N35" s="44" t="s">
        <v>23</v>
      </c>
      <c r="O35" s="45"/>
      <c r="P35" s="53"/>
      <c r="Q35" s="54" t="s">
        <v>24</v>
      </c>
      <c r="R35" s="45"/>
      <c r="S35" s="45"/>
      <c r="T35" s="45"/>
      <c r="U35" s="45"/>
      <c r="V35" s="45"/>
      <c r="W35" s="53"/>
      <c r="X35" s="78" t="s">
        <v>121</v>
      </c>
      <c r="Y35" s="135"/>
      <c r="Z35" s="136" t="s">
        <v>122</v>
      </c>
      <c r="AA35" s="79"/>
      <c r="AB35" s="15"/>
      <c r="AC35" s="78" t="s">
        <v>50</v>
      </c>
      <c r="AD35" s="135"/>
      <c r="AE35" s="135"/>
      <c r="AF35" s="136" t="s">
        <v>72</v>
      </c>
      <c r="AG35" s="135"/>
      <c r="AH35" s="79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36"/>
    </row>
    <row r="36" spans="10:58" ht="5.0999999999999996" customHeight="1">
      <c r="J36" s="118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36"/>
    </row>
    <row r="37" spans="10:58" ht="18.95" customHeight="1">
      <c r="J37" s="118"/>
      <c r="K37" s="15"/>
      <c r="L37" s="15"/>
      <c r="M37" s="15"/>
      <c r="N37" s="100" t="s">
        <v>26</v>
      </c>
      <c r="O37" s="56" t="s">
        <v>33</v>
      </c>
      <c r="P37" s="57"/>
      <c r="Q37" s="58"/>
      <c r="R37" s="56" t="s">
        <v>49</v>
      </c>
      <c r="S37" s="57"/>
      <c r="T37" s="57"/>
      <c r="U37" s="57"/>
      <c r="V37" s="57"/>
      <c r="W37" s="57"/>
      <c r="X37" s="57"/>
      <c r="Y37" s="57"/>
      <c r="Z37" s="58"/>
      <c r="AA37" s="59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36"/>
    </row>
    <row r="38" spans="10:58" ht="18.95" customHeight="1">
      <c r="J38" s="118"/>
      <c r="K38" s="15"/>
      <c r="L38" s="15"/>
      <c r="M38" s="15"/>
      <c r="N38" s="80" t="s">
        <v>7</v>
      </c>
      <c r="O38" s="44" t="s">
        <v>23</v>
      </c>
      <c r="P38" s="45"/>
      <c r="Q38" s="53"/>
      <c r="R38" s="54" t="s">
        <v>24</v>
      </c>
      <c r="S38" s="45"/>
      <c r="T38" s="45"/>
      <c r="U38" s="45"/>
      <c r="V38" s="45"/>
      <c r="W38" s="45"/>
      <c r="X38" s="45"/>
      <c r="Y38" s="45"/>
      <c r="Z38" s="53"/>
      <c r="AA38" s="63" t="s">
        <v>6</v>
      </c>
      <c r="AB38" s="15"/>
      <c r="AC38" s="15"/>
      <c r="AD38" s="15"/>
      <c r="AE38" s="15"/>
      <c r="AF38" s="15"/>
      <c r="AG38" s="15"/>
      <c r="AH38" s="15"/>
      <c r="AI38" s="15"/>
      <c r="AJ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36"/>
    </row>
    <row r="39" spans="10:58" ht="18.95" customHeight="1">
      <c r="J39" s="118"/>
      <c r="K39" s="15"/>
      <c r="L39" s="15"/>
      <c r="M39" s="15"/>
      <c r="N39" s="80" t="s">
        <v>7</v>
      </c>
      <c r="O39" s="44" t="s">
        <v>34</v>
      </c>
      <c r="P39" s="45"/>
      <c r="Q39" s="53"/>
      <c r="R39" s="54" t="s">
        <v>24</v>
      </c>
      <c r="S39" s="45"/>
      <c r="T39" s="45"/>
      <c r="U39" s="45"/>
      <c r="V39" s="45"/>
      <c r="W39" s="45"/>
      <c r="X39" s="45"/>
      <c r="Y39" s="45"/>
      <c r="Z39" s="53"/>
      <c r="AA39" s="64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36"/>
    </row>
    <row r="40" spans="10:58" ht="18.95" customHeight="1">
      <c r="J40" s="118"/>
      <c r="K40" s="15"/>
      <c r="L40" s="15"/>
      <c r="M40" s="15"/>
      <c r="N40" s="80" t="s">
        <v>7</v>
      </c>
      <c r="O40" s="44" t="s">
        <v>35</v>
      </c>
      <c r="P40" s="45"/>
      <c r="Q40" s="53"/>
      <c r="R40" s="44" t="s">
        <v>35</v>
      </c>
      <c r="S40" s="45"/>
      <c r="T40" s="45"/>
      <c r="U40" s="45"/>
      <c r="V40" s="45"/>
      <c r="W40" s="45"/>
      <c r="X40" s="45"/>
      <c r="Y40" s="45"/>
      <c r="Z40" s="53"/>
      <c r="AA40" s="64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36"/>
    </row>
    <row r="41" spans="10:58" ht="18.95" customHeight="1">
      <c r="J41" s="118"/>
      <c r="K41" s="15"/>
      <c r="L41" s="15"/>
      <c r="M41" s="15"/>
      <c r="N41" s="80" t="s">
        <v>7</v>
      </c>
      <c r="O41" s="44" t="s">
        <v>34</v>
      </c>
      <c r="P41" s="45"/>
      <c r="Q41" s="53"/>
      <c r="R41" s="54" t="s">
        <v>24</v>
      </c>
      <c r="S41" s="45"/>
      <c r="T41" s="45"/>
      <c r="U41" s="45"/>
      <c r="V41" s="45"/>
      <c r="W41" s="45"/>
      <c r="X41" s="45"/>
      <c r="Y41" s="45"/>
      <c r="Z41" s="53"/>
      <c r="AA41" s="40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36"/>
    </row>
    <row r="42" spans="10:58" ht="18.95" customHeight="1">
      <c r="J42" s="118"/>
      <c r="K42" s="15"/>
      <c r="L42" s="15"/>
      <c r="M42" s="15"/>
      <c r="N42" s="15"/>
      <c r="O42" s="15"/>
      <c r="P42" s="15"/>
      <c r="Q42" s="15"/>
      <c r="R42" s="15"/>
      <c r="S42" s="42" t="s">
        <v>140</v>
      </c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36"/>
    </row>
    <row r="43" spans="10:58" ht="18.95" customHeight="1">
      <c r="J43" s="118"/>
      <c r="K43" s="29" t="s">
        <v>65</v>
      </c>
      <c r="L43" s="30"/>
      <c r="M43" s="30"/>
      <c r="N43" s="44" t="s">
        <v>17</v>
      </c>
      <c r="O43" s="45"/>
      <c r="P43" s="45"/>
      <c r="Q43" s="53"/>
      <c r="R43" s="113" t="s">
        <v>130</v>
      </c>
      <c r="S43" s="38"/>
      <c r="T43" s="39"/>
      <c r="U43" s="46" t="s">
        <v>14</v>
      </c>
      <c r="V43" s="78" t="s">
        <v>121</v>
      </c>
      <c r="W43" s="135"/>
      <c r="X43" s="136" t="s">
        <v>122</v>
      </c>
      <c r="Y43" s="79"/>
      <c r="Z43" s="15"/>
      <c r="AA43" s="78" t="s">
        <v>66</v>
      </c>
      <c r="AB43" s="135"/>
      <c r="AC43" s="135"/>
      <c r="AD43" s="136" t="s">
        <v>73</v>
      </c>
      <c r="AE43" s="135"/>
      <c r="AF43" s="79"/>
      <c r="AG43" s="42"/>
      <c r="AH43" s="137" t="s">
        <v>131</v>
      </c>
      <c r="AI43" s="138"/>
      <c r="AJ43" s="139"/>
      <c r="AK43" s="15"/>
      <c r="AL43" s="15"/>
      <c r="AM43" s="42" t="s">
        <v>136</v>
      </c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36"/>
    </row>
    <row r="44" spans="10:58" ht="5.0999999999999996" customHeight="1">
      <c r="J44" s="118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36"/>
    </row>
    <row r="45" spans="10:58" ht="18.95" customHeight="1">
      <c r="J45" s="118"/>
      <c r="K45" s="15"/>
      <c r="L45" s="15"/>
      <c r="M45" s="15"/>
      <c r="N45" s="264" t="s">
        <v>26</v>
      </c>
      <c r="O45" s="56" t="s">
        <v>67</v>
      </c>
      <c r="P45" s="57"/>
      <c r="Q45" s="57"/>
      <c r="R45" s="58"/>
      <c r="S45" s="56"/>
      <c r="T45" s="57"/>
      <c r="U45" s="58"/>
      <c r="V45" s="57" t="s">
        <v>132</v>
      </c>
      <c r="W45" s="57"/>
      <c r="X45" s="57"/>
      <c r="Y45" s="56"/>
      <c r="Z45" s="57"/>
      <c r="AA45" s="57"/>
      <c r="AB45" s="58"/>
      <c r="AC45" s="56"/>
      <c r="AD45" s="57"/>
      <c r="AE45" s="58"/>
      <c r="AF45" s="57"/>
      <c r="AG45" s="57"/>
      <c r="AH45" s="58"/>
      <c r="AI45" s="57"/>
      <c r="AJ45" s="58"/>
      <c r="AK45" s="57"/>
      <c r="AL45" s="57"/>
      <c r="AM45" s="106" t="s">
        <v>139</v>
      </c>
      <c r="AN45" s="57"/>
      <c r="AO45" s="58"/>
      <c r="AP45" s="56"/>
      <c r="AQ45" s="57"/>
      <c r="AR45" s="58"/>
      <c r="AS45" s="94" t="s">
        <v>59</v>
      </c>
      <c r="AT45" s="94"/>
      <c r="AU45" s="95"/>
      <c r="AV45" s="93"/>
      <c r="AW45" s="94"/>
      <c r="AX45" s="94"/>
      <c r="AY45" s="94"/>
      <c r="AZ45" s="94"/>
      <c r="BA45" s="95"/>
      <c r="BB45" s="93"/>
      <c r="BC45" s="94"/>
      <c r="BD45" s="95"/>
      <c r="BE45" s="59"/>
      <c r="BF45" s="36"/>
    </row>
    <row r="46" spans="10:58" ht="18.95" customHeight="1">
      <c r="J46" s="118"/>
      <c r="K46" s="15"/>
      <c r="L46" s="15"/>
      <c r="M46" s="15"/>
      <c r="N46" s="265"/>
      <c r="O46" s="56" t="s">
        <v>28</v>
      </c>
      <c r="P46" s="57"/>
      <c r="Q46" s="57"/>
      <c r="R46" s="58"/>
      <c r="S46" s="56" t="s">
        <v>29</v>
      </c>
      <c r="T46" s="57"/>
      <c r="U46" s="58"/>
      <c r="V46" s="56" t="s">
        <v>68</v>
      </c>
      <c r="W46" s="57"/>
      <c r="X46" s="56" t="s">
        <v>54</v>
      </c>
      <c r="Y46" s="57"/>
      <c r="Z46" s="58"/>
      <c r="AA46" s="57" t="s">
        <v>55</v>
      </c>
      <c r="AB46" s="57"/>
      <c r="AC46" s="56" t="s">
        <v>70</v>
      </c>
      <c r="AD46" s="57"/>
      <c r="AE46" s="56" t="s">
        <v>123</v>
      </c>
      <c r="AF46" s="57"/>
      <c r="AG46" s="57"/>
      <c r="AH46" s="56" t="s">
        <v>125</v>
      </c>
      <c r="AI46" s="57"/>
      <c r="AJ46" s="56" t="s">
        <v>30</v>
      </c>
      <c r="AK46" s="57"/>
      <c r="AL46" s="57"/>
      <c r="AM46" s="56" t="s">
        <v>138</v>
      </c>
      <c r="AN46" s="57"/>
      <c r="AO46" s="58"/>
      <c r="AP46" s="56" t="s">
        <v>32</v>
      </c>
      <c r="AQ46" s="57"/>
      <c r="AR46" s="58"/>
      <c r="AS46" s="93" t="s">
        <v>31</v>
      </c>
      <c r="AT46" s="94"/>
      <c r="AU46" s="95"/>
      <c r="AV46" s="93" t="s">
        <v>32</v>
      </c>
      <c r="AW46" s="94"/>
      <c r="AX46" s="95"/>
      <c r="AY46" s="93" t="s">
        <v>63</v>
      </c>
      <c r="AZ46" s="94"/>
      <c r="BA46" s="95"/>
      <c r="BB46" s="93" t="s">
        <v>64</v>
      </c>
      <c r="BC46" s="94"/>
      <c r="BD46" s="95"/>
      <c r="BE46" s="63" t="s">
        <v>6</v>
      </c>
      <c r="BF46" s="36"/>
    </row>
    <row r="47" spans="10:58" ht="18.95" customHeight="1">
      <c r="J47" s="118"/>
      <c r="K47" s="15"/>
      <c r="L47" s="15"/>
      <c r="M47" s="15"/>
      <c r="N47" s="80" t="s">
        <v>7</v>
      </c>
      <c r="O47" s="141" t="s">
        <v>17</v>
      </c>
      <c r="P47" s="142"/>
      <c r="Q47" s="142"/>
      <c r="R47" s="143"/>
      <c r="S47" s="141" t="s">
        <v>53</v>
      </c>
      <c r="T47" s="147"/>
      <c r="U47" s="148"/>
      <c r="V47" s="60" t="s">
        <v>52</v>
      </c>
      <c r="W47" s="61"/>
      <c r="X47" s="87" t="s">
        <v>56</v>
      </c>
      <c r="Y47" s="74"/>
      <c r="Z47" s="73"/>
      <c r="AA47" s="60" t="s">
        <v>57</v>
      </c>
      <c r="AB47" s="74"/>
      <c r="AC47" s="60" t="s">
        <v>71</v>
      </c>
      <c r="AD47" s="74"/>
      <c r="AE47" s="266" t="s">
        <v>124</v>
      </c>
      <c r="AF47" s="267"/>
      <c r="AG47" s="267"/>
      <c r="AH47" s="268">
        <v>0.3</v>
      </c>
      <c r="AI47" s="269"/>
      <c r="AJ47" s="60">
        <v>39900</v>
      </c>
      <c r="AK47" s="61"/>
      <c r="AL47" s="61"/>
      <c r="AM47" s="60">
        <v>29900</v>
      </c>
      <c r="AN47" s="61"/>
      <c r="AO47" s="62"/>
      <c r="AP47" s="104">
        <f>1-AM47/AJ47</f>
        <v>0.25062656641604009</v>
      </c>
      <c r="AQ47" s="61"/>
      <c r="AR47" s="62"/>
      <c r="AS47" s="107">
        <f>AJ47*AV47</f>
        <v>15960</v>
      </c>
      <c r="AT47" s="108"/>
      <c r="AU47" s="109"/>
      <c r="AV47" s="288">
        <v>0.4</v>
      </c>
      <c r="AW47" s="289"/>
      <c r="AX47" s="290"/>
      <c r="AY47" s="273">
        <f>AS47-AM47</f>
        <v>-13940</v>
      </c>
      <c r="AZ47" s="274"/>
      <c r="BA47" s="275"/>
      <c r="BB47" s="285">
        <f>AV47-AP47</f>
        <v>0.14937343358395994</v>
      </c>
      <c r="BC47" s="286"/>
      <c r="BD47" s="287"/>
      <c r="BE47" s="64"/>
      <c r="BF47" s="36"/>
    </row>
    <row r="48" spans="10:58" ht="18.95" customHeight="1">
      <c r="J48" s="118"/>
      <c r="K48" s="15"/>
      <c r="L48" s="15"/>
      <c r="M48" s="15"/>
      <c r="N48" s="80" t="s">
        <v>7</v>
      </c>
      <c r="O48" s="144" t="s">
        <v>17</v>
      </c>
      <c r="P48" s="145"/>
      <c r="Q48" s="145"/>
      <c r="R48" s="146"/>
      <c r="S48" s="144" t="s">
        <v>36</v>
      </c>
      <c r="T48" s="149"/>
      <c r="U48" s="150"/>
      <c r="V48" s="60" t="s">
        <v>52</v>
      </c>
      <c r="W48" s="45"/>
      <c r="X48" s="87" t="s">
        <v>56</v>
      </c>
      <c r="Y48" s="74"/>
      <c r="Z48" s="73"/>
      <c r="AA48" s="60" t="s">
        <v>57</v>
      </c>
      <c r="AB48" s="38"/>
      <c r="AC48" s="60" t="s">
        <v>71</v>
      </c>
      <c r="AD48" s="74"/>
      <c r="AE48" s="266" t="s">
        <v>124</v>
      </c>
      <c r="AF48" s="267"/>
      <c r="AG48" s="267"/>
      <c r="AH48" s="268">
        <v>0.3</v>
      </c>
      <c r="AI48" s="269"/>
      <c r="AJ48" s="44">
        <v>39900</v>
      </c>
      <c r="AK48" s="45"/>
      <c r="AL48" s="45"/>
      <c r="AM48" s="60">
        <v>29900</v>
      </c>
      <c r="AN48" s="45"/>
      <c r="AO48" s="53"/>
      <c r="AP48" s="104">
        <f>1-AM48/AJ48</f>
        <v>0.25062656641604009</v>
      </c>
      <c r="AQ48" s="45"/>
      <c r="AR48" s="53"/>
      <c r="AS48" s="107">
        <f>AJ48*AV48</f>
        <v>15960</v>
      </c>
      <c r="AT48" s="108"/>
      <c r="AU48" s="109"/>
      <c r="AV48" s="288">
        <v>0.4</v>
      </c>
      <c r="AW48" s="289"/>
      <c r="AX48" s="290"/>
      <c r="AY48" s="273">
        <f>AS48-AM48</f>
        <v>-13940</v>
      </c>
      <c r="AZ48" s="274"/>
      <c r="BA48" s="275"/>
      <c r="BB48" s="285">
        <f>AV48-AP48</f>
        <v>0.14937343358395994</v>
      </c>
      <c r="BC48" s="286"/>
      <c r="BD48" s="287"/>
      <c r="BE48" s="64"/>
      <c r="BF48" s="36"/>
    </row>
    <row r="49" spans="4:69" ht="18.95" customHeight="1">
      <c r="J49" s="118"/>
      <c r="K49" s="15"/>
      <c r="L49" s="15"/>
      <c r="M49" s="15"/>
      <c r="N49" s="80" t="s">
        <v>7</v>
      </c>
      <c r="O49" s="144" t="s">
        <v>17</v>
      </c>
      <c r="P49" s="145"/>
      <c r="Q49" s="145"/>
      <c r="R49" s="146"/>
      <c r="S49" s="144" t="s">
        <v>127</v>
      </c>
      <c r="T49" s="149"/>
      <c r="U49" s="150"/>
      <c r="V49" s="60" t="s">
        <v>52</v>
      </c>
      <c r="W49" s="61"/>
      <c r="X49" s="87" t="s">
        <v>56</v>
      </c>
      <c r="Y49" s="74"/>
      <c r="Z49" s="73"/>
      <c r="AA49" s="60" t="s">
        <v>57</v>
      </c>
      <c r="AB49" s="74"/>
      <c r="AC49" s="60" t="s">
        <v>71</v>
      </c>
      <c r="AD49" s="74"/>
      <c r="AE49" s="266" t="s">
        <v>124</v>
      </c>
      <c r="AF49" s="267"/>
      <c r="AG49" s="267"/>
      <c r="AH49" s="268">
        <v>0.3</v>
      </c>
      <c r="AI49" s="269"/>
      <c r="AJ49" s="60">
        <v>39900</v>
      </c>
      <c r="AK49" s="61"/>
      <c r="AL49" s="61"/>
      <c r="AM49" s="60">
        <v>29900</v>
      </c>
      <c r="AN49" s="61"/>
      <c r="AO49" s="62"/>
      <c r="AP49" s="104">
        <f>1-AM49/AJ49</f>
        <v>0.25062656641604009</v>
      </c>
      <c r="AQ49" s="61"/>
      <c r="AR49" s="62"/>
      <c r="AS49" s="107">
        <v>19900</v>
      </c>
      <c r="AT49" s="108"/>
      <c r="AU49" s="109"/>
      <c r="AV49" s="288">
        <f>1-AS49/AJ49</f>
        <v>0.50125313283208017</v>
      </c>
      <c r="AW49" s="289"/>
      <c r="AX49" s="290"/>
      <c r="AY49" s="273">
        <f>AS49-AM49</f>
        <v>-10000</v>
      </c>
      <c r="AZ49" s="274"/>
      <c r="BA49" s="275"/>
      <c r="BB49" s="285">
        <f>AV49-AP49</f>
        <v>0.25062656641604009</v>
      </c>
      <c r="BC49" s="286"/>
      <c r="BD49" s="287"/>
      <c r="BE49" s="64"/>
      <c r="BF49" s="36"/>
    </row>
    <row r="50" spans="4:69" ht="18.95" customHeight="1">
      <c r="J50" s="118"/>
      <c r="K50" s="15"/>
      <c r="L50" s="15"/>
      <c r="M50" s="15"/>
      <c r="N50" s="80" t="s">
        <v>7</v>
      </c>
      <c r="O50" s="144" t="s">
        <v>17</v>
      </c>
      <c r="P50" s="145"/>
      <c r="Q50" s="145"/>
      <c r="R50" s="146"/>
      <c r="S50" s="144" t="s">
        <v>129</v>
      </c>
      <c r="T50" s="149"/>
      <c r="U50" s="150"/>
      <c r="V50" s="44" t="s">
        <v>52</v>
      </c>
      <c r="W50" s="45"/>
      <c r="X50" s="37" t="s">
        <v>56</v>
      </c>
      <c r="Y50" s="38"/>
      <c r="Z50" s="39"/>
      <c r="AA50" s="44" t="s">
        <v>57</v>
      </c>
      <c r="AB50" s="38"/>
      <c r="AC50" s="44" t="s">
        <v>71</v>
      </c>
      <c r="AD50" s="38"/>
      <c r="AE50" s="266" t="s">
        <v>124</v>
      </c>
      <c r="AF50" s="267"/>
      <c r="AG50" s="267"/>
      <c r="AH50" s="268">
        <v>0.3</v>
      </c>
      <c r="AI50" s="269"/>
      <c r="AJ50" s="44">
        <v>39900</v>
      </c>
      <c r="AK50" s="45"/>
      <c r="AL50" s="45"/>
      <c r="AM50" s="44">
        <v>29900</v>
      </c>
      <c r="AN50" s="45"/>
      <c r="AO50" s="53"/>
      <c r="AP50" s="105">
        <f>1-AM50/AJ50</f>
        <v>0.25062656641604009</v>
      </c>
      <c r="AQ50" s="45"/>
      <c r="AR50" s="53"/>
      <c r="AS50" s="48">
        <v>19900</v>
      </c>
      <c r="AT50" s="49"/>
      <c r="AU50" s="50"/>
      <c r="AV50" s="288">
        <f>1-AS50/AJ50</f>
        <v>0.50125313283208017</v>
      </c>
      <c r="AW50" s="289"/>
      <c r="AX50" s="290"/>
      <c r="AY50" s="273">
        <f>AS50-AM50</f>
        <v>-10000</v>
      </c>
      <c r="AZ50" s="274"/>
      <c r="BA50" s="275"/>
      <c r="BB50" s="285">
        <f>AV50-AP50</f>
        <v>0.25062656641604009</v>
      </c>
      <c r="BC50" s="286"/>
      <c r="BD50" s="287"/>
      <c r="BE50" s="40"/>
      <c r="BF50" s="36"/>
    </row>
    <row r="51" spans="4:69" ht="18.95" customHeight="1">
      <c r="J51" s="67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83"/>
      <c r="AD51" s="83"/>
      <c r="AE51" s="121" t="s">
        <v>141</v>
      </c>
      <c r="AF51" s="83"/>
      <c r="AG51" s="83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140" t="s">
        <v>82</v>
      </c>
      <c r="AU51" s="68"/>
      <c r="AV51" s="68"/>
      <c r="AW51" s="68"/>
      <c r="AX51" s="68"/>
      <c r="AY51" s="68"/>
      <c r="AZ51" s="68"/>
      <c r="BA51" s="68"/>
      <c r="BB51" s="68"/>
      <c r="BC51" s="68"/>
      <c r="BD51" s="68"/>
      <c r="BE51" s="68"/>
      <c r="BF51" s="69"/>
    </row>
    <row r="54" spans="4:69" s="4" customFormat="1" ht="5.0999999999999996" customHeight="1">
      <c r="D54" s="2"/>
      <c r="E54" s="2"/>
      <c r="F54" s="14"/>
      <c r="G54"/>
      <c r="H54"/>
      <c r="I54"/>
      <c r="J54"/>
      <c r="K54"/>
      <c r="L54"/>
      <c r="M54" s="88"/>
      <c r="N54" s="17"/>
      <c r="O54" s="17"/>
      <c r="P54" s="17"/>
      <c r="Q54" s="17"/>
      <c r="R54" s="89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 s="19"/>
      <c r="AI54" s="19"/>
      <c r="AJ54" s="19"/>
      <c r="AK54" s="19"/>
      <c r="AL54" s="19"/>
      <c r="AM54" s="19"/>
      <c r="AN54" s="19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4:69" s="4" customFormat="1" ht="18.95" customHeight="1">
      <c r="D55" s="2"/>
      <c r="E55" s="2"/>
      <c r="F55" s="14"/>
      <c r="G55"/>
      <c r="H55"/>
      <c r="I55"/>
      <c r="J55"/>
      <c r="K55"/>
      <c r="L55"/>
      <c r="M55" s="20" t="s">
        <v>66</v>
      </c>
      <c r="N55" s="21"/>
      <c r="O55" s="21"/>
      <c r="P55" s="21"/>
      <c r="Q55" s="21"/>
      <c r="R55" s="22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</row>
    <row r="56" spans="4:69" s="4" customFormat="1" ht="9.9499999999999993" customHeight="1">
      <c r="D56" s="2"/>
      <c r="E56" s="2"/>
      <c r="F56" s="14"/>
      <c r="G56"/>
      <c r="H56"/>
      <c r="I56"/>
      <c r="J56"/>
      <c r="K56"/>
      <c r="L56"/>
      <c r="M56" s="118"/>
      <c r="N56" s="15"/>
      <c r="O56" s="15"/>
      <c r="P56" s="15"/>
      <c r="Q56" s="15"/>
      <c r="R56" s="15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7"/>
      <c r="AG56" s="27"/>
      <c r="AH56" s="27"/>
      <c r="AI56" s="27"/>
      <c r="AJ56" s="92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</row>
    <row r="57" spans="4:69" ht="18.95" customHeight="1">
      <c r="M57" s="118"/>
      <c r="N57" s="29" t="s">
        <v>77</v>
      </c>
      <c r="O57" s="30"/>
      <c r="P57" s="30"/>
      <c r="Q57" s="270" t="s">
        <v>51</v>
      </c>
      <c r="R57" s="271"/>
      <c r="S57" s="271"/>
      <c r="T57" s="272"/>
      <c r="U57" s="46" t="s">
        <v>76</v>
      </c>
      <c r="V57" s="32" t="s">
        <v>87</v>
      </c>
      <c r="W57" s="30"/>
      <c r="X57" s="44" t="s">
        <v>52</v>
      </c>
      <c r="Y57" s="38"/>
      <c r="Z57" s="39"/>
      <c r="AA57" s="46" t="s">
        <v>76</v>
      </c>
      <c r="AD57" s="101" t="s">
        <v>88</v>
      </c>
      <c r="AE57" s="102"/>
      <c r="AF57" s="103"/>
      <c r="AG57" s="101" t="s">
        <v>134</v>
      </c>
      <c r="AH57" s="102"/>
      <c r="AI57" s="103"/>
      <c r="AJ57" s="36"/>
      <c r="AV57" s="43"/>
      <c r="AW57" s="19"/>
    </row>
    <row r="58" spans="4:69" ht="9.9499999999999993" customHeight="1">
      <c r="M58" s="118"/>
      <c r="N58" s="15"/>
      <c r="O58" s="15"/>
      <c r="P58" s="15"/>
      <c r="Q58" s="15"/>
      <c r="R58" s="15"/>
      <c r="S58" s="15"/>
      <c r="T58" s="15"/>
      <c r="U58" s="15"/>
      <c r="V58" s="77"/>
      <c r="W58" s="77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36"/>
    </row>
    <row r="59" spans="4:69" ht="18.95" customHeight="1">
      <c r="M59" s="118"/>
      <c r="N59" s="29" t="s">
        <v>78</v>
      </c>
      <c r="O59" s="47"/>
      <c r="P59" s="47"/>
      <c r="Q59" s="37" t="s">
        <v>79</v>
      </c>
      <c r="R59" s="123"/>
      <c r="S59" s="38"/>
      <c r="T59" s="38"/>
      <c r="U59" s="39"/>
      <c r="V59" s="32" t="s">
        <v>80</v>
      </c>
      <c r="W59" s="30"/>
      <c r="X59" s="44" t="s">
        <v>81</v>
      </c>
      <c r="Y59" s="38"/>
      <c r="Z59" s="39"/>
      <c r="AA59" s="46" t="s">
        <v>76</v>
      </c>
      <c r="AB59" s="30" t="s">
        <v>70</v>
      </c>
      <c r="AC59" s="30"/>
      <c r="AD59" s="44" t="s">
        <v>71</v>
      </c>
      <c r="AE59" s="38"/>
      <c r="AF59" s="39"/>
      <c r="AG59" s="46" t="s">
        <v>76</v>
      </c>
      <c r="AI59" s="15"/>
      <c r="AJ59" s="36"/>
    </row>
    <row r="60" spans="4:69" ht="9.9499999999999993" customHeight="1">
      <c r="M60" s="118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36"/>
    </row>
    <row r="61" spans="4:69" ht="18.95" customHeight="1">
      <c r="M61" s="118"/>
      <c r="N61" s="29" t="s">
        <v>84</v>
      </c>
      <c r="O61" s="47"/>
      <c r="P61" s="47"/>
      <c r="Q61" s="261" t="s">
        <v>51</v>
      </c>
      <c r="R61" s="262"/>
      <c r="S61" s="262"/>
      <c r="T61" s="263"/>
      <c r="U61" s="40" t="s">
        <v>18</v>
      </c>
      <c r="V61" s="32" t="s">
        <v>83</v>
      </c>
      <c r="W61" s="30"/>
      <c r="X61" s="71" t="s">
        <v>62</v>
      </c>
      <c r="Y61" s="38"/>
      <c r="Z61" s="39"/>
      <c r="AA61" s="46" t="s">
        <v>76</v>
      </c>
      <c r="AB61" s="15"/>
      <c r="AC61" s="15"/>
      <c r="AD61" s="15"/>
      <c r="AE61" s="15"/>
      <c r="AF61" s="15"/>
      <c r="AG61" s="15"/>
      <c r="AH61" s="15"/>
      <c r="AI61" s="15"/>
      <c r="AJ61" s="36"/>
    </row>
    <row r="62" spans="4:69" ht="20.100000000000001" customHeight="1">
      <c r="M62" s="118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36"/>
    </row>
    <row r="63" spans="4:69" ht="18.95" customHeight="1">
      <c r="M63" s="118"/>
      <c r="N63" s="55" t="s">
        <v>26</v>
      </c>
      <c r="O63" s="56" t="s">
        <v>28</v>
      </c>
      <c r="P63" s="57"/>
      <c r="Q63" s="57"/>
      <c r="R63" s="58"/>
      <c r="S63" s="56" t="s">
        <v>29</v>
      </c>
      <c r="T63" s="57"/>
      <c r="U63" s="58"/>
      <c r="V63" s="56" t="s">
        <v>30</v>
      </c>
      <c r="W63" s="57"/>
      <c r="X63" s="57"/>
      <c r="Y63" s="56" t="s">
        <v>68</v>
      </c>
      <c r="Z63" s="57"/>
      <c r="AA63" s="56" t="s">
        <v>54</v>
      </c>
      <c r="AB63" s="57"/>
      <c r="AC63" s="58"/>
      <c r="AD63" s="57" t="s">
        <v>55</v>
      </c>
      <c r="AE63" s="57"/>
      <c r="AF63" s="56" t="s">
        <v>70</v>
      </c>
      <c r="AG63" s="57"/>
      <c r="AH63" s="58"/>
      <c r="AI63" s="59"/>
      <c r="AJ63" s="36"/>
    </row>
    <row r="64" spans="4:69" ht="18.95" customHeight="1">
      <c r="M64" s="118"/>
      <c r="N64" s="122" t="s">
        <v>86</v>
      </c>
      <c r="O64" s="60" t="s">
        <v>17</v>
      </c>
      <c r="P64" s="61"/>
      <c r="Q64" s="61"/>
      <c r="R64" s="62"/>
      <c r="S64" s="60" t="s">
        <v>53</v>
      </c>
      <c r="T64" s="74"/>
      <c r="U64" s="73"/>
      <c r="V64" s="60">
        <v>39900</v>
      </c>
      <c r="W64" s="61"/>
      <c r="X64" s="61"/>
      <c r="Y64" s="60" t="s">
        <v>52</v>
      </c>
      <c r="Z64" s="61"/>
      <c r="AA64" s="87" t="s">
        <v>56</v>
      </c>
      <c r="AB64" s="74"/>
      <c r="AC64" s="73"/>
      <c r="AD64" s="60" t="s">
        <v>57</v>
      </c>
      <c r="AE64" s="74"/>
      <c r="AF64" s="60" t="s">
        <v>71</v>
      </c>
      <c r="AG64" s="74"/>
      <c r="AH64" s="73"/>
      <c r="AI64" s="63" t="s">
        <v>6</v>
      </c>
      <c r="AJ64" s="36"/>
    </row>
    <row r="65" spans="13:36" ht="18.95" customHeight="1">
      <c r="M65" s="118"/>
      <c r="N65" s="122" t="s">
        <v>85</v>
      </c>
      <c r="O65" s="44" t="s">
        <v>17</v>
      </c>
      <c r="P65" s="45"/>
      <c r="Q65" s="45"/>
      <c r="R65" s="53"/>
      <c r="S65" s="44" t="s">
        <v>36</v>
      </c>
      <c r="T65" s="38"/>
      <c r="U65" s="39"/>
      <c r="V65" s="44">
        <v>39900</v>
      </c>
      <c r="W65" s="45"/>
      <c r="X65" s="45"/>
      <c r="Y65" s="60" t="s">
        <v>52</v>
      </c>
      <c r="Z65" s="45"/>
      <c r="AA65" s="87" t="s">
        <v>56</v>
      </c>
      <c r="AB65" s="74"/>
      <c r="AC65" s="73"/>
      <c r="AD65" s="60" t="s">
        <v>57</v>
      </c>
      <c r="AE65" s="38"/>
      <c r="AF65" s="60" t="s">
        <v>71</v>
      </c>
      <c r="AG65" s="74"/>
      <c r="AH65" s="73"/>
      <c r="AI65" s="64"/>
      <c r="AJ65" s="36"/>
    </row>
    <row r="66" spans="13:36" ht="18.95" customHeight="1">
      <c r="M66" s="118"/>
      <c r="N66" s="80" t="s">
        <v>7</v>
      </c>
      <c r="O66" s="60" t="s">
        <v>60</v>
      </c>
      <c r="P66" s="61"/>
      <c r="Q66" s="61"/>
      <c r="R66" s="62"/>
      <c r="S66" s="60" t="s">
        <v>126</v>
      </c>
      <c r="T66" s="111"/>
      <c r="U66" s="112"/>
      <c r="V66" s="60">
        <v>39900</v>
      </c>
      <c r="W66" s="61"/>
      <c r="X66" s="61"/>
      <c r="Y66" s="60" t="s">
        <v>52</v>
      </c>
      <c r="Z66" s="61"/>
      <c r="AA66" s="87" t="s">
        <v>56</v>
      </c>
      <c r="AB66" s="74"/>
      <c r="AC66" s="73"/>
      <c r="AD66" s="60" t="s">
        <v>57</v>
      </c>
      <c r="AE66" s="74"/>
      <c r="AF66" s="60" t="s">
        <v>71</v>
      </c>
      <c r="AG66" s="74"/>
      <c r="AH66" s="73"/>
      <c r="AI66" s="64"/>
      <c r="AJ66" s="36"/>
    </row>
    <row r="67" spans="13:36" ht="18.95" customHeight="1">
      <c r="M67" s="118"/>
      <c r="N67" s="80" t="s">
        <v>7</v>
      </c>
      <c r="O67" s="44" t="s">
        <v>61</v>
      </c>
      <c r="P67" s="45"/>
      <c r="Q67" s="45"/>
      <c r="R67" s="53"/>
      <c r="S67" s="44" t="s">
        <v>128</v>
      </c>
      <c r="T67" s="114"/>
      <c r="U67" s="115"/>
      <c r="V67" s="44">
        <v>39900</v>
      </c>
      <c r="W67" s="45"/>
      <c r="X67" s="45"/>
      <c r="Y67" s="44" t="s">
        <v>52</v>
      </c>
      <c r="Z67" s="45"/>
      <c r="AA67" s="37" t="s">
        <v>56</v>
      </c>
      <c r="AB67" s="38"/>
      <c r="AC67" s="39"/>
      <c r="AD67" s="44" t="s">
        <v>57</v>
      </c>
      <c r="AE67" s="38"/>
      <c r="AF67" s="44" t="s">
        <v>71</v>
      </c>
      <c r="AG67" s="38"/>
      <c r="AH67" s="39"/>
      <c r="AI67" s="40"/>
      <c r="AJ67" s="36"/>
    </row>
    <row r="68" spans="13:36" ht="5.0999999999999996" customHeight="1">
      <c r="M68" s="118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36"/>
    </row>
    <row r="69" spans="13:36" ht="18.95" customHeight="1">
      <c r="M69" s="118"/>
      <c r="N69" s="78" t="s">
        <v>133</v>
      </c>
      <c r="O69" s="135"/>
      <c r="P69" s="79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36"/>
    </row>
    <row r="70" spans="13:36" ht="18.95" customHeight="1" thickBot="1">
      <c r="M70" s="118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36"/>
    </row>
    <row r="71" spans="13:36" ht="18.95" customHeight="1">
      <c r="M71" s="118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36"/>
    </row>
    <row r="72" spans="13:36" ht="18.95" customHeight="1">
      <c r="M72" s="118"/>
      <c r="N72" s="136" t="s">
        <v>122</v>
      </c>
      <c r="O72" s="79"/>
      <c r="P72" s="79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36"/>
    </row>
    <row r="73" spans="13:36" ht="5.0999999999999996" customHeight="1">
      <c r="M73" s="118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36"/>
    </row>
    <row r="74" spans="13:36" ht="18.95" customHeight="1">
      <c r="M74" s="118"/>
      <c r="N74" s="100" t="s">
        <v>26</v>
      </c>
      <c r="O74" s="56" t="s">
        <v>28</v>
      </c>
      <c r="P74" s="57"/>
      <c r="Q74" s="57"/>
      <c r="R74" s="58"/>
      <c r="S74" s="56" t="s">
        <v>29</v>
      </c>
      <c r="T74" s="57"/>
      <c r="U74" s="58"/>
      <c r="V74" s="56" t="s">
        <v>30</v>
      </c>
      <c r="W74" s="57"/>
      <c r="X74" s="57"/>
      <c r="Y74" s="56" t="s">
        <v>68</v>
      </c>
      <c r="Z74" s="57"/>
      <c r="AA74" s="56" t="s">
        <v>54</v>
      </c>
      <c r="AB74" s="57"/>
      <c r="AC74" s="58"/>
      <c r="AD74" s="57" t="s">
        <v>55</v>
      </c>
      <c r="AE74" s="57"/>
      <c r="AF74" s="56" t="s">
        <v>70</v>
      </c>
      <c r="AG74" s="57"/>
      <c r="AH74" s="58"/>
      <c r="AI74" s="59"/>
      <c r="AJ74" s="36"/>
    </row>
    <row r="75" spans="13:36" ht="18.95" customHeight="1">
      <c r="M75" s="118"/>
      <c r="N75" s="80" t="s">
        <v>7</v>
      </c>
      <c r="O75" s="60" t="s">
        <v>17</v>
      </c>
      <c r="P75" s="61"/>
      <c r="Q75" s="61"/>
      <c r="R75" s="62"/>
      <c r="S75" s="60" t="s">
        <v>19</v>
      </c>
      <c r="T75" s="74"/>
      <c r="U75" s="73"/>
      <c r="V75" s="60">
        <v>39900</v>
      </c>
      <c r="W75" s="61"/>
      <c r="X75" s="61"/>
      <c r="Y75" s="60" t="s">
        <v>52</v>
      </c>
      <c r="Z75" s="61"/>
      <c r="AA75" s="87" t="s">
        <v>56</v>
      </c>
      <c r="AB75" s="74"/>
      <c r="AC75" s="73"/>
      <c r="AD75" s="60" t="s">
        <v>57</v>
      </c>
      <c r="AE75" s="74"/>
      <c r="AF75" s="60" t="s">
        <v>71</v>
      </c>
      <c r="AG75" s="74"/>
      <c r="AH75" s="73"/>
      <c r="AI75" s="63" t="s">
        <v>6</v>
      </c>
      <c r="AJ75" s="36"/>
    </row>
    <row r="76" spans="13:36" ht="18.95" customHeight="1">
      <c r="M76" s="118"/>
      <c r="N76" s="80" t="s">
        <v>7</v>
      </c>
      <c r="O76" s="44" t="s">
        <v>17</v>
      </c>
      <c r="P76" s="45"/>
      <c r="Q76" s="45"/>
      <c r="R76" s="53"/>
      <c r="S76" s="44" t="s">
        <v>36</v>
      </c>
      <c r="T76" s="38"/>
      <c r="U76" s="39"/>
      <c r="V76" s="44">
        <v>39900</v>
      </c>
      <c r="W76" s="45"/>
      <c r="X76" s="45"/>
      <c r="Y76" s="44" t="s">
        <v>52</v>
      </c>
      <c r="Z76" s="45"/>
      <c r="AA76" s="37" t="s">
        <v>56</v>
      </c>
      <c r="AB76" s="38"/>
      <c r="AC76" s="39"/>
      <c r="AD76" s="44" t="s">
        <v>57</v>
      </c>
      <c r="AE76" s="38"/>
      <c r="AF76" s="44" t="s">
        <v>71</v>
      </c>
      <c r="AG76" s="38"/>
      <c r="AH76" s="39"/>
      <c r="AI76" s="40"/>
      <c r="AJ76" s="36"/>
    </row>
    <row r="77" spans="13:36" ht="18.95" customHeight="1">
      <c r="M77" s="67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9"/>
    </row>
    <row r="78" spans="13:36" ht="18.95" customHeight="1">
      <c r="M78" s="84" t="s">
        <v>90</v>
      </c>
    </row>
    <row r="79" spans="13:36" ht="18.95" customHeight="1">
      <c r="M79" s="70"/>
    </row>
    <row r="81" spans="4:66" s="4" customFormat="1" ht="5.0999999999999996" customHeight="1">
      <c r="D81" s="2"/>
      <c r="E81" s="2"/>
      <c r="F81" s="14"/>
      <c r="G81"/>
      <c r="H81"/>
      <c r="I81"/>
      <c r="J81" s="15"/>
      <c r="S81" s="88"/>
      <c r="T81" s="17"/>
      <c r="U81" s="17"/>
      <c r="V81" s="17"/>
      <c r="W81" s="17"/>
      <c r="X81" s="17"/>
      <c r="Y81" s="17"/>
      <c r="Z81" s="8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/>
      <c r="BE81"/>
      <c r="BF81"/>
      <c r="BG81"/>
      <c r="BH81"/>
      <c r="BI81" s="19"/>
    </row>
    <row r="82" spans="4:66" s="4" customFormat="1" ht="18.95" customHeight="1">
      <c r="D82" s="2"/>
      <c r="E82" s="2"/>
      <c r="F82" s="14"/>
      <c r="G82"/>
      <c r="H82"/>
      <c r="I82"/>
      <c r="J82" s="15"/>
      <c r="K82" s="23" t="s">
        <v>74</v>
      </c>
      <c r="L82" s="24"/>
      <c r="M82" s="24"/>
      <c r="N82" s="24"/>
      <c r="O82" s="24"/>
      <c r="P82" s="24"/>
      <c r="Q82" s="24"/>
      <c r="R82" s="24"/>
      <c r="S82" s="20" t="s">
        <v>148</v>
      </c>
      <c r="T82" s="21"/>
      <c r="U82" s="21"/>
      <c r="V82" s="21"/>
      <c r="W82" s="21"/>
      <c r="X82" s="21"/>
      <c r="Y82" s="21"/>
      <c r="Z82" s="22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S82" s="19"/>
      <c r="AT82" s="19"/>
      <c r="AU82" s="19"/>
      <c r="AV82" s="19"/>
      <c r="AW82" s="19"/>
      <c r="BA82" s="19"/>
      <c r="BB82" s="19"/>
      <c r="BC82" s="19"/>
      <c r="BD82"/>
      <c r="BE82"/>
      <c r="BF82"/>
      <c r="BG82"/>
      <c r="BH82"/>
    </row>
    <row r="83" spans="4:66" s="4" customFormat="1" ht="9.9499999999999993" customHeight="1">
      <c r="D83" s="2"/>
      <c r="E83" s="2"/>
      <c r="F83" s="14"/>
      <c r="G83"/>
      <c r="H83"/>
      <c r="I83"/>
      <c r="J83" s="2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6"/>
      <c r="BE83" s="26"/>
      <c r="BF83" s="26"/>
      <c r="BG83" s="26"/>
      <c r="BH83" s="26"/>
      <c r="BI83" s="27"/>
      <c r="BJ83" s="27"/>
      <c r="BK83" s="27"/>
      <c r="BL83" s="27"/>
      <c r="BM83" s="27"/>
      <c r="BN83" s="28"/>
    </row>
    <row r="84" spans="4:66" ht="18.95" customHeight="1">
      <c r="J84" s="118"/>
      <c r="K84" s="29" t="s">
        <v>4</v>
      </c>
      <c r="L84" s="30"/>
      <c r="M84" s="30"/>
      <c r="N84" s="261" t="s">
        <v>93</v>
      </c>
      <c r="O84" s="262"/>
      <c r="P84" s="262"/>
      <c r="Q84" s="263"/>
      <c r="R84" s="40" t="s">
        <v>94</v>
      </c>
      <c r="S84" s="41" t="s">
        <v>95</v>
      </c>
      <c r="T84" s="261" t="s">
        <v>93</v>
      </c>
      <c r="U84" s="262"/>
      <c r="V84" s="262"/>
      <c r="W84" s="263"/>
      <c r="X84" s="40" t="s">
        <v>94</v>
      </c>
      <c r="Y84" s="15"/>
      <c r="Z84" s="32" t="s">
        <v>45</v>
      </c>
      <c r="AA84" s="77"/>
      <c r="AB84" s="37" t="s">
        <v>46</v>
      </c>
      <c r="AC84" s="38"/>
      <c r="AD84" s="38"/>
      <c r="AE84" s="39"/>
      <c r="AF84" s="40" t="s">
        <v>18</v>
      </c>
      <c r="AG84" s="32" t="s">
        <v>8</v>
      </c>
      <c r="AH84" s="30"/>
      <c r="AI84" s="30"/>
      <c r="AJ84" s="261" t="s">
        <v>9</v>
      </c>
      <c r="AK84" s="262"/>
      <c r="AL84" s="262"/>
      <c r="AM84" s="263"/>
      <c r="AN84" s="40" t="s">
        <v>18</v>
      </c>
      <c r="AP84" s="32" t="s">
        <v>10</v>
      </c>
      <c r="AQ84" s="30"/>
      <c r="AR84" s="30"/>
      <c r="AS84" s="33" t="s">
        <v>11</v>
      </c>
      <c r="AT84" s="34"/>
      <c r="AU84" s="34"/>
      <c r="AV84" s="34"/>
      <c r="AW84" s="35"/>
      <c r="BE84" s="15"/>
      <c r="BF84" s="15"/>
      <c r="BG84" s="15"/>
      <c r="BK84" s="101" t="s">
        <v>88</v>
      </c>
      <c r="BL84" s="102"/>
      <c r="BM84" s="103"/>
      <c r="BN84" s="36"/>
    </row>
    <row r="85" spans="4:66" ht="9.9499999999999993" customHeight="1">
      <c r="J85" s="118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36"/>
    </row>
    <row r="86" spans="4:66" ht="18.95" customHeight="1">
      <c r="J86" s="118"/>
      <c r="K86" s="29" t="s">
        <v>77</v>
      </c>
      <c r="L86" s="30"/>
      <c r="M86" s="30"/>
      <c r="N86" s="270" t="s">
        <v>51</v>
      </c>
      <c r="O86" s="271"/>
      <c r="P86" s="271"/>
      <c r="Q86" s="272"/>
      <c r="R86" s="46" t="s">
        <v>76</v>
      </c>
      <c r="S86" s="32" t="s">
        <v>87</v>
      </c>
      <c r="T86" s="30"/>
      <c r="U86" s="44" t="s">
        <v>52</v>
      </c>
      <c r="V86" s="38"/>
      <c r="W86" s="39"/>
      <c r="X86" s="46" t="s">
        <v>76</v>
      </c>
      <c r="Y86" s="32" t="s">
        <v>78</v>
      </c>
      <c r="Z86" s="30"/>
      <c r="AA86" s="30"/>
      <c r="AB86" s="37" t="s">
        <v>79</v>
      </c>
      <c r="AC86" s="123"/>
      <c r="AD86" s="39"/>
      <c r="AE86" s="32" t="s">
        <v>80</v>
      </c>
      <c r="AF86" s="30"/>
      <c r="AG86" s="44" t="s">
        <v>81</v>
      </c>
      <c r="AH86" s="38"/>
      <c r="AI86" s="39"/>
      <c r="AJ86" s="46" t="s">
        <v>76</v>
      </c>
      <c r="AK86" s="30" t="s">
        <v>70</v>
      </c>
      <c r="AL86" s="30"/>
      <c r="AM86" s="44" t="s">
        <v>71</v>
      </c>
      <c r="AN86" s="38"/>
      <c r="AO86" s="39"/>
      <c r="AP86" s="46" t="s">
        <v>76</v>
      </c>
      <c r="AQ86" s="32" t="s">
        <v>84</v>
      </c>
      <c r="AR86" s="30"/>
      <c r="AS86" s="30"/>
      <c r="AT86" s="261" t="s">
        <v>51</v>
      </c>
      <c r="AU86" s="262"/>
      <c r="AV86" s="262"/>
      <c r="AW86" s="263"/>
      <c r="AZ86" s="15"/>
      <c r="BA86" s="15"/>
      <c r="BB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36"/>
    </row>
    <row r="87" spans="4:66" ht="9.9499999999999993" customHeight="1">
      <c r="J87" s="118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L87" s="15"/>
      <c r="BM87" s="15"/>
      <c r="BN87" s="36"/>
    </row>
    <row r="88" spans="4:66" ht="18.95" customHeight="1">
      <c r="J88" s="118"/>
      <c r="K88" s="29" t="s">
        <v>96</v>
      </c>
      <c r="L88" s="30"/>
      <c r="M88" s="30"/>
      <c r="N88" s="44" t="s">
        <v>23</v>
      </c>
      <c r="O88" s="45"/>
      <c r="P88" s="53"/>
      <c r="Q88" s="40" t="s">
        <v>18</v>
      </c>
      <c r="R88" s="54" t="s">
        <v>24</v>
      </c>
      <c r="S88" s="45"/>
      <c r="T88" s="45"/>
      <c r="U88" s="45"/>
      <c r="V88" s="45"/>
      <c r="W88" s="53"/>
      <c r="X88" s="42" t="s">
        <v>135</v>
      </c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36"/>
    </row>
    <row r="89" spans="4:66" ht="18.95" customHeight="1">
      <c r="J89" s="118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36"/>
    </row>
    <row r="90" spans="4:66" ht="18.95" customHeight="1">
      <c r="J90" s="118"/>
      <c r="K90" s="56" t="s">
        <v>92</v>
      </c>
      <c r="L90" s="57"/>
      <c r="M90" s="57"/>
      <c r="N90" s="58"/>
      <c r="O90" s="56" t="s">
        <v>98</v>
      </c>
      <c r="P90" s="57"/>
      <c r="Q90" s="57"/>
      <c r="R90" s="58"/>
      <c r="S90" s="56" t="s">
        <v>99</v>
      </c>
      <c r="T90" s="57"/>
      <c r="U90" s="57"/>
      <c r="V90" s="58"/>
      <c r="W90" s="56" t="s">
        <v>100</v>
      </c>
      <c r="X90" s="57"/>
      <c r="Y90" s="57"/>
      <c r="Z90" s="58"/>
      <c r="AA90" s="56" t="s">
        <v>107</v>
      </c>
      <c r="AB90" s="57"/>
      <c r="AC90" s="57"/>
      <c r="AD90" s="58"/>
      <c r="AE90" s="56" t="s">
        <v>108</v>
      </c>
      <c r="AF90" s="57"/>
      <c r="AG90" s="57"/>
      <c r="AH90" s="58"/>
      <c r="AI90" s="56" t="s">
        <v>206</v>
      </c>
      <c r="AJ90" s="57"/>
      <c r="AK90" s="57"/>
      <c r="AL90" s="58"/>
      <c r="AM90" s="56" t="s">
        <v>207</v>
      </c>
      <c r="AN90" s="57"/>
      <c r="AO90" s="57"/>
      <c r="AP90" s="58"/>
      <c r="AQ90" s="59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36"/>
    </row>
    <row r="91" spans="4:66" ht="18.95" customHeight="1">
      <c r="J91" s="118"/>
      <c r="K91" s="282" t="s">
        <v>93</v>
      </c>
      <c r="L91" s="283"/>
      <c r="M91" s="283"/>
      <c r="N91" s="284"/>
      <c r="O91" s="96" t="s">
        <v>11</v>
      </c>
      <c r="P91" s="97"/>
      <c r="Q91" s="97"/>
      <c r="R91" s="91"/>
      <c r="S91" s="96" t="s">
        <v>105</v>
      </c>
      <c r="T91" s="97"/>
      <c r="U91" s="97"/>
      <c r="V91" s="91"/>
      <c r="W91" s="96" t="s">
        <v>104</v>
      </c>
      <c r="X91" s="97"/>
      <c r="Y91" s="97"/>
      <c r="Z91" s="91"/>
      <c r="AA91" s="261" t="s">
        <v>5</v>
      </c>
      <c r="AB91" s="262"/>
      <c r="AC91" s="262"/>
      <c r="AD91" s="263"/>
      <c r="AE91" s="261" t="s">
        <v>5</v>
      </c>
      <c r="AF91" s="262"/>
      <c r="AG91" s="262"/>
      <c r="AH91" s="263"/>
      <c r="AI91" s="96">
        <v>10</v>
      </c>
      <c r="AJ91" s="97"/>
      <c r="AK91" s="97"/>
      <c r="AL91" s="91"/>
      <c r="AM91" s="96">
        <v>10</v>
      </c>
      <c r="AN91" s="97"/>
      <c r="AO91" s="97"/>
      <c r="AP91" s="91"/>
      <c r="AQ91" s="63" t="s">
        <v>6</v>
      </c>
      <c r="AR91" s="15"/>
      <c r="AS91" s="42" t="s">
        <v>106</v>
      </c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36"/>
    </row>
    <row r="92" spans="4:66" ht="18.95" customHeight="1">
      <c r="J92" s="118"/>
      <c r="K92" s="261" t="s">
        <v>93</v>
      </c>
      <c r="L92" s="262"/>
      <c r="M92" s="262"/>
      <c r="N92" s="263"/>
      <c r="O92" s="44" t="s">
        <v>101</v>
      </c>
      <c r="P92" s="45"/>
      <c r="Q92" s="45"/>
      <c r="R92" s="53"/>
      <c r="S92" s="44" t="s">
        <v>105</v>
      </c>
      <c r="T92" s="45"/>
      <c r="U92" s="45"/>
      <c r="V92" s="53"/>
      <c r="W92" s="44" t="s">
        <v>104</v>
      </c>
      <c r="X92" s="45"/>
      <c r="Y92" s="45"/>
      <c r="Z92" s="53"/>
      <c r="AA92" s="261" t="s">
        <v>5</v>
      </c>
      <c r="AB92" s="262"/>
      <c r="AC92" s="262"/>
      <c r="AD92" s="263"/>
      <c r="AE92" s="261" t="s">
        <v>5</v>
      </c>
      <c r="AF92" s="262"/>
      <c r="AG92" s="262"/>
      <c r="AH92" s="263"/>
      <c r="AI92" s="44">
        <v>30</v>
      </c>
      <c r="AJ92" s="45"/>
      <c r="AK92" s="45"/>
      <c r="AL92" s="53"/>
      <c r="AM92" s="44">
        <v>15</v>
      </c>
      <c r="AN92" s="45"/>
      <c r="AO92" s="45"/>
      <c r="AP92" s="53"/>
      <c r="AQ92" s="64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36"/>
    </row>
    <row r="93" spans="4:66" ht="18.95" customHeight="1">
      <c r="J93" s="118"/>
      <c r="K93" s="261" t="s">
        <v>93</v>
      </c>
      <c r="L93" s="262"/>
      <c r="M93" s="262"/>
      <c r="N93" s="263"/>
      <c r="O93" s="44" t="s">
        <v>102</v>
      </c>
      <c r="P93" s="45"/>
      <c r="Q93" s="45"/>
      <c r="R93" s="53"/>
      <c r="S93" s="44" t="s">
        <v>105</v>
      </c>
      <c r="T93" s="45"/>
      <c r="U93" s="45"/>
      <c r="V93" s="53"/>
      <c r="W93" s="44" t="s">
        <v>104</v>
      </c>
      <c r="X93" s="45"/>
      <c r="Y93" s="45"/>
      <c r="Z93" s="53"/>
      <c r="AA93" s="261" t="s">
        <v>5</v>
      </c>
      <c r="AB93" s="262"/>
      <c r="AC93" s="262"/>
      <c r="AD93" s="263"/>
      <c r="AE93" s="261" t="s">
        <v>5</v>
      </c>
      <c r="AF93" s="262"/>
      <c r="AG93" s="262"/>
      <c r="AH93" s="263"/>
      <c r="AI93" s="44">
        <v>100</v>
      </c>
      <c r="AJ93" s="45"/>
      <c r="AK93" s="45"/>
      <c r="AL93" s="53"/>
      <c r="AM93" s="44">
        <v>5</v>
      </c>
      <c r="AN93" s="45"/>
      <c r="AO93" s="45"/>
      <c r="AP93" s="53"/>
      <c r="AQ93" s="64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36"/>
    </row>
    <row r="94" spans="4:66" ht="18.95" customHeight="1">
      <c r="J94" s="118"/>
      <c r="K94" s="261" t="s">
        <v>93</v>
      </c>
      <c r="L94" s="262"/>
      <c r="M94" s="262"/>
      <c r="N94" s="263"/>
      <c r="O94" s="44" t="s">
        <v>103</v>
      </c>
      <c r="P94" s="45"/>
      <c r="Q94" s="45"/>
      <c r="R94" s="53"/>
      <c r="S94" s="44" t="s">
        <v>105</v>
      </c>
      <c r="T94" s="45"/>
      <c r="U94" s="45"/>
      <c r="V94" s="53"/>
      <c r="W94" s="44" t="s">
        <v>104</v>
      </c>
      <c r="X94" s="45"/>
      <c r="Y94" s="45"/>
      <c r="Z94" s="53"/>
      <c r="AA94" s="261" t="s">
        <v>5</v>
      </c>
      <c r="AB94" s="262"/>
      <c r="AC94" s="262"/>
      <c r="AD94" s="263"/>
      <c r="AE94" s="261" t="s">
        <v>5</v>
      </c>
      <c r="AF94" s="262"/>
      <c r="AG94" s="262"/>
      <c r="AH94" s="263"/>
      <c r="AI94" s="44">
        <v>1</v>
      </c>
      <c r="AJ94" s="45"/>
      <c r="AK94" s="45"/>
      <c r="AL94" s="53"/>
      <c r="AM94" s="44">
        <v>5</v>
      </c>
      <c r="AN94" s="45"/>
      <c r="AO94" s="45"/>
      <c r="AP94" s="53"/>
      <c r="AQ94" s="40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36"/>
    </row>
    <row r="95" spans="4:66" ht="18.95" customHeight="1" thickBot="1">
      <c r="J95" s="118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  <c r="AA95" s="124"/>
      <c r="AB95" s="124"/>
      <c r="AC95" s="124"/>
      <c r="AD95" s="124"/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  <c r="BA95" s="124"/>
      <c r="BB95" s="124"/>
      <c r="BC95" s="124"/>
      <c r="BD95" s="124"/>
      <c r="BE95" s="124"/>
      <c r="BF95" s="124"/>
      <c r="BG95" s="124"/>
      <c r="BH95" s="124"/>
      <c r="BI95" s="124"/>
      <c r="BJ95" s="124"/>
      <c r="BK95" s="124"/>
      <c r="BL95" s="124"/>
      <c r="BM95" s="124"/>
      <c r="BN95" s="36"/>
    </row>
    <row r="96" spans="4:66" ht="18.95" customHeight="1">
      <c r="J96" s="118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36"/>
    </row>
    <row r="97" spans="4:66" ht="18.95" customHeight="1">
      <c r="J97" s="118"/>
      <c r="K97" s="15"/>
      <c r="L97" s="15"/>
      <c r="M97" s="15"/>
      <c r="N97" s="15"/>
      <c r="O97" s="15"/>
      <c r="P97" s="15"/>
      <c r="Q97" s="15"/>
      <c r="R97" s="15"/>
      <c r="S97" s="152" t="s">
        <v>97</v>
      </c>
      <c r="T97" s="153"/>
      <c r="U97" s="154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2" t="s">
        <v>97</v>
      </c>
      <c r="BL97" s="153"/>
      <c r="BM97" s="154"/>
      <c r="BN97" s="36"/>
    </row>
    <row r="98" spans="4:66" ht="5.0999999999999996" customHeight="1">
      <c r="J98" s="118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36"/>
    </row>
    <row r="99" spans="4:66" ht="18.95" customHeight="1">
      <c r="J99" s="118"/>
      <c r="K99" s="56" t="s">
        <v>33</v>
      </c>
      <c r="L99" s="57"/>
      <c r="M99" s="58"/>
      <c r="N99" s="56" t="s">
        <v>49</v>
      </c>
      <c r="O99" s="57"/>
      <c r="P99" s="57"/>
      <c r="Q99" s="57"/>
      <c r="R99" s="57"/>
      <c r="S99" s="57"/>
      <c r="T99" s="58"/>
      <c r="U99" s="59"/>
      <c r="V99" s="15"/>
      <c r="W99" s="56" t="s">
        <v>67</v>
      </c>
      <c r="X99" s="57"/>
      <c r="Y99" s="57"/>
      <c r="Z99" s="58"/>
      <c r="AA99" s="56"/>
      <c r="AB99" s="57"/>
      <c r="AC99" s="58"/>
      <c r="AD99" s="57"/>
      <c r="AE99" s="57"/>
      <c r="AF99" s="57"/>
      <c r="AG99" s="57"/>
      <c r="AH99" s="57"/>
      <c r="AI99" s="57"/>
      <c r="AJ99" s="57"/>
      <c r="AK99" s="56"/>
      <c r="AL99" s="57"/>
      <c r="AM99" s="57"/>
      <c r="AN99" s="58"/>
      <c r="AO99" s="56"/>
      <c r="AP99" s="57"/>
      <c r="AQ99" s="58"/>
      <c r="AR99" s="58"/>
      <c r="AS99" s="57"/>
      <c r="AT99" s="57"/>
      <c r="AU99" s="106" t="s">
        <v>139</v>
      </c>
      <c r="AV99" s="57"/>
      <c r="AW99" s="58"/>
      <c r="AX99" s="56"/>
      <c r="AY99" s="57"/>
      <c r="AZ99" s="58"/>
      <c r="BA99" s="57" t="s">
        <v>59</v>
      </c>
      <c r="BB99" s="57"/>
      <c r="BC99" s="58"/>
      <c r="BD99" s="56"/>
      <c r="BE99" s="57"/>
      <c r="BF99" s="57"/>
      <c r="BG99" s="57"/>
      <c r="BH99" s="57"/>
      <c r="BI99" s="58"/>
      <c r="BJ99" s="56"/>
      <c r="BK99" s="57"/>
      <c r="BL99" s="58"/>
      <c r="BM99" s="59"/>
      <c r="BN99" s="36"/>
    </row>
    <row r="100" spans="4:66" ht="18.95" customHeight="1">
      <c r="J100" s="118"/>
      <c r="K100" s="44" t="s">
        <v>23</v>
      </c>
      <c r="L100" s="45"/>
      <c r="M100" s="53"/>
      <c r="N100" s="54" t="s">
        <v>24</v>
      </c>
      <c r="O100" s="45"/>
      <c r="P100" s="45"/>
      <c r="Q100" s="45"/>
      <c r="R100" s="45"/>
      <c r="S100" s="45"/>
      <c r="T100" s="53"/>
      <c r="U100" s="63" t="s">
        <v>6</v>
      </c>
      <c r="V100" s="15"/>
      <c r="W100" s="56" t="s">
        <v>69</v>
      </c>
      <c r="X100" s="57"/>
      <c r="Y100" s="57"/>
      <c r="Z100" s="58"/>
      <c r="AA100" s="56" t="s">
        <v>68</v>
      </c>
      <c r="AB100" s="57"/>
      <c r="AC100" s="56" t="s">
        <v>54</v>
      </c>
      <c r="AD100" s="57"/>
      <c r="AE100" s="58"/>
      <c r="AF100" s="57" t="s">
        <v>55</v>
      </c>
      <c r="AG100" s="57"/>
      <c r="AH100" s="56" t="s">
        <v>70</v>
      </c>
      <c r="AI100" s="57"/>
      <c r="AJ100" s="58"/>
      <c r="AK100" s="56" t="s">
        <v>28</v>
      </c>
      <c r="AL100" s="57"/>
      <c r="AM100" s="57"/>
      <c r="AN100" s="58"/>
      <c r="AO100" s="56" t="s">
        <v>29</v>
      </c>
      <c r="AP100" s="57"/>
      <c r="AQ100" s="58"/>
      <c r="AR100" s="56" t="s">
        <v>58</v>
      </c>
      <c r="AS100" s="57"/>
      <c r="AT100" s="57"/>
      <c r="AU100" s="56" t="s">
        <v>138</v>
      </c>
      <c r="AV100" s="57"/>
      <c r="AW100" s="58"/>
      <c r="AX100" s="56" t="s">
        <v>32</v>
      </c>
      <c r="AY100" s="57"/>
      <c r="AZ100" s="58"/>
      <c r="BA100" s="56" t="s">
        <v>31</v>
      </c>
      <c r="BB100" s="57"/>
      <c r="BC100" s="58"/>
      <c r="BD100" s="56" t="s">
        <v>32</v>
      </c>
      <c r="BE100" s="57"/>
      <c r="BF100" s="58"/>
      <c r="BG100" s="56" t="s">
        <v>63</v>
      </c>
      <c r="BH100" s="57"/>
      <c r="BI100" s="58"/>
      <c r="BJ100" s="56" t="s">
        <v>64</v>
      </c>
      <c r="BK100" s="57"/>
      <c r="BL100" s="58"/>
      <c r="BM100" s="63" t="s">
        <v>6</v>
      </c>
      <c r="BN100" s="36"/>
    </row>
    <row r="101" spans="4:66" ht="18.95" customHeight="1">
      <c r="J101" s="118"/>
      <c r="K101" s="44" t="s">
        <v>34</v>
      </c>
      <c r="L101" s="45"/>
      <c r="M101" s="53"/>
      <c r="N101" s="54" t="s">
        <v>24</v>
      </c>
      <c r="O101" s="45"/>
      <c r="P101" s="45"/>
      <c r="Q101" s="45"/>
      <c r="R101" s="45"/>
      <c r="S101" s="45"/>
      <c r="T101" s="53"/>
      <c r="U101" s="64"/>
      <c r="V101" s="15"/>
      <c r="W101" s="60" t="s">
        <v>51</v>
      </c>
      <c r="X101" s="61"/>
      <c r="Y101" s="61"/>
      <c r="Z101" s="62"/>
      <c r="AA101" s="60" t="s">
        <v>52</v>
      </c>
      <c r="AB101" s="61"/>
      <c r="AC101" s="87" t="s">
        <v>56</v>
      </c>
      <c r="AD101" s="74"/>
      <c r="AE101" s="73"/>
      <c r="AF101" s="60" t="s">
        <v>57</v>
      </c>
      <c r="AG101" s="74"/>
      <c r="AH101" s="60" t="s">
        <v>71</v>
      </c>
      <c r="AI101" s="74"/>
      <c r="AJ101" s="73"/>
      <c r="AK101" s="60" t="s">
        <v>17</v>
      </c>
      <c r="AL101" s="61"/>
      <c r="AM101" s="61"/>
      <c r="AN101" s="62"/>
      <c r="AO101" s="60" t="s">
        <v>53</v>
      </c>
      <c r="AP101" s="74"/>
      <c r="AQ101" s="73"/>
      <c r="AR101" s="60">
        <v>39900</v>
      </c>
      <c r="AS101" s="61"/>
      <c r="AT101" s="61"/>
      <c r="AU101" s="60">
        <v>29900</v>
      </c>
      <c r="AV101" s="61"/>
      <c r="AW101" s="62"/>
      <c r="AX101" s="104">
        <f>1-AU101/AR101</f>
        <v>0.25062656641604009</v>
      </c>
      <c r="AY101" s="61"/>
      <c r="AZ101" s="62"/>
      <c r="BA101" s="60">
        <f>AR101*BD101</f>
        <v>19950</v>
      </c>
      <c r="BB101" s="61"/>
      <c r="BC101" s="62"/>
      <c r="BD101" s="104">
        <v>0.5</v>
      </c>
      <c r="BE101" s="61"/>
      <c r="BF101" s="62"/>
      <c r="BG101" s="273">
        <f>BA101-AU101</f>
        <v>-9950</v>
      </c>
      <c r="BH101" s="274"/>
      <c r="BI101" s="275"/>
      <c r="BJ101" s="116">
        <f>BD101-AX101</f>
        <v>0.24937343358395991</v>
      </c>
      <c r="BK101" s="61"/>
      <c r="BL101" s="62"/>
      <c r="BM101" s="64"/>
      <c r="BN101" s="36"/>
    </row>
    <row r="102" spans="4:66" ht="18.95" customHeight="1">
      <c r="J102" s="118"/>
      <c r="K102" s="44" t="s">
        <v>35</v>
      </c>
      <c r="L102" s="45"/>
      <c r="M102" s="53"/>
      <c r="N102" s="44" t="s">
        <v>35</v>
      </c>
      <c r="O102" s="45"/>
      <c r="P102" s="45"/>
      <c r="Q102" s="45"/>
      <c r="R102" s="45"/>
      <c r="S102" s="45"/>
      <c r="T102" s="53"/>
      <c r="U102" s="64"/>
      <c r="V102" s="15"/>
      <c r="W102" s="60" t="s">
        <v>51</v>
      </c>
      <c r="X102" s="45"/>
      <c r="Y102" s="45"/>
      <c r="Z102" s="53"/>
      <c r="AA102" s="60" t="s">
        <v>52</v>
      </c>
      <c r="AB102" s="45"/>
      <c r="AC102" s="87" t="s">
        <v>56</v>
      </c>
      <c r="AD102" s="74"/>
      <c r="AE102" s="73"/>
      <c r="AF102" s="60" t="s">
        <v>57</v>
      </c>
      <c r="AG102" s="38"/>
      <c r="AH102" s="60" t="s">
        <v>71</v>
      </c>
      <c r="AI102" s="74"/>
      <c r="AJ102" s="73"/>
      <c r="AK102" s="44" t="s">
        <v>17</v>
      </c>
      <c r="AL102" s="45"/>
      <c r="AM102" s="45"/>
      <c r="AN102" s="53"/>
      <c r="AO102" s="44" t="s">
        <v>36</v>
      </c>
      <c r="AP102" s="38"/>
      <c r="AQ102" s="39"/>
      <c r="AR102" s="44">
        <v>39900</v>
      </c>
      <c r="AS102" s="45"/>
      <c r="AT102" s="45"/>
      <c r="AU102" s="60">
        <v>29900</v>
      </c>
      <c r="AV102" s="45"/>
      <c r="AW102" s="53"/>
      <c r="AX102" s="105">
        <f>1-AU102/AR102</f>
        <v>0.25062656641604009</v>
      </c>
      <c r="AY102" s="45"/>
      <c r="AZ102" s="53"/>
      <c r="BA102" s="60">
        <f>AR102*BD102</f>
        <v>19950</v>
      </c>
      <c r="BB102" s="61"/>
      <c r="BC102" s="62"/>
      <c r="BD102" s="104">
        <v>0.5</v>
      </c>
      <c r="BE102" s="61"/>
      <c r="BF102" s="62"/>
      <c r="BG102" s="273">
        <f>BA102-AU102</f>
        <v>-9950</v>
      </c>
      <c r="BH102" s="274"/>
      <c r="BI102" s="275"/>
      <c r="BJ102" s="116">
        <f>BD102-AX102</f>
        <v>0.24937343358395991</v>
      </c>
      <c r="BK102" s="61"/>
      <c r="BL102" s="62"/>
      <c r="BM102" s="64"/>
      <c r="BN102" s="36"/>
    </row>
    <row r="103" spans="4:66" ht="18.95" customHeight="1">
      <c r="J103" s="118"/>
      <c r="K103" s="44" t="s">
        <v>34</v>
      </c>
      <c r="L103" s="45"/>
      <c r="M103" s="53"/>
      <c r="N103" s="54" t="s">
        <v>24</v>
      </c>
      <c r="O103" s="45"/>
      <c r="P103" s="45"/>
      <c r="Q103" s="45"/>
      <c r="R103" s="45"/>
      <c r="S103" s="45"/>
      <c r="T103" s="53"/>
      <c r="U103" s="65"/>
      <c r="V103" s="15"/>
      <c r="W103" s="60" t="s">
        <v>51</v>
      </c>
      <c r="X103" s="61"/>
      <c r="Y103" s="61"/>
      <c r="Z103" s="62"/>
      <c r="AA103" s="60" t="s">
        <v>52</v>
      </c>
      <c r="AB103" s="61"/>
      <c r="AC103" s="87" t="s">
        <v>56</v>
      </c>
      <c r="AD103" s="74"/>
      <c r="AE103" s="73"/>
      <c r="AF103" s="60" t="s">
        <v>57</v>
      </c>
      <c r="AG103" s="74"/>
      <c r="AH103" s="60" t="s">
        <v>71</v>
      </c>
      <c r="AI103" s="74"/>
      <c r="AJ103" s="73"/>
      <c r="AK103" s="60" t="s">
        <v>60</v>
      </c>
      <c r="AL103" s="61"/>
      <c r="AM103" s="61"/>
      <c r="AN103" s="62"/>
      <c r="AO103" s="110" t="s">
        <v>62</v>
      </c>
      <c r="AP103" s="111"/>
      <c r="AQ103" s="112"/>
      <c r="AR103" s="60">
        <v>39900</v>
      </c>
      <c r="AS103" s="61"/>
      <c r="AT103" s="61"/>
      <c r="AU103" s="60">
        <v>29900</v>
      </c>
      <c r="AV103" s="61"/>
      <c r="AW103" s="62"/>
      <c r="AX103" s="104">
        <f>1-AU103/AR103</f>
        <v>0.25062656641604009</v>
      </c>
      <c r="AY103" s="61"/>
      <c r="AZ103" s="62"/>
      <c r="BA103" s="60">
        <v>19900</v>
      </c>
      <c r="BB103" s="61"/>
      <c r="BC103" s="62"/>
      <c r="BD103" s="104">
        <f>1-BA103/AR103</f>
        <v>0.50125313283208017</v>
      </c>
      <c r="BE103" s="61"/>
      <c r="BF103" s="62"/>
      <c r="BG103" s="273">
        <f>BA103-AU103</f>
        <v>-10000</v>
      </c>
      <c r="BH103" s="274"/>
      <c r="BI103" s="275"/>
      <c r="BJ103" s="116">
        <f>BD103-AX103</f>
        <v>0.25062656641604009</v>
      </c>
      <c r="BK103" s="61"/>
      <c r="BL103" s="62"/>
      <c r="BM103" s="64"/>
      <c r="BN103" s="36"/>
    </row>
    <row r="104" spans="4:66" ht="18.95" customHeight="1">
      <c r="J104" s="118"/>
      <c r="K104" s="44" t="s">
        <v>34</v>
      </c>
      <c r="L104" s="45"/>
      <c r="M104" s="53"/>
      <c r="N104" s="54" t="s">
        <v>24</v>
      </c>
      <c r="O104" s="45"/>
      <c r="P104" s="45"/>
      <c r="Q104" s="45"/>
      <c r="R104" s="45"/>
      <c r="S104" s="45"/>
      <c r="T104" s="53"/>
      <c r="U104" s="65"/>
      <c r="V104" s="15"/>
      <c r="W104" s="44" t="s">
        <v>51</v>
      </c>
      <c r="X104" s="45"/>
      <c r="Y104" s="45"/>
      <c r="Z104" s="53"/>
      <c r="AA104" s="44" t="s">
        <v>52</v>
      </c>
      <c r="AB104" s="45"/>
      <c r="AC104" s="37" t="s">
        <v>56</v>
      </c>
      <c r="AD104" s="38"/>
      <c r="AE104" s="39"/>
      <c r="AF104" s="44" t="s">
        <v>57</v>
      </c>
      <c r="AG104" s="38"/>
      <c r="AH104" s="44" t="s">
        <v>71</v>
      </c>
      <c r="AI104" s="38"/>
      <c r="AJ104" s="39"/>
      <c r="AK104" s="44" t="s">
        <v>61</v>
      </c>
      <c r="AL104" s="45"/>
      <c r="AM104" s="45"/>
      <c r="AN104" s="53"/>
      <c r="AO104" s="113" t="s">
        <v>62</v>
      </c>
      <c r="AP104" s="114"/>
      <c r="AQ104" s="115"/>
      <c r="AR104" s="44">
        <v>39900</v>
      </c>
      <c r="AS104" s="45"/>
      <c r="AT104" s="45"/>
      <c r="AU104" s="44">
        <v>29900</v>
      </c>
      <c r="AV104" s="45"/>
      <c r="AW104" s="53"/>
      <c r="AX104" s="105">
        <f>1-AU104/AR104</f>
        <v>0.25062656641604009</v>
      </c>
      <c r="AY104" s="45"/>
      <c r="AZ104" s="53"/>
      <c r="BA104" s="44">
        <v>19900</v>
      </c>
      <c r="BB104" s="45"/>
      <c r="BC104" s="53"/>
      <c r="BD104" s="105">
        <f>1-BA104/AR104</f>
        <v>0.50125313283208017</v>
      </c>
      <c r="BE104" s="45"/>
      <c r="BF104" s="53"/>
      <c r="BG104" s="273">
        <f>BA104-AU104</f>
        <v>-10000</v>
      </c>
      <c r="BH104" s="274"/>
      <c r="BI104" s="275"/>
      <c r="BJ104" s="117">
        <f>BD104-AX104</f>
        <v>0.25062656641604009</v>
      </c>
      <c r="BK104" s="45"/>
      <c r="BL104" s="53"/>
      <c r="BM104" s="40"/>
      <c r="BN104" s="36"/>
    </row>
    <row r="105" spans="4:66" ht="18.95" customHeight="1">
      <c r="J105" s="67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8"/>
      <c r="AL105" s="68"/>
      <c r="AM105" s="68"/>
      <c r="AN105" s="68"/>
      <c r="AO105" s="68"/>
      <c r="AP105" s="68"/>
      <c r="AQ105" s="68"/>
      <c r="AR105" s="68"/>
      <c r="AS105" s="68"/>
      <c r="AT105" s="68"/>
      <c r="AU105" s="68"/>
      <c r="AV105" s="68"/>
      <c r="AW105" s="68"/>
      <c r="AX105" s="68"/>
      <c r="AY105" s="68"/>
      <c r="AZ105" s="68"/>
      <c r="BA105" s="68"/>
      <c r="BB105" s="68"/>
      <c r="BC105" s="68"/>
      <c r="BD105" s="68"/>
      <c r="BE105" s="68"/>
      <c r="BF105" s="68"/>
      <c r="BG105" s="68"/>
      <c r="BH105" s="68"/>
      <c r="BI105" s="68"/>
      <c r="BJ105" s="68"/>
      <c r="BK105" s="68"/>
      <c r="BL105" s="68"/>
      <c r="BM105" s="68"/>
      <c r="BN105" s="69"/>
    </row>
    <row r="107" spans="4:66" ht="18.95" customHeight="1">
      <c r="AN107" s="15"/>
      <c r="AO107" s="15"/>
      <c r="AP107" s="15"/>
    </row>
    <row r="108" spans="4:66" ht="18.95" customHeight="1">
      <c r="H108" s="12" t="s">
        <v>143</v>
      </c>
      <c r="I108" s="13"/>
      <c r="J108" s="5" t="s">
        <v>115</v>
      </c>
    </row>
    <row r="110" spans="4:66" s="4" customFormat="1" ht="5.0999999999999996" customHeight="1">
      <c r="D110" s="2"/>
      <c r="E110" s="2"/>
      <c r="F110" s="14"/>
      <c r="G110"/>
      <c r="H110"/>
      <c r="I110"/>
      <c r="J110" s="15"/>
      <c r="K110" s="98"/>
      <c r="L110" s="17"/>
      <c r="M110" s="17"/>
      <c r="N110" s="17"/>
      <c r="O110" s="17"/>
      <c r="P110" s="17"/>
      <c r="Q110" s="17"/>
      <c r="R110" s="17"/>
      <c r="S110" s="9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/>
      <c r="BE110"/>
      <c r="BF110"/>
      <c r="BG110"/>
      <c r="BH110"/>
      <c r="BI110" s="19"/>
    </row>
    <row r="111" spans="4:66" s="4" customFormat="1" ht="18.95" customHeight="1">
      <c r="D111" s="2"/>
      <c r="E111" s="2"/>
      <c r="F111" s="14"/>
      <c r="G111"/>
      <c r="H111"/>
      <c r="I111"/>
      <c r="J111" s="15"/>
      <c r="K111" s="131" t="s">
        <v>116</v>
      </c>
      <c r="L111" s="21"/>
      <c r="M111" s="21"/>
      <c r="N111" s="21"/>
      <c r="O111" s="21"/>
      <c r="P111" s="21"/>
      <c r="Q111" s="21"/>
      <c r="R111" s="21"/>
      <c r="S111" s="22"/>
      <c r="T111" s="19"/>
      <c r="U111" s="19"/>
      <c r="V111" s="19"/>
      <c r="W111" s="19"/>
      <c r="X111" s="19"/>
      <c r="Y111" s="19"/>
      <c r="AK111" s="19"/>
      <c r="AL111" s="19"/>
      <c r="AM111" s="19"/>
      <c r="AN111" s="19"/>
      <c r="AO111" s="19"/>
      <c r="AS111" s="19"/>
      <c r="AT111" s="19"/>
      <c r="AU111" s="19"/>
      <c r="AV111" s="19"/>
    </row>
    <row r="112" spans="4:66" s="4" customFormat="1" ht="9.9499999999999993" customHeight="1">
      <c r="D112" s="2"/>
      <c r="E112" s="2"/>
      <c r="F112" s="14"/>
      <c r="G112"/>
      <c r="H112"/>
      <c r="I112"/>
      <c r="J112" s="25"/>
      <c r="K112" s="15"/>
      <c r="L112" s="15"/>
      <c r="M112" s="19"/>
      <c r="N112" s="19"/>
      <c r="O112" s="19"/>
      <c r="P112" s="19"/>
      <c r="Q112" s="19"/>
      <c r="R112" s="19"/>
      <c r="S112" s="19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8"/>
    </row>
    <row r="113" spans="10:49" ht="18.95" customHeight="1">
      <c r="J113" s="118"/>
      <c r="K113" s="29" t="s">
        <v>110</v>
      </c>
      <c r="L113" s="30"/>
      <c r="M113" s="30"/>
      <c r="N113" s="261" t="s">
        <v>93</v>
      </c>
      <c r="O113" s="262"/>
      <c r="P113" s="262"/>
      <c r="Q113" s="263"/>
      <c r="R113" s="40" t="s">
        <v>94</v>
      </c>
      <c r="S113" s="41" t="s">
        <v>95</v>
      </c>
      <c r="T113" s="261" t="s">
        <v>93</v>
      </c>
      <c r="U113" s="262"/>
      <c r="V113" s="262"/>
      <c r="W113" s="263"/>
      <c r="X113" s="40" t="s">
        <v>94</v>
      </c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01" t="s">
        <v>88</v>
      </c>
      <c r="AR113" s="102"/>
      <c r="AS113" s="103"/>
      <c r="AT113" s="101" t="s">
        <v>97</v>
      </c>
      <c r="AU113" s="102"/>
      <c r="AV113" s="103"/>
      <c r="AW113" s="36"/>
    </row>
    <row r="114" spans="10:49" ht="9.9499999999999993" customHeight="1">
      <c r="J114" s="118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36"/>
    </row>
    <row r="115" spans="10:49" ht="18.95" customHeight="1">
      <c r="J115" s="118"/>
      <c r="K115" s="29" t="s">
        <v>77</v>
      </c>
      <c r="L115" s="30"/>
      <c r="M115" s="30"/>
      <c r="N115" s="270" t="s">
        <v>51</v>
      </c>
      <c r="O115" s="271"/>
      <c r="P115" s="271"/>
      <c r="Q115" s="272"/>
      <c r="R115" s="46" t="s">
        <v>76</v>
      </c>
      <c r="S115" s="32" t="s">
        <v>87</v>
      </c>
      <c r="T115" s="30"/>
      <c r="U115" s="44" t="s">
        <v>52</v>
      </c>
      <c r="V115" s="38"/>
      <c r="W115" s="39"/>
      <c r="X115" s="46" t="s">
        <v>76</v>
      </c>
      <c r="Y115" s="32" t="s">
        <v>78</v>
      </c>
      <c r="Z115" s="30"/>
      <c r="AA115" s="30"/>
      <c r="AB115" s="37" t="s">
        <v>79</v>
      </c>
      <c r="AC115" s="123"/>
      <c r="AD115" s="39"/>
      <c r="AE115" s="32" t="s">
        <v>80</v>
      </c>
      <c r="AF115" s="30"/>
      <c r="AG115" s="44" t="s">
        <v>81</v>
      </c>
      <c r="AH115" s="38"/>
      <c r="AI115" s="39"/>
      <c r="AJ115" s="46" t="s">
        <v>76</v>
      </c>
      <c r="AK115" s="30" t="s">
        <v>70</v>
      </c>
      <c r="AL115" s="30"/>
      <c r="AM115" s="44" t="s">
        <v>71</v>
      </c>
      <c r="AN115" s="38"/>
      <c r="AO115" s="39"/>
      <c r="AP115" s="46" t="s">
        <v>76</v>
      </c>
      <c r="AQ115" s="15"/>
      <c r="AR115" s="15"/>
      <c r="AS115" s="15"/>
      <c r="AT115" s="15"/>
      <c r="AU115" s="15"/>
      <c r="AV115" s="15"/>
      <c r="AW115" s="36"/>
    </row>
    <row r="116" spans="10:49" ht="9.9499999999999993" customHeight="1">
      <c r="J116" s="118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36"/>
    </row>
    <row r="117" spans="10:49" ht="20.100000000000001" customHeight="1">
      <c r="J117" s="118"/>
      <c r="K117" s="29" t="s">
        <v>84</v>
      </c>
      <c r="L117" s="30"/>
      <c r="M117" s="30"/>
      <c r="N117" s="261" t="s">
        <v>51</v>
      </c>
      <c r="O117" s="262"/>
      <c r="P117" s="262"/>
      <c r="Q117" s="263"/>
      <c r="R117" s="40" t="s">
        <v>112</v>
      </c>
      <c r="S117" s="32" t="s">
        <v>83</v>
      </c>
      <c r="T117" s="30"/>
      <c r="U117" s="71" t="s">
        <v>62</v>
      </c>
      <c r="V117" s="38"/>
      <c r="W117" s="39"/>
      <c r="X117" s="46" t="s">
        <v>76</v>
      </c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36"/>
    </row>
    <row r="118" spans="10:49" ht="9.9499999999999993" customHeight="1">
      <c r="J118" s="118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36"/>
    </row>
    <row r="119" spans="10:49" ht="20.100000000000001" customHeight="1">
      <c r="J119" s="118"/>
      <c r="K119" s="29" t="s">
        <v>111</v>
      </c>
      <c r="L119" s="30"/>
      <c r="M119" s="30"/>
      <c r="N119" s="44" t="s">
        <v>23</v>
      </c>
      <c r="O119" s="45"/>
      <c r="P119" s="53"/>
      <c r="Q119" s="40" t="s">
        <v>18</v>
      </c>
      <c r="R119" s="54" t="s">
        <v>24</v>
      </c>
      <c r="S119" s="45"/>
      <c r="T119" s="45"/>
      <c r="U119" s="45"/>
      <c r="V119" s="45"/>
      <c r="W119" s="53"/>
      <c r="X119" s="15"/>
      <c r="Y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36"/>
    </row>
    <row r="120" spans="10:49" ht="9.9499999999999993" customHeight="1">
      <c r="J120" s="118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36"/>
    </row>
    <row r="121" spans="10:49" ht="18.95" customHeight="1">
      <c r="J121" s="118"/>
      <c r="K121" s="51" t="s">
        <v>21</v>
      </c>
      <c r="L121" s="43" t="s">
        <v>117</v>
      </c>
      <c r="M121" s="19"/>
      <c r="N121" s="19"/>
      <c r="O121" s="15"/>
      <c r="P121" s="15"/>
      <c r="Q121" s="51" t="s">
        <v>22</v>
      </c>
      <c r="R121" s="43" t="s">
        <v>120</v>
      </c>
      <c r="S121" s="43"/>
      <c r="T121" s="52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36"/>
    </row>
    <row r="122" spans="10:49" ht="18.95" customHeight="1">
      <c r="J122" s="118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36"/>
    </row>
    <row r="123" spans="10:49" ht="18.95" customHeight="1">
      <c r="J123" s="118"/>
      <c r="K123" s="132" t="s">
        <v>119</v>
      </c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36"/>
    </row>
    <row r="124" spans="10:49" ht="9.9499999999999993" customHeight="1">
      <c r="J124" s="118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36"/>
    </row>
    <row r="125" spans="10:49" ht="18.95" customHeight="1">
      <c r="J125" s="118"/>
      <c r="K125" s="56" t="s">
        <v>33</v>
      </c>
      <c r="L125" s="57"/>
      <c r="M125" s="58"/>
      <c r="N125" s="56" t="s">
        <v>113</v>
      </c>
      <c r="O125" s="57"/>
      <c r="P125" s="57"/>
      <c r="Q125" s="57"/>
      <c r="R125" s="58"/>
      <c r="S125" s="56" t="s">
        <v>114</v>
      </c>
      <c r="T125" s="57"/>
      <c r="U125" s="57"/>
      <c r="V125" s="58"/>
      <c r="W125" s="56" t="s">
        <v>68</v>
      </c>
      <c r="X125" s="57"/>
      <c r="Y125" s="56" t="s">
        <v>54</v>
      </c>
      <c r="Z125" s="57"/>
      <c r="AA125" s="58"/>
      <c r="AB125" s="57" t="s">
        <v>55</v>
      </c>
      <c r="AC125" s="57"/>
      <c r="AD125" s="56" t="s">
        <v>70</v>
      </c>
      <c r="AE125" s="57"/>
      <c r="AF125" s="58"/>
      <c r="AG125" s="56" t="s">
        <v>28</v>
      </c>
      <c r="AH125" s="57"/>
      <c r="AI125" s="57"/>
      <c r="AJ125" s="58"/>
      <c r="AK125" s="56" t="s">
        <v>29</v>
      </c>
      <c r="AL125" s="57"/>
      <c r="AM125" s="58"/>
      <c r="AN125" s="126" t="s">
        <v>58</v>
      </c>
      <c r="AO125" s="127"/>
      <c r="AP125" s="127"/>
      <c r="AQ125" s="126" t="s">
        <v>31</v>
      </c>
      <c r="AR125" s="127"/>
      <c r="AS125" s="128"/>
      <c r="AT125" s="126" t="s">
        <v>32</v>
      </c>
      <c r="AU125" s="127"/>
      <c r="AV125" s="128"/>
      <c r="AW125" s="36"/>
    </row>
    <row r="126" spans="10:49" ht="18.95" customHeight="1">
      <c r="J126" s="118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36"/>
    </row>
    <row r="127" spans="10:49" ht="18.95" customHeight="1">
      <c r="J127" s="118"/>
      <c r="K127" s="132" t="s">
        <v>118</v>
      </c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36"/>
    </row>
    <row r="128" spans="10:49" ht="9.9499999999999993" customHeight="1">
      <c r="J128" s="118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36"/>
    </row>
    <row r="129" spans="4:61" ht="18.95" customHeight="1">
      <c r="J129" s="118"/>
      <c r="K129" s="56" t="s">
        <v>28</v>
      </c>
      <c r="L129" s="57"/>
      <c r="M129" s="57"/>
      <c r="N129" s="58"/>
      <c r="O129" s="56" t="s">
        <v>29</v>
      </c>
      <c r="P129" s="57"/>
      <c r="Q129" s="58"/>
      <c r="R129" s="56" t="s">
        <v>68</v>
      </c>
      <c r="S129" s="57"/>
      <c r="T129" s="56" t="s">
        <v>54</v>
      </c>
      <c r="U129" s="57"/>
      <c r="V129" s="58"/>
      <c r="W129" s="57" t="s">
        <v>55</v>
      </c>
      <c r="X129" s="57"/>
      <c r="Y129" s="56" t="s">
        <v>70</v>
      </c>
      <c r="Z129" s="57"/>
      <c r="AA129" s="58"/>
      <c r="AB129" s="56" t="s">
        <v>114</v>
      </c>
      <c r="AC129" s="57"/>
      <c r="AD129" s="57"/>
      <c r="AE129" s="58"/>
      <c r="AF129" s="56" t="s">
        <v>33</v>
      </c>
      <c r="AG129" s="57"/>
      <c r="AH129" s="58"/>
      <c r="AI129" s="56" t="s">
        <v>113</v>
      </c>
      <c r="AJ129" s="57"/>
      <c r="AK129" s="57"/>
      <c r="AL129" s="57"/>
      <c r="AM129" s="58"/>
      <c r="AN129" s="126" t="s">
        <v>58</v>
      </c>
      <c r="AO129" s="127"/>
      <c r="AP129" s="127"/>
      <c r="AQ129" s="126" t="s">
        <v>31</v>
      </c>
      <c r="AR129" s="127"/>
      <c r="AS129" s="128"/>
      <c r="AT129" s="126" t="s">
        <v>32</v>
      </c>
      <c r="AU129" s="127"/>
      <c r="AV129" s="128"/>
      <c r="AW129" s="36"/>
    </row>
    <row r="130" spans="4:61" ht="18.95" customHeight="1">
      <c r="J130" s="118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36"/>
    </row>
    <row r="131" spans="4:61" ht="18.95" customHeight="1">
      <c r="J131" s="67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  <c r="AE131" s="68"/>
      <c r="AF131" s="68"/>
      <c r="AG131" s="68"/>
      <c r="AH131" s="68"/>
      <c r="AI131" s="68"/>
      <c r="AJ131" s="68"/>
      <c r="AK131" s="68"/>
      <c r="AL131" s="68"/>
      <c r="AM131" s="68"/>
      <c r="AN131" s="68"/>
      <c r="AO131" s="68"/>
      <c r="AP131" s="68"/>
      <c r="AQ131" s="68"/>
      <c r="AR131" s="68"/>
      <c r="AS131" s="68"/>
      <c r="AT131" s="68"/>
      <c r="AU131" s="68"/>
      <c r="AV131" s="68"/>
      <c r="AW131" s="69"/>
    </row>
    <row r="136" spans="4:61" ht="18.95" customHeight="1">
      <c r="G136" s="5" t="s">
        <v>145</v>
      </c>
    </row>
    <row r="138" spans="4:61" ht="18.95" customHeight="1">
      <c r="H138" s="12" t="s">
        <v>146</v>
      </c>
      <c r="I138" s="13"/>
      <c r="J138" s="5" t="s">
        <v>228</v>
      </c>
    </row>
    <row r="140" spans="4:61" ht="18.95" customHeight="1">
      <c r="J140" s="233" t="s">
        <v>307</v>
      </c>
    </row>
    <row r="141" spans="4:61" ht="18.95" customHeight="1">
      <c r="J141" s="233" t="s">
        <v>311</v>
      </c>
    </row>
    <row r="143" spans="4:61" s="4" customFormat="1" ht="5.0999999999999996" customHeight="1">
      <c r="D143" s="2"/>
      <c r="E143" s="2"/>
      <c r="F143" s="14"/>
      <c r="G143"/>
      <c r="H143"/>
      <c r="I143"/>
      <c r="J143" s="15"/>
      <c r="K143" s="98"/>
      <c r="L143" s="17"/>
      <c r="M143" s="17"/>
      <c r="N143" s="17"/>
      <c r="O143" s="17"/>
      <c r="P143" s="17"/>
      <c r="Q143" s="17"/>
      <c r="R143" s="99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</row>
    <row r="144" spans="4:61" s="4" customFormat="1" ht="18.95" customHeight="1">
      <c r="D144" s="2"/>
      <c r="E144" s="2"/>
      <c r="F144" s="14"/>
      <c r="G144"/>
      <c r="H144"/>
      <c r="I144"/>
      <c r="J144" s="15"/>
      <c r="K144" s="131" t="s">
        <v>227</v>
      </c>
      <c r="L144" s="21"/>
      <c r="M144" s="21"/>
      <c r="N144" s="21"/>
      <c r="O144" s="21"/>
      <c r="P144" s="21"/>
      <c r="Q144" s="21"/>
      <c r="R144" s="22"/>
      <c r="S144" s="129" t="s">
        <v>229</v>
      </c>
      <c r="T144" s="130"/>
      <c r="U144" s="130"/>
      <c r="V144" s="130"/>
      <c r="W144" s="130"/>
      <c r="X144" s="130"/>
      <c r="Y144" s="130"/>
      <c r="Z144" s="130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</row>
    <row r="145" spans="4:61" s="4" customFormat="1" ht="9.9499999999999993" customHeight="1">
      <c r="D145" s="2"/>
      <c r="E145" s="2"/>
      <c r="F145" s="14"/>
      <c r="G145"/>
      <c r="H145"/>
      <c r="I145"/>
      <c r="J145" s="25"/>
      <c r="K145" s="15"/>
      <c r="L145" s="15"/>
      <c r="M145" s="15"/>
      <c r="N145" s="15"/>
      <c r="O145" s="15"/>
      <c r="P145" s="15"/>
      <c r="Q145" s="15"/>
      <c r="R145" s="15"/>
      <c r="S145" s="15"/>
      <c r="T145" s="26"/>
      <c r="U145" s="26"/>
      <c r="V145" s="26"/>
      <c r="W145" s="26"/>
      <c r="X145" s="26"/>
      <c r="Y145" s="26"/>
      <c r="Z145" s="26"/>
      <c r="AA145" s="26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8"/>
    </row>
    <row r="146" spans="4:61" ht="18.95" customHeight="1">
      <c r="J146" s="118"/>
      <c r="K146" s="29" t="s">
        <v>4</v>
      </c>
      <c r="L146" s="30"/>
      <c r="M146" s="30"/>
      <c r="N146" s="30"/>
      <c r="Q146" s="276" t="s">
        <v>5</v>
      </c>
      <c r="R146" s="277"/>
      <c r="S146" s="277"/>
      <c r="T146" s="278"/>
      <c r="U146" s="31" t="s">
        <v>6</v>
      </c>
      <c r="V146" s="32" t="s">
        <v>8</v>
      </c>
      <c r="W146" s="13"/>
      <c r="X146" s="13"/>
      <c r="Y146" s="81" t="s">
        <v>46</v>
      </c>
      <c r="Z146" s="119"/>
      <c r="AA146" s="119"/>
      <c r="AB146" s="120"/>
      <c r="AC146" s="276" t="s">
        <v>9</v>
      </c>
      <c r="AD146" s="277"/>
      <c r="AE146" s="277"/>
      <c r="AF146" s="278"/>
      <c r="AM146" s="101" t="s">
        <v>12</v>
      </c>
      <c r="AN146" s="102"/>
      <c r="AO146" s="103"/>
      <c r="AP146" s="101" t="s">
        <v>13</v>
      </c>
      <c r="AQ146" s="102"/>
      <c r="AR146" s="103"/>
      <c r="AS146" s="36"/>
    </row>
    <row r="147" spans="4:61" ht="9.9499999999999993" customHeight="1">
      <c r="J147" s="118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36"/>
    </row>
    <row r="148" spans="4:61" ht="20.100000000000001" customHeight="1">
      <c r="J148" s="118"/>
      <c r="K148" s="29" t="s">
        <v>10</v>
      </c>
      <c r="L148" s="30"/>
      <c r="M148" s="30"/>
      <c r="N148" s="30"/>
      <c r="Q148" s="82" t="s">
        <v>11</v>
      </c>
      <c r="R148" s="119"/>
      <c r="S148" s="119"/>
      <c r="T148" s="119"/>
      <c r="U148" s="120"/>
      <c r="AJ148" s="15"/>
      <c r="AK148" s="15"/>
      <c r="AL148" s="15"/>
      <c r="AM148" s="15"/>
      <c r="AN148" s="15"/>
      <c r="AO148" s="15"/>
      <c r="AP148" s="15"/>
      <c r="AQ148" s="15"/>
      <c r="AR148" s="15"/>
      <c r="AS148" s="36"/>
    </row>
    <row r="149" spans="4:61" ht="18.95" customHeight="1">
      <c r="J149" s="118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S149" s="36"/>
    </row>
    <row r="150" spans="4:61" ht="20.100000000000001" customHeight="1">
      <c r="J150" s="118"/>
      <c r="K150" s="29" t="s">
        <v>77</v>
      </c>
      <c r="L150" s="30"/>
      <c r="M150" s="30"/>
      <c r="Q150" s="270" t="s">
        <v>51</v>
      </c>
      <c r="R150" s="271"/>
      <c r="S150" s="271"/>
      <c r="T150" s="272"/>
      <c r="U150" s="46" t="s">
        <v>14</v>
      </c>
      <c r="V150" s="15"/>
      <c r="W150" s="15"/>
      <c r="X150" s="15"/>
      <c r="Y150" s="15"/>
      <c r="Z150" s="15"/>
      <c r="AA150" s="15"/>
      <c r="AB150" s="15"/>
      <c r="AP150" s="15"/>
      <c r="AQ150" s="15"/>
      <c r="AR150" s="15"/>
      <c r="AS150" s="36"/>
      <c r="AU150" s="173"/>
    </row>
    <row r="151" spans="4:61" ht="9.9499999999999993" customHeight="1">
      <c r="J151" s="118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36"/>
    </row>
    <row r="152" spans="4:61" ht="18.95" customHeight="1">
      <c r="J152" s="118"/>
      <c r="K152" s="19" t="s">
        <v>152</v>
      </c>
      <c r="L152" s="15"/>
      <c r="M152" s="15"/>
      <c r="N152" s="15"/>
      <c r="O152" s="15"/>
      <c r="P152" s="15"/>
      <c r="Q152" s="54" t="s">
        <v>154</v>
      </c>
      <c r="R152" s="45"/>
      <c r="S152" s="45"/>
      <c r="T152" s="45"/>
      <c r="U152" s="45"/>
      <c r="V152" s="45"/>
      <c r="W152" s="45"/>
      <c r="X152" s="45"/>
      <c r="Y152" s="53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36"/>
      <c r="AU152" s="173"/>
      <c r="AW152" s="51"/>
      <c r="AX152" s="43"/>
      <c r="AY152" s="19"/>
      <c r="AZ152" s="19"/>
      <c r="BA152" s="51"/>
      <c r="BB152" s="43"/>
      <c r="BC152" s="43"/>
      <c r="BD152" s="15"/>
      <c r="BE152" s="51"/>
      <c r="BF152" s="43"/>
      <c r="BG152" s="15"/>
      <c r="BH152" s="15"/>
      <c r="BI152" s="15"/>
    </row>
    <row r="153" spans="4:61" ht="9.9499999999999993" customHeight="1">
      <c r="J153" s="118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36"/>
    </row>
    <row r="154" spans="4:61" ht="18.95" customHeight="1">
      <c r="J154" s="118"/>
      <c r="K154" s="29" t="s">
        <v>202</v>
      </c>
      <c r="L154" s="30"/>
      <c r="M154" s="30"/>
      <c r="N154" s="30"/>
      <c r="Q154" s="270" t="s">
        <v>5</v>
      </c>
      <c r="R154" s="271"/>
      <c r="S154" s="271"/>
      <c r="T154" s="272"/>
      <c r="U154" s="31" t="s">
        <v>6</v>
      </c>
      <c r="V154" s="41" t="s">
        <v>16</v>
      </c>
      <c r="W154" s="270" t="s">
        <v>5</v>
      </c>
      <c r="X154" s="271"/>
      <c r="Y154" s="271"/>
      <c r="Z154" s="272"/>
      <c r="AA154" s="31" t="s">
        <v>6</v>
      </c>
      <c r="AB154" s="42" t="s">
        <v>160</v>
      </c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36"/>
      <c r="AV154" s="173"/>
    </row>
    <row r="155" spans="4:61" ht="9.9499999999999993" customHeight="1">
      <c r="J155" s="118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36"/>
    </row>
    <row r="156" spans="4:61" ht="18.95" customHeight="1">
      <c r="J156" s="118"/>
      <c r="K156" s="29" t="s">
        <v>235</v>
      </c>
      <c r="L156" s="15"/>
      <c r="M156" s="15"/>
      <c r="N156" s="15"/>
      <c r="O156" s="15"/>
      <c r="P156" s="15"/>
      <c r="Q156" s="51" t="s">
        <v>21</v>
      </c>
      <c r="R156" s="43" t="s">
        <v>155</v>
      </c>
      <c r="S156" s="19"/>
      <c r="T156" s="19"/>
      <c r="U156" s="51" t="s">
        <v>22</v>
      </c>
      <c r="V156" s="43" t="s">
        <v>156</v>
      </c>
      <c r="W156" s="43"/>
      <c r="X156" s="15"/>
      <c r="Y156" s="51"/>
      <c r="Z156" s="43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36"/>
    </row>
    <row r="157" spans="4:61" ht="9.9499999999999993" customHeight="1">
      <c r="J157" s="118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36"/>
    </row>
    <row r="158" spans="4:61" ht="18.95" customHeight="1">
      <c r="J158" s="118"/>
      <c r="K158" s="29" t="s">
        <v>236</v>
      </c>
      <c r="L158" s="15"/>
      <c r="M158" s="15"/>
      <c r="N158" s="15"/>
      <c r="O158" s="15"/>
      <c r="P158" s="15"/>
      <c r="Q158" s="44" t="s">
        <v>149</v>
      </c>
      <c r="R158" s="45"/>
      <c r="S158" s="45"/>
      <c r="T158" s="45"/>
      <c r="U158" s="46" t="s">
        <v>14</v>
      </c>
      <c r="W158" s="44">
        <v>20000</v>
      </c>
      <c r="X158" s="45"/>
      <c r="Y158" s="45"/>
      <c r="Z158" s="53"/>
      <c r="AA158" s="163" t="s">
        <v>186</v>
      </c>
      <c r="AB158" s="164"/>
      <c r="AC158" s="42"/>
      <c r="AP158" s="15"/>
      <c r="AQ158" s="15"/>
      <c r="AR158" s="15"/>
      <c r="AS158" s="36"/>
    </row>
    <row r="159" spans="4:61" ht="18.95" customHeight="1">
      <c r="J159" s="118"/>
      <c r="K159" s="15"/>
      <c r="L159" s="15"/>
      <c r="M159" s="15"/>
      <c r="N159" s="15"/>
      <c r="O159" s="15"/>
      <c r="P159" s="15"/>
      <c r="Q159" s="42" t="s">
        <v>249</v>
      </c>
      <c r="R159" s="42"/>
      <c r="S159" s="15"/>
      <c r="T159" s="15"/>
      <c r="U159" s="15"/>
      <c r="V159" s="15"/>
      <c r="W159" s="15"/>
      <c r="X159" s="15"/>
      <c r="Y159" s="15"/>
      <c r="Z159" s="15"/>
      <c r="AA159" s="42" t="s">
        <v>248</v>
      </c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36"/>
    </row>
    <row r="160" spans="4:61" ht="18.95" customHeight="1">
      <c r="J160" s="118"/>
      <c r="K160" s="29" t="s">
        <v>150</v>
      </c>
      <c r="L160" s="15"/>
      <c r="M160" s="15"/>
      <c r="N160" s="15"/>
      <c r="O160" s="15"/>
      <c r="P160" s="15"/>
      <c r="Q160" s="51" t="s">
        <v>21</v>
      </c>
      <c r="R160" s="43" t="s">
        <v>151</v>
      </c>
      <c r="S160" s="19"/>
      <c r="T160" s="19"/>
      <c r="U160" s="51" t="s">
        <v>22</v>
      </c>
      <c r="V160" s="43" t="s">
        <v>137</v>
      </c>
      <c r="W160" s="43"/>
      <c r="X160" s="15"/>
      <c r="Y160" s="15"/>
      <c r="Z160" s="42" t="s">
        <v>153</v>
      </c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36"/>
    </row>
    <row r="161" spans="10:45" ht="9.9499999999999993" customHeight="1">
      <c r="J161" s="118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72"/>
      <c r="AD161" s="15"/>
      <c r="AE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36"/>
    </row>
    <row r="162" spans="10:45" ht="18.95" customHeight="1">
      <c r="J162" s="118"/>
      <c r="K162" s="29" t="s">
        <v>231</v>
      </c>
      <c r="L162" s="15"/>
      <c r="M162" s="15"/>
      <c r="N162" s="15"/>
      <c r="O162" s="15"/>
      <c r="P162" s="15"/>
      <c r="Q162" s="202" t="s">
        <v>259</v>
      </c>
      <c r="R162" s="43"/>
      <c r="S162" s="43"/>
      <c r="T162" s="19"/>
      <c r="U162" s="19"/>
      <c r="Z162" s="44">
        <v>200000</v>
      </c>
      <c r="AA162" s="45"/>
      <c r="AB162" s="45"/>
      <c r="AC162" s="53"/>
      <c r="AD162" s="163" t="s">
        <v>186</v>
      </c>
      <c r="AE162" s="164"/>
      <c r="AF162" s="44" t="s">
        <v>220</v>
      </c>
      <c r="AG162" s="45"/>
      <c r="AH162" s="46" t="s">
        <v>14</v>
      </c>
      <c r="AI162" s="72" t="s">
        <v>223</v>
      </c>
      <c r="AJ162" s="76"/>
      <c r="AK162" s="15"/>
      <c r="AM162" s="15"/>
      <c r="AN162" s="15"/>
      <c r="AO162" s="15"/>
      <c r="AP162" s="15"/>
      <c r="AQ162" s="15"/>
      <c r="AR162" s="15"/>
      <c r="AS162" s="36"/>
    </row>
    <row r="163" spans="10:45" ht="9.9499999999999993" customHeight="1">
      <c r="J163" s="118"/>
      <c r="K163" s="29"/>
      <c r="L163" s="15"/>
      <c r="M163" s="15"/>
      <c r="N163" s="15"/>
      <c r="O163" s="15"/>
      <c r="P163" s="15"/>
      <c r="Q163" s="15"/>
      <c r="AK163" s="15"/>
      <c r="AL163" s="15"/>
      <c r="AM163" s="15"/>
      <c r="AN163" s="15"/>
      <c r="AO163" s="15"/>
      <c r="AP163" s="15"/>
      <c r="AQ163" s="15"/>
      <c r="AR163" s="15"/>
      <c r="AS163" s="36"/>
    </row>
    <row r="164" spans="10:45" ht="18.95" customHeight="1">
      <c r="J164" s="118"/>
      <c r="K164" s="15"/>
      <c r="L164" s="15"/>
      <c r="M164" s="15"/>
      <c r="N164" s="15"/>
      <c r="O164" s="15"/>
      <c r="P164" s="15"/>
      <c r="Q164" s="202" t="s">
        <v>260</v>
      </c>
      <c r="R164" s="43"/>
      <c r="S164" s="43"/>
      <c r="T164" s="19"/>
      <c r="U164" s="15"/>
      <c r="V164" s="15"/>
      <c r="Z164" s="51" t="s">
        <v>22</v>
      </c>
      <c r="AA164" s="43" t="s">
        <v>179</v>
      </c>
      <c r="AC164" s="51" t="s">
        <v>21</v>
      </c>
      <c r="AD164" s="43" t="s">
        <v>178</v>
      </c>
      <c r="AF164" s="174" t="s">
        <v>234</v>
      </c>
      <c r="AG164" s="15"/>
      <c r="AH164" s="15"/>
      <c r="AI164" s="15"/>
      <c r="AJ164" s="178" t="s">
        <v>221</v>
      </c>
      <c r="AK164" s="179"/>
      <c r="AL164" s="179"/>
      <c r="AM164" s="180"/>
      <c r="AN164" s="66" t="s">
        <v>242</v>
      </c>
      <c r="AP164" s="15"/>
      <c r="AQ164" s="15"/>
      <c r="AR164" s="15"/>
      <c r="AS164" s="36"/>
    </row>
    <row r="165" spans="10:45" ht="9.9499999999999993" customHeight="1">
      <c r="J165" s="118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72"/>
      <c r="AD165" s="15"/>
      <c r="AE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36"/>
    </row>
    <row r="166" spans="10:45" ht="18.95" customHeight="1">
      <c r="J166" s="118"/>
      <c r="K166" s="19" t="s">
        <v>157</v>
      </c>
      <c r="L166" s="15"/>
      <c r="M166" s="15"/>
      <c r="N166" s="15"/>
      <c r="O166" s="15"/>
      <c r="P166" s="15"/>
      <c r="Q166" s="279">
        <v>1000000000</v>
      </c>
      <c r="R166" s="280"/>
      <c r="S166" s="280"/>
      <c r="T166" s="280"/>
      <c r="U166" s="281"/>
      <c r="V166" s="158" t="s">
        <v>158</v>
      </c>
      <c r="W166" s="159"/>
      <c r="X166" s="46" t="s">
        <v>14</v>
      </c>
      <c r="Y166" s="42" t="s">
        <v>161</v>
      </c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36"/>
    </row>
    <row r="167" spans="10:45" ht="18.95" customHeight="1">
      <c r="J167" s="118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36"/>
    </row>
    <row r="168" spans="10:45" ht="18.95" customHeight="1">
      <c r="J168" s="118"/>
      <c r="K168" s="29" t="s">
        <v>167</v>
      </c>
      <c r="L168" s="15"/>
      <c r="M168" s="15"/>
      <c r="N168" s="15"/>
      <c r="O168" s="15"/>
      <c r="P168" s="15"/>
      <c r="Q168" s="113" t="s">
        <v>162</v>
      </c>
      <c r="R168" s="45"/>
      <c r="S168" s="45"/>
      <c r="T168" s="45"/>
      <c r="U168" s="46" t="s">
        <v>14</v>
      </c>
      <c r="V168" s="42" t="s">
        <v>173</v>
      </c>
      <c r="W168" s="15"/>
      <c r="X168" s="15"/>
      <c r="Y168" s="15"/>
      <c r="Z168" s="15"/>
      <c r="AA168" s="29" t="s">
        <v>166</v>
      </c>
      <c r="AB168" s="15"/>
      <c r="AC168" s="15"/>
      <c r="AD168" s="15"/>
      <c r="AE168" s="15"/>
      <c r="AF168" s="15"/>
      <c r="AG168" s="113" t="s">
        <v>162</v>
      </c>
      <c r="AH168" s="45"/>
      <c r="AI168" s="45"/>
      <c r="AJ168" s="45"/>
      <c r="AK168" s="46" t="s">
        <v>14</v>
      </c>
      <c r="AL168" s="42" t="s">
        <v>165</v>
      </c>
      <c r="AM168" s="15"/>
      <c r="AN168" s="15"/>
      <c r="AO168" s="15"/>
      <c r="AP168" s="15"/>
      <c r="AQ168" s="15"/>
      <c r="AR168" s="15"/>
      <c r="AS168" s="36"/>
    </row>
    <row r="169" spans="10:45" ht="18.95" customHeight="1">
      <c r="J169" s="118"/>
      <c r="K169" s="161" t="s">
        <v>163</v>
      </c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62" t="s">
        <v>164</v>
      </c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36"/>
    </row>
    <row r="170" spans="10:45" ht="18.95" customHeight="1">
      <c r="J170" s="118"/>
      <c r="K170" s="29" t="s">
        <v>168</v>
      </c>
      <c r="L170" s="15"/>
      <c r="M170" s="15"/>
      <c r="N170" s="15"/>
      <c r="O170" s="15"/>
      <c r="P170" s="15"/>
      <c r="Q170" s="44" t="s">
        <v>169</v>
      </c>
      <c r="R170" s="38"/>
      <c r="S170" s="39"/>
      <c r="T170" s="31" t="s">
        <v>6</v>
      </c>
      <c r="U170" s="41" t="s">
        <v>16</v>
      </c>
      <c r="V170" s="44" t="s">
        <v>169</v>
      </c>
      <c r="W170" s="38"/>
      <c r="X170" s="39"/>
      <c r="Y170" s="31" t="s">
        <v>6</v>
      </c>
      <c r="Z170" s="42" t="s">
        <v>170</v>
      </c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36"/>
    </row>
    <row r="171" spans="10:45" ht="9.9499999999999993" customHeight="1">
      <c r="J171" s="118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36"/>
    </row>
    <row r="172" spans="10:45" ht="18.95" customHeight="1">
      <c r="J172" s="118"/>
      <c r="K172" s="29" t="s">
        <v>159</v>
      </c>
      <c r="L172" s="30"/>
      <c r="M172" s="30"/>
      <c r="N172" s="30"/>
      <c r="O172" s="30"/>
      <c r="P172" s="30"/>
      <c r="Q172" s="44" t="s">
        <v>23</v>
      </c>
      <c r="R172" s="45"/>
      <c r="S172" s="53"/>
      <c r="T172" s="54" t="s">
        <v>24</v>
      </c>
      <c r="U172" s="45"/>
      <c r="V172" s="45"/>
      <c r="W172" s="45"/>
      <c r="X172" s="45"/>
      <c r="Y172" s="45"/>
      <c r="Z172" s="53"/>
      <c r="AA172" s="78" t="s">
        <v>121</v>
      </c>
      <c r="AB172" s="135"/>
      <c r="AC172" s="136" t="s">
        <v>122</v>
      </c>
      <c r="AD172" s="79"/>
      <c r="AE172" s="15"/>
      <c r="AF172" s="78" t="s">
        <v>50</v>
      </c>
      <c r="AG172" s="135"/>
      <c r="AH172" s="135"/>
      <c r="AI172" s="136" t="s">
        <v>72</v>
      </c>
      <c r="AJ172" s="135"/>
      <c r="AK172" s="79"/>
      <c r="AL172" s="15"/>
      <c r="AM172" s="15"/>
      <c r="AN172" s="15"/>
      <c r="AO172" s="15"/>
      <c r="AP172" s="15"/>
      <c r="AQ172" s="15"/>
      <c r="AR172" s="15"/>
      <c r="AS172" s="36"/>
    </row>
    <row r="173" spans="10:45" ht="5.0999999999999996" customHeight="1">
      <c r="J173" s="118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36"/>
    </row>
    <row r="174" spans="10:45" ht="18.95" customHeight="1">
      <c r="J174" s="118"/>
      <c r="K174" s="15"/>
      <c r="L174" s="15"/>
      <c r="M174" s="15"/>
      <c r="N174" s="15"/>
      <c r="O174" s="15"/>
      <c r="P174" s="15"/>
      <c r="Q174" s="100" t="s">
        <v>26</v>
      </c>
      <c r="R174" s="56" t="s">
        <v>33</v>
      </c>
      <c r="S174" s="57"/>
      <c r="T174" s="58"/>
      <c r="U174" s="56" t="s">
        <v>49</v>
      </c>
      <c r="V174" s="57"/>
      <c r="W174" s="57"/>
      <c r="X174" s="57"/>
      <c r="Y174" s="57"/>
      <c r="Z174" s="57"/>
      <c r="AA174" s="57"/>
      <c r="AB174" s="57"/>
      <c r="AC174" s="58"/>
      <c r="AD174" s="59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36"/>
    </row>
    <row r="175" spans="10:45" ht="18.95" customHeight="1">
      <c r="J175" s="118"/>
      <c r="K175" s="15"/>
      <c r="L175" s="15"/>
      <c r="M175" s="15"/>
      <c r="N175" s="15"/>
      <c r="O175" s="15"/>
      <c r="P175" s="15"/>
      <c r="Q175" s="80" t="s">
        <v>7</v>
      </c>
      <c r="R175" s="44" t="s">
        <v>23</v>
      </c>
      <c r="S175" s="45"/>
      <c r="T175" s="53"/>
      <c r="U175" s="54" t="s">
        <v>24</v>
      </c>
      <c r="V175" s="45"/>
      <c r="W175" s="45"/>
      <c r="X175" s="45"/>
      <c r="Y175" s="45"/>
      <c r="Z175" s="45"/>
      <c r="AA175" s="45"/>
      <c r="AB175" s="45"/>
      <c r="AC175" s="53"/>
      <c r="AD175" s="63" t="s">
        <v>6</v>
      </c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36"/>
    </row>
    <row r="176" spans="10:45" ht="18.95" customHeight="1">
      <c r="J176" s="118"/>
      <c r="K176" s="15"/>
      <c r="L176" s="15"/>
      <c r="M176" s="15"/>
      <c r="N176" s="15"/>
      <c r="O176" s="15"/>
      <c r="P176" s="15"/>
      <c r="Q176" s="80" t="s">
        <v>7</v>
      </c>
      <c r="R176" s="44" t="s">
        <v>34</v>
      </c>
      <c r="S176" s="45"/>
      <c r="T176" s="53"/>
      <c r="U176" s="54" t="s">
        <v>24</v>
      </c>
      <c r="V176" s="45"/>
      <c r="W176" s="45"/>
      <c r="X176" s="45"/>
      <c r="Y176" s="45"/>
      <c r="Z176" s="45"/>
      <c r="AA176" s="45"/>
      <c r="AB176" s="45"/>
      <c r="AC176" s="53"/>
      <c r="AD176" s="64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36"/>
    </row>
    <row r="177" spans="10:45" ht="18.95" customHeight="1">
      <c r="J177" s="118"/>
      <c r="K177" s="15"/>
      <c r="L177" s="15"/>
      <c r="M177" s="15"/>
      <c r="N177" s="15"/>
      <c r="O177" s="15"/>
      <c r="P177" s="15"/>
      <c r="Q177" s="80" t="s">
        <v>7</v>
      </c>
      <c r="R177" s="44" t="s">
        <v>35</v>
      </c>
      <c r="S177" s="45"/>
      <c r="T177" s="53"/>
      <c r="U177" s="44" t="s">
        <v>35</v>
      </c>
      <c r="V177" s="45"/>
      <c r="W177" s="45"/>
      <c r="X177" s="45"/>
      <c r="Y177" s="45"/>
      <c r="Z177" s="45"/>
      <c r="AA177" s="45"/>
      <c r="AB177" s="45"/>
      <c r="AC177" s="53"/>
      <c r="AD177" s="64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36"/>
    </row>
    <row r="178" spans="10:45" ht="18.95" customHeight="1">
      <c r="J178" s="118"/>
      <c r="K178" s="15"/>
      <c r="L178" s="15"/>
      <c r="M178" s="15"/>
      <c r="N178" s="15"/>
      <c r="O178" s="15"/>
      <c r="P178" s="15"/>
      <c r="Q178" s="80" t="s">
        <v>7</v>
      </c>
      <c r="R178" s="44" t="s">
        <v>34</v>
      </c>
      <c r="S178" s="45"/>
      <c r="T178" s="53"/>
      <c r="U178" s="54" t="s">
        <v>24</v>
      </c>
      <c r="V178" s="45"/>
      <c r="W178" s="45"/>
      <c r="X178" s="45"/>
      <c r="Y178" s="45"/>
      <c r="Z178" s="45"/>
      <c r="AA178" s="45"/>
      <c r="AB178" s="45"/>
      <c r="AC178" s="53"/>
      <c r="AD178" s="40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36"/>
    </row>
    <row r="179" spans="10:45" ht="18.95" customHeight="1">
      <c r="J179" s="118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36"/>
    </row>
    <row r="180" spans="10:45" ht="18.95" customHeight="1">
      <c r="J180" s="118"/>
      <c r="K180" s="29" t="s">
        <v>247</v>
      </c>
      <c r="L180" s="15"/>
      <c r="M180" s="15"/>
      <c r="N180" s="15"/>
      <c r="O180" s="15"/>
      <c r="P180" s="15"/>
      <c r="Q180" s="44" t="s">
        <v>222</v>
      </c>
      <c r="R180" s="45"/>
      <c r="S180" s="45"/>
      <c r="T180" s="53"/>
      <c r="U180" s="46" t="s">
        <v>211</v>
      </c>
      <c r="V180" s="42" t="s">
        <v>250</v>
      </c>
      <c r="W180" s="15"/>
      <c r="X180" s="15"/>
      <c r="Y180" s="15"/>
      <c r="Z180" s="15"/>
      <c r="AA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36"/>
    </row>
    <row r="181" spans="10:45" ht="9.9499999999999993" customHeight="1">
      <c r="J181" s="118"/>
      <c r="K181" s="15"/>
      <c r="L181" s="15"/>
      <c r="M181" s="15"/>
      <c r="N181" s="15"/>
      <c r="O181" s="15"/>
      <c r="P181" s="15"/>
      <c r="Q181" s="42"/>
      <c r="R181" s="42"/>
      <c r="S181" s="15"/>
      <c r="T181" s="15"/>
      <c r="U181" s="15"/>
      <c r="V181" s="15"/>
      <c r="W181" s="15"/>
      <c r="X181" s="15"/>
      <c r="Y181" s="15"/>
      <c r="Z181" s="15"/>
      <c r="AA181" s="42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36"/>
    </row>
    <row r="182" spans="10:45" ht="18.95" customHeight="1" thickBot="1">
      <c r="J182" s="118"/>
      <c r="K182" s="124"/>
      <c r="L182" s="124"/>
      <c r="M182" s="124"/>
      <c r="N182" s="124"/>
      <c r="O182" s="124"/>
      <c r="P182" s="124"/>
      <c r="Q182" s="124"/>
      <c r="R182" s="124"/>
      <c r="S182" s="124"/>
      <c r="T182" s="124"/>
      <c r="U182" s="124"/>
      <c r="V182" s="124"/>
      <c r="W182" s="124"/>
      <c r="X182" s="124"/>
      <c r="Y182" s="124"/>
      <c r="Z182" s="124"/>
      <c r="AA182" s="124"/>
      <c r="AB182" s="124"/>
      <c r="AC182" s="124"/>
      <c r="AD182" s="124"/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36"/>
    </row>
    <row r="183" spans="10:45" ht="18.95" customHeight="1">
      <c r="J183" s="118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36"/>
    </row>
    <row r="184" spans="10:45" ht="18.95" customHeight="1">
      <c r="J184" s="118"/>
      <c r="K184" s="85" t="s">
        <v>230</v>
      </c>
      <c r="L184" s="15"/>
      <c r="M184" s="15"/>
      <c r="N184" s="15"/>
      <c r="O184" s="15"/>
      <c r="R184" s="15"/>
      <c r="S184" s="165" t="s">
        <v>187</v>
      </c>
      <c r="T184" s="15"/>
      <c r="U184" s="15"/>
      <c r="V184" s="15"/>
      <c r="W184" s="15"/>
      <c r="X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36"/>
    </row>
    <row r="185" spans="10:45" ht="18.95" customHeight="1">
      <c r="J185" s="118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36"/>
    </row>
    <row r="186" spans="10:45" ht="9.9499999999999993" customHeight="1">
      <c r="J186" s="118"/>
      <c r="K186" s="15"/>
      <c r="L186" s="15"/>
      <c r="M186" s="15"/>
      <c r="N186" s="15"/>
      <c r="O186" s="25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92"/>
      <c r="AQ186" s="15"/>
      <c r="AR186" s="15"/>
      <c r="AS186" s="36"/>
    </row>
    <row r="187" spans="10:45" ht="18.95" customHeight="1">
      <c r="J187" s="118"/>
      <c r="K187" s="85" t="s">
        <v>176</v>
      </c>
      <c r="L187" s="15"/>
      <c r="M187" s="15"/>
      <c r="N187" s="15"/>
      <c r="O187" s="118"/>
      <c r="P187" s="15" t="s">
        <v>224</v>
      </c>
      <c r="Q187" s="15"/>
      <c r="R187" s="15"/>
      <c r="S187" s="182" t="s">
        <v>225</v>
      </c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  <c r="AI187" s="83"/>
      <c r="AJ187" s="83"/>
      <c r="AK187" s="83"/>
      <c r="AL187" s="83"/>
      <c r="AM187" s="83"/>
      <c r="AN187" s="83"/>
      <c r="AO187" s="181"/>
      <c r="AP187" s="36"/>
      <c r="AQ187" s="15"/>
      <c r="AR187" s="15"/>
      <c r="AS187" s="36"/>
    </row>
    <row r="188" spans="10:45" ht="9.9499999999999993" customHeight="1">
      <c r="J188" s="118"/>
      <c r="K188" s="15"/>
      <c r="L188" s="15"/>
      <c r="M188" s="15"/>
      <c r="N188" s="15"/>
      <c r="O188" s="118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36"/>
      <c r="AQ188" s="15"/>
      <c r="AR188" s="15"/>
      <c r="AS188" s="36"/>
    </row>
    <row r="189" spans="10:45" ht="18.95" customHeight="1">
      <c r="J189" s="118"/>
      <c r="K189" s="86" t="s">
        <v>245</v>
      </c>
      <c r="L189" s="15"/>
      <c r="M189" s="15"/>
      <c r="N189" s="15"/>
      <c r="O189" s="118"/>
      <c r="P189" s="15" t="s">
        <v>175</v>
      </c>
      <c r="Q189" s="15"/>
      <c r="R189" s="15"/>
      <c r="S189" s="15"/>
      <c r="T189" s="15"/>
      <c r="U189" s="51" t="s">
        <v>22</v>
      </c>
      <c r="V189" s="43" t="s">
        <v>178</v>
      </c>
      <c r="W189" s="19"/>
      <c r="X189" s="51" t="s">
        <v>21</v>
      </c>
      <c r="Y189" s="43" t="s">
        <v>179</v>
      </c>
      <c r="Z189" s="43"/>
      <c r="AA189" s="15"/>
      <c r="AB189" s="15"/>
      <c r="AC189" s="15" t="s">
        <v>177</v>
      </c>
      <c r="AD189" s="15"/>
      <c r="AE189" s="15"/>
      <c r="AF189" s="15"/>
      <c r="AG189" s="15"/>
      <c r="AH189" s="113" t="s">
        <v>180</v>
      </c>
      <c r="AI189" s="39"/>
      <c r="AJ189" s="41" t="s">
        <v>16</v>
      </c>
      <c r="AK189" s="113" t="s">
        <v>181</v>
      </c>
      <c r="AL189" s="39"/>
      <c r="AM189" s="15"/>
      <c r="AN189" s="15"/>
      <c r="AO189" s="15"/>
      <c r="AP189" s="36"/>
      <c r="AQ189" s="15"/>
      <c r="AR189" s="15"/>
      <c r="AS189" s="36"/>
    </row>
    <row r="190" spans="10:45" ht="9.9499999999999993" customHeight="1">
      <c r="J190" s="118"/>
      <c r="K190" s="15"/>
      <c r="L190" s="15"/>
      <c r="M190" s="15"/>
      <c r="N190" s="15"/>
      <c r="O190" s="118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36"/>
      <c r="AQ190" s="15"/>
      <c r="AR190" s="15"/>
      <c r="AS190" s="36"/>
    </row>
    <row r="191" spans="10:45" ht="18.95" customHeight="1">
      <c r="J191" s="118"/>
      <c r="K191" s="15"/>
      <c r="L191" s="15"/>
      <c r="M191" s="15"/>
      <c r="N191" s="15"/>
      <c r="O191" s="118"/>
      <c r="P191" s="160" t="s">
        <v>182</v>
      </c>
      <c r="Q191" s="15"/>
      <c r="R191" s="15"/>
      <c r="S191" s="15"/>
      <c r="T191" s="15"/>
      <c r="U191" s="51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36"/>
      <c r="AQ191" s="15"/>
      <c r="AR191" s="15"/>
      <c r="AS191" s="36"/>
    </row>
    <row r="192" spans="10:45" ht="9.9499999999999993" customHeight="1">
      <c r="J192" s="118"/>
      <c r="K192" s="15"/>
      <c r="L192" s="15"/>
      <c r="M192" s="15"/>
      <c r="N192" s="15"/>
      <c r="O192" s="118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36"/>
      <c r="AQ192" s="15"/>
      <c r="AR192" s="15"/>
      <c r="AS192" s="36"/>
    </row>
    <row r="193" spans="10:45" ht="18.95" customHeight="1">
      <c r="J193" s="118"/>
      <c r="K193" s="15"/>
      <c r="L193" s="15"/>
      <c r="M193" s="15"/>
      <c r="N193" s="15"/>
      <c r="O193" s="118"/>
      <c r="P193" s="44" t="s">
        <v>17</v>
      </c>
      <c r="Q193" s="45"/>
      <c r="R193" s="45"/>
      <c r="S193" s="53"/>
      <c r="T193" s="113" t="s">
        <v>130</v>
      </c>
      <c r="U193" s="38"/>
      <c r="V193" s="39"/>
      <c r="W193" s="46" t="s">
        <v>14</v>
      </c>
      <c r="X193" s="78" t="s">
        <v>121</v>
      </c>
      <c r="Y193" s="135"/>
      <c r="Z193" s="136" t="s">
        <v>122</v>
      </c>
      <c r="AA193" s="79"/>
      <c r="AB193" s="15"/>
      <c r="AC193" s="78" t="s">
        <v>66</v>
      </c>
      <c r="AD193" s="135"/>
      <c r="AE193" s="135"/>
      <c r="AF193" s="136" t="s">
        <v>73</v>
      </c>
      <c r="AG193" s="135"/>
      <c r="AH193" s="79"/>
      <c r="AI193" s="42"/>
      <c r="AJ193" s="137" t="s">
        <v>131</v>
      </c>
      <c r="AK193" s="138"/>
      <c r="AL193" s="139"/>
      <c r="AM193" s="15"/>
      <c r="AN193" s="15"/>
      <c r="AO193" s="15"/>
      <c r="AP193" s="36"/>
      <c r="AQ193" s="15"/>
      <c r="AR193" s="15"/>
      <c r="AS193" s="36"/>
    </row>
    <row r="194" spans="10:45" ht="5.0999999999999996" customHeight="1">
      <c r="J194" s="118"/>
      <c r="K194" s="15"/>
      <c r="L194" s="15"/>
      <c r="M194" s="15"/>
      <c r="N194" s="15"/>
      <c r="O194" s="118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36"/>
      <c r="AQ194" s="15"/>
      <c r="AR194" s="15"/>
      <c r="AS194" s="36"/>
    </row>
    <row r="195" spans="10:45" ht="18.95" customHeight="1">
      <c r="J195" s="118"/>
      <c r="K195" s="15"/>
      <c r="L195" s="15"/>
      <c r="M195" s="15"/>
      <c r="N195" s="15"/>
      <c r="O195" s="118"/>
      <c r="P195" s="264" t="s">
        <v>26</v>
      </c>
      <c r="Q195" s="56" t="s">
        <v>27</v>
      </c>
      <c r="R195" s="57"/>
      <c r="S195" s="57"/>
      <c r="T195" s="58"/>
      <c r="U195" s="56"/>
      <c r="V195" s="57"/>
      <c r="W195" s="58"/>
      <c r="X195" s="56" t="s">
        <v>132</v>
      </c>
      <c r="Y195" s="57"/>
      <c r="Z195" s="57"/>
      <c r="AA195" s="56"/>
      <c r="AB195" s="57"/>
      <c r="AC195" s="57"/>
      <c r="AD195" s="58"/>
      <c r="AE195" s="56"/>
      <c r="AF195" s="57"/>
      <c r="AG195" s="58"/>
      <c r="AH195" s="57"/>
      <c r="AI195" s="57"/>
      <c r="AJ195" s="58"/>
      <c r="AK195" s="57"/>
      <c r="AL195" s="58"/>
      <c r="AM195" s="57"/>
      <c r="AN195" s="58"/>
      <c r="AO195" s="59"/>
      <c r="AP195" s="36"/>
      <c r="AQ195" s="15"/>
      <c r="AR195" s="15"/>
      <c r="AS195" s="36"/>
    </row>
    <row r="196" spans="10:45" ht="18.95" customHeight="1">
      <c r="J196" s="118"/>
      <c r="K196" s="15"/>
      <c r="L196" s="15"/>
      <c r="M196" s="15"/>
      <c r="N196" s="15"/>
      <c r="O196" s="118"/>
      <c r="P196" s="265"/>
      <c r="Q196" s="56" t="s">
        <v>28</v>
      </c>
      <c r="R196" s="57"/>
      <c r="S196" s="57"/>
      <c r="T196" s="58"/>
      <c r="U196" s="56" t="s">
        <v>29</v>
      </c>
      <c r="V196" s="57"/>
      <c r="W196" s="58"/>
      <c r="X196" s="56" t="s">
        <v>68</v>
      </c>
      <c r="Y196" s="57"/>
      <c r="Z196" s="56" t="s">
        <v>54</v>
      </c>
      <c r="AA196" s="57"/>
      <c r="AB196" s="58"/>
      <c r="AC196" s="57" t="s">
        <v>55</v>
      </c>
      <c r="AD196" s="57"/>
      <c r="AE196" s="56" t="s">
        <v>70</v>
      </c>
      <c r="AF196" s="57"/>
      <c r="AG196" s="56" t="s">
        <v>123</v>
      </c>
      <c r="AH196" s="57"/>
      <c r="AI196" s="57"/>
      <c r="AJ196" s="56" t="s">
        <v>125</v>
      </c>
      <c r="AK196" s="57"/>
      <c r="AL196" s="56" t="s">
        <v>30</v>
      </c>
      <c r="AM196" s="57"/>
      <c r="AN196" s="58"/>
      <c r="AO196" s="63" t="s">
        <v>6</v>
      </c>
      <c r="AP196" s="36"/>
      <c r="AQ196" s="15"/>
      <c r="AR196" s="15"/>
      <c r="AS196" s="36"/>
    </row>
    <row r="197" spans="10:45" ht="18.95" customHeight="1">
      <c r="J197" s="118"/>
      <c r="K197" s="15"/>
      <c r="L197" s="15"/>
      <c r="M197" s="15"/>
      <c r="N197" s="15"/>
      <c r="O197" s="118"/>
      <c r="P197" s="80" t="s">
        <v>7</v>
      </c>
      <c r="Q197" s="141" t="s">
        <v>17</v>
      </c>
      <c r="R197" s="142"/>
      <c r="S197" s="142"/>
      <c r="T197" s="143"/>
      <c r="U197" s="141" t="s">
        <v>19</v>
      </c>
      <c r="V197" s="147"/>
      <c r="W197" s="148"/>
      <c r="X197" s="60" t="s">
        <v>52</v>
      </c>
      <c r="Y197" s="61"/>
      <c r="Z197" s="87" t="s">
        <v>56</v>
      </c>
      <c r="AA197" s="74"/>
      <c r="AB197" s="73"/>
      <c r="AC197" s="60" t="s">
        <v>57</v>
      </c>
      <c r="AD197" s="74"/>
      <c r="AE197" s="60" t="s">
        <v>71</v>
      </c>
      <c r="AF197" s="74"/>
      <c r="AG197" s="266" t="s">
        <v>124</v>
      </c>
      <c r="AH197" s="267"/>
      <c r="AI197" s="267"/>
      <c r="AJ197" s="268">
        <v>0.3</v>
      </c>
      <c r="AK197" s="269"/>
      <c r="AL197" s="60">
        <v>39900</v>
      </c>
      <c r="AM197" s="61"/>
      <c r="AN197" s="62"/>
      <c r="AO197" s="64"/>
      <c r="AP197" s="36"/>
      <c r="AQ197" s="15"/>
      <c r="AR197" s="15"/>
      <c r="AS197" s="36"/>
    </row>
    <row r="198" spans="10:45" ht="18.95" customHeight="1">
      <c r="J198" s="118"/>
      <c r="K198" s="15"/>
      <c r="L198" s="15"/>
      <c r="M198" s="15"/>
      <c r="N198" s="15"/>
      <c r="O198" s="118"/>
      <c r="P198" s="80" t="s">
        <v>7</v>
      </c>
      <c r="Q198" s="144" t="s">
        <v>17</v>
      </c>
      <c r="R198" s="145"/>
      <c r="S198" s="145"/>
      <c r="T198" s="146"/>
      <c r="U198" s="144" t="s">
        <v>36</v>
      </c>
      <c r="V198" s="149"/>
      <c r="W198" s="150"/>
      <c r="X198" s="60" t="s">
        <v>52</v>
      </c>
      <c r="Y198" s="45"/>
      <c r="Z198" s="87" t="s">
        <v>56</v>
      </c>
      <c r="AA198" s="74"/>
      <c r="AB198" s="73"/>
      <c r="AC198" s="60" t="s">
        <v>57</v>
      </c>
      <c r="AD198" s="38"/>
      <c r="AE198" s="60" t="s">
        <v>71</v>
      </c>
      <c r="AF198" s="74"/>
      <c r="AG198" s="266" t="s">
        <v>124</v>
      </c>
      <c r="AH198" s="267"/>
      <c r="AI198" s="267"/>
      <c r="AJ198" s="268">
        <v>0.3</v>
      </c>
      <c r="AK198" s="269"/>
      <c r="AL198" s="44">
        <v>39900</v>
      </c>
      <c r="AM198" s="45"/>
      <c r="AN198" s="53"/>
      <c r="AO198" s="64"/>
      <c r="AP198" s="36"/>
      <c r="AQ198" s="15"/>
      <c r="AR198" s="15"/>
      <c r="AS198" s="36"/>
    </row>
    <row r="199" spans="10:45" ht="18.95" customHeight="1">
      <c r="J199" s="118"/>
      <c r="K199" s="15"/>
      <c r="L199" s="15"/>
      <c r="M199" s="15"/>
      <c r="N199" s="15"/>
      <c r="O199" s="118"/>
      <c r="P199" s="80" t="s">
        <v>7</v>
      </c>
      <c r="Q199" s="144" t="s">
        <v>17</v>
      </c>
      <c r="R199" s="145"/>
      <c r="S199" s="145"/>
      <c r="T199" s="146"/>
      <c r="U199" s="144" t="s">
        <v>127</v>
      </c>
      <c r="V199" s="149"/>
      <c r="W199" s="150"/>
      <c r="X199" s="60" t="s">
        <v>52</v>
      </c>
      <c r="Y199" s="61"/>
      <c r="Z199" s="87" t="s">
        <v>56</v>
      </c>
      <c r="AA199" s="74"/>
      <c r="AB199" s="73"/>
      <c r="AC199" s="60" t="s">
        <v>57</v>
      </c>
      <c r="AD199" s="74"/>
      <c r="AE199" s="60" t="s">
        <v>71</v>
      </c>
      <c r="AF199" s="74"/>
      <c r="AG199" s="266" t="s">
        <v>124</v>
      </c>
      <c r="AH199" s="267"/>
      <c r="AI199" s="267"/>
      <c r="AJ199" s="268">
        <v>0.3</v>
      </c>
      <c r="AK199" s="269"/>
      <c r="AL199" s="60">
        <v>39900</v>
      </c>
      <c r="AM199" s="61"/>
      <c r="AN199" s="62"/>
      <c r="AO199" s="64"/>
      <c r="AP199" s="36"/>
      <c r="AQ199" s="15"/>
      <c r="AR199" s="15"/>
      <c r="AS199" s="36"/>
    </row>
    <row r="200" spans="10:45" ht="18.95" customHeight="1">
      <c r="J200" s="118"/>
      <c r="K200" s="15"/>
      <c r="L200" s="15"/>
      <c r="M200" s="15"/>
      <c r="N200" s="15"/>
      <c r="O200" s="118"/>
      <c r="P200" s="80" t="s">
        <v>7</v>
      </c>
      <c r="Q200" s="144" t="s">
        <v>17</v>
      </c>
      <c r="R200" s="145"/>
      <c r="S200" s="145"/>
      <c r="T200" s="146"/>
      <c r="U200" s="144" t="s">
        <v>129</v>
      </c>
      <c r="V200" s="149"/>
      <c r="W200" s="150"/>
      <c r="X200" s="44" t="s">
        <v>52</v>
      </c>
      <c r="Y200" s="45"/>
      <c r="Z200" s="37" t="s">
        <v>56</v>
      </c>
      <c r="AA200" s="38"/>
      <c r="AB200" s="39"/>
      <c r="AC200" s="44" t="s">
        <v>57</v>
      </c>
      <c r="AD200" s="38"/>
      <c r="AE200" s="44" t="s">
        <v>71</v>
      </c>
      <c r="AF200" s="38"/>
      <c r="AG200" s="266" t="s">
        <v>124</v>
      </c>
      <c r="AH200" s="267"/>
      <c r="AI200" s="267"/>
      <c r="AJ200" s="268">
        <v>0.3</v>
      </c>
      <c r="AK200" s="269"/>
      <c r="AL200" s="44">
        <v>39900</v>
      </c>
      <c r="AM200" s="45"/>
      <c r="AN200" s="53"/>
      <c r="AO200" s="40"/>
      <c r="AP200" s="36"/>
      <c r="AQ200" s="15"/>
      <c r="AR200" s="15"/>
      <c r="AS200" s="36"/>
    </row>
    <row r="201" spans="10:45" ht="9.9499999999999993" customHeight="1">
      <c r="J201" s="118"/>
      <c r="K201" s="15"/>
      <c r="L201" s="15"/>
      <c r="M201" s="15"/>
      <c r="N201" s="15"/>
      <c r="O201" s="67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8"/>
      <c r="AG201" s="68"/>
      <c r="AH201" s="68"/>
      <c r="AI201" s="68"/>
      <c r="AJ201" s="68"/>
      <c r="AK201" s="68"/>
      <c r="AL201" s="68"/>
      <c r="AM201" s="68"/>
      <c r="AN201" s="68"/>
      <c r="AO201" s="68"/>
      <c r="AP201" s="69"/>
      <c r="AQ201" s="15"/>
      <c r="AR201" s="15"/>
      <c r="AS201" s="36"/>
    </row>
    <row r="202" spans="10:45" ht="18.95" customHeight="1">
      <c r="J202" s="118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36"/>
    </row>
    <row r="203" spans="10:45" ht="9.9499999999999993" customHeight="1">
      <c r="J203" s="118"/>
      <c r="K203" s="15"/>
      <c r="L203" s="15"/>
      <c r="M203" s="15"/>
      <c r="N203" s="15"/>
      <c r="O203" s="25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92"/>
      <c r="AQ203" s="15"/>
      <c r="AR203" s="15"/>
      <c r="AS203" s="36"/>
    </row>
    <row r="204" spans="10:45" ht="18.95" customHeight="1">
      <c r="J204" s="118"/>
      <c r="K204" s="85" t="s">
        <v>183</v>
      </c>
      <c r="L204" s="15"/>
      <c r="M204" s="15"/>
      <c r="N204" s="15"/>
      <c r="O204" s="118"/>
      <c r="P204" s="15" t="s">
        <v>224</v>
      </c>
      <c r="Q204" s="15"/>
      <c r="R204" s="15"/>
      <c r="S204" s="182" t="s">
        <v>226</v>
      </c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  <c r="AH204" s="83"/>
      <c r="AI204" s="83"/>
      <c r="AJ204" s="83"/>
      <c r="AK204" s="83"/>
      <c r="AL204" s="83"/>
      <c r="AM204" s="83"/>
      <c r="AN204" s="83"/>
      <c r="AO204" s="181"/>
      <c r="AP204" s="36"/>
      <c r="AQ204" s="15"/>
      <c r="AR204" s="15"/>
      <c r="AS204" s="36"/>
    </row>
    <row r="205" spans="10:45" ht="9.9499999999999993" customHeight="1">
      <c r="J205" s="118"/>
      <c r="K205" s="15"/>
      <c r="L205" s="15"/>
      <c r="M205" s="15"/>
      <c r="N205" s="15"/>
      <c r="O205" s="118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36"/>
      <c r="AQ205" s="15"/>
      <c r="AR205" s="15"/>
      <c r="AS205" s="36"/>
    </row>
    <row r="206" spans="10:45" ht="18.95" customHeight="1">
      <c r="J206" s="118"/>
      <c r="K206" s="90" t="s">
        <v>246</v>
      </c>
      <c r="L206" s="15"/>
      <c r="M206" s="15"/>
      <c r="N206" s="15"/>
      <c r="O206" s="118"/>
      <c r="P206" s="15" t="s">
        <v>175</v>
      </c>
      <c r="Q206" s="15"/>
      <c r="R206" s="15"/>
      <c r="S206" s="15"/>
      <c r="T206" s="15"/>
      <c r="U206" s="51" t="s">
        <v>22</v>
      </c>
      <c r="V206" s="43" t="s">
        <v>178</v>
      </c>
      <c r="W206" s="19"/>
      <c r="X206" s="51" t="s">
        <v>21</v>
      </c>
      <c r="Y206" s="43" t="s">
        <v>179</v>
      </c>
      <c r="Z206" s="43"/>
      <c r="AA206" s="15"/>
      <c r="AB206" s="15"/>
      <c r="AC206" s="15" t="s">
        <v>177</v>
      </c>
      <c r="AD206" s="15"/>
      <c r="AE206" s="15"/>
      <c r="AF206" s="15"/>
      <c r="AG206" s="15"/>
      <c r="AH206" s="113" t="s">
        <v>180</v>
      </c>
      <c r="AI206" s="39"/>
      <c r="AJ206" s="41" t="s">
        <v>16</v>
      </c>
      <c r="AK206" s="113" t="s">
        <v>181</v>
      </c>
      <c r="AL206" s="39"/>
      <c r="AM206" s="15"/>
      <c r="AN206" s="15"/>
      <c r="AO206" s="15"/>
      <c r="AP206" s="36"/>
      <c r="AQ206" s="15"/>
      <c r="AR206" s="15"/>
      <c r="AS206" s="36"/>
    </row>
    <row r="207" spans="10:45" ht="9.9499999999999993" customHeight="1">
      <c r="J207" s="118"/>
      <c r="K207" s="15"/>
      <c r="L207" s="15"/>
      <c r="M207" s="15"/>
      <c r="N207" s="15"/>
      <c r="O207" s="118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36"/>
      <c r="AQ207" s="15"/>
      <c r="AR207" s="15"/>
      <c r="AS207" s="36"/>
    </row>
    <row r="208" spans="10:45" ht="18.95" customHeight="1">
      <c r="J208" s="118"/>
      <c r="K208" s="15"/>
      <c r="L208" s="15"/>
      <c r="M208" s="15"/>
      <c r="N208" s="15"/>
      <c r="O208" s="118"/>
      <c r="P208" s="160" t="s">
        <v>182</v>
      </c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36"/>
      <c r="AQ208" s="15"/>
      <c r="AR208" s="15"/>
      <c r="AS208" s="36"/>
    </row>
    <row r="209" spans="10:45" ht="9.9499999999999993" customHeight="1">
      <c r="J209" s="118"/>
      <c r="K209" s="15"/>
      <c r="L209" s="15"/>
      <c r="M209" s="15"/>
      <c r="N209" s="15"/>
      <c r="O209" s="118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36"/>
      <c r="AQ209" s="15"/>
      <c r="AR209" s="15"/>
      <c r="AS209" s="36"/>
    </row>
    <row r="210" spans="10:45" ht="18.95" customHeight="1">
      <c r="J210" s="118"/>
      <c r="K210" s="15"/>
      <c r="L210" s="15"/>
      <c r="M210" s="15"/>
      <c r="N210" s="15"/>
      <c r="O210" s="118"/>
      <c r="P210" s="44" t="s">
        <v>17</v>
      </c>
      <c r="Q210" s="45"/>
      <c r="R210" s="45"/>
      <c r="S210" s="53"/>
      <c r="T210" s="113" t="s">
        <v>130</v>
      </c>
      <c r="U210" s="38"/>
      <c r="V210" s="39"/>
      <c r="W210" s="46" t="s">
        <v>14</v>
      </c>
      <c r="X210" s="78" t="s">
        <v>121</v>
      </c>
      <c r="Y210" s="135"/>
      <c r="Z210" s="136" t="s">
        <v>122</v>
      </c>
      <c r="AA210" s="79"/>
      <c r="AB210" s="15"/>
      <c r="AC210" s="78" t="s">
        <v>66</v>
      </c>
      <c r="AD210" s="135"/>
      <c r="AE210" s="135"/>
      <c r="AF210" s="136" t="s">
        <v>73</v>
      </c>
      <c r="AG210" s="135"/>
      <c r="AH210" s="79"/>
      <c r="AI210" s="42"/>
      <c r="AJ210" s="137" t="s">
        <v>131</v>
      </c>
      <c r="AK210" s="138"/>
      <c r="AL210" s="139"/>
      <c r="AM210" s="15"/>
      <c r="AN210" s="15"/>
      <c r="AO210" s="15"/>
      <c r="AP210" s="36"/>
      <c r="AQ210" s="15"/>
      <c r="AR210" s="15"/>
      <c r="AS210" s="36"/>
    </row>
    <row r="211" spans="10:45" ht="5.0999999999999996" customHeight="1">
      <c r="J211" s="118"/>
      <c r="K211" s="15"/>
      <c r="L211" s="15"/>
      <c r="M211" s="15"/>
      <c r="N211" s="15"/>
      <c r="O211" s="118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36"/>
      <c r="AQ211" s="15"/>
      <c r="AR211" s="15"/>
      <c r="AS211" s="36"/>
    </row>
    <row r="212" spans="10:45" ht="18.95" customHeight="1">
      <c r="J212" s="118"/>
      <c r="K212" s="15"/>
      <c r="L212" s="15"/>
      <c r="M212" s="15"/>
      <c r="N212" s="15"/>
      <c r="O212" s="118"/>
      <c r="P212" s="264" t="s">
        <v>26</v>
      </c>
      <c r="Q212" s="56" t="s">
        <v>27</v>
      </c>
      <c r="R212" s="57"/>
      <c r="S212" s="57"/>
      <c r="T212" s="58"/>
      <c r="U212" s="56"/>
      <c r="V212" s="57"/>
      <c r="W212" s="58"/>
      <c r="X212" s="56" t="s">
        <v>132</v>
      </c>
      <c r="Y212" s="57"/>
      <c r="Z212" s="57"/>
      <c r="AA212" s="56"/>
      <c r="AB212" s="57"/>
      <c r="AC212" s="57"/>
      <c r="AD212" s="58"/>
      <c r="AE212" s="56"/>
      <c r="AF212" s="57"/>
      <c r="AG212" s="58"/>
      <c r="AH212" s="57"/>
      <c r="AI212" s="57"/>
      <c r="AJ212" s="58"/>
      <c r="AK212" s="57"/>
      <c r="AL212" s="58"/>
      <c r="AM212" s="57"/>
      <c r="AN212" s="58"/>
      <c r="AO212" s="59"/>
      <c r="AP212" s="36"/>
      <c r="AQ212" s="15"/>
      <c r="AR212" s="15"/>
      <c r="AS212" s="36"/>
    </row>
    <row r="213" spans="10:45" ht="18.95" customHeight="1">
      <c r="J213" s="118"/>
      <c r="K213" s="15"/>
      <c r="L213" s="15"/>
      <c r="M213" s="15"/>
      <c r="N213" s="15"/>
      <c r="O213" s="118"/>
      <c r="P213" s="265"/>
      <c r="Q213" s="56" t="s">
        <v>28</v>
      </c>
      <c r="R213" s="57"/>
      <c r="S213" s="57"/>
      <c r="T213" s="58"/>
      <c r="U213" s="56" t="s">
        <v>29</v>
      </c>
      <c r="V213" s="57"/>
      <c r="W213" s="58"/>
      <c r="X213" s="56" t="s">
        <v>68</v>
      </c>
      <c r="Y213" s="57"/>
      <c r="Z213" s="56" t="s">
        <v>54</v>
      </c>
      <c r="AA213" s="57"/>
      <c r="AB213" s="58"/>
      <c r="AC213" s="57" t="s">
        <v>55</v>
      </c>
      <c r="AD213" s="57"/>
      <c r="AE213" s="56" t="s">
        <v>70</v>
      </c>
      <c r="AF213" s="57"/>
      <c r="AG213" s="56" t="s">
        <v>123</v>
      </c>
      <c r="AH213" s="57"/>
      <c r="AI213" s="57"/>
      <c r="AJ213" s="56" t="s">
        <v>125</v>
      </c>
      <c r="AK213" s="57"/>
      <c r="AL213" s="56" t="s">
        <v>30</v>
      </c>
      <c r="AM213" s="57"/>
      <c r="AN213" s="58"/>
      <c r="AO213" s="63" t="s">
        <v>6</v>
      </c>
      <c r="AP213" s="36"/>
      <c r="AQ213" s="15"/>
      <c r="AR213" s="15"/>
      <c r="AS213" s="36"/>
    </row>
    <row r="214" spans="10:45" ht="18.95" customHeight="1">
      <c r="J214" s="118"/>
      <c r="K214" s="15"/>
      <c r="L214" s="15"/>
      <c r="M214" s="15"/>
      <c r="N214" s="15"/>
      <c r="O214" s="118"/>
      <c r="P214" s="80" t="s">
        <v>7</v>
      </c>
      <c r="Q214" s="141" t="s">
        <v>17</v>
      </c>
      <c r="R214" s="142"/>
      <c r="S214" s="142"/>
      <c r="T214" s="143"/>
      <c r="U214" s="141" t="s">
        <v>19</v>
      </c>
      <c r="V214" s="147"/>
      <c r="W214" s="148"/>
      <c r="X214" s="60" t="s">
        <v>52</v>
      </c>
      <c r="Y214" s="61"/>
      <c r="Z214" s="87" t="s">
        <v>56</v>
      </c>
      <c r="AA214" s="74"/>
      <c r="AB214" s="73"/>
      <c r="AC214" s="60" t="s">
        <v>57</v>
      </c>
      <c r="AD214" s="74"/>
      <c r="AE214" s="60" t="s">
        <v>71</v>
      </c>
      <c r="AF214" s="74"/>
      <c r="AG214" s="266" t="s">
        <v>124</v>
      </c>
      <c r="AH214" s="267"/>
      <c r="AI214" s="267"/>
      <c r="AJ214" s="268">
        <v>0.3</v>
      </c>
      <c r="AK214" s="269"/>
      <c r="AL214" s="60">
        <v>39900</v>
      </c>
      <c r="AM214" s="61"/>
      <c r="AN214" s="62"/>
      <c r="AO214" s="64"/>
      <c r="AP214" s="36"/>
      <c r="AQ214" s="15"/>
      <c r="AR214" s="15"/>
      <c r="AS214" s="36"/>
    </row>
    <row r="215" spans="10:45" ht="18.95" customHeight="1">
      <c r="J215" s="118"/>
      <c r="K215" s="15"/>
      <c r="L215" s="15"/>
      <c r="M215" s="15"/>
      <c r="N215" s="15"/>
      <c r="O215" s="118"/>
      <c r="P215" s="80" t="s">
        <v>7</v>
      </c>
      <c r="Q215" s="144" t="s">
        <v>17</v>
      </c>
      <c r="R215" s="145"/>
      <c r="S215" s="145"/>
      <c r="T215" s="146"/>
      <c r="U215" s="144" t="s">
        <v>36</v>
      </c>
      <c r="V215" s="149"/>
      <c r="W215" s="150"/>
      <c r="X215" s="60" t="s">
        <v>52</v>
      </c>
      <c r="Y215" s="45"/>
      <c r="Z215" s="87" t="s">
        <v>56</v>
      </c>
      <c r="AA215" s="74"/>
      <c r="AB215" s="73"/>
      <c r="AC215" s="60" t="s">
        <v>57</v>
      </c>
      <c r="AD215" s="38"/>
      <c r="AE215" s="60" t="s">
        <v>71</v>
      </c>
      <c r="AF215" s="74"/>
      <c r="AG215" s="266" t="s">
        <v>124</v>
      </c>
      <c r="AH215" s="267"/>
      <c r="AI215" s="267"/>
      <c r="AJ215" s="268">
        <v>0.3</v>
      </c>
      <c r="AK215" s="269"/>
      <c r="AL215" s="44">
        <v>39900</v>
      </c>
      <c r="AM215" s="45"/>
      <c r="AN215" s="53"/>
      <c r="AO215" s="64"/>
      <c r="AP215" s="36"/>
      <c r="AQ215" s="15"/>
      <c r="AR215" s="15"/>
      <c r="AS215" s="36"/>
    </row>
    <row r="216" spans="10:45" ht="18.95" customHeight="1">
      <c r="J216" s="118"/>
      <c r="K216" s="15"/>
      <c r="L216" s="15"/>
      <c r="M216" s="15"/>
      <c r="N216" s="15"/>
      <c r="O216" s="118"/>
      <c r="P216" s="80" t="s">
        <v>7</v>
      </c>
      <c r="Q216" s="144" t="s">
        <v>17</v>
      </c>
      <c r="R216" s="145"/>
      <c r="S216" s="145"/>
      <c r="T216" s="146"/>
      <c r="U216" s="144" t="s">
        <v>127</v>
      </c>
      <c r="V216" s="149"/>
      <c r="W216" s="150"/>
      <c r="X216" s="60" t="s">
        <v>52</v>
      </c>
      <c r="Y216" s="61"/>
      <c r="Z216" s="87" t="s">
        <v>56</v>
      </c>
      <c r="AA216" s="74"/>
      <c r="AB216" s="73"/>
      <c r="AC216" s="60" t="s">
        <v>57</v>
      </c>
      <c r="AD216" s="74"/>
      <c r="AE216" s="60" t="s">
        <v>71</v>
      </c>
      <c r="AF216" s="74"/>
      <c r="AG216" s="266" t="s">
        <v>124</v>
      </c>
      <c r="AH216" s="267"/>
      <c r="AI216" s="267"/>
      <c r="AJ216" s="268">
        <v>0.3</v>
      </c>
      <c r="AK216" s="269"/>
      <c r="AL216" s="60">
        <v>39900</v>
      </c>
      <c r="AM216" s="61"/>
      <c r="AN216" s="62"/>
      <c r="AO216" s="64"/>
      <c r="AP216" s="36"/>
      <c r="AQ216" s="15"/>
      <c r="AR216" s="15"/>
      <c r="AS216" s="36"/>
    </row>
    <row r="217" spans="10:45" ht="18.95" customHeight="1">
      <c r="J217" s="118"/>
      <c r="K217" s="15"/>
      <c r="L217" s="15"/>
      <c r="M217" s="15"/>
      <c r="N217" s="15"/>
      <c r="O217" s="118"/>
      <c r="P217" s="80" t="s">
        <v>7</v>
      </c>
      <c r="Q217" s="144" t="s">
        <v>17</v>
      </c>
      <c r="R217" s="145"/>
      <c r="S217" s="145"/>
      <c r="T217" s="146"/>
      <c r="U217" s="144" t="s">
        <v>129</v>
      </c>
      <c r="V217" s="149"/>
      <c r="W217" s="150"/>
      <c r="X217" s="44" t="s">
        <v>52</v>
      </c>
      <c r="Y217" s="45"/>
      <c r="Z217" s="37" t="s">
        <v>56</v>
      </c>
      <c r="AA217" s="38"/>
      <c r="AB217" s="39"/>
      <c r="AC217" s="44" t="s">
        <v>57</v>
      </c>
      <c r="AD217" s="38"/>
      <c r="AE217" s="44" t="s">
        <v>71</v>
      </c>
      <c r="AF217" s="38"/>
      <c r="AG217" s="266" t="s">
        <v>124</v>
      </c>
      <c r="AH217" s="267"/>
      <c r="AI217" s="267"/>
      <c r="AJ217" s="268">
        <v>0.3</v>
      </c>
      <c r="AK217" s="269"/>
      <c r="AL217" s="44">
        <v>39900</v>
      </c>
      <c r="AM217" s="45"/>
      <c r="AN217" s="53"/>
      <c r="AO217" s="40"/>
      <c r="AP217" s="36"/>
      <c r="AQ217" s="15"/>
      <c r="AR217" s="15"/>
      <c r="AS217" s="36"/>
    </row>
    <row r="218" spans="10:45" ht="9.9499999999999993" customHeight="1">
      <c r="J218" s="118"/>
      <c r="K218" s="15"/>
      <c r="L218" s="15"/>
      <c r="M218" s="15"/>
      <c r="N218" s="15"/>
      <c r="O218" s="67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68"/>
      <c r="AC218" s="68"/>
      <c r="AD218" s="68"/>
      <c r="AE218" s="68"/>
      <c r="AF218" s="68"/>
      <c r="AG218" s="68"/>
      <c r="AH218" s="68"/>
      <c r="AI218" s="68"/>
      <c r="AJ218" s="68"/>
      <c r="AK218" s="68"/>
      <c r="AL218" s="68"/>
      <c r="AM218" s="68"/>
      <c r="AN218" s="68"/>
      <c r="AO218" s="68"/>
      <c r="AP218" s="69"/>
      <c r="AQ218" s="15"/>
      <c r="AR218" s="15"/>
      <c r="AS218" s="36"/>
    </row>
    <row r="219" spans="10:45" ht="18.95" customHeight="1">
      <c r="J219" s="118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36"/>
    </row>
    <row r="220" spans="10:45" ht="9.9499999999999993" customHeight="1">
      <c r="J220" s="118"/>
      <c r="K220" s="15"/>
      <c r="L220" s="15"/>
      <c r="M220" s="15"/>
      <c r="N220" s="15"/>
      <c r="O220" s="25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92"/>
      <c r="AQ220" s="15"/>
      <c r="AR220" s="15"/>
      <c r="AS220" s="36"/>
    </row>
    <row r="221" spans="10:45" ht="18.95" customHeight="1">
      <c r="J221" s="118"/>
      <c r="N221" s="15"/>
      <c r="O221" s="118"/>
      <c r="P221" s="172" t="s">
        <v>174</v>
      </c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36"/>
      <c r="AQ221" s="15"/>
      <c r="AR221" s="15"/>
      <c r="AS221" s="36"/>
    </row>
    <row r="222" spans="10:45" ht="9.9499999999999993" customHeight="1">
      <c r="J222" s="118"/>
      <c r="N222" s="15"/>
      <c r="O222" s="118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36"/>
      <c r="AQ222" s="15"/>
      <c r="AR222" s="15"/>
      <c r="AS222" s="36"/>
    </row>
    <row r="223" spans="10:45" ht="18.95" customHeight="1">
      <c r="J223" s="118"/>
      <c r="K223" s="85" t="s">
        <v>184</v>
      </c>
      <c r="L223" s="15"/>
      <c r="M223" s="15"/>
      <c r="N223" s="15"/>
      <c r="O223" s="118"/>
      <c r="P223" s="15" t="s">
        <v>224</v>
      </c>
      <c r="Q223" s="15"/>
      <c r="R223" s="15"/>
      <c r="S223" s="182" t="s">
        <v>269</v>
      </c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  <c r="AI223" s="83"/>
      <c r="AJ223" s="83"/>
      <c r="AK223" s="83"/>
      <c r="AL223" s="83"/>
      <c r="AM223" s="83"/>
      <c r="AN223" s="83"/>
      <c r="AO223" s="181"/>
      <c r="AP223" s="36"/>
      <c r="AQ223" s="15"/>
      <c r="AR223" s="15"/>
      <c r="AS223" s="36"/>
    </row>
    <row r="224" spans="10:45" ht="9.9499999999999993" customHeight="1">
      <c r="J224" s="118"/>
      <c r="K224" s="15"/>
      <c r="L224" s="15"/>
      <c r="M224" s="15"/>
      <c r="N224" s="15"/>
      <c r="O224" s="118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36"/>
      <c r="AQ224" s="15"/>
      <c r="AR224" s="15"/>
      <c r="AS224" s="36"/>
    </row>
    <row r="225" spans="10:45" ht="18.95" customHeight="1">
      <c r="J225" s="118"/>
      <c r="K225" s="90" t="s">
        <v>246</v>
      </c>
      <c r="L225" s="15"/>
      <c r="M225" s="15"/>
      <c r="N225" s="15"/>
      <c r="O225" s="118"/>
      <c r="P225" s="15" t="s">
        <v>175</v>
      </c>
      <c r="Q225" s="15"/>
      <c r="R225" s="15"/>
      <c r="S225" s="15"/>
      <c r="T225" s="15"/>
      <c r="U225" s="51" t="s">
        <v>22</v>
      </c>
      <c r="V225" s="43" t="s">
        <v>178</v>
      </c>
      <c r="W225" s="19"/>
      <c r="X225" s="51" t="s">
        <v>21</v>
      </c>
      <c r="Y225" s="43" t="s">
        <v>179</v>
      </c>
      <c r="Z225" s="43"/>
      <c r="AA225" s="15"/>
      <c r="AB225" s="15"/>
      <c r="AC225" s="15" t="s">
        <v>177</v>
      </c>
      <c r="AD225" s="15"/>
      <c r="AE225" s="15"/>
      <c r="AF225" s="15"/>
      <c r="AG225" s="15"/>
      <c r="AH225" s="113" t="s">
        <v>180</v>
      </c>
      <c r="AI225" s="39"/>
      <c r="AJ225" s="41" t="s">
        <v>16</v>
      </c>
      <c r="AK225" s="113" t="s">
        <v>181</v>
      </c>
      <c r="AL225" s="39"/>
      <c r="AM225" s="15"/>
      <c r="AN225" s="15"/>
      <c r="AO225" s="15"/>
      <c r="AP225" s="36"/>
      <c r="AQ225" s="15"/>
      <c r="AR225" s="15"/>
      <c r="AS225" s="36"/>
    </row>
    <row r="226" spans="10:45" ht="9.9499999999999993" customHeight="1">
      <c r="J226" s="118"/>
      <c r="K226" s="15"/>
      <c r="L226" s="15"/>
      <c r="M226" s="15"/>
      <c r="N226" s="15"/>
      <c r="O226" s="118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36"/>
      <c r="AQ226" s="15"/>
      <c r="AR226" s="15"/>
      <c r="AS226" s="36"/>
    </row>
    <row r="227" spans="10:45" ht="18.95" customHeight="1">
      <c r="J227" s="118"/>
      <c r="K227" s="15"/>
      <c r="L227" s="15"/>
      <c r="M227" s="15"/>
      <c r="N227" s="15"/>
      <c r="O227" s="118"/>
      <c r="P227" s="160" t="s">
        <v>182</v>
      </c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36"/>
      <c r="AQ227" s="15"/>
      <c r="AR227" s="15"/>
      <c r="AS227" s="36"/>
    </row>
    <row r="228" spans="10:45" ht="9.9499999999999993" customHeight="1">
      <c r="J228" s="118"/>
      <c r="K228" s="15"/>
      <c r="L228" s="15"/>
      <c r="M228" s="15"/>
      <c r="N228" s="15"/>
      <c r="O228" s="118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36"/>
      <c r="AQ228" s="15"/>
      <c r="AR228" s="15"/>
      <c r="AS228" s="36"/>
    </row>
    <row r="229" spans="10:45" ht="18.95" customHeight="1">
      <c r="J229" s="118"/>
      <c r="K229" s="15"/>
      <c r="L229" s="15"/>
      <c r="M229" s="15"/>
      <c r="N229" s="15"/>
      <c r="O229" s="118"/>
      <c r="P229" s="44" t="s">
        <v>17</v>
      </c>
      <c r="Q229" s="45"/>
      <c r="R229" s="45"/>
      <c r="S229" s="53"/>
      <c r="T229" s="113" t="s">
        <v>130</v>
      </c>
      <c r="U229" s="38"/>
      <c r="V229" s="39"/>
      <c r="W229" s="46" t="s">
        <v>14</v>
      </c>
      <c r="X229" s="78" t="s">
        <v>121</v>
      </c>
      <c r="Y229" s="135"/>
      <c r="Z229" s="136" t="s">
        <v>122</v>
      </c>
      <c r="AA229" s="79"/>
      <c r="AB229" s="15"/>
      <c r="AC229" s="78" t="s">
        <v>66</v>
      </c>
      <c r="AD229" s="135"/>
      <c r="AE229" s="135"/>
      <c r="AF229" s="136" t="s">
        <v>73</v>
      </c>
      <c r="AG229" s="135"/>
      <c r="AH229" s="79"/>
      <c r="AI229" s="42"/>
      <c r="AJ229" s="137" t="s">
        <v>131</v>
      </c>
      <c r="AK229" s="138"/>
      <c r="AL229" s="139"/>
      <c r="AM229" s="15"/>
      <c r="AN229" s="15"/>
      <c r="AO229" s="15"/>
      <c r="AP229" s="36"/>
      <c r="AQ229" s="15"/>
      <c r="AR229" s="15"/>
      <c r="AS229" s="36"/>
    </row>
    <row r="230" spans="10:45" ht="5.0999999999999996" customHeight="1">
      <c r="J230" s="118"/>
      <c r="K230" s="15"/>
      <c r="L230" s="15"/>
      <c r="M230" s="15"/>
      <c r="N230" s="15"/>
      <c r="O230" s="118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36"/>
      <c r="AQ230" s="15"/>
      <c r="AR230" s="15"/>
      <c r="AS230" s="36"/>
    </row>
    <row r="231" spans="10:45" ht="18.95" customHeight="1">
      <c r="J231" s="118"/>
      <c r="K231" s="15"/>
      <c r="L231" s="15"/>
      <c r="M231" s="15"/>
      <c r="N231" s="15"/>
      <c r="O231" s="118"/>
      <c r="P231" s="264" t="s">
        <v>26</v>
      </c>
      <c r="Q231" s="56" t="s">
        <v>27</v>
      </c>
      <c r="R231" s="57"/>
      <c r="S231" s="57"/>
      <c r="T231" s="58"/>
      <c r="U231" s="56"/>
      <c r="V231" s="57"/>
      <c r="W231" s="58"/>
      <c r="X231" s="56" t="s">
        <v>132</v>
      </c>
      <c r="Y231" s="57"/>
      <c r="Z231" s="57"/>
      <c r="AA231" s="56"/>
      <c r="AB231" s="57"/>
      <c r="AC231" s="57"/>
      <c r="AD231" s="58"/>
      <c r="AE231" s="56"/>
      <c r="AF231" s="57"/>
      <c r="AG231" s="58"/>
      <c r="AH231" s="57"/>
      <c r="AI231" s="57"/>
      <c r="AJ231" s="58"/>
      <c r="AK231" s="57"/>
      <c r="AL231" s="58"/>
      <c r="AM231" s="57"/>
      <c r="AN231" s="58"/>
      <c r="AO231" s="59"/>
      <c r="AP231" s="36"/>
      <c r="AQ231" s="15"/>
      <c r="AR231" s="15"/>
      <c r="AS231" s="36"/>
    </row>
    <row r="232" spans="10:45" ht="18.95" customHeight="1">
      <c r="J232" s="118"/>
      <c r="K232" s="15"/>
      <c r="L232" s="15"/>
      <c r="M232" s="15"/>
      <c r="N232" s="15"/>
      <c r="O232" s="118"/>
      <c r="P232" s="265"/>
      <c r="Q232" s="56" t="s">
        <v>28</v>
      </c>
      <c r="R232" s="57"/>
      <c r="S232" s="57"/>
      <c r="T232" s="58"/>
      <c r="U232" s="56" t="s">
        <v>29</v>
      </c>
      <c r="V232" s="57"/>
      <c r="W232" s="58"/>
      <c r="X232" s="56" t="s">
        <v>68</v>
      </c>
      <c r="Y232" s="57"/>
      <c r="Z232" s="56" t="s">
        <v>54</v>
      </c>
      <c r="AA232" s="57"/>
      <c r="AB232" s="58"/>
      <c r="AC232" s="57" t="s">
        <v>55</v>
      </c>
      <c r="AD232" s="57"/>
      <c r="AE232" s="56" t="s">
        <v>70</v>
      </c>
      <c r="AF232" s="57"/>
      <c r="AG232" s="56" t="s">
        <v>123</v>
      </c>
      <c r="AH232" s="57"/>
      <c r="AI232" s="57"/>
      <c r="AJ232" s="56" t="s">
        <v>125</v>
      </c>
      <c r="AK232" s="57"/>
      <c r="AL232" s="56" t="s">
        <v>30</v>
      </c>
      <c r="AM232" s="57"/>
      <c r="AN232" s="58"/>
      <c r="AO232" s="63" t="s">
        <v>6</v>
      </c>
      <c r="AP232" s="36"/>
      <c r="AQ232" s="15"/>
      <c r="AR232" s="15"/>
      <c r="AS232" s="36"/>
    </row>
    <row r="233" spans="10:45" ht="18.95" customHeight="1">
      <c r="J233" s="118"/>
      <c r="K233" s="15"/>
      <c r="L233" s="15"/>
      <c r="M233" s="15"/>
      <c r="N233" s="15"/>
      <c r="O233" s="118"/>
      <c r="P233" s="80" t="s">
        <v>7</v>
      </c>
      <c r="Q233" s="141" t="s">
        <v>17</v>
      </c>
      <c r="R233" s="142"/>
      <c r="S233" s="142"/>
      <c r="T233" s="143"/>
      <c r="U233" s="141" t="s">
        <v>19</v>
      </c>
      <c r="V233" s="147"/>
      <c r="W233" s="148"/>
      <c r="X233" s="60" t="s">
        <v>52</v>
      </c>
      <c r="Y233" s="61"/>
      <c r="Z233" s="87" t="s">
        <v>56</v>
      </c>
      <c r="AA233" s="74"/>
      <c r="AB233" s="73"/>
      <c r="AC233" s="60" t="s">
        <v>57</v>
      </c>
      <c r="AD233" s="74"/>
      <c r="AE233" s="60" t="s">
        <v>71</v>
      </c>
      <c r="AF233" s="74"/>
      <c r="AG233" s="266" t="s">
        <v>124</v>
      </c>
      <c r="AH233" s="267"/>
      <c r="AI233" s="267"/>
      <c r="AJ233" s="268">
        <v>0.3</v>
      </c>
      <c r="AK233" s="269"/>
      <c r="AL233" s="60">
        <v>39900</v>
      </c>
      <c r="AM233" s="61"/>
      <c r="AN233" s="62"/>
      <c r="AO233" s="64"/>
      <c r="AP233" s="36"/>
      <c r="AQ233" s="15"/>
      <c r="AR233" s="15"/>
      <c r="AS233" s="36"/>
    </row>
    <row r="234" spans="10:45" ht="18.95" customHeight="1">
      <c r="J234" s="118"/>
      <c r="K234" s="15"/>
      <c r="L234" s="15"/>
      <c r="M234" s="15"/>
      <c r="N234" s="15"/>
      <c r="O234" s="118"/>
      <c r="P234" s="80" t="s">
        <v>7</v>
      </c>
      <c r="Q234" s="144" t="s">
        <v>17</v>
      </c>
      <c r="R234" s="145"/>
      <c r="S234" s="145"/>
      <c r="T234" s="146"/>
      <c r="U234" s="144" t="s">
        <v>36</v>
      </c>
      <c r="V234" s="149"/>
      <c r="W234" s="150"/>
      <c r="X234" s="60" t="s">
        <v>52</v>
      </c>
      <c r="Y234" s="45"/>
      <c r="Z234" s="87" t="s">
        <v>56</v>
      </c>
      <c r="AA234" s="74"/>
      <c r="AB234" s="73"/>
      <c r="AC234" s="60" t="s">
        <v>57</v>
      </c>
      <c r="AD234" s="38"/>
      <c r="AE234" s="60" t="s">
        <v>71</v>
      </c>
      <c r="AF234" s="74"/>
      <c r="AG234" s="266" t="s">
        <v>124</v>
      </c>
      <c r="AH234" s="267"/>
      <c r="AI234" s="267"/>
      <c r="AJ234" s="268">
        <v>0.3</v>
      </c>
      <c r="AK234" s="269"/>
      <c r="AL234" s="44">
        <v>39900</v>
      </c>
      <c r="AM234" s="45"/>
      <c r="AN234" s="53"/>
      <c r="AO234" s="64"/>
      <c r="AP234" s="36"/>
      <c r="AQ234" s="15"/>
      <c r="AR234" s="15"/>
      <c r="AS234" s="36"/>
    </row>
    <row r="235" spans="10:45" ht="18.95" customHeight="1">
      <c r="J235" s="118"/>
      <c r="K235" s="15"/>
      <c r="L235" s="15"/>
      <c r="M235" s="15"/>
      <c r="N235" s="15"/>
      <c r="O235" s="118"/>
      <c r="P235" s="80" t="s">
        <v>7</v>
      </c>
      <c r="Q235" s="144" t="s">
        <v>17</v>
      </c>
      <c r="R235" s="145"/>
      <c r="S235" s="145"/>
      <c r="T235" s="146"/>
      <c r="U235" s="144" t="s">
        <v>127</v>
      </c>
      <c r="V235" s="149"/>
      <c r="W235" s="150"/>
      <c r="X235" s="60" t="s">
        <v>52</v>
      </c>
      <c r="Y235" s="61"/>
      <c r="Z235" s="87" t="s">
        <v>56</v>
      </c>
      <c r="AA235" s="74"/>
      <c r="AB235" s="73"/>
      <c r="AC235" s="60" t="s">
        <v>57</v>
      </c>
      <c r="AD235" s="74"/>
      <c r="AE235" s="60" t="s">
        <v>71</v>
      </c>
      <c r="AF235" s="74"/>
      <c r="AG235" s="266" t="s">
        <v>124</v>
      </c>
      <c r="AH235" s="267"/>
      <c r="AI235" s="267"/>
      <c r="AJ235" s="268">
        <v>0.3</v>
      </c>
      <c r="AK235" s="269"/>
      <c r="AL235" s="60">
        <v>39900</v>
      </c>
      <c r="AM235" s="61"/>
      <c r="AN235" s="62"/>
      <c r="AO235" s="64"/>
      <c r="AP235" s="36"/>
      <c r="AQ235" s="15"/>
      <c r="AR235" s="15"/>
      <c r="AS235" s="36"/>
    </row>
    <row r="236" spans="10:45" ht="18.95" customHeight="1">
      <c r="J236" s="118"/>
      <c r="K236" s="15"/>
      <c r="L236" s="15"/>
      <c r="M236" s="15"/>
      <c r="N236" s="15"/>
      <c r="O236" s="118"/>
      <c r="P236" s="80" t="s">
        <v>7</v>
      </c>
      <c r="Q236" s="144" t="s">
        <v>17</v>
      </c>
      <c r="R236" s="145"/>
      <c r="S236" s="145"/>
      <c r="T236" s="146"/>
      <c r="U236" s="144" t="s">
        <v>129</v>
      </c>
      <c r="V236" s="149"/>
      <c r="W236" s="150"/>
      <c r="X236" s="44" t="s">
        <v>52</v>
      </c>
      <c r="Y236" s="45"/>
      <c r="Z236" s="37" t="s">
        <v>56</v>
      </c>
      <c r="AA236" s="38"/>
      <c r="AB236" s="39"/>
      <c r="AC236" s="44" t="s">
        <v>57</v>
      </c>
      <c r="AD236" s="38"/>
      <c r="AE236" s="44" t="s">
        <v>71</v>
      </c>
      <c r="AF236" s="38"/>
      <c r="AG236" s="266" t="s">
        <v>124</v>
      </c>
      <c r="AH236" s="267"/>
      <c r="AI236" s="267"/>
      <c r="AJ236" s="268">
        <v>0.3</v>
      </c>
      <c r="AK236" s="269"/>
      <c r="AL236" s="44">
        <v>39900</v>
      </c>
      <c r="AM236" s="45"/>
      <c r="AN236" s="53"/>
      <c r="AO236" s="40"/>
      <c r="AP236" s="36"/>
      <c r="AQ236" s="15"/>
      <c r="AR236" s="15"/>
      <c r="AS236" s="36"/>
    </row>
    <row r="237" spans="10:45" ht="9.9499999999999993" customHeight="1">
      <c r="J237" s="118"/>
      <c r="K237" s="15"/>
      <c r="L237" s="15"/>
      <c r="M237" s="15"/>
      <c r="N237" s="15"/>
      <c r="O237" s="67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  <c r="AB237" s="68"/>
      <c r="AC237" s="68"/>
      <c r="AD237" s="68"/>
      <c r="AE237" s="68"/>
      <c r="AF237" s="68"/>
      <c r="AG237" s="68"/>
      <c r="AH237" s="68"/>
      <c r="AI237" s="68"/>
      <c r="AJ237" s="68"/>
      <c r="AK237" s="68"/>
      <c r="AL237" s="68"/>
      <c r="AM237" s="68"/>
      <c r="AN237" s="68"/>
      <c r="AO237" s="68"/>
      <c r="AP237" s="69"/>
      <c r="AQ237" s="15"/>
      <c r="AR237" s="15"/>
      <c r="AS237" s="36"/>
    </row>
    <row r="238" spans="10:45" ht="18.95" customHeight="1">
      <c r="J238" s="118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36"/>
    </row>
    <row r="239" spans="10:45" ht="18.95" customHeight="1">
      <c r="J239" s="118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36"/>
    </row>
    <row r="240" spans="10:45" ht="18.95" customHeight="1">
      <c r="J240" s="118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36"/>
    </row>
    <row r="241" spans="10:45" ht="9.9499999999999993" customHeight="1">
      <c r="J241" s="118"/>
      <c r="K241" s="15"/>
      <c r="L241" s="15"/>
      <c r="M241" s="15"/>
      <c r="N241" s="15"/>
      <c r="O241" s="184"/>
      <c r="P241" s="185"/>
      <c r="Q241" s="185"/>
      <c r="R241" s="185"/>
      <c r="S241" s="185"/>
      <c r="T241" s="185"/>
      <c r="U241" s="185"/>
      <c r="V241" s="185"/>
      <c r="W241" s="185"/>
      <c r="X241" s="185"/>
      <c r="Y241" s="185"/>
      <c r="Z241" s="185"/>
      <c r="AA241" s="185"/>
      <c r="AB241" s="185"/>
      <c r="AC241" s="185"/>
      <c r="AD241" s="185"/>
      <c r="AE241" s="185"/>
      <c r="AF241" s="185"/>
      <c r="AG241" s="185"/>
      <c r="AH241" s="185"/>
      <c r="AI241" s="185"/>
      <c r="AJ241" s="185"/>
      <c r="AK241" s="185"/>
      <c r="AL241" s="185"/>
      <c r="AM241" s="185"/>
      <c r="AN241" s="185"/>
      <c r="AO241" s="185"/>
      <c r="AP241" s="186"/>
      <c r="AQ241" s="15"/>
      <c r="AR241" s="15"/>
      <c r="AS241" s="36"/>
    </row>
    <row r="242" spans="10:45" ht="18.95" customHeight="1">
      <c r="J242" s="118"/>
      <c r="K242" s="85" t="s">
        <v>243</v>
      </c>
      <c r="L242" s="15"/>
      <c r="M242" s="15"/>
      <c r="N242" s="15"/>
      <c r="O242" s="187"/>
      <c r="P242" s="188" t="s">
        <v>174</v>
      </c>
      <c r="Q242" s="189"/>
      <c r="R242" s="189"/>
      <c r="S242" s="189"/>
      <c r="T242" s="189"/>
      <c r="U242" s="189"/>
      <c r="V242" s="189"/>
      <c r="W242" s="189"/>
      <c r="X242" s="189"/>
      <c r="Y242" s="189"/>
      <c r="Z242" s="189"/>
      <c r="AA242" s="189"/>
      <c r="AB242" s="189"/>
      <c r="AC242" s="189"/>
      <c r="AD242" s="189"/>
      <c r="AE242" s="189"/>
      <c r="AF242" s="189"/>
      <c r="AG242" s="189"/>
      <c r="AH242" s="189"/>
      <c r="AI242" s="189"/>
      <c r="AJ242" s="189"/>
      <c r="AK242" s="189"/>
      <c r="AL242" s="189"/>
      <c r="AM242" s="189"/>
      <c r="AN242" s="189"/>
      <c r="AO242" s="189"/>
      <c r="AP242" s="190"/>
      <c r="AQ242" s="15"/>
      <c r="AR242" s="15"/>
      <c r="AS242" s="36"/>
    </row>
    <row r="243" spans="10:45" ht="9.9499999999999993" customHeight="1">
      <c r="J243" s="118"/>
      <c r="K243" s="15"/>
      <c r="L243" s="15"/>
      <c r="M243" s="15"/>
      <c r="N243" s="15"/>
      <c r="O243" s="187"/>
      <c r="P243" s="189"/>
      <c r="Q243" s="189"/>
      <c r="R243" s="189"/>
      <c r="S243" s="189"/>
      <c r="T243" s="189"/>
      <c r="U243" s="189"/>
      <c r="V243" s="189"/>
      <c r="W243" s="189"/>
      <c r="X243" s="189"/>
      <c r="Y243" s="189"/>
      <c r="Z243" s="189"/>
      <c r="AA243" s="189"/>
      <c r="AB243" s="189"/>
      <c r="AC243" s="189"/>
      <c r="AD243" s="189"/>
      <c r="AE243" s="189"/>
      <c r="AF243" s="189"/>
      <c r="AG243" s="189"/>
      <c r="AH243" s="189"/>
      <c r="AI243" s="189"/>
      <c r="AJ243" s="189"/>
      <c r="AK243" s="189"/>
      <c r="AL243" s="189"/>
      <c r="AM243" s="189"/>
      <c r="AN243" s="189"/>
      <c r="AO243" s="189"/>
      <c r="AP243" s="190"/>
      <c r="AQ243" s="15"/>
      <c r="AR243" s="15"/>
      <c r="AS243" s="36"/>
    </row>
    <row r="244" spans="10:45" ht="18.95" customHeight="1">
      <c r="J244" s="118"/>
      <c r="K244" s="86" t="s">
        <v>245</v>
      </c>
      <c r="L244" s="15"/>
      <c r="M244" s="15"/>
      <c r="N244" s="15"/>
      <c r="O244" s="187"/>
      <c r="P244" s="189" t="s">
        <v>224</v>
      </c>
      <c r="Q244" s="189"/>
      <c r="R244" s="189"/>
      <c r="S244" s="182" t="s">
        <v>244</v>
      </c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3"/>
      <c r="AE244" s="83"/>
      <c r="AF244" s="83"/>
      <c r="AG244" s="83"/>
      <c r="AH244" s="83"/>
      <c r="AI244" s="83"/>
      <c r="AJ244" s="83"/>
      <c r="AK244" s="83"/>
      <c r="AL244" s="83"/>
      <c r="AM244" s="83"/>
      <c r="AN244" s="83"/>
      <c r="AO244" s="181"/>
      <c r="AP244" s="190"/>
      <c r="AQ244" s="15"/>
      <c r="AR244" s="15"/>
      <c r="AS244" s="36"/>
    </row>
    <row r="245" spans="10:45" ht="9.9499999999999993" customHeight="1">
      <c r="J245" s="118"/>
      <c r="K245" s="15"/>
      <c r="L245" s="15"/>
      <c r="M245" s="15"/>
      <c r="N245" s="15"/>
      <c r="O245" s="187"/>
      <c r="P245" s="189"/>
      <c r="Q245" s="189"/>
      <c r="R245" s="189"/>
      <c r="S245" s="189"/>
      <c r="T245" s="189"/>
      <c r="U245" s="189"/>
      <c r="V245" s="189"/>
      <c r="W245" s="189"/>
      <c r="X245" s="189"/>
      <c r="Y245" s="189"/>
      <c r="Z245" s="189"/>
      <c r="AA245" s="189"/>
      <c r="AB245" s="189"/>
      <c r="AC245" s="189"/>
      <c r="AD245" s="189"/>
      <c r="AE245" s="189"/>
      <c r="AF245" s="189"/>
      <c r="AG245" s="189"/>
      <c r="AH245" s="189"/>
      <c r="AI245" s="189"/>
      <c r="AJ245" s="189"/>
      <c r="AK245" s="189"/>
      <c r="AL245" s="189"/>
      <c r="AM245" s="189"/>
      <c r="AN245" s="189"/>
      <c r="AO245" s="189"/>
      <c r="AP245" s="190"/>
      <c r="AQ245" s="15"/>
      <c r="AR245" s="15"/>
      <c r="AS245" s="36"/>
    </row>
    <row r="246" spans="10:45" ht="18.95" customHeight="1">
      <c r="J246" s="118"/>
      <c r="K246" s="15"/>
      <c r="L246" s="15"/>
      <c r="M246" s="15"/>
      <c r="N246" s="15"/>
      <c r="O246" s="187"/>
      <c r="P246" s="189" t="s">
        <v>175</v>
      </c>
      <c r="Q246" s="189"/>
      <c r="R246" s="189"/>
      <c r="S246" s="189"/>
      <c r="T246" s="189"/>
      <c r="U246" s="191" t="s">
        <v>22</v>
      </c>
      <c r="V246" s="192" t="s">
        <v>178</v>
      </c>
      <c r="W246" s="193"/>
      <c r="X246" s="191" t="s">
        <v>21</v>
      </c>
      <c r="Y246" s="192" t="s">
        <v>179</v>
      </c>
      <c r="Z246" s="192"/>
      <c r="AA246" s="189"/>
      <c r="AB246" s="189"/>
      <c r="AC246" s="189" t="s">
        <v>177</v>
      </c>
      <c r="AD246" s="189"/>
      <c r="AE246" s="189"/>
      <c r="AF246" s="189"/>
      <c r="AG246" s="189"/>
      <c r="AH246" s="113" t="s">
        <v>180</v>
      </c>
      <c r="AI246" s="39"/>
      <c r="AJ246" s="191" t="s">
        <v>16</v>
      </c>
      <c r="AK246" s="113" t="s">
        <v>181</v>
      </c>
      <c r="AL246" s="39"/>
      <c r="AM246" s="189"/>
      <c r="AN246" s="189"/>
      <c r="AO246" s="189"/>
      <c r="AP246" s="190"/>
      <c r="AQ246" s="15"/>
      <c r="AR246" s="15"/>
      <c r="AS246" s="36"/>
    </row>
    <row r="247" spans="10:45" ht="9.9499999999999993" customHeight="1">
      <c r="J247" s="118"/>
      <c r="K247" s="15"/>
      <c r="L247" s="15"/>
      <c r="M247" s="15"/>
      <c r="N247" s="15"/>
      <c r="O247" s="187"/>
      <c r="P247" s="189"/>
      <c r="Q247" s="189"/>
      <c r="R247" s="189"/>
      <c r="S247" s="189"/>
      <c r="T247" s="189"/>
      <c r="U247" s="189"/>
      <c r="V247" s="189"/>
      <c r="W247" s="189"/>
      <c r="X247" s="189"/>
      <c r="Y247" s="189"/>
      <c r="Z247" s="189"/>
      <c r="AA247" s="189"/>
      <c r="AB247" s="189"/>
      <c r="AC247" s="189"/>
      <c r="AD247" s="189"/>
      <c r="AE247" s="189"/>
      <c r="AF247" s="189"/>
      <c r="AG247" s="189"/>
      <c r="AH247" s="189"/>
      <c r="AI247" s="189"/>
      <c r="AJ247" s="189"/>
      <c r="AK247" s="189"/>
      <c r="AL247" s="189"/>
      <c r="AM247" s="189"/>
      <c r="AN247" s="189"/>
      <c r="AO247" s="189"/>
      <c r="AP247" s="190"/>
      <c r="AQ247" s="15"/>
      <c r="AR247" s="15"/>
      <c r="AS247" s="36"/>
    </row>
    <row r="248" spans="10:45" ht="18.95" customHeight="1">
      <c r="J248" s="118"/>
      <c r="K248" s="15"/>
      <c r="L248" s="15"/>
      <c r="M248" s="15"/>
      <c r="N248" s="15"/>
      <c r="O248" s="187"/>
      <c r="P248" s="194" t="s">
        <v>182</v>
      </c>
      <c r="Q248" s="189"/>
      <c r="R248" s="189"/>
      <c r="S248" s="189"/>
      <c r="T248" s="189"/>
      <c r="U248" s="189"/>
      <c r="V248" s="189"/>
      <c r="W248" s="189"/>
      <c r="X248" s="189"/>
      <c r="Y248" s="189"/>
      <c r="Z248" s="189"/>
      <c r="AA248" s="189"/>
      <c r="AB248" s="189"/>
      <c r="AC248" s="189"/>
      <c r="AD248" s="189"/>
      <c r="AE248" s="189"/>
      <c r="AF248" s="189"/>
      <c r="AG248" s="189"/>
      <c r="AH248" s="189"/>
      <c r="AI248" s="189"/>
      <c r="AJ248" s="189"/>
      <c r="AK248" s="189"/>
      <c r="AL248" s="189"/>
      <c r="AM248" s="189"/>
      <c r="AN248" s="189"/>
      <c r="AO248" s="189"/>
      <c r="AP248" s="190"/>
      <c r="AQ248" s="15"/>
      <c r="AR248" s="15"/>
      <c r="AS248" s="36"/>
    </row>
    <row r="249" spans="10:45" ht="9.9499999999999993" customHeight="1">
      <c r="J249" s="118"/>
      <c r="K249" s="15"/>
      <c r="L249" s="15"/>
      <c r="M249" s="15"/>
      <c r="N249" s="15"/>
      <c r="O249" s="187"/>
      <c r="P249" s="189"/>
      <c r="Q249" s="189"/>
      <c r="R249" s="189"/>
      <c r="S249" s="189"/>
      <c r="T249" s="189"/>
      <c r="U249" s="189"/>
      <c r="V249" s="189"/>
      <c r="W249" s="189"/>
      <c r="X249" s="189"/>
      <c r="Y249" s="189"/>
      <c r="Z249" s="189"/>
      <c r="AA249" s="189"/>
      <c r="AB249" s="189"/>
      <c r="AC249" s="189"/>
      <c r="AD249" s="189"/>
      <c r="AE249" s="189"/>
      <c r="AF249" s="189"/>
      <c r="AG249" s="189"/>
      <c r="AH249" s="189"/>
      <c r="AI249" s="189"/>
      <c r="AJ249" s="189"/>
      <c r="AK249" s="189"/>
      <c r="AL249" s="189"/>
      <c r="AM249" s="189"/>
      <c r="AN249" s="189"/>
      <c r="AO249" s="189"/>
      <c r="AP249" s="190"/>
      <c r="AQ249" s="15"/>
      <c r="AR249" s="15"/>
      <c r="AS249" s="36"/>
    </row>
    <row r="250" spans="10:45" ht="18.95" customHeight="1">
      <c r="J250" s="118"/>
      <c r="K250" s="15"/>
      <c r="L250" s="15"/>
      <c r="M250" s="15"/>
      <c r="N250" s="15"/>
      <c r="O250" s="187"/>
      <c r="P250" s="44" t="s">
        <v>17</v>
      </c>
      <c r="Q250" s="45"/>
      <c r="R250" s="45"/>
      <c r="S250" s="53"/>
      <c r="T250" s="113" t="s">
        <v>38</v>
      </c>
      <c r="U250" s="38"/>
      <c r="V250" s="39"/>
      <c r="W250" s="201" t="s">
        <v>14</v>
      </c>
      <c r="X250" s="78" t="s">
        <v>121</v>
      </c>
      <c r="Y250" s="135"/>
      <c r="Z250" s="136" t="s">
        <v>122</v>
      </c>
      <c r="AA250" s="79"/>
      <c r="AB250" s="189"/>
      <c r="AC250" s="78" t="s">
        <v>66</v>
      </c>
      <c r="AD250" s="135"/>
      <c r="AE250" s="135"/>
      <c r="AF250" s="136" t="s">
        <v>73</v>
      </c>
      <c r="AG250" s="135"/>
      <c r="AH250" s="79"/>
      <c r="AI250" s="195"/>
      <c r="AJ250" s="137" t="s">
        <v>39</v>
      </c>
      <c r="AK250" s="138"/>
      <c r="AL250" s="139"/>
      <c r="AM250" s="189"/>
      <c r="AN250" s="189"/>
      <c r="AO250" s="189"/>
      <c r="AP250" s="190"/>
      <c r="AQ250" s="15"/>
      <c r="AR250" s="15"/>
      <c r="AS250" s="36"/>
    </row>
    <row r="251" spans="10:45" ht="5.0999999999999996" customHeight="1">
      <c r="J251" s="118"/>
      <c r="K251" s="15"/>
      <c r="L251" s="15"/>
      <c r="M251" s="15"/>
      <c r="N251" s="15"/>
      <c r="O251" s="187"/>
      <c r="P251" s="189"/>
      <c r="Q251" s="189"/>
      <c r="R251" s="189"/>
      <c r="S251" s="189"/>
      <c r="T251" s="189"/>
      <c r="U251" s="189"/>
      <c r="V251" s="189"/>
      <c r="W251" s="189"/>
      <c r="X251" s="189"/>
      <c r="Y251" s="189"/>
      <c r="Z251" s="189"/>
      <c r="AA251" s="189"/>
      <c r="AB251" s="189"/>
      <c r="AC251" s="189"/>
      <c r="AD251" s="189"/>
      <c r="AE251" s="189"/>
      <c r="AF251" s="189"/>
      <c r="AG251" s="189"/>
      <c r="AH251" s="189"/>
      <c r="AI251" s="189"/>
      <c r="AJ251" s="189"/>
      <c r="AK251" s="189"/>
      <c r="AL251" s="189"/>
      <c r="AM251" s="189"/>
      <c r="AN251" s="189"/>
      <c r="AO251" s="189"/>
      <c r="AP251" s="190"/>
      <c r="AQ251" s="15"/>
      <c r="AR251" s="15"/>
      <c r="AS251" s="36"/>
    </row>
    <row r="252" spans="10:45" ht="18.95" customHeight="1">
      <c r="J252" s="118"/>
      <c r="K252" s="15"/>
      <c r="L252" s="15"/>
      <c r="M252" s="15"/>
      <c r="N252" s="15"/>
      <c r="O252" s="187"/>
      <c r="P252" s="264" t="s">
        <v>26</v>
      </c>
      <c r="Q252" s="56" t="s">
        <v>27</v>
      </c>
      <c r="R252" s="57"/>
      <c r="S252" s="57"/>
      <c r="T252" s="58"/>
      <c r="U252" s="56"/>
      <c r="V252" s="57"/>
      <c r="W252" s="58"/>
      <c r="X252" s="56" t="s">
        <v>132</v>
      </c>
      <c r="Y252" s="57"/>
      <c r="Z252" s="57"/>
      <c r="AA252" s="56"/>
      <c r="AB252" s="57"/>
      <c r="AC252" s="57"/>
      <c r="AD252" s="58"/>
      <c r="AE252" s="56"/>
      <c r="AF252" s="57"/>
      <c r="AG252" s="58"/>
      <c r="AH252" s="57"/>
      <c r="AI252" s="57"/>
      <c r="AJ252" s="58"/>
      <c r="AK252" s="57"/>
      <c r="AL252" s="58"/>
      <c r="AM252" s="57"/>
      <c r="AN252" s="58"/>
      <c r="AO252" s="59"/>
      <c r="AP252" s="190"/>
      <c r="AQ252" s="15"/>
      <c r="AR252" s="15"/>
      <c r="AS252" s="36"/>
    </row>
    <row r="253" spans="10:45" ht="18.95" customHeight="1">
      <c r="J253" s="118"/>
      <c r="K253" s="15"/>
      <c r="L253" s="15"/>
      <c r="M253" s="15"/>
      <c r="N253" s="15"/>
      <c r="O253" s="187"/>
      <c r="P253" s="265"/>
      <c r="Q253" s="56" t="s">
        <v>28</v>
      </c>
      <c r="R253" s="57"/>
      <c r="S253" s="57"/>
      <c r="T253" s="58"/>
      <c r="U253" s="56" t="s">
        <v>29</v>
      </c>
      <c r="V253" s="57"/>
      <c r="W253" s="58"/>
      <c r="X253" s="56" t="s">
        <v>68</v>
      </c>
      <c r="Y253" s="57"/>
      <c r="Z253" s="56" t="s">
        <v>54</v>
      </c>
      <c r="AA253" s="57"/>
      <c r="AB253" s="58"/>
      <c r="AC253" s="57" t="s">
        <v>55</v>
      </c>
      <c r="AD253" s="57"/>
      <c r="AE253" s="56" t="s">
        <v>70</v>
      </c>
      <c r="AF253" s="57"/>
      <c r="AG253" s="56" t="s">
        <v>123</v>
      </c>
      <c r="AH253" s="57"/>
      <c r="AI253" s="57"/>
      <c r="AJ253" s="56" t="s">
        <v>125</v>
      </c>
      <c r="AK253" s="57"/>
      <c r="AL253" s="56" t="s">
        <v>30</v>
      </c>
      <c r="AM253" s="57"/>
      <c r="AN253" s="58"/>
      <c r="AO253" s="63" t="s">
        <v>6</v>
      </c>
      <c r="AP253" s="190"/>
      <c r="AQ253" s="15"/>
      <c r="AR253" s="15"/>
      <c r="AS253" s="36"/>
    </row>
    <row r="254" spans="10:45" ht="18.95" customHeight="1">
      <c r="J254" s="118"/>
      <c r="K254" s="15"/>
      <c r="L254" s="15"/>
      <c r="M254" s="15"/>
      <c r="N254" s="15"/>
      <c r="O254" s="187"/>
      <c r="P254" s="199" t="s">
        <v>7</v>
      </c>
      <c r="Q254" s="60" t="s">
        <v>17</v>
      </c>
      <c r="R254" s="61"/>
      <c r="S254" s="61"/>
      <c r="T254" s="62"/>
      <c r="U254" s="60" t="s">
        <v>19</v>
      </c>
      <c r="V254" s="74"/>
      <c r="W254" s="73"/>
      <c r="X254" s="60" t="s">
        <v>52</v>
      </c>
      <c r="Y254" s="61"/>
      <c r="Z254" s="87" t="s">
        <v>56</v>
      </c>
      <c r="AA254" s="74"/>
      <c r="AB254" s="73"/>
      <c r="AC254" s="60" t="s">
        <v>57</v>
      </c>
      <c r="AD254" s="74"/>
      <c r="AE254" s="60" t="s">
        <v>71</v>
      </c>
      <c r="AF254" s="74"/>
      <c r="AG254" s="266" t="s">
        <v>124</v>
      </c>
      <c r="AH254" s="267"/>
      <c r="AI254" s="267"/>
      <c r="AJ254" s="268">
        <v>0.3</v>
      </c>
      <c r="AK254" s="269"/>
      <c r="AL254" s="60">
        <v>39900</v>
      </c>
      <c r="AM254" s="61"/>
      <c r="AN254" s="62"/>
      <c r="AO254" s="200"/>
      <c r="AP254" s="190"/>
      <c r="AQ254" s="15"/>
      <c r="AR254" s="15"/>
      <c r="AS254" s="36"/>
    </row>
    <row r="255" spans="10:45" ht="18.95" customHeight="1">
      <c r="J255" s="118"/>
      <c r="K255" s="15"/>
      <c r="L255" s="15"/>
      <c r="M255" s="15"/>
      <c r="N255" s="15"/>
      <c r="O255" s="187"/>
      <c r="P255" s="199" t="s">
        <v>7</v>
      </c>
      <c r="Q255" s="44" t="s">
        <v>17</v>
      </c>
      <c r="R255" s="45"/>
      <c r="S255" s="45"/>
      <c r="T255" s="53"/>
      <c r="U255" s="44" t="s">
        <v>36</v>
      </c>
      <c r="V255" s="38"/>
      <c r="W255" s="39"/>
      <c r="X255" s="60" t="s">
        <v>52</v>
      </c>
      <c r="Y255" s="45"/>
      <c r="Z255" s="87" t="s">
        <v>56</v>
      </c>
      <c r="AA255" s="74"/>
      <c r="AB255" s="73"/>
      <c r="AC255" s="60" t="s">
        <v>57</v>
      </c>
      <c r="AD255" s="38"/>
      <c r="AE255" s="60" t="s">
        <v>71</v>
      </c>
      <c r="AF255" s="74"/>
      <c r="AG255" s="266" t="s">
        <v>124</v>
      </c>
      <c r="AH255" s="267"/>
      <c r="AI255" s="267"/>
      <c r="AJ255" s="268">
        <v>0.3</v>
      </c>
      <c r="AK255" s="269"/>
      <c r="AL255" s="44">
        <v>39900</v>
      </c>
      <c r="AM255" s="45"/>
      <c r="AN255" s="53"/>
      <c r="AO255" s="200"/>
      <c r="AP255" s="190"/>
      <c r="AQ255" s="15"/>
      <c r="AR255" s="15"/>
      <c r="AS255" s="36"/>
    </row>
    <row r="256" spans="10:45" ht="18.95" customHeight="1">
      <c r="J256" s="118"/>
      <c r="K256" s="15"/>
      <c r="L256" s="15"/>
      <c r="M256" s="15"/>
      <c r="N256" s="15"/>
      <c r="O256" s="187"/>
      <c r="P256" s="199" t="s">
        <v>7</v>
      </c>
      <c r="Q256" s="44" t="s">
        <v>17</v>
      </c>
      <c r="R256" s="45"/>
      <c r="S256" s="45"/>
      <c r="T256" s="53"/>
      <c r="U256" s="44" t="s">
        <v>127</v>
      </c>
      <c r="V256" s="38"/>
      <c r="W256" s="39"/>
      <c r="X256" s="60" t="s">
        <v>52</v>
      </c>
      <c r="Y256" s="61"/>
      <c r="Z256" s="87" t="s">
        <v>56</v>
      </c>
      <c r="AA256" s="74"/>
      <c r="AB256" s="73"/>
      <c r="AC256" s="60" t="s">
        <v>57</v>
      </c>
      <c r="AD256" s="74"/>
      <c r="AE256" s="60" t="s">
        <v>71</v>
      </c>
      <c r="AF256" s="74"/>
      <c r="AG256" s="266" t="s">
        <v>124</v>
      </c>
      <c r="AH256" s="267"/>
      <c r="AI256" s="267"/>
      <c r="AJ256" s="268">
        <v>0.3</v>
      </c>
      <c r="AK256" s="269"/>
      <c r="AL256" s="60">
        <v>39900</v>
      </c>
      <c r="AM256" s="61"/>
      <c r="AN256" s="62"/>
      <c r="AO256" s="200"/>
      <c r="AP256" s="190"/>
      <c r="AQ256" s="15"/>
      <c r="AR256" s="15"/>
      <c r="AS256" s="36"/>
    </row>
    <row r="257" spans="4:65" ht="18.95" customHeight="1">
      <c r="J257" s="118"/>
      <c r="K257" s="15"/>
      <c r="L257" s="15"/>
      <c r="M257" s="15"/>
      <c r="N257" s="15"/>
      <c r="O257" s="187"/>
      <c r="P257" s="199" t="s">
        <v>7</v>
      </c>
      <c r="Q257" s="44" t="s">
        <v>17</v>
      </c>
      <c r="R257" s="45"/>
      <c r="S257" s="45"/>
      <c r="T257" s="53"/>
      <c r="U257" s="44" t="s">
        <v>129</v>
      </c>
      <c r="V257" s="38"/>
      <c r="W257" s="39"/>
      <c r="X257" s="44" t="s">
        <v>52</v>
      </c>
      <c r="Y257" s="45"/>
      <c r="Z257" s="37" t="s">
        <v>56</v>
      </c>
      <c r="AA257" s="38"/>
      <c r="AB257" s="39"/>
      <c r="AC257" s="44" t="s">
        <v>57</v>
      </c>
      <c r="AD257" s="38"/>
      <c r="AE257" s="44" t="s">
        <v>71</v>
      </c>
      <c r="AF257" s="38"/>
      <c r="AG257" s="266" t="s">
        <v>124</v>
      </c>
      <c r="AH257" s="267"/>
      <c r="AI257" s="267"/>
      <c r="AJ257" s="268">
        <v>0.3</v>
      </c>
      <c r="AK257" s="269"/>
      <c r="AL257" s="44">
        <v>39900</v>
      </c>
      <c r="AM257" s="45"/>
      <c r="AN257" s="53"/>
      <c r="AO257" s="40"/>
      <c r="AP257" s="190"/>
      <c r="AQ257" s="15"/>
      <c r="AR257" s="15"/>
      <c r="AS257" s="36"/>
    </row>
    <row r="258" spans="4:65" ht="9.9499999999999993" customHeight="1">
      <c r="J258" s="118"/>
      <c r="K258" s="15"/>
      <c r="L258" s="15"/>
      <c r="M258" s="15"/>
      <c r="N258" s="15"/>
      <c r="O258" s="196"/>
      <c r="P258" s="197"/>
      <c r="Q258" s="197"/>
      <c r="R258" s="197"/>
      <c r="S258" s="197"/>
      <c r="T258" s="197"/>
      <c r="U258" s="197"/>
      <c r="V258" s="197"/>
      <c r="W258" s="197"/>
      <c r="X258" s="197"/>
      <c r="Y258" s="197"/>
      <c r="Z258" s="197"/>
      <c r="AA258" s="197"/>
      <c r="AB258" s="197"/>
      <c r="AC258" s="197"/>
      <c r="AD258" s="197"/>
      <c r="AE258" s="197"/>
      <c r="AF258" s="197"/>
      <c r="AG258" s="197"/>
      <c r="AH258" s="197"/>
      <c r="AI258" s="197"/>
      <c r="AJ258" s="197"/>
      <c r="AK258" s="197"/>
      <c r="AL258" s="197"/>
      <c r="AM258" s="197"/>
      <c r="AN258" s="197"/>
      <c r="AO258" s="197"/>
      <c r="AP258" s="198"/>
      <c r="AQ258" s="15"/>
      <c r="AR258" s="15"/>
      <c r="AS258" s="36"/>
    </row>
    <row r="259" spans="4:65" ht="18.95" customHeight="1">
      <c r="J259" s="67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  <c r="AD259" s="68"/>
      <c r="AE259" s="68"/>
      <c r="AF259" s="68"/>
      <c r="AG259" s="68"/>
      <c r="AH259" s="68"/>
      <c r="AI259" s="68"/>
      <c r="AJ259" s="68"/>
      <c r="AK259" s="68"/>
      <c r="AL259" s="68"/>
      <c r="AM259" s="68"/>
      <c r="AN259" s="68"/>
      <c r="AO259" s="68"/>
      <c r="AP259" s="68"/>
      <c r="AQ259" s="68"/>
      <c r="AR259" s="68"/>
      <c r="AS259" s="69"/>
    </row>
    <row r="260" spans="4:65" ht="18.95" customHeight="1"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</row>
    <row r="261" spans="4:65" ht="18.95" customHeight="1">
      <c r="J261" s="165" t="s">
        <v>232</v>
      </c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</row>
    <row r="262" spans="4:65" ht="18.95" customHeight="1"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</row>
    <row r="264" spans="4:65" ht="18.95" customHeight="1">
      <c r="H264" s="12" t="s">
        <v>188</v>
      </c>
      <c r="I264" s="13"/>
      <c r="J264" s="5" t="s">
        <v>251</v>
      </c>
    </row>
    <row r="266" spans="4:65" s="4" customFormat="1" ht="5.0999999999999996" customHeight="1">
      <c r="D266" s="2"/>
      <c r="E266" s="2"/>
      <c r="F266" s="14"/>
      <c r="G266"/>
      <c r="H266"/>
      <c r="I266"/>
      <c r="J266" s="15"/>
      <c r="K266" s="15"/>
      <c r="L266" s="15"/>
      <c r="M266" s="15"/>
      <c r="N266" s="15"/>
      <c r="O266" s="15"/>
      <c r="P266" s="15"/>
      <c r="Q266" s="15"/>
      <c r="R266" s="15"/>
      <c r="S266" s="98"/>
      <c r="T266" s="17"/>
      <c r="U266" s="17"/>
      <c r="V266" s="17"/>
      <c r="W266" s="17"/>
      <c r="X266" s="17"/>
      <c r="Y266" s="17"/>
      <c r="Z266" s="9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</row>
    <row r="267" spans="4:65" s="4" customFormat="1" ht="18.95" customHeight="1">
      <c r="D267" s="2"/>
      <c r="E267" s="2"/>
      <c r="F267" s="14"/>
      <c r="G267"/>
      <c r="H267"/>
      <c r="I267"/>
      <c r="J267" s="15"/>
      <c r="K267" s="129" t="s">
        <v>171</v>
      </c>
      <c r="L267" s="130"/>
      <c r="M267" s="130"/>
      <c r="N267" s="130"/>
      <c r="O267" s="130"/>
      <c r="P267" s="130"/>
      <c r="Q267" s="130"/>
      <c r="R267" s="130"/>
      <c r="S267" s="131" t="s">
        <v>172</v>
      </c>
      <c r="T267" s="21"/>
      <c r="U267" s="21"/>
      <c r="V267" s="21"/>
      <c r="W267" s="21"/>
      <c r="X267" s="21"/>
      <c r="Y267" s="21"/>
      <c r="Z267" s="22"/>
      <c r="AA267" s="19"/>
      <c r="AB267" s="19"/>
      <c r="AC267" s="19"/>
      <c r="AD267" s="19"/>
      <c r="AE267" s="19"/>
      <c r="AF267" s="19"/>
      <c r="AG267" s="19"/>
      <c r="AJ267" s="19"/>
      <c r="AK267" s="19"/>
      <c r="AL267" s="19"/>
      <c r="AM267" s="19"/>
      <c r="AN267" s="19"/>
      <c r="AO267" s="19"/>
    </row>
    <row r="268" spans="4:65" s="4" customFormat="1" ht="9.9499999999999993" customHeight="1">
      <c r="D268" s="2"/>
      <c r="E268" s="2"/>
      <c r="F268" s="14"/>
      <c r="G268"/>
      <c r="H268"/>
      <c r="I268"/>
      <c r="J268" s="25"/>
      <c r="K268" s="15"/>
      <c r="L268" s="26"/>
      <c r="M268" s="26"/>
      <c r="N268" s="26"/>
      <c r="O268" s="26"/>
      <c r="P268" s="26"/>
      <c r="Q268" s="26"/>
      <c r="R268" s="26"/>
      <c r="S268" s="68"/>
      <c r="T268" s="15"/>
      <c r="U268" s="15"/>
      <c r="V268" s="15"/>
      <c r="W268" s="15"/>
      <c r="X268" s="15"/>
      <c r="Y268" s="15"/>
      <c r="Z268" s="15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8"/>
    </row>
    <row r="269" spans="4:65" ht="18.95" customHeight="1">
      <c r="J269" s="118"/>
      <c r="K269" s="29" t="s">
        <v>4</v>
      </c>
      <c r="L269" s="30"/>
      <c r="M269" s="30"/>
      <c r="N269" s="30"/>
      <c r="O269" s="30"/>
      <c r="P269" s="261" t="s">
        <v>5</v>
      </c>
      <c r="Q269" s="262"/>
      <c r="R269" s="262"/>
      <c r="S269" s="263"/>
      <c r="T269" s="31" t="s">
        <v>6</v>
      </c>
      <c r="U269" s="41" t="s">
        <v>16</v>
      </c>
      <c r="V269" s="261" t="s">
        <v>5</v>
      </c>
      <c r="W269" s="262"/>
      <c r="X269" s="262"/>
      <c r="Y269" s="263"/>
      <c r="Z269" s="31" t="s">
        <v>6</v>
      </c>
      <c r="AA269" s="166" t="s">
        <v>189</v>
      </c>
      <c r="AB269" t="s">
        <v>190</v>
      </c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01" t="s">
        <v>39</v>
      </c>
      <c r="BH269" s="102"/>
      <c r="BI269" s="103"/>
      <c r="BJ269" s="101" t="s">
        <v>25</v>
      </c>
      <c r="BK269" s="102"/>
      <c r="BL269" s="103"/>
      <c r="BM269" s="36"/>
    </row>
    <row r="270" spans="4:65" ht="9.9499999999999993" customHeight="1">
      <c r="J270" s="118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BM270" s="36"/>
    </row>
    <row r="271" spans="4:65" ht="20.100000000000001" customHeight="1">
      <c r="J271" s="118"/>
      <c r="K271" s="29" t="s">
        <v>15</v>
      </c>
      <c r="L271" s="30"/>
      <c r="M271" s="30"/>
      <c r="N271" s="30"/>
      <c r="O271" s="30"/>
      <c r="P271" s="261" t="s">
        <v>5</v>
      </c>
      <c r="Q271" s="262"/>
      <c r="R271" s="262"/>
      <c r="S271" s="263"/>
      <c r="T271" s="31" t="s">
        <v>6</v>
      </c>
      <c r="U271" s="41" t="s">
        <v>16</v>
      </c>
      <c r="V271" s="261" t="s">
        <v>5</v>
      </c>
      <c r="W271" s="262"/>
      <c r="X271" s="262"/>
      <c r="Y271" s="263"/>
      <c r="Z271" s="31" t="s">
        <v>6</v>
      </c>
      <c r="AA271" s="15"/>
      <c r="AB271" s="29" t="s">
        <v>45</v>
      </c>
      <c r="AC271" s="30"/>
      <c r="AD271" s="37" t="s">
        <v>46</v>
      </c>
      <c r="AE271" s="38"/>
      <c r="AF271" s="38"/>
      <c r="AG271" s="39"/>
      <c r="AH271" s="32" t="s">
        <v>8</v>
      </c>
      <c r="AI271" s="30"/>
      <c r="AJ271" s="30"/>
      <c r="AK271" s="261" t="s">
        <v>9</v>
      </c>
      <c r="AL271" s="262"/>
      <c r="AM271" s="262"/>
      <c r="AN271" s="263"/>
      <c r="AO271" s="15"/>
      <c r="AP271" s="32" t="s">
        <v>10</v>
      </c>
      <c r="AQ271" s="30"/>
      <c r="AR271" s="30"/>
      <c r="AS271" s="44" t="s">
        <v>11</v>
      </c>
      <c r="AT271" s="38"/>
      <c r="AU271" s="38"/>
      <c r="AV271" s="38"/>
      <c r="AW271" s="39"/>
      <c r="BM271" s="36"/>
    </row>
    <row r="272" spans="4:65" ht="9.9499999999999993" customHeight="1">
      <c r="J272" s="118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T272" s="15"/>
      <c r="BM272" s="36"/>
    </row>
    <row r="273" spans="7:65" ht="20.100000000000001" customHeight="1">
      <c r="J273" s="118"/>
      <c r="K273" s="29" t="s">
        <v>77</v>
      </c>
      <c r="L273" s="30"/>
      <c r="M273" s="30"/>
      <c r="N273" s="30"/>
      <c r="P273" s="270" t="s">
        <v>51</v>
      </c>
      <c r="Q273" s="271"/>
      <c r="R273" s="271"/>
      <c r="S273" s="272"/>
      <c r="T273" s="46" t="s">
        <v>14</v>
      </c>
      <c r="V273" s="32" t="s">
        <v>210</v>
      </c>
      <c r="W273" s="30"/>
      <c r="X273" s="30"/>
      <c r="Y273" s="44" t="s">
        <v>17</v>
      </c>
      <c r="Z273" s="45"/>
      <c r="AA273" s="45"/>
      <c r="AB273" s="53"/>
      <c r="AC273" s="46" t="s">
        <v>211</v>
      </c>
      <c r="AQ273" s="15"/>
      <c r="AR273" s="15"/>
      <c r="AS273" s="15"/>
      <c r="AT273" s="15"/>
      <c r="BM273" s="36"/>
    </row>
    <row r="274" spans="7:65" ht="9.9499999999999993" customHeight="1">
      <c r="J274" s="118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BM274" s="36"/>
    </row>
    <row r="275" spans="7:65" ht="18.95" customHeight="1">
      <c r="J275" s="118"/>
      <c r="K275" s="29" t="s">
        <v>235</v>
      </c>
      <c r="L275" s="30"/>
      <c r="M275" s="30"/>
      <c r="N275" s="30"/>
      <c r="P275" s="44" t="s">
        <v>155</v>
      </c>
      <c r="Q275" s="45"/>
      <c r="R275" s="45"/>
      <c r="S275" s="45"/>
      <c r="T275" s="46" t="s">
        <v>14</v>
      </c>
      <c r="V275" s="29" t="s">
        <v>236</v>
      </c>
      <c r="Z275" s="44" t="s">
        <v>185</v>
      </c>
      <c r="AA275" s="45"/>
      <c r="AB275" s="45"/>
      <c r="AC275" s="45"/>
      <c r="AD275" s="46" t="s">
        <v>14</v>
      </c>
      <c r="AG275" s="29" t="s">
        <v>20</v>
      </c>
      <c r="AH275" s="30"/>
      <c r="AI275" s="30"/>
      <c r="AJ275" s="44" t="s">
        <v>23</v>
      </c>
      <c r="AK275" s="45"/>
      <c r="AL275" s="53"/>
      <c r="AM275" s="40" t="s">
        <v>18</v>
      </c>
      <c r="AN275" s="54" t="s">
        <v>24</v>
      </c>
      <c r="AO275" s="45"/>
      <c r="AP275" s="45"/>
      <c r="AQ275" s="45"/>
      <c r="AR275" s="45"/>
      <c r="AS275" s="53"/>
      <c r="BM275" s="36"/>
    </row>
    <row r="276" spans="7:65" ht="9.9499999999999993" customHeight="1">
      <c r="J276" s="118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BM276" s="36"/>
    </row>
    <row r="277" spans="7:65" ht="18.95" customHeight="1">
      <c r="J277" s="118"/>
      <c r="K277" s="19" t="s">
        <v>152</v>
      </c>
      <c r="L277" s="15"/>
      <c r="M277" s="15"/>
      <c r="N277" s="15"/>
      <c r="O277" s="15"/>
      <c r="P277" s="54" t="s">
        <v>154</v>
      </c>
      <c r="Q277" s="45"/>
      <c r="R277" s="45"/>
      <c r="S277" s="45"/>
      <c r="T277" s="45"/>
      <c r="U277" s="45"/>
      <c r="V277" s="45"/>
      <c r="W277" s="45"/>
      <c r="X277" s="53"/>
      <c r="Y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36"/>
    </row>
    <row r="278" spans="7:65" ht="18.95" customHeight="1">
      <c r="J278" s="118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36"/>
    </row>
    <row r="279" spans="7:65" ht="18.95" customHeight="1">
      <c r="J279" s="118"/>
      <c r="K279" s="56" t="s">
        <v>40</v>
      </c>
      <c r="L279" s="57"/>
      <c r="M279" s="57"/>
      <c r="N279" s="58"/>
      <c r="O279" s="56" t="s">
        <v>37</v>
      </c>
      <c r="P279" s="57"/>
      <c r="Q279" s="57"/>
      <c r="R279" s="58"/>
      <c r="S279" s="56" t="s">
        <v>191</v>
      </c>
      <c r="T279" s="57"/>
      <c r="U279" s="58"/>
      <c r="V279" s="171" t="s">
        <v>201</v>
      </c>
      <c r="W279" s="169"/>
      <c r="X279" s="169"/>
      <c r="Y279" s="169"/>
      <c r="Z279" s="169"/>
      <c r="AA279" s="169"/>
      <c r="AB279" s="170"/>
      <c r="AC279" s="56" t="s">
        <v>42</v>
      </c>
      <c r="AD279" s="57"/>
      <c r="AE279" s="57"/>
      <c r="AF279" s="58"/>
      <c r="AG279" s="56" t="s">
        <v>43</v>
      </c>
      <c r="AH279" s="57"/>
      <c r="AI279" s="57"/>
      <c r="AJ279" s="58"/>
      <c r="AK279" s="56" t="s">
        <v>237</v>
      </c>
      <c r="AL279" s="57"/>
      <c r="AM279" s="58"/>
      <c r="AN279" s="56" t="s">
        <v>238</v>
      </c>
      <c r="AO279" s="57"/>
      <c r="AP279" s="58"/>
      <c r="AQ279" s="58"/>
      <c r="AR279" s="56" t="s">
        <v>198</v>
      </c>
      <c r="AS279" s="57"/>
      <c r="AT279" s="58"/>
      <c r="AU279" s="58"/>
      <c r="AV279" s="56" t="s">
        <v>204</v>
      </c>
      <c r="AW279" s="57"/>
      <c r="AX279" s="58"/>
      <c r="AY279" s="58"/>
      <c r="AZ279" s="56" t="s">
        <v>206</v>
      </c>
      <c r="BA279" s="57"/>
      <c r="BB279" s="57"/>
      <c r="BC279" s="58"/>
      <c r="BD279" s="56" t="s">
        <v>193</v>
      </c>
      <c r="BE279" s="57"/>
      <c r="BF279" s="167"/>
      <c r="BG279" s="167"/>
      <c r="BH279" s="167"/>
      <c r="BI279" s="167"/>
      <c r="BJ279" s="167"/>
      <c r="BK279" s="168"/>
      <c r="BL279" s="59"/>
      <c r="BM279" s="36"/>
    </row>
    <row r="280" spans="7:65" ht="18.95" customHeight="1">
      <c r="J280" s="118"/>
      <c r="K280" s="44" t="s">
        <v>11</v>
      </c>
      <c r="L280" s="45"/>
      <c r="M280" s="45"/>
      <c r="N280" s="53"/>
      <c r="O280" s="261" t="s">
        <v>5</v>
      </c>
      <c r="P280" s="262"/>
      <c r="Q280" s="262"/>
      <c r="R280" s="263"/>
      <c r="S280" s="44" t="s">
        <v>192</v>
      </c>
      <c r="T280" s="45"/>
      <c r="U280" s="53"/>
      <c r="V280" s="54" t="s">
        <v>154</v>
      </c>
      <c r="W280" s="45"/>
      <c r="X280" s="45"/>
      <c r="Y280" s="45"/>
      <c r="Z280" s="45"/>
      <c r="AA280" s="45"/>
      <c r="AB280" s="53"/>
      <c r="AC280" s="261" t="s">
        <v>5</v>
      </c>
      <c r="AD280" s="262"/>
      <c r="AE280" s="262"/>
      <c r="AF280" s="263"/>
      <c r="AG280" s="261" t="s">
        <v>5</v>
      </c>
      <c r="AH280" s="262"/>
      <c r="AI280" s="262"/>
      <c r="AJ280" s="263"/>
      <c r="AK280" s="44" t="s">
        <v>194</v>
      </c>
      <c r="AL280" s="45"/>
      <c r="AM280" s="53"/>
      <c r="AN280" s="44" t="s">
        <v>196</v>
      </c>
      <c r="AO280" s="45"/>
      <c r="AP280" s="53"/>
      <c r="AQ280" s="53"/>
      <c r="AR280" s="44" t="s">
        <v>199</v>
      </c>
      <c r="AS280" s="45"/>
      <c r="AT280" s="53"/>
      <c r="AU280" s="53"/>
      <c r="AV280" s="44" t="s">
        <v>205</v>
      </c>
      <c r="AW280" s="45"/>
      <c r="AX280" s="53"/>
      <c r="AY280" s="53"/>
      <c r="AZ280" s="44">
        <v>10</v>
      </c>
      <c r="BA280" s="38"/>
      <c r="BB280" s="38"/>
      <c r="BC280" s="39"/>
      <c r="BD280" s="37" t="s">
        <v>46</v>
      </c>
      <c r="BE280" s="38"/>
      <c r="BF280" s="38"/>
      <c r="BG280" s="39"/>
      <c r="BH280" s="261" t="s">
        <v>9</v>
      </c>
      <c r="BI280" s="262"/>
      <c r="BJ280" s="262"/>
      <c r="BK280" s="263"/>
      <c r="BL280" s="63" t="s">
        <v>6</v>
      </c>
      <c r="BM280" s="36"/>
    </row>
    <row r="281" spans="7:65" ht="18.95" customHeight="1">
      <c r="J281" s="118"/>
      <c r="K281" s="44" t="s">
        <v>101</v>
      </c>
      <c r="L281" s="45"/>
      <c r="M281" s="45"/>
      <c r="N281" s="53"/>
      <c r="O281" s="261" t="s">
        <v>5</v>
      </c>
      <c r="P281" s="262"/>
      <c r="Q281" s="262"/>
      <c r="R281" s="263"/>
      <c r="S281" s="44" t="s">
        <v>192</v>
      </c>
      <c r="T281" s="45"/>
      <c r="U281" s="53"/>
      <c r="V281" s="54" t="s">
        <v>154</v>
      </c>
      <c r="W281" s="45"/>
      <c r="X281" s="45"/>
      <c r="Y281" s="45"/>
      <c r="Z281" s="45"/>
      <c r="AA281" s="45"/>
      <c r="AB281" s="53"/>
      <c r="AC281" s="261" t="s">
        <v>5</v>
      </c>
      <c r="AD281" s="262"/>
      <c r="AE281" s="262"/>
      <c r="AF281" s="263"/>
      <c r="AG281" s="261" t="s">
        <v>5</v>
      </c>
      <c r="AH281" s="262"/>
      <c r="AI281" s="262"/>
      <c r="AJ281" s="263"/>
      <c r="AK281" s="44" t="s">
        <v>195</v>
      </c>
      <c r="AL281" s="45"/>
      <c r="AM281" s="53"/>
      <c r="AN281" s="44" t="s">
        <v>197</v>
      </c>
      <c r="AO281" s="45"/>
      <c r="AP281" s="53"/>
      <c r="AQ281" s="53"/>
      <c r="AR281" s="44" t="s">
        <v>200</v>
      </c>
      <c r="AS281" s="45"/>
      <c r="AT281" s="53"/>
      <c r="AU281" s="53"/>
      <c r="AV281" s="44" t="s">
        <v>205</v>
      </c>
      <c r="AW281" s="45"/>
      <c r="AX281" s="53"/>
      <c r="AY281" s="53"/>
      <c r="AZ281" s="44">
        <v>30</v>
      </c>
      <c r="BA281" s="38"/>
      <c r="BB281" s="38"/>
      <c r="BC281" s="39"/>
      <c r="BD281" s="37" t="s">
        <v>46</v>
      </c>
      <c r="BE281" s="38"/>
      <c r="BF281" s="38"/>
      <c r="BG281" s="39"/>
      <c r="BH281" s="261" t="s">
        <v>9</v>
      </c>
      <c r="BI281" s="262"/>
      <c r="BJ281" s="262"/>
      <c r="BK281" s="263"/>
      <c r="BL281" s="40"/>
      <c r="BM281" s="36"/>
    </row>
    <row r="282" spans="7:65" ht="18.95" customHeight="1">
      <c r="J282" s="67"/>
      <c r="K282" s="121" t="s">
        <v>209</v>
      </c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  <c r="AM282" s="68"/>
      <c r="AN282" s="68"/>
      <c r="AO282" s="68"/>
      <c r="AP282" s="68"/>
      <c r="AQ282" s="68"/>
      <c r="AR282" s="68"/>
      <c r="AS282" s="68"/>
      <c r="AT282" s="68"/>
      <c r="AU282" s="68"/>
      <c r="AV282" s="68"/>
      <c r="AW282" s="68"/>
      <c r="AX282" s="68"/>
      <c r="AY282" s="68"/>
      <c r="AZ282" s="68"/>
      <c r="BA282" s="68"/>
      <c r="BB282" s="68"/>
      <c r="BC282" s="68"/>
      <c r="BD282" s="68"/>
      <c r="BE282" s="68"/>
      <c r="BF282" s="68"/>
      <c r="BG282" s="68"/>
      <c r="BH282" s="68"/>
      <c r="BI282" s="68"/>
      <c r="BJ282" s="68"/>
      <c r="BK282" s="68"/>
      <c r="BL282" s="68"/>
      <c r="BM282" s="69"/>
    </row>
    <row r="284" spans="7:65" ht="18.95" customHeight="1">
      <c r="G284" s="5"/>
    </row>
    <row r="286" spans="7:65" ht="18.95" customHeight="1">
      <c r="H286" s="12" t="s">
        <v>212</v>
      </c>
      <c r="I286" s="13"/>
      <c r="J286" s="5" t="s">
        <v>213</v>
      </c>
    </row>
    <row r="288" spans="7:65" ht="18.95" customHeight="1">
      <c r="J288" s="233" t="s">
        <v>310</v>
      </c>
    </row>
    <row r="290" spans="4:61" s="4" customFormat="1" ht="5.0999999999999996" customHeight="1">
      <c r="D290" s="2"/>
      <c r="E290" s="2"/>
      <c r="F290" s="14"/>
      <c r="G290"/>
      <c r="H290"/>
      <c r="I290"/>
      <c r="J290" s="15"/>
      <c r="K290" s="98"/>
      <c r="L290" s="17"/>
      <c r="M290" s="17"/>
      <c r="N290" s="17"/>
      <c r="O290" s="17"/>
      <c r="P290" s="17"/>
      <c r="Q290" s="17"/>
      <c r="R290" s="99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</row>
    <row r="291" spans="4:61" s="4" customFormat="1" ht="18.95" customHeight="1">
      <c r="D291" s="2"/>
      <c r="E291" s="2"/>
      <c r="F291" s="14"/>
      <c r="G291"/>
      <c r="H291"/>
      <c r="I291"/>
      <c r="J291" s="15"/>
      <c r="K291" s="131" t="s">
        <v>214</v>
      </c>
      <c r="L291" s="21"/>
      <c r="M291" s="21"/>
      <c r="N291" s="21"/>
      <c r="O291" s="21"/>
      <c r="P291" s="21"/>
      <c r="Q291" s="21"/>
      <c r="R291" s="22"/>
      <c r="S291" s="129" t="s">
        <v>215</v>
      </c>
      <c r="T291" s="130"/>
      <c r="U291" s="130"/>
      <c r="V291" s="130"/>
      <c r="W291" s="130"/>
      <c r="X291" s="130"/>
      <c r="Y291" s="130"/>
      <c r="Z291" s="130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</row>
    <row r="292" spans="4:61" s="4" customFormat="1" ht="9.9499999999999993" customHeight="1">
      <c r="D292" s="2"/>
      <c r="E292" s="2"/>
      <c r="F292" s="14"/>
      <c r="G292"/>
      <c r="H292"/>
      <c r="I292"/>
      <c r="J292" s="25"/>
      <c r="K292" s="15"/>
      <c r="L292" s="15"/>
      <c r="M292" s="15"/>
      <c r="N292" s="15"/>
      <c r="O292" s="15"/>
      <c r="P292" s="15"/>
      <c r="Q292" s="15"/>
      <c r="R292" s="15"/>
      <c r="S292" s="15"/>
      <c r="T292" s="26"/>
      <c r="U292" s="26"/>
      <c r="V292" s="26"/>
      <c r="W292" s="26"/>
      <c r="X292" s="26"/>
      <c r="Y292" s="26"/>
      <c r="Z292" s="26"/>
      <c r="AA292" s="26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8"/>
    </row>
    <row r="293" spans="4:61" ht="18.95" customHeight="1">
      <c r="J293" s="118"/>
      <c r="K293" s="29" t="s">
        <v>4</v>
      </c>
      <c r="L293" s="30"/>
      <c r="M293" s="30"/>
      <c r="N293" s="30"/>
      <c r="Q293" s="276" t="s">
        <v>5</v>
      </c>
      <c r="R293" s="277"/>
      <c r="S293" s="277"/>
      <c r="T293" s="278"/>
      <c r="U293" s="31" t="s">
        <v>6</v>
      </c>
      <c r="V293" s="32" t="s">
        <v>8</v>
      </c>
      <c r="W293" s="13"/>
      <c r="X293" s="13"/>
      <c r="Y293" s="81" t="s">
        <v>46</v>
      </c>
      <c r="Z293" s="119"/>
      <c r="AA293" s="119"/>
      <c r="AB293" s="120"/>
      <c r="AC293" s="276" t="s">
        <v>9</v>
      </c>
      <c r="AD293" s="277"/>
      <c r="AE293" s="277"/>
      <c r="AF293" s="278"/>
      <c r="AM293" s="101" t="s">
        <v>12</v>
      </c>
      <c r="AN293" s="102"/>
      <c r="AO293" s="103"/>
      <c r="AP293" s="101" t="s">
        <v>13</v>
      </c>
      <c r="AQ293" s="102"/>
      <c r="AR293" s="103"/>
      <c r="AS293" s="36"/>
    </row>
    <row r="294" spans="4:61" ht="9.9499999999999993" customHeight="1">
      <c r="J294" s="118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36"/>
    </row>
    <row r="295" spans="4:61" ht="20.100000000000001" customHeight="1">
      <c r="J295" s="118"/>
      <c r="K295" s="29" t="s">
        <v>10</v>
      </c>
      <c r="L295" s="30"/>
      <c r="M295" s="30"/>
      <c r="N295" s="30"/>
      <c r="Q295" s="82" t="s">
        <v>11</v>
      </c>
      <c r="R295" s="119"/>
      <c r="S295" s="119"/>
      <c r="T295" s="119"/>
      <c r="U295" s="120"/>
      <c r="AJ295" s="15"/>
      <c r="AK295" s="15"/>
      <c r="AL295" s="15"/>
      <c r="AM295" s="15"/>
      <c r="AN295" s="15"/>
      <c r="AO295" s="15"/>
      <c r="AP295" s="15"/>
      <c r="AQ295" s="15"/>
      <c r="AR295" s="15"/>
      <c r="AS295" s="36"/>
    </row>
    <row r="296" spans="4:61" ht="18.95" customHeight="1">
      <c r="J296" s="118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S296" s="36"/>
    </row>
    <row r="297" spans="4:61" ht="18.95" customHeight="1">
      <c r="J297" s="118"/>
      <c r="K297" s="29" t="s">
        <v>77</v>
      </c>
      <c r="L297" s="30"/>
      <c r="M297" s="30"/>
      <c r="Q297" s="261" t="s">
        <v>51</v>
      </c>
      <c r="R297" s="262"/>
      <c r="S297" s="262"/>
      <c r="T297" s="263"/>
      <c r="U297" s="46" t="s">
        <v>14</v>
      </c>
      <c r="V297" s="42" t="s">
        <v>271</v>
      </c>
      <c r="W297" s="15"/>
      <c r="X297" s="15"/>
      <c r="Y297" s="15"/>
      <c r="Z297" s="15"/>
      <c r="AA297" s="15"/>
      <c r="AB297" s="15"/>
      <c r="AP297" s="15"/>
      <c r="AQ297" s="15"/>
      <c r="AR297" s="15"/>
      <c r="AS297" s="36"/>
    </row>
    <row r="298" spans="4:61" ht="9.9499999999999993" customHeight="1">
      <c r="J298" s="118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36"/>
    </row>
    <row r="299" spans="4:61" ht="18.95" customHeight="1">
      <c r="J299" s="118"/>
      <c r="K299" s="19" t="s">
        <v>216</v>
      </c>
      <c r="L299" s="15"/>
      <c r="M299" s="15"/>
      <c r="N299" s="15"/>
      <c r="O299" s="15"/>
      <c r="P299" s="15"/>
      <c r="Q299" s="54" t="s">
        <v>256</v>
      </c>
      <c r="R299" s="45"/>
      <c r="S299" s="45"/>
      <c r="T299" s="45"/>
      <c r="U299" s="45"/>
      <c r="V299" s="45"/>
      <c r="W299" s="45"/>
      <c r="X299" s="45"/>
      <c r="Y299" s="53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36"/>
    </row>
    <row r="300" spans="4:61" ht="9.9499999999999993" customHeight="1">
      <c r="J300" s="118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36"/>
    </row>
    <row r="301" spans="4:61" ht="18.95" customHeight="1">
      <c r="J301" s="118"/>
      <c r="K301" s="29" t="s">
        <v>217</v>
      </c>
      <c r="L301" s="30"/>
      <c r="M301" s="30"/>
      <c r="N301" s="30"/>
      <c r="Q301" s="270" t="s">
        <v>5</v>
      </c>
      <c r="R301" s="271"/>
      <c r="S301" s="271"/>
      <c r="T301" s="272"/>
      <c r="U301" s="31" t="s">
        <v>6</v>
      </c>
      <c r="V301" s="41" t="s">
        <v>16</v>
      </c>
      <c r="W301" s="270" t="s">
        <v>5</v>
      </c>
      <c r="X301" s="271"/>
      <c r="Y301" s="271"/>
      <c r="Z301" s="272"/>
      <c r="AA301" s="31" t="s">
        <v>6</v>
      </c>
      <c r="AB301" s="42" t="s">
        <v>160</v>
      </c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36"/>
    </row>
    <row r="302" spans="4:61" ht="9.9499999999999993" customHeight="1">
      <c r="J302" s="118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36"/>
    </row>
    <row r="303" spans="4:61" ht="18.95" customHeight="1">
      <c r="J303" s="118"/>
      <c r="K303" s="29" t="s">
        <v>240</v>
      </c>
      <c r="L303" s="15"/>
      <c r="M303" s="15"/>
      <c r="N303" s="15"/>
      <c r="O303" s="15"/>
      <c r="P303" s="15"/>
      <c r="Q303" s="175" t="s">
        <v>270</v>
      </c>
      <c r="R303" s="176"/>
      <c r="S303" s="176"/>
      <c r="T303" s="177"/>
      <c r="U303" s="177"/>
      <c r="V303" s="177"/>
      <c r="W303" s="159"/>
      <c r="X303" s="46" t="s">
        <v>14</v>
      </c>
      <c r="Y303" s="43"/>
      <c r="Z303" s="43"/>
      <c r="AA303" s="15"/>
      <c r="AB303" s="51"/>
      <c r="AC303" s="43"/>
      <c r="AD303" s="43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36"/>
      <c r="AY303" s="51"/>
      <c r="AZ303" s="43"/>
      <c r="BA303" s="19"/>
      <c r="BB303" s="19"/>
      <c r="BC303" s="51"/>
      <c r="BD303" s="43"/>
      <c r="BE303" s="43"/>
      <c r="BF303" s="15"/>
      <c r="BG303" s="15"/>
      <c r="BH303" s="42"/>
      <c r="BI303" s="15"/>
    </row>
    <row r="304" spans="4:61" ht="9.9499999999999993" customHeight="1">
      <c r="J304" s="118"/>
      <c r="K304" s="29"/>
      <c r="L304" s="15"/>
      <c r="M304" s="15"/>
      <c r="N304" s="15"/>
      <c r="O304" s="15"/>
      <c r="P304" s="15"/>
      <c r="Q304" s="51"/>
      <c r="R304" s="43"/>
      <c r="S304" s="19"/>
      <c r="T304" s="19"/>
      <c r="X304" s="51"/>
      <c r="Y304" s="43"/>
      <c r="Z304" s="43"/>
      <c r="AA304" s="15"/>
      <c r="AB304" s="51"/>
      <c r="AC304" s="43"/>
      <c r="AD304" s="43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36"/>
      <c r="AY304" s="51"/>
      <c r="AZ304" s="43"/>
      <c r="BA304" s="19"/>
      <c r="BB304" s="19"/>
      <c r="BC304" s="51"/>
      <c r="BD304" s="43"/>
      <c r="BE304" s="43"/>
      <c r="BF304" s="15"/>
      <c r="BG304" s="15"/>
      <c r="BH304" s="42"/>
      <c r="BI304" s="15"/>
    </row>
    <row r="305" spans="9:45" ht="18.95" customHeight="1">
      <c r="J305" s="118"/>
      <c r="K305" s="29" t="s">
        <v>239</v>
      </c>
      <c r="L305" s="15"/>
      <c r="M305" s="15"/>
      <c r="N305" s="15"/>
      <c r="O305" s="15"/>
      <c r="P305" s="15"/>
      <c r="Q305" s="51" t="s">
        <v>21</v>
      </c>
      <c r="R305" s="43" t="s">
        <v>155</v>
      </c>
      <c r="S305" s="19"/>
      <c r="T305" s="19"/>
      <c r="U305" s="51" t="s">
        <v>22</v>
      </c>
      <c r="V305" s="43" t="s">
        <v>156</v>
      </c>
      <c r="W305" s="43"/>
      <c r="X305" s="15"/>
      <c r="Y305" s="51"/>
      <c r="Z305" s="43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36"/>
    </row>
    <row r="306" spans="9:45" ht="9.9499999999999993" customHeight="1">
      <c r="J306" s="118"/>
      <c r="K306" s="15"/>
      <c r="L306" s="15"/>
      <c r="M306" s="15"/>
      <c r="N306" s="15"/>
      <c r="O306" s="15"/>
      <c r="P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36"/>
    </row>
    <row r="307" spans="9:45" ht="18.95" customHeight="1">
      <c r="J307" s="118"/>
      <c r="K307" s="29" t="s">
        <v>241</v>
      </c>
      <c r="L307" s="15"/>
      <c r="M307" s="15"/>
      <c r="N307" s="15"/>
      <c r="O307" s="15"/>
      <c r="P307" s="15"/>
      <c r="Q307" s="44" t="s">
        <v>149</v>
      </c>
      <c r="R307" s="45"/>
      <c r="S307" s="45"/>
      <c r="T307" s="45"/>
      <c r="U307" s="46" t="s">
        <v>14</v>
      </c>
      <c r="W307" s="44">
        <v>20000</v>
      </c>
      <c r="X307" s="45"/>
      <c r="Y307" s="45"/>
      <c r="Z307" s="53"/>
      <c r="AA307" s="163" t="s">
        <v>186</v>
      </c>
      <c r="AB307" s="164"/>
      <c r="AC307" s="42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36"/>
    </row>
    <row r="308" spans="9:45" ht="18.95" customHeight="1">
      <c r="I308" s="14"/>
      <c r="J308" s="203"/>
      <c r="K308" s="183"/>
      <c r="L308" s="183"/>
      <c r="M308" s="183"/>
      <c r="N308" s="183"/>
      <c r="O308" s="183"/>
      <c r="P308" s="183"/>
      <c r="Q308" s="42" t="s">
        <v>257</v>
      </c>
      <c r="R308" s="42"/>
      <c r="S308" s="15"/>
      <c r="T308" s="15"/>
      <c r="U308" s="15"/>
      <c r="V308" s="15"/>
      <c r="W308" s="15"/>
      <c r="X308" s="15"/>
      <c r="Y308" s="15"/>
      <c r="Z308" s="15"/>
      <c r="AA308" s="42" t="s">
        <v>258</v>
      </c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36"/>
    </row>
    <row r="309" spans="9:45" ht="18.95" customHeight="1">
      <c r="I309" s="14"/>
      <c r="J309" s="203"/>
      <c r="K309" s="29" t="s">
        <v>233</v>
      </c>
      <c r="L309" s="183"/>
      <c r="M309" s="183"/>
      <c r="N309" s="183"/>
      <c r="O309" s="183"/>
      <c r="P309" s="183"/>
      <c r="Q309" s="202" t="s">
        <v>263</v>
      </c>
      <c r="R309" s="43"/>
      <c r="S309" s="43"/>
      <c r="T309" s="19"/>
      <c r="U309" s="19"/>
      <c r="X309" s="44">
        <v>200000</v>
      </c>
      <c r="Y309" s="45"/>
      <c r="Z309" s="45"/>
      <c r="AA309" s="53"/>
      <c r="AB309" s="163" t="s">
        <v>186</v>
      </c>
      <c r="AC309" s="164"/>
      <c r="AD309" s="44" t="s">
        <v>220</v>
      </c>
      <c r="AE309" s="45"/>
      <c r="AF309" s="46" t="s">
        <v>14</v>
      </c>
      <c r="AG309" s="72" t="s">
        <v>223</v>
      </c>
      <c r="AH309" s="76"/>
      <c r="AI309" s="15"/>
      <c r="AK309" s="15"/>
      <c r="AM309" s="15"/>
      <c r="AN309" s="15"/>
      <c r="AQ309" s="15"/>
      <c r="AR309" s="15"/>
      <c r="AS309" s="36"/>
    </row>
    <row r="310" spans="9:45" ht="18.95" customHeight="1">
      <c r="I310" s="14"/>
      <c r="J310" s="203"/>
      <c r="K310" s="29"/>
      <c r="L310" s="183"/>
      <c r="M310" s="183"/>
      <c r="N310" s="183"/>
      <c r="O310" s="183"/>
      <c r="P310" s="183"/>
      <c r="Q310" s="15"/>
      <c r="X310" s="234" t="s">
        <v>308</v>
      </c>
      <c r="AI310" s="15"/>
      <c r="AJ310" s="15"/>
      <c r="AK310" s="15"/>
      <c r="AL310" s="15"/>
      <c r="AM310" s="15"/>
      <c r="AN310" s="15"/>
      <c r="AQ310" s="15"/>
      <c r="AR310" s="15"/>
      <c r="AS310" s="36"/>
    </row>
    <row r="311" spans="9:45" ht="18.95" customHeight="1">
      <c r="I311" s="14"/>
      <c r="J311" s="203"/>
      <c r="K311" s="183"/>
      <c r="L311" s="183"/>
      <c r="M311" s="183"/>
      <c r="N311" s="183"/>
      <c r="O311" s="183"/>
      <c r="P311" s="183"/>
      <c r="Q311" s="202" t="s">
        <v>262</v>
      </c>
      <c r="R311" s="43"/>
      <c r="S311" s="43"/>
      <c r="T311" s="19"/>
      <c r="U311" s="15"/>
      <c r="V311" s="15"/>
      <c r="X311" s="51" t="s">
        <v>22</v>
      </c>
      <c r="Y311" s="43" t="s">
        <v>179</v>
      </c>
      <c r="AA311" s="51" t="s">
        <v>21</v>
      </c>
      <c r="AB311" s="43" t="s">
        <v>178</v>
      </c>
      <c r="AD311" s="174" t="s">
        <v>234</v>
      </c>
      <c r="AE311" s="15"/>
      <c r="AF311" s="15"/>
      <c r="AG311" s="15"/>
      <c r="AH311" s="178" t="s">
        <v>221</v>
      </c>
      <c r="AI311" s="179"/>
      <c r="AJ311" s="179"/>
      <c r="AK311" s="180"/>
      <c r="AL311" s="66" t="s">
        <v>242</v>
      </c>
      <c r="AN311" s="15"/>
      <c r="AQ311" s="15"/>
      <c r="AR311" s="15"/>
      <c r="AS311" s="36"/>
    </row>
    <row r="312" spans="9:45" ht="9.9499999999999993" customHeight="1">
      <c r="I312" s="14"/>
      <c r="J312" s="203"/>
      <c r="K312" s="183"/>
      <c r="L312" s="183"/>
      <c r="M312" s="183"/>
      <c r="N312" s="183"/>
      <c r="O312" s="183"/>
      <c r="P312" s="183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36"/>
    </row>
    <row r="313" spans="9:45" ht="18.95" customHeight="1">
      <c r="J313" s="118"/>
      <c r="K313" s="19" t="s">
        <v>268</v>
      </c>
      <c r="L313" s="15"/>
      <c r="M313" s="15"/>
      <c r="N313" s="15"/>
      <c r="O313" s="15"/>
      <c r="P313" s="15"/>
      <c r="Q313" s="279">
        <v>1000000000</v>
      </c>
      <c r="R313" s="280"/>
      <c r="S313" s="280"/>
      <c r="T313" s="280"/>
      <c r="U313" s="281"/>
      <c r="V313" s="158" t="s">
        <v>158</v>
      </c>
      <c r="W313" s="159"/>
      <c r="X313" s="46" t="s">
        <v>14</v>
      </c>
      <c r="Y313" s="42" t="s">
        <v>161</v>
      </c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36"/>
    </row>
    <row r="314" spans="9:45" ht="9.9499999999999993" customHeight="1">
      <c r="J314" s="118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36"/>
    </row>
    <row r="315" spans="9:45" ht="18.95" customHeight="1">
      <c r="J315" s="118"/>
      <c r="K315" s="29" t="s">
        <v>218</v>
      </c>
      <c r="L315" s="15"/>
      <c r="M315" s="15"/>
      <c r="N315" s="15"/>
      <c r="O315" s="15"/>
      <c r="P315" s="15"/>
      <c r="Q315" s="113" t="s">
        <v>162</v>
      </c>
      <c r="R315" s="45"/>
      <c r="S315" s="45"/>
      <c r="T315" s="53"/>
      <c r="U315" s="42" t="s">
        <v>264</v>
      </c>
      <c r="V315" s="42"/>
      <c r="W315" s="15"/>
      <c r="X315" s="15"/>
      <c r="Y315" s="15"/>
      <c r="Z315" s="15"/>
      <c r="AQ315" s="15"/>
      <c r="AR315" s="15"/>
      <c r="AS315" s="36"/>
    </row>
    <row r="316" spans="9:45" ht="9.9499999999999993" customHeight="1">
      <c r="J316" s="118"/>
      <c r="K316" s="161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Q316" s="15"/>
      <c r="AR316" s="15"/>
      <c r="AS316" s="36"/>
    </row>
    <row r="317" spans="9:45" ht="18.95" customHeight="1">
      <c r="J317" s="118"/>
      <c r="K317" s="29" t="s">
        <v>219</v>
      </c>
      <c r="L317" s="15"/>
      <c r="M317" s="15"/>
      <c r="N317" s="15"/>
      <c r="O317" s="15"/>
      <c r="P317" s="15"/>
      <c r="Q317" s="44" t="s">
        <v>169</v>
      </c>
      <c r="R317" s="38"/>
      <c r="S317" s="39"/>
      <c r="T317" s="31" t="s">
        <v>6</v>
      </c>
      <c r="U317" s="41" t="s">
        <v>16</v>
      </c>
      <c r="V317" s="44" t="s">
        <v>169</v>
      </c>
      <c r="W317" s="38"/>
      <c r="X317" s="39"/>
      <c r="Y317" s="31" t="s">
        <v>6</v>
      </c>
      <c r="Z317" s="42" t="s">
        <v>170</v>
      </c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36"/>
    </row>
    <row r="318" spans="9:45" ht="9.9499999999999993" customHeight="1">
      <c r="J318" s="118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36"/>
    </row>
    <row r="319" spans="9:45" ht="18.95" customHeight="1">
      <c r="J319" s="118"/>
      <c r="K319" s="29" t="s">
        <v>272</v>
      </c>
      <c r="L319" s="30"/>
      <c r="M319" s="30"/>
      <c r="N319" s="30"/>
      <c r="O319" s="30"/>
      <c r="P319" s="30"/>
      <c r="Q319" s="44" t="s">
        <v>23</v>
      </c>
      <c r="R319" s="45"/>
      <c r="S319" s="53"/>
      <c r="T319" s="54" t="s">
        <v>24</v>
      </c>
      <c r="U319" s="45"/>
      <c r="V319" s="45"/>
      <c r="W319" s="45"/>
      <c r="X319" s="45"/>
      <c r="Y319" s="45"/>
      <c r="Z319" s="53"/>
      <c r="AA319" s="78" t="s">
        <v>121</v>
      </c>
      <c r="AB319" s="135"/>
      <c r="AC319" s="136" t="s">
        <v>122</v>
      </c>
      <c r="AD319" s="79"/>
      <c r="AE319" s="15"/>
      <c r="AF319" s="78" t="s">
        <v>50</v>
      </c>
      <c r="AG319" s="135"/>
      <c r="AH319" s="135"/>
      <c r="AI319" s="136" t="s">
        <v>72</v>
      </c>
      <c r="AJ319" s="135"/>
      <c r="AK319" s="79"/>
      <c r="AL319" s="15"/>
      <c r="AM319" s="15"/>
      <c r="AN319" s="15"/>
      <c r="AO319" s="15"/>
      <c r="AP319" s="15"/>
      <c r="AQ319" s="15"/>
      <c r="AR319" s="15"/>
      <c r="AS319" s="36"/>
    </row>
    <row r="320" spans="9:45" ht="5.0999999999999996" customHeight="1">
      <c r="J320" s="118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36"/>
    </row>
    <row r="321" spans="9:45" ht="18.95" customHeight="1">
      <c r="J321" s="118"/>
      <c r="K321" s="15"/>
      <c r="L321" s="15"/>
      <c r="M321" s="15"/>
      <c r="N321" s="15"/>
      <c r="O321" s="15"/>
      <c r="P321" s="15"/>
      <c r="Q321" s="100" t="s">
        <v>26</v>
      </c>
      <c r="R321" s="56" t="s">
        <v>33</v>
      </c>
      <c r="S321" s="57"/>
      <c r="T321" s="58"/>
      <c r="U321" s="56" t="s">
        <v>49</v>
      </c>
      <c r="V321" s="57"/>
      <c r="W321" s="57"/>
      <c r="X321" s="57"/>
      <c r="Y321" s="57"/>
      <c r="Z321" s="57"/>
      <c r="AA321" s="57"/>
      <c r="AB321" s="57"/>
      <c r="AC321" s="58"/>
      <c r="AD321" s="59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36"/>
    </row>
    <row r="322" spans="9:45" ht="18.95" customHeight="1">
      <c r="J322" s="118"/>
      <c r="K322" s="15"/>
      <c r="L322" s="15"/>
      <c r="M322" s="15"/>
      <c r="N322" s="15"/>
      <c r="O322" s="15"/>
      <c r="P322" s="15"/>
      <c r="Q322" s="80" t="s">
        <v>7</v>
      </c>
      <c r="R322" s="44" t="s">
        <v>23</v>
      </c>
      <c r="S322" s="45"/>
      <c r="T322" s="53"/>
      <c r="U322" s="54" t="s">
        <v>24</v>
      </c>
      <c r="V322" s="45"/>
      <c r="W322" s="45"/>
      <c r="X322" s="45"/>
      <c r="Y322" s="45"/>
      <c r="Z322" s="45"/>
      <c r="AA322" s="45"/>
      <c r="AB322" s="45"/>
      <c r="AC322" s="53"/>
      <c r="AD322" s="63" t="s">
        <v>6</v>
      </c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36"/>
    </row>
    <row r="323" spans="9:45" ht="18.95" customHeight="1">
      <c r="J323" s="118"/>
      <c r="K323" s="15"/>
      <c r="L323" s="15"/>
      <c r="M323" s="15"/>
      <c r="N323" s="15"/>
      <c r="O323" s="15"/>
      <c r="P323" s="15"/>
      <c r="Q323" s="80" t="s">
        <v>7</v>
      </c>
      <c r="R323" s="44" t="s">
        <v>34</v>
      </c>
      <c r="S323" s="45"/>
      <c r="T323" s="53"/>
      <c r="U323" s="54" t="s">
        <v>24</v>
      </c>
      <c r="V323" s="45"/>
      <c r="W323" s="45"/>
      <c r="X323" s="45"/>
      <c r="Y323" s="45"/>
      <c r="Z323" s="45"/>
      <c r="AA323" s="45"/>
      <c r="AB323" s="45"/>
      <c r="AC323" s="53"/>
      <c r="AD323" s="64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36"/>
    </row>
    <row r="324" spans="9:45" ht="18.95" customHeight="1">
      <c r="J324" s="118"/>
      <c r="K324" s="15"/>
      <c r="L324" s="15"/>
      <c r="M324" s="15"/>
      <c r="N324" s="15"/>
      <c r="O324" s="15"/>
      <c r="P324" s="15"/>
      <c r="Q324" s="80" t="s">
        <v>7</v>
      </c>
      <c r="R324" s="44" t="s">
        <v>35</v>
      </c>
      <c r="S324" s="45"/>
      <c r="T324" s="53"/>
      <c r="U324" s="44" t="s">
        <v>35</v>
      </c>
      <c r="V324" s="45"/>
      <c r="W324" s="45"/>
      <c r="X324" s="45"/>
      <c r="Y324" s="45"/>
      <c r="Z324" s="45"/>
      <c r="AA324" s="45"/>
      <c r="AB324" s="45"/>
      <c r="AC324" s="53"/>
      <c r="AD324" s="64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36"/>
    </row>
    <row r="325" spans="9:45" ht="18.95" customHeight="1">
      <c r="J325" s="118"/>
      <c r="K325" s="15"/>
      <c r="L325" s="15"/>
      <c r="M325" s="15"/>
      <c r="N325" s="15"/>
      <c r="O325" s="15"/>
      <c r="P325" s="15"/>
      <c r="Q325" s="80" t="s">
        <v>7</v>
      </c>
      <c r="R325" s="44" t="s">
        <v>34</v>
      </c>
      <c r="S325" s="45"/>
      <c r="T325" s="53"/>
      <c r="U325" s="54" t="s">
        <v>24</v>
      </c>
      <c r="V325" s="45"/>
      <c r="W325" s="45"/>
      <c r="X325" s="45"/>
      <c r="Y325" s="45"/>
      <c r="Z325" s="45"/>
      <c r="AA325" s="45"/>
      <c r="AB325" s="45"/>
      <c r="AC325" s="53"/>
      <c r="AD325" s="40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36"/>
    </row>
    <row r="326" spans="9:45" ht="18.95" customHeight="1">
      <c r="J326" s="118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36"/>
    </row>
    <row r="327" spans="9:45" ht="18.95" customHeight="1">
      <c r="I327" s="14"/>
      <c r="J327" s="203"/>
      <c r="K327" s="29" t="s">
        <v>261</v>
      </c>
      <c r="L327" s="183"/>
      <c r="M327" s="183"/>
      <c r="N327" s="183"/>
      <c r="O327" s="183"/>
      <c r="P327" s="183"/>
      <c r="Q327" s="44" t="s">
        <v>192</v>
      </c>
      <c r="R327" s="45"/>
      <c r="S327" s="45"/>
      <c r="T327" s="53"/>
      <c r="U327" s="46" t="s">
        <v>18</v>
      </c>
      <c r="V327" s="42" t="s">
        <v>267</v>
      </c>
      <c r="W327" s="15"/>
      <c r="X327" s="15"/>
      <c r="Y327" s="15"/>
      <c r="Z327" s="15"/>
      <c r="AA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36"/>
    </row>
    <row r="328" spans="9:45" ht="9.9499999999999993" customHeight="1">
      <c r="J328" s="118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36"/>
    </row>
    <row r="329" spans="9:45" ht="9.9499999999999993" customHeight="1">
      <c r="J329" s="118"/>
      <c r="L329" s="183"/>
      <c r="M329" s="183"/>
      <c r="N329" s="183"/>
      <c r="O329" s="183"/>
      <c r="P329" s="183"/>
      <c r="Q329" s="184"/>
      <c r="R329" s="185"/>
      <c r="S329" s="185"/>
      <c r="T329" s="185"/>
      <c r="U329" s="185"/>
      <c r="V329" s="185"/>
      <c r="W329" s="185"/>
      <c r="X329" s="185"/>
      <c r="Y329" s="185"/>
      <c r="Z329" s="185"/>
      <c r="AA329" s="185"/>
      <c r="AB329" s="185"/>
      <c r="AC329" s="185"/>
      <c r="AD329" s="185"/>
      <c r="AE329" s="185"/>
      <c r="AF329" s="185"/>
      <c r="AG329" s="185"/>
      <c r="AH329" s="185"/>
      <c r="AI329" s="185"/>
      <c r="AJ329" s="185"/>
      <c r="AK329" s="185"/>
      <c r="AL329" s="185"/>
      <c r="AM329" s="185"/>
      <c r="AN329" s="185"/>
      <c r="AO329" s="185"/>
      <c r="AP329" s="185"/>
      <c r="AQ329" s="185"/>
      <c r="AR329" s="186"/>
      <c r="AS329" s="36"/>
    </row>
    <row r="330" spans="9:45" ht="18.95" customHeight="1">
      <c r="J330" s="118"/>
      <c r="K330" s="29" t="s">
        <v>265</v>
      </c>
      <c r="L330" s="15"/>
      <c r="M330" s="15"/>
      <c r="N330" s="15"/>
      <c r="O330" s="15"/>
      <c r="P330" s="15"/>
      <c r="Q330" s="187"/>
      <c r="R330" s="189" t="s">
        <v>175</v>
      </c>
      <c r="S330" s="189"/>
      <c r="T330" s="189"/>
      <c r="U330" s="189"/>
      <c r="V330" s="189"/>
      <c r="W330" s="191" t="s">
        <v>22</v>
      </c>
      <c r="X330" s="192" t="s">
        <v>178</v>
      </c>
      <c r="Y330" s="193"/>
      <c r="Z330" s="191" t="s">
        <v>21</v>
      </c>
      <c r="AA330" s="192" t="s">
        <v>179</v>
      </c>
      <c r="AB330" s="192"/>
      <c r="AC330" s="189"/>
      <c r="AD330" s="189"/>
      <c r="AE330" s="189" t="s">
        <v>177</v>
      </c>
      <c r="AF330" s="189"/>
      <c r="AG330" s="189"/>
      <c r="AH330" s="189"/>
      <c r="AI330" s="189"/>
      <c r="AJ330" s="113" t="s">
        <v>180</v>
      </c>
      <c r="AK330" s="39"/>
      <c r="AL330" s="191" t="s">
        <v>16</v>
      </c>
      <c r="AM330" s="113" t="s">
        <v>181</v>
      </c>
      <c r="AN330" s="39"/>
      <c r="AO330" s="189"/>
      <c r="AP330" s="189"/>
      <c r="AQ330" s="189"/>
      <c r="AR330" s="190"/>
      <c r="AS330" s="36"/>
    </row>
    <row r="331" spans="9:45" ht="9.9499999999999993" customHeight="1">
      <c r="J331" s="118"/>
      <c r="K331" s="15"/>
      <c r="L331" s="15"/>
      <c r="M331" s="15"/>
      <c r="N331" s="15"/>
      <c r="O331" s="15"/>
      <c r="P331" s="15"/>
      <c r="Q331" s="187"/>
      <c r="R331" s="189"/>
      <c r="S331" s="189"/>
      <c r="T331" s="189"/>
      <c r="U331" s="189"/>
      <c r="V331" s="189"/>
      <c r="W331" s="189"/>
      <c r="X331" s="189"/>
      <c r="Y331" s="189"/>
      <c r="Z331" s="189"/>
      <c r="AA331" s="189"/>
      <c r="AB331" s="189"/>
      <c r="AC331" s="189"/>
      <c r="AD331" s="189"/>
      <c r="AE331" s="189"/>
      <c r="AF331" s="189"/>
      <c r="AG331" s="189"/>
      <c r="AH331" s="189"/>
      <c r="AI331" s="189"/>
      <c r="AJ331" s="189"/>
      <c r="AK331" s="189"/>
      <c r="AL331" s="189"/>
      <c r="AM331" s="189"/>
      <c r="AN331" s="189"/>
      <c r="AO331" s="189"/>
      <c r="AP331" s="189"/>
      <c r="AQ331" s="189"/>
      <c r="AR331" s="190"/>
      <c r="AS331" s="36"/>
    </row>
    <row r="332" spans="9:45" ht="18.95" customHeight="1">
      <c r="J332" s="118"/>
      <c r="K332" s="15"/>
      <c r="L332" s="15"/>
      <c r="M332" s="15"/>
      <c r="N332" s="15"/>
      <c r="O332" s="15"/>
      <c r="P332" s="15"/>
      <c r="Q332" s="187"/>
      <c r="R332" s="194" t="s">
        <v>266</v>
      </c>
      <c r="S332" s="189"/>
      <c r="T332" s="189"/>
      <c r="U332" s="44" t="s">
        <v>17</v>
      </c>
      <c r="V332" s="45"/>
      <c r="W332" s="45"/>
      <c r="X332" s="53"/>
      <c r="Y332" s="113" t="s">
        <v>38</v>
      </c>
      <c r="Z332" s="38"/>
      <c r="AA332" s="39"/>
      <c r="AB332" s="201" t="s">
        <v>14</v>
      </c>
      <c r="AC332" s="78" t="s">
        <v>121</v>
      </c>
      <c r="AD332" s="135"/>
      <c r="AE332" s="136" t="s">
        <v>122</v>
      </c>
      <c r="AF332" s="79"/>
      <c r="AG332" s="189"/>
      <c r="AH332" s="78" t="s">
        <v>66</v>
      </c>
      <c r="AI332" s="135"/>
      <c r="AJ332" s="135"/>
      <c r="AK332" s="136" t="s">
        <v>73</v>
      </c>
      <c r="AL332" s="135"/>
      <c r="AM332" s="79"/>
      <c r="AN332" s="195"/>
      <c r="AO332" s="137" t="s">
        <v>39</v>
      </c>
      <c r="AP332" s="138"/>
      <c r="AQ332" s="139"/>
      <c r="AR332" s="190"/>
      <c r="AS332" s="36"/>
    </row>
    <row r="333" spans="9:45" ht="5.0999999999999996" customHeight="1">
      <c r="J333" s="118"/>
      <c r="K333" s="15"/>
      <c r="L333" s="15"/>
      <c r="M333" s="15"/>
      <c r="N333" s="15"/>
      <c r="O333" s="15"/>
      <c r="P333" s="15"/>
      <c r="Q333" s="187"/>
      <c r="R333" s="204"/>
      <c r="S333" s="204"/>
      <c r="T333" s="204"/>
      <c r="U333" s="189"/>
      <c r="V333" s="189"/>
      <c r="W333" s="189"/>
      <c r="X333" s="189"/>
      <c r="Y333" s="189"/>
      <c r="Z333" s="189"/>
      <c r="AA333" s="189"/>
      <c r="AB333" s="189"/>
      <c r="AC333" s="189"/>
      <c r="AD333" s="189"/>
      <c r="AE333" s="189"/>
      <c r="AF333" s="189"/>
      <c r="AG333" s="189"/>
      <c r="AH333" s="189"/>
      <c r="AI333" s="189"/>
      <c r="AJ333" s="189"/>
      <c r="AK333" s="189"/>
      <c r="AL333" s="189"/>
      <c r="AM333" s="189"/>
      <c r="AN333" s="189"/>
      <c r="AO333" s="189"/>
      <c r="AP333" s="189"/>
      <c r="AQ333" s="189"/>
      <c r="AR333" s="190"/>
      <c r="AS333" s="36"/>
    </row>
    <row r="334" spans="9:45" ht="18.95" customHeight="1">
      <c r="J334" s="118"/>
      <c r="K334" s="15"/>
      <c r="L334" s="15"/>
      <c r="M334" s="15"/>
      <c r="N334" s="15"/>
      <c r="O334" s="15"/>
      <c r="P334" s="15"/>
      <c r="Q334" s="187"/>
      <c r="R334" s="264" t="s">
        <v>26</v>
      </c>
      <c r="S334" s="56" t="s">
        <v>27</v>
      </c>
      <c r="T334" s="57"/>
      <c r="U334" s="57"/>
      <c r="V334" s="58"/>
      <c r="W334" s="56"/>
      <c r="X334" s="57"/>
      <c r="Y334" s="58"/>
      <c r="Z334" s="56" t="s">
        <v>132</v>
      </c>
      <c r="AA334" s="57"/>
      <c r="AB334" s="57"/>
      <c r="AC334" s="56"/>
      <c r="AD334" s="57"/>
      <c r="AE334" s="57"/>
      <c r="AF334" s="58"/>
      <c r="AG334" s="56"/>
      <c r="AH334" s="57"/>
      <c r="AI334" s="58"/>
      <c r="AJ334" s="57"/>
      <c r="AK334" s="57"/>
      <c r="AL334" s="58"/>
      <c r="AM334" s="57"/>
      <c r="AN334" s="58"/>
      <c r="AO334" s="57"/>
      <c r="AP334" s="58"/>
      <c r="AQ334" s="59"/>
      <c r="AR334" s="190"/>
      <c r="AS334" s="36"/>
    </row>
    <row r="335" spans="9:45" ht="18.95" customHeight="1">
      <c r="J335" s="118"/>
      <c r="K335" s="15"/>
      <c r="L335" s="15"/>
      <c r="M335" s="15"/>
      <c r="N335" s="15"/>
      <c r="O335" s="15"/>
      <c r="P335" s="15"/>
      <c r="Q335" s="187"/>
      <c r="R335" s="265"/>
      <c r="S335" s="56" t="s">
        <v>28</v>
      </c>
      <c r="T335" s="57"/>
      <c r="U335" s="57"/>
      <c r="V335" s="58"/>
      <c r="W335" s="56" t="s">
        <v>29</v>
      </c>
      <c r="X335" s="57"/>
      <c r="Y335" s="58"/>
      <c r="Z335" s="56" t="s">
        <v>68</v>
      </c>
      <c r="AA335" s="57"/>
      <c r="AB335" s="56" t="s">
        <v>54</v>
      </c>
      <c r="AC335" s="57"/>
      <c r="AD335" s="58"/>
      <c r="AE335" s="57" t="s">
        <v>55</v>
      </c>
      <c r="AF335" s="57"/>
      <c r="AG335" s="56" t="s">
        <v>70</v>
      </c>
      <c r="AH335" s="57"/>
      <c r="AI335" s="56" t="s">
        <v>123</v>
      </c>
      <c r="AJ335" s="57"/>
      <c r="AK335" s="57"/>
      <c r="AL335" s="56" t="s">
        <v>125</v>
      </c>
      <c r="AM335" s="57"/>
      <c r="AN335" s="56" t="s">
        <v>30</v>
      </c>
      <c r="AO335" s="57"/>
      <c r="AP335" s="58"/>
      <c r="AQ335" s="63" t="s">
        <v>6</v>
      </c>
      <c r="AR335" s="190"/>
      <c r="AS335" s="36"/>
    </row>
    <row r="336" spans="9:45" ht="18.95" customHeight="1">
      <c r="J336" s="118"/>
      <c r="K336" s="15"/>
      <c r="L336" s="15"/>
      <c r="M336" s="15"/>
      <c r="N336" s="15"/>
      <c r="O336" s="15"/>
      <c r="P336" s="15"/>
      <c r="Q336" s="187"/>
      <c r="R336" s="199" t="s">
        <v>7</v>
      </c>
      <c r="S336" s="60" t="s">
        <v>17</v>
      </c>
      <c r="T336" s="61"/>
      <c r="U336" s="61"/>
      <c r="V336" s="62"/>
      <c r="W336" s="60" t="s">
        <v>19</v>
      </c>
      <c r="X336" s="74"/>
      <c r="Y336" s="73"/>
      <c r="Z336" s="60" t="s">
        <v>52</v>
      </c>
      <c r="AA336" s="61"/>
      <c r="AB336" s="87" t="s">
        <v>56</v>
      </c>
      <c r="AC336" s="74"/>
      <c r="AD336" s="73"/>
      <c r="AE336" s="60" t="s">
        <v>57</v>
      </c>
      <c r="AF336" s="74"/>
      <c r="AG336" s="60" t="s">
        <v>71</v>
      </c>
      <c r="AH336" s="74"/>
      <c r="AI336" s="266" t="s">
        <v>124</v>
      </c>
      <c r="AJ336" s="267"/>
      <c r="AK336" s="267"/>
      <c r="AL336" s="268">
        <v>0.3</v>
      </c>
      <c r="AM336" s="269"/>
      <c r="AN336" s="60">
        <v>39900</v>
      </c>
      <c r="AO336" s="61"/>
      <c r="AP336" s="62"/>
      <c r="AQ336" s="200"/>
      <c r="AR336" s="190"/>
      <c r="AS336" s="36"/>
    </row>
    <row r="337" spans="4:65" ht="18.95" customHeight="1">
      <c r="J337" s="118"/>
      <c r="K337" s="15"/>
      <c r="L337" s="15"/>
      <c r="M337" s="15"/>
      <c r="N337" s="15"/>
      <c r="O337" s="15"/>
      <c r="P337" s="15"/>
      <c r="Q337" s="187"/>
      <c r="R337" s="199" t="s">
        <v>7</v>
      </c>
      <c r="S337" s="44" t="s">
        <v>17</v>
      </c>
      <c r="T337" s="45"/>
      <c r="U337" s="45"/>
      <c r="V337" s="53"/>
      <c r="W337" s="44" t="s">
        <v>36</v>
      </c>
      <c r="X337" s="38"/>
      <c r="Y337" s="39"/>
      <c r="Z337" s="60" t="s">
        <v>52</v>
      </c>
      <c r="AA337" s="45"/>
      <c r="AB337" s="87" t="s">
        <v>56</v>
      </c>
      <c r="AC337" s="74"/>
      <c r="AD337" s="73"/>
      <c r="AE337" s="60" t="s">
        <v>57</v>
      </c>
      <c r="AF337" s="38"/>
      <c r="AG337" s="60" t="s">
        <v>71</v>
      </c>
      <c r="AH337" s="74"/>
      <c r="AI337" s="266" t="s">
        <v>124</v>
      </c>
      <c r="AJ337" s="267"/>
      <c r="AK337" s="267"/>
      <c r="AL337" s="268">
        <v>0.3</v>
      </c>
      <c r="AM337" s="269"/>
      <c r="AN337" s="44">
        <v>39900</v>
      </c>
      <c r="AO337" s="45"/>
      <c r="AP337" s="53"/>
      <c r="AQ337" s="200"/>
      <c r="AR337" s="190"/>
      <c r="AS337" s="36"/>
    </row>
    <row r="338" spans="4:65" ht="18.95" customHeight="1">
      <c r="J338" s="118"/>
      <c r="K338" s="15"/>
      <c r="L338" s="15"/>
      <c r="M338" s="15"/>
      <c r="N338" s="15"/>
      <c r="O338" s="15"/>
      <c r="P338" s="15"/>
      <c r="Q338" s="187"/>
      <c r="R338" s="199" t="s">
        <v>7</v>
      </c>
      <c r="S338" s="44" t="s">
        <v>17</v>
      </c>
      <c r="T338" s="45"/>
      <c r="U338" s="45"/>
      <c r="V338" s="53"/>
      <c r="W338" s="44" t="s">
        <v>127</v>
      </c>
      <c r="X338" s="38"/>
      <c r="Y338" s="39"/>
      <c r="Z338" s="60" t="s">
        <v>52</v>
      </c>
      <c r="AA338" s="61"/>
      <c r="AB338" s="87" t="s">
        <v>56</v>
      </c>
      <c r="AC338" s="74"/>
      <c r="AD338" s="73"/>
      <c r="AE338" s="60" t="s">
        <v>57</v>
      </c>
      <c r="AF338" s="74"/>
      <c r="AG338" s="60" t="s">
        <v>71</v>
      </c>
      <c r="AH338" s="74"/>
      <c r="AI338" s="266" t="s">
        <v>124</v>
      </c>
      <c r="AJ338" s="267"/>
      <c r="AK338" s="267"/>
      <c r="AL338" s="268">
        <v>0.3</v>
      </c>
      <c r="AM338" s="269"/>
      <c r="AN338" s="60">
        <v>39900</v>
      </c>
      <c r="AO338" s="61"/>
      <c r="AP338" s="62"/>
      <c r="AQ338" s="200"/>
      <c r="AR338" s="190"/>
      <c r="AS338" s="36"/>
    </row>
    <row r="339" spans="4:65" ht="18.95" customHeight="1">
      <c r="J339" s="118"/>
      <c r="K339" s="15"/>
      <c r="L339" s="15"/>
      <c r="M339" s="15"/>
      <c r="N339" s="15"/>
      <c r="O339" s="15"/>
      <c r="P339" s="15"/>
      <c r="Q339" s="187"/>
      <c r="R339" s="199" t="s">
        <v>7</v>
      </c>
      <c r="S339" s="44" t="s">
        <v>17</v>
      </c>
      <c r="T339" s="45"/>
      <c r="U339" s="45"/>
      <c r="V339" s="53"/>
      <c r="W339" s="44" t="s">
        <v>129</v>
      </c>
      <c r="X339" s="38"/>
      <c r="Y339" s="39"/>
      <c r="Z339" s="44" t="s">
        <v>52</v>
      </c>
      <c r="AA339" s="45"/>
      <c r="AB339" s="37" t="s">
        <v>56</v>
      </c>
      <c r="AC339" s="38"/>
      <c r="AD339" s="39"/>
      <c r="AE339" s="44" t="s">
        <v>57</v>
      </c>
      <c r="AF339" s="38"/>
      <c r="AG339" s="44" t="s">
        <v>71</v>
      </c>
      <c r="AH339" s="38"/>
      <c r="AI339" s="266" t="s">
        <v>124</v>
      </c>
      <c r="AJ339" s="267"/>
      <c r="AK339" s="267"/>
      <c r="AL339" s="268">
        <v>0.3</v>
      </c>
      <c r="AM339" s="269"/>
      <c r="AN339" s="44">
        <v>39900</v>
      </c>
      <c r="AO339" s="45"/>
      <c r="AP339" s="53"/>
      <c r="AQ339" s="40"/>
      <c r="AR339" s="190"/>
      <c r="AS339" s="36"/>
    </row>
    <row r="340" spans="4:65" ht="9.9499999999999993" customHeight="1">
      <c r="J340" s="118"/>
      <c r="K340" s="15"/>
      <c r="L340" s="15"/>
      <c r="M340" s="15"/>
      <c r="N340" s="15"/>
      <c r="O340" s="15"/>
      <c r="P340" s="15"/>
      <c r="Q340" s="196"/>
      <c r="R340" s="197"/>
      <c r="S340" s="197"/>
      <c r="T340" s="197"/>
      <c r="U340" s="197"/>
      <c r="V340" s="197"/>
      <c r="W340" s="197"/>
      <c r="X340" s="197"/>
      <c r="Y340" s="197"/>
      <c r="Z340" s="197"/>
      <c r="AA340" s="197"/>
      <c r="AB340" s="197"/>
      <c r="AC340" s="197"/>
      <c r="AD340" s="197"/>
      <c r="AE340" s="197"/>
      <c r="AF340" s="197"/>
      <c r="AG340" s="197"/>
      <c r="AH340" s="197"/>
      <c r="AI340" s="197"/>
      <c r="AJ340" s="197"/>
      <c r="AK340" s="197"/>
      <c r="AL340" s="197"/>
      <c r="AM340" s="197"/>
      <c r="AN340" s="197"/>
      <c r="AO340" s="197"/>
      <c r="AP340" s="197"/>
      <c r="AQ340" s="197"/>
      <c r="AR340" s="198"/>
      <c r="AS340" s="36"/>
    </row>
    <row r="341" spans="4:65" ht="18.95" customHeight="1">
      <c r="J341" s="67"/>
      <c r="K341" s="68"/>
      <c r="L341" s="68"/>
      <c r="M341" s="68"/>
      <c r="N341" s="68"/>
      <c r="O341" s="68"/>
      <c r="P341" s="68"/>
      <c r="Q341" s="68"/>
      <c r="R341" s="75"/>
      <c r="S341" s="68"/>
      <c r="T341" s="68"/>
      <c r="U341" s="68"/>
      <c r="V341" s="68"/>
      <c r="W341" s="68"/>
      <c r="X341" s="68"/>
      <c r="Y341" s="68"/>
      <c r="Z341" s="68"/>
      <c r="AA341" s="68"/>
      <c r="AB341" s="68"/>
      <c r="AC341" s="68"/>
      <c r="AD341" s="68"/>
      <c r="AE341" s="68"/>
      <c r="AF341" s="68"/>
      <c r="AG341" s="68"/>
      <c r="AH341" s="68"/>
      <c r="AI341" s="68"/>
      <c r="AJ341" s="68"/>
      <c r="AK341" s="68"/>
      <c r="AL341" s="68"/>
      <c r="AM341" s="68"/>
      <c r="AN341" s="68"/>
      <c r="AO341" s="68"/>
      <c r="AP341" s="68"/>
      <c r="AQ341" s="68"/>
      <c r="AR341" s="68"/>
      <c r="AS341" s="69"/>
    </row>
    <row r="342" spans="4:65" ht="18.95" customHeight="1">
      <c r="K342" s="15"/>
      <c r="L342" s="15"/>
      <c r="M342" s="15"/>
      <c r="N342" s="15"/>
    </row>
    <row r="343" spans="4:65" ht="18.95" customHeight="1">
      <c r="J343" s="205" t="s">
        <v>309</v>
      </c>
    </row>
    <row r="346" spans="4:65" ht="18.95" customHeight="1">
      <c r="H346" s="12" t="s">
        <v>273</v>
      </c>
      <c r="I346" s="13"/>
      <c r="J346" s="5" t="s">
        <v>274</v>
      </c>
    </row>
    <row r="348" spans="4:65" s="4" customFormat="1" ht="5.0999999999999996" customHeight="1">
      <c r="D348" s="2"/>
      <c r="E348" s="2"/>
      <c r="F348" s="14"/>
      <c r="G348"/>
      <c r="H348"/>
      <c r="I348"/>
      <c r="J348" s="15"/>
      <c r="K348" s="15"/>
      <c r="L348" s="15"/>
      <c r="M348" s="15"/>
      <c r="N348" s="15"/>
      <c r="O348" s="15"/>
      <c r="P348" s="15"/>
      <c r="Q348" s="15"/>
      <c r="R348" s="15"/>
      <c r="S348" s="133"/>
      <c r="T348" s="17"/>
      <c r="U348" s="17"/>
      <c r="V348" s="17"/>
      <c r="W348" s="17"/>
      <c r="X348" s="17"/>
      <c r="Y348" s="17"/>
      <c r="Z348" s="134"/>
      <c r="AA348" s="15"/>
      <c r="AB348" s="15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</row>
    <row r="349" spans="4:65" s="4" customFormat="1" ht="18.95" customHeight="1">
      <c r="D349" s="2"/>
      <c r="E349" s="2"/>
      <c r="F349" s="14"/>
      <c r="G349"/>
      <c r="H349"/>
      <c r="I349"/>
      <c r="J349" s="15"/>
      <c r="K349" s="129" t="s">
        <v>252</v>
      </c>
      <c r="L349" s="130"/>
      <c r="M349" s="130"/>
      <c r="N349" s="130"/>
      <c r="O349" s="130"/>
      <c r="P349" s="130"/>
      <c r="Q349" s="130"/>
      <c r="R349" s="130"/>
      <c r="S349" s="131" t="s">
        <v>274</v>
      </c>
      <c r="T349" s="21"/>
      <c r="U349" s="21"/>
      <c r="V349" s="21"/>
      <c r="W349" s="21"/>
      <c r="X349" s="21"/>
      <c r="Y349" s="21"/>
      <c r="Z349" s="22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</row>
    <row r="350" spans="4:65" s="4" customFormat="1" ht="9.9499999999999993" customHeight="1">
      <c r="D350" s="2"/>
      <c r="E350" s="2"/>
      <c r="F350" s="14"/>
      <c r="G350"/>
      <c r="H350"/>
      <c r="I350"/>
      <c r="J350" s="25"/>
      <c r="K350" s="26"/>
      <c r="L350" s="26"/>
      <c r="M350" s="26"/>
      <c r="N350" s="26"/>
      <c r="O350" s="26"/>
      <c r="P350" s="26"/>
      <c r="Q350" s="26"/>
      <c r="R350" s="26"/>
      <c r="S350" s="15"/>
      <c r="T350" s="15"/>
      <c r="U350" s="15"/>
      <c r="V350" s="15"/>
      <c r="W350" s="15"/>
      <c r="X350" s="15"/>
      <c r="Y350" s="15"/>
      <c r="Z350" s="15"/>
      <c r="AA350" s="26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8"/>
    </row>
    <row r="351" spans="4:65" ht="18.95" customHeight="1">
      <c r="J351" s="118"/>
      <c r="K351" s="29" t="s">
        <v>4</v>
      </c>
      <c r="L351" s="30"/>
      <c r="M351" s="30"/>
      <c r="N351" s="30"/>
      <c r="O351" s="30"/>
      <c r="P351" s="261" t="s">
        <v>5</v>
      </c>
      <c r="Q351" s="262"/>
      <c r="R351" s="262"/>
      <c r="S351" s="263"/>
      <c r="T351" s="31" t="s">
        <v>6</v>
      </c>
      <c r="U351" s="41" t="s">
        <v>16</v>
      </c>
      <c r="V351" s="261" t="s">
        <v>5</v>
      </c>
      <c r="W351" s="262"/>
      <c r="X351" s="262"/>
      <c r="Y351" s="263"/>
      <c r="Z351" s="31" t="s">
        <v>6</v>
      </c>
      <c r="AA351" s="76" t="s">
        <v>7</v>
      </c>
      <c r="AB351" s="15" t="s">
        <v>190</v>
      </c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01" t="s">
        <v>39</v>
      </c>
      <c r="BH351" s="102"/>
      <c r="BI351" s="103"/>
      <c r="BJ351" s="101" t="s">
        <v>25</v>
      </c>
      <c r="BK351" s="102"/>
      <c r="BL351" s="103"/>
      <c r="BM351" s="36"/>
    </row>
    <row r="352" spans="4:65" ht="18.95" customHeight="1">
      <c r="J352" s="118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36"/>
    </row>
    <row r="353" spans="8:65" ht="18.95" customHeight="1">
      <c r="J353" s="118"/>
      <c r="K353" s="29" t="s">
        <v>15</v>
      </c>
      <c r="L353" s="30"/>
      <c r="M353" s="30"/>
      <c r="N353" s="30"/>
      <c r="O353" s="30"/>
      <c r="P353" s="261" t="s">
        <v>5</v>
      </c>
      <c r="Q353" s="262"/>
      <c r="R353" s="262"/>
      <c r="S353" s="263"/>
      <c r="T353" s="31" t="s">
        <v>6</v>
      </c>
      <c r="U353" s="41" t="s">
        <v>16</v>
      </c>
      <c r="V353" s="261" t="s">
        <v>5</v>
      </c>
      <c r="W353" s="262"/>
      <c r="X353" s="262"/>
      <c r="Y353" s="263"/>
      <c r="Z353" s="31" t="s">
        <v>6</v>
      </c>
      <c r="AA353" s="15"/>
      <c r="AB353" s="29" t="s">
        <v>45</v>
      </c>
      <c r="AC353" s="30"/>
      <c r="AD353" s="37" t="s">
        <v>46</v>
      </c>
      <c r="AE353" s="38"/>
      <c r="AF353" s="38"/>
      <c r="AG353" s="39"/>
      <c r="AH353" s="32" t="s">
        <v>8</v>
      </c>
      <c r="AI353" s="30"/>
      <c r="AJ353" s="30"/>
      <c r="AK353" s="261" t="s">
        <v>9</v>
      </c>
      <c r="AL353" s="262"/>
      <c r="AM353" s="262"/>
      <c r="AN353" s="263"/>
      <c r="AO353" s="15"/>
      <c r="AP353" s="32" t="s">
        <v>10</v>
      </c>
      <c r="AQ353" s="30"/>
      <c r="AR353" s="30"/>
      <c r="AS353" s="44" t="s">
        <v>11</v>
      </c>
      <c r="AT353" s="38"/>
      <c r="AU353" s="38"/>
      <c r="AV353" s="38"/>
      <c r="AW353" s="39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36"/>
    </row>
    <row r="354" spans="8:65" ht="18.95" customHeight="1">
      <c r="J354" s="118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36"/>
    </row>
    <row r="355" spans="8:65" ht="18.95" customHeight="1">
      <c r="J355" s="118"/>
      <c r="K355" s="29" t="s">
        <v>77</v>
      </c>
      <c r="L355" s="30"/>
      <c r="M355" s="30"/>
      <c r="N355" s="30"/>
      <c r="O355" s="15"/>
      <c r="P355" s="261" t="s">
        <v>51</v>
      </c>
      <c r="Q355" s="262"/>
      <c r="R355" s="262"/>
      <c r="S355" s="263"/>
      <c r="T355" s="46" t="s">
        <v>14</v>
      </c>
      <c r="U355" s="15"/>
      <c r="V355" s="32" t="s">
        <v>84</v>
      </c>
      <c r="W355" s="30"/>
      <c r="X355" s="30"/>
      <c r="Y355" s="44" t="s">
        <v>17</v>
      </c>
      <c r="Z355" s="45"/>
      <c r="AA355" s="45"/>
      <c r="AB355" s="53"/>
      <c r="AC355" s="46" t="s">
        <v>18</v>
      </c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36"/>
    </row>
    <row r="356" spans="8:65" ht="18.95" customHeight="1">
      <c r="J356" s="118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36"/>
    </row>
    <row r="357" spans="8:65" ht="18.95" customHeight="1">
      <c r="J357" s="118"/>
      <c r="K357" s="29" t="s">
        <v>235</v>
      </c>
      <c r="L357" s="30"/>
      <c r="M357" s="30"/>
      <c r="N357" s="30"/>
      <c r="O357" s="15"/>
      <c r="P357" s="44" t="s">
        <v>155</v>
      </c>
      <c r="Q357" s="45"/>
      <c r="R357" s="45"/>
      <c r="S357" s="45"/>
      <c r="T357" s="46" t="s">
        <v>14</v>
      </c>
      <c r="U357" s="15"/>
      <c r="V357" s="29" t="s">
        <v>236</v>
      </c>
      <c r="W357" s="15"/>
      <c r="X357" s="15"/>
      <c r="Y357" s="15"/>
      <c r="Z357" s="44" t="s">
        <v>185</v>
      </c>
      <c r="AA357" s="45"/>
      <c r="AB357" s="45"/>
      <c r="AC357" s="45"/>
      <c r="AD357" s="46" t="s">
        <v>14</v>
      </c>
      <c r="AE357" s="15"/>
      <c r="AF357" s="15"/>
      <c r="AG357" s="29" t="s">
        <v>20</v>
      </c>
      <c r="AH357" s="30"/>
      <c r="AI357" s="30"/>
      <c r="AJ357" s="44" t="s">
        <v>23</v>
      </c>
      <c r="AK357" s="45"/>
      <c r="AL357" s="53"/>
      <c r="AM357" s="40" t="s">
        <v>18</v>
      </c>
      <c r="AN357" s="157" t="s">
        <v>24</v>
      </c>
      <c r="AO357" s="45"/>
      <c r="AP357" s="45"/>
      <c r="AQ357" s="45"/>
      <c r="AR357" s="45"/>
      <c r="AS357" s="53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36"/>
    </row>
    <row r="358" spans="8:65" ht="18.95" customHeight="1">
      <c r="J358" s="118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36"/>
    </row>
    <row r="359" spans="8:65" ht="18.95" customHeight="1">
      <c r="J359" s="118"/>
      <c r="K359" s="19" t="s">
        <v>152</v>
      </c>
      <c r="L359" s="15"/>
      <c r="M359" s="15"/>
      <c r="N359" s="15"/>
      <c r="O359" s="15"/>
      <c r="P359" s="157" t="s">
        <v>154</v>
      </c>
      <c r="Q359" s="45"/>
      <c r="R359" s="45"/>
      <c r="S359" s="45"/>
      <c r="T359" s="45"/>
      <c r="U359" s="45"/>
      <c r="V359" s="45"/>
      <c r="W359" s="45"/>
      <c r="X359" s="53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36"/>
    </row>
    <row r="360" spans="8:65" ht="18.95" customHeight="1">
      <c r="J360" s="118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36"/>
    </row>
    <row r="361" spans="8:65" ht="18.95" customHeight="1">
      <c r="J361" s="118"/>
      <c r="K361" s="56" t="s">
        <v>40</v>
      </c>
      <c r="L361" s="57"/>
      <c r="M361" s="57"/>
      <c r="N361" s="58"/>
      <c r="O361" s="56" t="s">
        <v>37</v>
      </c>
      <c r="P361" s="57"/>
      <c r="Q361" s="57"/>
      <c r="R361" s="58"/>
      <c r="S361" s="56" t="s">
        <v>69</v>
      </c>
      <c r="T361" s="57"/>
      <c r="U361" s="58"/>
      <c r="V361" s="171" t="s">
        <v>201</v>
      </c>
      <c r="W361" s="169"/>
      <c r="X361" s="169"/>
      <c r="Y361" s="169"/>
      <c r="Z361" s="169"/>
      <c r="AA361" s="169"/>
      <c r="AB361" s="170"/>
      <c r="AC361" s="56" t="s">
        <v>42</v>
      </c>
      <c r="AD361" s="57"/>
      <c r="AE361" s="57"/>
      <c r="AF361" s="58"/>
      <c r="AG361" s="56" t="s">
        <v>43</v>
      </c>
      <c r="AH361" s="57"/>
      <c r="AI361" s="57"/>
      <c r="AJ361" s="58"/>
      <c r="AK361" s="56" t="s">
        <v>237</v>
      </c>
      <c r="AL361" s="57"/>
      <c r="AM361" s="58"/>
      <c r="AN361" s="56" t="s">
        <v>238</v>
      </c>
      <c r="AO361" s="57"/>
      <c r="AP361" s="58"/>
      <c r="AQ361" s="58"/>
      <c r="AR361" s="56" t="s">
        <v>198</v>
      </c>
      <c r="AS361" s="57"/>
      <c r="AT361" s="58"/>
      <c r="AU361" s="58"/>
      <c r="AV361" s="56" t="s">
        <v>204</v>
      </c>
      <c r="AW361" s="57"/>
      <c r="AX361" s="58"/>
      <c r="AY361" s="58"/>
      <c r="AZ361" s="56" t="s">
        <v>206</v>
      </c>
      <c r="BA361" s="57"/>
      <c r="BB361" s="57"/>
      <c r="BC361" s="58"/>
      <c r="BD361" s="56" t="s">
        <v>41</v>
      </c>
      <c r="BE361" s="57"/>
      <c r="BF361" s="167"/>
      <c r="BG361" s="167"/>
      <c r="BH361" s="167"/>
      <c r="BI361" s="167"/>
      <c r="BJ361" s="167"/>
      <c r="BK361" s="168"/>
      <c r="BL361" s="59"/>
      <c r="BM361" s="36"/>
    </row>
    <row r="362" spans="8:65" ht="18.95" customHeight="1">
      <c r="J362" s="118"/>
      <c r="K362" s="44" t="s">
        <v>11</v>
      </c>
      <c r="L362" s="45"/>
      <c r="M362" s="45"/>
      <c r="N362" s="53"/>
      <c r="O362" s="261" t="s">
        <v>5</v>
      </c>
      <c r="P362" s="262"/>
      <c r="Q362" s="262"/>
      <c r="R362" s="263"/>
      <c r="S362" s="44" t="s">
        <v>192</v>
      </c>
      <c r="T362" s="45"/>
      <c r="U362" s="53"/>
      <c r="V362" s="157" t="s">
        <v>255</v>
      </c>
      <c r="W362" s="45"/>
      <c r="X362" s="45"/>
      <c r="Y362" s="45"/>
      <c r="Z362" s="45"/>
      <c r="AA362" s="45"/>
      <c r="AB362" s="53"/>
      <c r="AC362" s="261" t="s">
        <v>5</v>
      </c>
      <c r="AD362" s="262"/>
      <c r="AE362" s="262"/>
      <c r="AF362" s="263"/>
      <c r="AG362" s="261" t="s">
        <v>5</v>
      </c>
      <c r="AH362" s="262"/>
      <c r="AI362" s="262"/>
      <c r="AJ362" s="263"/>
      <c r="AK362" s="44" t="s">
        <v>155</v>
      </c>
      <c r="AL362" s="45"/>
      <c r="AM362" s="53"/>
      <c r="AN362" s="44" t="s">
        <v>149</v>
      </c>
      <c r="AO362" s="45"/>
      <c r="AP362" s="53"/>
      <c r="AQ362" s="53"/>
      <c r="AR362" s="44" t="s">
        <v>151</v>
      </c>
      <c r="AS362" s="45"/>
      <c r="AT362" s="53"/>
      <c r="AU362" s="53"/>
      <c r="AV362" s="44" t="s">
        <v>205</v>
      </c>
      <c r="AW362" s="45"/>
      <c r="AX362" s="53"/>
      <c r="AY362" s="53"/>
      <c r="AZ362" s="44">
        <v>10</v>
      </c>
      <c r="BA362" s="38"/>
      <c r="BB362" s="38"/>
      <c r="BC362" s="39"/>
      <c r="BD362" s="37" t="s">
        <v>46</v>
      </c>
      <c r="BE362" s="38"/>
      <c r="BF362" s="38"/>
      <c r="BG362" s="39"/>
      <c r="BH362" s="261" t="s">
        <v>9</v>
      </c>
      <c r="BI362" s="262"/>
      <c r="BJ362" s="262"/>
      <c r="BK362" s="263"/>
      <c r="BL362" s="63" t="s">
        <v>6</v>
      </c>
      <c r="BM362" s="36"/>
    </row>
    <row r="363" spans="8:65" ht="18.95" customHeight="1">
      <c r="J363" s="118"/>
      <c r="K363" s="44" t="s">
        <v>101</v>
      </c>
      <c r="L363" s="45"/>
      <c r="M363" s="45"/>
      <c r="N363" s="53"/>
      <c r="O363" s="261" t="s">
        <v>5</v>
      </c>
      <c r="P363" s="262"/>
      <c r="Q363" s="262"/>
      <c r="R363" s="263"/>
      <c r="S363" s="44" t="s">
        <v>192</v>
      </c>
      <c r="T363" s="45"/>
      <c r="U363" s="53"/>
      <c r="V363" s="157" t="s">
        <v>255</v>
      </c>
      <c r="W363" s="45"/>
      <c r="X363" s="45"/>
      <c r="Y363" s="45"/>
      <c r="Z363" s="45"/>
      <c r="AA363" s="45"/>
      <c r="AB363" s="53"/>
      <c r="AC363" s="261" t="s">
        <v>5</v>
      </c>
      <c r="AD363" s="262"/>
      <c r="AE363" s="262"/>
      <c r="AF363" s="263"/>
      <c r="AG363" s="261" t="s">
        <v>5</v>
      </c>
      <c r="AH363" s="262"/>
      <c r="AI363" s="262"/>
      <c r="AJ363" s="263"/>
      <c r="AK363" s="44" t="s">
        <v>156</v>
      </c>
      <c r="AL363" s="45"/>
      <c r="AM363" s="53"/>
      <c r="AN363" s="44" t="s">
        <v>197</v>
      </c>
      <c r="AO363" s="45"/>
      <c r="AP363" s="53"/>
      <c r="AQ363" s="53"/>
      <c r="AR363" s="44" t="s">
        <v>31</v>
      </c>
      <c r="AS363" s="45"/>
      <c r="AT363" s="53"/>
      <c r="AU363" s="53"/>
      <c r="AV363" s="44" t="s">
        <v>205</v>
      </c>
      <c r="AW363" s="45"/>
      <c r="AX363" s="53"/>
      <c r="AY363" s="53"/>
      <c r="AZ363" s="44">
        <v>30</v>
      </c>
      <c r="BA363" s="38"/>
      <c r="BB363" s="38"/>
      <c r="BC363" s="39"/>
      <c r="BD363" s="37" t="s">
        <v>46</v>
      </c>
      <c r="BE363" s="38"/>
      <c r="BF363" s="38"/>
      <c r="BG363" s="39"/>
      <c r="BH363" s="261" t="s">
        <v>9</v>
      </c>
      <c r="BI363" s="262"/>
      <c r="BJ363" s="262"/>
      <c r="BK363" s="263"/>
      <c r="BL363" s="40"/>
      <c r="BM363" s="36"/>
    </row>
    <row r="364" spans="8:65" ht="18.95" customHeight="1">
      <c r="J364" s="67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8"/>
      <c r="AB364" s="68"/>
      <c r="AC364" s="68"/>
      <c r="AD364" s="68"/>
      <c r="AE364" s="68"/>
      <c r="AF364" s="68"/>
      <c r="AG364" s="68"/>
      <c r="AH364" s="68"/>
      <c r="AI364" s="68"/>
      <c r="AJ364" s="68"/>
      <c r="AK364" s="68"/>
      <c r="AL364" s="68"/>
      <c r="AM364" s="68"/>
      <c r="AN364" s="68"/>
      <c r="AO364" s="68"/>
      <c r="AP364" s="68"/>
      <c r="AQ364" s="68"/>
      <c r="AR364" s="68"/>
      <c r="AS364" s="68"/>
      <c r="AT364" s="68"/>
      <c r="AU364" s="68"/>
      <c r="AV364" s="68"/>
      <c r="AW364" s="68"/>
      <c r="AX364" s="68"/>
      <c r="AY364" s="68"/>
      <c r="AZ364" s="68"/>
      <c r="BA364" s="68"/>
      <c r="BB364" s="68"/>
      <c r="BC364" s="68"/>
      <c r="BD364" s="68"/>
      <c r="BE364" s="68"/>
      <c r="BF364" s="68"/>
      <c r="BG364" s="68"/>
      <c r="BH364" s="68"/>
      <c r="BI364" s="68"/>
      <c r="BJ364" s="68"/>
      <c r="BK364" s="68"/>
      <c r="BL364" s="68"/>
      <c r="BM364" s="69"/>
    </row>
    <row r="367" spans="8:65" ht="18.95" customHeight="1">
      <c r="H367" s="12" t="s">
        <v>275</v>
      </c>
      <c r="I367" s="13"/>
      <c r="J367" s="5" t="s">
        <v>276</v>
      </c>
    </row>
    <row r="369" spans="10:68" ht="18.95" customHeight="1">
      <c r="T369" s="246" t="s">
        <v>291</v>
      </c>
      <c r="U369" s="246"/>
      <c r="V369" s="246"/>
      <c r="W369" s="246"/>
      <c r="X369" s="246"/>
      <c r="Y369" s="246"/>
      <c r="AA369" s="246" t="s">
        <v>293</v>
      </c>
      <c r="AB369" s="246"/>
      <c r="AC369" s="246"/>
      <c r="AD369" s="246"/>
      <c r="AE369" s="246"/>
      <c r="AF369" s="246"/>
      <c r="AG369" s="246"/>
      <c r="AH369" s="246"/>
      <c r="AI369" s="246"/>
      <c r="AJ369" s="246"/>
      <c r="AK369" s="246"/>
      <c r="AL369" s="246"/>
      <c r="AM369" s="246"/>
      <c r="AN369" s="246"/>
      <c r="AO369" s="246"/>
      <c r="AP369" s="246"/>
      <c r="AQ369" s="246"/>
      <c r="AR369" s="246"/>
      <c r="AS369" s="246"/>
      <c r="AT369" s="246"/>
      <c r="AU369" s="246"/>
      <c r="AV369" s="246"/>
      <c r="AW369" s="246"/>
      <c r="AY369" s="246" t="s">
        <v>294</v>
      </c>
      <c r="AZ369" s="246"/>
      <c r="BA369" s="246"/>
      <c r="BB369" s="246"/>
      <c r="BC369" s="246"/>
      <c r="BD369" s="246"/>
      <c r="BE369" s="246"/>
      <c r="BF369" s="246"/>
      <c r="BG369" s="246"/>
      <c r="BH369" s="246"/>
      <c r="BI369" s="246"/>
      <c r="BK369" s="246" t="s">
        <v>296</v>
      </c>
      <c r="BL369" s="246"/>
      <c r="BM369" s="246"/>
      <c r="BN369" s="246"/>
      <c r="BO369" s="246"/>
      <c r="BP369" s="246"/>
    </row>
    <row r="370" spans="10:68" ht="18.95" customHeight="1">
      <c r="T370" s="245" t="s">
        <v>290</v>
      </c>
      <c r="U370" s="245"/>
      <c r="V370" s="245"/>
      <c r="W370" s="245"/>
      <c r="X370" s="245"/>
      <c r="Y370" s="245"/>
      <c r="AA370" s="245" t="s">
        <v>292</v>
      </c>
      <c r="AB370" s="245"/>
      <c r="AC370" s="245"/>
      <c r="AD370" s="245"/>
      <c r="AE370" s="245"/>
      <c r="AF370" s="245"/>
      <c r="AG370" s="245"/>
      <c r="AH370" s="245"/>
      <c r="AI370" s="245"/>
      <c r="AJ370" s="245"/>
      <c r="AK370" s="245"/>
      <c r="AL370" s="245"/>
      <c r="AM370" s="245"/>
      <c r="AN370" s="245"/>
      <c r="AO370" s="245"/>
      <c r="AP370" s="245"/>
      <c r="AQ370" s="245"/>
      <c r="AR370" s="245"/>
      <c r="AS370" s="245"/>
      <c r="AT370" s="245"/>
      <c r="AU370" s="245"/>
      <c r="AV370" s="245"/>
      <c r="AW370" s="245"/>
      <c r="AY370" s="245" t="s">
        <v>295</v>
      </c>
      <c r="AZ370" s="245"/>
      <c r="BA370" s="245"/>
      <c r="BB370" s="245"/>
      <c r="BC370" s="245"/>
      <c r="BD370" s="245"/>
      <c r="BE370" s="245"/>
      <c r="BF370" s="245"/>
      <c r="BG370" s="245"/>
      <c r="BH370" s="245"/>
      <c r="BI370" s="245"/>
      <c r="BK370" s="245" t="s">
        <v>297</v>
      </c>
      <c r="BL370" s="245"/>
      <c r="BM370" s="245"/>
      <c r="BN370" s="245"/>
      <c r="BO370" s="245"/>
      <c r="BP370" s="245"/>
    </row>
    <row r="371" spans="10:68" ht="18.95" customHeight="1" thickBot="1"/>
    <row r="372" spans="10:68" ht="9.9499999999999993" customHeight="1">
      <c r="T372" s="210"/>
      <c r="U372" s="211"/>
      <c r="V372" s="211"/>
      <c r="W372" s="211"/>
      <c r="X372" s="211"/>
      <c r="Y372" s="212"/>
      <c r="AA372" s="218"/>
      <c r="AB372" s="219"/>
      <c r="AC372" s="219"/>
      <c r="AD372" s="219"/>
      <c r="AE372" s="219"/>
      <c r="AF372" s="219"/>
      <c r="AG372" s="219"/>
      <c r="AH372" s="219"/>
      <c r="AI372" s="219"/>
      <c r="AJ372" s="219"/>
      <c r="AK372" s="219"/>
      <c r="AL372" s="219"/>
      <c r="AM372" s="219"/>
      <c r="AN372" s="219"/>
      <c r="AO372" s="219"/>
      <c r="AP372" s="220"/>
      <c r="AR372" s="210"/>
      <c r="AS372" s="211"/>
      <c r="AT372" s="211"/>
      <c r="AU372" s="211"/>
      <c r="AV372" s="211"/>
      <c r="AW372" s="212"/>
      <c r="AY372" s="218"/>
      <c r="AZ372" s="219"/>
      <c r="BA372" s="219"/>
      <c r="BB372" s="219"/>
      <c r="BC372" s="219"/>
      <c r="BD372" s="219"/>
      <c r="BE372" s="219"/>
      <c r="BF372" s="219"/>
      <c r="BG372" s="219"/>
      <c r="BH372" s="219"/>
      <c r="BI372" s="220"/>
      <c r="BK372" s="210"/>
      <c r="BL372" s="211"/>
      <c r="BM372" s="211"/>
      <c r="BN372" s="211"/>
      <c r="BO372" s="211"/>
      <c r="BP372" s="212"/>
    </row>
    <row r="373" spans="10:68" ht="18.95" customHeight="1">
      <c r="N373" s="245" t="s">
        <v>277</v>
      </c>
      <c r="O373" s="245"/>
      <c r="P373" s="245"/>
      <c r="Q373" s="245"/>
      <c r="T373" s="213"/>
      <c r="U373" s="239" t="s">
        <v>283</v>
      </c>
      <c r="V373" s="239"/>
      <c r="W373" s="239"/>
      <c r="X373" s="239"/>
      <c r="Y373" s="214"/>
      <c r="AA373" s="221"/>
      <c r="AB373" s="239" t="s">
        <v>283</v>
      </c>
      <c r="AC373" s="239"/>
      <c r="AD373" s="239"/>
      <c r="AE373" s="239"/>
      <c r="AF373" s="15"/>
      <c r="AG373" s="239" t="s">
        <v>303</v>
      </c>
      <c r="AH373" s="239"/>
      <c r="AI373" s="239"/>
      <c r="AJ373" s="239"/>
      <c r="AK373" s="15"/>
      <c r="AL373" s="239" t="s">
        <v>285</v>
      </c>
      <c r="AM373" s="239"/>
      <c r="AN373" s="239"/>
      <c r="AO373" s="239"/>
      <c r="AP373" s="222"/>
      <c r="AR373" s="213"/>
      <c r="AS373" s="239" t="s">
        <v>285</v>
      </c>
      <c r="AT373" s="239"/>
      <c r="AU373" s="239"/>
      <c r="AV373" s="239"/>
      <c r="AW373" s="214"/>
      <c r="AY373" s="221"/>
      <c r="AZ373" s="239" t="s">
        <v>285</v>
      </c>
      <c r="BA373" s="239"/>
      <c r="BB373" s="239"/>
      <c r="BC373" s="239"/>
      <c r="BD373" s="15"/>
      <c r="BE373" s="239" t="s">
        <v>302</v>
      </c>
      <c r="BF373" s="239"/>
      <c r="BG373" s="239"/>
      <c r="BH373" s="239"/>
      <c r="BI373" s="226"/>
      <c r="BJ373" s="207"/>
      <c r="BK373" s="213"/>
      <c r="BL373" s="239" t="s">
        <v>289</v>
      </c>
      <c r="BM373" s="239"/>
      <c r="BN373" s="239"/>
      <c r="BO373" s="239"/>
      <c r="BP373" s="214"/>
    </row>
    <row r="374" spans="10:68" ht="18.95" customHeight="1">
      <c r="J374" s="13" t="s">
        <v>278</v>
      </c>
      <c r="K374" s="13"/>
      <c r="L374" s="13"/>
      <c r="N374" s="260">
        <v>120000</v>
      </c>
      <c r="O374" s="260"/>
      <c r="P374" s="260"/>
      <c r="Q374" s="260"/>
      <c r="T374" s="213"/>
      <c r="U374" s="244">
        <v>100000</v>
      </c>
      <c r="V374" s="244"/>
      <c r="W374" s="244"/>
      <c r="X374" s="244"/>
      <c r="Y374" s="214"/>
      <c r="AA374" s="221"/>
      <c r="AB374" s="244">
        <v>100000</v>
      </c>
      <c r="AC374" s="244"/>
      <c r="AD374" s="244"/>
      <c r="AE374" s="244"/>
      <c r="AF374" s="15"/>
      <c r="AG374" s="243">
        <f>ROUND((AB374/AB$380)*AG$380,0)</f>
        <v>13043</v>
      </c>
      <c r="AH374" s="243"/>
      <c r="AI374" s="243"/>
      <c r="AJ374" s="243"/>
      <c r="AK374" s="15"/>
      <c r="AL374" s="243">
        <f>AB374-AG374</f>
        <v>86957</v>
      </c>
      <c r="AM374" s="243"/>
      <c r="AN374" s="243"/>
      <c r="AO374" s="243"/>
      <c r="AP374" s="222"/>
      <c r="AR374" s="213"/>
      <c r="AS374" s="244">
        <f>AL374</f>
        <v>86957</v>
      </c>
      <c r="AT374" s="244"/>
      <c r="AU374" s="244"/>
      <c r="AV374" s="244"/>
      <c r="AW374" s="214"/>
      <c r="AY374" s="221"/>
      <c r="AZ374" s="244">
        <f>AS374</f>
        <v>86957</v>
      </c>
      <c r="BA374" s="244"/>
      <c r="BB374" s="244"/>
      <c r="BC374" s="244"/>
      <c r="BD374" s="15"/>
      <c r="BE374" s="243">
        <f>ROUND((AZ374/AZ$380)*BE$380,0)</f>
        <v>2999</v>
      </c>
      <c r="BF374" s="243"/>
      <c r="BG374" s="243"/>
      <c r="BH374" s="243"/>
      <c r="BI374" s="227"/>
      <c r="BJ374" s="209"/>
      <c r="BK374" s="213"/>
      <c r="BL374" s="243">
        <f>AZ374-BE374</f>
        <v>83958</v>
      </c>
      <c r="BM374" s="243"/>
      <c r="BN374" s="243"/>
      <c r="BO374" s="243"/>
      <c r="BP374" s="214"/>
    </row>
    <row r="375" spans="10:68" ht="18.95" customHeight="1">
      <c r="J375" s="13" t="s">
        <v>279</v>
      </c>
      <c r="K375" s="13"/>
      <c r="L375" s="13"/>
      <c r="N375" s="260">
        <v>100000</v>
      </c>
      <c r="O375" s="260"/>
      <c r="P375" s="260"/>
      <c r="Q375" s="260"/>
      <c r="T375" s="213"/>
      <c r="U375" s="244">
        <v>90000</v>
      </c>
      <c r="V375" s="244"/>
      <c r="W375" s="244"/>
      <c r="X375" s="244"/>
      <c r="Y375" s="214"/>
      <c r="AA375" s="221"/>
      <c r="AB375" s="244">
        <v>90000</v>
      </c>
      <c r="AC375" s="244"/>
      <c r="AD375" s="244"/>
      <c r="AE375" s="244"/>
      <c r="AF375" s="15"/>
      <c r="AG375" s="243">
        <f>ROUND((AB375/AB$380)*AG$380,0)</f>
        <v>11739</v>
      </c>
      <c r="AH375" s="243"/>
      <c r="AI375" s="243"/>
      <c r="AJ375" s="243"/>
      <c r="AK375" s="15"/>
      <c r="AL375" s="243">
        <f>AB375-AG375</f>
        <v>78261</v>
      </c>
      <c r="AM375" s="243"/>
      <c r="AN375" s="243"/>
      <c r="AO375" s="243"/>
      <c r="AP375" s="222"/>
      <c r="AR375" s="213"/>
      <c r="AS375" s="244">
        <f>AL375</f>
        <v>78261</v>
      </c>
      <c r="AT375" s="244"/>
      <c r="AU375" s="244"/>
      <c r="AV375" s="244"/>
      <c r="AW375" s="214"/>
      <c r="AY375" s="221"/>
      <c r="AZ375" s="244">
        <f>AS375</f>
        <v>78261</v>
      </c>
      <c r="BA375" s="244"/>
      <c r="BB375" s="244"/>
      <c r="BC375" s="244"/>
      <c r="BD375" s="15"/>
      <c r="BE375" s="243">
        <f>ROUND((AZ375/AZ$380)*BE$380,0)</f>
        <v>2699</v>
      </c>
      <c r="BF375" s="243"/>
      <c r="BG375" s="243"/>
      <c r="BH375" s="243"/>
      <c r="BI375" s="227"/>
      <c r="BJ375" s="209"/>
      <c r="BK375" s="213"/>
      <c r="BL375" s="243">
        <f>AZ375-BE375</f>
        <v>75562</v>
      </c>
      <c r="BM375" s="243"/>
      <c r="BN375" s="243"/>
      <c r="BO375" s="243"/>
      <c r="BP375" s="214"/>
    </row>
    <row r="376" spans="10:68" ht="18.95" customHeight="1">
      <c r="J376" s="13" t="s">
        <v>282</v>
      </c>
      <c r="K376" s="13"/>
      <c r="L376" s="13"/>
      <c r="N376" s="260">
        <v>50000</v>
      </c>
      <c r="O376" s="260"/>
      <c r="P376" s="260"/>
      <c r="Q376" s="260"/>
      <c r="T376" s="213"/>
      <c r="U376" s="244">
        <v>40000</v>
      </c>
      <c r="V376" s="244"/>
      <c r="W376" s="244"/>
      <c r="X376" s="244"/>
      <c r="Y376" s="214"/>
      <c r="AA376" s="221"/>
      <c r="AB376" s="244">
        <v>40000</v>
      </c>
      <c r="AC376" s="244"/>
      <c r="AD376" s="244"/>
      <c r="AE376" s="244"/>
      <c r="AF376" s="15"/>
      <c r="AG376" s="243">
        <f>AG380-AG374-AG375</f>
        <v>5218</v>
      </c>
      <c r="AH376" s="243"/>
      <c r="AI376" s="243"/>
      <c r="AJ376" s="243"/>
      <c r="AK376" s="15"/>
      <c r="AL376" s="243">
        <f>AB376-AG376</f>
        <v>34782</v>
      </c>
      <c r="AM376" s="243"/>
      <c r="AN376" s="243"/>
      <c r="AO376" s="243"/>
      <c r="AP376" s="222"/>
      <c r="AR376" s="213"/>
      <c r="AS376" s="244">
        <f>AL376</f>
        <v>34782</v>
      </c>
      <c r="AT376" s="244"/>
      <c r="AU376" s="244"/>
      <c r="AV376" s="244"/>
      <c r="AW376" s="214"/>
      <c r="AY376" s="221"/>
      <c r="AZ376" s="244">
        <f>AS376</f>
        <v>34782</v>
      </c>
      <c r="BA376" s="244"/>
      <c r="BB376" s="244"/>
      <c r="BC376" s="244"/>
      <c r="BD376" s="15"/>
      <c r="BE376" s="243">
        <f>ROUND((AZ376/AZ$380)*BE$380,0)</f>
        <v>1199</v>
      </c>
      <c r="BF376" s="243"/>
      <c r="BG376" s="243"/>
      <c r="BH376" s="243"/>
      <c r="BI376" s="227"/>
      <c r="BJ376" s="209"/>
      <c r="BK376" s="213"/>
      <c r="BL376" s="243">
        <f>AZ376-BE376</f>
        <v>33583</v>
      </c>
      <c r="BM376" s="243"/>
      <c r="BN376" s="243"/>
      <c r="BO376" s="243"/>
      <c r="BP376" s="214"/>
    </row>
    <row r="377" spans="10:68" ht="18.95" customHeight="1">
      <c r="J377" s="13" t="s">
        <v>280</v>
      </c>
      <c r="K377" s="13"/>
      <c r="L377" s="13"/>
      <c r="N377" s="260">
        <v>50000</v>
      </c>
      <c r="O377" s="260"/>
      <c r="P377" s="260"/>
      <c r="Q377" s="260"/>
      <c r="T377" s="213"/>
      <c r="U377" s="244">
        <v>40000</v>
      </c>
      <c r="V377" s="244"/>
      <c r="W377" s="244"/>
      <c r="X377" s="244"/>
      <c r="Y377" s="214"/>
      <c r="AA377" s="221"/>
      <c r="AB377" s="244"/>
      <c r="AC377" s="244"/>
      <c r="AD377" s="244"/>
      <c r="AE377" s="244"/>
      <c r="AF377" s="15"/>
      <c r="AG377" s="244"/>
      <c r="AH377" s="244"/>
      <c r="AI377" s="244"/>
      <c r="AJ377" s="244"/>
      <c r="AK377" s="15"/>
      <c r="AL377" s="244"/>
      <c r="AM377" s="244"/>
      <c r="AN377" s="244"/>
      <c r="AO377" s="244"/>
      <c r="AP377" s="222"/>
      <c r="AR377" s="213"/>
      <c r="AS377" s="244">
        <f>U377</f>
        <v>40000</v>
      </c>
      <c r="AT377" s="244"/>
      <c r="AU377" s="244"/>
      <c r="AV377" s="244"/>
      <c r="AW377" s="214"/>
      <c r="AY377" s="221"/>
      <c r="AZ377" s="244">
        <f>AS377</f>
        <v>40000</v>
      </c>
      <c r="BA377" s="244"/>
      <c r="BB377" s="244"/>
      <c r="BC377" s="244"/>
      <c r="BD377" s="15"/>
      <c r="BE377" s="243">
        <f>ROUND((AZ377/AZ$380)*BE$380,0)</f>
        <v>1379</v>
      </c>
      <c r="BF377" s="243"/>
      <c r="BG377" s="243"/>
      <c r="BH377" s="243"/>
      <c r="BI377" s="227"/>
      <c r="BJ377" s="209"/>
      <c r="BK377" s="213"/>
      <c r="BL377" s="243">
        <f>AZ377-BE377</f>
        <v>38621</v>
      </c>
      <c r="BM377" s="243"/>
      <c r="BN377" s="243"/>
      <c r="BO377" s="243"/>
      <c r="BP377" s="214"/>
    </row>
    <row r="378" spans="10:68" ht="18.95" customHeight="1">
      <c r="J378" s="13" t="s">
        <v>281</v>
      </c>
      <c r="K378" s="13"/>
      <c r="L378" s="13"/>
      <c r="N378" s="260">
        <v>60000</v>
      </c>
      <c r="O378" s="260"/>
      <c r="P378" s="260"/>
      <c r="Q378" s="260"/>
      <c r="T378" s="213"/>
      <c r="U378" s="244">
        <v>50000</v>
      </c>
      <c r="V378" s="244"/>
      <c r="W378" s="244"/>
      <c r="X378" s="244"/>
      <c r="Y378" s="214"/>
      <c r="AA378" s="221"/>
      <c r="AB378" s="244"/>
      <c r="AC378" s="244"/>
      <c r="AD378" s="244"/>
      <c r="AE378" s="244"/>
      <c r="AF378" s="15"/>
      <c r="AG378" s="244"/>
      <c r="AH378" s="244"/>
      <c r="AI378" s="244"/>
      <c r="AJ378" s="244"/>
      <c r="AK378" s="15"/>
      <c r="AL378" s="244"/>
      <c r="AM378" s="244"/>
      <c r="AN378" s="244"/>
      <c r="AO378" s="244"/>
      <c r="AP378" s="222"/>
      <c r="AR378" s="213"/>
      <c r="AS378" s="244">
        <f>U378</f>
        <v>50000</v>
      </c>
      <c r="AT378" s="244"/>
      <c r="AU378" s="244"/>
      <c r="AV378" s="244"/>
      <c r="AW378" s="214"/>
      <c r="AY378" s="221"/>
      <c r="AZ378" s="244">
        <f>AS378</f>
        <v>50000</v>
      </c>
      <c r="BA378" s="244"/>
      <c r="BB378" s="244"/>
      <c r="BC378" s="244"/>
      <c r="BD378" s="15"/>
      <c r="BE378" s="244">
        <f>BE380-BE374-BE375-BE376-BE377</f>
        <v>1724</v>
      </c>
      <c r="BF378" s="244"/>
      <c r="BG378" s="244"/>
      <c r="BH378" s="244"/>
      <c r="BI378" s="228"/>
      <c r="BJ378" s="206"/>
      <c r="BK378" s="213"/>
      <c r="BL378" s="243">
        <f>AZ378-BE378</f>
        <v>48276</v>
      </c>
      <c r="BM378" s="243"/>
      <c r="BN378" s="243"/>
      <c r="BO378" s="243"/>
      <c r="BP378" s="214"/>
    </row>
    <row r="379" spans="10:68" ht="18.95" customHeight="1">
      <c r="T379" s="213"/>
      <c r="U379" s="244"/>
      <c r="V379" s="244"/>
      <c r="W379" s="244"/>
      <c r="X379" s="244"/>
      <c r="Y379" s="214"/>
      <c r="AA379" s="221"/>
      <c r="AB379" s="244"/>
      <c r="AC379" s="244"/>
      <c r="AD379" s="244"/>
      <c r="AE379" s="244"/>
      <c r="AF379" s="15"/>
      <c r="AG379" s="244"/>
      <c r="AH379" s="244"/>
      <c r="AI379" s="244"/>
      <c r="AJ379" s="244"/>
      <c r="AK379" s="15"/>
      <c r="AL379" s="244"/>
      <c r="AM379" s="244"/>
      <c r="AN379" s="244"/>
      <c r="AO379" s="244"/>
      <c r="AP379" s="222"/>
      <c r="AR379" s="213"/>
      <c r="AS379" s="244"/>
      <c r="AT379" s="244"/>
      <c r="AU379" s="244"/>
      <c r="AV379" s="244"/>
      <c r="AW379" s="214"/>
      <c r="AY379" s="221"/>
      <c r="AZ379" s="244"/>
      <c r="BA379" s="244"/>
      <c r="BB379" s="244"/>
      <c r="BC379" s="244"/>
      <c r="BD379" s="15"/>
      <c r="BE379" s="244"/>
      <c r="BF379" s="244"/>
      <c r="BG379" s="244"/>
      <c r="BH379" s="244"/>
      <c r="BI379" s="228"/>
      <c r="BJ379" s="206"/>
      <c r="BK379" s="213"/>
      <c r="BL379" s="244"/>
      <c r="BM379" s="244"/>
      <c r="BN379" s="244"/>
      <c r="BO379" s="244"/>
      <c r="BP379" s="214"/>
    </row>
    <row r="380" spans="10:68" ht="18.95" customHeight="1">
      <c r="N380" s="259">
        <f>N378+N377+N376+N375+N374</f>
        <v>380000</v>
      </c>
      <c r="O380" s="259"/>
      <c r="P380" s="259"/>
      <c r="Q380" s="259"/>
      <c r="T380" s="213"/>
      <c r="U380" s="238">
        <f>U378+U377+U376+U375+U374</f>
        <v>320000</v>
      </c>
      <c r="V380" s="238"/>
      <c r="W380" s="238"/>
      <c r="X380" s="238"/>
      <c r="Y380" s="214"/>
      <c r="AA380" s="221"/>
      <c r="AB380" s="238">
        <f>AB378+AB377+AB376+AB375+AB374</f>
        <v>230000</v>
      </c>
      <c r="AC380" s="238"/>
      <c r="AD380" s="238"/>
      <c r="AE380" s="238"/>
      <c r="AF380" s="15"/>
      <c r="AG380" s="238">
        <f>AB380-200000</f>
        <v>30000</v>
      </c>
      <c r="AH380" s="238"/>
      <c r="AI380" s="238"/>
      <c r="AJ380" s="238"/>
      <c r="AK380" s="15"/>
      <c r="AL380" s="238">
        <f>AL378+AL377+AL376+AL375+AL374</f>
        <v>200000</v>
      </c>
      <c r="AM380" s="238"/>
      <c r="AN380" s="238"/>
      <c r="AO380" s="238"/>
      <c r="AP380" s="222"/>
      <c r="AR380" s="213"/>
      <c r="AS380" s="238">
        <f>AS378+AS377+AS376+AS375+AS374</f>
        <v>290000</v>
      </c>
      <c r="AT380" s="238"/>
      <c r="AU380" s="238"/>
      <c r="AV380" s="238"/>
      <c r="AW380" s="214"/>
      <c r="AY380" s="221"/>
      <c r="AZ380" s="238">
        <f>AZ378+AZ377+AZ376+AZ375+AZ374</f>
        <v>290000</v>
      </c>
      <c r="BA380" s="238"/>
      <c r="BB380" s="238"/>
      <c r="BC380" s="238"/>
      <c r="BD380" s="15"/>
      <c r="BE380" s="238">
        <v>10000</v>
      </c>
      <c r="BF380" s="238"/>
      <c r="BG380" s="238"/>
      <c r="BH380" s="238"/>
      <c r="BI380" s="229"/>
      <c r="BJ380" s="208"/>
      <c r="BK380" s="213"/>
      <c r="BL380" s="238">
        <f>BL378+BL377+BL376+BL375+BL374</f>
        <v>280000</v>
      </c>
      <c r="BM380" s="238"/>
      <c r="BN380" s="238"/>
      <c r="BO380" s="238"/>
      <c r="BP380" s="214"/>
    </row>
    <row r="381" spans="10:68" ht="9.9499999999999993" customHeight="1" thickBot="1">
      <c r="T381" s="215"/>
      <c r="U381" s="216"/>
      <c r="V381" s="216"/>
      <c r="W381" s="216"/>
      <c r="X381" s="216"/>
      <c r="Y381" s="217"/>
      <c r="AA381" s="223"/>
      <c r="AB381" s="224"/>
      <c r="AC381" s="224"/>
      <c r="AD381" s="224"/>
      <c r="AE381" s="224"/>
      <c r="AF381" s="224"/>
      <c r="AG381" s="224"/>
      <c r="AH381" s="224"/>
      <c r="AI381" s="224"/>
      <c r="AJ381" s="224"/>
      <c r="AK381" s="224"/>
      <c r="AL381" s="224"/>
      <c r="AM381" s="224"/>
      <c r="AN381" s="224"/>
      <c r="AO381" s="224"/>
      <c r="AP381" s="225"/>
      <c r="AR381" s="215"/>
      <c r="AS381" s="216"/>
      <c r="AT381" s="216"/>
      <c r="AU381" s="216"/>
      <c r="AV381" s="216"/>
      <c r="AW381" s="217"/>
      <c r="AY381" s="223"/>
      <c r="AZ381" s="224"/>
      <c r="BA381" s="224"/>
      <c r="BB381" s="224"/>
      <c r="BC381" s="224"/>
      <c r="BD381" s="224"/>
      <c r="BE381" s="224"/>
      <c r="BF381" s="224"/>
      <c r="BG381" s="224"/>
      <c r="BH381" s="224"/>
      <c r="BI381" s="225"/>
      <c r="BK381" s="215"/>
      <c r="BL381" s="216"/>
      <c r="BM381" s="216"/>
      <c r="BN381" s="216"/>
      <c r="BO381" s="216"/>
      <c r="BP381" s="217"/>
    </row>
    <row r="383" spans="10:68" ht="18.95" customHeight="1">
      <c r="AI383" s="231" t="s">
        <v>299</v>
      </c>
    </row>
    <row r="384" spans="10:68" ht="18.95" customHeight="1">
      <c r="X384" s="256" t="s">
        <v>287</v>
      </c>
      <c r="Y384" s="257"/>
      <c r="Z384" s="257"/>
      <c r="AA384" s="257"/>
      <c r="AB384" s="258"/>
      <c r="AI384" s="232" t="s">
        <v>300</v>
      </c>
      <c r="AV384" s="256" t="s">
        <v>288</v>
      </c>
      <c r="AW384" s="257"/>
      <c r="AX384" s="257"/>
      <c r="AY384" s="257"/>
      <c r="AZ384" s="258"/>
    </row>
    <row r="385" spans="10:52" ht="18.95" customHeight="1">
      <c r="X385" s="247" t="s">
        <v>284</v>
      </c>
      <c r="Y385" s="248"/>
      <c r="Z385" s="248"/>
      <c r="AA385" s="248"/>
      <c r="AB385" s="249"/>
      <c r="AI385" s="232" t="s">
        <v>301</v>
      </c>
      <c r="AV385" s="247" t="s">
        <v>286</v>
      </c>
      <c r="AW385" s="248"/>
      <c r="AX385" s="248"/>
      <c r="AY385" s="248"/>
      <c r="AZ385" s="249"/>
    </row>
    <row r="386" spans="10:52" ht="18.95" customHeight="1">
      <c r="X386" s="250"/>
      <c r="Y386" s="251"/>
      <c r="Z386" s="251"/>
      <c r="AA386" s="251"/>
      <c r="AB386" s="252"/>
      <c r="AV386" s="250"/>
      <c r="AW386" s="251"/>
      <c r="AX386" s="251"/>
      <c r="AY386" s="251"/>
      <c r="AZ386" s="252"/>
    </row>
    <row r="387" spans="10:52" ht="18.95" customHeight="1">
      <c r="X387" s="253"/>
      <c r="Y387" s="254"/>
      <c r="Z387" s="254"/>
      <c r="AA387" s="254"/>
      <c r="AB387" s="255"/>
      <c r="AV387" s="253"/>
      <c r="AW387" s="254"/>
      <c r="AX387" s="254"/>
      <c r="AY387" s="254"/>
      <c r="AZ387" s="255"/>
    </row>
    <row r="391" spans="10:52" ht="18.95" customHeight="1" thickBot="1">
      <c r="J391" s="235" t="s">
        <v>306</v>
      </c>
      <c r="K391" s="236"/>
      <c r="L391" s="236"/>
      <c r="M391" s="236"/>
      <c r="N391" s="236"/>
      <c r="O391" s="236"/>
      <c r="P391" s="237"/>
    </row>
    <row r="392" spans="10:52" ht="18.95" customHeight="1">
      <c r="J392" s="210"/>
      <c r="K392" s="211"/>
      <c r="L392" s="211"/>
      <c r="M392" s="211"/>
      <c r="N392" s="211"/>
      <c r="O392" s="211"/>
      <c r="P392" s="211"/>
      <c r="Q392" s="211"/>
      <c r="R392" s="211"/>
      <c r="S392" s="211"/>
      <c r="T392" s="211"/>
      <c r="U392" s="211"/>
      <c r="V392" s="211"/>
      <c r="W392" s="211"/>
      <c r="X392" s="211"/>
      <c r="Y392" s="211"/>
      <c r="Z392" s="211"/>
      <c r="AA392" s="211"/>
      <c r="AB392" s="211"/>
      <c r="AC392" s="211"/>
      <c r="AD392" s="211"/>
      <c r="AE392" s="211"/>
      <c r="AF392" s="211"/>
      <c r="AG392" s="211"/>
      <c r="AH392" s="211"/>
      <c r="AI392" s="211"/>
      <c r="AJ392" s="211"/>
      <c r="AK392" s="211"/>
      <c r="AL392" s="211"/>
      <c r="AM392" s="211"/>
      <c r="AN392" s="211"/>
      <c r="AO392" s="211"/>
      <c r="AP392" s="211"/>
      <c r="AQ392" s="211"/>
      <c r="AR392" s="211"/>
      <c r="AS392" s="211"/>
      <c r="AT392" s="211"/>
      <c r="AU392" s="211"/>
      <c r="AV392" s="211"/>
      <c r="AW392" s="212"/>
    </row>
    <row r="393" spans="10:52" ht="18.95" customHeight="1">
      <c r="J393" s="213"/>
      <c r="K393" s="15"/>
      <c r="L393" s="15"/>
      <c r="M393" s="15"/>
      <c r="N393" s="15"/>
      <c r="O393" s="239" t="s">
        <v>277</v>
      </c>
      <c r="P393" s="239"/>
      <c r="Q393" s="239"/>
      <c r="R393" s="239"/>
      <c r="S393" s="15"/>
      <c r="T393" s="239" t="s">
        <v>283</v>
      </c>
      <c r="U393" s="239"/>
      <c r="V393" s="239"/>
      <c r="W393" s="239"/>
      <c r="X393" s="239" t="s">
        <v>298</v>
      </c>
      <c r="Y393" s="239"/>
      <c r="Z393" s="230"/>
      <c r="AA393" s="239" t="s">
        <v>285</v>
      </c>
      <c r="AB393" s="239"/>
      <c r="AC393" s="239"/>
      <c r="AD393" s="239"/>
      <c r="AE393" s="15"/>
      <c r="AF393" s="239" t="s">
        <v>305</v>
      </c>
      <c r="AG393" s="239"/>
      <c r="AH393" s="239"/>
      <c r="AI393" s="239"/>
      <c r="AJ393" s="239"/>
      <c r="AK393" s="239"/>
      <c r="AL393" s="239"/>
      <c r="AM393" s="15"/>
      <c r="AN393" s="239" t="s">
        <v>302</v>
      </c>
      <c r="AO393" s="239"/>
      <c r="AP393" s="239"/>
      <c r="AQ393" s="239"/>
      <c r="AR393" s="15"/>
      <c r="AS393" s="239" t="s">
        <v>289</v>
      </c>
      <c r="AT393" s="239"/>
      <c r="AU393" s="239"/>
      <c r="AV393" s="239"/>
      <c r="AW393" s="214"/>
    </row>
    <row r="394" spans="10:52" ht="18.95" customHeight="1">
      <c r="J394" s="213"/>
      <c r="K394" s="77" t="s">
        <v>278</v>
      </c>
      <c r="L394" s="77"/>
      <c r="M394" s="77"/>
      <c r="N394" s="15"/>
      <c r="O394" s="244">
        <v>120000</v>
      </c>
      <c r="P394" s="244"/>
      <c r="Q394" s="244"/>
      <c r="R394" s="244"/>
      <c r="S394" s="15"/>
      <c r="T394" s="244">
        <v>100000</v>
      </c>
      <c r="U394" s="244"/>
      <c r="V394" s="244"/>
      <c r="W394" s="244"/>
      <c r="X394" s="242">
        <f>1-T394/O394</f>
        <v>0.16666666666666663</v>
      </c>
      <c r="Y394" s="242"/>
      <c r="Z394" s="15"/>
      <c r="AA394" s="243">
        <f>AL374</f>
        <v>86957</v>
      </c>
      <c r="AB394" s="243"/>
      <c r="AC394" s="243"/>
      <c r="AD394" s="243"/>
      <c r="AE394" s="15"/>
      <c r="AF394" s="19" t="s">
        <v>304</v>
      </c>
      <c r="AG394" s="15"/>
      <c r="AH394" s="15"/>
      <c r="AI394" s="15"/>
      <c r="AJ394" s="15"/>
      <c r="AK394" s="15"/>
      <c r="AL394" s="15"/>
      <c r="AM394" s="15"/>
      <c r="AN394" s="240">
        <f>BE374</f>
        <v>2999</v>
      </c>
      <c r="AO394" s="240"/>
      <c r="AP394" s="240"/>
      <c r="AQ394" s="240"/>
      <c r="AR394" s="15"/>
      <c r="AS394" s="243">
        <f>AA394-AN394</f>
        <v>83958</v>
      </c>
      <c r="AT394" s="243"/>
      <c r="AU394" s="243"/>
      <c r="AV394" s="243"/>
      <c r="AW394" s="214"/>
    </row>
    <row r="395" spans="10:52" ht="18.95" customHeight="1">
      <c r="J395" s="213"/>
      <c r="K395" s="77" t="s">
        <v>279</v>
      </c>
      <c r="L395" s="77"/>
      <c r="M395" s="77"/>
      <c r="N395" s="15"/>
      <c r="O395" s="244">
        <v>100000</v>
      </c>
      <c r="P395" s="244"/>
      <c r="Q395" s="244"/>
      <c r="R395" s="244"/>
      <c r="S395" s="15"/>
      <c r="T395" s="244">
        <v>90000</v>
      </c>
      <c r="U395" s="244"/>
      <c r="V395" s="244"/>
      <c r="W395" s="244"/>
      <c r="X395" s="242">
        <f>1-T395/O395</f>
        <v>9.9999999999999978E-2</v>
      </c>
      <c r="Y395" s="242"/>
      <c r="Z395" s="15"/>
      <c r="AA395" s="243">
        <f>AL375</f>
        <v>78261</v>
      </c>
      <c r="AB395" s="243"/>
      <c r="AC395" s="243"/>
      <c r="AD395" s="243"/>
      <c r="AE395" s="15"/>
      <c r="AF395" s="19" t="s">
        <v>304</v>
      </c>
      <c r="AG395" s="15"/>
      <c r="AH395" s="15"/>
      <c r="AI395" s="15"/>
      <c r="AJ395" s="15"/>
      <c r="AK395" s="15"/>
      <c r="AL395" s="15"/>
      <c r="AM395" s="15"/>
      <c r="AN395" s="240">
        <f>BE375</f>
        <v>2699</v>
      </c>
      <c r="AO395" s="240"/>
      <c r="AP395" s="240"/>
      <c r="AQ395" s="240"/>
      <c r="AR395" s="15"/>
      <c r="AS395" s="243">
        <f>AA395-AN395</f>
        <v>75562</v>
      </c>
      <c r="AT395" s="243"/>
      <c r="AU395" s="243"/>
      <c r="AV395" s="243"/>
      <c r="AW395" s="214"/>
    </row>
    <row r="396" spans="10:52" ht="18.95" customHeight="1">
      <c r="J396" s="213"/>
      <c r="K396" s="77" t="s">
        <v>282</v>
      </c>
      <c r="L396" s="77"/>
      <c r="M396" s="77"/>
      <c r="N396" s="15"/>
      <c r="O396" s="244">
        <v>50000</v>
      </c>
      <c r="P396" s="244"/>
      <c r="Q396" s="244"/>
      <c r="R396" s="244"/>
      <c r="S396" s="15"/>
      <c r="T396" s="244">
        <v>40000</v>
      </c>
      <c r="U396" s="244"/>
      <c r="V396" s="244"/>
      <c r="W396" s="244"/>
      <c r="X396" s="242">
        <f>1-T396/O396</f>
        <v>0.19999999999999996</v>
      </c>
      <c r="Y396" s="242"/>
      <c r="Z396" s="15"/>
      <c r="AA396" s="243">
        <f>AL376</f>
        <v>34782</v>
      </c>
      <c r="AB396" s="243"/>
      <c r="AC396" s="243"/>
      <c r="AD396" s="243"/>
      <c r="AE396" s="15"/>
      <c r="AF396" s="19" t="s">
        <v>304</v>
      </c>
      <c r="AG396" s="15"/>
      <c r="AH396" s="15"/>
      <c r="AI396" s="15"/>
      <c r="AJ396" s="15"/>
      <c r="AK396" s="15"/>
      <c r="AL396" s="15"/>
      <c r="AM396" s="15"/>
      <c r="AN396" s="240">
        <f>BE376</f>
        <v>1199</v>
      </c>
      <c r="AO396" s="240"/>
      <c r="AP396" s="240"/>
      <c r="AQ396" s="240"/>
      <c r="AR396" s="15"/>
      <c r="AS396" s="243">
        <f>AA396-AN396</f>
        <v>33583</v>
      </c>
      <c r="AT396" s="243"/>
      <c r="AU396" s="243"/>
      <c r="AV396" s="243"/>
      <c r="AW396" s="214"/>
    </row>
    <row r="397" spans="10:52" ht="18.95" customHeight="1">
      <c r="J397" s="213"/>
      <c r="K397" s="77" t="s">
        <v>280</v>
      </c>
      <c r="L397" s="77"/>
      <c r="M397" s="77"/>
      <c r="N397" s="15"/>
      <c r="O397" s="244">
        <v>50000</v>
      </c>
      <c r="P397" s="244"/>
      <c r="Q397" s="244"/>
      <c r="R397" s="244"/>
      <c r="S397" s="15"/>
      <c r="T397" s="244">
        <v>40000</v>
      </c>
      <c r="U397" s="244"/>
      <c r="V397" s="244"/>
      <c r="W397" s="244"/>
      <c r="X397" s="242">
        <f>1-T397/O397</f>
        <v>0.19999999999999996</v>
      </c>
      <c r="Y397" s="242"/>
      <c r="Z397" s="15"/>
      <c r="AA397" s="243">
        <f>T397</f>
        <v>40000</v>
      </c>
      <c r="AB397" s="243"/>
      <c r="AC397" s="243"/>
      <c r="AD397" s="243"/>
      <c r="AE397" s="15"/>
      <c r="AF397" s="15"/>
      <c r="AG397" s="15"/>
      <c r="AH397" s="15"/>
      <c r="AI397" s="15"/>
      <c r="AJ397" s="15"/>
      <c r="AK397" s="15"/>
      <c r="AL397" s="15"/>
      <c r="AM397" s="15"/>
      <c r="AN397" s="240">
        <f>BE377</f>
        <v>1379</v>
      </c>
      <c r="AO397" s="240"/>
      <c r="AP397" s="240"/>
      <c r="AQ397" s="240"/>
      <c r="AR397" s="15"/>
      <c r="AS397" s="243">
        <f>AA397-AN397</f>
        <v>38621</v>
      </c>
      <c r="AT397" s="243"/>
      <c r="AU397" s="243"/>
      <c r="AV397" s="243"/>
      <c r="AW397" s="214"/>
    </row>
    <row r="398" spans="10:52" ht="18.95" customHeight="1">
      <c r="J398" s="213"/>
      <c r="K398" s="77" t="s">
        <v>281</v>
      </c>
      <c r="L398" s="77"/>
      <c r="M398" s="77"/>
      <c r="N398" s="15"/>
      <c r="O398" s="244">
        <v>60000</v>
      </c>
      <c r="P398" s="244"/>
      <c r="Q398" s="244"/>
      <c r="R398" s="244"/>
      <c r="S398" s="15"/>
      <c r="T398" s="244">
        <v>50000</v>
      </c>
      <c r="U398" s="244"/>
      <c r="V398" s="244"/>
      <c r="W398" s="244"/>
      <c r="X398" s="242">
        <f>1-T398/O398</f>
        <v>0.16666666666666663</v>
      </c>
      <c r="Y398" s="242"/>
      <c r="Z398" s="15"/>
      <c r="AA398" s="243">
        <f>T398</f>
        <v>50000</v>
      </c>
      <c r="AB398" s="243"/>
      <c r="AC398" s="243"/>
      <c r="AD398" s="243"/>
      <c r="AE398" s="15"/>
      <c r="AF398" s="15"/>
      <c r="AG398" s="15"/>
      <c r="AH398" s="15"/>
      <c r="AI398" s="15"/>
      <c r="AJ398" s="15"/>
      <c r="AK398" s="15"/>
      <c r="AL398" s="15"/>
      <c r="AM398" s="15"/>
      <c r="AN398" s="240">
        <f>BE378</f>
        <v>1724</v>
      </c>
      <c r="AO398" s="240"/>
      <c r="AP398" s="240"/>
      <c r="AQ398" s="240"/>
      <c r="AR398" s="15"/>
      <c r="AS398" s="243">
        <f>AA398-AN398</f>
        <v>48276</v>
      </c>
      <c r="AT398" s="243"/>
      <c r="AU398" s="243"/>
      <c r="AV398" s="243"/>
      <c r="AW398" s="214"/>
    </row>
    <row r="399" spans="10:52" ht="18.95" customHeight="1">
      <c r="J399" s="213"/>
      <c r="K399" s="15"/>
      <c r="L399" s="15"/>
      <c r="M399" s="15"/>
      <c r="N399" s="15"/>
      <c r="O399" s="15"/>
      <c r="P399" s="15"/>
      <c r="Q399" s="15"/>
      <c r="R399" s="15"/>
      <c r="S399" s="15"/>
      <c r="T399" s="244"/>
      <c r="U399" s="244"/>
      <c r="V399" s="244"/>
      <c r="W399" s="244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214"/>
    </row>
    <row r="400" spans="10:52" ht="18.95" customHeight="1">
      <c r="J400" s="213"/>
      <c r="K400" s="15"/>
      <c r="L400" s="15"/>
      <c r="M400" s="15"/>
      <c r="N400" s="15"/>
      <c r="O400" s="238">
        <f>O398+O397+O396+O395+O394</f>
        <v>380000</v>
      </c>
      <c r="P400" s="238"/>
      <c r="Q400" s="238"/>
      <c r="R400" s="238"/>
      <c r="S400" s="15"/>
      <c r="T400" s="238">
        <f>T398+T397+T396+T395+T394</f>
        <v>320000</v>
      </c>
      <c r="U400" s="238"/>
      <c r="V400" s="238"/>
      <c r="W400" s="238"/>
      <c r="X400" s="15"/>
      <c r="Y400" s="15"/>
      <c r="Z400" s="15"/>
      <c r="AA400" s="238">
        <f>AA398+AA397+AA396+AA395+AA394</f>
        <v>290000</v>
      </c>
      <c r="AB400" s="238"/>
      <c r="AC400" s="238"/>
      <c r="AD400" s="238"/>
      <c r="AE400" s="15"/>
      <c r="AF400" s="15"/>
      <c r="AG400" s="15"/>
      <c r="AH400" s="15"/>
      <c r="AI400" s="15"/>
      <c r="AJ400" s="15"/>
      <c r="AK400" s="15"/>
      <c r="AL400" s="15"/>
      <c r="AM400" s="15"/>
      <c r="AN400" s="241">
        <f>AN398+AN397+AN396+AN395+AN394</f>
        <v>10000</v>
      </c>
      <c r="AO400" s="241"/>
      <c r="AP400" s="241"/>
      <c r="AQ400" s="241"/>
      <c r="AR400" s="15"/>
      <c r="AS400" s="238">
        <f>AS398+AS397+AS396+AS395+AS394</f>
        <v>280000</v>
      </c>
      <c r="AT400" s="238"/>
      <c r="AU400" s="238"/>
      <c r="AV400" s="238"/>
      <c r="AW400" s="214"/>
    </row>
    <row r="401" spans="10:49" ht="18.95" customHeight="1" thickBot="1">
      <c r="J401" s="215"/>
      <c r="K401" s="216"/>
      <c r="L401" s="216"/>
      <c r="M401" s="216"/>
      <c r="N401" s="216"/>
      <c r="O401" s="216"/>
      <c r="P401" s="216"/>
      <c r="Q401" s="216"/>
      <c r="R401" s="216"/>
      <c r="S401" s="216"/>
      <c r="T401" s="216"/>
      <c r="U401" s="216"/>
      <c r="V401" s="216"/>
      <c r="W401" s="216"/>
      <c r="X401" s="216"/>
      <c r="Y401" s="216"/>
      <c r="Z401" s="216"/>
      <c r="AA401" s="216"/>
      <c r="AB401" s="216"/>
      <c r="AC401" s="216"/>
      <c r="AD401" s="216"/>
      <c r="AE401" s="216"/>
      <c r="AF401" s="216"/>
      <c r="AG401" s="216"/>
      <c r="AH401" s="216"/>
      <c r="AI401" s="216"/>
      <c r="AJ401" s="216"/>
      <c r="AK401" s="216"/>
      <c r="AL401" s="216"/>
      <c r="AM401" s="216"/>
      <c r="AN401" s="216"/>
      <c r="AO401" s="216"/>
      <c r="AP401" s="216"/>
      <c r="AQ401" s="216"/>
      <c r="AR401" s="216"/>
      <c r="AS401" s="216"/>
      <c r="AT401" s="216"/>
      <c r="AU401" s="216"/>
      <c r="AV401" s="216"/>
      <c r="AW401" s="217"/>
    </row>
  </sheetData>
  <mergeCells count="265">
    <mergeCell ref="Q297:T297"/>
    <mergeCell ref="Q301:T301"/>
    <mergeCell ref="W301:Z301"/>
    <mergeCell ref="Q313:U313"/>
    <mergeCell ref="O280:R280"/>
    <mergeCell ref="AC280:AF280"/>
    <mergeCell ref="AG280:AJ280"/>
    <mergeCell ref="O281:R281"/>
    <mergeCell ref="AC281:AF281"/>
    <mergeCell ref="AG281:AJ281"/>
    <mergeCell ref="BH280:BK280"/>
    <mergeCell ref="BH281:BK281"/>
    <mergeCell ref="Q293:T293"/>
    <mergeCell ref="AC293:AF293"/>
    <mergeCell ref="N33:Q33"/>
    <mergeCell ref="Q150:T150"/>
    <mergeCell ref="P269:S269"/>
    <mergeCell ref="AK271:AN271"/>
    <mergeCell ref="P273:S273"/>
    <mergeCell ref="P271:S271"/>
    <mergeCell ref="V271:Y271"/>
    <mergeCell ref="V269:Y269"/>
    <mergeCell ref="P231:P232"/>
    <mergeCell ref="AG233:AI233"/>
    <mergeCell ref="AJ233:AK233"/>
    <mergeCell ref="AG234:AI234"/>
    <mergeCell ref="AJ234:AK234"/>
    <mergeCell ref="AG235:AI235"/>
    <mergeCell ref="AJ235:AK235"/>
    <mergeCell ref="AG236:AI236"/>
    <mergeCell ref="AJ236:AK236"/>
    <mergeCell ref="AG216:AI216"/>
    <mergeCell ref="AJ216:AK216"/>
    <mergeCell ref="AG217:AI217"/>
    <mergeCell ref="AJ217:AK217"/>
    <mergeCell ref="P212:P213"/>
    <mergeCell ref="AG214:AI214"/>
    <mergeCell ref="AJ214:AK214"/>
    <mergeCell ref="AG215:AI215"/>
    <mergeCell ref="AJ215:AK215"/>
    <mergeCell ref="AG199:AI199"/>
    <mergeCell ref="AJ199:AK199"/>
    <mergeCell ref="AG200:AI200"/>
    <mergeCell ref="AJ200:AK200"/>
    <mergeCell ref="BB50:BD50"/>
    <mergeCell ref="BB49:BD49"/>
    <mergeCell ref="BB48:BD48"/>
    <mergeCell ref="BB47:BD47"/>
    <mergeCell ref="AV50:AX50"/>
    <mergeCell ref="AV49:AX49"/>
    <mergeCell ref="AV48:AX48"/>
    <mergeCell ref="AV47:AX47"/>
    <mergeCell ref="Q146:T146"/>
    <mergeCell ref="AC146:AF146"/>
    <mergeCell ref="AY47:BA47"/>
    <mergeCell ref="AY48:BA48"/>
    <mergeCell ref="AY49:BA49"/>
    <mergeCell ref="AY50:BA50"/>
    <mergeCell ref="Q57:T57"/>
    <mergeCell ref="Q61:T61"/>
    <mergeCell ref="T113:W113"/>
    <mergeCell ref="N115:Q115"/>
    <mergeCell ref="N117:Q117"/>
    <mergeCell ref="AT86:AW86"/>
    <mergeCell ref="AH50:AI50"/>
    <mergeCell ref="AH49:AI49"/>
    <mergeCell ref="AH48:AI48"/>
    <mergeCell ref="AH47:AI47"/>
    <mergeCell ref="N29:Q29"/>
    <mergeCell ref="AA29:AD29"/>
    <mergeCell ref="N31:Q31"/>
    <mergeCell ref="T31:W31"/>
    <mergeCell ref="N45:N46"/>
    <mergeCell ref="P195:P196"/>
    <mergeCell ref="AG197:AI197"/>
    <mergeCell ref="AJ197:AK197"/>
    <mergeCell ref="AG198:AI198"/>
    <mergeCell ref="AJ198:AK198"/>
    <mergeCell ref="Q166:U166"/>
    <mergeCell ref="AJ84:AM84"/>
    <mergeCell ref="N86:Q86"/>
    <mergeCell ref="N84:Q84"/>
    <mergeCell ref="T84:W84"/>
    <mergeCell ref="K91:N91"/>
    <mergeCell ref="K92:N92"/>
    <mergeCell ref="K93:N93"/>
    <mergeCell ref="K94:N94"/>
    <mergeCell ref="N113:Q113"/>
    <mergeCell ref="AE47:AG47"/>
    <mergeCell ref="AE48:AG48"/>
    <mergeCell ref="AE49:AG49"/>
    <mergeCell ref="AE50:AG50"/>
    <mergeCell ref="Q154:T154"/>
    <mergeCell ref="W154:Z154"/>
    <mergeCell ref="BG101:BI101"/>
    <mergeCell ref="BG102:BI102"/>
    <mergeCell ref="BG103:BI103"/>
    <mergeCell ref="BG104:BI104"/>
    <mergeCell ref="AA91:AD91"/>
    <mergeCell ref="AE91:AH91"/>
    <mergeCell ref="AA92:AD92"/>
    <mergeCell ref="AE92:AH92"/>
    <mergeCell ref="AA93:AD93"/>
    <mergeCell ref="AE93:AH93"/>
    <mergeCell ref="AA94:AD94"/>
    <mergeCell ref="AE94:AH94"/>
    <mergeCell ref="P252:P253"/>
    <mergeCell ref="AG254:AI254"/>
    <mergeCell ref="AJ254:AK254"/>
    <mergeCell ref="AG255:AI255"/>
    <mergeCell ref="AJ255:AK255"/>
    <mergeCell ref="AG256:AI256"/>
    <mergeCell ref="AJ256:AK256"/>
    <mergeCell ref="AG257:AI257"/>
    <mergeCell ref="AJ257:AK257"/>
    <mergeCell ref="R334:R335"/>
    <mergeCell ref="AI336:AK336"/>
    <mergeCell ref="AL336:AM336"/>
    <mergeCell ref="AI337:AK337"/>
    <mergeCell ref="AL337:AM337"/>
    <mergeCell ref="AI338:AK338"/>
    <mergeCell ref="AL338:AM338"/>
    <mergeCell ref="AI339:AK339"/>
    <mergeCell ref="AL339:AM339"/>
    <mergeCell ref="BH362:BK362"/>
    <mergeCell ref="O363:R363"/>
    <mergeCell ref="AC363:AF363"/>
    <mergeCell ref="AG363:AJ363"/>
    <mergeCell ref="BH363:BK363"/>
    <mergeCell ref="P351:S351"/>
    <mergeCell ref="V351:Y351"/>
    <mergeCell ref="P353:S353"/>
    <mergeCell ref="V353:Y353"/>
    <mergeCell ref="AK353:AN353"/>
    <mergeCell ref="P355:S355"/>
    <mergeCell ref="O362:R362"/>
    <mergeCell ref="AC362:AF362"/>
    <mergeCell ref="AG362:AJ362"/>
    <mergeCell ref="U380:X380"/>
    <mergeCell ref="U379:X379"/>
    <mergeCell ref="N380:Q380"/>
    <mergeCell ref="N373:Q373"/>
    <mergeCell ref="N374:Q374"/>
    <mergeCell ref="N375:Q375"/>
    <mergeCell ref="N376:Q376"/>
    <mergeCell ref="N377:Q377"/>
    <mergeCell ref="N378:Q378"/>
    <mergeCell ref="U373:X373"/>
    <mergeCell ref="U374:X374"/>
    <mergeCell ref="U375:X375"/>
    <mergeCell ref="U376:X376"/>
    <mergeCell ref="U377:X377"/>
    <mergeCell ref="U378:X378"/>
    <mergeCell ref="AS377:AV377"/>
    <mergeCell ref="AS378:AV378"/>
    <mergeCell ref="AS379:AV379"/>
    <mergeCell ref="AS380:AV380"/>
    <mergeCell ref="AB373:AE373"/>
    <mergeCell ref="AB374:AE374"/>
    <mergeCell ref="AB375:AE375"/>
    <mergeCell ref="AB376:AE376"/>
    <mergeCell ref="AB377:AE377"/>
    <mergeCell ref="AB378:AE378"/>
    <mergeCell ref="AB379:AE379"/>
    <mergeCell ref="AB380:AE380"/>
    <mergeCell ref="AG373:AJ373"/>
    <mergeCell ref="AG374:AJ374"/>
    <mergeCell ref="AG375:AJ375"/>
    <mergeCell ref="AG376:AJ376"/>
    <mergeCell ref="AG377:AJ377"/>
    <mergeCell ref="AG378:AJ378"/>
    <mergeCell ref="AG379:AJ379"/>
    <mergeCell ref="AG380:AJ380"/>
    <mergeCell ref="AZ373:BC373"/>
    <mergeCell ref="AZ374:BC374"/>
    <mergeCell ref="AZ375:BC375"/>
    <mergeCell ref="AZ376:BC376"/>
    <mergeCell ref="AZ377:BC377"/>
    <mergeCell ref="AZ378:BC378"/>
    <mergeCell ref="AZ379:BC379"/>
    <mergeCell ref="AZ380:BC380"/>
    <mergeCell ref="X385:AB387"/>
    <mergeCell ref="X384:AB384"/>
    <mergeCell ref="AV385:AZ387"/>
    <mergeCell ref="AV384:AZ384"/>
    <mergeCell ref="AL373:AO373"/>
    <mergeCell ref="AL374:AO374"/>
    <mergeCell ref="AL375:AO375"/>
    <mergeCell ref="AL376:AO376"/>
    <mergeCell ref="AL377:AO377"/>
    <mergeCell ref="AL378:AO378"/>
    <mergeCell ref="AL379:AO379"/>
    <mergeCell ref="AL380:AO380"/>
    <mergeCell ref="AS373:AV373"/>
    <mergeCell ref="AS374:AV374"/>
    <mergeCell ref="AS375:AV375"/>
    <mergeCell ref="AS376:AV376"/>
    <mergeCell ref="BE378:BH378"/>
    <mergeCell ref="BL378:BO378"/>
    <mergeCell ref="BE379:BH379"/>
    <mergeCell ref="BL379:BO379"/>
    <mergeCell ref="BE380:BH380"/>
    <mergeCell ref="BL380:BO380"/>
    <mergeCell ref="T370:Y370"/>
    <mergeCell ref="T369:Y369"/>
    <mergeCell ref="AA370:AW370"/>
    <mergeCell ref="AA369:AW369"/>
    <mergeCell ref="AY370:BI370"/>
    <mergeCell ref="AY369:BI369"/>
    <mergeCell ref="BK369:BP369"/>
    <mergeCell ref="BK370:BP370"/>
    <mergeCell ref="BE373:BH373"/>
    <mergeCell ref="BL373:BO373"/>
    <mergeCell ref="BE374:BH374"/>
    <mergeCell ref="BL374:BO374"/>
    <mergeCell ref="BE375:BH375"/>
    <mergeCell ref="BL375:BO375"/>
    <mergeCell ref="BE376:BH376"/>
    <mergeCell ref="BL376:BO376"/>
    <mergeCell ref="BE377:BH377"/>
    <mergeCell ref="BL377:BO377"/>
    <mergeCell ref="AS393:AV393"/>
    <mergeCell ref="AS394:AV394"/>
    <mergeCell ref="AS395:AV395"/>
    <mergeCell ref="AS396:AV396"/>
    <mergeCell ref="AS397:AV397"/>
    <mergeCell ref="AS398:AV398"/>
    <mergeCell ref="AS400:AV400"/>
    <mergeCell ref="AF393:AL393"/>
    <mergeCell ref="O393:R393"/>
    <mergeCell ref="O394:R394"/>
    <mergeCell ref="O395:R395"/>
    <mergeCell ref="O396:R396"/>
    <mergeCell ref="O397:R397"/>
    <mergeCell ref="O398:R398"/>
    <mergeCell ref="O400:R400"/>
    <mergeCell ref="T393:W393"/>
    <mergeCell ref="T394:W394"/>
    <mergeCell ref="T395:W395"/>
    <mergeCell ref="T396:W396"/>
    <mergeCell ref="T397:W397"/>
    <mergeCell ref="T398:W398"/>
    <mergeCell ref="T399:W399"/>
    <mergeCell ref="T400:W400"/>
    <mergeCell ref="X393:Y393"/>
    <mergeCell ref="J391:P391"/>
    <mergeCell ref="AA400:AD400"/>
    <mergeCell ref="AN393:AQ393"/>
    <mergeCell ref="AN394:AQ394"/>
    <mergeCell ref="AN395:AQ395"/>
    <mergeCell ref="AN396:AQ396"/>
    <mergeCell ref="AN397:AQ397"/>
    <mergeCell ref="AN398:AQ398"/>
    <mergeCell ref="AN400:AQ400"/>
    <mergeCell ref="X398:Y398"/>
    <mergeCell ref="X397:Y397"/>
    <mergeCell ref="X396:Y396"/>
    <mergeCell ref="X395:Y395"/>
    <mergeCell ref="X394:Y394"/>
    <mergeCell ref="AA393:AD393"/>
    <mergeCell ref="AA394:AD394"/>
    <mergeCell ref="AA395:AD395"/>
    <mergeCell ref="AA396:AD396"/>
    <mergeCell ref="AA397:AD397"/>
    <mergeCell ref="AA398:AD398"/>
  </mergeCells>
  <phoneticPr fontId="3" type="noConversion"/>
  <pageMargins left="0.7" right="0.7" top="0.75" bottom="0.75" header="0.3" footer="0.3"/>
  <pageSetup paperSize="9" scale="5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"/>
  <sheetData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"/>
  <sheetData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판매기준가 관리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KKagoo</dc:creator>
  <cp:lastModifiedBy>KKagoo</cp:lastModifiedBy>
  <dcterms:created xsi:type="dcterms:W3CDTF">2024-03-26T04:12:54Z</dcterms:created>
  <dcterms:modified xsi:type="dcterms:W3CDTF">2024-09-20T05:55:51Z</dcterms:modified>
</cp:coreProperties>
</file>