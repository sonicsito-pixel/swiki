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.업무파일\04.보고서\2026년도\00.Fone 프로세스 분석\"/>
    </mc:Choice>
  </mc:AlternateContent>
  <xr:revisionPtr revIDLastSave="0" documentId="13_ncr:1_{B7AA45BF-2D4F-48B1-9DE5-329A06ED4326}" xr6:coauthVersionLast="47" xr6:coauthVersionMax="47" xr10:uidLastSave="{00000000-0000-0000-0000-000000000000}"/>
  <bookViews>
    <workbookView xWindow="-120" yWindow="-120" windowWidth="51840" windowHeight="21120" tabRatio="806" firstSheet="2" activeTab="2" xr2:uid="{00000000-000D-0000-FFFF-FFFF00000000}"/>
  </bookViews>
  <sheets>
    <sheet name="Sheet5" sheetId="23" r:id="rId1"/>
    <sheet name="이슈사항" sheetId="18" r:id="rId2"/>
    <sheet name="Cover" sheetId="21" r:id="rId3"/>
    <sheet name="Core등록메뉴" sheetId="4" r:id="rId4"/>
    <sheet name="Process" sheetId="22" r:id="rId5"/>
    <sheet name="제품마스터" sheetId="25" r:id="rId6"/>
    <sheet name="거점-TR 마스터" sheetId="3" r:id="rId7"/>
    <sheet name="Store 마스터" sheetId="24" r:id="rId8"/>
    <sheet name="재고수불관리" sheetId="20" r:id="rId9"/>
    <sheet name="재고평가" sheetId="1" r:id="rId10"/>
    <sheet name="공급분매입 관리" sheetId="30" r:id="rId11"/>
    <sheet name="Simulation1 월기준" sheetId="35" state="hidden" r:id="rId12"/>
    <sheet name="Simulation2 확정기준" sheetId="36" state="hidden" r:id="rId13"/>
    <sheet name="Simulation. 확정기준+Migration" sheetId="37" r:id="rId14"/>
    <sheet name="영관-판매관리" sheetId="27" r:id="rId15"/>
    <sheet name="영관-재고관리" sheetId="28" r:id="rId16"/>
    <sheet name="영관-매장관리" sheetId="29" r:id="rId17"/>
    <sheet name="매장마스터 및 DB설계" sheetId="31" r:id="rId18"/>
    <sheet name="계약형태별 업무" sheetId="15" r:id="rId19"/>
    <sheet name="영관-판매관리화면" sheetId="26" r:id="rId20"/>
    <sheet name="영관-정산관리화면" sheetId="32" r:id="rId21"/>
    <sheet name="영관-매장관리화면" sheetId="33" r:id="rId22"/>
    <sheet name="Sheet1" sheetId="34" r:id="rId23"/>
    <sheet name="재고수불관리(이동중재고 가상거점 필요)" sheetId="2" r:id="rId24"/>
    <sheet name="재고수불관리(이동중재고 못맞춤)" sheetId="9" r:id="rId25"/>
  </sheets>
  <definedNames>
    <definedName name="_xlnm.Print_Area" localSheetId="7">'Store 마스터'!$C$3:$V$50</definedName>
    <definedName name="_xlnm.Print_Area" localSheetId="6">'거점-TR 마스터'!$C$4:$W$76</definedName>
    <definedName name="_xlnm.Print_Area" localSheetId="21">'영관-매장관리화면'!#REF!,'영관-매장관리화면'!#REF!</definedName>
    <definedName name="_xlnm.Print_Area" localSheetId="20">'영관-정산관리화면'!#REF!,'영관-정산관리화면'!#REF!</definedName>
    <definedName name="_xlnm.Print_Area" localSheetId="14">'영관-판매관리'!$E$50:$W$89</definedName>
    <definedName name="_xlnm.Print_Area" localSheetId="19">'영관-판매관리화면'!$H$327:$BG$352,'영관-판매관리화면'!$H$414:$BG$431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0" i="1" l="1"/>
  <c r="U27" i="20"/>
  <c r="U26" i="20"/>
  <c r="U25" i="20"/>
  <c r="U24" i="20"/>
  <c r="U23" i="20"/>
  <c r="U22" i="20"/>
  <c r="S97" i="20"/>
  <c r="S83" i="20"/>
  <c r="S53" i="20"/>
  <c r="S120" i="20" s="1"/>
  <c r="M20" i="1" l="1"/>
  <c r="N20" i="1"/>
  <c r="O20" i="1"/>
  <c r="R20" i="1"/>
  <c r="T20" i="1"/>
  <c r="U20" i="1"/>
  <c r="H13" i="30" l="1"/>
  <c r="M13" i="37" l="1"/>
  <c r="L13" i="37"/>
  <c r="J13" i="37"/>
  <c r="N13" i="37" s="1"/>
  <c r="AF35" i="37" l="1"/>
  <c r="W35" i="37"/>
  <c r="W34" i="37"/>
  <c r="W33" i="37"/>
  <c r="W32" i="37"/>
  <c r="W31" i="37"/>
  <c r="W30" i="37"/>
  <c r="F51" i="37"/>
  <c r="K19" i="37"/>
  <c r="K20" i="37" s="1"/>
  <c r="K16" i="37"/>
  <c r="M12" i="37"/>
  <c r="L12" i="37"/>
  <c r="J12" i="37"/>
  <c r="N12" i="37" s="1"/>
  <c r="M11" i="37"/>
  <c r="L11" i="37"/>
  <c r="J11" i="37"/>
  <c r="N11" i="37" s="1"/>
  <c r="M10" i="37"/>
  <c r="L10" i="37"/>
  <c r="J10" i="37"/>
  <c r="N10" i="37" s="1"/>
  <c r="M9" i="37"/>
  <c r="L9" i="37"/>
  <c r="J9" i="37"/>
  <c r="N9" i="37" s="1"/>
  <c r="M8" i="37"/>
  <c r="L8" i="37"/>
  <c r="J8" i="37"/>
  <c r="N8" i="37" s="1"/>
  <c r="M7" i="37"/>
  <c r="L7" i="37"/>
  <c r="J7" i="37"/>
  <c r="N7" i="37" s="1"/>
  <c r="BN43" i="37"/>
  <c r="BL43" i="37" s="1"/>
  <c r="BM43" i="37" s="1"/>
  <c r="AW43" i="37"/>
  <c r="AU43" i="37" s="1"/>
  <c r="AV43" i="37" s="1"/>
  <c r="AF43" i="37"/>
  <c r="BE51" i="37"/>
  <c r="AN51" i="37"/>
  <c r="W51" i="37"/>
  <c r="AS34" i="37"/>
  <c r="BE34" i="37" s="1"/>
  <c r="AB34" i="37"/>
  <c r="AN34" i="37" s="1"/>
  <c r="AS32" i="37"/>
  <c r="BE32" i="37" s="1"/>
  <c r="AB32" i="37"/>
  <c r="AN32" i="37" s="1"/>
  <c r="BJ19" i="37"/>
  <c r="AS19" i="37"/>
  <c r="AB19" i="37"/>
  <c r="BJ16" i="37"/>
  <c r="AS16" i="37"/>
  <c r="AB16" i="37"/>
  <c r="AB21" i="37" s="1"/>
  <c r="AS18" i="37" s="1"/>
  <c r="AS20" i="37" s="1"/>
  <c r="AO30" i="37" s="1"/>
  <c r="BL13" i="37"/>
  <c r="BK13" i="37"/>
  <c r="BI13" i="37"/>
  <c r="BM13" i="37" s="1"/>
  <c r="AU13" i="37"/>
  <c r="AT13" i="37"/>
  <c r="AR13" i="37"/>
  <c r="AV13" i="37" s="1"/>
  <c r="AD13" i="37"/>
  <c r="AC13" i="37"/>
  <c r="AA13" i="37"/>
  <c r="AE13" i="37" s="1"/>
  <c r="BL12" i="37"/>
  <c r="BK12" i="37"/>
  <c r="BI12" i="37"/>
  <c r="BM12" i="37" s="1"/>
  <c r="AU12" i="37"/>
  <c r="AT12" i="37"/>
  <c r="AR12" i="37"/>
  <c r="AV12" i="37" s="1"/>
  <c r="AD12" i="37"/>
  <c r="AC12" i="37"/>
  <c r="AA12" i="37"/>
  <c r="AE12" i="37" s="1"/>
  <c r="BL11" i="37"/>
  <c r="BK11" i="37"/>
  <c r="BI11" i="37"/>
  <c r="BM11" i="37" s="1"/>
  <c r="AU11" i="37"/>
  <c r="AT11" i="37"/>
  <c r="AR11" i="37"/>
  <c r="AV11" i="37" s="1"/>
  <c r="AD11" i="37"/>
  <c r="AC11" i="37"/>
  <c r="AA11" i="37"/>
  <c r="AE11" i="37" s="1"/>
  <c r="BL10" i="37"/>
  <c r="BK10" i="37"/>
  <c r="BI10" i="37"/>
  <c r="BM10" i="37" s="1"/>
  <c r="AU10" i="37"/>
  <c r="AT10" i="37"/>
  <c r="AR10" i="37"/>
  <c r="AV10" i="37" s="1"/>
  <c r="AD10" i="37"/>
  <c r="AC10" i="37"/>
  <c r="AA10" i="37"/>
  <c r="AE10" i="37" s="1"/>
  <c r="BL9" i="37"/>
  <c r="BK9" i="37"/>
  <c r="BI9" i="37"/>
  <c r="BM9" i="37" s="1"/>
  <c r="AU9" i="37"/>
  <c r="AT9" i="37"/>
  <c r="AR9" i="37"/>
  <c r="AV9" i="37" s="1"/>
  <c r="AD9" i="37"/>
  <c r="AC9" i="37"/>
  <c r="AA9" i="37"/>
  <c r="AE9" i="37" s="1"/>
  <c r="BL8" i="37"/>
  <c r="BK8" i="37"/>
  <c r="BI8" i="37"/>
  <c r="BM8" i="37" s="1"/>
  <c r="AU8" i="37"/>
  <c r="AT8" i="37"/>
  <c r="AR8" i="37"/>
  <c r="AV8" i="37" s="1"/>
  <c r="AD8" i="37"/>
  <c r="AC8" i="37"/>
  <c r="AA8" i="37"/>
  <c r="AE8" i="37" s="1"/>
  <c r="BL7" i="37"/>
  <c r="BK7" i="37"/>
  <c r="BI7" i="37"/>
  <c r="BM7" i="37" s="1"/>
  <c r="AU7" i="37"/>
  <c r="AT7" i="37"/>
  <c r="AR7" i="37"/>
  <c r="AV7" i="37" s="1"/>
  <c r="AD7" i="37"/>
  <c r="AC7" i="37"/>
  <c r="AA7" i="37"/>
  <c r="AE7" i="37" s="1"/>
  <c r="AW43" i="36"/>
  <c r="AU43" i="36" s="1"/>
  <c r="AF43" i="36"/>
  <c r="AD43" i="36" s="1"/>
  <c r="AE43" i="36" s="1"/>
  <c r="O43" i="36"/>
  <c r="M43" i="36" s="1"/>
  <c r="N43" i="36" s="1"/>
  <c r="I43" i="36"/>
  <c r="F43" i="36"/>
  <c r="G43" i="36" s="1"/>
  <c r="AN51" i="36"/>
  <c r="W51" i="36"/>
  <c r="F51" i="36"/>
  <c r="AB34" i="36"/>
  <c r="AN34" i="36" s="1"/>
  <c r="K34" i="36"/>
  <c r="W34" i="36" s="1"/>
  <c r="AB32" i="36"/>
  <c r="AN32" i="36" s="1"/>
  <c r="K32" i="36"/>
  <c r="W32" i="36" s="1"/>
  <c r="AS19" i="36"/>
  <c r="AB19" i="36"/>
  <c r="K19" i="36"/>
  <c r="K20" i="36" s="1"/>
  <c r="G30" i="36" s="1"/>
  <c r="AS16" i="36"/>
  <c r="AS21" i="36" s="1"/>
  <c r="AB16" i="36"/>
  <c r="K16" i="36"/>
  <c r="AU13" i="36"/>
  <c r="AT13" i="36"/>
  <c r="AR13" i="36"/>
  <c r="AV13" i="36" s="1"/>
  <c r="AD13" i="36"/>
  <c r="AC13" i="36"/>
  <c r="AA13" i="36"/>
  <c r="AE13" i="36" s="1"/>
  <c r="M13" i="36"/>
  <c r="L13" i="36"/>
  <c r="J13" i="36"/>
  <c r="N13" i="36" s="1"/>
  <c r="AU12" i="36"/>
  <c r="AT12" i="36"/>
  <c r="AR12" i="36"/>
  <c r="AV12" i="36" s="1"/>
  <c r="AD12" i="36"/>
  <c r="AC12" i="36"/>
  <c r="AA12" i="36"/>
  <c r="AE12" i="36" s="1"/>
  <c r="M12" i="36"/>
  <c r="L12" i="36"/>
  <c r="J12" i="36"/>
  <c r="N12" i="36" s="1"/>
  <c r="AU11" i="36"/>
  <c r="AT11" i="36"/>
  <c r="AR11" i="36"/>
  <c r="AV11" i="36" s="1"/>
  <c r="AD11" i="36"/>
  <c r="AC11" i="36"/>
  <c r="AA11" i="36"/>
  <c r="AE11" i="36" s="1"/>
  <c r="M11" i="36"/>
  <c r="L11" i="36"/>
  <c r="J11" i="36"/>
  <c r="N11" i="36" s="1"/>
  <c r="AU10" i="36"/>
  <c r="AT10" i="36"/>
  <c r="AR10" i="36"/>
  <c r="AV10" i="36" s="1"/>
  <c r="AD10" i="36"/>
  <c r="AC10" i="36"/>
  <c r="AA10" i="36"/>
  <c r="AE10" i="36" s="1"/>
  <c r="M10" i="36"/>
  <c r="L10" i="36"/>
  <c r="J10" i="36"/>
  <c r="N10" i="36" s="1"/>
  <c r="AU9" i="36"/>
  <c r="AT9" i="36"/>
  <c r="AR9" i="36"/>
  <c r="AV9" i="36" s="1"/>
  <c r="AD9" i="36"/>
  <c r="AC9" i="36"/>
  <c r="AA9" i="36"/>
  <c r="AE9" i="36" s="1"/>
  <c r="M9" i="36"/>
  <c r="L9" i="36"/>
  <c r="J9" i="36"/>
  <c r="N9" i="36" s="1"/>
  <c r="AV8" i="36"/>
  <c r="AU8" i="36"/>
  <c r="AT8" i="36"/>
  <c r="AR8" i="36"/>
  <c r="AD8" i="36"/>
  <c r="AC8" i="36"/>
  <c r="AA8" i="36"/>
  <c r="AE8" i="36" s="1"/>
  <c r="M8" i="36"/>
  <c r="L8" i="36"/>
  <c r="J8" i="36"/>
  <c r="N8" i="36" s="1"/>
  <c r="AU7" i="36"/>
  <c r="AT7" i="36"/>
  <c r="AR7" i="36"/>
  <c r="AV7" i="36" s="1"/>
  <c r="AD7" i="36"/>
  <c r="AD19" i="36" s="1"/>
  <c r="AC7" i="36"/>
  <c r="AA7" i="36"/>
  <c r="AE7" i="36" s="1"/>
  <c r="M7" i="36"/>
  <c r="L7" i="36"/>
  <c r="J7" i="36"/>
  <c r="N7" i="36" s="1"/>
  <c r="AW43" i="35"/>
  <c r="AU43" i="35" s="1"/>
  <c r="AV43" i="35" s="1"/>
  <c r="AN51" i="35"/>
  <c r="AS19" i="35"/>
  <c r="AS16" i="35"/>
  <c r="AU13" i="35"/>
  <c r="AT13" i="35"/>
  <c r="AR13" i="35"/>
  <c r="AV13" i="35" s="1"/>
  <c r="AU12" i="35"/>
  <c r="AT12" i="35"/>
  <c r="AR12" i="35"/>
  <c r="AV12" i="35" s="1"/>
  <c r="AU11" i="35"/>
  <c r="AT11" i="35"/>
  <c r="AR11" i="35"/>
  <c r="AV11" i="35" s="1"/>
  <c r="AU10" i="35"/>
  <c r="AT10" i="35"/>
  <c r="AR10" i="35"/>
  <c r="AV10" i="35" s="1"/>
  <c r="AU9" i="35"/>
  <c r="AT9" i="35"/>
  <c r="AR9" i="35"/>
  <c r="AV9" i="35" s="1"/>
  <c r="AU8" i="35"/>
  <c r="AT8" i="35"/>
  <c r="AR8" i="35"/>
  <c r="AV8" i="35" s="1"/>
  <c r="AU7" i="35"/>
  <c r="AT7" i="35"/>
  <c r="AR7" i="35"/>
  <c r="AV7" i="35" s="1"/>
  <c r="I43" i="35"/>
  <c r="K32" i="35"/>
  <c r="W32" i="35" s="1"/>
  <c r="K34" i="35"/>
  <c r="W34" i="35" s="1"/>
  <c r="AF43" i="35"/>
  <c r="AD43" i="35" s="1"/>
  <c r="AE43" i="35" s="1"/>
  <c r="W51" i="35"/>
  <c r="AB19" i="35"/>
  <c r="AB16" i="35"/>
  <c r="X30" i="35" s="1"/>
  <c r="AD13" i="35"/>
  <c r="AC13" i="35"/>
  <c r="AA13" i="35"/>
  <c r="AE13" i="35" s="1"/>
  <c r="AD12" i="35"/>
  <c r="AC12" i="35"/>
  <c r="AA12" i="35"/>
  <c r="AE12" i="35" s="1"/>
  <c r="AD11" i="35"/>
  <c r="AC11" i="35"/>
  <c r="AA11" i="35"/>
  <c r="AE11" i="35" s="1"/>
  <c r="AD10" i="35"/>
  <c r="AC10" i="35"/>
  <c r="AA10" i="35"/>
  <c r="AE10" i="35" s="1"/>
  <c r="AD9" i="35"/>
  <c r="AC9" i="35"/>
  <c r="AA9" i="35"/>
  <c r="AE9" i="35" s="1"/>
  <c r="AD8" i="35"/>
  <c r="AC8" i="35"/>
  <c r="AA8" i="35"/>
  <c r="AE8" i="35" s="1"/>
  <c r="AD7" i="35"/>
  <c r="AC7" i="35"/>
  <c r="AA7" i="35"/>
  <c r="AE7" i="35" s="1"/>
  <c r="K19" i="35"/>
  <c r="K20" i="35" s="1"/>
  <c r="K16" i="35"/>
  <c r="G30" i="35" s="1"/>
  <c r="K30" i="35" s="1"/>
  <c r="W30" i="35" s="1"/>
  <c r="F51" i="35"/>
  <c r="BE311" i="26"/>
  <c r="BE310" i="26"/>
  <c r="BE309" i="26"/>
  <c r="BE308" i="26"/>
  <c r="O43" i="35"/>
  <c r="M43" i="35" s="1"/>
  <c r="N43" i="35" s="1"/>
  <c r="M13" i="35"/>
  <c r="M12" i="35"/>
  <c r="M11" i="35"/>
  <c r="M10" i="35"/>
  <c r="M9" i="35"/>
  <c r="M8" i="35"/>
  <c r="M7" i="35"/>
  <c r="L13" i="35"/>
  <c r="J13" i="35"/>
  <c r="N13" i="35" s="1"/>
  <c r="L12" i="35"/>
  <c r="J12" i="35"/>
  <c r="N12" i="35" s="1"/>
  <c r="L11" i="35"/>
  <c r="J11" i="35"/>
  <c r="N11" i="35" s="1"/>
  <c r="L10" i="35"/>
  <c r="J10" i="35"/>
  <c r="N10" i="35" s="1"/>
  <c r="L9" i="35"/>
  <c r="J9" i="35"/>
  <c r="N9" i="35" s="1"/>
  <c r="L8" i="35"/>
  <c r="J8" i="35"/>
  <c r="N8" i="35" s="1"/>
  <c r="L7" i="35"/>
  <c r="J7" i="35"/>
  <c r="N7" i="35" s="1"/>
  <c r="AC16" i="37" l="1"/>
  <c r="BL16" i="37"/>
  <c r="AT16" i="37"/>
  <c r="AC19" i="36"/>
  <c r="K21" i="35"/>
  <c r="AB18" i="35" s="1"/>
  <c r="AS21" i="37"/>
  <c r="BJ18" i="37" s="1"/>
  <c r="BJ20" i="37" s="1"/>
  <c r="BF30" i="37" s="1"/>
  <c r="BK16" i="37"/>
  <c r="AD16" i="37"/>
  <c r="N19" i="35"/>
  <c r="J43" i="35" s="1"/>
  <c r="L16" i="37"/>
  <c r="AV16" i="36"/>
  <c r="N16" i="36"/>
  <c r="AV19" i="37"/>
  <c r="AR43" i="37" s="1"/>
  <c r="BM16" i="37"/>
  <c r="BM21" i="37" s="1"/>
  <c r="L16" i="36"/>
  <c r="AT16" i="36"/>
  <c r="AT19" i="37"/>
  <c r="AT21" i="37" s="1"/>
  <c r="BK18" i="37" s="1"/>
  <c r="AV43" i="36"/>
  <c r="L19" i="35"/>
  <c r="L20" i="35" s="1"/>
  <c r="M19" i="36"/>
  <c r="M20" i="36" s="1"/>
  <c r="G33" i="36" s="1"/>
  <c r="AU16" i="36"/>
  <c r="AU19" i="37"/>
  <c r="BJ21" i="37"/>
  <c r="M16" i="37"/>
  <c r="AE16" i="37"/>
  <c r="L16" i="35"/>
  <c r="K21" i="36"/>
  <c r="AB18" i="36" s="1"/>
  <c r="AB20" i="36" s="1"/>
  <c r="X30" i="36" s="1"/>
  <c r="AE19" i="36"/>
  <c r="AA43" i="36" s="1"/>
  <c r="N19" i="37"/>
  <c r="N20" i="37" s="1"/>
  <c r="N16" i="35"/>
  <c r="N21" i="35" s="1"/>
  <c r="AE18" i="35" s="1"/>
  <c r="Z43" i="35" s="1"/>
  <c r="M19" i="37"/>
  <c r="M20" i="37" s="1"/>
  <c r="N16" i="37"/>
  <c r="K21" i="37"/>
  <c r="AB18" i="37" s="1"/>
  <c r="AB20" i="37" s="1"/>
  <c r="X30" i="37" s="1"/>
  <c r="AB30" i="37" s="1"/>
  <c r="AN30" i="37" s="1"/>
  <c r="AS30" i="37" s="1"/>
  <c r="BE30" i="37" s="1"/>
  <c r="L19" i="37"/>
  <c r="L20" i="37" s="1"/>
  <c r="AC19" i="37"/>
  <c r="AC21" i="37" s="1"/>
  <c r="AT18" i="37" s="1"/>
  <c r="AT20" i="37" s="1"/>
  <c r="AO31" i="37" s="1"/>
  <c r="AP31" i="37" s="1"/>
  <c r="BK19" i="37"/>
  <c r="AD43" i="37"/>
  <c r="AE43" i="37" s="1"/>
  <c r="AU16" i="37"/>
  <c r="AD19" i="37"/>
  <c r="BL19" i="37"/>
  <c r="BL21" i="37" s="1"/>
  <c r="AV16" i="37"/>
  <c r="AE19" i="37"/>
  <c r="BM19" i="37"/>
  <c r="BI43" i="37" s="1"/>
  <c r="M16" i="36"/>
  <c r="AC16" i="36"/>
  <c r="L19" i="36"/>
  <c r="L20" i="36" s="1"/>
  <c r="G31" i="36" s="1"/>
  <c r="AT19" i="36"/>
  <c r="AU19" i="36"/>
  <c r="AU21" i="36" s="1"/>
  <c r="AD16" i="36"/>
  <c r="AE16" i="36"/>
  <c r="N19" i="36"/>
  <c r="N21" i="36" s="1"/>
  <c r="AE18" i="36" s="1"/>
  <c r="AV19" i="36"/>
  <c r="AR43" i="36" s="1"/>
  <c r="AB21" i="36"/>
  <c r="AS18" i="36" s="1"/>
  <c r="AS20" i="36" s="1"/>
  <c r="AO30" i="36" s="1"/>
  <c r="AT19" i="35"/>
  <c r="AU19" i="35"/>
  <c r="AS21" i="35"/>
  <c r="AV19" i="35"/>
  <c r="AR43" i="35" s="1"/>
  <c r="AV16" i="35"/>
  <c r="AT16" i="35"/>
  <c r="AU16" i="35"/>
  <c r="AO30" i="35"/>
  <c r="AB21" i="35"/>
  <c r="AS18" i="35" s="1"/>
  <c r="AS20" i="35" s="1"/>
  <c r="AB30" i="35"/>
  <c r="AN30" i="35" s="1"/>
  <c r="AB20" i="35"/>
  <c r="AC16" i="35"/>
  <c r="AD19" i="35"/>
  <c r="AE19" i="35"/>
  <c r="AD16" i="35"/>
  <c r="AE16" i="35"/>
  <c r="AC19" i="35"/>
  <c r="M16" i="35"/>
  <c r="M19" i="35"/>
  <c r="M20" i="35" s="1"/>
  <c r="F43" i="35"/>
  <c r="G43" i="35" s="1"/>
  <c r="AW323" i="26"/>
  <c r="X323" i="26"/>
  <c r="AT21" i="36" l="1"/>
  <c r="AE21" i="37"/>
  <c r="AV18" i="37" s="1"/>
  <c r="AV21" i="37"/>
  <c r="BM18" i="37" s="1"/>
  <c r="AS30" i="35"/>
  <c r="N20" i="35"/>
  <c r="AU21" i="37"/>
  <c r="BL18" i="37" s="1"/>
  <c r="BL20" i="37" s="1"/>
  <c r="BF33" i="37" s="1"/>
  <c r="BJ30" i="37"/>
  <c r="BK21" i="37"/>
  <c r="AC21" i="35"/>
  <c r="AT18" i="35" s="1"/>
  <c r="AV21" i="36"/>
  <c r="M21" i="35"/>
  <c r="AD18" i="35" s="1"/>
  <c r="AD20" i="35" s="1"/>
  <c r="L21" i="36"/>
  <c r="AC18" i="36" s="1"/>
  <c r="AC20" i="36" s="1"/>
  <c r="X31" i="36" s="1"/>
  <c r="AT20" i="35"/>
  <c r="N21" i="37"/>
  <c r="AE18" i="37" s="1"/>
  <c r="Z43" i="37" s="1"/>
  <c r="G31" i="35"/>
  <c r="H31" i="35" s="1"/>
  <c r="K31" i="35" s="1"/>
  <c r="K33" i="35" s="1"/>
  <c r="K35" i="35" s="1"/>
  <c r="L21" i="35"/>
  <c r="AC18" i="35" s="1"/>
  <c r="AC20" i="35" s="1"/>
  <c r="M21" i="37"/>
  <c r="AD18" i="37" s="1"/>
  <c r="AD20" i="37" s="1"/>
  <c r="X33" i="37" s="1"/>
  <c r="L21" i="37"/>
  <c r="AC18" i="37" s="1"/>
  <c r="AC20" i="37" s="1"/>
  <c r="X31" i="37" s="1"/>
  <c r="Y31" i="37" s="1"/>
  <c r="Y33" i="37" s="1"/>
  <c r="AP33" i="37"/>
  <c r="AS31" i="37"/>
  <c r="AV20" i="37"/>
  <c r="AO35" i="37" s="1"/>
  <c r="AQ43" i="37"/>
  <c r="AD21" i="37"/>
  <c r="AU18" i="37" s="1"/>
  <c r="AU20" i="37" s="1"/>
  <c r="AO33" i="37" s="1"/>
  <c r="AA43" i="37"/>
  <c r="BK20" i="37"/>
  <c r="BF31" i="37" s="1"/>
  <c r="BG31" i="37" s="1"/>
  <c r="BG33" i="37" s="1"/>
  <c r="BH43" i="37"/>
  <c r="BM20" i="37"/>
  <c r="BF35" i="37" s="1"/>
  <c r="AE20" i="36"/>
  <c r="X35" i="36" s="1"/>
  <c r="Z43" i="36"/>
  <c r="AC21" i="36"/>
  <c r="AT18" i="36" s="1"/>
  <c r="AT20" i="36" s="1"/>
  <c r="AO31" i="36" s="1"/>
  <c r="AP31" i="36" s="1"/>
  <c r="AP33" i="36" s="1"/>
  <c r="N20" i="36"/>
  <c r="G35" i="36" s="1"/>
  <c r="J43" i="36"/>
  <c r="AE21" i="36"/>
  <c r="AV18" i="36" s="1"/>
  <c r="AD21" i="36"/>
  <c r="AU18" i="36" s="1"/>
  <c r="AU20" i="36" s="1"/>
  <c r="AO33" i="36" s="1"/>
  <c r="H31" i="36"/>
  <c r="K30" i="36"/>
  <c r="W30" i="36" s="1"/>
  <c r="AB30" i="36" s="1"/>
  <c r="AN30" i="36" s="1"/>
  <c r="AS30" i="36" s="1"/>
  <c r="M21" i="36"/>
  <c r="AD18" i="36" s="1"/>
  <c r="AD20" i="36" s="1"/>
  <c r="X33" i="36" s="1"/>
  <c r="AO33" i="35"/>
  <c r="AO34" i="35" s="1"/>
  <c r="AU21" i="35"/>
  <c r="AT21" i="35"/>
  <c r="AO31" i="35"/>
  <c r="AO35" i="35"/>
  <c r="AV21" i="35"/>
  <c r="AP31" i="35"/>
  <c r="AE20" i="35"/>
  <c r="AA43" i="35"/>
  <c r="AD21" i="35"/>
  <c r="AU18" i="35" s="1"/>
  <c r="AU20" i="35" s="1"/>
  <c r="AE21" i="35"/>
  <c r="AV18" i="35" s="1"/>
  <c r="AQ43" i="35" s="1"/>
  <c r="X31" i="35"/>
  <c r="X35" i="35"/>
  <c r="X33" i="35"/>
  <c r="X34" i="35" s="1"/>
  <c r="G33" i="35"/>
  <c r="G35" i="35"/>
  <c r="AU312" i="26"/>
  <c r="AP312" i="26"/>
  <c r="AE312" i="26"/>
  <c r="U312" i="26"/>
  <c r="P312" i="26"/>
  <c r="AY275" i="26"/>
  <c r="AO275" i="26"/>
  <c r="AJ275" i="26"/>
  <c r="AZ311" i="26"/>
  <c r="AZ310" i="26"/>
  <c r="AZ312" i="26" s="1"/>
  <c r="AZ309" i="26"/>
  <c r="AZ308" i="26"/>
  <c r="Z311" i="26"/>
  <c r="Z310" i="26"/>
  <c r="Z309" i="26"/>
  <c r="Z308" i="26"/>
  <c r="BE312" i="26" s="1"/>
  <c r="AT273" i="26"/>
  <c r="AT272" i="26"/>
  <c r="BU460" i="26"/>
  <c r="BM460" i="26"/>
  <c r="BQ460" i="26" s="1"/>
  <c r="BA460" i="26"/>
  <c r="BU459" i="26"/>
  <c r="BM459" i="26"/>
  <c r="BQ459" i="26" s="1"/>
  <c r="BA459" i="26"/>
  <c r="AV20" i="35" l="1"/>
  <c r="AE20" i="37"/>
  <c r="X35" i="37" s="1"/>
  <c r="X32" i="37"/>
  <c r="X34" i="37"/>
  <c r="AB31" i="37"/>
  <c r="AN31" i="37" s="1"/>
  <c r="G34" i="35"/>
  <c r="G51" i="37"/>
  <c r="H51" i="37" s="1"/>
  <c r="AB33" i="37"/>
  <c r="AO51" i="37"/>
  <c r="AP51" i="37" s="1"/>
  <c r="AP35" i="37"/>
  <c r="Y35" i="37"/>
  <c r="Z35" i="37" s="1"/>
  <c r="X51" i="37"/>
  <c r="Y51" i="37" s="1"/>
  <c r="BF34" i="37"/>
  <c r="BF32" i="37"/>
  <c r="BG35" i="37"/>
  <c r="BF51" i="37"/>
  <c r="BG51" i="37" s="1"/>
  <c r="AO34" i="37"/>
  <c r="AO32" i="37"/>
  <c r="AS33" i="37"/>
  <c r="BE31" i="37"/>
  <c r="BJ31" i="37" s="1"/>
  <c r="AO51" i="36"/>
  <c r="AP51" i="36" s="1"/>
  <c r="AP35" i="36"/>
  <c r="AO32" i="36"/>
  <c r="X32" i="36"/>
  <c r="X34" i="36"/>
  <c r="Y31" i="36"/>
  <c r="G32" i="36"/>
  <c r="G34" i="36"/>
  <c r="AQ43" i="36"/>
  <c r="AV20" i="36"/>
  <c r="AO35" i="36" s="1"/>
  <c r="AO34" i="36" s="1"/>
  <c r="H33" i="36"/>
  <c r="K31" i="36"/>
  <c r="AP33" i="35"/>
  <c r="AO32" i="35"/>
  <c r="X32" i="35"/>
  <c r="Y31" i="35"/>
  <c r="Y33" i="35" s="1"/>
  <c r="X51" i="35" s="1"/>
  <c r="Y51" i="35" s="1"/>
  <c r="G32" i="35"/>
  <c r="H33" i="35"/>
  <c r="Z312" i="26"/>
  <c r="I51" i="37" l="1"/>
  <c r="K51" i="37"/>
  <c r="L51" i="37" s="1"/>
  <c r="AS35" i="37"/>
  <c r="BE33" i="37"/>
  <c r="BJ32" i="37" s="1"/>
  <c r="BJ33" i="37" s="1"/>
  <c r="AB35" i="37"/>
  <c r="AN33" i="37"/>
  <c r="AB51" i="37"/>
  <c r="AC51" i="37" s="1"/>
  <c r="Z51" i="37"/>
  <c r="BH51" i="37"/>
  <c r="BJ51" i="37"/>
  <c r="BP35" i="37" s="1"/>
  <c r="AS51" i="37"/>
  <c r="AT51" i="37" s="1"/>
  <c r="AQ51" i="37"/>
  <c r="AQ51" i="36"/>
  <c r="AS51" i="36"/>
  <c r="W31" i="36"/>
  <c r="K33" i="36"/>
  <c r="H35" i="36"/>
  <c r="G51" i="36"/>
  <c r="H51" i="36" s="1"/>
  <c r="Y33" i="36"/>
  <c r="AB31" i="36"/>
  <c r="AP35" i="35"/>
  <c r="AO51" i="35"/>
  <c r="AP51" i="35" s="1"/>
  <c r="Y35" i="35"/>
  <c r="W31" i="35"/>
  <c r="AB31" i="35" s="1"/>
  <c r="AN31" i="35" s="1"/>
  <c r="AS31" i="35" s="1"/>
  <c r="AB51" i="35"/>
  <c r="AC51" i="35" s="1"/>
  <c r="Z51" i="35"/>
  <c r="H35" i="35"/>
  <c r="I35" i="35" s="1"/>
  <c r="G51" i="35"/>
  <c r="H51" i="35" s="1"/>
  <c r="M21" i="31"/>
  <c r="M17" i="31"/>
  <c r="M13" i="31"/>
  <c r="Q39" i="31"/>
  <c r="M32" i="31" s="1"/>
  <c r="Q35" i="31"/>
  <c r="M31" i="31" s="1"/>
  <c r="Q31" i="31"/>
  <c r="M30" i="31" s="1"/>
  <c r="N17" i="31" l="1"/>
  <c r="Q17" i="31"/>
  <c r="Q21" i="31"/>
  <c r="N21" i="31"/>
  <c r="N13" i="31"/>
  <c r="Q13" i="31"/>
  <c r="J35" i="35"/>
  <c r="K43" i="35" s="1"/>
  <c r="AH35" i="37"/>
  <c r="AI35" i="37" s="1"/>
  <c r="AD35" i="37" s="1"/>
  <c r="AC35" i="37" s="1"/>
  <c r="M35" i="37"/>
  <c r="L35" i="37" s="1"/>
  <c r="R43" i="37" s="1"/>
  <c r="Y43" i="37" s="1"/>
  <c r="W43" i="37" s="1"/>
  <c r="X43" i="37" s="1"/>
  <c r="AY35" i="37"/>
  <c r="BE35" i="37"/>
  <c r="AN35" i="37"/>
  <c r="AA35" i="37"/>
  <c r="AB43" i="37" s="1"/>
  <c r="AC43" i="37" s="1"/>
  <c r="BK51" i="37"/>
  <c r="AT51" i="36"/>
  <c r="AY35" i="36"/>
  <c r="AB33" i="36"/>
  <c r="AN31" i="36"/>
  <c r="AS31" i="36" s="1"/>
  <c r="X51" i="36"/>
  <c r="Y51" i="36" s="1"/>
  <c r="Y35" i="36"/>
  <c r="K51" i="36"/>
  <c r="L51" i="36" s="1"/>
  <c r="I51" i="36"/>
  <c r="I35" i="36"/>
  <c r="K35" i="36"/>
  <c r="W33" i="36"/>
  <c r="AS51" i="35"/>
  <c r="AY35" i="35" s="1"/>
  <c r="AQ51" i="35"/>
  <c r="W35" i="35"/>
  <c r="Z35" i="35" s="1"/>
  <c r="W33" i="35"/>
  <c r="AB32" i="35" s="1"/>
  <c r="AH35" i="35"/>
  <c r="K51" i="35"/>
  <c r="L51" i="35" s="1"/>
  <c r="I51" i="35"/>
  <c r="AR434" i="26"/>
  <c r="AR433" i="26"/>
  <c r="AN434" i="26"/>
  <c r="AN433" i="26"/>
  <c r="AK434" i="26"/>
  <c r="AK433" i="26"/>
  <c r="AR432" i="26"/>
  <c r="AN432" i="26"/>
  <c r="AK432" i="26"/>
  <c r="AZ431" i="26"/>
  <c r="AV431" i="26" s="1"/>
  <c r="AI431" i="26"/>
  <c r="AZ430" i="26"/>
  <c r="AV430" i="26" s="1"/>
  <c r="AI430" i="26"/>
  <c r="AR429" i="26"/>
  <c r="AN429" i="26"/>
  <c r="AK429" i="26"/>
  <c r="AZ428" i="26"/>
  <c r="AV428" i="26" s="1"/>
  <c r="AI428" i="26"/>
  <c r="AZ427" i="26"/>
  <c r="AV427" i="26" s="1"/>
  <c r="AI427" i="26"/>
  <c r="AT407" i="26"/>
  <c r="AP407" i="26"/>
  <c r="AM407" i="26"/>
  <c r="AT406" i="26"/>
  <c r="AP406" i="26"/>
  <c r="AM406" i="26"/>
  <c r="AT405" i="26"/>
  <c r="AP405" i="26"/>
  <c r="AM405" i="26"/>
  <c r="AT404" i="26"/>
  <c r="AP404" i="26"/>
  <c r="AM404" i="26"/>
  <c r="AT403" i="26"/>
  <c r="AP403" i="26"/>
  <c r="AM403" i="26"/>
  <c r="BB402" i="26"/>
  <c r="AK402" i="26"/>
  <c r="BB401" i="26"/>
  <c r="AX401" i="26" s="1"/>
  <c r="AK401" i="26"/>
  <c r="AT400" i="26"/>
  <c r="AP400" i="26"/>
  <c r="AM400" i="26"/>
  <c r="BB399" i="26"/>
  <c r="BB406" i="26" s="1"/>
  <c r="AK399" i="26"/>
  <c r="BB398" i="26"/>
  <c r="AK398" i="26"/>
  <c r="AT397" i="26"/>
  <c r="AP397" i="26"/>
  <c r="AM397" i="26"/>
  <c r="BB396" i="26"/>
  <c r="AX396" i="26" s="1"/>
  <c r="AK396" i="26"/>
  <c r="BB395" i="26"/>
  <c r="AK395" i="26"/>
  <c r="AT377" i="26"/>
  <c r="AP377" i="26"/>
  <c r="AM377" i="26"/>
  <c r="AT376" i="26"/>
  <c r="AP376" i="26"/>
  <c r="AM376" i="26"/>
  <c r="AT375" i="26"/>
  <c r="AP375" i="26"/>
  <c r="AM375" i="26"/>
  <c r="AT374" i="26"/>
  <c r="AP374" i="26"/>
  <c r="AM374" i="26"/>
  <c r="AT373" i="26"/>
  <c r="AP373" i="26"/>
  <c r="AM373" i="26"/>
  <c r="BB372" i="26"/>
  <c r="AX372" i="26" s="1"/>
  <c r="AK372" i="26"/>
  <c r="BB371" i="26"/>
  <c r="AX371" i="26" s="1"/>
  <c r="AK371" i="26"/>
  <c r="AT370" i="26"/>
  <c r="AP370" i="26"/>
  <c r="AM370" i="26"/>
  <c r="BB369" i="26"/>
  <c r="BB376" i="26" s="1"/>
  <c r="AK369" i="26"/>
  <c r="BB368" i="26"/>
  <c r="AX368" i="26" s="1"/>
  <c r="AX374" i="26" s="1"/>
  <c r="AK368" i="26"/>
  <c r="AT367" i="26"/>
  <c r="AP367" i="26"/>
  <c r="AM367" i="26"/>
  <c r="BB366" i="26"/>
  <c r="AX366" i="26" s="1"/>
  <c r="AK366" i="26"/>
  <c r="BB365" i="26"/>
  <c r="AX365" i="26" s="1"/>
  <c r="AK365" i="26"/>
  <c r="AT350" i="26"/>
  <c r="AT349" i="26"/>
  <c r="AT348" i="26"/>
  <c r="AT347" i="26"/>
  <c r="AP350" i="26"/>
  <c r="AP349" i="26"/>
  <c r="AP348" i="26"/>
  <c r="AP347" i="26"/>
  <c r="AM350" i="26"/>
  <c r="AM349" i="26"/>
  <c r="AM348" i="26"/>
  <c r="AM347" i="26"/>
  <c r="AT346" i="26"/>
  <c r="AP346" i="26"/>
  <c r="AM346" i="26"/>
  <c r="BB345" i="26"/>
  <c r="AX345" i="26" s="1"/>
  <c r="AK345" i="26"/>
  <c r="BB344" i="26"/>
  <c r="AX344" i="26" s="1"/>
  <c r="AK344" i="26"/>
  <c r="AT343" i="26"/>
  <c r="AP343" i="26"/>
  <c r="AM343" i="26"/>
  <c r="BB342" i="26"/>
  <c r="BB349" i="26" s="1"/>
  <c r="AK342" i="26"/>
  <c r="BB341" i="26"/>
  <c r="BB347" i="26" s="1"/>
  <c r="AK341" i="26"/>
  <c r="AK339" i="26"/>
  <c r="AK338" i="26"/>
  <c r="AP340" i="26"/>
  <c r="AM340" i="26"/>
  <c r="BB339" i="26"/>
  <c r="AX339" i="26" s="1"/>
  <c r="BB338" i="26"/>
  <c r="AX338" i="26" s="1"/>
  <c r="AT340" i="26"/>
  <c r="AW35" i="37" l="1"/>
  <c r="AZ35" i="37" s="1"/>
  <c r="Q35" i="36"/>
  <c r="R35" i="36" s="1"/>
  <c r="M35" i="36" s="1"/>
  <c r="L35" i="36" s="1"/>
  <c r="AB33" i="35"/>
  <c r="AN33" i="35" s="1"/>
  <c r="AS32" i="35" s="1"/>
  <c r="AS33" i="35" s="1"/>
  <c r="AN32" i="35"/>
  <c r="AI43" i="37"/>
  <c r="AI44" i="37"/>
  <c r="P43" i="37"/>
  <c r="Q43" i="37" s="1"/>
  <c r="R44" i="37"/>
  <c r="BN35" i="37"/>
  <c r="BQ35" i="37" s="1"/>
  <c r="BL35" i="37" s="1"/>
  <c r="AU35" i="37"/>
  <c r="AT35" i="37" s="1"/>
  <c r="AQ35" i="37"/>
  <c r="AR35" i="37" s="1"/>
  <c r="BH35" i="37"/>
  <c r="BJ34" i="37"/>
  <c r="BJ35" i="37" s="1"/>
  <c r="AG43" i="37"/>
  <c r="AH43" i="37" s="1"/>
  <c r="AP43" i="37"/>
  <c r="J35" i="36"/>
  <c r="K43" i="36" s="1"/>
  <c r="L43" i="36" s="1"/>
  <c r="R43" i="36" s="1"/>
  <c r="AF35" i="36"/>
  <c r="W35" i="36"/>
  <c r="AB51" i="36"/>
  <c r="AC51" i="36" s="1"/>
  <c r="Z51" i="36"/>
  <c r="AB35" i="36"/>
  <c r="AN33" i="36"/>
  <c r="AS32" i="36" s="1"/>
  <c r="AS33" i="36" s="1"/>
  <c r="AT51" i="35"/>
  <c r="AB34" i="35"/>
  <c r="L43" i="35"/>
  <c r="R43" i="35" s="1"/>
  <c r="Q35" i="35"/>
  <c r="R35" i="35" s="1"/>
  <c r="AR435" i="26"/>
  <c r="AI432" i="26"/>
  <c r="AK435" i="26"/>
  <c r="AZ434" i="26"/>
  <c r="AV434" i="26" s="1"/>
  <c r="AI433" i="26"/>
  <c r="AZ433" i="26"/>
  <c r="AV433" i="26" s="1"/>
  <c r="AV435" i="26" s="1"/>
  <c r="AI434" i="26"/>
  <c r="AN435" i="26"/>
  <c r="AI429" i="26"/>
  <c r="AV429" i="26"/>
  <c r="AZ429" i="26"/>
  <c r="AG429" i="26" s="1"/>
  <c r="AV432" i="26"/>
  <c r="AZ432" i="26"/>
  <c r="AG432" i="26" s="1"/>
  <c r="AK404" i="26"/>
  <c r="BB405" i="26"/>
  <c r="AK367" i="26"/>
  <c r="AT408" i="26"/>
  <c r="AK406" i="26"/>
  <c r="AK407" i="26"/>
  <c r="AM378" i="26"/>
  <c r="AK397" i="26"/>
  <c r="AX395" i="26"/>
  <c r="AX405" i="26" s="1"/>
  <c r="BB397" i="26"/>
  <c r="AI397" i="26" s="1"/>
  <c r="AK400" i="26"/>
  <c r="AK403" i="26"/>
  <c r="AX341" i="26"/>
  <c r="AX347" i="26" s="1"/>
  <c r="BB400" i="26"/>
  <c r="AI400" i="26" s="1"/>
  <c r="BB377" i="26"/>
  <c r="AX399" i="26"/>
  <c r="AX406" i="26" s="1"/>
  <c r="AM408" i="26"/>
  <c r="BB403" i="26"/>
  <c r="AI403" i="26" s="1"/>
  <c r="AP408" i="26"/>
  <c r="AX375" i="26"/>
  <c r="BB407" i="26"/>
  <c r="AX342" i="26"/>
  <c r="AX349" i="26" s="1"/>
  <c r="AK405" i="26"/>
  <c r="BB404" i="26"/>
  <c r="AX398" i="26"/>
  <c r="AX402" i="26"/>
  <c r="AX407" i="26" s="1"/>
  <c r="AX373" i="26"/>
  <c r="BB340" i="26"/>
  <c r="AI340" i="26" s="1"/>
  <c r="AK377" i="26"/>
  <c r="AK376" i="26"/>
  <c r="AK373" i="26"/>
  <c r="AX369" i="26"/>
  <c r="AX376" i="26" s="1"/>
  <c r="AX377" i="26"/>
  <c r="AX367" i="26"/>
  <c r="AX346" i="26"/>
  <c r="AX350" i="26"/>
  <c r="AX348" i="26"/>
  <c r="AX340" i="26"/>
  <c r="AK347" i="26"/>
  <c r="AK375" i="26"/>
  <c r="AK350" i="26"/>
  <c r="BB373" i="26"/>
  <c r="AI373" i="26" s="1"/>
  <c r="BB367" i="26"/>
  <c r="AI367" i="26" s="1"/>
  <c r="BB370" i="26"/>
  <c r="AI370" i="26" s="1"/>
  <c r="AK348" i="26"/>
  <c r="AM351" i="26"/>
  <c r="AK370" i="26"/>
  <c r="BB350" i="26"/>
  <c r="AT378" i="26"/>
  <c r="AP378" i="26"/>
  <c r="BB374" i="26"/>
  <c r="AK374" i="26"/>
  <c r="BB375" i="26"/>
  <c r="AK343" i="26"/>
  <c r="BB346" i="26"/>
  <c r="AI346" i="26" s="1"/>
  <c r="AK349" i="26"/>
  <c r="AP351" i="26"/>
  <c r="AK340" i="26"/>
  <c r="BB348" i="26"/>
  <c r="AT351" i="26"/>
  <c r="BB343" i="26"/>
  <c r="AI343" i="26" s="1"/>
  <c r="AK346" i="26"/>
  <c r="AY281" i="26"/>
  <c r="BK35" i="37" l="1"/>
  <c r="M35" i="35"/>
  <c r="L35" i="35" s="1"/>
  <c r="AF35" i="35"/>
  <c r="AI35" i="35" s="1"/>
  <c r="AB35" i="35"/>
  <c r="AN34" i="35"/>
  <c r="BI35" i="37"/>
  <c r="BJ43" i="37" s="1"/>
  <c r="BK43" i="37" s="1"/>
  <c r="AS43" i="37"/>
  <c r="AT43" i="37" s="1"/>
  <c r="AZ43" i="37" s="1"/>
  <c r="AN43" i="37"/>
  <c r="AO43" i="37" s="1"/>
  <c r="P43" i="36"/>
  <c r="Q43" i="36" s="1"/>
  <c r="Y43" i="36"/>
  <c r="AH35" i="36"/>
  <c r="AI35" i="36" s="1"/>
  <c r="Z35" i="36"/>
  <c r="AA35" i="36" s="1"/>
  <c r="AN35" i="36"/>
  <c r="Y43" i="35"/>
  <c r="P43" i="35"/>
  <c r="Q43" i="35" s="1"/>
  <c r="AI435" i="26"/>
  <c r="AZ435" i="26"/>
  <c r="AG435" i="26" s="1"/>
  <c r="AK408" i="26"/>
  <c r="AX397" i="26"/>
  <c r="BB378" i="26"/>
  <c r="AI378" i="26" s="1"/>
  <c r="AX343" i="26"/>
  <c r="AX351" i="26"/>
  <c r="AX378" i="26"/>
  <c r="BB408" i="26"/>
  <c r="AI408" i="26" s="1"/>
  <c r="AX403" i="26"/>
  <c r="AX400" i="26"/>
  <c r="AX404" i="26"/>
  <c r="AX408" i="26" s="1"/>
  <c r="AX370" i="26"/>
  <c r="AK351" i="26"/>
  <c r="BB351" i="26"/>
  <c r="AI351" i="26" s="1"/>
  <c r="AK378" i="26"/>
  <c r="AT280" i="26"/>
  <c r="AT279" i="26"/>
  <c r="AT277" i="26"/>
  <c r="AT276" i="26"/>
  <c r="AY276" i="26" s="1"/>
  <c r="AT274" i="26"/>
  <c r="AT271" i="26"/>
  <c r="AO281" i="26"/>
  <c r="AO278" i="26"/>
  <c r="AJ284" i="26"/>
  <c r="AJ281" i="26"/>
  <c r="AJ278" i="26"/>
  <c r="AA35" i="35" l="1"/>
  <c r="AB43" i="35" s="1"/>
  <c r="AC43" i="35" s="1"/>
  <c r="AN35" i="35"/>
  <c r="AD35" i="35"/>
  <c r="AC35" i="35" s="1"/>
  <c r="AW35" i="35"/>
  <c r="AZ35" i="35" s="1"/>
  <c r="AU35" i="35" s="1"/>
  <c r="BG43" i="37"/>
  <c r="AX43" i="37"/>
  <c r="AY43" i="37" s="1"/>
  <c r="AW35" i="36"/>
  <c r="AZ35" i="36" s="1"/>
  <c r="AU35" i="36" s="1"/>
  <c r="AD35" i="36"/>
  <c r="AC35" i="36" s="1"/>
  <c r="AQ35" i="36"/>
  <c r="AS34" i="36"/>
  <c r="AS35" i="36" s="1"/>
  <c r="AB43" i="36"/>
  <c r="AC43" i="36" s="1"/>
  <c r="AI43" i="36" s="1"/>
  <c r="W43" i="36"/>
  <c r="X43" i="36" s="1"/>
  <c r="W43" i="35"/>
  <c r="X43" i="35" s="1"/>
  <c r="AI43" i="35"/>
  <c r="AT275" i="26"/>
  <c r="AY278" i="26"/>
  <c r="AT281" i="26"/>
  <c r="AT278" i="26"/>
  <c r="L200" i="26"/>
  <c r="L201" i="26" s="1"/>
  <c r="L202" i="26" s="1"/>
  <c r="L203" i="26" s="1"/>
  <c r="L204" i="26" s="1"/>
  <c r="AG43" i="35" l="1"/>
  <c r="AH43" i="35" s="1"/>
  <c r="AP43" i="35"/>
  <c r="AN43" i="35" s="1"/>
  <c r="AO43" i="35" s="1"/>
  <c r="AS34" i="35"/>
  <c r="AS35" i="35" s="1"/>
  <c r="AT35" i="35" s="1"/>
  <c r="AQ35" i="35"/>
  <c r="BQ43" i="37"/>
  <c r="BE43" i="37"/>
  <c r="BF43" i="37" s="1"/>
  <c r="AT35" i="36"/>
  <c r="AP43" i="36"/>
  <c r="AG43" i="36"/>
  <c r="AH43" i="36" s="1"/>
  <c r="AR35" i="36"/>
  <c r="AS43" i="36" s="1"/>
  <c r="AT43" i="36" s="1"/>
  <c r="AO120" i="26"/>
  <c r="AO117" i="26"/>
  <c r="Y47" i="26"/>
  <c r="AR35" i="35" l="1"/>
  <c r="AS43" i="35" s="1"/>
  <c r="AT43" i="35" s="1"/>
  <c r="AZ43" i="35" s="1"/>
  <c r="AX43" i="35" s="1"/>
  <c r="AY43" i="35" s="1"/>
  <c r="BO43" i="37"/>
  <c r="BP43" i="37" s="1"/>
  <c r="AZ43" i="36"/>
  <c r="AN43" i="36"/>
  <c r="AO43" i="36" s="1"/>
  <c r="Y44" i="26"/>
  <c r="AX43" i="36" l="1"/>
  <c r="AY43" i="36" s="1"/>
  <c r="K19" i="30"/>
  <c r="T42" i="30" l="1"/>
  <c r="N42" i="30"/>
  <c r="AL41" i="30"/>
  <c r="Z36" i="30"/>
  <c r="Y36" i="30"/>
  <c r="O41" i="30"/>
  <c r="O42" i="30" s="1"/>
  <c r="H36" i="30"/>
  <c r="G36" i="30"/>
  <c r="AC21" i="30"/>
  <c r="AC20" i="30"/>
  <c r="AC12" i="30"/>
  <c r="AC11" i="30"/>
  <c r="K21" i="30"/>
  <c r="X21" i="30" s="1"/>
  <c r="K20" i="30"/>
  <c r="X20" i="30" s="1"/>
  <c r="K12" i="30"/>
  <c r="X12" i="30" s="1"/>
  <c r="K11" i="30"/>
  <c r="X11" i="30" s="1"/>
  <c r="AL28" i="30"/>
  <c r="P28" i="30"/>
  <c r="Y25" i="30"/>
  <c r="G25" i="30"/>
  <c r="Y23" i="30"/>
  <c r="Y24" i="30" s="1"/>
  <c r="Y27" i="30" s="1"/>
  <c r="G23" i="30"/>
  <c r="G24" i="30" s="1"/>
  <c r="G27" i="30" s="1"/>
  <c r="Z22" i="30"/>
  <c r="Z25" i="30" s="1"/>
  <c r="H22" i="30"/>
  <c r="H25" i="30" s="1"/>
  <c r="Y16" i="30"/>
  <c r="G16" i="30"/>
  <c r="G39" i="30" s="1"/>
  <c r="Y14" i="30"/>
  <c r="Y15" i="30" s="1"/>
  <c r="Y18" i="30" s="1"/>
  <c r="G14" i="30"/>
  <c r="G17" i="30" s="1"/>
  <c r="Z13" i="30"/>
  <c r="Z14" i="30" s="1"/>
  <c r="AC14" i="30" s="1"/>
  <c r="H14" i="30"/>
  <c r="K10" i="30"/>
  <c r="H23" i="30" l="1"/>
  <c r="H24" i="30" s="1"/>
  <c r="H27" i="30" s="1"/>
  <c r="Y39" i="30"/>
  <c r="X10" i="30"/>
  <c r="AC10" i="30" s="1"/>
  <c r="AC17" i="30" s="1"/>
  <c r="K36" i="30"/>
  <c r="X36" i="30" s="1"/>
  <c r="H16" i="30"/>
  <c r="H39" i="30" s="1"/>
  <c r="Y28" i="30"/>
  <c r="X19" i="30"/>
  <c r="AC19" i="30" s="1"/>
  <c r="AC36" i="30" s="1"/>
  <c r="P41" i="30"/>
  <c r="P42" i="30" s="1"/>
  <c r="H15" i="30"/>
  <c r="H17" i="30"/>
  <c r="K14" i="30"/>
  <c r="K13" i="30"/>
  <c r="K22" i="30"/>
  <c r="X22" i="30" s="1"/>
  <c r="K23" i="30"/>
  <c r="AC22" i="30"/>
  <c r="Y17" i="30"/>
  <c r="G26" i="30"/>
  <c r="AC13" i="30"/>
  <c r="AC16" i="30" s="1"/>
  <c r="K24" i="30"/>
  <c r="I27" i="30"/>
  <c r="Z15" i="30"/>
  <c r="Z17" i="30"/>
  <c r="Z16" i="30"/>
  <c r="Z39" i="30" s="1"/>
  <c r="H26" i="30"/>
  <c r="Y26" i="30"/>
  <c r="G15" i="30"/>
  <c r="G18" i="30" s="1"/>
  <c r="Z23" i="30"/>
  <c r="AC23" i="30" s="1"/>
  <c r="AC26" i="30" l="1"/>
  <c r="AC25" i="30"/>
  <c r="Y38" i="30"/>
  <c r="G38" i="30"/>
  <c r="K25" i="30"/>
  <c r="X13" i="30"/>
  <c r="K16" i="30"/>
  <c r="X16" i="30" s="1"/>
  <c r="G40" i="30"/>
  <c r="G41" i="30" s="1"/>
  <c r="G37" i="30"/>
  <c r="K27" i="30"/>
  <c r="X27" i="30" s="1"/>
  <c r="X24" i="30"/>
  <c r="K26" i="30"/>
  <c r="X23" i="30"/>
  <c r="Y37" i="30"/>
  <c r="Y40" i="30"/>
  <c r="Y41" i="30" s="1"/>
  <c r="Y42" i="30" s="1"/>
  <c r="X14" i="30"/>
  <c r="K17" i="30"/>
  <c r="X17" i="30" s="1"/>
  <c r="H37" i="30"/>
  <c r="K37" i="30" s="1"/>
  <c r="X37" i="30" s="1"/>
  <c r="H40" i="30"/>
  <c r="H18" i="30"/>
  <c r="K15" i="30"/>
  <c r="Z18" i="30"/>
  <c r="AC15" i="30"/>
  <c r="AC18" i="30" s="1"/>
  <c r="G28" i="30"/>
  <c r="Z26" i="30"/>
  <c r="Z40" i="30" s="1"/>
  <c r="Z24" i="30"/>
  <c r="J60" i="20"/>
  <c r="X26" i="30" l="1"/>
  <c r="K40" i="30"/>
  <c r="X25" i="30"/>
  <c r="K39" i="30"/>
  <c r="X39" i="30" s="1"/>
  <c r="AC39" i="30" s="1"/>
  <c r="Z37" i="30"/>
  <c r="AC37" i="30" s="1"/>
  <c r="G42" i="30"/>
  <c r="I18" i="30"/>
  <c r="I28" i="30" s="1"/>
  <c r="H38" i="30"/>
  <c r="K38" i="30" s="1"/>
  <c r="X38" i="30" s="1"/>
  <c r="H28" i="30"/>
  <c r="Z27" i="30"/>
  <c r="AC24" i="30"/>
  <c r="AC27" i="30" s="1"/>
  <c r="K18" i="30"/>
  <c r="X18" i="30" s="1"/>
  <c r="X15" i="30"/>
  <c r="AA18" i="30"/>
  <c r="AA111" i="20"/>
  <c r="AC61" i="20"/>
  <c r="M64" i="20"/>
  <c r="N48" i="20"/>
  <c r="N45" i="20"/>
  <c r="N44" i="20"/>
  <c r="AC40" i="30" l="1"/>
  <c r="AA27" i="30"/>
  <c r="AB27" i="30" s="1"/>
  <c r="AB18" i="30"/>
  <c r="Z38" i="30"/>
  <c r="H41" i="30"/>
  <c r="Z28" i="30"/>
  <c r="Q28" i="30"/>
  <c r="K41" i="30"/>
  <c r="X40" i="30"/>
  <c r="K28" i="30"/>
  <c r="N60" i="20"/>
  <c r="I47" i="20"/>
  <c r="N47" i="20" s="1"/>
  <c r="I46" i="20"/>
  <c r="N46" i="20" s="1"/>
  <c r="N118" i="20"/>
  <c r="N117" i="20"/>
  <c r="N116" i="20"/>
  <c r="N115" i="20"/>
  <c r="N114" i="20"/>
  <c r="N113" i="20"/>
  <c r="N111" i="20"/>
  <c r="N110" i="20"/>
  <c r="N109" i="20"/>
  <c r="N108" i="20"/>
  <c r="N107" i="20"/>
  <c r="N106" i="20"/>
  <c r="N104" i="20"/>
  <c r="N103" i="20"/>
  <c r="N102" i="20"/>
  <c r="N101" i="20"/>
  <c r="N100" i="20"/>
  <c r="N99" i="20"/>
  <c r="N97" i="20"/>
  <c r="N96" i="20"/>
  <c r="N95" i="20"/>
  <c r="N94" i="20"/>
  <c r="N93" i="20"/>
  <c r="N92" i="20"/>
  <c r="N89" i="20"/>
  <c r="N88" i="20"/>
  <c r="N87" i="20"/>
  <c r="N86" i="20"/>
  <c r="N85" i="20"/>
  <c r="N83" i="20"/>
  <c r="N82" i="20"/>
  <c r="N81" i="20"/>
  <c r="N80" i="20"/>
  <c r="N79" i="20"/>
  <c r="N78" i="20"/>
  <c r="N75" i="20"/>
  <c r="N74" i="20"/>
  <c r="N73" i="20"/>
  <c r="N72" i="20"/>
  <c r="N71" i="20"/>
  <c r="N69" i="20"/>
  <c r="N68" i="20"/>
  <c r="N67" i="20"/>
  <c r="N66" i="20"/>
  <c r="N65" i="20"/>
  <c r="N62" i="20"/>
  <c r="N61" i="20"/>
  <c r="N59" i="20"/>
  <c r="N58" i="20"/>
  <c r="N57" i="20"/>
  <c r="N55" i="20"/>
  <c r="N54" i="20"/>
  <c r="N53" i="20"/>
  <c r="N52" i="20"/>
  <c r="N51" i="20"/>
  <c r="N50" i="20"/>
  <c r="N43" i="20"/>
  <c r="N41" i="20"/>
  <c r="N40" i="20"/>
  <c r="N39" i="20"/>
  <c r="N38" i="20"/>
  <c r="N36" i="20"/>
  <c r="N34" i="20"/>
  <c r="N33" i="20"/>
  <c r="N32" i="20"/>
  <c r="N31" i="20"/>
  <c r="N30" i="20"/>
  <c r="N29" i="20"/>
  <c r="N27" i="20"/>
  <c r="N26" i="20"/>
  <c r="N25" i="20"/>
  <c r="N24" i="20"/>
  <c r="N23" i="20"/>
  <c r="N22" i="20"/>
  <c r="N20" i="20"/>
  <c r="N19" i="20"/>
  <c r="N18" i="20"/>
  <c r="N17" i="20"/>
  <c r="N16" i="20"/>
  <c r="N15" i="20"/>
  <c r="R122" i="20"/>
  <c r="AJ120" i="20"/>
  <c r="AJ121" i="20" s="1"/>
  <c r="AF120" i="20"/>
  <c r="AF121" i="20" s="1"/>
  <c r="AE120" i="20"/>
  <c r="AE121" i="20" s="1"/>
  <c r="AD120" i="20"/>
  <c r="AD121" i="20" s="1"/>
  <c r="V120" i="20"/>
  <c r="U120" i="20"/>
  <c r="P120" i="20"/>
  <c r="O120" i="20"/>
  <c r="G120" i="20"/>
  <c r="F120" i="20"/>
  <c r="F121" i="20" s="1"/>
  <c r="AK118" i="20"/>
  <c r="AC118" i="20"/>
  <c r="Q118" i="20"/>
  <c r="AK117" i="20"/>
  <c r="AC117" i="20"/>
  <c r="Q117" i="20"/>
  <c r="AK116" i="20"/>
  <c r="AC116" i="20"/>
  <c r="Q116" i="20"/>
  <c r="AK115" i="20"/>
  <c r="AC115" i="20"/>
  <c r="Q115" i="20"/>
  <c r="AK114" i="20"/>
  <c r="AC114" i="20"/>
  <c r="Q114" i="20"/>
  <c r="AK113" i="20"/>
  <c r="AC113" i="20"/>
  <c r="Q113" i="20"/>
  <c r="AK111" i="20"/>
  <c r="AC111" i="20"/>
  <c r="Q111" i="20"/>
  <c r="AK110" i="20"/>
  <c r="AC110" i="20"/>
  <c r="AL110" i="20" s="1"/>
  <c r="Q110" i="20"/>
  <c r="AK109" i="20"/>
  <c r="AC109" i="20"/>
  <c r="Q109" i="20"/>
  <c r="AK108" i="20"/>
  <c r="AC108" i="20"/>
  <c r="Q108" i="20"/>
  <c r="AK107" i="20"/>
  <c r="AC107" i="20"/>
  <c r="Q107" i="20"/>
  <c r="AK106" i="20"/>
  <c r="AC106" i="20"/>
  <c r="Q106" i="20"/>
  <c r="AK104" i="20"/>
  <c r="AC104" i="20"/>
  <c r="Q104" i="20"/>
  <c r="AK103" i="20"/>
  <c r="AC103" i="20"/>
  <c r="Q103" i="20"/>
  <c r="AK102" i="20"/>
  <c r="AC102" i="20"/>
  <c r="Q102" i="20"/>
  <c r="AK101" i="20"/>
  <c r="AC101" i="20"/>
  <c r="AL101" i="20" s="1"/>
  <c r="Q101" i="20"/>
  <c r="AK100" i="20"/>
  <c r="AC100" i="20"/>
  <c r="Q100" i="20"/>
  <c r="AK99" i="20"/>
  <c r="AC99" i="20"/>
  <c r="Q99" i="20"/>
  <c r="AK97" i="20"/>
  <c r="AC97" i="20"/>
  <c r="Q97" i="20"/>
  <c r="AK96" i="20"/>
  <c r="AC96" i="20"/>
  <c r="Q96" i="20"/>
  <c r="AK95" i="20"/>
  <c r="AC95" i="20"/>
  <c r="Q95" i="20"/>
  <c r="AK94" i="20"/>
  <c r="AC94" i="20"/>
  <c r="Q94" i="20"/>
  <c r="AK93" i="20"/>
  <c r="AC93" i="20"/>
  <c r="Q93" i="20"/>
  <c r="AK92" i="20"/>
  <c r="AC92" i="20"/>
  <c r="AL92" i="20" s="1"/>
  <c r="Q92" i="20"/>
  <c r="AK90" i="20"/>
  <c r="AC90" i="20"/>
  <c r="Q90" i="20"/>
  <c r="K90" i="20"/>
  <c r="N90" i="20" s="1"/>
  <c r="AK89" i="20"/>
  <c r="AC89" i="20"/>
  <c r="Q89" i="20"/>
  <c r="AK88" i="20"/>
  <c r="AC88" i="20"/>
  <c r="Q88" i="20"/>
  <c r="AK87" i="20"/>
  <c r="AC87" i="20"/>
  <c r="Q87" i="20"/>
  <c r="AK86" i="20"/>
  <c r="AC86" i="20"/>
  <c r="AL86" i="20" s="1"/>
  <c r="Q86" i="20"/>
  <c r="AK85" i="20"/>
  <c r="AC85" i="20"/>
  <c r="Q85" i="20"/>
  <c r="AK83" i="20"/>
  <c r="AC83" i="20"/>
  <c r="Q83" i="20"/>
  <c r="AK82" i="20"/>
  <c r="AC82" i="20"/>
  <c r="Q82" i="20"/>
  <c r="AK81" i="20"/>
  <c r="AC81" i="20"/>
  <c r="Q81" i="20"/>
  <c r="AK80" i="20"/>
  <c r="AC80" i="20"/>
  <c r="Q80" i="20"/>
  <c r="AK79" i="20"/>
  <c r="AC79" i="20"/>
  <c r="Q79" i="20"/>
  <c r="AK78" i="20"/>
  <c r="AC78" i="20"/>
  <c r="Q78" i="20"/>
  <c r="AK76" i="20"/>
  <c r="AC76" i="20"/>
  <c r="AL76" i="20" s="1"/>
  <c r="Q76" i="20"/>
  <c r="K76" i="20"/>
  <c r="N76" i="20" s="1"/>
  <c r="AK75" i="20"/>
  <c r="AC75" i="20"/>
  <c r="Q75" i="20"/>
  <c r="AK74" i="20"/>
  <c r="AC74" i="20"/>
  <c r="Q74" i="20"/>
  <c r="AK73" i="20"/>
  <c r="AC73" i="20"/>
  <c r="Q73" i="20"/>
  <c r="AK72" i="20"/>
  <c r="AC72" i="20"/>
  <c r="Q72" i="20"/>
  <c r="AK71" i="20"/>
  <c r="AC71" i="20"/>
  <c r="AL71" i="20" s="1"/>
  <c r="Q71" i="20"/>
  <c r="AK69" i="20"/>
  <c r="AC69" i="20"/>
  <c r="Q69" i="20"/>
  <c r="AK68" i="20"/>
  <c r="AC68" i="20"/>
  <c r="Q68" i="20"/>
  <c r="AK67" i="20"/>
  <c r="AC67" i="20"/>
  <c r="Q67" i="20"/>
  <c r="AK66" i="20"/>
  <c r="AC66" i="20"/>
  <c r="Q66" i="20"/>
  <c r="AK65" i="20"/>
  <c r="AC65" i="20"/>
  <c r="Q65" i="20"/>
  <c r="AK64" i="20"/>
  <c r="AC64" i="20"/>
  <c r="Q64" i="20"/>
  <c r="N64" i="20"/>
  <c r="AK62" i="20"/>
  <c r="AC62" i="20"/>
  <c r="Q62" i="20"/>
  <c r="AK61" i="20"/>
  <c r="Q61" i="20"/>
  <c r="AK60" i="20"/>
  <c r="AC60" i="20"/>
  <c r="Q60" i="20"/>
  <c r="AK59" i="20"/>
  <c r="AC59" i="20"/>
  <c r="Q59" i="20"/>
  <c r="AK58" i="20"/>
  <c r="AC58" i="20"/>
  <c r="Q58" i="20"/>
  <c r="AK57" i="20"/>
  <c r="AC57" i="20"/>
  <c r="Q57" i="20"/>
  <c r="AK55" i="20"/>
  <c r="AC55" i="20"/>
  <c r="Q55" i="20"/>
  <c r="AK54" i="20"/>
  <c r="AC54" i="20"/>
  <c r="Q54" i="20"/>
  <c r="AK53" i="20"/>
  <c r="AC53" i="20"/>
  <c r="Q53" i="20"/>
  <c r="AK52" i="20"/>
  <c r="AC52" i="20"/>
  <c r="Q52" i="20"/>
  <c r="AK51" i="20"/>
  <c r="AC51" i="20"/>
  <c r="Q51" i="20"/>
  <c r="AK50" i="20"/>
  <c r="AC50" i="20"/>
  <c r="Q50" i="20"/>
  <c r="AK48" i="20"/>
  <c r="AC48" i="20"/>
  <c r="Q48" i="20"/>
  <c r="AK47" i="20"/>
  <c r="AC47" i="20"/>
  <c r="Q47" i="20"/>
  <c r="AK46" i="20"/>
  <c r="AC46" i="20"/>
  <c r="Q46" i="20"/>
  <c r="AK45" i="20"/>
  <c r="AC45" i="20"/>
  <c r="Q45" i="20"/>
  <c r="AK44" i="20"/>
  <c r="AC44" i="20"/>
  <c r="Q44" i="20"/>
  <c r="AK43" i="20"/>
  <c r="AC43" i="20"/>
  <c r="Q43" i="20"/>
  <c r="AK41" i="20"/>
  <c r="AC41" i="20"/>
  <c r="Q41" i="20"/>
  <c r="AK40" i="20"/>
  <c r="AC40" i="20"/>
  <c r="Q40" i="20"/>
  <c r="AK39" i="20"/>
  <c r="AC39" i="20"/>
  <c r="Q39" i="20"/>
  <c r="AK38" i="20"/>
  <c r="AC38" i="20"/>
  <c r="Q38" i="20"/>
  <c r="AK37" i="20"/>
  <c r="AC37" i="20"/>
  <c r="Q37" i="20"/>
  <c r="H37" i="20"/>
  <c r="N37" i="20" s="1"/>
  <c r="AK36" i="20"/>
  <c r="AC36" i="20"/>
  <c r="Q36" i="20"/>
  <c r="AK34" i="20"/>
  <c r="AC34" i="20"/>
  <c r="Q34" i="20"/>
  <c r="AK33" i="20"/>
  <c r="AC33" i="20"/>
  <c r="Q33" i="20"/>
  <c r="AK32" i="20"/>
  <c r="AC32" i="20"/>
  <c r="Q32" i="20"/>
  <c r="AK31" i="20"/>
  <c r="AC31" i="20"/>
  <c r="Q31" i="20"/>
  <c r="AK30" i="20"/>
  <c r="AC30" i="20"/>
  <c r="Q30" i="20"/>
  <c r="AK29" i="20"/>
  <c r="AC29" i="20"/>
  <c r="Q29" i="20"/>
  <c r="AK27" i="20"/>
  <c r="AC27" i="20"/>
  <c r="Q27" i="20"/>
  <c r="AK26" i="20"/>
  <c r="AC26" i="20"/>
  <c r="Q26" i="20"/>
  <c r="AK25" i="20"/>
  <c r="AC25" i="20"/>
  <c r="Q25" i="20"/>
  <c r="AK24" i="20"/>
  <c r="AC24" i="20"/>
  <c r="AL24" i="20" s="1"/>
  <c r="Q24" i="20"/>
  <c r="AK23" i="20"/>
  <c r="AC23" i="20"/>
  <c r="Q23" i="20"/>
  <c r="AK22" i="20"/>
  <c r="AC22" i="20"/>
  <c r="Q22" i="20"/>
  <c r="AK20" i="20"/>
  <c r="AC20" i="20"/>
  <c r="Q20" i="20"/>
  <c r="AK19" i="20"/>
  <c r="AC19" i="20"/>
  <c r="Q19" i="20"/>
  <c r="AK18" i="20"/>
  <c r="AC18" i="20"/>
  <c r="Q18" i="20"/>
  <c r="AK17" i="20"/>
  <c r="AC17" i="20"/>
  <c r="Q17" i="20"/>
  <c r="AK16" i="20"/>
  <c r="AC16" i="20"/>
  <c r="Q16" i="20"/>
  <c r="AK15" i="20"/>
  <c r="AC15" i="20"/>
  <c r="Q15" i="20"/>
  <c r="I41" i="30" l="1"/>
  <c r="AC38" i="30"/>
  <c r="AC41" i="30" s="1"/>
  <c r="Z41" i="30"/>
  <c r="Z42" i="30" s="1"/>
  <c r="AB28" i="30"/>
  <c r="H42" i="30"/>
  <c r="K42" i="30"/>
  <c r="X41" i="30"/>
  <c r="J41" i="30"/>
  <c r="AI28" i="30"/>
  <c r="AI41" i="30" s="1"/>
  <c r="Q41" i="30"/>
  <c r="Q42" i="30" s="1"/>
  <c r="R28" i="30"/>
  <c r="S28" i="30"/>
  <c r="AL66" i="20"/>
  <c r="AL75" i="20"/>
  <c r="AL81" i="20"/>
  <c r="AL96" i="20"/>
  <c r="AL106" i="20"/>
  <c r="AL115" i="20"/>
  <c r="AL64" i="20"/>
  <c r="AL73" i="20"/>
  <c r="AL88" i="20"/>
  <c r="AL33" i="20"/>
  <c r="AL39" i="20"/>
  <c r="AL48" i="20"/>
  <c r="AL58" i="20"/>
  <c r="AL17" i="20"/>
  <c r="AL26" i="20"/>
  <c r="AL36" i="20"/>
  <c r="AL41" i="20"/>
  <c r="AL51" i="20"/>
  <c r="AL60" i="20"/>
  <c r="AL79" i="20"/>
  <c r="AL94" i="20"/>
  <c r="AL103" i="20"/>
  <c r="AL113" i="20"/>
  <c r="AL22" i="20"/>
  <c r="AL31" i="20"/>
  <c r="AL37" i="20"/>
  <c r="AL46" i="20"/>
  <c r="AL55" i="20"/>
  <c r="AL15" i="20"/>
  <c r="AL16" i="20"/>
  <c r="AL25" i="20"/>
  <c r="AL34" i="20"/>
  <c r="AL40" i="20"/>
  <c r="AL50" i="20"/>
  <c r="AL59" i="20"/>
  <c r="AL65" i="20"/>
  <c r="AL74" i="20"/>
  <c r="AL80" i="20"/>
  <c r="AL89" i="20"/>
  <c r="AL95" i="20"/>
  <c r="AL104" i="20"/>
  <c r="AL114" i="20"/>
  <c r="AL18" i="20"/>
  <c r="AL27" i="20"/>
  <c r="AL43" i="20"/>
  <c r="AL52" i="20"/>
  <c r="AL61" i="20"/>
  <c r="AL82" i="20"/>
  <c r="AL97" i="20"/>
  <c r="AL107" i="20"/>
  <c r="AL116" i="20"/>
  <c r="AL19" i="20"/>
  <c r="AL29" i="20"/>
  <c r="AL44" i="20"/>
  <c r="AL53" i="20"/>
  <c r="AL62" i="20"/>
  <c r="AL68" i="20"/>
  <c r="AL83" i="20"/>
  <c r="AL99" i="20"/>
  <c r="AL108" i="20"/>
  <c r="AL117" i="20"/>
  <c r="AL23" i="20"/>
  <c r="AL32" i="20"/>
  <c r="AL38" i="20"/>
  <c r="AL47" i="20"/>
  <c r="AL57" i="20"/>
  <c r="AL72" i="20"/>
  <c r="AL78" i="20"/>
  <c r="AL87" i="20"/>
  <c r="AL93" i="20"/>
  <c r="AL102" i="20"/>
  <c r="AL111" i="20"/>
  <c r="AL20" i="20"/>
  <c r="AL30" i="20"/>
  <c r="AL45" i="20"/>
  <c r="AL54" i="20"/>
  <c r="AL69" i="20"/>
  <c r="AL85" i="20"/>
  <c r="AL90" i="20"/>
  <c r="AL100" i="20"/>
  <c r="AL109" i="20"/>
  <c r="AL118" i="20"/>
  <c r="AL67" i="20"/>
  <c r="R90" i="20"/>
  <c r="R64" i="20"/>
  <c r="R37" i="20"/>
  <c r="R15" i="20"/>
  <c r="R76" i="20"/>
  <c r="R17" i="20"/>
  <c r="R26" i="20"/>
  <c r="R36" i="20"/>
  <c r="R45" i="20"/>
  <c r="R54" i="20"/>
  <c r="R73" i="20"/>
  <c r="R82" i="20"/>
  <c r="R92" i="20"/>
  <c r="R101" i="20"/>
  <c r="R110" i="20"/>
  <c r="R18" i="20"/>
  <c r="R27" i="20"/>
  <c r="R46" i="20"/>
  <c r="R55" i="20"/>
  <c r="R65" i="20"/>
  <c r="R74" i="20"/>
  <c r="R83" i="20"/>
  <c r="R93" i="20"/>
  <c r="R102" i="20"/>
  <c r="R111" i="20"/>
  <c r="R29" i="20"/>
  <c r="R38" i="20"/>
  <c r="R47" i="20"/>
  <c r="R57" i="20"/>
  <c r="R66" i="20"/>
  <c r="R75" i="20"/>
  <c r="R85" i="20"/>
  <c r="R94" i="20"/>
  <c r="R103" i="20"/>
  <c r="R113" i="20"/>
  <c r="R30" i="20"/>
  <c r="R39" i="20"/>
  <c r="R48" i="20"/>
  <c r="R58" i="20"/>
  <c r="R67" i="20"/>
  <c r="R86" i="20"/>
  <c r="R95" i="20"/>
  <c r="R104" i="20"/>
  <c r="R114" i="20"/>
  <c r="R22" i="20"/>
  <c r="R31" i="20"/>
  <c r="R40" i="20"/>
  <c r="R50" i="20"/>
  <c r="R59" i="20"/>
  <c r="R68" i="20"/>
  <c r="R78" i="20"/>
  <c r="R87" i="20"/>
  <c r="R96" i="20"/>
  <c r="R106" i="20"/>
  <c r="R115" i="20"/>
  <c r="R23" i="20"/>
  <c r="R32" i="20"/>
  <c r="R41" i="20"/>
  <c r="R51" i="20"/>
  <c r="R60" i="20"/>
  <c r="R69" i="20"/>
  <c r="R79" i="20"/>
  <c r="R88" i="20"/>
  <c r="R97" i="20"/>
  <c r="R107" i="20"/>
  <c r="R116" i="20"/>
  <c r="R24" i="20"/>
  <c r="R33" i="20"/>
  <c r="R43" i="20"/>
  <c r="R52" i="20"/>
  <c r="R61" i="20"/>
  <c r="R71" i="20"/>
  <c r="R80" i="20"/>
  <c r="R89" i="20"/>
  <c r="R99" i="20"/>
  <c r="R108" i="20"/>
  <c r="R117" i="20"/>
  <c r="R25" i="20"/>
  <c r="R34" i="20"/>
  <c r="R44" i="20"/>
  <c r="R53" i="20"/>
  <c r="R62" i="20"/>
  <c r="R72" i="20"/>
  <c r="R81" i="20"/>
  <c r="R100" i="20"/>
  <c r="R109" i="20"/>
  <c r="R118" i="20"/>
  <c r="R19" i="20"/>
  <c r="R16" i="20"/>
  <c r="R20" i="20"/>
  <c r="Q120" i="20"/>
  <c r="R120" i="20" s="1"/>
  <c r="R121" i="20" s="1"/>
  <c r="AK120" i="20"/>
  <c r="AL120" i="20" s="1"/>
  <c r="H159" i="9"/>
  <c r="H158" i="9"/>
  <c r="H157" i="9"/>
  <c r="H156" i="9"/>
  <c r="H155" i="9"/>
  <c r="H154" i="9"/>
  <c r="H152" i="9"/>
  <c r="H151" i="9"/>
  <c r="H150" i="9"/>
  <c r="H149" i="9"/>
  <c r="H148" i="9"/>
  <c r="H147" i="9"/>
  <c r="H145" i="9"/>
  <c r="H144" i="9"/>
  <c r="H143" i="9"/>
  <c r="H142" i="9"/>
  <c r="H141" i="9"/>
  <c r="H140" i="9"/>
  <c r="H138" i="9"/>
  <c r="H137" i="9"/>
  <c r="H136" i="9"/>
  <c r="H135" i="9"/>
  <c r="H134" i="9"/>
  <c r="H133" i="9"/>
  <c r="H131" i="9"/>
  <c r="H130" i="9"/>
  <c r="H129" i="9"/>
  <c r="H128" i="9"/>
  <c r="H127" i="9"/>
  <c r="H126" i="9"/>
  <c r="H124" i="9"/>
  <c r="H123" i="9"/>
  <c r="H122" i="9"/>
  <c r="H121" i="9"/>
  <c r="H120" i="9"/>
  <c r="H119" i="9"/>
  <c r="H117" i="9"/>
  <c r="H116" i="9"/>
  <c r="H115" i="9"/>
  <c r="H114" i="9"/>
  <c r="H113" i="9"/>
  <c r="H112" i="9"/>
  <c r="H110" i="9"/>
  <c r="H109" i="9"/>
  <c r="H108" i="9"/>
  <c r="H107" i="9"/>
  <c r="H106" i="9"/>
  <c r="H105" i="9"/>
  <c r="H103" i="9"/>
  <c r="H102" i="9"/>
  <c r="H101" i="9"/>
  <c r="H100" i="9"/>
  <c r="H99" i="9"/>
  <c r="H98" i="9"/>
  <c r="H96" i="9"/>
  <c r="H95" i="9"/>
  <c r="H94" i="9"/>
  <c r="H93" i="9"/>
  <c r="H92" i="9"/>
  <c r="H91" i="9"/>
  <c r="H89" i="9"/>
  <c r="H88" i="9"/>
  <c r="H87" i="9"/>
  <c r="H86" i="9"/>
  <c r="H85" i="9"/>
  <c r="AO97" i="9"/>
  <c r="AM97" i="9" s="1"/>
  <c r="AK96" i="9"/>
  <c r="AG96" i="9"/>
  <c r="AA96" i="9"/>
  <c r="AL96" i="9" s="1"/>
  <c r="T96" i="9"/>
  <c r="P96" i="9"/>
  <c r="M96" i="9"/>
  <c r="U96" i="9" s="1"/>
  <c r="AK95" i="9"/>
  <c r="AG95" i="9"/>
  <c r="AA95" i="9"/>
  <c r="AL95" i="9" s="1"/>
  <c r="T95" i="9"/>
  <c r="P95" i="9"/>
  <c r="M95" i="9"/>
  <c r="U95" i="9" s="1"/>
  <c r="AK94" i="9"/>
  <c r="AG94" i="9"/>
  <c r="AA94" i="9"/>
  <c r="AL94" i="9" s="1"/>
  <c r="T94" i="9"/>
  <c r="P94" i="9"/>
  <c r="M94" i="9"/>
  <c r="U94" i="9" s="1"/>
  <c r="AK93" i="9"/>
  <c r="AG93" i="9"/>
  <c r="AA93" i="9"/>
  <c r="AL93" i="9" s="1"/>
  <c r="T93" i="9"/>
  <c r="P93" i="9"/>
  <c r="M93" i="9"/>
  <c r="U93" i="9" s="1"/>
  <c r="AK92" i="9"/>
  <c r="AG92" i="9"/>
  <c r="AA92" i="9"/>
  <c r="T92" i="9"/>
  <c r="P92" i="9"/>
  <c r="M92" i="9"/>
  <c r="U92" i="9" s="1"/>
  <c r="AK91" i="9"/>
  <c r="AG91" i="9"/>
  <c r="AA91" i="9"/>
  <c r="T91" i="9"/>
  <c r="P91" i="9"/>
  <c r="M91" i="9"/>
  <c r="H63" i="9"/>
  <c r="H61" i="9"/>
  <c r="H60" i="9"/>
  <c r="H59" i="9"/>
  <c r="H58" i="9"/>
  <c r="H57" i="9"/>
  <c r="H56" i="9"/>
  <c r="H68" i="9"/>
  <c r="H67" i="9"/>
  <c r="H66" i="9"/>
  <c r="H65" i="9"/>
  <c r="H64" i="9"/>
  <c r="H75" i="9"/>
  <c r="H74" i="9"/>
  <c r="H73" i="9"/>
  <c r="H72" i="9"/>
  <c r="H71" i="9"/>
  <c r="H70" i="9"/>
  <c r="H82" i="9"/>
  <c r="H81" i="9"/>
  <c r="H80" i="9"/>
  <c r="H79" i="9"/>
  <c r="H78" i="9"/>
  <c r="H77" i="9"/>
  <c r="H84" i="9"/>
  <c r="AO153" i="9"/>
  <c r="AM153" i="9" s="1"/>
  <c r="AO125" i="9"/>
  <c r="AM125" i="9" s="1"/>
  <c r="AO118" i="9"/>
  <c r="AM118" i="9" s="1"/>
  <c r="AO111" i="9"/>
  <c r="AM111" i="9" s="1"/>
  <c r="AO104" i="9"/>
  <c r="AM104" i="9" s="1"/>
  <c r="U91" i="9" l="1"/>
  <c r="AL92" i="9"/>
  <c r="AL91" i="9"/>
  <c r="AJ28" i="30"/>
  <c r="AG28" i="30" s="1"/>
  <c r="AG41" i="30" s="1"/>
  <c r="I42" i="30"/>
  <c r="R41" i="30"/>
  <c r="R42" i="30" s="1"/>
  <c r="S41" i="30"/>
  <c r="U41" i="30" s="1"/>
  <c r="V41" i="30" s="1"/>
  <c r="M41" i="30" s="1"/>
  <c r="AA41" i="30"/>
  <c r="AB41" i="30" s="1"/>
  <c r="AB42" i="30" s="1"/>
  <c r="U28" i="30"/>
  <c r="AM16" i="20"/>
  <c r="E23" i="20" s="1"/>
  <c r="AM23" i="20" s="1"/>
  <c r="E30" i="20" s="1"/>
  <c r="AM30" i="20" s="1"/>
  <c r="E37" i="20" s="1"/>
  <c r="AM37" i="20" s="1"/>
  <c r="E44" i="20" s="1"/>
  <c r="AM44" i="20" s="1"/>
  <c r="E51" i="20" s="1"/>
  <c r="AM51" i="20" s="1"/>
  <c r="E58" i="20" s="1"/>
  <c r="AM58" i="20" s="1"/>
  <c r="E65" i="20" s="1"/>
  <c r="AM65" i="20" s="1"/>
  <c r="E72" i="20" s="1"/>
  <c r="AM72" i="20" s="1"/>
  <c r="E79" i="20" s="1"/>
  <c r="AM79" i="20" s="1"/>
  <c r="E86" i="20" s="1"/>
  <c r="AM86" i="20" s="1"/>
  <c r="E93" i="20" s="1"/>
  <c r="AM93" i="20" s="1"/>
  <c r="E100" i="20" s="1"/>
  <c r="AM100" i="20" s="1"/>
  <c r="E107" i="20" s="1"/>
  <c r="AM107" i="20" s="1"/>
  <c r="E114" i="20" s="1"/>
  <c r="AM114" i="20" s="1"/>
  <c r="AM19" i="20"/>
  <c r="E26" i="20" s="1"/>
  <c r="AM26" i="20" s="1"/>
  <c r="E33" i="20" s="1"/>
  <c r="AM33" i="20" s="1"/>
  <c r="E40" i="20" s="1"/>
  <c r="AM40" i="20" s="1"/>
  <c r="E47" i="20" s="1"/>
  <c r="AM47" i="20" s="1"/>
  <c r="E54" i="20" s="1"/>
  <c r="AM54" i="20" s="1"/>
  <c r="E61" i="20" s="1"/>
  <c r="AM61" i="20" s="1"/>
  <c r="E68" i="20" s="1"/>
  <c r="AM68" i="20" s="1"/>
  <c r="E75" i="20" s="1"/>
  <c r="AM75" i="20" s="1"/>
  <c r="E82" i="20" s="1"/>
  <c r="AM82" i="20" s="1"/>
  <c r="E89" i="20" s="1"/>
  <c r="AM89" i="20" s="1"/>
  <c r="E96" i="20" s="1"/>
  <c r="AM96" i="20" s="1"/>
  <c r="E103" i="20" s="1"/>
  <c r="AM103" i="20" s="1"/>
  <c r="E110" i="20" s="1"/>
  <c r="AM110" i="20" s="1"/>
  <c r="E117" i="20" s="1"/>
  <c r="AM117" i="20" s="1"/>
  <c r="AM15" i="20"/>
  <c r="E22" i="20" s="1"/>
  <c r="AM22" i="20" s="1"/>
  <c r="E29" i="20" s="1"/>
  <c r="AM29" i="20" s="1"/>
  <c r="E36" i="20" s="1"/>
  <c r="AM36" i="20" s="1"/>
  <c r="E43" i="20" s="1"/>
  <c r="AM43" i="20" s="1"/>
  <c r="E50" i="20" s="1"/>
  <c r="AM50" i="20" s="1"/>
  <c r="E57" i="20" s="1"/>
  <c r="AM57" i="20" s="1"/>
  <c r="E64" i="20" s="1"/>
  <c r="AM64" i="20" s="1"/>
  <c r="E71" i="20" s="1"/>
  <c r="AM71" i="20" s="1"/>
  <c r="E78" i="20" s="1"/>
  <c r="AM78" i="20" s="1"/>
  <c r="E85" i="20" s="1"/>
  <c r="AM85" i="20" s="1"/>
  <c r="E92" i="20" s="1"/>
  <c r="AM92" i="20" s="1"/>
  <c r="E99" i="20" s="1"/>
  <c r="AM99" i="20" s="1"/>
  <c r="E106" i="20" s="1"/>
  <c r="AM106" i="20" s="1"/>
  <c r="E113" i="20" s="1"/>
  <c r="AM113" i="20" s="1"/>
  <c r="AM18" i="20"/>
  <c r="E25" i="20" s="1"/>
  <c r="AM25" i="20" s="1"/>
  <c r="E32" i="20" s="1"/>
  <c r="AM32" i="20" s="1"/>
  <c r="E39" i="20" s="1"/>
  <c r="AM39" i="20" s="1"/>
  <c r="E46" i="20" s="1"/>
  <c r="AM46" i="20" s="1"/>
  <c r="E53" i="20" s="1"/>
  <c r="AM53" i="20" s="1"/>
  <c r="E60" i="20" s="1"/>
  <c r="AM60" i="20" s="1"/>
  <c r="E67" i="20" s="1"/>
  <c r="AM67" i="20" s="1"/>
  <c r="E74" i="20" s="1"/>
  <c r="AM74" i="20" s="1"/>
  <c r="E81" i="20" s="1"/>
  <c r="AM81" i="20" s="1"/>
  <c r="E88" i="20" s="1"/>
  <c r="AM88" i="20" s="1"/>
  <c r="E95" i="20" s="1"/>
  <c r="AM95" i="20" s="1"/>
  <c r="E102" i="20" s="1"/>
  <c r="AM102" i="20" s="1"/>
  <c r="E109" i="20" s="1"/>
  <c r="AM109" i="20" s="1"/>
  <c r="E116" i="20" s="1"/>
  <c r="AM116" i="20" s="1"/>
  <c r="AM20" i="20"/>
  <c r="E27" i="20" s="1"/>
  <c r="AM27" i="20" s="1"/>
  <c r="E34" i="20" s="1"/>
  <c r="AM34" i="20" s="1"/>
  <c r="E41" i="20" s="1"/>
  <c r="AM41" i="20" s="1"/>
  <c r="E48" i="20" s="1"/>
  <c r="AM48" i="20" s="1"/>
  <c r="E55" i="20" s="1"/>
  <c r="AM55" i="20" s="1"/>
  <c r="E62" i="20" s="1"/>
  <c r="AM62" i="20" s="1"/>
  <c r="E69" i="20" s="1"/>
  <c r="AM69" i="20" s="1"/>
  <c r="E76" i="20" s="1"/>
  <c r="AM76" i="20" s="1"/>
  <c r="E83" i="20" s="1"/>
  <c r="AM83" i="20" s="1"/>
  <c r="E90" i="20" s="1"/>
  <c r="AM90" i="20" s="1"/>
  <c r="E97" i="20" s="1"/>
  <c r="AM97" i="20" s="1"/>
  <c r="E104" i="20" s="1"/>
  <c r="AM104" i="20" s="1"/>
  <c r="E111" i="20" s="1"/>
  <c r="AM111" i="20" s="1"/>
  <c r="E118" i="20" s="1"/>
  <c r="AM118" i="20" s="1"/>
  <c r="AM17" i="20"/>
  <c r="E24" i="20" s="1"/>
  <c r="AM24" i="20" s="1"/>
  <c r="E31" i="20" s="1"/>
  <c r="AM31" i="20" s="1"/>
  <c r="E38" i="20" s="1"/>
  <c r="AM38" i="20" s="1"/>
  <c r="E45" i="20" s="1"/>
  <c r="AM45" i="20" s="1"/>
  <c r="E52" i="20" s="1"/>
  <c r="AM52" i="20" s="1"/>
  <c r="E59" i="20" s="1"/>
  <c r="AM59" i="20" s="1"/>
  <c r="E66" i="20" s="1"/>
  <c r="AM66" i="20" s="1"/>
  <c r="E73" i="20" s="1"/>
  <c r="AM73" i="20" s="1"/>
  <c r="E80" i="20" s="1"/>
  <c r="AM80" i="20" s="1"/>
  <c r="E87" i="20" s="1"/>
  <c r="AM87" i="20" s="1"/>
  <c r="E94" i="20" s="1"/>
  <c r="AM94" i="20" s="1"/>
  <c r="E101" i="20" s="1"/>
  <c r="AM101" i="20" s="1"/>
  <c r="E108" i="20" s="1"/>
  <c r="AM108" i="20" s="1"/>
  <c r="E115" i="20" s="1"/>
  <c r="AM115" i="20" s="1"/>
  <c r="AK121" i="20"/>
  <c r="AK41" i="30" l="1"/>
  <c r="AH41" i="30"/>
  <c r="AM41" i="30"/>
  <c r="AN41" i="30" s="1"/>
  <c r="AE41" i="30" s="1"/>
  <c r="AD41" i="30" s="1"/>
  <c r="L41" i="30"/>
  <c r="U42" i="30"/>
  <c r="V28" i="30"/>
  <c r="S42" i="30"/>
  <c r="AJ41" i="30"/>
  <c r="E120" i="20"/>
  <c r="AM121" i="20" s="1"/>
  <c r="AL121" i="20" s="1"/>
  <c r="M28" i="30" l="1"/>
  <c r="M42" i="30" s="1"/>
  <c r="V42" i="30"/>
  <c r="AM120" i="20"/>
  <c r="AN120" i="20" s="1"/>
  <c r="AD122" i="20"/>
  <c r="AJ122" i="20"/>
  <c r="AF122" i="20"/>
  <c r="AE122" i="20"/>
  <c r="AM122" i="20" l="1"/>
  <c r="AK122" i="20"/>
  <c r="U122" i="20" l="1"/>
  <c r="U121" i="20" l="1"/>
  <c r="AL122" i="20"/>
  <c r="AN122" i="20" l="1"/>
  <c r="AJ40" i="9" l="1"/>
  <c r="AI40" i="9"/>
  <c r="AH40" i="9"/>
  <c r="AF40" i="9"/>
  <c r="AE40" i="9"/>
  <c r="AD40" i="9"/>
  <c r="AC40" i="9"/>
  <c r="AB40" i="9"/>
  <c r="Z40" i="9"/>
  <c r="X40" i="9"/>
  <c r="Y40" i="9"/>
  <c r="V40" i="9"/>
  <c r="S40" i="9"/>
  <c r="R40" i="9"/>
  <c r="Q40" i="9"/>
  <c r="O40" i="9"/>
  <c r="L40" i="9"/>
  <c r="K40" i="9"/>
  <c r="H40" i="9"/>
  <c r="W28" i="9"/>
  <c r="W40" i="9" s="1"/>
  <c r="J28" i="9"/>
  <c r="J40" i="9" s="1"/>
  <c r="G28" i="9"/>
  <c r="I28" i="9" s="1"/>
  <c r="AK28" i="9"/>
  <c r="AG28" i="9"/>
  <c r="T28" i="9"/>
  <c r="N28" i="9"/>
  <c r="P28" i="9" s="1"/>
  <c r="M28" i="9"/>
  <c r="AK34" i="9"/>
  <c r="AG34" i="9"/>
  <c r="T34" i="9"/>
  <c r="M34" i="9"/>
  <c r="N34" i="9"/>
  <c r="P34" i="9" s="1"/>
  <c r="I34" i="9"/>
  <c r="L17" i="9"/>
  <c r="AN28" i="9" s="1"/>
  <c r="AN40" i="9" s="1"/>
  <c r="U22" i="9"/>
  <c r="M22" i="9"/>
  <c r="T40" i="9" l="1"/>
  <c r="AG40" i="9"/>
  <c r="AK40" i="9"/>
  <c r="U34" i="9"/>
  <c r="N40" i="9"/>
  <c r="P40" i="9" s="1"/>
  <c r="U28" i="9"/>
  <c r="G40" i="9"/>
  <c r="I40" i="9" s="1"/>
  <c r="M40" i="9"/>
  <c r="V22" i="9"/>
  <c r="AK159" i="9"/>
  <c r="AG159" i="9"/>
  <c r="AA159" i="9"/>
  <c r="T159" i="9"/>
  <c r="P159" i="9"/>
  <c r="M159" i="9"/>
  <c r="AK158" i="9"/>
  <c r="AG158" i="9"/>
  <c r="AA158" i="9"/>
  <c r="T158" i="9"/>
  <c r="P158" i="9"/>
  <c r="M158" i="9"/>
  <c r="AK157" i="9"/>
  <c r="AG157" i="9"/>
  <c r="AA157" i="9"/>
  <c r="T157" i="9"/>
  <c r="P157" i="9"/>
  <c r="M157" i="9"/>
  <c r="AK156" i="9"/>
  <c r="AG156" i="9"/>
  <c r="AA156" i="9"/>
  <c r="T156" i="9"/>
  <c r="P156" i="9"/>
  <c r="M156" i="9"/>
  <c r="AK155" i="9"/>
  <c r="AG155" i="9"/>
  <c r="AA155" i="9"/>
  <c r="T155" i="9"/>
  <c r="P155" i="9"/>
  <c r="M155" i="9"/>
  <c r="AK154" i="9"/>
  <c r="AG154" i="9"/>
  <c r="AA154" i="9"/>
  <c r="T154" i="9"/>
  <c r="P154" i="9"/>
  <c r="M154" i="9"/>
  <c r="AK152" i="9"/>
  <c r="AG152" i="9"/>
  <c r="Z152" i="9"/>
  <c r="AA152" i="9" s="1"/>
  <c r="T152" i="9"/>
  <c r="P152" i="9"/>
  <c r="M152" i="9"/>
  <c r="AK151" i="9"/>
  <c r="AG151" i="9"/>
  <c r="AA151" i="9"/>
  <c r="T151" i="9"/>
  <c r="P151" i="9"/>
  <c r="M151" i="9"/>
  <c r="AK150" i="9"/>
  <c r="AG150" i="9"/>
  <c r="AA150" i="9"/>
  <c r="T150" i="9"/>
  <c r="P150" i="9"/>
  <c r="M150" i="9"/>
  <c r="AK149" i="9"/>
  <c r="AG149" i="9"/>
  <c r="AA149" i="9"/>
  <c r="T149" i="9"/>
  <c r="P149" i="9"/>
  <c r="M149" i="9"/>
  <c r="AK148" i="9"/>
  <c r="AG148" i="9"/>
  <c r="AA148" i="9"/>
  <c r="T148" i="9"/>
  <c r="P148" i="9"/>
  <c r="M148" i="9"/>
  <c r="AK147" i="9"/>
  <c r="AG147" i="9"/>
  <c r="AA147" i="9"/>
  <c r="T147" i="9"/>
  <c r="P147" i="9"/>
  <c r="M147" i="9"/>
  <c r="AK145" i="9"/>
  <c r="AG145" i="9"/>
  <c r="AA145" i="9"/>
  <c r="T145" i="9"/>
  <c r="P145" i="9"/>
  <c r="M145" i="9"/>
  <c r="AK144" i="9"/>
  <c r="AG144" i="9"/>
  <c r="AA144" i="9"/>
  <c r="T144" i="9"/>
  <c r="P144" i="9"/>
  <c r="M144" i="9"/>
  <c r="AK143" i="9"/>
  <c r="AG143" i="9"/>
  <c r="AA143" i="9"/>
  <c r="T143" i="9"/>
  <c r="P143" i="9"/>
  <c r="M143" i="9"/>
  <c r="AK142" i="9"/>
  <c r="AG142" i="9"/>
  <c r="AA142" i="9"/>
  <c r="T142" i="9"/>
  <c r="P142" i="9"/>
  <c r="M142" i="9"/>
  <c r="AK141" i="9"/>
  <c r="AG141" i="9"/>
  <c r="AA141" i="9"/>
  <c r="T141" i="9"/>
  <c r="P141" i="9"/>
  <c r="M141" i="9"/>
  <c r="AK140" i="9"/>
  <c r="AG140" i="9"/>
  <c r="AA140" i="9"/>
  <c r="T140" i="9"/>
  <c r="P140" i="9"/>
  <c r="M140" i="9"/>
  <c r="AK138" i="9"/>
  <c r="AG138" i="9"/>
  <c r="AA138" i="9"/>
  <c r="T138" i="9"/>
  <c r="P138" i="9"/>
  <c r="M138" i="9"/>
  <c r="AK137" i="9"/>
  <c r="AG137" i="9"/>
  <c r="AA137" i="9"/>
  <c r="T137" i="9"/>
  <c r="P137" i="9"/>
  <c r="M137" i="9"/>
  <c r="AK136" i="9"/>
  <c r="AG136" i="9"/>
  <c r="AA136" i="9"/>
  <c r="T136" i="9"/>
  <c r="P136" i="9"/>
  <c r="M136" i="9"/>
  <c r="AK135" i="9"/>
  <c r="AG135" i="9"/>
  <c r="AA135" i="9"/>
  <c r="T135" i="9"/>
  <c r="P135" i="9"/>
  <c r="M135" i="9"/>
  <c r="AK134" i="9"/>
  <c r="AG134" i="9"/>
  <c r="AA134" i="9"/>
  <c r="T134" i="9"/>
  <c r="P134" i="9"/>
  <c r="M134" i="9"/>
  <c r="AK133" i="9"/>
  <c r="AG133" i="9"/>
  <c r="AA133" i="9"/>
  <c r="T133" i="9"/>
  <c r="P133" i="9"/>
  <c r="M133" i="9"/>
  <c r="AK131" i="9"/>
  <c r="AG131" i="9"/>
  <c r="AA131" i="9"/>
  <c r="T131" i="9"/>
  <c r="O131" i="9"/>
  <c r="P131" i="9" s="1"/>
  <c r="M131" i="9"/>
  <c r="AK130" i="9"/>
  <c r="AG130" i="9"/>
  <c r="AA130" i="9"/>
  <c r="T130" i="9"/>
  <c r="P130" i="9"/>
  <c r="M130" i="9"/>
  <c r="AK129" i="9"/>
  <c r="AG129" i="9"/>
  <c r="AA129" i="9"/>
  <c r="T129" i="9"/>
  <c r="P129" i="9"/>
  <c r="M129" i="9"/>
  <c r="AK128" i="9"/>
  <c r="AG128" i="9"/>
  <c r="AA128" i="9"/>
  <c r="T128" i="9"/>
  <c r="P128" i="9"/>
  <c r="M128" i="9"/>
  <c r="AK127" i="9"/>
  <c r="AG127" i="9"/>
  <c r="AA127" i="9"/>
  <c r="T127" i="9"/>
  <c r="P127" i="9"/>
  <c r="M127" i="9"/>
  <c r="AK126" i="9"/>
  <c r="AG126" i="9"/>
  <c r="AA126" i="9"/>
  <c r="T126" i="9"/>
  <c r="P126" i="9"/>
  <c r="M126" i="9"/>
  <c r="AK124" i="9"/>
  <c r="AG124" i="9"/>
  <c r="AA124" i="9"/>
  <c r="T124" i="9"/>
  <c r="P124" i="9"/>
  <c r="M124" i="9"/>
  <c r="AK123" i="9"/>
  <c r="AG123" i="9"/>
  <c r="AA123" i="9"/>
  <c r="T123" i="9"/>
  <c r="P123" i="9"/>
  <c r="M123" i="9"/>
  <c r="AK122" i="9"/>
  <c r="AG122" i="9"/>
  <c r="AA122" i="9"/>
  <c r="T122" i="9"/>
  <c r="P122" i="9"/>
  <c r="M122" i="9"/>
  <c r="AK121" i="9"/>
  <c r="AG121" i="9"/>
  <c r="AA121" i="9"/>
  <c r="T121" i="9"/>
  <c r="P121" i="9"/>
  <c r="M121" i="9"/>
  <c r="AK120" i="9"/>
  <c r="AG120" i="9"/>
  <c r="AA120" i="9"/>
  <c r="T120" i="9"/>
  <c r="P120" i="9"/>
  <c r="M120" i="9"/>
  <c r="AK119" i="9"/>
  <c r="AG119" i="9"/>
  <c r="AA119" i="9"/>
  <c r="T119" i="9"/>
  <c r="P119" i="9"/>
  <c r="M119" i="9"/>
  <c r="AK117" i="9"/>
  <c r="AG117" i="9"/>
  <c r="AA117" i="9"/>
  <c r="T117" i="9"/>
  <c r="O117" i="9"/>
  <c r="P117" i="9" s="1"/>
  <c r="M117" i="9"/>
  <c r="AK116" i="9"/>
  <c r="AG116" i="9"/>
  <c r="AA116" i="9"/>
  <c r="T116" i="9"/>
  <c r="P116" i="9"/>
  <c r="M116" i="9"/>
  <c r="AK115" i="9"/>
  <c r="AG115" i="9"/>
  <c r="AA115" i="9"/>
  <c r="T115" i="9"/>
  <c r="P115" i="9"/>
  <c r="M115" i="9"/>
  <c r="AK114" i="9"/>
  <c r="AG114" i="9"/>
  <c r="AA114" i="9"/>
  <c r="T114" i="9"/>
  <c r="P114" i="9"/>
  <c r="M114" i="9"/>
  <c r="AK113" i="9"/>
  <c r="AG113" i="9"/>
  <c r="AA113" i="9"/>
  <c r="T113" i="9"/>
  <c r="P113" i="9"/>
  <c r="M113" i="9"/>
  <c r="AK112" i="9"/>
  <c r="AG112" i="9"/>
  <c r="AA112" i="9"/>
  <c r="T112" i="9"/>
  <c r="P112" i="9"/>
  <c r="M112" i="9"/>
  <c r="AK110" i="9"/>
  <c r="AG110" i="9"/>
  <c r="AA110" i="9"/>
  <c r="T110" i="9"/>
  <c r="P110" i="9"/>
  <c r="M110" i="9"/>
  <c r="AK109" i="9"/>
  <c r="AG109" i="9"/>
  <c r="AA109" i="9"/>
  <c r="T109" i="9"/>
  <c r="P109" i="9"/>
  <c r="M109" i="9"/>
  <c r="AK108" i="9"/>
  <c r="AG108" i="9"/>
  <c r="AA108" i="9"/>
  <c r="T108" i="9"/>
  <c r="P108" i="9"/>
  <c r="M108" i="9"/>
  <c r="AK107" i="9"/>
  <c r="AG107" i="9"/>
  <c r="AA107" i="9"/>
  <c r="T107" i="9"/>
  <c r="P107" i="9"/>
  <c r="M107" i="9"/>
  <c r="AK106" i="9"/>
  <c r="AG106" i="9"/>
  <c r="AA106" i="9"/>
  <c r="T106" i="9"/>
  <c r="P106" i="9"/>
  <c r="M106" i="9"/>
  <c r="AK105" i="9"/>
  <c r="AG105" i="9"/>
  <c r="AA105" i="9"/>
  <c r="T105" i="9"/>
  <c r="P105" i="9"/>
  <c r="M105" i="9"/>
  <c r="AK103" i="9"/>
  <c r="AG103" i="9"/>
  <c r="AA103" i="9"/>
  <c r="T103" i="9"/>
  <c r="P103" i="9"/>
  <c r="M103" i="9"/>
  <c r="AK102" i="9"/>
  <c r="AG102" i="9"/>
  <c r="AA102" i="9"/>
  <c r="T102" i="9"/>
  <c r="P102" i="9"/>
  <c r="M102" i="9"/>
  <c r="AK101" i="9"/>
  <c r="AG101" i="9"/>
  <c r="AA101" i="9"/>
  <c r="T101" i="9"/>
  <c r="P101" i="9"/>
  <c r="M101" i="9"/>
  <c r="AK100" i="9"/>
  <c r="AG100" i="9"/>
  <c r="AA100" i="9"/>
  <c r="T100" i="9"/>
  <c r="P100" i="9"/>
  <c r="M100" i="9"/>
  <c r="AK99" i="9"/>
  <c r="AG99" i="9"/>
  <c r="AA99" i="9"/>
  <c r="T99" i="9"/>
  <c r="P99" i="9"/>
  <c r="M99" i="9"/>
  <c r="AK98" i="9"/>
  <c r="AG98" i="9"/>
  <c r="AA98" i="9"/>
  <c r="T98" i="9"/>
  <c r="P98" i="9"/>
  <c r="M98" i="9"/>
  <c r="AK89" i="9"/>
  <c r="AG89" i="9"/>
  <c r="AA89" i="9"/>
  <c r="T89" i="9"/>
  <c r="P89" i="9"/>
  <c r="M89" i="9"/>
  <c r="AK88" i="9"/>
  <c r="AG88" i="9"/>
  <c r="AA88" i="9"/>
  <c r="T88" i="9"/>
  <c r="P88" i="9"/>
  <c r="M88" i="9"/>
  <c r="AK87" i="9"/>
  <c r="AG87" i="9"/>
  <c r="AA87" i="9"/>
  <c r="T87" i="9"/>
  <c r="P87" i="9"/>
  <c r="M87" i="9"/>
  <c r="AK86" i="9"/>
  <c r="AG86" i="9"/>
  <c r="AA86" i="9"/>
  <c r="T86" i="9"/>
  <c r="P86" i="9"/>
  <c r="M86" i="9"/>
  <c r="AK85" i="9"/>
  <c r="AG85" i="9"/>
  <c r="AA85" i="9"/>
  <c r="T85" i="9"/>
  <c r="P85" i="9"/>
  <c r="M85" i="9"/>
  <c r="AK84" i="9"/>
  <c r="AG84" i="9"/>
  <c r="AA84" i="9"/>
  <c r="T84" i="9"/>
  <c r="P84" i="9"/>
  <c r="M84" i="9"/>
  <c r="AK82" i="9"/>
  <c r="AG82" i="9"/>
  <c r="AA82" i="9"/>
  <c r="T82" i="9"/>
  <c r="P82" i="9"/>
  <c r="M82" i="9"/>
  <c r="AK81" i="9"/>
  <c r="AG81" i="9"/>
  <c r="AA81" i="9"/>
  <c r="T81" i="9"/>
  <c r="P81" i="9"/>
  <c r="M81" i="9"/>
  <c r="AK80" i="9"/>
  <c r="AG80" i="9"/>
  <c r="AA80" i="9"/>
  <c r="T80" i="9"/>
  <c r="P80" i="9"/>
  <c r="M80" i="9"/>
  <c r="AK79" i="9"/>
  <c r="AG79" i="9"/>
  <c r="AA79" i="9"/>
  <c r="T79" i="9"/>
  <c r="P79" i="9"/>
  <c r="M79" i="9"/>
  <c r="AK78" i="9"/>
  <c r="AG78" i="9"/>
  <c r="AA78" i="9"/>
  <c r="T78" i="9"/>
  <c r="P78" i="9"/>
  <c r="M78" i="9"/>
  <c r="AK77" i="9"/>
  <c r="AG77" i="9"/>
  <c r="AA77" i="9"/>
  <c r="T77" i="9"/>
  <c r="P77" i="9"/>
  <c r="M77" i="9"/>
  <c r="AK75" i="9"/>
  <c r="AG75" i="9"/>
  <c r="AA75" i="9"/>
  <c r="T75" i="9"/>
  <c r="P75" i="9"/>
  <c r="M75" i="9"/>
  <c r="AK74" i="9"/>
  <c r="AG74" i="9"/>
  <c r="AA74" i="9"/>
  <c r="T74" i="9"/>
  <c r="P74" i="9"/>
  <c r="M74" i="9"/>
  <c r="AK73" i="9"/>
  <c r="AG73" i="9"/>
  <c r="AA73" i="9"/>
  <c r="T73" i="9"/>
  <c r="P73" i="9"/>
  <c r="M73" i="9"/>
  <c r="AK72" i="9"/>
  <c r="AG72" i="9"/>
  <c r="AA72" i="9"/>
  <c r="T72" i="9"/>
  <c r="P72" i="9"/>
  <c r="M72" i="9"/>
  <c r="AK71" i="9"/>
  <c r="AG71" i="9"/>
  <c r="AA71" i="9"/>
  <c r="T71" i="9"/>
  <c r="N71" i="9"/>
  <c r="P71" i="9" s="1"/>
  <c r="M71" i="9"/>
  <c r="AK70" i="9"/>
  <c r="AG70" i="9"/>
  <c r="AA70" i="9"/>
  <c r="T70" i="9"/>
  <c r="P70" i="9"/>
  <c r="M70" i="9"/>
  <c r="AK68" i="9"/>
  <c r="AG68" i="9"/>
  <c r="AA68" i="9"/>
  <c r="T68" i="9"/>
  <c r="P68" i="9"/>
  <c r="M68" i="9"/>
  <c r="AK67" i="9"/>
  <c r="AG67" i="9"/>
  <c r="AA67" i="9"/>
  <c r="T67" i="9"/>
  <c r="P67" i="9"/>
  <c r="M67" i="9"/>
  <c r="AK66" i="9"/>
  <c r="AG66" i="9"/>
  <c r="AA66" i="9"/>
  <c r="T66" i="9"/>
  <c r="P66" i="9"/>
  <c r="M66" i="9"/>
  <c r="AK65" i="9"/>
  <c r="AG65" i="9"/>
  <c r="AA65" i="9"/>
  <c r="T65" i="9"/>
  <c r="P65" i="9"/>
  <c r="M65" i="9"/>
  <c r="AK64" i="9"/>
  <c r="AG64" i="9"/>
  <c r="AA64" i="9"/>
  <c r="T64" i="9"/>
  <c r="P64" i="9"/>
  <c r="M64" i="9"/>
  <c r="AK63" i="9"/>
  <c r="AG63" i="9"/>
  <c r="AA63" i="9"/>
  <c r="T63" i="9"/>
  <c r="P63" i="9"/>
  <c r="M63" i="9"/>
  <c r="AK61" i="9"/>
  <c r="AG61" i="9"/>
  <c r="AA61" i="9"/>
  <c r="T61" i="9"/>
  <c r="P61" i="9"/>
  <c r="M61" i="9"/>
  <c r="AK60" i="9"/>
  <c r="AG60" i="9"/>
  <c r="AA60" i="9"/>
  <c r="T60" i="9"/>
  <c r="P60" i="9"/>
  <c r="M60" i="9"/>
  <c r="AK59" i="9"/>
  <c r="AG59" i="9"/>
  <c r="AA59" i="9"/>
  <c r="T59" i="9"/>
  <c r="P59" i="9"/>
  <c r="M59" i="9"/>
  <c r="AK58" i="9"/>
  <c r="AG58" i="9"/>
  <c r="AA58" i="9"/>
  <c r="T58" i="9"/>
  <c r="P58" i="9"/>
  <c r="M58" i="9"/>
  <c r="AK57" i="9"/>
  <c r="AG57" i="9"/>
  <c r="AA57" i="9"/>
  <c r="T57" i="9"/>
  <c r="P57" i="9"/>
  <c r="M57" i="9"/>
  <c r="AK56" i="9"/>
  <c r="AG56" i="9"/>
  <c r="AA56" i="9"/>
  <c r="T56" i="9"/>
  <c r="P56" i="9"/>
  <c r="M56" i="9"/>
  <c r="AK54" i="9"/>
  <c r="AG54" i="9"/>
  <c r="AA54" i="9"/>
  <c r="T54" i="9"/>
  <c r="P54" i="9"/>
  <c r="M54" i="9"/>
  <c r="AK53" i="9"/>
  <c r="AG53" i="9"/>
  <c r="AA53" i="9"/>
  <c r="T53" i="9"/>
  <c r="P53" i="9"/>
  <c r="M53" i="9"/>
  <c r="AK52" i="9"/>
  <c r="AG52" i="9"/>
  <c r="AA52" i="9"/>
  <c r="T52" i="9"/>
  <c r="P52" i="9"/>
  <c r="M52" i="9"/>
  <c r="AK51" i="9"/>
  <c r="AG51" i="9"/>
  <c r="AA51" i="9"/>
  <c r="T51" i="9"/>
  <c r="P51" i="9"/>
  <c r="M51" i="9"/>
  <c r="AK50" i="9"/>
  <c r="AG50" i="9"/>
  <c r="AA50" i="9"/>
  <c r="T50" i="9"/>
  <c r="P50" i="9"/>
  <c r="M50" i="9"/>
  <c r="AK49" i="9"/>
  <c r="AG49" i="9"/>
  <c r="AA49" i="9"/>
  <c r="T49" i="9"/>
  <c r="P49" i="9"/>
  <c r="M49" i="9"/>
  <c r="U40" i="9" l="1"/>
  <c r="AL151" i="9"/>
  <c r="AL78" i="9"/>
  <c r="U57" i="9"/>
  <c r="U75" i="9"/>
  <c r="AL79" i="9"/>
  <c r="AL84" i="9"/>
  <c r="AL142" i="9"/>
  <c r="U154" i="9"/>
  <c r="AL143" i="9"/>
  <c r="U87" i="9"/>
  <c r="U113" i="9"/>
  <c r="U141" i="9"/>
  <c r="AL53" i="9"/>
  <c r="U71" i="9"/>
  <c r="AL123" i="9"/>
  <c r="AL137" i="9"/>
  <c r="AL147" i="9"/>
  <c r="AL157" i="9"/>
  <c r="U59" i="9"/>
  <c r="U68" i="9"/>
  <c r="AL86" i="9"/>
  <c r="AL98" i="9"/>
  <c r="AL112" i="9"/>
  <c r="U114" i="9"/>
  <c r="AL116" i="9"/>
  <c r="AL154" i="9"/>
  <c r="AL87" i="9"/>
  <c r="AL124" i="9"/>
  <c r="U157" i="9"/>
  <c r="AL81" i="9"/>
  <c r="AL119" i="9"/>
  <c r="U89" i="9"/>
  <c r="U50" i="9"/>
  <c r="AL107" i="9"/>
  <c r="AL133" i="9"/>
  <c r="AL102" i="9"/>
  <c r="U105" i="9"/>
  <c r="U109" i="9"/>
  <c r="U120" i="9"/>
  <c r="U66" i="9"/>
  <c r="AL140" i="9"/>
  <c r="AL63" i="9"/>
  <c r="AL105" i="9"/>
  <c r="AL115" i="9"/>
  <c r="AL159" i="9"/>
  <c r="AL51" i="9"/>
  <c r="U73" i="9"/>
  <c r="AL75" i="9"/>
  <c r="U79" i="9"/>
  <c r="U85" i="9"/>
  <c r="AL99" i="9"/>
  <c r="AL110" i="9"/>
  <c r="AL121" i="9"/>
  <c r="U124" i="9"/>
  <c r="U129" i="9"/>
  <c r="U135" i="9"/>
  <c r="U145" i="9"/>
  <c r="AL148" i="9"/>
  <c r="AL158" i="9"/>
  <c r="U84" i="9"/>
  <c r="AL103" i="9"/>
  <c r="U108" i="9"/>
  <c r="AL109" i="9"/>
  <c r="U140" i="9"/>
  <c r="U150" i="9"/>
  <c r="AL50" i="9"/>
  <c r="AL59" i="9"/>
  <c r="AL68" i="9"/>
  <c r="U88" i="9"/>
  <c r="U101" i="9"/>
  <c r="U106" i="9"/>
  <c r="AL114" i="9"/>
  <c r="U117" i="9"/>
  <c r="AL120" i="9"/>
  <c r="U144" i="9"/>
  <c r="U82" i="9"/>
  <c r="U100" i="9"/>
  <c r="AL129" i="9"/>
  <c r="AL135" i="9"/>
  <c r="U149" i="9"/>
  <c r="AL64" i="9"/>
  <c r="U122" i="9"/>
  <c r="U131" i="9"/>
  <c r="AL54" i="9"/>
  <c r="AL73" i="9"/>
  <c r="U61" i="9"/>
  <c r="AL72" i="9"/>
  <c r="AL88" i="9"/>
  <c r="U99" i="9"/>
  <c r="U115" i="9"/>
  <c r="U121" i="9"/>
  <c r="U127" i="9"/>
  <c r="AL128" i="9"/>
  <c r="AL134" i="9"/>
  <c r="AL144" i="9"/>
  <c r="AL156" i="9"/>
  <c r="U158" i="9"/>
  <c r="U51" i="9"/>
  <c r="U60" i="9"/>
  <c r="U70" i="9"/>
  <c r="AL57" i="9"/>
  <c r="AL66" i="9"/>
  <c r="AL82" i="9"/>
  <c r="AL100" i="9"/>
  <c r="AL101" i="9"/>
  <c r="U103" i="9"/>
  <c r="AL106" i="9"/>
  <c r="U126" i="9"/>
  <c r="U130" i="9"/>
  <c r="U136" i="9"/>
  <c r="AL138" i="9"/>
  <c r="AL149" i="9"/>
  <c r="AL155" i="9"/>
  <c r="U67" i="9"/>
  <c r="U53" i="9"/>
  <c r="AL61" i="9"/>
  <c r="U65" i="9"/>
  <c r="U78" i="9"/>
  <c r="U86" i="9"/>
  <c r="U102" i="9"/>
  <c r="AL108" i="9"/>
  <c r="U123" i="9"/>
  <c r="U134" i="9"/>
  <c r="U152" i="9"/>
  <c r="AL49" i="9"/>
  <c r="AL56" i="9"/>
  <c r="U64" i="9"/>
  <c r="U72" i="9"/>
  <c r="AL74" i="9"/>
  <c r="AL80" i="9"/>
  <c r="AL89" i="9"/>
  <c r="U112" i="9"/>
  <c r="AL117" i="9"/>
  <c r="AL127" i="9"/>
  <c r="U133" i="9"/>
  <c r="U142" i="9"/>
  <c r="U151" i="9"/>
  <c r="U110" i="9"/>
  <c r="AL126" i="9"/>
  <c r="AL136" i="9"/>
  <c r="AL145" i="9"/>
  <c r="AL60" i="9"/>
  <c r="U52" i="9"/>
  <c r="U58" i="9"/>
  <c r="U77" i="9"/>
  <c r="AL58" i="9"/>
  <c r="U81" i="9"/>
  <c r="U128" i="9"/>
  <c r="AL52" i="9"/>
  <c r="U56" i="9"/>
  <c r="U98" i="9"/>
  <c r="AL113" i="9"/>
  <c r="U119" i="9"/>
  <c r="U138" i="9"/>
  <c r="U148" i="9"/>
  <c r="U159" i="9"/>
  <c r="U49" i="9"/>
  <c r="U54" i="9"/>
  <c r="U63" i="9"/>
  <c r="AL65" i="9"/>
  <c r="AL71" i="9"/>
  <c r="U74" i="9"/>
  <c r="AL77" i="9"/>
  <c r="AL85" i="9"/>
  <c r="U107" i="9"/>
  <c r="U116" i="9"/>
  <c r="AL122" i="9"/>
  <c r="U137" i="9"/>
  <c r="U147" i="9"/>
  <c r="U156" i="9"/>
  <c r="AL130" i="9"/>
  <c r="AL131" i="9"/>
  <c r="AL141" i="9"/>
  <c r="AL150" i="9"/>
  <c r="AL152" i="9"/>
  <c r="AL70" i="9"/>
  <c r="AL67" i="9"/>
  <c r="U80" i="9"/>
  <c r="U143" i="9"/>
  <c r="U155" i="9"/>
  <c r="AM50" i="9" l="1"/>
  <c r="G57" i="9" s="1"/>
  <c r="I57" i="9" s="1"/>
  <c r="AO57" i="9" s="1"/>
  <c r="AM57" i="9" s="1"/>
  <c r="AM53" i="9"/>
  <c r="G60" i="9" s="1"/>
  <c r="I60" i="9" s="1"/>
  <c r="AO60" i="9" s="1"/>
  <c r="AM60" i="9" s="1"/>
  <c r="AM52" i="9"/>
  <c r="G59" i="9" s="1"/>
  <c r="I59" i="9" s="1"/>
  <c r="AO59" i="9" s="1"/>
  <c r="AM59" i="9" s="1"/>
  <c r="AM54" i="9"/>
  <c r="G61" i="9" s="1"/>
  <c r="I61" i="9" s="1"/>
  <c r="AO61" i="9" s="1"/>
  <c r="AM61" i="9" s="1"/>
  <c r="AM51" i="9"/>
  <c r="G58" i="9" s="1"/>
  <c r="I58" i="9" s="1"/>
  <c r="AO58" i="9" s="1"/>
  <c r="AM58" i="9" s="1"/>
  <c r="AM49" i="9"/>
  <c r="G56" i="9" s="1"/>
  <c r="I56" i="9" s="1"/>
  <c r="AO56" i="9" s="1"/>
  <c r="AM56" i="9" s="1"/>
  <c r="G64" i="9" l="1"/>
  <c r="G63" i="9"/>
  <c r="G65" i="9"/>
  <c r="G68" i="9"/>
  <c r="G67" i="9"/>
  <c r="G66" i="9"/>
  <c r="Y43" i="1"/>
  <c r="Y39" i="1"/>
  <c r="S119" i="2"/>
  <c r="AJ117" i="2"/>
  <c r="AI117" i="2"/>
  <c r="AH117" i="2"/>
  <c r="AF117" i="2"/>
  <c r="AE117" i="2"/>
  <c r="AD117" i="2"/>
  <c r="AC117" i="2"/>
  <c r="AB117" i="2"/>
  <c r="T117" i="2"/>
  <c r="Q117" i="2"/>
  <c r="P117" i="2"/>
  <c r="O117" i="2"/>
  <c r="F117" i="2"/>
  <c r="AK115" i="2"/>
  <c r="AG115" i="2"/>
  <c r="AA115" i="2"/>
  <c r="R115" i="2"/>
  <c r="N115" i="2"/>
  <c r="I115" i="2"/>
  <c r="AK114" i="2"/>
  <c r="AG114" i="2"/>
  <c r="AA114" i="2"/>
  <c r="R114" i="2"/>
  <c r="N114" i="2"/>
  <c r="I114" i="2"/>
  <c r="AK113" i="2"/>
  <c r="AG113" i="2"/>
  <c r="AA113" i="2"/>
  <c r="R113" i="2"/>
  <c r="N113" i="2"/>
  <c r="I113" i="2"/>
  <c r="AK112" i="2"/>
  <c r="AG112" i="2"/>
  <c r="AA112" i="2"/>
  <c r="R112" i="2"/>
  <c r="N112" i="2"/>
  <c r="I112" i="2"/>
  <c r="AK111" i="2"/>
  <c r="AG111" i="2"/>
  <c r="AA111" i="2"/>
  <c r="R111" i="2"/>
  <c r="N111" i="2"/>
  <c r="I111" i="2"/>
  <c r="AK110" i="2"/>
  <c r="AG110" i="2"/>
  <c r="AA110" i="2"/>
  <c r="R110" i="2"/>
  <c r="N110" i="2"/>
  <c r="I110" i="2"/>
  <c r="Z108" i="2"/>
  <c r="AA108" i="2" s="1"/>
  <c r="AK108" i="2"/>
  <c r="AG108" i="2"/>
  <c r="R108" i="2"/>
  <c r="N108" i="2"/>
  <c r="I108" i="2"/>
  <c r="AK107" i="2"/>
  <c r="AG107" i="2"/>
  <c r="AA107" i="2"/>
  <c r="R107" i="2"/>
  <c r="N107" i="2"/>
  <c r="I107" i="2"/>
  <c r="AK106" i="2"/>
  <c r="AG106" i="2"/>
  <c r="AA106" i="2"/>
  <c r="R106" i="2"/>
  <c r="N106" i="2"/>
  <c r="I106" i="2"/>
  <c r="AK105" i="2"/>
  <c r="AG105" i="2"/>
  <c r="AA105" i="2"/>
  <c r="R105" i="2"/>
  <c r="N105" i="2"/>
  <c r="I105" i="2"/>
  <c r="S105" i="2" s="1"/>
  <c r="AK104" i="2"/>
  <c r="AG104" i="2"/>
  <c r="AA104" i="2"/>
  <c r="R104" i="2"/>
  <c r="N104" i="2"/>
  <c r="I104" i="2"/>
  <c r="AK103" i="2"/>
  <c r="AG103" i="2"/>
  <c r="AA103" i="2"/>
  <c r="R103" i="2"/>
  <c r="N103" i="2"/>
  <c r="I103" i="2"/>
  <c r="AK101" i="2"/>
  <c r="AG101" i="2"/>
  <c r="AA101" i="2"/>
  <c r="R101" i="2"/>
  <c r="N101" i="2"/>
  <c r="I101" i="2"/>
  <c r="AK100" i="2"/>
  <c r="AG100" i="2"/>
  <c r="AA100" i="2"/>
  <c r="R100" i="2"/>
  <c r="N100" i="2"/>
  <c r="I100" i="2"/>
  <c r="AK99" i="2"/>
  <c r="AG99" i="2"/>
  <c r="AA99" i="2"/>
  <c r="R99" i="2"/>
  <c r="N99" i="2"/>
  <c r="I99" i="2"/>
  <c r="AK98" i="2"/>
  <c r="AG98" i="2"/>
  <c r="AA98" i="2"/>
  <c r="R98" i="2"/>
  <c r="N98" i="2"/>
  <c r="I98" i="2"/>
  <c r="AK97" i="2"/>
  <c r="AG97" i="2"/>
  <c r="AA97" i="2"/>
  <c r="R97" i="2"/>
  <c r="N97" i="2"/>
  <c r="I97" i="2"/>
  <c r="AK96" i="2"/>
  <c r="AG96" i="2"/>
  <c r="AA96" i="2"/>
  <c r="R96" i="2"/>
  <c r="N96" i="2"/>
  <c r="I96" i="2"/>
  <c r="AK94" i="2"/>
  <c r="AG94" i="2"/>
  <c r="AA94" i="2"/>
  <c r="R94" i="2"/>
  <c r="N94" i="2"/>
  <c r="I94" i="2"/>
  <c r="AK93" i="2"/>
  <c r="AG93" i="2"/>
  <c r="AA93" i="2"/>
  <c r="R93" i="2"/>
  <c r="N93" i="2"/>
  <c r="I93" i="2"/>
  <c r="AK92" i="2"/>
  <c r="AG92" i="2"/>
  <c r="AA92" i="2"/>
  <c r="R92" i="2"/>
  <c r="N92" i="2"/>
  <c r="I92" i="2"/>
  <c r="AK91" i="2"/>
  <c r="AG91" i="2"/>
  <c r="AL91" i="2" s="1"/>
  <c r="AA91" i="2"/>
  <c r="R91" i="2"/>
  <c r="N91" i="2"/>
  <c r="I91" i="2"/>
  <c r="AK90" i="2"/>
  <c r="AG90" i="2"/>
  <c r="AA90" i="2"/>
  <c r="R90" i="2"/>
  <c r="N90" i="2"/>
  <c r="I90" i="2"/>
  <c r="AK89" i="2"/>
  <c r="AG89" i="2"/>
  <c r="AA89" i="2"/>
  <c r="R89" i="2"/>
  <c r="N89" i="2"/>
  <c r="I89" i="2"/>
  <c r="M87" i="2"/>
  <c r="N87" i="2" s="1"/>
  <c r="AK87" i="2"/>
  <c r="AG87" i="2"/>
  <c r="AA87" i="2"/>
  <c r="AL87" i="2" s="1"/>
  <c r="R87" i="2"/>
  <c r="I87" i="2"/>
  <c r="AK86" i="2"/>
  <c r="AG86" i="2"/>
  <c r="AA86" i="2"/>
  <c r="R86" i="2"/>
  <c r="N86" i="2"/>
  <c r="I86" i="2"/>
  <c r="AK85" i="2"/>
  <c r="AG85" i="2"/>
  <c r="AA85" i="2"/>
  <c r="R85" i="2"/>
  <c r="N85" i="2"/>
  <c r="I85" i="2"/>
  <c r="AK84" i="2"/>
  <c r="AG84" i="2"/>
  <c r="AA84" i="2"/>
  <c r="R84" i="2"/>
  <c r="N84" i="2"/>
  <c r="I84" i="2"/>
  <c r="AK83" i="2"/>
  <c r="AG83" i="2"/>
  <c r="AA83" i="2"/>
  <c r="R83" i="2"/>
  <c r="N83" i="2"/>
  <c r="I83" i="2"/>
  <c r="AK82" i="2"/>
  <c r="AG82" i="2"/>
  <c r="AA82" i="2"/>
  <c r="AL82" i="2" s="1"/>
  <c r="R82" i="2"/>
  <c r="N82" i="2"/>
  <c r="I82" i="2"/>
  <c r="AK80" i="2"/>
  <c r="AG80" i="2"/>
  <c r="AA80" i="2"/>
  <c r="R80" i="2"/>
  <c r="N80" i="2"/>
  <c r="I80" i="2"/>
  <c r="AK79" i="2"/>
  <c r="AG79" i="2"/>
  <c r="AA79" i="2"/>
  <c r="R79" i="2"/>
  <c r="N79" i="2"/>
  <c r="I79" i="2"/>
  <c r="AK78" i="2"/>
  <c r="AG78" i="2"/>
  <c r="AA78" i="2"/>
  <c r="R78" i="2"/>
  <c r="N78" i="2"/>
  <c r="I78" i="2"/>
  <c r="AK77" i="2"/>
  <c r="AG77" i="2"/>
  <c r="AA77" i="2"/>
  <c r="R77" i="2"/>
  <c r="N77" i="2"/>
  <c r="I77" i="2"/>
  <c r="AK76" i="2"/>
  <c r="AG76" i="2"/>
  <c r="AA76" i="2"/>
  <c r="R76" i="2"/>
  <c r="N76" i="2"/>
  <c r="I76" i="2"/>
  <c r="AK75" i="2"/>
  <c r="AG75" i="2"/>
  <c r="AA75" i="2"/>
  <c r="R75" i="2"/>
  <c r="N75" i="2"/>
  <c r="I75" i="2"/>
  <c r="M73" i="2"/>
  <c r="N73" i="2" s="1"/>
  <c r="G61" i="2"/>
  <c r="I61" i="2" s="1"/>
  <c r="AK73" i="2"/>
  <c r="AG73" i="2"/>
  <c r="AA73" i="2"/>
  <c r="R73" i="2"/>
  <c r="I73" i="2"/>
  <c r="AK72" i="2"/>
  <c r="AG72" i="2"/>
  <c r="AA72" i="2"/>
  <c r="R72" i="2"/>
  <c r="N72" i="2"/>
  <c r="I72" i="2"/>
  <c r="AK71" i="2"/>
  <c r="AG71" i="2"/>
  <c r="AA71" i="2"/>
  <c r="R71" i="2"/>
  <c r="N71" i="2"/>
  <c r="I71" i="2"/>
  <c r="AK70" i="2"/>
  <c r="AG70" i="2"/>
  <c r="AA70" i="2"/>
  <c r="R70" i="2"/>
  <c r="N70" i="2"/>
  <c r="I70" i="2"/>
  <c r="AK69" i="2"/>
  <c r="AG69" i="2"/>
  <c r="AA69" i="2"/>
  <c r="R69" i="2"/>
  <c r="N69" i="2"/>
  <c r="I69" i="2"/>
  <c r="AK68" i="2"/>
  <c r="AG68" i="2"/>
  <c r="AA68" i="2"/>
  <c r="R68" i="2"/>
  <c r="N68" i="2"/>
  <c r="I68" i="2"/>
  <c r="AK66" i="2"/>
  <c r="AG66" i="2"/>
  <c r="AA66" i="2"/>
  <c r="R66" i="2"/>
  <c r="N66" i="2"/>
  <c r="I66" i="2"/>
  <c r="AK65" i="2"/>
  <c r="AG65" i="2"/>
  <c r="AA65" i="2"/>
  <c r="R65" i="2"/>
  <c r="N65" i="2"/>
  <c r="I65" i="2"/>
  <c r="AK64" i="2"/>
  <c r="AG64" i="2"/>
  <c r="AA64" i="2"/>
  <c r="R64" i="2"/>
  <c r="N64" i="2"/>
  <c r="I64" i="2"/>
  <c r="AK63" i="2"/>
  <c r="AG63" i="2"/>
  <c r="AA63" i="2"/>
  <c r="R63" i="2"/>
  <c r="N63" i="2"/>
  <c r="I63" i="2"/>
  <c r="AK62" i="2"/>
  <c r="AG62" i="2"/>
  <c r="AA62" i="2"/>
  <c r="R62" i="2"/>
  <c r="N62" i="2"/>
  <c r="I62" i="2"/>
  <c r="AK61" i="2"/>
  <c r="AG61" i="2"/>
  <c r="AA61" i="2"/>
  <c r="R61" i="2"/>
  <c r="N61" i="2"/>
  <c r="L57" i="2"/>
  <c r="N57" i="2" s="1"/>
  <c r="K44" i="2"/>
  <c r="N44" i="2" s="1"/>
  <c r="K43" i="2"/>
  <c r="N43" i="2" s="1"/>
  <c r="J34" i="2"/>
  <c r="N34" i="2" s="1"/>
  <c r="AK59" i="2"/>
  <c r="AG59" i="2"/>
  <c r="AA59" i="2"/>
  <c r="R59" i="2"/>
  <c r="N59" i="2"/>
  <c r="I59" i="2"/>
  <c r="AK58" i="2"/>
  <c r="AG58" i="2"/>
  <c r="AA58" i="2"/>
  <c r="R58" i="2"/>
  <c r="N58" i="2"/>
  <c r="I58" i="2"/>
  <c r="AK57" i="2"/>
  <c r="AG57" i="2"/>
  <c r="AA57" i="2"/>
  <c r="R57" i="2"/>
  <c r="I57" i="2"/>
  <c r="AK56" i="2"/>
  <c r="AG56" i="2"/>
  <c r="AA56" i="2"/>
  <c r="R56" i="2"/>
  <c r="N56" i="2"/>
  <c r="I56" i="2"/>
  <c r="AK55" i="2"/>
  <c r="AG55" i="2"/>
  <c r="AA55" i="2"/>
  <c r="R55" i="2"/>
  <c r="N55" i="2"/>
  <c r="I55" i="2"/>
  <c r="AK54" i="2"/>
  <c r="AG54" i="2"/>
  <c r="AA54" i="2"/>
  <c r="R54" i="2"/>
  <c r="N54" i="2"/>
  <c r="I54" i="2"/>
  <c r="AK52" i="2"/>
  <c r="AG52" i="2"/>
  <c r="AA52" i="2"/>
  <c r="R52" i="2"/>
  <c r="N52" i="2"/>
  <c r="I52" i="2"/>
  <c r="AK51" i="2"/>
  <c r="AG51" i="2"/>
  <c r="AA51" i="2"/>
  <c r="R51" i="2"/>
  <c r="N51" i="2"/>
  <c r="I51" i="2"/>
  <c r="AK50" i="2"/>
  <c r="AG50" i="2"/>
  <c r="AA50" i="2"/>
  <c r="R50" i="2"/>
  <c r="N50" i="2"/>
  <c r="I50" i="2"/>
  <c r="AK49" i="2"/>
  <c r="AG49" i="2"/>
  <c r="AA49" i="2"/>
  <c r="R49" i="2"/>
  <c r="N49" i="2"/>
  <c r="I49" i="2"/>
  <c r="AK48" i="2"/>
  <c r="AG48" i="2"/>
  <c r="AA48" i="2"/>
  <c r="R48" i="2"/>
  <c r="N48" i="2"/>
  <c r="I48" i="2"/>
  <c r="AK47" i="2"/>
  <c r="AG47" i="2"/>
  <c r="AA47" i="2"/>
  <c r="R47" i="2"/>
  <c r="N47" i="2"/>
  <c r="I47" i="2"/>
  <c r="AK45" i="2"/>
  <c r="AG45" i="2"/>
  <c r="AA45" i="2"/>
  <c r="R45" i="2"/>
  <c r="N45" i="2"/>
  <c r="I45" i="2"/>
  <c r="AK44" i="2"/>
  <c r="AG44" i="2"/>
  <c r="AA44" i="2"/>
  <c r="R44" i="2"/>
  <c r="I44" i="2"/>
  <c r="AK43" i="2"/>
  <c r="AG43" i="2"/>
  <c r="AA43" i="2"/>
  <c r="R43" i="2"/>
  <c r="I43" i="2"/>
  <c r="AK42" i="2"/>
  <c r="AG42" i="2"/>
  <c r="AA42" i="2"/>
  <c r="R42" i="2"/>
  <c r="N42" i="2"/>
  <c r="I42" i="2"/>
  <c r="AK41" i="2"/>
  <c r="AG41" i="2"/>
  <c r="AA41" i="2"/>
  <c r="R41" i="2"/>
  <c r="N41" i="2"/>
  <c r="I41" i="2"/>
  <c r="AK40" i="2"/>
  <c r="AG40" i="2"/>
  <c r="AA40" i="2"/>
  <c r="R40" i="2"/>
  <c r="N40" i="2"/>
  <c r="I40" i="2"/>
  <c r="AK38" i="2"/>
  <c r="AG38" i="2"/>
  <c r="AA38" i="2"/>
  <c r="R38" i="2"/>
  <c r="N38" i="2"/>
  <c r="I38" i="2"/>
  <c r="AK37" i="2"/>
  <c r="AG37" i="2"/>
  <c r="AA37" i="2"/>
  <c r="R37" i="2"/>
  <c r="N37" i="2"/>
  <c r="I37" i="2"/>
  <c r="AK36" i="2"/>
  <c r="AG36" i="2"/>
  <c r="AA36" i="2"/>
  <c r="R36" i="2"/>
  <c r="N36" i="2"/>
  <c r="I36" i="2"/>
  <c r="AK35" i="2"/>
  <c r="AG35" i="2"/>
  <c r="AA35" i="2"/>
  <c r="R35" i="2"/>
  <c r="N35" i="2"/>
  <c r="I35" i="2"/>
  <c r="AK34" i="2"/>
  <c r="AG34" i="2"/>
  <c r="AA34" i="2"/>
  <c r="R34" i="2"/>
  <c r="I34" i="2"/>
  <c r="AK33" i="2"/>
  <c r="AG33" i="2"/>
  <c r="AA33" i="2"/>
  <c r="R33" i="2"/>
  <c r="N33" i="2"/>
  <c r="I33" i="2"/>
  <c r="AK31" i="2"/>
  <c r="AG31" i="2"/>
  <c r="AA31" i="2"/>
  <c r="R31" i="2"/>
  <c r="N31" i="2"/>
  <c r="I31" i="2"/>
  <c r="AK30" i="2"/>
  <c r="AG30" i="2"/>
  <c r="AA30" i="2"/>
  <c r="R30" i="2"/>
  <c r="N30" i="2"/>
  <c r="I30" i="2"/>
  <c r="AK29" i="2"/>
  <c r="AG29" i="2"/>
  <c r="AA29" i="2"/>
  <c r="R29" i="2"/>
  <c r="N29" i="2"/>
  <c r="I29" i="2"/>
  <c r="AK28" i="2"/>
  <c r="AG28" i="2"/>
  <c r="AA28" i="2"/>
  <c r="R28" i="2"/>
  <c r="N28" i="2"/>
  <c r="I28" i="2"/>
  <c r="AK27" i="2"/>
  <c r="AG27" i="2"/>
  <c r="AA27" i="2"/>
  <c r="R27" i="2"/>
  <c r="N27" i="2"/>
  <c r="I27" i="2"/>
  <c r="AK26" i="2"/>
  <c r="AG26" i="2"/>
  <c r="AA26" i="2"/>
  <c r="R26" i="2"/>
  <c r="N26" i="2"/>
  <c r="I26" i="2"/>
  <c r="AK16" i="2"/>
  <c r="AG16" i="2"/>
  <c r="AA16" i="2"/>
  <c r="R16" i="2"/>
  <c r="N16" i="2"/>
  <c r="I16" i="2"/>
  <c r="AK23" i="2"/>
  <c r="AL23" i="2" s="1"/>
  <c r="AG23" i="2"/>
  <c r="AA23" i="2"/>
  <c r="R23" i="2"/>
  <c r="N23" i="2"/>
  <c r="I23" i="2"/>
  <c r="AK13" i="2"/>
  <c r="AG13" i="2"/>
  <c r="AA13" i="2"/>
  <c r="R13" i="2"/>
  <c r="N13" i="2"/>
  <c r="I13" i="2"/>
  <c r="AK24" i="2"/>
  <c r="AG24" i="2"/>
  <c r="AA24" i="2"/>
  <c r="R24" i="2"/>
  <c r="N24" i="2"/>
  <c r="I24" i="2"/>
  <c r="AK22" i="2"/>
  <c r="AG22" i="2"/>
  <c r="AA22" i="2"/>
  <c r="R22" i="2"/>
  <c r="N22" i="2"/>
  <c r="I22" i="2"/>
  <c r="AK21" i="2"/>
  <c r="AG21" i="2"/>
  <c r="AA21" i="2"/>
  <c r="R21" i="2"/>
  <c r="N21" i="2"/>
  <c r="I21" i="2"/>
  <c r="AK20" i="2"/>
  <c r="AG20" i="2"/>
  <c r="AA20" i="2"/>
  <c r="R20" i="2"/>
  <c r="N20" i="2"/>
  <c r="I20" i="2"/>
  <c r="AK19" i="2"/>
  <c r="AG19" i="2"/>
  <c r="AA19" i="2"/>
  <c r="R19" i="2"/>
  <c r="N19" i="2"/>
  <c r="I19" i="2"/>
  <c r="AK17" i="2"/>
  <c r="AG17" i="2"/>
  <c r="AA17" i="2"/>
  <c r="R17" i="2"/>
  <c r="N17" i="2"/>
  <c r="I17" i="2"/>
  <c r="AK15" i="2"/>
  <c r="AG15" i="2"/>
  <c r="AA15" i="2"/>
  <c r="R15" i="2"/>
  <c r="N15" i="2"/>
  <c r="I15" i="2"/>
  <c r="AK14" i="2"/>
  <c r="AG14" i="2"/>
  <c r="AA14" i="2"/>
  <c r="R14" i="2"/>
  <c r="N14" i="2"/>
  <c r="I14" i="2"/>
  <c r="AK12" i="2"/>
  <c r="AG12" i="2"/>
  <c r="AA12" i="2"/>
  <c r="R12" i="2"/>
  <c r="N12" i="2"/>
  <c r="I12" i="2"/>
  <c r="AL38" i="2" l="1"/>
  <c r="S66" i="2"/>
  <c r="S71" i="2"/>
  <c r="AL83" i="2"/>
  <c r="AL97" i="2"/>
  <c r="AL77" i="2"/>
  <c r="AL106" i="2"/>
  <c r="S113" i="2"/>
  <c r="AG117" i="2"/>
  <c r="AG118" i="2" s="1"/>
  <c r="S84" i="2"/>
  <c r="AL86" i="2"/>
  <c r="S94" i="2"/>
  <c r="AL104" i="2"/>
  <c r="S107" i="2"/>
  <c r="AL44" i="2"/>
  <c r="AL49" i="2"/>
  <c r="S34" i="2"/>
  <c r="AL73" i="2"/>
  <c r="S77" i="2"/>
  <c r="S92" i="2"/>
  <c r="S103" i="2"/>
  <c r="R117" i="2"/>
  <c r="S117" i="2" s="1"/>
  <c r="AK117" i="2"/>
  <c r="S26" i="2"/>
  <c r="AL117" i="2"/>
  <c r="AL24" i="2"/>
  <c r="AL101" i="2"/>
  <c r="AL20" i="2"/>
  <c r="S29" i="2"/>
  <c r="AL40" i="2"/>
  <c r="AL57" i="2"/>
  <c r="AL64" i="2"/>
  <c r="AL69" i="2"/>
  <c r="AL75" i="2"/>
  <c r="S83" i="2"/>
  <c r="S90" i="2"/>
  <c r="S110" i="2"/>
  <c r="S114" i="2"/>
  <c r="F118" i="2"/>
  <c r="S33" i="2"/>
  <c r="S59" i="2"/>
  <c r="AL68" i="2"/>
  <c r="S89" i="2"/>
  <c r="S93" i="2"/>
  <c r="AL96" i="2"/>
  <c r="S99" i="2"/>
  <c r="AL100" i="2"/>
  <c r="S108" i="2"/>
  <c r="AL111" i="2"/>
  <c r="AL47" i="2"/>
  <c r="AL48" i="2"/>
  <c r="AL51" i="2"/>
  <c r="S65" i="2"/>
  <c r="S70" i="2"/>
  <c r="S61" i="2"/>
  <c r="S76" i="2"/>
  <c r="AL78" i="2"/>
  <c r="S80" i="2"/>
  <c r="S86" i="2"/>
  <c r="AL94" i="2"/>
  <c r="S98" i="2"/>
  <c r="AL99" i="2"/>
  <c r="AL105" i="2"/>
  <c r="AL22" i="2"/>
  <c r="S36" i="2"/>
  <c r="AL37" i="2"/>
  <c r="S54" i="2"/>
  <c r="AL56" i="2"/>
  <c r="S58" i="2"/>
  <c r="AL59" i="2"/>
  <c r="S85" i="2"/>
  <c r="S91" i="2"/>
  <c r="S106" i="2"/>
  <c r="S111" i="2"/>
  <c r="S115" i="2"/>
  <c r="S35" i="2"/>
  <c r="AL45" i="2"/>
  <c r="AL36" i="2"/>
  <c r="AL41" i="2"/>
  <c r="S63" i="2"/>
  <c r="AL76" i="2"/>
  <c r="S79" i="2"/>
  <c r="AL108" i="2"/>
  <c r="AL113" i="2"/>
  <c r="I66" i="9"/>
  <c r="AO66" i="9" s="1"/>
  <c r="AM66" i="9" s="1"/>
  <c r="G73" i="9" s="1"/>
  <c r="I67" i="9"/>
  <c r="AO67" i="9" s="1"/>
  <c r="AM67" i="9" s="1"/>
  <c r="I68" i="9"/>
  <c r="AO68" i="9" s="1"/>
  <c r="AM68" i="9" s="1"/>
  <c r="I65" i="9"/>
  <c r="AO65" i="9" s="1"/>
  <c r="AM65" i="9" s="1"/>
  <c r="G72" i="9" s="1"/>
  <c r="I64" i="9"/>
  <c r="AO64" i="9" s="1"/>
  <c r="AM64" i="9" s="1"/>
  <c r="G71" i="9" s="1"/>
  <c r="I63" i="9"/>
  <c r="AO63" i="9" s="1"/>
  <c r="G74" i="9"/>
  <c r="G75" i="9"/>
  <c r="AL19" i="2"/>
  <c r="S22" i="2"/>
  <c r="S16" i="2"/>
  <c r="AL27" i="2"/>
  <c r="S30" i="2"/>
  <c r="AL31" i="2"/>
  <c r="S49" i="2"/>
  <c r="S55" i="2"/>
  <c r="AL71" i="2"/>
  <c r="S96" i="2"/>
  <c r="AL103" i="2"/>
  <c r="S21" i="2"/>
  <c r="AL26" i="2"/>
  <c r="AL30" i="2"/>
  <c r="AL35" i="2"/>
  <c r="S40" i="2"/>
  <c r="AL55" i="2"/>
  <c r="AL65" i="2"/>
  <c r="AL66" i="2"/>
  <c r="AL70" i="2"/>
  <c r="S78" i="2"/>
  <c r="S82" i="2"/>
  <c r="AL98" i="2"/>
  <c r="S112" i="2"/>
  <c r="S87" i="2"/>
  <c r="S20" i="2"/>
  <c r="AL21" i="2"/>
  <c r="S23" i="2"/>
  <c r="AL34" i="2"/>
  <c r="S37" i="2"/>
  <c r="S42" i="2"/>
  <c r="S47" i="2"/>
  <c r="S51" i="2"/>
  <c r="S62" i="2"/>
  <c r="AL63" i="2"/>
  <c r="S72" i="2"/>
  <c r="AL93" i="2"/>
  <c r="S101" i="2"/>
  <c r="AL50" i="2"/>
  <c r="S19" i="2"/>
  <c r="S24" i="2"/>
  <c r="AL29" i="2"/>
  <c r="AL43" i="2"/>
  <c r="AL58" i="2"/>
  <c r="AL62" i="2"/>
  <c r="S69" i="2"/>
  <c r="S75" i="2"/>
  <c r="AL79" i="2"/>
  <c r="AL80" i="2"/>
  <c r="AL85" i="2"/>
  <c r="AL90" i="2"/>
  <c r="AL92" i="2"/>
  <c r="S104" i="2"/>
  <c r="AL110" i="2"/>
  <c r="AL114" i="2"/>
  <c r="S27" i="2"/>
  <c r="AL28" i="2"/>
  <c r="S31" i="2"/>
  <c r="AL33" i="2"/>
  <c r="AL61" i="2"/>
  <c r="S68" i="2"/>
  <c r="AL72" i="2"/>
  <c r="AL84" i="2"/>
  <c r="AL89" i="2"/>
  <c r="S97" i="2"/>
  <c r="S100" i="2"/>
  <c r="AL107" i="2"/>
  <c r="AL112" i="2"/>
  <c r="AL115" i="2"/>
  <c r="S73" i="2"/>
  <c r="S64" i="2"/>
  <c r="S44" i="2"/>
  <c r="S28" i="2"/>
  <c r="S43" i="2"/>
  <c r="S38" i="2"/>
  <c r="S48" i="2"/>
  <c r="S52" i="2"/>
  <c r="S57" i="2"/>
  <c r="S41" i="2"/>
  <c r="S45" i="2"/>
  <c r="S56" i="2"/>
  <c r="S50" i="2"/>
  <c r="S14" i="2"/>
  <c r="AL54" i="2"/>
  <c r="AL52" i="2"/>
  <c r="AL42" i="2"/>
  <c r="AL16" i="2"/>
  <c r="AL15" i="2"/>
  <c r="S13" i="2"/>
  <c r="AL14" i="2"/>
  <c r="AL13" i="2"/>
  <c r="S12" i="2"/>
  <c r="AL17" i="2"/>
  <c r="AL12" i="2"/>
  <c r="S17" i="2"/>
  <c r="S15" i="2"/>
  <c r="AM15" i="2" s="1"/>
  <c r="R36" i="1"/>
  <c r="V33" i="1"/>
  <c r="V30" i="1"/>
  <c r="V27" i="1"/>
  <c r="P33" i="1"/>
  <c r="P30" i="1"/>
  <c r="P27" i="1"/>
  <c r="P24" i="1"/>
  <c r="V24" i="1"/>
  <c r="U36" i="1"/>
  <c r="T36" i="1"/>
  <c r="S20" i="1"/>
  <c r="S36" i="1" s="1"/>
  <c r="Q20" i="1"/>
  <c r="Q36" i="1" s="1"/>
  <c r="P45" i="1"/>
  <c r="K45" i="1"/>
  <c r="V43" i="1"/>
  <c r="P43" i="1"/>
  <c r="M36" i="1"/>
  <c r="V39" i="1"/>
  <c r="P39" i="1"/>
  <c r="K41" i="1"/>
  <c r="L20" i="1"/>
  <c r="L36" i="1" s="1"/>
  <c r="K34" i="1"/>
  <c r="K35" i="1" s="1"/>
  <c r="K31" i="1"/>
  <c r="K32" i="1" s="1"/>
  <c r="K28" i="1"/>
  <c r="K29" i="1" s="1"/>
  <c r="K25" i="1"/>
  <c r="K26" i="1" s="1"/>
  <c r="K20" i="1"/>
  <c r="W30" i="1" l="1"/>
  <c r="X30" i="1" s="1"/>
  <c r="W33" i="1"/>
  <c r="AM16" i="2"/>
  <c r="E23" i="2" s="1"/>
  <c r="AM13" i="2"/>
  <c r="AM63" i="9"/>
  <c r="G70" i="9" s="1"/>
  <c r="I70" i="9" s="1"/>
  <c r="AO70" i="9" s="1"/>
  <c r="I72" i="9"/>
  <c r="AO72" i="9" s="1"/>
  <c r="AM72" i="9" s="1"/>
  <c r="I75" i="9"/>
  <c r="AO75" i="9" s="1"/>
  <c r="AM75" i="9" s="1"/>
  <c r="I73" i="9"/>
  <c r="AO73" i="9" s="1"/>
  <c r="AM73" i="9" s="1"/>
  <c r="G80" i="9" s="1"/>
  <c r="I71" i="9"/>
  <c r="AO71" i="9" s="1"/>
  <c r="AM71" i="9" s="1"/>
  <c r="G78" i="9" s="1"/>
  <c r="I74" i="9"/>
  <c r="AO74" i="9" s="1"/>
  <c r="AM74" i="9" s="1"/>
  <c r="G81" i="9" s="1"/>
  <c r="G79" i="9"/>
  <c r="G82" i="9"/>
  <c r="Y45" i="1"/>
  <c r="Y44" i="1" s="1"/>
  <c r="R44" i="1" s="1"/>
  <c r="R45" i="1" s="1"/>
  <c r="Y41" i="1"/>
  <c r="Y40" i="1" s="1"/>
  <c r="Y20" i="1"/>
  <c r="S118" i="2"/>
  <c r="AM14" i="2"/>
  <c r="AM17" i="2"/>
  <c r="E24" i="2" s="1"/>
  <c r="AM24" i="2" s="1"/>
  <c r="E31" i="2" s="1"/>
  <c r="AM31" i="2" s="1"/>
  <c r="E38" i="2" s="1"/>
  <c r="AM38" i="2" s="1"/>
  <c r="E45" i="2" s="1"/>
  <c r="AM45" i="2" s="1"/>
  <c r="E52" i="2" s="1"/>
  <c r="AM52" i="2" s="1"/>
  <c r="E59" i="2" s="1"/>
  <c r="AM59" i="2" s="1"/>
  <c r="E66" i="2" s="1"/>
  <c r="AM66" i="2" s="1"/>
  <c r="E73" i="2" s="1"/>
  <c r="AM73" i="2" s="1"/>
  <c r="E80" i="2" s="1"/>
  <c r="AM80" i="2" s="1"/>
  <c r="E87" i="2" s="1"/>
  <c r="AM87" i="2" s="1"/>
  <c r="E94" i="2" s="1"/>
  <c r="AM94" i="2" s="1"/>
  <c r="E101" i="2" s="1"/>
  <c r="AM101" i="2" s="1"/>
  <c r="E108" i="2" s="1"/>
  <c r="AM108" i="2" s="1"/>
  <c r="E115" i="2" s="1"/>
  <c r="AM115" i="2" s="1"/>
  <c r="E21" i="2"/>
  <c r="AM21" i="2" s="1"/>
  <c r="E28" i="2" s="1"/>
  <c r="AM28" i="2" s="1"/>
  <c r="E35" i="2" s="1"/>
  <c r="AM35" i="2" s="1"/>
  <c r="E42" i="2" s="1"/>
  <c r="AM42" i="2" s="1"/>
  <c r="E49" i="2" s="1"/>
  <c r="AM49" i="2" s="1"/>
  <c r="E56" i="2" s="1"/>
  <c r="AM56" i="2" s="1"/>
  <c r="E63" i="2" s="1"/>
  <c r="AM63" i="2" s="1"/>
  <c r="E70" i="2" s="1"/>
  <c r="AM70" i="2" s="1"/>
  <c r="E77" i="2" s="1"/>
  <c r="AM77" i="2" s="1"/>
  <c r="E84" i="2" s="1"/>
  <c r="AM84" i="2" s="1"/>
  <c r="E91" i="2" s="1"/>
  <c r="AM91" i="2" s="1"/>
  <c r="E98" i="2" s="1"/>
  <c r="AM98" i="2" s="1"/>
  <c r="E105" i="2" s="1"/>
  <c r="AM105" i="2" s="1"/>
  <c r="E112" i="2" s="1"/>
  <c r="AM112" i="2" s="1"/>
  <c r="E20" i="2"/>
  <c r="AM20" i="2" s="1"/>
  <c r="E27" i="2" s="1"/>
  <c r="AM27" i="2" s="1"/>
  <c r="E34" i="2" s="1"/>
  <c r="AM34" i="2" s="1"/>
  <c r="E41" i="2" s="1"/>
  <c r="AM41" i="2" s="1"/>
  <c r="E48" i="2" s="1"/>
  <c r="AM48" i="2" s="1"/>
  <c r="E55" i="2" s="1"/>
  <c r="AM55" i="2" s="1"/>
  <c r="E62" i="2" s="1"/>
  <c r="AM62" i="2" s="1"/>
  <c r="E69" i="2" s="1"/>
  <c r="AM69" i="2" s="1"/>
  <c r="E76" i="2" s="1"/>
  <c r="AM76" i="2" s="1"/>
  <c r="E83" i="2" s="1"/>
  <c r="AM83" i="2" s="1"/>
  <c r="E90" i="2" s="1"/>
  <c r="AM90" i="2" s="1"/>
  <c r="E97" i="2" s="1"/>
  <c r="AM97" i="2" s="1"/>
  <c r="E104" i="2" s="1"/>
  <c r="AM104" i="2" s="1"/>
  <c r="E111" i="2" s="1"/>
  <c r="AM111" i="2" s="1"/>
  <c r="AM12" i="2"/>
  <c r="E19" i="2" s="1"/>
  <c r="E22" i="2"/>
  <c r="AM22" i="2" s="1"/>
  <c r="E29" i="2" s="1"/>
  <c r="AM29" i="2" s="1"/>
  <c r="E36" i="2" s="1"/>
  <c r="AM36" i="2" s="1"/>
  <c r="E43" i="2" s="1"/>
  <c r="AM43" i="2" s="1"/>
  <c r="E50" i="2" s="1"/>
  <c r="AM50" i="2" s="1"/>
  <c r="E57" i="2" s="1"/>
  <c r="AM57" i="2" s="1"/>
  <c r="E64" i="2" s="1"/>
  <c r="AM64" i="2" s="1"/>
  <c r="E71" i="2" s="1"/>
  <c r="AM71" i="2" s="1"/>
  <c r="E78" i="2" s="1"/>
  <c r="AM78" i="2" s="1"/>
  <c r="E85" i="2" s="1"/>
  <c r="AM85" i="2" s="1"/>
  <c r="E92" i="2" s="1"/>
  <c r="AM92" i="2" s="1"/>
  <c r="E99" i="2" s="1"/>
  <c r="AM99" i="2" s="1"/>
  <c r="E106" i="2" s="1"/>
  <c r="AM106" i="2" s="1"/>
  <c r="E113" i="2" s="1"/>
  <c r="AM113" i="2" s="1"/>
  <c r="AM23" i="2"/>
  <c r="E30" i="2" s="1"/>
  <c r="AM30" i="2" s="1"/>
  <c r="E37" i="2" s="1"/>
  <c r="AM37" i="2" s="1"/>
  <c r="E44" i="2" s="1"/>
  <c r="AM44" i="2" s="1"/>
  <c r="E51" i="2" s="1"/>
  <c r="AM51" i="2" s="1"/>
  <c r="E58" i="2" s="1"/>
  <c r="AM58" i="2" s="1"/>
  <c r="E65" i="2" s="1"/>
  <c r="AM65" i="2" s="1"/>
  <c r="E72" i="2" s="1"/>
  <c r="AM72" i="2" s="1"/>
  <c r="E79" i="2" s="1"/>
  <c r="AM79" i="2" s="1"/>
  <c r="E86" i="2" s="1"/>
  <c r="AM86" i="2" s="1"/>
  <c r="E93" i="2" s="1"/>
  <c r="AM93" i="2" s="1"/>
  <c r="E100" i="2" s="1"/>
  <c r="AM100" i="2" s="1"/>
  <c r="E107" i="2" s="1"/>
  <c r="AM107" i="2" s="1"/>
  <c r="E114" i="2" s="1"/>
  <c r="AM114" i="2" s="1"/>
  <c r="W44" i="1"/>
  <c r="W43" i="1"/>
  <c r="P44" i="1"/>
  <c r="K22" i="1"/>
  <c r="Y22" i="1" s="1"/>
  <c r="W27" i="1"/>
  <c r="L21" i="1"/>
  <c r="K36" i="1"/>
  <c r="P20" i="1"/>
  <c r="W39" i="1"/>
  <c r="W24" i="1"/>
  <c r="V20" i="1"/>
  <c r="V36" i="1" s="1"/>
  <c r="X33" i="1" l="1"/>
  <c r="X24" i="1"/>
  <c r="X27" i="1"/>
  <c r="AM19" i="2"/>
  <c r="E26" i="2" s="1"/>
  <c r="AM26" i="2" s="1"/>
  <c r="E33" i="2" s="1"/>
  <c r="AM33" i="2" s="1"/>
  <c r="E40" i="2" s="1"/>
  <c r="AM40" i="2" s="1"/>
  <c r="E47" i="2" s="1"/>
  <c r="AM47" i="2" s="1"/>
  <c r="E54" i="2" s="1"/>
  <c r="AM54" i="2" s="1"/>
  <c r="E61" i="2" s="1"/>
  <c r="AM61" i="2" s="1"/>
  <c r="E68" i="2" s="1"/>
  <c r="AM68" i="2" s="1"/>
  <c r="E75" i="2" s="1"/>
  <c r="AM75" i="2" s="1"/>
  <c r="E82" i="2" s="1"/>
  <c r="AM82" i="2" s="1"/>
  <c r="E89" i="2" s="1"/>
  <c r="AM89" i="2" s="1"/>
  <c r="E96" i="2" s="1"/>
  <c r="AM96" i="2" s="1"/>
  <c r="E103" i="2" s="1"/>
  <c r="AM103" i="2" s="1"/>
  <c r="E110" i="2" s="1"/>
  <c r="AM110" i="2" s="1"/>
  <c r="E117" i="2"/>
  <c r="AM70" i="9"/>
  <c r="G77" i="9" s="1"/>
  <c r="I77" i="9" s="1"/>
  <c r="AO77" i="9" s="1"/>
  <c r="I78" i="9"/>
  <c r="AO78" i="9" s="1"/>
  <c r="AM78" i="9" s="1"/>
  <c r="I80" i="9"/>
  <c r="AO80" i="9" s="1"/>
  <c r="AM80" i="9" s="1"/>
  <c r="I82" i="9"/>
  <c r="AO82" i="9" s="1"/>
  <c r="AM82" i="9" s="1"/>
  <c r="I79" i="9"/>
  <c r="AO79" i="9" s="1"/>
  <c r="AM79" i="9" s="1"/>
  <c r="I81" i="9"/>
  <c r="AO81" i="9" s="1"/>
  <c r="AM81" i="9" s="1"/>
  <c r="G87" i="9"/>
  <c r="W45" i="1"/>
  <c r="Q45" i="1" s="1"/>
  <c r="Q44" i="1" s="1"/>
  <c r="X43" i="1"/>
  <c r="L28" i="1"/>
  <c r="L29" i="1" s="1"/>
  <c r="L25" i="1"/>
  <c r="L26" i="1" s="1"/>
  <c r="L34" i="1"/>
  <c r="L35" i="1" s="1"/>
  <c r="L31" i="1"/>
  <c r="L32" i="1" s="1"/>
  <c r="K37" i="1"/>
  <c r="Y21" i="1"/>
  <c r="R21" i="1" s="1"/>
  <c r="P36" i="1"/>
  <c r="X39" i="1"/>
  <c r="W20" i="1"/>
  <c r="R34" i="1" l="1"/>
  <c r="R35" i="1" s="1"/>
  <c r="R22" i="1"/>
  <c r="AM118" i="2"/>
  <c r="AM117" i="2"/>
  <c r="G86" i="9"/>
  <c r="G88" i="9"/>
  <c r="G89" i="9"/>
  <c r="I89" i="9" s="1"/>
  <c r="AO89" i="9" s="1"/>
  <c r="AM89" i="9" s="1"/>
  <c r="G85" i="9"/>
  <c r="I85" i="9" s="1"/>
  <c r="AO85" i="9" s="1"/>
  <c r="AM85" i="9" s="1"/>
  <c r="AM77" i="9"/>
  <c r="I86" i="9"/>
  <c r="AO86" i="9" s="1"/>
  <c r="AM86" i="9" s="1"/>
  <c r="I87" i="9"/>
  <c r="AO87" i="9" s="1"/>
  <c r="AM87" i="9" s="1"/>
  <c r="I88" i="9"/>
  <c r="AO88" i="9" s="1"/>
  <c r="AM88" i="9" s="1"/>
  <c r="V45" i="1"/>
  <c r="V44" i="1" s="1"/>
  <c r="L37" i="1"/>
  <c r="X20" i="1"/>
  <c r="W36" i="1"/>
  <c r="AM119" i="2" l="1"/>
  <c r="AN117" i="2"/>
  <c r="AD118" i="2"/>
  <c r="AD119" i="2" s="1"/>
  <c r="AH118" i="2"/>
  <c r="AH119" i="2" s="1"/>
  <c r="AJ118" i="2"/>
  <c r="AJ119" i="2" s="1"/>
  <c r="AE118" i="2"/>
  <c r="AE119" i="2" s="1"/>
  <c r="AF118" i="2"/>
  <c r="AF119" i="2" s="1"/>
  <c r="AI118" i="2"/>
  <c r="AI119" i="2" s="1"/>
  <c r="AC118" i="2"/>
  <c r="AC119" i="2" s="1"/>
  <c r="G92" i="9"/>
  <c r="I92" i="9" s="1"/>
  <c r="AO92" i="9" s="1"/>
  <c r="AM92" i="9" s="1"/>
  <c r="G99" i="9" s="1"/>
  <c r="I99" i="9" s="1"/>
  <c r="AO99" i="9" s="1"/>
  <c r="AM99" i="9" s="1"/>
  <c r="G106" i="9" s="1"/>
  <c r="G94" i="9"/>
  <c r="I94" i="9" s="1"/>
  <c r="AO94" i="9" s="1"/>
  <c r="AM94" i="9" s="1"/>
  <c r="G101" i="9" s="1"/>
  <c r="I101" i="9" s="1"/>
  <c r="AO101" i="9" s="1"/>
  <c r="AM101" i="9" s="1"/>
  <c r="G108" i="9" s="1"/>
  <c r="G93" i="9"/>
  <c r="I93" i="9" s="1"/>
  <c r="AO93" i="9" s="1"/>
  <c r="AM93" i="9" s="1"/>
  <c r="G100" i="9" s="1"/>
  <c r="I100" i="9" s="1"/>
  <c r="AO100" i="9" s="1"/>
  <c r="AM100" i="9" s="1"/>
  <c r="G107" i="9" s="1"/>
  <c r="G95" i="9"/>
  <c r="I95" i="9" s="1"/>
  <c r="AO95" i="9" s="1"/>
  <c r="AM95" i="9" s="1"/>
  <c r="G102" i="9" s="1"/>
  <c r="I102" i="9" s="1"/>
  <c r="AO102" i="9" s="1"/>
  <c r="AM102" i="9" s="1"/>
  <c r="G109" i="9" s="1"/>
  <c r="G96" i="9"/>
  <c r="I96" i="9" s="1"/>
  <c r="AO96" i="9" s="1"/>
  <c r="AM96" i="9" s="1"/>
  <c r="G103" i="9" s="1"/>
  <c r="I103" i="9" s="1"/>
  <c r="AO103" i="9" s="1"/>
  <c r="AM103" i="9" s="1"/>
  <c r="G110" i="9" s="1"/>
  <c r="G84" i="9"/>
  <c r="I84" i="9" s="1"/>
  <c r="AO84" i="9" s="1"/>
  <c r="AM84" i="9" s="1"/>
  <c r="X45" i="1"/>
  <c r="AK119" i="2" l="1"/>
  <c r="AK118" i="2" s="1"/>
  <c r="AG119" i="2"/>
  <c r="T119" i="2" s="1"/>
  <c r="AL119" i="2" s="1"/>
  <c r="G91" i="9"/>
  <c r="I91" i="9" s="1"/>
  <c r="AO91" i="9" s="1"/>
  <c r="AM91" i="9" s="1"/>
  <c r="G98" i="9" s="1"/>
  <c r="I98" i="9" s="1"/>
  <c r="AO98" i="9" s="1"/>
  <c r="AM98" i="9" s="1"/>
  <c r="G105" i="9" s="1"/>
  <c r="I105" i="9" s="1"/>
  <c r="AO105" i="9" s="1"/>
  <c r="I107" i="9"/>
  <c r="AO107" i="9" s="1"/>
  <c r="AM107" i="9" s="1"/>
  <c r="G114" i="9" s="1"/>
  <c r="I106" i="9"/>
  <c r="AO106" i="9" s="1"/>
  <c r="AM106" i="9" s="1"/>
  <c r="G113" i="9" s="1"/>
  <c r="I108" i="9"/>
  <c r="AO108" i="9" s="1"/>
  <c r="AM108" i="9" s="1"/>
  <c r="G115" i="9" s="1"/>
  <c r="I109" i="9"/>
  <c r="AO109" i="9" s="1"/>
  <c r="AM109" i="9" s="1"/>
  <c r="G116" i="9" s="1"/>
  <c r="I110" i="9"/>
  <c r="AO110" i="9" s="1"/>
  <c r="AM110" i="9" s="1"/>
  <c r="G117" i="9" s="1"/>
  <c r="T118" i="2" l="1"/>
  <c r="AM105" i="9"/>
  <c r="G112" i="9" s="1"/>
  <c r="I112" i="9" s="1"/>
  <c r="AO112" i="9" s="1"/>
  <c r="I116" i="9"/>
  <c r="AO116" i="9" s="1"/>
  <c r="AM116" i="9" s="1"/>
  <c r="G123" i="9" s="1"/>
  <c r="I115" i="9"/>
  <c r="AO115" i="9" s="1"/>
  <c r="AM115" i="9" s="1"/>
  <c r="G122" i="9" s="1"/>
  <c r="I117" i="9"/>
  <c r="AO117" i="9" s="1"/>
  <c r="AM117" i="9" s="1"/>
  <c r="G124" i="9" s="1"/>
  <c r="I114" i="9"/>
  <c r="AO114" i="9" s="1"/>
  <c r="AM114" i="9" s="1"/>
  <c r="G121" i="9" s="1"/>
  <c r="I113" i="9"/>
  <c r="AO113" i="9" s="1"/>
  <c r="AM113" i="9" s="1"/>
  <c r="G120" i="9" s="1"/>
  <c r="AL118" i="2"/>
  <c r="AN119" i="2"/>
  <c r="M41" i="1"/>
  <c r="P41" i="1" s="1"/>
  <c r="R37" i="1"/>
  <c r="M40" i="1" l="1"/>
  <c r="AM112" i="9"/>
  <c r="G119" i="9" s="1"/>
  <c r="I119" i="9" s="1"/>
  <c r="AO119" i="9" s="1"/>
  <c r="I121" i="9"/>
  <c r="AO121" i="9" s="1"/>
  <c r="AM121" i="9" s="1"/>
  <c r="G128" i="9" s="1"/>
  <c r="I124" i="9"/>
  <c r="AO124" i="9" s="1"/>
  <c r="AM124" i="9" s="1"/>
  <c r="G131" i="9" s="1"/>
  <c r="I122" i="9"/>
  <c r="AO122" i="9" s="1"/>
  <c r="AM122" i="9" s="1"/>
  <c r="G129" i="9" s="1"/>
  <c r="I123" i="9"/>
  <c r="AO123" i="9" s="1"/>
  <c r="AM123" i="9" s="1"/>
  <c r="G130" i="9" s="1"/>
  <c r="I120" i="9"/>
  <c r="AO120" i="9" s="1"/>
  <c r="AM120" i="9" s="1"/>
  <c r="G127" i="9" s="1"/>
  <c r="R40" i="1"/>
  <c r="R41" i="1" s="1"/>
  <c r="M22" i="1" s="1"/>
  <c r="M21" i="1" s="1"/>
  <c r="P40" i="1"/>
  <c r="W41" i="1"/>
  <c r="M25" i="1" l="1"/>
  <c r="M26" i="1" s="1"/>
  <c r="M31" i="1"/>
  <c r="M32" i="1" s="1"/>
  <c r="M28" i="1"/>
  <c r="M29" i="1" s="1"/>
  <c r="M34" i="1"/>
  <c r="M35" i="1" s="1"/>
  <c r="AM119" i="9"/>
  <c r="G126" i="9" s="1"/>
  <c r="I126" i="9" s="1"/>
  <c r="AO126" i="9" s="1"/>
  <c r="I130" i="9"/>
  <c r="AO130" i="9" s="1"/>
  <c r="AM130" i="9" s="1"/>
  <c r="G137" i="9" s="1"/>
  <c r="I129" i="9"/>
  <c r="AO129" i="9" s="1"/>
  <c r="AM129" i="9" s="1"/>
  <c r="G136" i="9" s="1"/>
  <c r="I131" i="9"/>
  <c r="AO131" i="9" s="1"/>
  <c r="AM131" i="9" s="1"/>
  <c r="G138" i="9" s="1"/>
  <c r="I127" i="9"/>
  <c r="AO127" i="9" s="1"/>
  <c r="AM127" i="9" s="1"/>
  <c r="G134" i="9" s="1"/>
  <c r="I128" i="9"/>
  <c r="AO128" i="9" s="1"/>
  <c r="AM128" i="9" s="1"/>
  <c r="G135" i="9" s="1"/>
  <c r="Q41" i="1"/>
  <c r="Q40" i="1" s="1"/>
  <c r="P22" i="1"/>
  <c r="AM126" i="9" l="1"/>
  <c r="G133" i="9" s="1"/>
  <c r="I133" i="9" s="1"/>
  <c r="AO133" i="9" s="1"/>
  <c r="I134" i="9"/>
  <c r="AO134" i="9" s="1"/>
  <c r="AM134" i="9" s="1"/>
  <c r="G141" i="9" s="1"/>
  <c r="I138" i="9"/>
  <c r="AO138" i="9" s="1"/>
  <c r="AM138" i="9" s="1"/>
  <c r="G145" i="9" s="1"/>
  <c r="I135" i="9"/>
  <c r="AO135" i="9" s="1"/>
  <c r="AM135" i="9" s="1"/>
  <c r="G142" i="9" s="1"/>
  <c r="I137" i="9"/>
  <c r="AO137" i="9" s="1"/>
  <c r="AM137" i="9" s="1"/>
  <c r="G144" i="9" s="1"/>
  <c r="I136" i="9"/>
  <c r="AO136" i="9" s="1"/>
  <c r="AM136" i="9" s="1"/>
  <c r="G143" i="9" s="1"/>
  <c r="V41" i="1"/>
  <c r="V40" i="1" s="1"/>
  <c r="P21" i="1"/>
  <c r="W21" i="1"/>
  <c r="P29" i="1"/>
  <c r="P28" i="1" s="1"/>
  <c r="P32" i="1"/>
  <c r="P31" i="1" s="1"/>
  <c r="P35" i="1"/>
  <c r="P34" i="1" s="1"/>
  <c r="T21" i="1" l="1"/>
  <c r="U21" i="1"/>
  <c r="W28" i="1"/>
  <c r="W29" i="1" s="1"/>
  <c r="W25" i="1"/>
  <c r="W26" i="1" s="1"/>
  <c r="W31" i="1"/>
  <c r="W32" i="1" s="1"/>
  <c r="W34" i="1"/>
  <c r="W35" i="1" s="1"/>
  <c r="AM133" i="9"/>
  <c r="G140" i="9" s="1"/>
  <c r="I140" i="9" s="1"/>
  <c r="AO140" i="9" s="1"/>
  <c r="I144" i="9"/>
  <c r="AO144" i="9" s="1"/>
  <c r="AM144" i="9" s="1"/>
  <c r="G151" i="9" s="1"/>
  <c r="I142" i="9"/>
  <c r="AO142" i="9" s="1"/>
  <c r="AM142" i="9" s="1"/>
  <c r="G149" i="9" s="1"/>
  <c r="I141" i="9"/>
  <c r="AO141" i="9" s="1"/>
  <c r="AM141" i="9" s="1"/>
  <c r="G148" i="9" s="1"/>
  <c r="I145" i="9"/>
  <c r="AO145" i="9" s="1"/>
  <c r="AM145" i="9" s="1"/>
  <c r="G152" i="9" s="1"/>
  <c r="I143" i="9"/>
  <c r="AO143" i="9" s="1"/>
  <c r="AM143" i="9" s="1"/>
  <c r="G150" i="9" s="1"/>
  <c r="X41" i="1"/>
  <c r="P26" i="1"/>
  <c r="M37" i="1"/>
  <c r="W22" i="1"/>
  <c r="S21" i="1"/>
  <c r="U25" i="1" l="1"/>
  <c r="U26" i="1" s="1"/>
  <c r="U28" i="1"/>
  <c r="U29" i="1" s="1"/>
  <c r="U34" i="1"/>
  <c r="U35" i="1" s="1"/>
  <c r="U22" i="1"/>
  <c r="U31" i="1"/>
  <c r="U32" i="1" s="1"/>
  <c r="T22" i="1"/>
  <c r="T25" i="1"/>
  <c r="T26" i="1" s="1"/>
  <c r="T28" i="1"/>
  <c r="T29" i="1" s="1"/>
  <c r="T31" i="1"/>
  <c r="T32" i="1" s="1"/>
  <c r="T34" i="1"/>
  <c r="T35" i="1" s="1"/>
  <c r="AM140" i="9"/>
  <c r="G147" i="9" s="1"/>
  <c r="I147" i="9" s="1"/>
  <c r="AO147" i="9" s="1"/>
  <c r="I152" i="9"/>
  <c r="AO152" i="9" s="1"/>
  <c r="AM152" i="9" s="1"/>
  <c r="G159" i="9" s="1"/>
  <c r="I149" i="9"/>
  <c r="AO149" i="9" s="1"/>
  <c r="AM149" i="9" s="1"/>
  <c r="G156" i="9" s="1"/>
  <c r="I148" i="9"/>
  <c r="AO148" i="9" s="1"/>
  <c r="AM148" i="9" s="1"/>
  <c r="G155" i="9" s="1"/>
  <c r="I150" i="9"/>
  <c r="AO150" i="9" s="1"/>
  <c r="AM150" i="9" s="1"/>
  <c r="G157" i="9" s="1"/>
  <c r="I151" i="9"/>
  <c r="AO151" i="9" s="1"/>
  <c r="AM151" i="9" s="1"/>
  <c r="G158" i="9" s="1"/>
  <c r="P25" i="1"/>
  <c r="P37" i="1"/>
  <c r="S28" i="1"/>
  <c r="S29" i="1" s="1"/>
  <c r="S34" i="1"/>
  <c r="S35" i="1" s="1"/>
  <c r="S25" i="1"/>
  <c r="S26" i="1" s="1"/>
  <c r="S22" i="1"/>
  <c r="S31" i="1"/>
  <c r="S32" i="1" s="1"/>
  <c r="AM147" i="9" l="1"/>
  <c r="G154" i="9" s="1"/>
  <c r="I154" i="9" s="1"/>
  <c r="AO154" i="9" s="1"/>
  <c r="AM154" i="9" s="1"/>
  <c r="I157" i="9"/>
  <c r="AO157" i="9" s="1"/>
  <c r="AM157" i="9" s="1"/>
  <c r="I155" i="9"/>
  <c r="AO155" i="9" s="1"/>
  <c r="AM155" i="9" s="1"/>
  <c r="I159" i="9"/>
  <c r="AO159" i="9" s="1"/>
  <c r="AM159" i="9" s="1"/>
  <c r="I156" i="9"/>
  <c r="AO156" i="9" s="1"/>
  <c r="AM156" i="9" s="1"/>
  <c r="I158" i="9"/>
  <c r="AO158" i="9" s="1"/>
  <c r="AM158" i="9" s="1"/>
  <c r="Q22" i="1"/>
  <c r="T37" i="1"/>
  <c r="S37" i="1"/>
  <c r="U37" i="1"/>
  <c r="Q21" i="1" l="1"/>
  <c r="V22" i="1"/>
  <c r="V21" i="1" l="1"/>
  <c r="X22" i="1"/>
  <c r="Q34" i="1"/>
  <c r="Q35" i="1" s="1"/>
  <c r="V35" i="1" s="1"/>
  <c r="Q28" i="1"/>
  <c r="Q29" i="1" s="1"/>
  <c r="V29" i="1" s="1"/>
  <c r="Q25" i="1"/>
  <c r="Q26" i="1" s="1"/>
  <c r="Q31" i="1"/>
  <c r="Q32" i="1" s="1"/>
  <c r="V32" i="1" s="1"/>
  <c r="V26" i="1" l="1"/>
  <c r="Q37" i="1"/>
  <c r="V31" i="1"/>
  <c r="V28" i="1"/>
  <c r="V34" i="1"/>
  <c r="X35" i="1" l="1"/>
  <c r="X29" i="1"/>
  <c r="X32" i="1"/>
  <c r="V25" i="1"/>
  <c r="V37" i="1"/>
  <c r="W37" i="1" l="1"/>
  <c r="X26" i="1"/>
  <c r="AA40" i="9"/>
  <c r="AL40" i="9" s="1"/>
  <c r="AO40" i="9" s="1"/>
  <c r="AA34" i="9"/>
  <c r="AL34" i="9" s="1"/>
  <c r="AO34" i="9" s="1"/>
  <c r="AM34" i="9" s="1"/>
  <c r="AA28" i="9"/>
  <c r="AL28" i="9" s="1"/>
  <c r="AO28" i="9" l="1"/>
  <c r="AM28" i="9" s="1"/>
  <c r="AM40" i="9" s="1"/>
  <c r="J18" i="30"/>
  <c r="X28" i="30"/>
  <c r="X42" i="30" s="1"/>
  <c r="J27" i="30"/>
  <c r="L28" i="30" l="1"/>
  <c r="L42" i="30" s="1"/>
  <c r="J28" i="30"/>
  <c r="AA28" i="30"/>
  <c r="K29" i="30" l="1"/>
  <c r="J42" i="30"/>
  <c r="AA42" i="30"/>
  <c r="AC28" i="30"/>
  <c r="AC42" i="30" s="1"/>
  <c r="AK28" i="30"/>
  <c r="AM28" i="30" s="1"/>
  <c r="AN28" i="30" s="1"/>
  <c r="AE28" i="30" s="1"/>
  <c r="AH28" i="30"/>
  <c r="AD28" i="30" l="1"/>
  <c r="AD42" i="30" s="1"/>
  <c r="AE42" i="30"/>
  <c r="AC29" i="30"/>
</calcChain>
</file>

<file path=xl/sharedStrings.xml><?xml version="1.0" encoding="utf-8"?>
<sst xmlns="http://schemas.openxmlformats.org/spreadsheetml/2006/main" count="4799" uniqueCount="1631">
  <si>
    <t>AXXXXXXXXX</t>
    <phoneticPr fontId="2" type="noConversion"/>
  </si>
  <si>
    <t>기초</t>
    <phoneticPr fontId="2" type="noConversion"/>
  </si>
  <si>
    <t>수량</t>
    <phoneticPr fontId="2" type="noConversion"/>
  </si>
  <si>
    <t>원가</t>
    <phoneticPr fontId="2" type="noConversion"/>
  </si>
  <si>
    <t>단가</t>
    <phoneticPr fontId="2" type="noConversion"/>
  </si>
  <si>
    <t>입고</t>
    <phoneticPr fontId="2" type="noConversion"/>
  </si>
  <si>
    <t>대체입고</t>
    <phoneticPr fontId="2" type="noConversion"/>
  </si>
  <si>
    <t>관리입고</t>
    <phoneticPr fontId="2" type="noConversion"/>
  </si>
  <si>
    <t>과부족</t>
    <phoneticPr fontId="2" type="noConversion"/>
  </si>
  <si>
    <t>재고조정</t>
    <phoneticPr fontId="2" type="noConversion"/>
  </si>
  <si>
    <t>출고</t>
    <phoneticPr fontId="2" type="noConversion"/>
  </si>
  <si>
    <t>판매</t>
    <phoneticPr fontId="2" type="noConversion"/>
  </si>
  <si>
    <t>대체출고</t>
    <phoneticPr fontId="2" type="noConversion"/>
  </si>
  <si>
    <t>입고계</t>
    <phoneticPr fontId="2" type="noConversion"/>
  </si>
  <si>
    <t>출고계</t>
    <phoneticPr fontId="2" type="noConversion"/>
  </si>
  <si>
    <t xml:space="preserve"> </t>
    <phoneticPr fontId="2" type="noConversion"/>
  </si>
  <si>
    <t>기말</t>
    <phoneticPr fontId="2" type="noConversion"/>
  </si>
  <si>
    <t>BLK</t>
    <phoneticPr fontId="2" type="noConversion"/>
  </si>
  <si>
    <t>구               분</t>
    <phoneticPr fontId="2" type="noConversion"/>
  </si>
  <si>
    <t>WHI</t>
    <phoneticPr fontId="2" type="noConversion"/>
  </si>
  <si>
    <t>* 반품입고, 이관입고의 경우, 재경팀 Style별 재고평가와 무관. 단, 거점별 재고수불현황에는 연동 필요</t>
    <phoneticPr fontId="2" type="noConversion"/>
  </si>
  <si>
    <t>자가소모</t>
    <phoneticPr fontId="2" type="noConversion"/>
  </si>
  <si>
    <t>재고조정</t>
    <phoneticPr fontId="2" type="noConversion"/>
  </si>
  <si>
    <t>과부족</t>
    <phoneticPr fontId="2" type="noConversion"/>
  </si>
  <si>
    <t>BXXXXXXXXX</t>
    <phoneticPr fontId="2" type="noConversion"/>
  </si>
  <si>
    <t>대체입고외</t>
    <phoneticPr fontId="2" type="noConversion"/>
  </si>
  <si>
    <t>평균단가</t>
    <phoneticPr fontId="2" type="noConversion"/>
  </si>
  <si>
    <t>CXXXXXXXXX</t>
    <phoneticPr fontId="2" type="noConversion"/>
  </si>
  <si>
    <t>[점검수식]</t>
    <phoneticPr fontId="2" type="noConversion"/>
  </si>
  <si>
    <t>반품입고</t>
    <phoneticPr fontId="2" type="noConversion"/>
  </si>
  <si>
    <t>소계</t>
    <phoneticPr fontId="2" type="noConversion"/>
  </si>
  <si>
    <t>입고계</t>
    <phoneticPr fontId="2" type="noConversion"/>
  </si>
  <si>
    <t>출고계</t>
    <phoneticPr fontId="2" type="noConversion"/>
  </si>
  <si>
    <t>증정</t>
    <phoneticPr fontId="2" type="noConversion"/>
  </si>
  <si>
    <t>기증</t>
    <phoneticPr fontId="2" type="noConversion"/>
  </si>
  <si>
    <t>제품사용</t>
    <phoneticPr fontId="2" type="noConversion"/>
  </si>
  <si>
    <t>폐기</t>
    <phoneticPr fontId="2" type="noConversion"/>
  </si>
  <si>
    <t>분실</t>
    <phoneticPr fontId="2" type="noConversion"/>
  </si>
  <si>
    <t>재고실사조정</t>
    <phoneticPr fontId="2" type="noConversion"/>
  </si>
  <si>
    <t>자가소모</t>
    <phoneticPr fontId="2" type="noConversion"/>
  </si>
  <si>
    <t>관리출고</t>
    <phoneticPr fontId="2" type="noConversion"/>
  </si>
  <si>
    <t>(재고대체)</t>
    <phoneticPr fontId="2" type="noConversion"/>
  </si>
  <si>
    <t>(생산&amp;매입)</t>
    <phoneticPr fontId="2" type="noConversion"/>
  </si>
  <si>
    <t>순입고</t>
    <phoneticPr fontId="2" type="noConversion"/>
  </si>
  <si>
    <t>순입고</t>
    <phoneticPr fontId="2" type="noConversion"/>
  </si>
  <si>
    <t>ON주문출고</t>
    <phoneticPr fontId="2" type="noConversion"/>
  </si>
  <si>
    <t>ON주문입고</t>
    <phoneticPr fontId="2" type="noConversion"/>
  </si>
  <si>
    <t>매장출고</t>
    <phoneticPr fontId="2" type="noConversion"/>
  </si>
  <si>
    <t>재고이동 출고</t>
    <phoneticPr fontId="2" type="noConversion"/>
  </si>
  <si>
    <t>재고이동 입고</t>
    <phoneticPr fontId="2" type="noConversion"/>
  </si>
  <si>
    <t>센터간입고</t>
    <phoneticPr fontId="2" type="noConversion"/>
  </si>
  <si>
    <t>매장입고</t>
    <phoneticPr fontId="2" type="noConversion"/>
  </si>
  <si>
    <t>ON반품출고</t>
    <phoneticPr fontId="2" type="noConversion"/>
  </si>
  <si>
    <t>매장반품입고</t>
    <phoneticPr fontId="2" type="noConversion"/>
  </si>
  <si>
    <t>ON반품입고</t>
    <phoneticPr fontId="2" type="noConversion"/>
  </si>
  <si>
    <t>* 모든 매장&amp;센터 등의 거점에서 모든 Transaction 발생 가능</t>
    <phoneticPr fontId="2" type="noConversion"/>
  </si>
  <si>
    <t>* 재고수불관리 기준은 'Style + Color + Size' 를 하나의 SKU 로 수불관리</t>
    <phoneticPr fontId="2" type="noConversion"/>
  </si>
  <si>
    <t>Case별 Transaction 처리</t>
    <phoneticPr fontId="2" type="noConversion"/>
  </si>
  <si>
    <t>거점</t>
    <phoneticPr fontId="2" type="noConversion"/>
  </si>
  <si>
    <t>온라인센터</t>
    <phoneticPr fontId="2" type="noConversion"/>
  </si>
  <si>
    <t>온라인매장</t>
    <phoneticPr fontId="2" type="noConversion"/>
  </si>
  <si>
    <t>1. 소싱처 제상품 입고</t>
    <phoneticPr fontId="2" type="noConversion"/>
  </si>
  <si>
    <t>오프센터1</t>
    <phoneticPr fontId="2" type="noConversion"/>
  </si>
  <si>
    <t>오프센터2</t>
    <phoneticPr fontId="2" type="noConversion"/>
  </si>
  <si>
    <t>매장반품출고</t>
    <phoneticPr fontId="2" type="noConversion"/>
  </si>
  <si>
    <t>5. 오프매장간 RT</t>
    <phoneticPr fontId="2" type="noConversion"/>
  </si>
  <si>
    <t>오프매장1</t>
    <phoneticPr fontId="2" type="noConversion"/>
  </si>
  <si>
    <t>오프매장2</t>
    <phoneticPr fontId="2" type="noConversion"/>
  </si>
  <si>
    <t>2. 센터간 재고이동</t>
    <phoneticPr fontId="2" type="noConversion"/>
  </si>
  <si>
    <t>3. 오프매장출고 (초도출고, 반응출고 등)</t>
    <phoneticPr fontId="2" type="noConversion"/>
  </si>
  <si>
    <t>4. 오프매장 판매등록</t>
    <phoneticPr fontId="2" type="noConversion"/>
  </si>
  <si>
    <t>0. (수불 Set-up)</t>
    <phoneticPr fontId="2" type="noConversion"/>
  </si>
  <si>
    <t>매장RT입고</t>
    <phoneticPr fontId="2" type="noConversion"/>
  </si>
  <si>
    <t>매장RT출고</t>
    <phoneticPr fontId="2" type="noConversion"/>
  </si>
  <si>
    <t>6. 오프매장 매장반품</t>
    <phoneticPr fontId="2" type="noConversion"/>
  </si>
  <si>
    <t>7. 오프매장 (거점매장) ON주문출고</t>
    <phoneticPr fontId="2" type="noConversion"/>
  </si>
  <si>
    <t>8. 오프매장 (거점매장) ON주문출고분 구매확정</t>
    <phoneticPr fontId="2" type="noConversion"/>
  </si>
  <si>
    <t>9. 온라인센터 ON주문출고</t>
    <phoneticPr fontId="2" type="noConversion"/>
  </si>
  <si>
    <t>10. 온라인매장 ON주문출고분 (일부)구매확정</t>
    <phoneticPr fontId="2" type="noConversion"/>
  </si>
  <si>
    <t xml:space="preserve">     ; 반품입고 요청내역 생성.</t>
    <phoneticPr fontId="2" type="noConversion"/>
  </si>
  <si>
    <t>10. 온라인매장 ON주문출고분 (일부)반품요청</t>
    <phoneticPr fontId="2" type="noConversion"/>
  </si>
  <si>
    <t>11. 온라인센터 ON반품입고</t>
    <phoneticPr fontId="2" type="noConversion"/>
  </si>
  <si>
    <t xml:space="preserve">    ; ON매장 ON반품출고 &amp; ON센터 ON반품입고</t>
    <phoneticPr fontId="2" type="noConversion"/>
  </si>
  <si>
    <t>12. 온라인매장 장기 구매확정 지연분 분실 처리</t>
    <phoneticPr fontId="2" type="noConversion"/>
  </si>
  <si>
    <t>■ 거점(Depot) 재고 입출고관리</t>
    <phoneticPr fontId="2" type="noConversion"/>
  </si>
  <si>
    <t>■ Style별 재고평가 및 SKU별 諸원가 산출 기준</t>
    <phoneticPr fontId="2" type="noConversion"/>
  </si>
  <si>
    <t>* 입출고 분류중 순입고, 반품입고, 재고이동 입고, 대체입고, 관리입고, 판매, 재고이동 출고, 대체출고, 관리출고는 추가&amp;삭제 불가. 단, 해당 입출고 분류중 상세 입출고 유형은 유형추가 가능.</t>
    <phoneticPr fontId="2" type="noConversion"/>
  </si>
  <si>
    <t>수량</t>
    <phoneticPr fontId="2" type="noConversion"/>
  </si>
  <si>
    <t>단가</t>
    <phoneticPr fontId="2" type="noConversion"/>
  </si>
  <si>
    <t>원가</t>
    <phoneticPr fontId="2" type="noConversion"/>
  </si>
  <si>
    <t>[기간별 SKU기준 입출고 및 재고평가]</t>
    <phoneticPr fontId="2" type="noConversion"/>
  </si>
  <si>
    <t>* [중요] 재고평가시, 대체입출고 Transaction 에 대한 원가를 선산출후, Style별 재고평가를 진행해야 함</t>
    <phoneticPr fontId="2" type="noConversion"/>
  </si>
  <si>
    <t>* [중요] 기중 제품라이프사이클분석 등의 화면에 표현되는 조회시점 기준 원가는 사전원가를 기준으로 표현. (자사 월마감 기준인 관계로 기중 원가조회 불가 - 대략적인 추정 수치만 제공 필요)</t>
    <phoneticPr fontId="2" type="noConversion"/>
  </si>
  <si>
    <t>* 모든 거점간 입출고의 경우, Source처 요청 &amp; Target처 승인후 최종 Transaction 이 처리&amp;완결 (WMS 실물기준 처리 개념과 Fone 장부상 처리개념이 상충되어 임시거점 운영 등 처리방안 수립 필요 → Fone 내 이동중 재고 or 미정산 재고에 대한 임시창고 마련)</t>
    <phoneticPr fontId="2" type="noConversion"/>
  </si>
  <si>
    <t xml:space="preserve">      동시처리 (중요)</t>
    <phoneticPr fontId="2" type="noConversion"/>
  </si>
  <si>
    <t>① 대체출고 단가산출용  :  매월말 월 기초재고 수량/원가와 월 순입고 수량/원가를 기준으로 한 월말 대체TR용 평균단가 산출</t>
    <phoneticPr fontId="2" type="noConversion"/>
  </si>
  <si>
    <t>② 재무회계 총평균법 대응용  :  기수별 기초재고 수량/원가와 해당 기수 누계기준 순입고 수량/원가, 대체입고 수량/원가를 기준으로 PCS당 평균단가 산출</t>
    <phoneticPr fontId="2" type="noConversion"/>
  </si>
  <si>
    <t>* [중요] 재무회계 기준 분기/반기/온기별 재고평가와 기타 TR 원가처리를 위해 3가지 기말재고 평균단가 필요</t>
    <phoneticPr fontId="2" type="noConversion"/>
  </si>
  <si>
    <t>③ 현황용  :  Style별 입고완료 파일기준 누적 PCS당 평균단가</t>
    <phoneticPr fontId="2" type="noConversion"/>
  </si>
  <si>
    <t xml:space="preserve">   ;  ①, ② 번 평균단가 이용, 입고원가 기준 재무&amp;관리회계 금액 동일하게 운영시 재무&amp;관리회계 매출원가 및 기말재고 원가 일원화 가능</t>
    <phoneticPr fontId="2" type="noConversion"/>
  </si>
  <si>
    <t>■ 거점(Depot) 마스터 운영기준</t>
    <phoneticPr fontId="2" type="noConversion"/>
  </si>
  <si>
    <t>: 주문출고후 고객 구매확정전까지 자사 재고로 인식</t>
    <phoneticPr fontId="2" type="noConversion"/>
  </si>
  <si>
    <t>: 오프라인 매장재고 기준</t>
    <phoneticPr fontId="2" type="noConversion"/>
  </si>
  <si>
    <t>In-Transit</t>
    <phoneticPr fontId="2" type="noConversion"/>
  </si>
  <si>
    <t>Class 1</t>
    <phoneticPr fontId="2" type="noConversion"/>
  </si>
  <si>
    <t>Class 2</t>
    <phoneticPr fontId="2" type="noConversion"/>
  </si>
  <si>
    <t>Depot</t>
    <phoneticPr fontId="2" type="noConversion"/>
  </si>
  <si>
    <t>(제상품 샘플 사용조직)</t>
    <phoneticPr fontId="2" type="noConversion"/>
  </si>
  <si>
    <t>:  모든 Depot 코드는 기존 매장코드 Base 운영. 단, 신규 프로세스로 인한 Deopt 신규 생성.</t>
    <phoneticPr fontId="2" type="noConversion"/>
  </si>
  <si>
    <t>(센터별)</t>
    <phoneticPr fontId="2" type="noConversion"/>
  </si>
  <si>
    <t>WMS
운영</t>
    <phoneticPr fontId="2" type="noConversion"/>
  </si>
  <si>
    <t>ERP
운영</t>
    <phoneticPr fontId="2" type="noConversion"/>
  </si>
  <si>
    <t>전사재고</t>
    <phoneticPr fontId="2" type="noConversion"/>
  </si>
  <si>
    <t>* 가용재고(판매가능재고)  :  WMS내 분류에 의한 가용재고와 (On-hand) Store 의 재고를 가용재로로 분류</t>
    <phoneticPr fontId="2" type="noConversion"/>
  </si>
  <si>
    <t>1. Legacy Process 기준 재고관리 이슈 및 개선관리 Point</t>
    <phoneticPr fontId="2" type="noConversion"/>
  </si>
  <si>
    <t>2. 재고관리 대상 및 Depot 유형</t>
    <phoneticPr fontId="2" type="noConversion"/>
  </si>
  <si>
    <t>3. Depot 코드</t>
    <phoneticPr fontId="2" type="noConversion"/>
  </si>
  <si>
    <t xml:space="preserve"> - 미정산 재고현황</t>
    <phoneticPr fontId="2" type="noConversion"/>
  </si>
  <si>
    <t xml:space="preserve"> - 상기 네가지 분류기준 Mix 현황  (Ex. 전사재고 기준 Depot별 Off-line 판매가능재고 현황 or 전사재고 기준 미정산 재고현황 등)</t>
    <phoneticPr fontId="2" type="noConversion"/>
  </si>
  <si>
    <t>Note</t>
    <phoneticPr fontId="2" type="noConversion"/>
  </si>
  <si>
    <t>* 가용/비가용 재고, 미정산 재고 분류 必</t>
    <phoneticPr fontId="2" type="noConversion"/>
  </si>
  <si>
    <t>PCS당</t>
    <phoneticPr fontId="2" type="noConversion"/>
  </si>
  <si>
    <t>판매수수료%</t>
    <phoneticPr fontId="2" type="noConversion"/>
  </si>
  <si>
    <t>수      량</t>
    <phoneticPr fontId="2" type="noConversion"/>
  </si>
  <si>
    <t>M+0</t>
    <phoneticPr fontId="2" type="noConversion"/>
  </si>
  <si>
    <t>구      분</t>
    <phoneticPr fontId="2" type="noConversion"/>
  </si>
  <si>
    <t>공급</t>
    <phoneticPr fontId="2" type="noConversion"/>
  </si>
  <si>
    <t>AXXXXX1</t>
    <phoneticPr fontId="2" type="noConversion"/>
  </si>
  <si>
    <t>매출할인율%</t>
    <phoneticPr fontId="2" type="noConversion"/>
  </si>
  <si>
    <t>금   액</t>
    <phoneticPr fontId="2" type="noConversion"/>
  </si>
  <si>
    <t>M+1</t>
    <phoneticPr fontId="2" type="noConversion"/>
  </si>
  <si>
    <t>AXXXXX2</t>
    <phoneticPr fontId="2" type="noConversion"/>
  </si>
  <si>
    <t>■ 부문별 등록메뉴</t>
    <phoneticPr fontId="2" type="noConversion"/>
  </si>
  <si>
    <t>(구)메뉴</t>
    <phoneticPr fontId="2" type="noConversion"/>
  </si>
  <si>
    <t>명칭개선</t>
    <phoneticPr fontId="2" type="noConversion"/>
  </si>
  <si>
    <t>입금관리</t>
    <phoneticPr fontId="2" type="noConversion"/>
  </si>
  <si>
    <t>부   문</t>
    <phoneticPr fontId="2" type="noConversion"/>
  </si>
  <si>
    <t>영업관리</t>
    <phoneticPr fontId="2" type="noConversion"/>
  </si>
  <si>
    <t>기능 &amp; 필요성</t>
    <phoneticPr fontId="2" type="noConversion"/>
  </si>
  <si>
    <t>비        고</t>
    <phoneticPr fontId="2" type="noConversion"/>
  </si>
  <si>
    <t>■</t>
    <phoneticPr fontId="2" type="noConversion"/>
  </si>
  <si>
    <t>현금, 신용카드 Cash 입금관리</t>
    <phoneticPr fontId="2" type="noConversion"/>
  </si>
  <si>
    <t>실제 입금등록은 K-one 진행</t>
    <phoneticPr fontId="2" type="noConversion"/>
  </si>
  <si>
    <t>F-pos 내 매장별 판매미수, 공급미수 등 관리 목적</t>
    <phoneticPr fontId="2" type="noConversion"/>
  </si>
  <si>
    <t>*</t>
    <phoneticPr fontId="2" type="noConversion"/>
  </si>
  <si>
    <t>최초 등록시스템 등록된 Data 를 굳이 타시스템에 중복 저장 필요無</t>
    <phoneticPr fontId="2" type="noConversion"/>
  </si>
  <si>
    <t>개선방향</t>
    <phoneticPr fontId="2" type="noConversion"/>
  </si>
  <si>
    <t>→ Kone 등록 Data 연동해 F-pos 내 관련화면 연동</t>
    <phoneticPr fontId="2" type="noConversion"/>
  </si>
  <si>
    <t>유  형</t>
    <phoneticPr fontId="2" type="noConversion"/>
  </si>
  <si>
    <t>매출판대 조정 등록</t>
    <phoneticPr fontId="2" type="noConversion"/>
  </si>
  <si>
    <t>물류관리</t>
    <phoneticPr fontId="2" type="noConversion"/>
  </si>
  <si>
    <t>판부자재 입고 등록</t>
    <phoneticPr fontId="2" type="noConversion"/>
  </si>
  <si>
    <t>생산처 입고 등록</t>
    <phoneticPr fontId="2" type="noConversion"/>
  </si>
  <si>
    <t>창고재고 칼라/사이즈 조정</t>
    <phoneticPr fontId="2" type="noConversion"/>
  </si>
  <si>
    <t>재고SPEC 조정 등록</t>
    <phoneticPr fontId="2" type="noConversion"/>
  </si>
  <si>
    <t>영업기획</t>
    <phoneticPr fontId="2" type="noConversion"/>
  </si>
  <si>
    <t>출고요청</t>
    <phoneticPr fontId="2" type="noConversion"/>
  </si>
  <si>
    <t>입고등록</t>
    <phoneticPr fontId="2" type="noConversion"/>
  </si>
  <si>
    <t>재고관리</t>
    <phoneticPr fontId="2" type="noConversion"/>
  </si>
  <si>
    <t>제상품 초도배분 등록</t>
    <phoneticPr fontId="2" type="noConversion"/>
  </si>
  <si>
    <t>제상품 반응출고 등록</t>
    <phoneticPr fontId="2" type="noConversion"/>
  </si>
  <si>
    <t>매장사이즈 조정 등록</t>
    <phoneticPr fontId="2" type="noConversion"/>
  </si>
  <si>
    <t>매장재고 제품대체 등록</t>
    <phoneticPr fontId="2" type="noConversion"/>
  </si>
  <si>
    <t>연체이자 관리</t>
    <phoneticPr fontId="2" type="noConversion"/>
  </si>
  <si>
    <t>대리점 미입금 관리</t>
    <phoneticPr fontId="2" type="noConversion"/>
  </si>
  <si>
    <t>매장비용등록</t>
    <phoneticPr fontId="2" type="noConversion"/>
  </si>
  <si>
    <t>매장비용등록(본사관리)New</t>
    <phoneticPr fontId="2" type="noConversion"/>
  </si>
  <si>
    <t>???</t>
    <phoneticPr fontId="2" type="noConversion"/>
  </si>
  <si>
    <t>머선 메뉴인고?</t>
    <phoneticPr fontId="2" type="noConversion"/>
  </si>
  <si>
    <t>매장내 제상품재고 기준 사이즈 상이한 재고 조정</t>
    <phoneticPr fontId="2" type="noConversion"/>
  </si>
  <si>
    <t>현재 동일 스타일 사이즈 변경만 승인없이 조정</t>
    <phoneticPr fontId="2" type="noConversion"/>
  </si>
  <si>
    <t>수정 필요</t>
    <phoneticPr fontId="2" type="noConversion"/>
  </si>
  <si>
    <t>재고관리 Process 중 '제품대체' 통해 칼라/사이즈 조정 가능토록</t>
    <phoneticPr fontId="2" type="noConversion"/>
  </si>
  <si>
    <t>연체 이자율 연8% 적용중</t>
    <phoneticPr fontId="2" type="noConversion"/>
  </si>
  <si>
    <t>대리점 판매대금 입금내역과 연체이자 관리</t>
    <phoneticPr fontId="2" type="noConversion"/>
  </si>
  <si>
    <t>상품권 관리</t>
    <phoneticPr fontId="2" type="noConversion"/>
  </si>
  <si>
    <t>매장월정산 종합현황</t>
    <phoneticPr fontId="2" type="noConversion"/>
  </si>
  <si>
    <t>채권(미수)발생유형, 공제유형 등 관리프로세스 확인 필요</t>
    <phoneticPr fontId="2" type="noConversion"/>
  </si>
  <si>
    <t>*</t>
    <phoneticPr fontId="2" type="noConversion"/>
  </si>
  <si>
    <t>주요TR 과 기타TR 구분 미흡 + 용어재정의 필요</t>
    <phoneticPr fontId="2" type="noConversion"/>
  </si>
  <si>
    <t>해당 메뉴 불구, 연체이자 관리 메뉴 필요 이유?</t>
    <phoneticPr fontId="2" type="noConversion"/>
  </si>
  <si>
    <t>매장 입금현황</t>
    <phoneticPr fontId="2" type="noConversion"/>
  </si>
  <si>
    <t>입금관리 등록화면과 연동하면 되는지?</t>
    <phoneticPr fontId="2" type="noConversion"/>
  </si>
  <si>
    <t>직영매장 경비등록</t>
    <phoneticPr fontId="2" type="noConversion"/>
  </si>
  <si>
    <t>매장비용등록 화면과 차이?</t>
    <phoneticPr fontId="2" type="noConversion"/>
  </si>
  <si>
    <t>매장비용에 대한 개념화 필요</t>
    <phoneticPr fontId="2" type="noConversion"/>
  </si>
  <si>
    <t>직영매장 예산관리</t>
    <phoneticPr fontId="2" type="noConversion"/>
  </si>
  <si>
    <t>무슨 예산관리를 하며, 어떻게 활용하고 있는지?</t>
    <phoneticPr fontId="2" type="noConversion"/>
  </si>
  <si>
    <t>중간관리자정보/수수료율 등록</t>
    <phoneticPr fontId="2" type="noConversion"/>
  </si>
  <si>
    <t>중간관리자 공제내역 등록</t>
    <phoneticPr fontId="2" type="noConversion"/>
  </si>
  <si>
    <t>중간관리자 할인별 판매정산 내역</t>
    <phoneticPr fontId="2" type="noConversion"/>
  </si>
  <si>
    <t>중간관리자 수수료 지급계</t>
    <phoneticPr fontId="2" type="noConversion"/>
  </si>
  <si>
    <t>중간관리자 용역계약 조회</t>
    <phoneticPr fontId="2" type="noConversion"/>
  </si>
  <si>
    <t>재검토 필요</t>
    <phoneticPr fontId="2" type="noConversion"/>
  </si>
  <si>
    <t>직영매장 카드정산</t>
    <phoneticPr fontId="2" type="noConversion"/>
  </si>
  <si>
    <t>직영 현금미수관리</t>
    <phoneticPr fontId="2" type="noConversion"/>
  </si>
  <si>
    <t>정산화면 통합 불가?</t>
    <phoneticPr fontId="2" type="noConversion"/>
  </si>
  <si>
    <t>자가소모 등록</t>
    <phoneticPr fontId="2" type="noConversion"/>
  </si>
  <si>
    <t>거점별 자가소모 등록화면으로 전환 필요</t>
    <phoneticPr fontId="2" type="noConversion"/>
  </si>
  <si>
    <t>포인트 정산현황</t>
    <phoneticPr fontId="2" type="noConversion"/>
  </si>
  <si>
    <t>평가충당금 관리</t>
    <phoneticPr fontId="2" type="noConversion"/>
  </si>
  <si>
    <t>평가충당금 산출기준 점검 필요</t>
    <phoneticPr fontId="2" type="noConversion"/>
  </si>
  <si>
    <t>백화점 정산 - 세금계산서</t>
    <phoneticPr fontId="2" type="noConversion"/>
  </si>
  <si>
    <t>대리점 정산</t>
    <phoneticPr fontId="2" type="noConversion"/>
  </si>
  <si>
    <t>** 영업관리 월마감정산 Process 별 선후관계 파악 필요</t>
    <phoneticPr fontId="2" type="noConversion"/>
  </si>
  <si>
    <t>재고부족정산 승인관리</t>
    <phoneticPr fontId="2" type="noConversion"/>
  </si>
  <si>
    <t>공급분 거래명세서 생성(쿠팡)</t>
    <phoneticPr fontId="2" type="noConversion"/>
  </si>
  <si>
    <t>** 프로모션 등록화면??</t>
    <phoneticPr fontId="2" type="noConversion"/>
  </si>
  <si>
    <t>* 전사재고 현황은 ERP System 내 종합관리</t>
    <phoneticPr fontId="2" type="noConversion"/>
  </si>
  <si>
    <t xml:space="preserve">  → 입출고 거점간 수량 상충시, 출고수량 수정 or 거점내 자가소모 처리</t>
    <phoneticPr fontId="2" type="noConversion"/>
  </si>
  <si>
    <t xml:space="preserve"> - Depot별 / On/Off별 / 가용/비가용 제품별 재고현황</t>
    <phoneticPr fontId="2" type="noConversion"/>
  </si>
  <si>
    <t>ON반품입고</t>
    <phoneticPr fontId="2" type="noConversion"/>
  </si>
  <si>
    <t>거점출고</t>
    <phoneticPr fontId="2" type="noConversion"/>
  </si>
  <si>
    <t>거점입고</t>
    <phoneticPr fontId="2" type="noConversion"/>
  </si>
  <si>
    <t>과부족(-)</t>
    <phoneticPr fontId="2" type="noConversion"/>
  </si>
  <si>
    <t>* 재고수량관리 기준은 'Style + Color + Size' 를 하나의 SKU 로 입출고 TR관리</t>
    <phoneticPr fontId="2" type="noConversion"/>
  </si>
  <si>
    <t>소계</t>
    <phoneticPr fontId="2" type="noConversion"/>
  </si>
  <si>
    <t>이동중재고</t>
    <phoneticPr fontId="2" type="noConversion"/>
  </si>
  <si>
    <t>ⓐ</t>
    <phoneticPr fontId="2" type="noConversion"/>
  </si>
  <si>
    <t>ⓑ</t>
    <phoneticPr fontId="2" type="noConversion"/>
  </si>
  <si>
    <t>(ⓐ+ⓑ)</t>
    <phoneticPr fontId="2" type="noConversion"/>
  </si>
  <si>
    <t>* 모든 거점간 입출고의 경우, Source처 요청 &amp; Target처 승인후 최종 Transaction 이 처리&amp;완결 (WMS 실물기준 처리 개념과 Fone 장부상 처리개념이 상충되어 In-Transit (이동중) 재고에 대한 보정 필요)</t>
    <phoneticPr fontId="2" type="noConversion"/>
  </si>
  <si>
    <t>기말</t>
    <phoneticPr fontId="2" type="noConversion"/>
  </si>
  <si>
    <t>* 향후, 온오프 재고관리를 위해 입출고 TR 에 대해 온라인/오프라인 TR 구분 필요 (단, 판매의 경우 거점 구분 통해 구분 가능)</t>
    <phoneticPr fontId="2" type="noConversion"/>
  </si>
  <si>
    <t xml:space="preserve"> - Transaction</t>
    <phoneticPr fontId="2" type="noConversion"/>
  </si>
  <si>
    <t>TR Date</t>
    <phoneticPr fontId="2" type="noConversion"/>
  </si>
  <si>
    <t>Depot</t>
    <phoneticPr fontId="2" type="noConversion"/>
  </si>
  <si>
    <t>Source</t>
    <phoneticPr fontId="2" type="noConversion"/>
  </si>
  <si>
    <t>Target</t>
    <phoneticPr fontId="2" type="noConversion"/>
  </si>
  <si>
    <t>SKU info.</t>
    <phoneticPr fontId="2" type="noConversion"/>
  </si>
  <si>
    <t>Style no.</t>
    <phoneticPr fontId="2" type="noConversion"/>
  </si>
  <si>
    <t>Color</t>
    <phoneticPr fontId="2" type="noConversion"/>
  </si>
  <si>
    <t>Size</t>
    <phoneticPr fontId="2" type="noConversion"/>
  </si>
  <si>
    <t>XXXX-XX-XX</t>
    <phoneticPr fontId="2" type="noConversion"/>
  </si>
  <si>
    <t>A센터</t>
    <phoneticPr fontId="2" type="noConversion"/>
  </si>
  <si>
    <t>AXXXXXXXXX</t>
    <phoneticPr fontId="2" type="noConversion"/>
  </si>
  <si>
    <t>BLK</t>
    <phoneticPr fontId="2" type="noConversion"/>
  </si>
  <si>
    <t>Depot</t>
    <phoneticPr fontId="2" type="noConversion"/>
  </si>
  <si>
    <t>기초</t>
    <phoneticPr fontId="2" type="noConversion"/>
  </si>
  <si>
    <t>입고</t>
    <phoneticPr fontId="2" type="noConversion"/>
  </si>
  <si>
    <t>정상입고</t>
    <phoneticPr fontId="2" type="noConversion"/>
  </si>
  <si>
    <t>반품입고</t>
    <phoneticPr fontId="2" type="noConversion"/>
  </si>
  <si>
    <t>이관입고</t>
    <phoneticPr fontId="2" type="noConversion"/>
  </si>
  <si>
    <t>대체입고</t>
    <phoneticPr fontId="2" type="noConversion"/>
  </si>
  <si>
    <t>입고과부족</t>
    <phoneticPr fontId="2" type="noConversion"/>
  </si>
  <si>
    <t>출고</t>
    <phoneticPr fontId="2" type="noConversion"/>
  </si>
  <si>
    <t>고객출고</t>
    <phoneticPr fontId="2" type="noConversion"/>
  </si>
  <si>
    <t>업체출고</t>
    <phoneticPr fontId="2" type="noConversion"/>
  </si>
  <si>
    <t>이관출고</t>
    <phoneticPr fontId="2" type="noConversion"/>
  </si>
  <si>
    <t>출고계</t>
    <phoneticPr fontId="2" type="noConversion"/>
  </si>
  <si>
    <t>기말</t>
    <phoneticPr fontId="2" type="noConversion"/>
  </si>
  <si>
    <t>Case 2. 센터→매장 재고이동</t>
    <phoneticPr fontId="2" type="noConversion"/>
  </si>
  <si>
    <t>B매장</t>
    <phoneticPr fontId="2" type="noConversion"/>
  </si>
  <si>
    <t>Confirm</t>
    <phoneticPr fontId="2" type="noConversion"/>
  </si>
  <si>
    <t>Balance</t>
    <phoneticPr fontId="2" type="noConversion"/>
  </si>
  <si>
    <t>OUT</t>
    <phoneticPr fontId="2" type="noConversion"/>
  </si>
  <si>
    <t>◆ WMS : A센터</t>
    <phoneticPr fontId="2" type="noConversion"/>
  </si>
  <si>
    <t>(2) F-one : B매장</t>
    <phoneticPr fontId="2" type="noConversion"/>
  </si>
  <si>
    <t>(1) F-one : A센터</t>
    <phoneticPr fontId="2" type="noConversion"/>
  </si>
  <si>
    <t>ⓒ</t>
    <phoneticPr fontId="2" type="noConversion"/>
  </si>
  <si>
    <t>ⓓ</t>
    <phoneticPr fontId="2" type="noConversion"/>
  </si>
  <si>
    <t>(ⓓ-ⓒ)</t>
    <phoneticPr fontId="2" type="noConversion"/>
  </si>
  <si>
    <t>◆ F-one (종합)</t>
    <phoneticPr fontId="2" type="noConversion"/>
  </si>
  <si>
    <t>종합</t>
    <phoneticPr fontId="2" type="noConversion"/>
  </si>
  <si>
    <t>관리Loss</t>
  </si>
  <si>
    <t>관리Loss</t>
    <phoneticPr fontId="2" type="noConversion"/>
  </si>
  <si>
    <t>TR type</t>
    <phoneticPr fontId="2" type="noConversion"/>
  </si>
  <si>
    <t>* [주의] Fone 관리Loss 출고는 WMS 상 출고유형인 관리출고와 별개 개념임</t>
    <phoneticPr fontId="2" type="noConversion"/>
  </si>
  <si>
    <t>Off반품입고</t>
  </si>
  <si>
    <t>Off반품입고</t>
    <phoneticPr fontId="2" type="noConversion"/>
  </si>
  <si>
    <t>Off반품출고</t>
    <phoneticPr fontId="2" type="noConversion"/>
  </si>
  <si>
    <t>매입</t>
    <phoneticPr fontId="2" type="noConversion"/>
  </si>
  <si>
    <t>공급미수</t>
    <phoneticPr fontId="2" type="noConversion"/>
  </si>
  <si>
    <t>매장계</t>
    <phoneticPr fontId="2" type="noConversion"/>
  </si>
  <si>
    <t>법인유통 EDI</t>
    <phoneticPr fontId="2" type="noConversion"/>
  </si>
  <si>
    <t>당월</t>
    <phoneticPr fontId="2" type="noConversion"/>
  </si>
  <si>
    <r>
      <t xml:space="preserve">판매
</t>
    </r>
    <r>
      <rPr>
        <sz val="9"/>
        <color theme="1"/>
        <rFont val="맑은 고딕"/>
        <family val="3"/>
        <charset val="129"/>
      </rPr>
      <t>(F-one)</t>
    </r>
    <phoneticPr fontId="2" type="noConversion"/>
  </si>
  <si>
    <t>공급분매입처 매장&amp;제품별 재고현황 (회계용)</t>
    <phoneticPr fontId="2" type="noConversion"/>
  </si>
  <si>
    <t>FY누계</t>
    <phoneticPr fontId="2" type="noConversion"/>
  </si>
  <si>
    <t>당해누계</t>
    <phoneticPr fontId="2" type="noConversion"/>
  </si>
  <si>
    <t>Simulation. 공급분 매입 신규 Logic</t>
    <phoneticPr fontId="2" type="noConversion"/>
  </si>
  <si>
    <t>업체미매입</t>
    <phoneticPr fontId="2" type="noConversion"/>
  </si>
  <si>
    <r>
      <t xml:space="preserve">기말
</t>
    </r>
    <r>
      <rPr>
        <sz val="9"/>
        <color theme="1"/>
        <rFont val="맑은 고딕"/>
        <family val="3"/>
        <charset val="129"/>
      </rPr>
      <t>(Fone)</t>
    </r>
    <phoneticPr fontId="2" type="noConversion"/>
  </si>
  <si>
    <t>공급미수</t>
    <phoneticPr fontId="2" type="noConversion"/>
  </si>
  <si>
    <r>
      <t xml:space="preserve">공급
</t>
    </r>
    <r>
      <rPr>
        <sz val="9"/>
        <color theme="1"/>
        <rFont val="맑은 고딕"/>
        <family val="3"/>
        <charset val="129"/>
      </rPr>
      <t>(F-one)</t>
    </r>
    <phoneticPr fontId="2" type="noConversion"/>
  </si>
  <si>
    <r>
      <t>기초</t>
    </r>
    <r>
      <rPr>
        <sz val="9"/>
        <color theme="1"/>
        <rFont val="맑은 고딕"/>
        <family val="3"/>
        <charset val="129"/>
      </rPr>
      <t xml:space="preserve">
(F-one)</t>
    </r>
    <phoneticPr fontId="2" type="noConversion"/>
  </si>
  <si>
    <t>판매분
공급가 조정</t>
    <phoneticPr fontId="2" type="noConversion"/>
  </si>
  <si>
    <t>Quantity</t>
    <phoneticPr fontId="2" type="noConversion"/>
  </si>
  <si>
    <t>과입고(+)</t>
    <phoneticPr fontId="2" type="noConversion"/>
  </si>
  <si>
    <t xml:space="preserve">    ; 오프매장1에서 '10pcs' 입고 미확정 가정</t>
    <phoneticPr fontId="2" type="noConversion"/>
  </si>
  <si>
    <t>5. 이동중재고 자가소모 처리</t>
    <phoneticPr fontId="2" type="noConversion"/>
  </si>
  <si>
    <t xml:space="preserve">     ; 반품입고 요청내역 생성. (수불변동X)</t>
    <phoneticPr fontId="2" type="noConversion"/>
  </si>
  <si>
    <t>6. 오프매장간 RT</t>
    <phoneticPr fontId="2" type="noConversion"/>
  </si>
  <si>
    <t>7. 오프매장 제품반품</t>
    <phoneticPr fontId="2" type="noConversion"/>
  </si>
  <si>
    <t>8. 오프매장 (거점매장) ON주문출고</t>
    <phoneticPr fontId="2" type="noConversion"/>
  </si>
  <si>
    <t>9. 오프매장 (거점매장) ON주문출고분 구매확정</t>
    <phoneticPr fontId="2" type="noConversion"/>
  </si>
  <si>
    <t>10. 온라인센터 ON주문출고</t>
    <phoneticPr fontId="2" type="noConversion"/>
  </si>
  <si>
    <t>11. 온라인매장 ON주문출고분 (일부)구매확정</t>
    <phoneticPr fontId="2" type="noConversion"/>
  </si>
  <si>
    <t>12. 온라인매장 ON주문출고분 (일부)반품요청</t>
    <phoneticPr fontId="2" type="noConversion"/>
  </si>
  <si>
    <t>13. 온라인센터 ON반품입고</t>
    <phoneticPr fontId="2" type="noConversion"/>
  </si>
  <si>
    <t>14. 온라인매장 장기 구매확정 지연분 분실 처리</t>
    <phoneticPr fontId="2" type="noConversion"/>
  </si>
  <si>
    <t>* 이동중재고는 Target 거점 입고 미승인 재고 (WMS 에서는 실재고 기준 관리로 해당 재고 출고시킨 것으로 표현하나, Fone 상에서는 이동중재고로 인식해야 함)</t>
  </si>
  <si>
    <t>* 온라인매장 (네이버 등) 의 기초/기말재고 중 실재고는 실제로는 기 고객에 출고된 제품이나, 오프라인상 거점별 단순 입출고 승인이슈 외, 교환/반품 가능성이 있어 실재고와 같이 관리 필요.</t>
  </si>
  <si>
    <t>실재고</t>
  </si>
  <si>
    <t>전매장</t>
    <phoneticPr fontId="2" type="noConversion"/>
  </si>
  <si>
    <t>가상계좌 사용매장 대상</t>
    <phoneticPr fontId="2" type="noConversion"/>
  </si>
  <si>
    <t>(법인유통 POS 사용매장 제외)</t>
    <phoneticPr fontId="2" type="noConversion"/>
  </si>
  <si>
    <t>회계 전표확정 내역 조회</t>
    <phoneticPr fontId="2" type="noConversion"/>
  </si>
  <si>
    <t>CMS 실시간 입금내역 조회</t>
    <phoneticPr fontId="2" type="noConversion"/>
  </si>
  <si>
    <t>통합</t>
    <phoneticPr fontId="2" type="noConversion"/>
  </si>
  <si>
    <t>공급미수 -&gt; 매출할인으로 조정</t>
    <phoneticPr fontId="2" type="noConversion"/>
  </si>
  <si>
    <t>판매미수 -&gt; 판매금액으로 조정</t>
    <phoneticPr fontId="2" type="noConversion"/>
  </si>
  <si>
    <t>매장기준으로 조정 (BS계정 공제 성격 - 제품 실판매액 조정X)</t>
    <phoneticPr fontId="2" type="noConversion"/>
  </si>
  <si>
    <t>매장 미수 조정등록</t>
    <phoneticPr fontId="2" type="noConversion"/>
  </si>
  <si>
    <t>매장별 입금현황 (확정/전매장)</t>
    <phoneticPr fontId="2" type="noConversion"/>
  </si>
  <si>
    <t>매장별 입금현황 (실시간)</t>
    <phoneticPr fontId="2" type="noConversion"/>
  </si>
  <si>
    <t>대리점</t>
    <phoneticPr fontId="2" type="noConversion"/>
  </si>
  <si>
    <t>판매대금에 대해 익월 캘린더데이 +10일 미입금액에 대해 연체이자</t>
    <phoneticPr fontId="2" type="noConversion"/>
  </si>
  <si>
    <t>사업부 매장별 연체이자 부과 금액 허들이 다름</t>
    <phoneticPr fontId="2" type="noConversion"/>
  </si>
  <si>
    <t>대상매장에 대한 허들 및 마스터 관리 화면 필요</t>
    <phoneticPr fontId="2" type="noConversion"/>
  </si>
  <si>
    <t>매장 점주/매니저 재고SPEC 조정 화면임 (영업관리X)</t>
    <phoneticPr fontId="2" type="noConversion"/>
  </si>
  <si>
    <t>: SKU별 실판매가 칼라별 상이한 경우가 있어서 칼라 조정은 안되게 막아놓음</t>
    <phoneticPr fontId="2" type="noConversion"/>
  </si>
  <si>
    <t>개선</t>
    <phoneticPr fontId="2" type="noConversion"/>
  </si>
  <si>
    <t>→ 컬러별 실판매가 동일 SKU 의 경우, 변경 허용 및 다를 경우 승인 받도록 Logic 변경 운영 필요</t>
    <phoneticPr fontId="2" type="noConversion"/>
  </si>
  <si>
    <t>전표발생 비용에 대해 등록 (kone 연동)</t>
    <phoneticPr fontId="2" type="noConversion"/>
  </si>
  <si>
    <t>타 BS계정과 상계(공제) 처리하기 위한 화면</t>
    <phoneticPr fontId="2" type="noConversion"/>
  </si>
  <si>
    <t>→ 업무생산성 올릴 수 있는 방안 고민 필요</t>
    <phoneticPr fontId="2" type="noConversion"/>
  </si>
  <si>
    <t>재개발</t>
    <phoneticPr fontId="2" type="noConversion"/>
  </si>
  <si>
    <t>매장별 비용등록</t>
    <phoneticPr fontId="2" type="noConversion"/>
  </si>
  <si>
    <t>* 매장월정산종합현황, 매장월정산상세현황, 매장월정산현황 세가지 메뉴 사용</t>
    <phoneticPr fontId="2" type="noConversion"/>
  </si>
  <si>
    <t xml:space="preserve">  ;  매장월정산종합현황은 매장 오픈부터 현재까지 누적 History 조회가능, 매장월정산상세현황은 월별 조회만 가능, 매장월정산현황은 기간별 조회 가능</t>
    <phoneticPr fontId="2" type="noConversion"/>
  </si>
  <si>
    <t xml:space="preserve">  → 제발 한 화면으로 통합하자</t>
    <phoneticPr fontId="2" type="noConversion"/>
  </si>
  <si>
    <t>매장 정산 현황</t>
    <phoneticPr fontId="2" type="noConversion"/>
  </si>
  <si>
    <t xml:space="preserve">매장유형 등 現기본정보 外, </t>
    <phoneticPr fontId="2" type="noConversion"/>
  </si>
  <si>
    <t>회계 및 영업관리 업무에 맞춰 매장비용, 중간관리/대리점/법인유통 및 공급분매입/판매분매입 구분에 따른 설정 필요</t>
    <phoneticPr fontId="2" type="noConversion"/>
  </si>
  <si>
    <t>특히, 대리점 연체이자율 설정&amp;변경 등에 대한 관리기능 넣어야 함</t>
    <phoneticPr fontId="2" type="noConversion"/>
  </si>
  <si>
    <t>매장코드 마스터</t>
    <phoneticPr fontId="2" type="noConversion"/>
  </si>
  <si>
    <t>매니저 관리 (정보&amp;정산)</t>
    <phoneticPr fontId="2" type="noConversion"/>
  </si>
  <si>
    <t>입금&amp;미수 관리</t>
    <phoneticPr fontId="2" type="noConversion"/>
  </si>
  <si>
    <t>매장 재고 관리</t>
    <phoneticPr fontId="2" type="noConversion"/>
  </si>
  <si>
    <t>결제수단 관리 (현금, 카드, 페이, 상품권 등)</t>
    <phoneticPr fontId="2" type="noConversion"/>
  </si>
  <si>
    <t>매장 비용 관리 + 공제 내역 관리</t>
    <phoneticPr fontId="2" type="noConversion"/>
  </si>
  <si>
    <t>판매 관리</t>
    <phoneticPr fontId="2" type="noConversion"/>
  </si>
  <si>
    <t>프로모션 관리</t>
    <phoneticPr fontId="2" type="noConversion"/>
  </si>
  <si>
    <t>제품 마스터 관리</t>
    <phoneticPr fontId="2" type="noConversion"/>
  </si>
  <si>
    <t>** 전체 화면에 대해 부가세 포함&amp;제외 여부 구분 필요</t>
    <phoneticPr fontId="2" type="noConversion"/>
  </si>
  <si>
    <t>** 시스템 메뉴명 개념화</t>
    <phoneticPr fontId="2" type="noConversion"/>
  </si>
  <si>
    <t>** 시스템 화면내 필드명 개념화</t>
    <phoneticPr fontId="2" type="noConversion"/>
  </si>
  <si>
    <t>재고 관리</t>
    <phoneticPr fontId="2" type="noConversion"/>
  </si>
  <si>
    <t>상품권 운영기준안부터 새로 개발 필요 (총무팀)</t>
    <phoneticPr fontId="2" type="noConversion"/>
  </si>
  <si>
    <t>재개발
+
통합</t>
    <phoneticPr fontId="2" type="noConversion"/>
  </si>
  <si>
    <t>중간관리자정보/수수료율 등록 Data 에 대한 현황 화면</t>
    <phoneticPr fontId="2" type="noConversion"/>
  </si>
  <si>
    <t>재개발</t>
    <phoneticPr fontId="2" type="noConversion"/>
  </si>
  <si>
    <t>등록Data Source - 판부자재 등록현황 및 판매처 세금계산서 내역 참조, 수기 등록</t>
    <phoneticPr fontId="2" type="noConversion"/>
  </si>
  <si>
    <t>→ 본사vs매장 비용분담율 관리기능 및 월정액 발생 비용에 대한 관리 기능 필요</t>
    <phoneticPr fontId="2" type="noConversion"/>
  </si>
  <si>
    <t>목적  :  중간관리자에게 미수&amp;공제 등 현황 공유용</t>
    <phoneticPr fontId="2" type="noConversion"/>
  </si>
  <si>
    <t>→ Kone 에 전표 등록 별도 진행중. Fone 등록화면에 등록된 내역을 Kone 으로 자동전표 생성할 수 있도록 Logic 변경</t>
    <phoneticPr fontId="2" type="noConversion"/>
  </si>
  <si>
    <t>목적  :  오프 정상/할인, 온라인 닷컴/거점 수수료율이 달라 해당 내역 관리 위한 화면</t>
    <phoneticPr fontId="2" type="noConversion"/>
  </si>
  <si>
    <t xml:space="preserve">           사업부, 영업관리에서 현황용으로 활용</t>
    <phoneticPr fontId="2" type="noConversion"/>
  </si>
  <si>
    <t>→ 원가는 필요없는데 쓸데없이 들어감</t>
    <phoneticPr fontId="2" type="noConversion"/>
  </si>
  <si>
    <t>→ 수수료(공급가) 계산시, 부가세 포함/미포함 여부가 브랜드별로 상이함 (별도 관리화면 필요)</t>
    <phoneticPr fontId="2" type="noConversion"/>
  </si>
  <si>
    <t>→ 브랜드별로 수수료율 허들 및 지급방식 상이. 하위 브랜드 일체에 대한 수수료율 등록하고 있어 쓸데없이 Data 증가</t>
    <phoneticPr fontId="2" type="noConversion"/>
  </si>
  <si>
    <t xml:space="preserve">    탑텐은 상품별로도 프로모션 개념의 수수료율 적용으로, 시스템 등록내역 외에 별도 관리 해야하는 업무부담 有</t>
    <phoneticPr fontId="2" type="noConversion"/>
  </si>
  <si>
    <t>→ 실제 수수료 지급등록은 수수료율 기준대로 시스템 산출된 내역 대비, 중간관리자 공제내역 등록에 추가로 등록함</t>
    <phoneticPr fontId="2" type="noConversion"/>
  </si>
  <si>
    <t xml:space="preserve">     단, 공제내역에서 등록된 추가수수료 지급에 대한 내역은 당 화면에 반영 안됨</t>
    <phoneticPr fontId="2" type="noConversion"/>
  </si>
  <si>
    <t>수수료 및 공제내역 일체 (3개 세금계산서 합산) 를 현황으로 보여줌</t>
    <phoneticPr fontId="2" type="noConversion"/>
  </si>
  <si>
    <t>목적  :  중간관리자 및 영업관리 조회용</t>
    <phoneticPr fontId="2" type="noConversion"/>
  </si>
  <si>
    <t>매장별 재산출, 전체 매장 재산출 별도로 기능키 있어야 함</t>
    <phoneticPr fontId="2" type="noConversion"/>
  </si>
  <si>
    <t>목적  :  탑텐 순수직영점 일부 경비에 대해 등록하는 화면</t>
    <phoneticPr fontId="2" type="noConversion"/>
  </si>
  <si>
    <t>등록&amp;전표출력 후, 영업관리에서 오류 등 점검</t>
    <phoneticPr fontId="2" type="noConversion"/>
  </si>
  <si>
    <t>* 그외 경비 (복리후생비 등) 영업관리 담당자가 Kone 에 매장비용으로 직접 등록</t>
    <phoneticPr fontId="2" type="noConversion"/>
  </si>
  <si>
    <t>매장별 일부 계정 예산을 등록후, 탑텐 영업담당자가 승인하는 기능 포함되어 있음</t>
    <phoneticPr fontId="2" type="noConversion"/>
  </si>
  <si>
    <t>직영매장 경비현황</t>
    <phoneticPr fontId="2" type="noConversion"/>
  </si>
  <si>
    <t>목적  :  탑텐 순수직영점 일부 경비 현황</t>
    <phoneticPr fontId="2" type="noConversion"/>
  </si>
  <si>
    <t>통합
+
재개발
프로세스
재협의</t>
    <phoneticPr fontId="2" type="noConversion"/>
  </si>
  <si>
    <t>목적  :  탑텐 순수직영점 계정별 예산 등록</t>
    <phoneticPr fontId="2" type="noConversion"/>
  </si>
  <si>
    <t>목적  :  전브랜드 (순수)직영매장 카드사별 매출 관리</t>
    <phoneticPr fontId="2" type="noConversion"/>
  </si>
  <si>
    <t>→ 현재 Data 안맞아서 아무도 안씀. 재개발 필요</t>
    <phoneticPr fontId="2" type="noConversion"/>
  </si>
  <si>
    <t>→ 직영POS 결제 DATA 집계 오류 예상됨</t>
    <phoneticPr fontId="2" type="noConversion"/>
  </si>
  <si>
    <t>목적  :  전브랜드 순수직영점 현금 미수 현황 관리</t>
    <phoneticPr fontId="2" type="noConversion"/>
  </si>
  <si>
    <t>→ 현재 수기관리중</t>
    <phoneticPr fontId="2" type="noConversion"/>
  </si>
  <si>
    <t>탑텐 직영매장 비용 현황</t>
    <phoneticPr fontId="2" type="noConversion"/>
  </si>
  <si>
    <t>탑텐 직영매장 비용 등록</t>
    <phoneticPr fontId="2" type="noConversion"/>
  </si>
  <si>
    <t>탑텐 직영매장 예산 관리</t>
    <phoneticPr fontId="2" type="noConversion"/>
  </si>
  <si>
    <t>매장코드 관리체계 변경 필요</t>
    <phoneticPr fontId="2" type="noConversion"/>
  </si>
  <si>
    <t>; 현재 앞자리 알파벳으로 의미두어 사용하는 부분을 SQN 로 변경후, 유형 구분을 통해 수정필요 발생시 변경되어야 함</t>
    <phoneticPr fontId="2" type="noConversion"/>
  </si>
  <si>
    <t>; 법인유통 사업자번호 변경시, 하위 매장들에 대한 일괄적인 참조정보 변경 가능토록 변경 요</t>
    <phoneticPr fontId="2" type="noConversion"/>
  </si>
  <si>
    <t>사업부 코드와 관련한 자브랜드 생성에 대한 명확한 기준&amp;분류 필요</t>
    <phoneticPr fontId="2" type="noConversion"/>
  </si>
  <si>
    <t>; 현재 자브랜드가 유통&amp;제품 속성에 대한 분류가 혼재되어 있음</t>
    <phoneticPr fontId="2" type="noConversion"/>
  </si>
  <si>
    <t>입고대비스타일원가명세</t>
    <phoneticPr fontId="2" type="noConversion"/>
  </si>
  <si>
    <t>목적  :  사업부 및 회계팀에서 원가 현황 조회용으로 사용</t>
    <phoneticPr fontId="2" type="noConversion"/>
  </si>
  <si>
    <t>→ S-one Data 참고해서 보는 것으로 변경</t>
    <phoneticPr fontId="2" type="noConversion"/>
  </si>
  <si>
    <t>폐기</t>
    <phoneticPr fontId="2" type="noConversion"/>
  </si>
  <si>
    <t>자재수불현황</t>
    <phoneticPr fontId="2" type="noConversion"/>
  </si>
  <si>
    <t>목적  :  회계팀에서 원가 현황 조회용으로 사용</t>
    <phoneticPr fontId="2" type="noConversion"/>
  </si>
  <si>
    <t>입고현황</t>
    <phoneticPr fontId="2" type="noConversion"/>
  </si>
  <si>
    <t>→ Data Source 확인해보고 WMS 제공 가능시 연동해서 조회토록 변경</t>
    <phoneticPr fontId="2" type="noConversion"/>
  </si>
  <si>
    <t>목적  :  물류센터 입고현황 조회용. (영관, 사업부, 소싱, 물류)</t>
    <phoneticPr fontId="2" type="noConversion"/>
  </si>
  <si>
    <t>목적  :  등록주체 (소비자상담실, 물류, 영관)</t>
    <phoneticPr fontId="2" type="noConversion"/>
  </si>
  <si>
    <t>→ 등록화면과 조회화면 구분 개발 필요</t>
    <phoneticPr fontId="2" type="noConversion"/>
  </si>
  <si>
    <t>→ 원가, 소비자가, 객단가 필드 필요없음</t>
    <phoneticPr fontId="2" type="noConversion"/>
  </si>
  <si>
    <t>→ 자가소모 발생유형, 요청주체, 정산주체에 대한 구분 선진행</t>
    <phoneticPr fontId="2" type="noConversion"/>
  </si>
  <si>
    <t>과입고</t>
    <phoneticPr fontId="2" type="noConversion"/>
  </si>
  <si>
    <t>* [중요] 이동중재고는 Center 거점의 WMS 재고수량과 일치시키기 위해 (Data간 Cross-check 목적) 'In-Transit (이동중재고)' 거점을 가상으로 운영 필요</t>
    <phoneticPr fontId="2" type="noConversion"/>
  </si>
  <si>
    <t>* 입출고 분류중 순입고, 재고이동 입고, 대체입고, 관리입고, 판매, 재고이동 출고, 대체출고, 관리출고는 추가&amp;삭제 불가. 단, 해당 입출고 분류중 상세 입출고 유형은 유형추가 가능.</t>
    <phoneticPr fontId="2" type="noConversion"/>
  </si>
  <si>
    <t>10-1. 온라인매장 ON주문출고분 (일부)반품요청</t>
    <phoneticPr fontId="2" type="noConversion"/>
  </si>
  <si>
    <t>10-2. 온라인센터 ON반품입고</t>
    <phoneticPr fontId="2" type="noConversion"/>
  </si>
  <si>
    <t>11. 온라인매장 장기 구매확정 지연분 분실 처리</t>
    <phoneticPr fontId="2" type="noConversion"/>
  </si>
  <si>
    <t>* [중요] Style 수불의 기말재고 원가외, 동일 Style 칼라&amp;Size 의 기말재고 원가는 차월이월 되지 않음. 매월 기초 Style 수불 기초재고원가 기준 재산출</t>
    <phoneticPr fontId="2" type="noConversion"/>
  </si>
  <si>
    <t>수시</t>
    <phoneticPr fontId="2" type="noConversion"/>
  </si>
  <si>
    <t>월말</t>
    <phoneticPr fontId="2" type="noConversion"/>
  </si>
  <si>
    <t>주별</t>
    <phoneticPr fontId="2" type="noConversion"/>
  </si>
  <si>
    <t>목적 :  남성복, TK 오프라인 마일리지</t>
    <phoneticPr fontId="2" type="noConversion"/>
  </si>
  <si>
    <t>→ POS 내에 고객정보 등록화면 有</t>
    <phoneticPr fontId="2" type="noConversion"/>
  </si>
  <si>
    <t>→ 브랜드마다 적립율 &amp; 매장/본사 분담율 상이</t>
    <phoneticPr fontId="2" type="noConversion"/>
  </si>
  <si>
    <t>→ 매장 분담분은 공제화면 연동, 본사 분담분은 매출할인(매장 가품번 '-'판매)으로 처리</t>
    <phoneticPr fontId="2" type="noConversion"/>
  </si>
  <si>
    <t>→ 실제 판매일 기준 일배치로 처리되면서 반영되고 있음 (확인필요)</t>
    <phoneticPr fontId="2" type="noConversion"/>
  </si>
  <si>
    <t xml:space="preserve">     단, 온라인 마일리지 충당부채와 별도로 충당부채 월정산시 산출 (해당 화면 통해 회계팀에서 처리)</t>
    <phoneticPr fontId="2" type="noConversion"/>
  </si>
  <si>
    <t>→ 마일리지 수불현황이 적용되고 있지 않음 (기초,적립,사용,기말)</t>
    <phoneticPr fontId="2" type="noConversion"/>
  </si>
  <si>
    <t>→ 실고객, 실판매, 실적립 등 세부내역 확인 애로</t>
    <phoneticPr fontId="2" type="noConversion"/>
  </si>
  <si>
    <t>[요청] 브랜드별 적립,사용기준</t>
    <phoneticPr fontId="2" type="noConversion"/>
  </si>
  <si>
    <t>[개선] '앱으로 대동단결' PJ 시행 연동, 온라인 마일리지 적립으로 전환 검토 (탑텐외에 어려움 있음)</t>
    <phoneticPr fontId="2" type="noConversion"/>
  </si>
  <si>
    <t>** 정우대리 문의 필요 (문과장 신규 감사인 제시기준과 동일 여부 확인 필요)</t>
    <phoneticPr fontId="2" type="noConversion"/>
  </si>
  <si>
    <t>보류</t>
    <phoneticPr fontId="2" type="noConversion"/>
  </si>
  <si>
    <t>→ 수익인식 조정 필요에 의해, 매장/창고 구분해 산출 후, 공급분매장/판매분매장 구분 산출 필요</t>
    <phoneticPr fontId="2" type="noConversion"/>
  </si>
  <si>
    <t>마감엑셀현황 각 항목별 내역 및 Logic 확인 필요</t>
    <phoneticPr fontId="2" type="noConversion"/>
  </si>
  <si>
    <t>→ 재고별 재고평가충당요율 공통관리 화면 無</t>
    <phoneticPr fontId="2" type="noConversion"/>
  </si>
  <si>
    <t>상품수불부</t>
    <phoneticPr fontId="2" type="noConversion"/>
  </si>
  <si>
    <t>** 확인필요</t>
    <phoneticPr fontId="2" type="noConversion"/>
  </si>
  <si>
    <t>상품수불부(매입원가)</t>
    <phoneticPr fontId="2" type="noConversion"/>
  </si>
  <si>
    <t>거래명세서 현황</t>
    <phoneticPr fontId="2" type="noConversion"/>
  </si>
  <si>
    <t>!!중요!!</t>
    <phoneticPr fontId="2" type="noConversion"/>
  </si>
  <si>
    <t>*** [목적] 거점별 諸입출고내역 현황 조회</t>
    <phoneticPr fontId="2" type="noConversion"/>
  </si>
  <si>
    <t>경영기획실</t>
    <phoneticPr fontId="2" type="noConversion"/>
  </si>
  <si>
    <t>(Fashion Biz Management System)</t>
    <phoneticPr fontId="2" type="noConversion"/>
  </si>
  <si>
    <t>2022. 00. 00</t>
    <phoneticPr fontId="2" type="noConversion"/>
  </si>
  <si>
    <t>Distribution Center</t>
    <phoneticPr fontId="2" type="noConversion"/>
  </si>
  <si>
    <t>제상품 생산처 입고 등록</t>
    <phoneticPr fontId="2" type="noConversion"/>
  </si>
  <si>
    <t>재고이동 입고</t>
    <phoneticPr fontId="2" type="noConversion"/>
  </si>
  <si>
    <t>재고이동 출고</t>
    <phoneticPr fontId="2" type="noConversion"/>
  </si>
  <si>
    <t>분실</t>
    <phoneticPr fontId="2" type="noConversion"/>
  </si>
  <si>
    <t>과부족</t>
  </si>
  <si>
    <t>재고실사조정</t>
  </si>
  <si>
    <t>매장에서 본사 요청으로 자가소모 물량 출고시, 자가소모 창고로 off반품출고 처리</t>
    <phoneticPr fontId="2" type="noConversion"/>
  </si>
  <si>
    <t>샘플</t>
    <phoneticPr fontId="2" type="noConversion"/>
  </si>
  <si>
    <t>거점매장에서 온라인 출고시, 해당 온라인몰로 RT 처리</t>
    <phoneticPr fontId="2" type="noConversion"/>
  </si>
  <si>
    <t>판부자재는 저장품과 소모품으로 재분류하고, 소모품 유형은 매입시 소모품비로 정리 (수불관리 X), 저장품도 광고선전비 등으로 선 비용처리 후, 코드를 SKU 코드로 생성해 수불관리</t>
    <phoneticPr fontId="2" type="noConversion"/>
  </si>
  <si>
    <t>단, 저장품, 소모품 유형도 매장 출고요청 필요</t>
    <phoneticPr fontId="2" type="noConversion"/>
  </si>
  <si>
    <t>단, 소모품 유형은 매장 출고시, 분담율 기준 정산하고 기타매출 처리</t>
    <phoneticPr fontId="2" type="noConversion"/>
  </si>
  <si>
    <t>판부자재 매장 출고등록시, 내역에서 기타매출 정산 Logic 태워야 함</t>
    <phoneticPr fontId="2" type="noConversion"/>
  </si>
  <si>
    <t>In-Transit 거점에서도 가상창고로 가는거는 자동처리 필요</t>
    <phoneticPr fontId="2" type="noConversion"/>
  </si>
  <si>
    <t>■ 거래유형(Transaction) 마스터 운영기준</t>
    <phoneticPr fontId="2" type="noConversion"/>
  </si>
  <si>
    <t>순입고</t>
    <phoneticPr fontId="2" type="noConversion"/>
  </si>
  <si>
    <t>입고유형</t>
    <phoneticPr fontId="2" type="noConversion"/>
  </si>
  <si>
    <t>Class 1</t>
    <phoneticPr fontId="2" type="noConversion"/>
  </si>
  <si>
    <t>Class 2</t>
    <phoneticPr fontId="2" type="noConversion"/>
  </si>
  <si>
    <t>거점입고</t>
    <phoneticPr fontId="2" type="noConversion"/>
  </si>
  <si>
    <t>On주문입고</t>
    <phoneticPr fontId="2" type="noConversion"/>
  </si>
  <si>
    <t>Off반품입고</t>
    <phoneticPr fontId="2" type="noConversion"/>
  </si>
  <si>
    <t>* 생산처(소싱처) 로부터 최초 생산/매입</t>
    <phoneticPr fontId="2" type="noConversion"/>
  </si>
  <si>
    <t>재고이동 입고</t>
    <phoneticPr fontId="2" type="noConversion"/>
  </si>
  <si>
    <t>생산&amp;매입</t>
    <phoneticPr fontId="2" type="noConversion"/>
  </si>
  <si>
    <t>관리입고</t>
    <phoneticPr fontId="2" type="noConversion"/>
  </si>
  <si>
    <t>과입고</t>
    <phoneticPr fontId="2" type="noConversion"/>
  </si>
  <si>
    <t>재고실사조정</t>
    <phoneticPr fontId="2" type="noConversion"/>
  </si>
  <si>
    <t>(WMS I/F)</t>
    <phoneticPr fontId="2" type="noConversion"/>
  </si>
  <si>
    <t>관련 Menu</t>
    <phoneticPr fontId="2" type="noConversion"/>
  </si>
  <si>
    <t>오프라인 매장 반품 요청</t>
    <phoneticPr fontId="2" type="noConversion"/>
  </si>
  <si>
    <t>출고유형</t>
    <phoneticPr fontId="2" type="noConversion"/>
  </si>
  <si>
    <t>(N/A)</t>
    <phoneticPr fontId="2" type="noConversion"/>
  </si>
  <si>
    <t>Transaction</t>
  </si>
  <si>
    <t>수불유형(대)</t>
    <phoneticPr fontId="2" type="noConversion"/>
  </si>
  <si>
    <t>수불유형(중)</t>
    <phoneticPr fontId="2" type="noConversion"/>
  </si>
  <si>
    <t>대체입고</t>
    <phoneticPr fontId="2" type="noConversion"/>
  </si>
  <si>
    <t>대체입고</t>
    <phoneticPr fontId="2" type="noConversion"/>
  </si>
  <si>
    <t>(WMS I/F - 논의필요)</t>
    <phoneticPr fontId="2" type="noConversion"/>
  </si>
  <si>
    <t>대체출고</t>
    <phoneticPr fontId="2" type="noConversion"/>
  </si>
  <si>
    <t>재고이동 출고</t>
    <phoneticPr fontId="2" type="noConversion"/>
  </si>
  <si>
    <t>On주문출고</t>
    <phoneticPr fontId="2" type="noConversion"/>
  </si>
  <si>
    <t>On반품출고</t>
    <phoneticPr fontId="2" type="noConversion"/>
  </si>
  <si>
    <t>Off반품출고</t>
    <phoneticPr fontId="2" type="noConversion"/>
  </si>
  <si>
    <t>대체출고</t>
    <phoneticPr fontId="2" type="noConversion"/>
  </si>
  <si>
    <t>판매</t>
    <phoneticPr fontId="2" type="noConversion"/>
  </si>
  <si>
    <t>(WMS I/F) , 제상품 대체 등록</t>
    <phoneticPr fontId="2" type="noConversion"/>
  </si>
  <si>
    <t>자가소모</t>
    <phoneticPr fontId="2" type="noConversion"/>
  </si>
  <si>
    <t>자가소모 정산 등록</t>
    <phoneticPr fontId="2" type="noConversion"/>
  </si>
  <si>
    <t>Type</t>
    <phoneticPr fontId="2" type="noConversion"/>
  </si>
  <si>
    <t>거점출고</t>
    <phoneticPr fontId="2" type="noConversion"/>
  </si>
  <si>
    <t>(사유별 유형 재정의)</t>
    <phoneticPr fontId="2" type="noConversion"/>
  </si>
  <si>
    <t>* 諸자가소모 정산처리는 가상창고인 '자가소모 창고' 로 재고이동(거점출고) 후, 처리 원칙 (단, 물리적 센터의 경우 Logic 에 따라 단독 처리 가능 필요여부 확인요망)</t>
    <phoneticPr fontId="2" type="noConversion"/>
  </si>
  <si>
    <t>* Only '자가소모 창고' 처리 원칙</t>
    <phoneticPr fontId="2" type="noConversion"/>
  </si>
  <si>
    <t>On반품입고</t>
    <phoneticPr fontId="2" type="noConversion"/>
  </si>
  <si>
    <t>* [중요] 대체입출고, 재고이동입출고 의 경우, 반드시 동일TR 기준 입출고 대응 구분.  Ex) '대체입고↔대체출고' , 'RT입고↔RT출고' 등</t>
    <phoneticPr fontId="2" type="noConversion"/>
  </si>
  <si>
    <t>* 수불유형(대),(중)은 '거점별 제상품 수불부' 구성을 위한 분류키 임.</t>
    <phoneticPr fontId="2" type="noConversion"/>
  </si>
  <si>
    <t>* Off-line Store 로 입고 경우, 공급액(+) 필요</t>
    <phoneticPr fontId="2" type="noConversion"/>
  </si>
  <si>
    <t>* Off-line Store 로부터 출고 경우, 공급액(-) 필요</t>
    <phoneticPr fontId="2" type="noConversion"/>
  </si>
  <si>
    <t>(물리)Center</t>
    <phoneticPr fontId="2" type="noConversion"/>
  </si>
  <si>
    <t>諸 Depot</t>
    <phoneticPr fontId="2" type="noConversion"/>
  </si>
  <si>
    <t>Center</t>
    <phoneticPr fontId="2" type="noConversion"/>
  </si>
  <si>
    <t>(On-line) Store</t>
  </si>
  <si>
    <t>(Off-line) Store</t>
    <phoneticPr fontId="2" type="noConversion"/>
  </si>
  <si>
    <t>자가소모 창고</t>
    <phoneticPr fontId="2" type="noConversion"/>
  </si>
  <si>
    <t>TR활성 Depot</t>
    <phoneticPr fontId="2" type="noConversion"/>
  </si>
  <si>
    <t>* 생산처(소싱처) 최초 생산/매입시만 적용 가능</t>
    <phoneticPr fontId="2" type="noConversion"/>
  </si>
  <si>
    <t>■ 매장(Store) 마스터 운영기준</t>
    <phoneticPr fontId="2" type="noConversion"/>
  </si>
  <si>
    <t>On-Center , 거점매장</t>
    <phoneticPr fontId="2" type="noConversion"/>
  </si>
  <si>
    <t>* Source/Target Depot 정보 필요</t>
    <phoneticPr fontId="2" type="noConversion"/>
  </si>
  <si>
    <t>과입고</t>
    <phoneticPr fontId="2" type="noConversion"/>
  </si>
  <si>
    <t>On반품입고</t>
    <phoneticPr fontId="2" type="noConversion"/>
  </si>
  <si>
    <t>Off반품입고</t>
    <phoneticPr fontId="2" type="noConversion"/>
  </si>
  <si>
    <t>On반품출고</t>
    <phoneticPr fontId="2" type="noConversion"/>
  </si>
  <si>
    <t>Off반품출고</t>
    <phoneticPr fontId="2" type="noConversion"/>
  </si>
  <si>
    <t xml:space="preserve"> </t>
    <phoneticPr fontId="2" type="noConversion"/>
  </si>
  <si>
    <t>유통형태별</t>
    <phoneticPr fontId="2" type="noConversion"/>
  </si>
  <si>
    <t>Class 1</t>
    <phoneticPr fontId="2" type="noConversion"/>
  </si>
  <si>
    <t>온라인</t>
    <phoneticPr fontId="2" type="noConversion"/>
  </si>
  <si>
    <t>Class 2</t>
    <phoneticPr fontId="2" type="noConversion"/>
  </si>
  <si>
    <t>오프라인</t>
    <phoneticPr fontId="2" type="noConversion"/>
  </si>
  <si>
    <t>백화점</t>
    <phoneticPr fontId="2" type="noConversion"/>
  </si>
  <si>
    <t>Class 3</t>
    <phoneticPr fontId="2" type="noConversion"/>
  </si>
  <si>
    <t>롯데</t>
    <phoneticPr fontId="2" type="noConversion"/>
  </si>
  <si>
    <t>신세계</t>
    <phoneticPr fontId="2" type="noConversion"/>
  </si>
  <si>
    <t>현대</t>
    <phoneticPr fontId="2" type="noConversion"/>
  </si>
  <si>
    <t>...</t>
    <phoneticPr fontId="2" type="noConversion"/>
  </si>
  <si>
    <t>아울렛</t>
    <phoneticPr fontId="2" type="noConversion"/>
  </si>
  <si>
    <t>쇼핑몰</t>
    <phoneticPr fontId="2" type="noConversion"/>
  </si>
  <si>
    <t>타임스퀘어</t>
    <phoneticPr fontId="2" type="noConversion"/>
  </si>
  <si>
    <t>NC</t>
    <phoneticPr fontId="2" type="noConversion"/>
  </si>
  <si>
    <t>할인마트</t>
    <phoneticPr fontId="2" type="noConversion"/>
  </si>
  <si>
    <t>이마트</t>
    <phoneticPr fontId="2" type="noConversion"/>
  </si>
  <si>
    <t>롯데마트</t>
    <phoneticPr fontId="2" type="noConversion"/>
  </si>
  <si>
    <t>대리점</t>
    <phoneticPr fontId="2" type="noConversion"/>
  </si>
  <si>
    <t>직영점</t>
    <phoneticPr fontId="2" type="noConversion"/>
  </si>
  <si>
    <t>가두직영점</t>
    <phoneticPr fontId="2" type="noConversion"/>
  </si>
  <si>
    <t>SSTS몰</t>
    <phoneticPr fontId="2" type="noConversion"/>
  </si>
  <si>
    <t>자사몰</t>
    <phoneticPr fontId="2" type="noConversion"/>
  </si>
  <si>
    <t>외부몰</t>
    <phoneticPr fontId="2" type="noConversion"/>
  </si>
  <si>
    <t>계약형태별</t>
    <phoneticPr fontId="2" type="noConversion"/>
  </si>
  <si>
    <t>판매분 매입</t>
    <phoneticPr fontId="2" type="noConversion"/>
  </si>
  <si>
    <t>공급분 매입</t>
    <phoneticPr fontId="2" type="noConversion"/>
  </si>
  <si>
    <t>임대을</t>
    <phoneticPr fontId="2" type="noConversion"/>
  </si>
  <si>
    <t>위탁판매</t>
    <phoneticPr fontId="2" type="noConversion"/>
  </si>
  <si>
    <t>직영</t>
    <phoneticPr fontId="2" type="noConversion"/>
  </si>
  <si>
    <t>순수직영</t>
    <phoneticPr fontId="2" type="noConversion"/>
  </si>
  <si>
    <t>관리형직영</t>
    <phoneticPr fontId="2" type="noConversion"/>
  </si>
  <si>
    <t>기타유통</t>
    <phoneticPr fontId="2" type="noConversion"/>
  </si>
  <si>
    <t>1. 유통형태별 유형구분</t>
    <phoneticPr fontId="2" type="noConversion"/>
  </si>
  <si>
    <t>2. 계약형태별 유형구분</t>
    <phoneticPr fontId="2" type="noConversion"/>
  </si>
  <si>
    <t>:  매장 신규생성시, 해당 매장의 비용관리 필요 유무와 사용계정에 대해 선택 관리</t>
    <phoneticPr fontId="2" type="noConversion"/>
  </si>
  <si>
    <t>4. 매장비용 관리 구분</t>
    <phoneticPr fontId="2" type="noConversion"/>
  </si>
  <si>
    <t>5. 입금 관리 구분</t>
    <phoneticPr fontId="2" type="noConversion"/>
  </si>
  <si>
    <t>:  매장 신규생성시, 해당 매장의 입금관리 필요 유무와 사용계정에 대해 선택 관리</t>
    <phoneticPr fontId="2" type="noConversion"/>
  </si>
  <si>
    <t>3. 중간관리 매장 구분</t>
    <phoneticPr fontId="2" type="noConversion"/>
  </si>
  <si>
    <t>※ [중요] 매장별 사업자번호 참조필드 적용 및 History 관리 필요</t>
    <phoneticPr fontId="2" type="noConversion"/>
  </si>
  <si>
    <t xml:space="preserve">   → 가능시 사업자번호별 매장그룹 관리 화면 추가 개발 요</t>
    <phoneticPr fontId="2" type="noConversion"/>
  </si>
  <si>
    <t xml:space="preserve">  [중요] 중관관리자 등록 및 이력관리 등 화면 필요</t>
    <phoneticPr fontId="2" type="noConversion"/>
  </si>
  <si>
    <t>:  매장 신규생성시, 중간관리자 유무 선택</t>
    <phoneticPr fontId="2" type="noConversion"/>
  </si>
  <si>
    <t>※ 상권별 유형구분 (참조유형)</t>
    <phoneticPr fontId="2" type="noConversion"/>
  </si>
  <si>
    <t>;   사업부 및 기획실 분석 위한 참조용 매장마스터 유형 구분 필요</t>
    <phoneticPr fontId="2" type="noConversion"/>
  </si>
  <si>
    <t>특정매입</t>
    <phoneticPr fontId="2" type="noConversion"/>
  </si>
  <si>
    <t>:  매장 신규생성시, 해당 매장의 세금계산서 정발행, 역발행 유무 선택 관리</t>
    <phoneticPr fontId="2" type="noConversion"/>
  </si>
  <si>
    <t>기타</t>
    <phoneticPr fontId="2" type="noConversion"/>
  </si>
  <si>
    <t>* 회계팀과 매장유형 구분이 성격은 동일하나 상이하게 운용됨. 논의후 일원화 필요</t>
    <phoneticPr fontId="2" type="noConversion"/>
  </si>
  <si>
    <t>사입거래선</t>
    <phoneticPr fontId="2" type="noConversion"/>
  </si>
  <si>
    <t>→ 세 가지는 별도로 매장코드 속성값 부여 없이 진행. 단, 중간관리는 중간관리지 관리 화면에서 매장을 지정하는 것으로 진행</t>
    <phoneticPr fontId="2" type="noConversion"/>
  </si>
  <si>
    <t>Store</t>
    <phoneticPr fontId="2" type="noConversion"/>
  </si>
  <si>
    <t>* 제상품 범주에 저장품 포함할지 여부 및 판부자재 입고등록시 적용되는 범주 기준 마련 필요 (제상품 = 제상품 + 저장품 , 판부자재 = Box, Tape 등)</t>
    <phoneticPr fontId="2" type="noConversion"/>
  </si>
  <si>
    <t>* 매장간 RT 관리화면은 통합해 관리해야 할 필요성 있음</t>
    <phoneticPr fontId="2" type="noConversion"/>
  </si>
  <si>
    <t>(C2C, C2S, S2S, S2C)</t>
    <phoneticPr fontId="2" type="noConversion"/>
  </si>
  <si>
    <t>자가소모 창고</t>
    <phoneticPr fontId="2" type="noConversion"/>
  </si>
  <si>
    <t xml:space="preserve">  In-Transit</t>
    <phoneticPr fontId="2" type="noConversion"/>
  </si>
  <si>
    <t xml:space="preserve">   Center</t>
    <phoneticPr fontId="2" type="noConversion"/>
  </si>
  <si>
    <t xml:space="preserve">   Store</t>
    <phoneticPr fontId="2" type="noConversion"/>
  </si>
  <si>
    <t>Off-Store</t>
    <phoneticPr fontId="2" type="noConversion"/>
  </si>
  <si>
    <t>(On-line) Store</t>
    <phoneticPr fontId="2" type="noConversion"/>
  </si>
  <si>
    <t>(Off-line) Store</t>
    <phoneticPr fontId="2" type="noConversion"/>
  </si>
  <si>
    <t>* Depot별 출고 TR 발생시, In-Transit 미적용 Case</t>
    <phoneticPr fontId="2" type="noConversion"/>
  </si>
  <si>
    <t>Off-line Center</t>
    <phoneticPr fontId="2" type="noConversion"/>
  </si>
  <si>
    <t>On-line Center</t>
    <phoneticPr fontId="2" type="noConversion"/>
  </si>
  <si>
    <t>Virtual Center</t>
    <phoneticPr fontId="2" type="noConversion"/>
  </si>
  <si>
    <t>Virtual Store</t>
    <phoneticPr fontId="2" type="noConversion"/>
  </si>
  <si>
    <t xml:space="preserve">  ② (물리) Depot (Center or Store) 에서 출고시, Target Depot 가 가상Depot (Virtual Center, Virtual Store) 의 경우</t>
    <phoneticPr fontId="2" type="noConversion"/>
  </si>
  <si>
    <t xml:space="preserve">  ③ 출고 TR 유형이, On주문출고, On반품출고의 경우</t>
    <phoneticPr fontId="2" type="noConversion"/>
  </si>
  <si>
    <t xml:space="preserve">  ① 동일 Depot 내 대체출고, 재고실사조정, 과부족, 자가소모 출고의 경우</t>
    <phoneticPr fontId="2" type="noConversion"/>
  </si>
  <si>
    <t>* 판부자재의 경우 제상품 코드와 같이 운영되는 저장품의 경우는 제상품 In-Transit 과 공통 활용 및 승인처리. 소모품 등의 경우 승인과정 생략.</t>
    <phoneticPr fontId="2" type="noConversion"/>
  </si>
  <si>
    <t>In-Transit (이동중 재고 창고)</t>
    <phoneticPr fontId="2" type="noConversion"/>
  </si>
  <si>
    <t>자가소모 창고</t>
    <phoneticPr fontId="2" type="noConversion"/>
  </si>
  <si>
    <t>: 모든 Depot 별 or 전사 (재무회계 기준) 제상품 재고수불 현황</t>
    <phoneticPr fontId="2" type="noConversion"/>
  </si>
  <si>
    <t>* Store 외 Depot 에서 판매 처리 이슈</t>
    <phoneticPr fontId="2" type="noConversion"/>
  </si>
  <si>
    <t>* 매장 불량(환불)제품 처리 프로세스</t>
    <phoneticPr fontId="2" type="noConversion"/>
  </si>
  <si>
    <t>제품대체시 공급가는 어떻게 처리??</t>
    <phoneticPr fontId="2" type="noConversion"/>
  </si>
  <si>
    <t>CC간 입고</t>
    <phoneticPr fontId="2" type="noConversion"/>
  </si>
  <si>
    <t>CS간 입고</t>
    <phoneticPr fontId="2" type="noConversion"/>
  </si>
  <si>
    <t>SS간 입고</t>
    <phoneticPr fontId="2" type="noConversion"/>
  </si>
  <si>
    <t>센터간 제상품 재고이동</t>
    <phoneticPr fontId="2" type="noConversion"/>
  </si>
  <si>
    <t>센터-매장간 제상품 재고이동</t>
    <phoneticPr fontId="2" type="noConversion"/>
  </si>
  <si>
    <t>매장간 제상품 RT 재고이동</t>
    <phoneticPr fontId="2" type="noConversion"/>
  </si>
  <si>
    <t>Store</t>
    <phoneticPr fontId="2" type="noConversion"/>
  </si>
  <si>
    <t>CC간 출고</t>
    <phoneticPr fontId="2" type="noConversion"/>
  </si>
  <si>
    <t>CS간 출고</t>
    <phoneticPr fontId="2" type="noConversion"/>
  </si>
  <si>
    <t>SS간 출고</t>
    <phoneticPr fontId="2" type="noConversion"/>
  </si>
  <si>
    <t>CC간입고</t>
    <phoneticPr fontId="2" type="noConversion"/>
  </si>
  <si>
    <t>SS간입고</t>
    <phoneticPr fontId="2" type="noConversion"/>
  </si>
  <si>
    <t>CS간입고</t>
    <phoneticPr fontId="2" type="noConversion"/>
  </si>
  <si>
    <t>CC간출고</t>
    <phoneticPr fontId="2" type="noConversion"/>
  </si>
  <si>
    <t>CS간출고</t>
    <phoneticPr fontId="2" type="noConversion"/>
  </si>
  <si>
    <t>SS간출고</t>
    <phoneticPr fontId="2" type="noConversion"/>
  </si>
  <si>
    <t>온라인주문출고</t>
    <phoneticPr fontId="2" type="noConversion"/>
  </si>
  <si>
    <t>온라인주문입고</t>
    <phoneticPr fontId="2" type="noConversion"/>
  </si>
  <si>
    <t>시즌반품출고</t>
    <phoneticPr fontId="2" type="noConversion"/>
  </si>
  <si>
    <t>시즌반품입고</t>
    <phoneticPr fontId="2" type="noConversion"/>
  </si>
  <si>
    <t>4. 세금계산서 발행 구분</t>
    <phoneticPr fontId="2" type="noConversion"/>
  </si>
  <si>
    <t>9-one 개발요청서</t>
    <phoneticPr fontId="2" type="noConversion"/>
  </si>
  <si>
    <t>■ Process MAP</t>
    <phoneticPr fontId="2" type="noConversion"/>
  </si>
  <si>
    <t>* Off-line Store 로 입출고 경우, 공급액 조정 필요</t>
    <phoneticPr fontId="2" type="noConversion"/>
  </si>
  <si>
    <t>서브 브랜드</t>
    <phoneticPr fontId="2" type="noConversion"/>
  </si>
  <si>
    <t>연도</t>
    <phoneticPr fontId="2" type="noConversion"/>
  </si>
  <si>
    <t>시즌</t>
    <phoneticPr fontId="2" type="noConversion"/>
  </si>
  <si>
    <t>C</t>
    <phoneticPr fontId="2" type="noConversion"/>
  </si>
  <si>
    <t>성별</t>
    <phoneticPr fontId="2" type="noConversion"/>
  </si>
  <si>
    <t>복종(대)</t>
    <phoneticPr fontId="2" type="noConversion"/>
  </si>
  <si>
    <t>복종(소)</t>
    <phoneticPr fontId="2" type="noConversion"/>
  </si>
  <si>
    <t>SQN</t>
    <phoneticPr fontId="2" type="noConversion"/>
  </si>
  <si>
    <t>╋</t>
    <phoneticPr fontId="2" type="noConversion"/>
  </si>
  <si>
    <t>차수</t>
    <phoneticPr fontId="2" type="noConversion"/>
  </si>
  <si>
    <t>C</t>
    <phoneticPr fontId="2" type="noConversion"/>
  </si>
  <si>
    <t>G</t>
    <phoneticPr fontId="2" type="noConversion"/>
  </si>
  <si>
    <t>A</t>
    <phoneticPr fontId="2" type="noConversion"/>
  </si>
  <si>
    <t>-</t>
    <phoneticPr fontId="2" type="noConversion"/>
  </si>
  <si>
    <t>서브 브랜드</t>
    <phoneticPr fontId="2" type="noConversion"/>
  </si>
  <si>
    <t>Ex) ZR, ZO, ZA, ZP 등</t>
    <phoneticPr fontId="2" type="noConversion"/>
  </si>
  <si>
    <t>연도</t>
    <phoneticPr fontId="2" type="noConversion"/>
  </si>
  <si>
    <t>Ex) B=2021, C=2022, D=2023 등</t>
    <phoneticPr fontId="2" type="noConversion"/>
  </si>
  <si>
    <t>시즌</t>
    <phoneticPr fontId="2" type="noConversion"/>
  </si>
  <si>
    <t>Ex) 1=Spring, 2=Summer, 3=Fall, 4=Winter, 5=Four Season</t>
    <phoneticPr fontId="2" type="noConversion"/>
  </si>
  <si>
    <t>복종(대/소)</t>
    <phoneticPr fontId="2" type="noConversion"/>
  </si>
  <si>
    <t>* 별도 복종 테이블 참조</t>
    <phoneticPr fontId="2" type="noConversion"/>
  </si>
  <si>
    <t>성별</t>
    <phoneticPr fontId="2" type="noConversion"/>
  </si>
  <si>
    <t>Ex) 1=Male, 2=Female, 3=Unisex</t>
    <phoneticPr fontId="2" type="noConversion"/>
  </si>
  <si>
    <t>구분</t>
    <phoneticPr fontId="2" type="noConversion"/>
  </si>
  <si>
    <t>구분</t>
    <phoneticPr fontId="2" type="noConversion"/>
  </si>
  <si>
    <t>* 브랜드별 적용기준 상이 (삭제 필요)</t>
    <phoneticPr fontId="2" type="noConversion"/>
  </si>
  <si>
    <t>SQN</t>
    <phoneticPr fontId="2" type="noConversion"/>
  </si>
  <si>
    <t>*</t>
    <phoneticPr fontId="2" type="noConversion"/>
  </si>
  <si>
    <t>차수는 주문차수로 품번체계와 무관</t>
    <phoneticPr fontId="2" type="noConversion"/>
  </si>
  <si>
    <t>AS-IS</t>
    <phoneticPr fontId="2" type="noConversion"/>
  </si>
  <si>
    <t>ZIOZIA</t>
    <phoneticPr fontId="2" type="noConversion"/>
  </si>
  <si>
    <t>Brand Name</t>
    <phoneticPr fontId="2" type="noConversion"/>
  </si>
  <si>
    <t>Brand 상위코드</t>
    <phoneticPr fontId="2" type="noConversion"/>
  </si>
  <si>
    <t>A</t>
    <phoneticPr fontId="2" type="noConversion"/>
  </si>
  <si>
    <t>AA</t>
    <phoneticPr fontId="2" type="noConversion"/>
  </si>
  <si>
    <t>AZ</t>
    <phoneticPr fontId="2" type="noConversion"/>
  </si>
  <si>
    <t>AB</t>
    <phoneticPr fontId="2" type="noConversion"/>
  </si>
  <si>
    <t>AC</t>
    <phoneticPr fontId="2" type="noConversion"/>
  </si>
  <si>
    <t>:</t>
    <phoneticPr fontId="2" type="noConversion"/>
  </si>
  <si>
    <t>Sub-brand Code</t>
    <phoneticPr fontId="2" type="noConversion"/>
  </si>
  <si>
    <t>Sub-brand Name</t>
    <phoneticPr fontId="2" type="noConversion"/>
  </si>
  <si>
    <t xml:space="preserve">    Navy</t>
    <phoneticPr fontId="2" type="noConversion"/>
  </si>
  <si>
    <t xml:space="preserve">    And-z</t>
    <phoneticPr fontId="2" type="noConversion"/>
  </si>
  <si>
    <t xml:space="preserve">    White</t>
    <phoneticPr fontId="2" type="noConversion"/>
  </si>
  <si>
    <t xml:space="preserve">    ZIOZIA Black</t>
    <phoneticPr fontId="2" type="noConversion"/>
  </si>
  <si>
    <t>Brand Code</t>
    <phoneticPr fontId="2" type="noConversion"/>
  </si>
  <si>
    <t>A0001</t>
    <phoneticPr fontId="2" type="noConversion"/>
  </si>
  <si>
    <t>TO-BE</t>
    <phoneticPr fontId="2" type="noConversion"/>
  </si>
  <si>
    <t>브랜드 코드체계 운영기준</t>
    <phoneticPr fontId="2" type="noConversion"/>
  </si>
  <si>
    <t>② Brand 상위코드 기준 생성되던 Sub-brand 를 신규 Sub-brand 필요시, 미사용중인 Sub-brand code (알파벳 두자리) 로 생성 가능</t>
    <phoneticPr fontId="2" type="noConversion"/>
  </si>
  <si>
    <t xml:space="preserve">      - 단, 자사 브랜드만 Sub-brand 생성 가능. 타사 브랜드의 경우 Sub-brand 생성 불가 (Brand Name 별도 생성)</t>
    <phoneticPr fontId="2" type="noConversion"/>
  </si>
  <si>
    <t xml:space="preserve">      - 온라인몰 전용 브랜드의 경우, 온라인몰 별도 브랜드 생성. (Fone 내 브랜드 코드 생성 불가)</t>
    <phoneticPr fontId="2" type="noConversion"/>
  </si>
  <si>
    <t>A(?)</t>
    <phoneticPr fontId="2" type="noConversion"/>
  </si>
  <si>
    <t xml:space="preserve">    위탁판매업체</t>
    <phoneticPr fontId="2" type="noConversion"/>
  </si>
  <si>
    <t>위탁</t>
    <phoneticPr fontId="2" type="noConversion"/>
  </si>
  <si>
    <t>ㅁ</t>
  </si>
  <si>
    <t>ㅁ</t>
    <phoneticPr fontId="2" type="noConversion"/>
  </si>
  <si>
    <t>V</t>
    <phoneticPr fontId="2" type="noConversion"/>
  </si>
  <si>
    <t>③ 생성한 Sub-brand 중 위탁판매 전용 Sub-brand 의 경우, 반드시 위탁구분 체크 필요</t>
    <phoneticPr fontId="2" type="noConversion"/>
  </si>
  <si>
    <t xml:space="preserve">      - 사업부내 위탁판매를 위한 Sub-brand 의 경우, 모든 위탁판매 관련 Sub-brand 를 하나의 코드로 관리</t>
    <phoneticPr fontId="2" type="noConversion"/>
  </si>
  <si>
    <t xml:space="preserve">           →  생성한 Sub-brand 중 위탁판매 전용 Sub-brand 의 경우, 반드시 위탁구분 체크 필요</t>
    <phoneticPr fontId="2" type="noConversion"/>
  </si>
  <si>
    <t xml:space="preserve">                해당 Sub-brand 로 생성되는 품번코드(Style Code)의 경우, 반드시 위탁업체(거래처) 선택 필요 (영업관리 정산 목적)</t>
    <phoneticPr fontId="2" type="noConversion"/>
  </si>
  <si>
    <t>향후, 품번체계를 포함한 전반적인 시스템 체계 구축시, 서브브랜드 코드는 최소 3자리 이상 가져가야 함. (현재 품번체계 변경이 불가한 상황인 관계로 기존 체계 개선하는 선에서 신규 개발 진행)</t>
    <phoneticPr fontId="2" type="noConversion"/>
  </si>
  <si>
    <t>** [중요] 향후, 패션Biz 현황자료는 Sub-brand 기준 및 Brand Code 기준으로도 조회될 수 있도록 해야 함</t>
    <phoneticPr fontId="2" type="noConversion"/>
  </si>
  <si>
    <t>① Brand 상위코드 삭제 &amp; Brand Name 기준 Brand Code 생성</t>
    <phoneticPr fontId="2" type="noConversion"/>
  </si>
  <si>
    <t>1. 상위 브랜드 코드</t>
    <phoneticPr fontId="2" type="noConversion"/>
  </si>
  <si>
    <t xml:space="preserve">        *주) 온라인몰 정산 등을 위해 필요시, 타사 브랜드 코드 생성 (하기 온라인몰내 전용 브랜드 코드 생성시 필요여부 판단 必)</t>
    <phoneticPr fontId="2" type="noConversion"/>
  </si>
  <si>
    <t>■ 브랜드 &amp; 제품 마스터 정보 체계</t>
    <phoneticPr fontId="2" type="noConversion"/>
  </si>
  <si>
    <t>2. 제품 품번(Sytle Code) 체계</t>
    <phoneticPr fontId="2" type="noConversion"/>
  </si>
  <si>
    <t>A</t>
    <phoneticPr fontId="2" type="noConversion"/>
  </si>
  <si>
    <t>*** [목적] 쿠팡 EDI Data 를 직접 끌고와서 거래명세서 (세금계산서) 생성</t>
    <phoneticPr fontId="2" type="noConversion"/>
  </si>
  <si>
    <t>*** [목적] 소싱, 온라인, 오프라인 등 재고부족 사유 대상, 자가소모 관리 화면과 연동 처리</t>
    <phoneticPr fontId="2" type="noConversion"/>
  </si>
  <si>
    <t>*** [목적] 판매분, 공급분, 기타 세가지 유형으로 업체 Data 를 업로드 후 세금계산서 정산 (정발행/역발행)</t>
    <phoneticPr fontId="2" type="noConversion"/>
  </si>
  <si>
    <t>*** [목적] 대리점에 정발행</t>
    <phoneticPr fontId="2" type="noConversion"/>
  </si>
  <si>
    <t>■</t>
    <phoneticPr fontId="2" type="noConversion"/>
  </si>
  <si>
    <t>매장재고실사 등록&amp;관리화면</t>
    <phoneticPr fontId="2" type="noConversion"/>
  </si>
  <si>
    <t>*** 매장 재고실사시, 등록 및 수정 등에 대한 Data 처리 용이토록 화면 개발 필요</t>
    <phoneticPr fontId="2" type="noConversion"/>
  </si>
  <si>
    <t xml:space="preserve"> ao </t>
    <phoneticPr fontId="2" type="noConversion"/>
  </si>
  <si>
    <t>xk</t>
    <phoneticPr fontId="2" type="noConversion"/>
  </si>
  <si>
    <t>(R)</t>
    <phoneticPr fontId="2" type="noConversion"/>
  </si>
  <si>
    <t>판매기준가 변동 현황</t>
    <phoneticPr fontId="2" type="noConversion"/>
  </si>
  <si>
    <t>(A)</t>
    <phoneticPr fontId="2" type="noConversion"/>
  </si>
  <si>
    <t>諸매장 기간별 매출 및 판매수수료 현황</t>
    <phoneticPr fontId="2" type="noConversion"/>
  </si>
  <si>
    <t>諸매장-제상품 기간별 매출 및 판매수수료 현황</t>
    <phoneticPr fontId="2" type="noConversion"/>
  </si>
  <si>
    <t>(실시간) 매장별 월 매출 및 유통수수료 현황</t>
    <phoneticPr fontId="2" type="noConversion"/>
  </si>
  <si>
    <t>(실시간) 매장별 월 세부 판매현황</t>
    <phoneticPr fontId="2" type="noConversion"/>
  </si>
  <si>
    <t>(실시간) 매장별 제상품 월 매출 및 판매수수료 현황</t>
    <phoneticPr fontId="2" type="noConversion"/>
  </si>
  <si>
    <t>제상품 판매기준가 변경 승인 관리</t>
    <phoneticPr fontId="2" type="noConversion"/>
  </si>
  <si>
    <t>1-1. 제상품 판매기준가 변경 승인 관리</t>
    <phoneticPr fontId="2" type="noConversion"/>
  </si>
  <si>
    <t>;  (사업부) 브랜드기획팀 최초 제상품 일괄 판매기준가 등록 후, 특정 매장기준 판매기준가 변경시 승인 대상</t>
    <phoneticPr fontId="2" type="noConversion"/>
  </si>
  <si>
    <t>매장별 월 수기 판매등록 (영관용)</t>
    <phoneticPr fontId="2" type="noConversion"/>
  </si>
  <si>
    <t>1-2. 매장별 월 수기 판매등록 (영관용)</t>
    <phoneticPr fontId="2" type="noConversion"/>
  </si>
  <si>
    <t>* [요청] 어떤 판매기준가 변경에 대해 승인관리를 할지 기준 필요</t>
    <phoneticPr fontId="2" type="noConversion"/>
  </si>
  <si>
    <t>1-1.</t>
    <phoneticPr fontId="2" type="noConversion"/>
  </si>
  <si>
    <t>1-2.</t>
    <phoneticPr fontId="2" type="noConversion"/>
  </si>
  <si>
    <t>(R) 판매기준가 변동 현황</t>
    <phoneticPr fontId="2" type="noConversion"/>
  </si>
  <si>
    <t>;  제상품 판매기준가 변경 승인 관리를 포함한 諸스타일 판매기준가 일자별 변경내역 조회 화면</t>
    <phoneticPr fontId="2" type="noConversion"/>
  </si>
  <si>
    <t>(R) 諸매장 기간별 매출 및 판매수수료 현황</t>
    <phoneticPr fontId="2" type="noConversion"/>
  </si>
  <si>
    <t>-</t>
    <phoneticPr fontId="2" type="noConversion"/>
  </si>
  <si>
    <t>:   매장+유통수수료 허들+판매수량+TAG가+판매가+할인율+매출채권+유통마진</t>
    <phoneticPr fontId="2" type="noConversion"/>
  </si>
  <si>
    <t xml:space="preserve">    → 요청 필드중 원가항목은 제외 (대외비), 원가 이하 판매와 관련한 통제는 별도 대안 마련</t>
    <phoneticPr fontId="2" type="noConversion"/>
  </si>
  <si>
    <t>조회조건</t>
    <phoneticPr fontId="2" type="noConversion"/>
  </si>
  <si>
    <t>:   월단위 기간 from~to (최대 현재월 기준 과거 12개월 조회) , 사업부 , 유통형태별/계약형태별 매장유형 , 매장코드 , 매장명</t>
    <phoneticPr fontId="2" type="noConversion"/>
  </si>
  <si>
    <t>* [요청] 1. 어떤 판매유형들 수기 등록하는지 유형정리 요망 , 2. 등록방법 전달 요망 (개선 요청사항 포함)</t>
    <phoneticPr fontId="2" type="noConversion"/>
  </si>
  <si>
    <t>:   월단위 기간 from~to (최대 현재월 기준 과거 12개월 조회) , 사업부 , 스타일 , 매장코드 , 매장명</t>
    <phoneticPr fontId="2" type="noConversion"/>
  </si>
  <si>
    <t xml:space="preserve">    * 조회조건 및 UI 의견 청취 (기간별/스타일별 한정해 변경내역 조회할지 여부 확인 필요)</t>
    <phoneticPr fontId="2" type="noConversion"/>
  </si>
  <si>
    <t>필드내역</t>
    <phoneticPr fontId="2" type="noConversion"/>
  </si>
  <si>
    <t>(R) 諸매장-제상품 기간별 매출 및 판매수수료 현황</t>
    <phoneticPr fontId="2" type="noConversion"/>
  </si>
  <si>
    <t>:   월단위 , 사업부 , 유통형태별/계약형태별 매장유형 , 매장코드 , 매장명</t>
    <phoneticPr fontId="2" type="noConversion"/>
  </si>
  <si>
    <t>;  상기 (R)현황화면의 경우, Data 수정후 반영까지 하루 소요. 따라서, 실시간 Data 조회 통해 마감확인용으로 당 현황 필요</t>
    <phoneticPr fontId="2" type="noConversion"/>
  </si>
  <si>
    <t>:   월단위 , 사업부 , 유통형태별/계약형태별 매장유형 , 매장코드 , 매장명</t>
    <phoneticPr fontId="2" type="noConversion"/>
  </si>
  <si>
    <t>(A) (실시간) 매장별 월 세부 판매현황</t>
    <phoneticPr fontId="2" type="noConversion"/>
  </si>
  <si>
    <t>;  매장 매니저 부정 등록여부 확인 위해 Detail 판매내역 조회</t>
    <phoneticPr fontId="2" type="noConversion"/>
  </si>
  <si>
    <t>:   매장+스타일+유통수수료 허들+판매수량+TAG가+판매가+할인율+매출채권+유통마진</t>
    <phoneticPr fontId="2" type="noConversion"/>
  </si>
  <si>
    <t>:   월단위 , 사업부 , 매장코드 , 매장명 , 스타일</t>
    <phoneticPr fontId="2" type="noConversion"/>
  </si>
  <si>
    <t>* 해당 자료는 판매DB Raw Data 에 대한 직접적인 접근 or 유사 CAPA의 DB서버 필요. 업무효율성 감안 관리통제 기능 별도 마련후, 사용 최소화 유도</t>
    <phoneticPr fontId="2" type="noConversion"/>
  </si>
  <si>
    <t xml:space="preserve">   → 기존 시스템의 이슈는 1) 재고관리  2) Data 부정합성  3) Fuction별 통제기능 미비  가 원인. 해당 이슈 해소시, Raw Data 접근 최소화 가능 판단</t>
    <phoneticPr fontId="2" type="noConversion"/>
  </si>
  <si>
    <t>조회권한</t>
    <phoneticPr fontId="2" type="noConversion"/>
  </si>
  <si>
    <t>:   영관내 특정인에게만 권한 부여 필요 (과도한 DB 트래픽 유발 방지)</t>
    <phoneticPr fontId="2" type="noConversion"/>
  </si>
  <si>
    <t xml:space="preserve">    [필드 조회옵션] 판매등록시간+쿠폰적용+할인액 등</t>
    <phoneticPr fontId="2" type="noConversion"/>
  </si>
  <si>
    <t>:   매장+스타일+유통수수료 허들+판매수량+TAG가+판매가+할인율+매출채권+유통마진</t>
    <phoneticPr fontId="2" type="noConversion"/>
  </si>
  <si>
    <t>2-1.</t>
    <phoneticPr fontId="2" type="noConversion"/>
  </si>
  <si>
    <t>2-2.</t>
    <phoneticPr fontId="2" type="noConversion"/>
  </si>
  <si>
    <t>2-2-1.</t>
    <phoneticPr fontId="2" type="noConversion"/>
  </si>
  <si>
    <t>2-2-2.</t>
    <phoneticPr fontId="2" type="noConversion"/>
  </si>
  <si>
    <t>자가소모 정산 현황</t>
    <phoneticPr fontId="2" type="noConversion"/>
  </si>
  <si>
    <t>자가소모창고 재고이관 현황</t>
    <phoneticPr fontId="2" type="noConversion"/>
  </si>
  <si>
    <t>거점별 제상품 대체 등록 (SPEC변경) 현황</t>
    <phoneticPr fontId="2" type="noConversion"/>
  </si>
  <si>
    <t>2-3-1.</t>
    <phoneticPr fontId="2" type="noConversion"/>
  </si>
  <si>
    <t>2-3-2.</t>
    <phoneticPr fontId="2" type="noConversion"/>
  </si>
  <si>
    <t>매장 재고실사 등록</t>
    <phoneticPr fontId="2" type="noConversion"/>
  </si>
  <si>
    <t>매장 재고실사 정산</t>
    <phoneticPr fontId="2" type="noConversion"/>
  </si>
  <si>
    <t>매장 재고실사 등록 현황</t>
    <phoneticPr fontId="2" type="noConversion"/>
  </si>
  <si>
    <t>매장 재고실사 정산 현황</t>
    <phoneticPr fontId="2" type="noConversion"/>
  </si>
  <si>
    <t>(R) (실시간) 매장별 월 매출 및 유통수수료 현황諸매장-제상품 기간별 매출 및 판매수수료 현황</t>
    <phoneticPr fontId="2" type="noConversion"/>
  </si>
  <si>
    <t>(R) (실시간) 매장별 제상품 월 매출 및 판매수수료 현황</t>
    <phoneticPr fontId="2" type="noConversion"/>
  </si>
  <si>
    <t>구매샘플 출고 등록</t>
    <phoneticPr fontId="2" type="noConversion"/>
  </si>
  <si>
    <t>구매샘플 입고 등록</t>
    <phoneticPr fontId="2" type="noConversion"/>
  </si>
  <si>
    <t>거점별 재고 수불 현황</t>
    <phoneticPr fontId="2" type="noConversion"/>
  </si>
  <si>
    <t>In-Transit (이동중 재고) 재고 수불 현황</t>
    <phoneticPr fontId="2" type="noConversion"/>
  </si>
  <si>
    <t>매장별 재고 수불 현황</t>
    <phoneticPr fontId="2" type="noConversion"/>
  </si>
  <si>
    <t>매장 반품요청 및 검수 현황</t>
    <phoneticPr fontId="2" type="noConversion"/>
  </si>
  <si>
    <t>매장별 월 수기 판매등록 현황</t>
    <phoneticPr fontId="2" type="noConversion"/>
  </si>
  <si>
    <t>(R) 매장별 월 수기 판매등록 현황</t>
    <phoneticPr fontId="2" type="noConversion"/>
  </si>
  <si>
    <t>;  매장별 월 수기 판매등록한 내역 조회</t>
    <phoneticPr fontId="2" type="noConversion"/>
  </si>
  <si>
    <t>:   월단위 기간 from~to (최대 현재월 기준 과거 12개월 조회) , 사업부 , 스타일 , 매장코드 , 매장명</t>
    <phoneticPr fontId="2" type="noConversion"/>
  </si>
  <si>
    <t>;  영관 직권, 제상품 대체 등록</t>
    <phoneticPr fontId="2" type="noConversion"/>
  </si>
  <si>
    <t>* [요청] 1) 거점별 제상품 대체 등록을 위한 대상 거점 기준 마련 (매장 or 매장&amp;센터 등)</t>
    <phoneticPr fontId="2" type="noConversion"/>
  </si>
  <si>
    <t>2-1. 거점별 제상품 대체 등록 (영관용)</t>
    <phoneticPr fontId="2" type="noConversion"/>
  </si>
  <si>
    <t>거점별 제상품 대체 등록 (영관용)</t>
    <phoneticPr fontId="2" type="noConversion"/>
  </si>
  <si>
    <t>(R) 거점별 제상품 대체 등록 현황</t>
    <phoneticPr fontId="2" type="noConversion"/>
  </si>
  <si>
    <t>;  영관 직권, 자가소모창고 재고이관</t>
    <phoneticPr fontId="2" type="noConversion"/>
  </si>
  <si>
    <t>2-2-1. 자가소모창고 재고이관 등록 (영관용)</t>
    <phoneticPr fontId="2" type="noConversion"/>
  </si>
  <si>
    <t>자가소모창고 재고이관 등록 (영관용)</t>
    <phoneticPr fontId="2" type="noConversion"/>
  </si>
  <si>
    <t>* [요청] 영관 직권으로 재고이관 진행할 TR유형 정의 필요</t>
    <phoneticPr fontId="2" type="noConversion"/>
  </si>
  <si>
    <t xml:space="preserve">           2) 영관 직권으로 진행할 대체등록 유형과 매장 or 센터 직권으로 진행할 유형 정의 필요</t>
    <phoneticPr fontId="2" type="noConversion"/>
  </si>
  <si>
    <t>(R) 자가소모창고 재고이관 현황</t>
    <phoneticPr fontId="2" type="noConversion"/>
  </si>
  <si>
    <t>(R) 자가소모 정산 현황</t>
    <phoneticPr fontId="2" type="noConversion"/>
  </si>
  <si>
    <t>2-2-2. 자가소모창고 정산 등록</t>
    <phoneticPr fontId="2" type="noConversion"/>
  </si>
  <si>
    <t>;  (거점)자가소모창고 內 월마감시 회계정산 처리 등록</t>
    <phoneticPr fontId="2" type="noConversion"/>
  </si>
  <si>
    <t>* [요청] 영관 자가소모창고 제상품 재고의 자가소모 유형별 정산방법 정의 필요</t>
    <phoneticPr fontId="2" type="noConversion"/>
  </si>
  <si>
    <t>:   월단위 , 사업부 , 브랜드, 스타일, 자가소모 유형, 자가소모 정산 유형</t>
    <phoneticPr fontId="2" type="noConversion"/>
  </si>
  <si>
    <t>2-3-1. 매장 재고실사 등록</t>
    <phoneticPr fontId="2" type="noConversion"/>
  </si>
  <si>
    <t>(R) 매장 재고실사 등록 현황</t>
    <phoneticPr fontId="2" type="noConversion"/>
  </si>
  <si>
    <t>;  매장 재고실사 내역 등록</t>
    <phoneticPr fontId="2" type="noConversion"/>
  </si>
  <si>
    <t>2-3-2. 매장 재고실사 정산</t>
    <phoneticPr fontId="2" type="noConversion"/>
  </si>
  <si>
    <t>;  매장 재고실사 내역 기준, 제상품 과부족 재고처리 화면</t>
    <phoneticPr fontId="2" type="noConversion"/>
  </si>
  <si>
    <t>2-2. 자가소모 관리</t>
    <phoneticPr fontId="2" type="noConversion"/>
  </si>
  <si>
    <t>2-3. 매장 재고실사 관리</t>
    <phoneticPr fontId="2" type="noConversion"/>
  </si>
  <si>
    <t>* [요청] 1) 매장 제상품 과부족 유형별 정산기준, 화면UI 정의 필요</t>
    <phoneticPr fontId="2" type="noConversion"/>
  </si>
  <si>
    <t xml:space="preserve">           2) 과부족 유형별 정산기준 정의 후, 해당 재고증감에 대한 매장 재고수불 TR 생성 및 반영 고려</t>
    <phoneticPr fontId="2" type="noConversion"/>
  </si>
  <si>
    <t>* [주의] 해당 정산이 매장 공급, 미수에도 반영되므로 해당 화면 개발시 반영 필요</t>
    <phoneticPr fontId="2" type="noConversion"/>
  </si>
  <si>
    <t>* [주의] 해당 대체등록이 매장 공급, 미수에도 반영되므로 해당 화면 개발시 반영 필요</t>
    <phoneticPr fontId="2" type="noConversion"/>
  </si>
  <si>
    <t xml:space="preserve">           → 매장별 공급분매장 공급 세금계산서 관련 공급되지 않은 재고 발생시, 공급액 처리 불가 이슈 발생.</t>
    <phoneticPr fontId="2" type="noConversion"/>
  </si>
  <si>
    <t xml:space="preserve">               따라서, 매장 폐점시 공급미수 등 정산시 일괄 조정 처리 됨 (공급미수 관리 Process 명확해야 함)</t>
    <phoneticPr fontId="2" type="noConversion"/>
  </si>
  <si>
    <t>2-4. 구매샘플 관리</t>
    <phoneticPr fontId="2" type="noConversion"/>
  </si>
  <si>
    <t>2-4-1.</t>
    <phoneticPr fontId="2" type="noConversion"/>
  </si>
  <si>
    <t>2-4-2.</t>
    <phoneticPr fontId="2" type="noConversion"/>
  </si>
  <si>
    <t>2-4-1. 구매샘플 입고 등록</t>
    <phoneticPr fontId="2" type="noConversion"/>
  </si>
  <si>
    <t>2-4-2. 구매샘플 출고 등록</t>
    <phoneticPr fontId="2" type="noConversion"/>
  </si>
  <si>
    <t>* [요청] 1) 구매샘플 출고유형 구분 요망</t>
    <phoneticPr fontId="2" type="noConversion"/>
  </si>
  <si>
    <t xml:space="preserve">           2) 구매샘플창고 거점 필요여부 확인 (WMS별개, Fone내 가상창고 형태)</t>
    <phoneticPr fontId="2" type="noConversion"/>
  </si>
  <si>
    <t>구매샘플(창고) 입출고 현황</t>
    <phoneticPr fontId="2" type="noConversion"/>
  </si>
  <si>
    <t>(R) 구매샘플(창고) 입출고 현황</t>
    <phoneticPr fontId="2" type="noConversion"/>
  </si>
  <si>
    <t>* 구매샘플창고 재고 수불 현황은 '재고관리-거점별 재고 수불 현황' 통해 조회 가능</t>
    <phoneticPr fontId="2" type="noConversion"/>
  </si>
  <si>
    <t>* [요청] PC가 아닌 모바일 앱으로 운영되는지 여부 확인. 모바일 운영시 PC 등록화면 불필요. 단, 등록현황은 필요</t>
    <phoneticPr fontId="2" type="noConversion"/>
  </si>
  <si>
    <t>(R) 매장 재고실사 정산 현황</t>
    <phoneticPr fontId="2" type="noConversion"/>
  </si>
  <si>
    <t>(R) 거점별 재고 수불 현황</t>
    <phoneticPr fontId="2" type="noConversion"/>
  </si>
  <si>
    <t>(R) 매장별 재고 수불 현황</t>
    <phoneticPr fontId="2" type="noConversion"/>
  </si>
  <si>
    <t>(R) In-Transit (이동중 재고) 재고 수불 현황</t>
    <phoneticPr fontId="2" type="noConversion"/>
  </si>
  <si>
    <t>(R) 매장 반품요청 및 검수 현황</t>
    <phoneticPr fontId="2" type="noConversion"/>
  </si>
  <si>
    <t>;  재고수불관리 화면 참조</t>
    <phoneticPr fontId="2" type="noConversion"/>
  </si>
  <si>
    <t>:   조회월 , 거점유형, 거점, 사업부, 매장 유통형태/계약형태별, 매장</t>
    <phoneticPr fontId="2" type="noConversion"/>
  </si>
  <si>
    <t>:   거점유형+거점+스타일 , 입출고 유형</t>
    <phoneticPr fontId="2" type="noConversion"/>
  </si>
  <si>
    <t xml:space="preserve">    [필드 조회옵션] 수량, 원가, PCS당 단가  → 단, 원가는 월 원가마감 이후 조회 가능</t>
    <phoneticPr fontId="2" type="noConversion"/>
  </si>
  <si>
    <t>;  이동중 재고 수불현황은 이동중재고 TR 요청 건별로 조회 (스타일별 조회X)</t>
    <phoneticPr fontId="2" type="noConversion"/>
  </si>
  <si>
    <t>* 반품요청 및 검수 Process 는 WMS 구축 이후 재논의 필요</t>
    <phoneticPr fontId="2" type="noConversion"/>
  </si>
  <si>
    <t>* 재논의 필요  :  판매분 매입처는 공급가액 불필요. 또한, 공급분매입관리의 요약판인데 자사 재고수불 현황과 목적 상이</t>
    <phoneticPr fontId="2" type="noConversion"/>
  </si>
  <si>
    <t xml:space="preserve">                       해당 수불현황을 공급분 매입관리 화면에서 조회한다면 해당 현황은 거점별 재고 수불 현황 이용해서 볼 수 있음</t>
    <phoneticPr fontId="2" type="noConversion"/>
  </si>
  <si>
    <t>;  영업관리 수기 판매 Transaction 등록 화면 → 매장별 제상품 일괄 수기등록 기능 필요</t>
    <phoneticPr fontId="2" type="noConversion"/>
  </si>
  <si>
    <t>■ 영업관리 Menu - 1. 판매관리</t>
    <phoneticPr fontId="2" type="noConversion"/>
  </si>
  <si>
    <t>■ 영업관리 Menu - 2. 재고관리</t>
    <phoneticPr fontId="2" type="noConversion"/>
  </si>
  <si>
    <t>■ 영업관리 Menu - 3. 매장관리</t>
    <phoneticPr fontId="2" type="noConversion"/>
  </si>
  <si>
    <t>3-1.</t>
    <phoneticPr fontId="2" type="noConversion"/>
  </si>
  <si>
    <t>중간관리자 신규 등록</t>
    <phoneticPr fontId="2" type="noConversion"/>
  </si>
  <si>
    <t>중간관리자 등록 현황</t>
    <phoneticPr fontId="2" type="noConversion"/>
  </si>
  <si>
    <t>중간관리자 수수료율 등록</t>
    <phoneticPr fontId="2" type="noConversion"/>
  </si>
  <si>
    <t>중간관리자 수수료율 등록 현황</t>
    <phoneticPr fontId="2" type="noConversion"/>
  </si>
  <si>
    <t>중간관리자 공제내역 등록</t>
    <phoneticPr fontId="2" type="noConversion"/>
  </si>
  <si>
    <t>중간관리자 공제내역 등록 현황</t>
    <phoneticPr fontId="2" type="noConversion"/>
  </si>
  <si>
    <t>중간관리자 수수료 세금계산서 발행 (역발행)</t>
    <phoneticPr fontId="2" type="noConversion"/>
  </si>
  <si>
    <t>중간관리자 공제내역 세금계산서 발행 (정발행)</t>
    <phoneticPr fontId="2" type="noConversion"/>
  </si>
  <si>
    <t>중간관리자 세금계산서 발행 현황</t>
    <phoneticPr fontId="2" type="noConversion"/>
  </si>
  <si>
    <t>중간관리매장 판매&amp;수수료 정산 현황</t>
    <phoneticPr fontId="2" type="noConversion"/>
  </si>
  <si>
    <t>중간관리매장 종합 정산 현황</t>
    <phoneticPr fontId="2" type="noConversion"/>
  </si>
  <si>
    <t>3-2.</t>
  </si>
  <si>
    <t>중간관리 매장 관리</t>
    <phoneticPr fontId="2" type="noConversion"/>
  </si>
  <si>
    <t>諸매장 비용관리</t>
    <phoneticPr fontId="2" type="noConversion"/>
  </si>
  <si>
    <t>3-2-1.</t>
  </si>
  <si>
    <t>3-2-2.</t>
  </si>
  <si>
    <t>* 자가소모는 자가소모 창고에서만 가능</t>
    <phoneticPr fontId="2" type="noConversion"/>
  </si>
  <si>
    <t>3-3.</t>
    <phoneticPr fontId="2" type="noConversion"/>
  </si>
  <si>
    <t>3-3-1.</t>
    <phoneticPr fontId="2" type="noConversion"/>
  </si>
  <si>
    <t>3-2-3.</t>
  </si>
  <si>
    <t>3-2-4.</t>
  </si>
  <si>
    <t>3-2-5.</t>
  </si>
  <si>
    <t>3-4.</t>
    <phoneticPr fontId="2" type="noConversion"/>
  </si>
  <si>
    <t>3-4-1.</t>
    <phoneticPr fontId="2" type="noConversion"/>
  </si>
  <si>
    <t>3-4-2.</t>
    <phoneticPr fontId="2" type="noConversion"/>
  </si>
  <si>
    <t>신규 매장 등록</t>
    <phoneticPr fontId="2" type="noConversion"/>
  </si>
  <si>
    <t>3-5.</t>
    <phoneticPr fontId="2" type="noConversion"/>
  </si>
  <si>
    <t>(R)</t>
    <phoneticPr fontId="2" type="noConversion"/>
  </si>
  <si>
    <t>매장 등록 현황</t>
    <phoneticPr fontId="2" type="noConversion"/>
  </si>
  <si>
    <t>자가소모관리</t>
    <phoneticPr fontId="2" type="noConversion"/>
  </si>
  <si>
    <t>2-3.</t>
    <phoneticPr fontId="2" type="noConversion"/>
  </si>
  <si>
    <t>매장재고 실사 관리</t>
    <phoneticPr fontId="2" type="noConversion"/>
  </si>
  <si>
    <t>2-4.</t>
    <phoneticPr fontId="2" type="noConversion"/>
  </si>
  <si>
    <t>구매샘플 관리</t>
    <phoneticPr fontId="2" type="noConversion"/>
  </si>
  <si>
    <t>3-1. 신규 매장 등록</t>
    <phoneticPr fontId="2" type="noConversion"/>
  </si>
  <si>
    <t>;  諸매장 신규 등록</t>
    <phoneticPr fontId="2" type="noConversion"/>
  </si>
  <si>
    <t>등록정보</t>
    <phoneticPr fontId="2" type="noConversion"/>
  </si>
  <si>
    <t>:   매장명, 판매수수료율, 매장 판부자재 분담율, POS ID 등록, 연체이자 부과 여부 등</t>
    <phoneticPr fontId="2" type="noConversion"/>
  </si>
  <si>
    <t>* 기존 신규매장 등록화면의 등록정보 참조必</t>
    <phoneticPr fontId="2" type="noConversion"/>
  </si>
  <si>
    <t>(R) 매장 등록 현황</t>
    <phoneticPr fontId="2" type="noConversion"/>
  </si>
  <si>
    <t>3-2. 중간관리 매장 관리</t>
    <phoneticPr fontId="2" type="noConversion"/>
  </si>
  <si>
    <t>3-2-1. 중간관리자 신규 등록</t>
    <phoneticPr fontId="2" type="noConversion"/>
  </si>
  <si>
    <t>필수기능</t>
    <phoneticPr fontId="2" type="noConversion"/>
  </si>
  <si>
    <t>① 관리매장 복수지정 관리 필요</t>
    <phoneticPr fontId="2" type="noConversion"/>
  </si>
  <si>
    <t>② 비용공제와 관련한 귀책대상 선택</t>
    <phoneticPr fontId="2" type="noConversion"/>
  </si>
  <si>
    <t>③ 담보관리 연동</t>
    <phoneticPr fontId="2" type="noConversion"/>
  </si>
  <si>
    <t>(R) 중간관리자 등록 현황</t>
    <phoneticPr fontId="2" type="noConversion"/>
  </si>
  <si>
    <t>3-2-2. 중간관리자 수수료율 등록</t>
    <phoneticPr fontId="2" type="noConversion"/>
  </si>
  <si>
    <t>① 복수 관리매장별 수수료율 등록</t>
    <phoneticPr fontId="2" type="noConversion"/>
  </si>
  <si>
    <t>② 수수료율 적용시, Sub-brand &lt; 정상/할인 &lt; SKU 별 우선순위 적용</t>
    <phoneticPr fontId="2" type="noConversion"/>
  </si>
  <si>
    <t>③ 거점매장 온라인몰 주문출고 수수료율 별도 등록</t>
    <phoneticPr fontId="2" type="noConversion"/>
  </si>
  <si>
    <t>(R) 중간관리자 수수료율 등록 현황</t>
    <phoneticPr fontId="2" type="noConversion"/>
  </si>
  <si>
    <t>3-2-3. 중간관리자 공제내역 등록</t>
    <phoneticPr fontId="2" type="noConversion"/>
  </si>
  <si>
    <t>(R) 중간관리자 공제내역 등록 현황</t>
    <phoneticPr fontId="2" type="noConversion"/>
  </si>
  <si>
    <t xml:space="preserve">           2) 공제유형별 예산세목 적용 기준</t>
    <phoneticPr fontId="2" type="noConversion"/>
  </si>
  <si>
    <t>* [요청] 1) 공제 발생유형 정리 (재고Loss, 판부자재, 배송비, 수선비, 전화요금, PDA요금 등)</t>
    <phoneticPr fontId="2" type="noConversion"/>
  </si>
  <si>
    <t>3-2-4. 중간관리자 수수료 세금계산서 발행 (역발행)</t>
    <phoneticPr fontId="2" type="noConversion"/>
  </si>
  <si>
    <t>3-2-5. 중간관리자 공제내역 세금계산서 발행 (정발행)</t>
    <phoneticPr fontId="2" type="noConversion"/>
  </si>
  <si>
    <t>(R) 중간관리자 세금계산서 발행 현황</t>
    <phoneticPr fontId="2" type="noConversion"/>
  </si>
  <si>
    <t>(R) 중간관리매장 판매&amp;수수료 정산 현황</t>
    <phoneticPr fontId="2" type="noConversion"/>
  </si>
  <si>
    <t>(R) 중간관리매장 종합 정산 현황</t>
    <phoneticPr fontId="2" type="noConversion"/>
  </si>
  <si>
    <t>;  중간관리매장 판매액, 판매액별 수수료 산출내역, 거점매장 온라인 주문출고액 및 출고수수료</t>
    <phoneticPr fontId="2" type="noConversion"/>
  </si>
  <si>
    <t>:   조회월 , 사업부, 거점(매장)</t>
    <phoneticPr fontId="2" type="noConversion"/>
  </si>
  <si>
    <t>* [문의] 판매SKU별, 수수료율별로 상세 내역 필요 여부?</t>
    <phoneticPr fontId="2" type="noConversion"/>
  </si>
  <si>
    <t>:   사업부+거점(매장)+중간관리수수료+온라인 출고수수료+諸공제내역</t>
    <phoneticPr fontId="2" type="noConversion"/>
  </si>
  <si>
    <t>* 매장 더블클릭시, 선택 매장 기준 중간관리수수료 및 공제내역 1 Page 요약 Display 요망</t>
    <phoneticPr fontId="2" type="noConversion"/>
  </si>
  <si>
    <t>3-3. 諸매장 비용관리</t>
    <phoneticPr fontId="2" type="noConversion"/>
  </si>
  <si>
    <t>3-4. 순수직영 매장 비용관리</t>
    <phoneticPr fontId="2" type="noConversion"/>
  </si>
  <si>
    <t>순수직영 매장 비용관리</t>
    <phoneticPr fontId="2" type="noConversion"/>
  </si>
  <si>
    <t>3-4-1. 순수직영 매장 비용예산 관리</t>
    <phoneticPr fontId="2" type="noConversion"/>
  </si>
  <si>
    <t>순수직영 매장 비용예산 관리</t>
    <phoneticPr fontId="2" type="noConversion"/>
  </si>
  <si>
    <t>순수직영 매장 비용 등록</t>
    <phoneticPr fontId="2" type="noConversion"/>
  </si>
  <si>
    <t>순수직영 매장 예산&amp;비용 현황</t>
    <phoneticPr fontId="2" type="noConversion"/>
  </si>
  <si>
    <t>3-4-2. 순수직영 매장 비용 등록</t>
    <phoneticPr fontId="2" type="noConversion"/>
  </si>
  <si>
    <t>(R) 순수직영 매장 예산&amp;비용 현황</t>
    <phoneticPr fontId="2" type="noConversion"/>
  </si>
  <si>
    <t>* [요청] 비용예산 발생유형 정리 (예산세목 기준)</t>
    <phoneticPr fontId="2" type="noConversion"/>
  </si>
  <si>
    <t>* 승인/수정관리 기능 포함</t>
    <phoneticPr fontId="2" type="noConversion"/>
  </si>
  <si>
    <t>諸매장 출고통제 관리</t>
    <phoneticPr fontId="2" type="noConversion"/>
  </si>
  <si>
    <t>3-5. 諸매장 출고통제 관리</t>
    <phoneticPr fontId="2" type="noConversion"/>
  </si>
  <si>
    <t>;  중간관리자 담보 및 유통업체 부실 등 대응, 제상품 출고 통제 기능</t>
    <phoneticPr fontId="2" type="noConversion"/>
  </si>
  <si>
    <t>기말재고
공급가 조정</t>
    <phoneticPr fontId="2" type="noConversion"/>
  </si>
  <si>
    <t>매장 판매수수료%</t>
    <phoneticPr fontId="2" type="noConversion"/>
  </si>
  <si>
    <t>매장 평균 매출할인%</t>
    <phoneticPr fontId="2" type="noConversion"/>
  </si>
  <si>
    <t>Logic</t>
    <phoneticPr fontId="2" type="noConversion"/>
  </si>
  <si>
    <t>단순화</t>
    <phoneticPr fontId="2" type="noConversion"/>
  </si>
  <si>
    <t>금   액</t>
    <phoneticPr fontId="2" type="noConversion"/>
  </si>
  <si>
    <t>전년기말 이월</t>
    <phoneticPr fontId="2" type="noConversion"/>
  </si>
  <si>
    <t>As-is  :  SKU별 공급액 정산</t>
    <phoneticPr fontId="2" type="noConversion"/>
  </si>
  <si>
    <t>To-be  :  매장별 공급액 정산 (매장 총 SKU별 공급/판매 기준, 평균 매출할인율 및 평균 판매수수료율 기준 정산)</t>
    <phoneticPr fontId="2" type="noConversion"/>
  </si>
  <si>
    <t>** 공급/판매/기말재고 항목의 Tag금액, Retail금액은 SKU기준으로 독립적으로 산출 필요 (재고 조정으로 인한 가감을 공급/판매에 맞춰 소급조정 불가 원인)</t>
    <phoneticPr fontId="2" type="noConversion"/>
  </si>
  <si>
    <t xml:space="preserve">   → 기말재고 공급액은 SKU별 Tag금액, Retail금액 기준, 평균 매출할인율과 평균 매장 판매수수료율을 기준으로 산출. </t>
    <phoneticPr fontId="2" type="noConversion"/>
  </si>
  <si>
    <t xml:space="preserve">   → 기말재고 공급가 조정액은 '기말-기초-공급+판매-판매분 공급가 조정액' 공식으로 산출</t>
    <phoneticPr fontId="2" type="noConversion"/>
  </si>
  <si>
    <t>공급분매입처 매장&amp;제품별 재고현황</t>
    <phoneticPr fontId="2" type="noConversion"/>
  </si>
  <si>
    <t>Tag가(+V)</t>
  </si>
  <si>
    <t>Retail가(+V)</t>
  </si>
  <si>
    <t>공급가(+V)</t>
  </si>
  <si>
    <t>Tag금액(+V)</t>
  </si>
  <si>
    <t>Retail금액(+V)</t>
  </si>
  <si>
    <t>공급액(+V)</t>
  </si>
  <si>
    <t xml:space="preserve">   → 판매공급액 업체간 끝전 조정할 수 있는 필드 필요</t>
    <phoneticPr fontId="2" type="noConversion"/>
  </si>
  <si>
    <t xml:space="preserve">   → 수익인식조정 금액 산출 필드 추가</t>
    <phoneticPr fontId="2" type="noConversion"/>
  </si>
  <si>
    <t>매장 비용(공제) 등록</t>
    <phoneticPr fontId="2" type="noConversion"/>
  </si>
  <si>
    <t>매장 비용(공제) 등록 현황</t>
    <phoneticPr fontId="2" type="noConversion"/>
  </si>
  <si>
    <t>3-3-1. 매장 비용(공제) 등록</t>
    <phoneticPr fontId="2" type="noConversion"/>
  </si>
  <si>
    <t>* [요청] 매장별 직접비용과 공제유형 정리</t>
    <phoneticPr fontId="2" type="noConversion"/>
  </si>
  <si>
    <t>;  매장 직접비용 등록후, Fone 전표 I/F 연동 (Fone 내에서 업무 All 처리) - 공제대상 비용은 회계팀 전달, 판관비용은 자금팀 전달</t>
    <phoneticPr fontId="2" type="noConversion"/>
  </si>
  <si>
    <t xml:space="preserve">   → 공제대상 금액 구분 가능토록 선택옵션 필요</t>
    <phoneticPr fontId="2" type="noConversion"/>
  </si>
  <si>
    <t>(R) 매장 비용(공제) 등록 현황</t>
    <phoneticPr fontId="2" type="noConversion"/>
  </si>
  <si>
    <t xml:space="preserve">   → 공급을 당월 확정일자 누계 Data 와 전월 확정일자 이후 공급 Data 로 구분 필요</t>
    <phoneticPr fontId="2" type="noConversion"/>
  </si>
  <si>
    <t>"WMS 미관리대상인 판부자재 창고 + 구매샘플 창고 추가 필요" - 가상창고는 아님</t>
    <phoneticPr fontId="2" type="noConversion"/>
  </si>
  <si>
    <t>(R)</t>
    <phoneticPr fontId="2" type="noConversion"/>
  </si>
  <si>
    <t>Ⅰ. 영업관리</t>
    <phoneticPr fontId="2" type="noConversion"/>
  </si>
  <si>
    <t>※ System Menu 구성</t>
    <phoneticPr fontId="2" type="noConversion"/>
  </si>
  <si>
    <t>1-1.</t>
  </si>
  <si>
    <t>1. 판매관리</t>
    <phoneticPr fontId="2" type="noConversion"/>
  </si>
  <si>
    <t>매장별 월 수기 판매등록 (영관용)</t>
  </si>
  <si>
    <t>(A)</t>
    <phoneticPr fontId="2" type="noConversion"/>
  </si>
  <si>
    <t>제상품 판매기준가 등록</t>
  </si>
  <si>
    <t>제상품 판매기준가 등록</t>
    <phoneticPr fontId="2" type="noConversion"/>
  </si>
  <si>
    <t>1-1.</t>
    <phoneticPr fontId="2" type="noConversion"/>
  </si>
  <si>
    <t>제상품 판매기준가 등록</t>
    <phoneticPr fontId="2" type="noConversion"/>
  </si>
  <si>
    <t>YYYY-MM-DD</t>
    <phoneticPr fontId="2" type="noConversion"/>
  </si>
  <si>
    <t>▤</t>
    <phoneticPr fontId="2" type="noConversion"/>
  </si>
  <si>
    <t>등록일자</t>
    <phoneticPr fontId="167" type="noConversion"/>
  </si>
  <si>
    <t>□</t>
    <phoneticPr fontId="2" type="noConversion"/>
  </si>
  <si>
    <t>등록일자 수정</t>
    <phoneticPr fontId="2" type="noConversion"/>
  </si>
  <si>
    <t>▼</t>
    <phoneticPr fontId="2" type="noConversion"/>
  </si>
  <si>
    <t>ZIOZIA</t>
    <phoneticPr fontId="2" type="noConversion"/>
  </si>
  <si>
    <t>서브브랜드</t>
    <phoneticPr fontId="167" type="noConversion"/>
  </si>
  <si>
    <t>+</t>
    <phoneticPr fontId="2" type="noConversion"/>
  </si>
  <si>
    <t>AD</t>
    <phoneticPr fontId="2" type="noConversion"/>
  </si>
  <si>
    <t>R ZIOZIA</t>
    <phoneticPr fontId="2" type="noConversion"/>
  </si>
  <si>
    <t>대상매장</t>
    <phoneticPr fontId="167" type="noConversion"/>
  </si>
  <si>
    <t>◎</t>
    <phoneticPr fontId="2" type="noConversion"/>
  </si>
  <si>
    <t>○</t>
    <phoneticPr fontId="2" type="noConversion"/>
  </si>
  <si>
    <t>BCA024</t>
    <phoneticPr fontId="2" type="noConversion"/>
  </si>
  <si>
    <t>현대백화점 미아점</t>
    <phoneticPr fontId="2" type="noConversion"/>
  </si>
  <si>
    <t>[판매기준가 적용 기준]</t>
    <phoneticPr fontId="167" type="noConversion"/>
  </si>
  <si>
    <t>대상SKU</t>
    <phoneticPr fontId="167" type="noConversion"/>
  </si>
  <si>
    <t>BZA4WC1001</t>
    <phoneticPr fontId="2" type="noConversion"/>
  </si>
  <si>
    <t>대상SKU Upload</t>
    <phoneticPr fontId="2" type="noConversion"/>
  </si>
  <si>
    <t>▼</t>
    <phoneticPr fontId="2" type="noConversion"/>
  </si>
  <si>
    <t>BLK</t>
    <phoneticPr fontId="2" type="noConversion"/>
  </si>
  <si>
    <t>All Color</t>
    <phoneticPr fontId="2" type="noConversion"/>
  </si>
  <si>
    <t>-</t>
    <phoneticPr fontId="2" type="noConversion"/>
  </si>
  <si>
    <t>판매기준가</t>
    <phoneticPr fontId="167" type="noConversion"/>
  </si>
  <si>
    <t>할인율</t>
    <phoneticPr fontId="167" type="noConversion"/>
  </si>
  <si>
    <t>적용기간</t>
    <phoneticPr fontId="167" type="noConversion"/>
  </si>
  <si>
    <t>~</t>
    <phoneticPr fontId="2" type="noConversion"/>
  </si>
  <si>
    <t>이벤트명</t>
    <phoneticPr fontId="167" type="noConversion"/>
  </si>
  <si>
    <t>XX년 XX월 X주차 브랜드데이</t>
    <phoneticPr fontId="2" type="noConversion"/>
  </si>
  <si>
    <t>등록자</t>
    <phoneticPr fontId="167" type="noConversion"/>
  </si>
  <si>
    <t>홍길동</t>
    <phoneticPr fontId="2" type="noConversion"/>
  </si>
  <si>
    <t>(행사유형 정의)</t>
    <phoneticPr fontId="2" type="noConversion"/>
  </si>
  <si>
    <t>소비자가</t>
    <phoneticPr fontId="167" type="noConversion"/>
  </si>
  <si>
    <t>대상매장 Upload</t>
    <phoneticPr fontId="2" type="noConversion"/>
  </si>
  <si>
    <t>단일Style</t>
    <phoneticPr fontId="2" type="noConversion"/>
  </si>
  <si>
    <t>대상SKU&amp;매장 일괄 Upload</t>
    <phoneticPr fontId="2" type="noConversion"/>
  </si>
  <si>
    <t>■</t>
    <phoneticPr fontId="2" type="noConversion"/>
  </si>
  <si>
    <t>□</t>
    <phoneticPr fontId="2" type="noConversion"/>
  </si>
  <si>
    <t>Color</t>
    <phoneticPr fontId="2" type="noConversion"/>
  </si>
  <si>
    <t>매장코드</t>
    <phoneticPr fontId="2" type="noConversion"/>
  </si>
  <si>
    <t>매장명</t>
    <phoneticPr fontId="2" type="noConversion"/>
  </si>
  <si>
    <t>행사구분</t>
    <phoneticPr fontId="2" type="noConversion"/>
  </si>
  <si>
    <t>(행사유형)</t>
    <phoneticPr fontId="2" type="noConversion"/>
  </si>
  <si>
    <t>소비자가</t>
    <phoneticPr fontId="2" type="noConversion"/>
  </si>
  <si>
    <t>판매기준가</t>
    <phoneticPr fontId="2" type="noConversion"/>
  </si>
  <si>
    <t>할인율</t>
    <phoneticPr fontId="2" type="noConversion"/>
  </si>
  <si>
    <t>이벤트명</t>
    <phoneticPr fontId="2" type="noConversion"/>
  </si>
  <si>
    <t>Style</t>
    <phoneticPr fontId="2" type="noConversion"/>
  </si>
  <si>
    <t>대상 매장</t>
    <phoneticPr fontId="2" type="noConversion"/>
  </si>
  <si>
    <t>대상 SKU</t>
    <phoneticPr fontId="2" type="noConversion"/>
  </si>
  <si>
    <t>적용가격</t>
    <phoneticPr fontId="2" type="noConversion"/>
  </si>
  <si>
    <t>행사유형</t>
    <phoneticPr fontId="167" type="noConversion"/>
  </si>
  <si>
    <t>행사유형</t>
    <phoneticPr fontId="2" type="noConversion"/>
  </si>
  <si>
    <t>시작일</t>
    <phoneticPr fontId="2" type="noConversion"/>
  </si>
  <si>
    <t>종료일</t>
    <phoneticPr fontId="2" type="noConversion"/>
  </si>
  <si>
    <t>적용기간</t>
    <phoneticPr fontId="2" type="noConversion"/>
  </si>
  <si>
    <t>BK</t>
    <phoneticPr fontId="2" type="noConversion"/>
  </si>
  <si>
    <t>유형</t>
    <phoneticPr fontId="2" type="noConversion"/>
  </si>
  <si>
    <t>BCA025</t>
    <phoneticPr fontId="2" type="noConversion"/>
  </si>
  <si>
    <t>적용</t>
    <phoneticPr fontId="2" type="noConversion"/>
  </si>
  <si>
    <t>저장</t>
    <phoneticPr fontId="2" type="noConversion"/>
  </si>
  <si>
    <t>삭제</t>
    <phoneticPr fontId="2" type="noConversion"/>
  </si>
  <si>
    <t>Excel</t>
    <phoneticPr fontId="2" type="noConversion"/>
  </si>
  <si>
    <t>일괄삭제</t>
    <phoneticPr fontId="2" type="noConversion"/>
  </si>
  <si>
    <t>:</t>
    <phoneticPr fontId="2" type="noConversion"/>
  </si>
  <si>
    <t>↑ 대상SKU (BZA4WC1001) 의 Color 가 BK, LGR, BL 세가지 Color 일때, 'All Color' 옵션 체크후 '적용' 버튼 클릭시, 자동으로 전체 Color별 &amp; 각 대상매장에 적용해 Table Display</t>
    <phoneticPr fontId="2" type="noConversion"/>
  </si>
  <si>
    <t>↑ 대상SKU가 다중Style 이고, 대상매장이 전체매장 or 多특정매장 등록 후,  '적용' 버튼 클릭시, 자동으로 각 대상SKU별 &amp; 각 대상매장에 'n x n' 으로 적용해 Table Display</t>
    <phoneticPr fontId="2" type="noConversion"/>
  </si>
  <si>
    <t>[주의] 판매기준가 적용기준 등록 &amp; '적용' 버튼 클릭후, 판매기준가 적용기준 변경&amp;적용 불가 (단, 일괄삭제후에는 판매기준가 적용기준 변경&amp;적용 가능)</t>
    <phoneticPr fontId="2" type="noConversion"/>
  </si>
  <si>
    <t>제상품 판매기준가 등록 현황</t>
    <phoneticPr fontId="2" type="noConversion"/>
  </si>
  <si>
    <t>※ 제상품 판매기준가 등록 Reg no. 생성 기준</t>
    <phoneticPr fontId="2" type="noConversion"/>
  </si>
  <si>
    <t>Reg no.</t>
    <phoneticPr fontId="167" type="noConversion"/>
  </si>
  <si>
    <t>XXXXXX</t>
    <phoneticPr fontId="2" type="noConversion"/>
  </si>
  <si>
    <t>XXXXX</t>
    <phoneticPr fontId="2" type="noConversion"/>
  </si>
  <si>
    <t>1자리</t>
    <phoneticPr fontId="2" type="noConversion"/>
  </si>
  <si>
    <t>6자리</t>
    <phoneticPr fontId="2" type="noConversion"/>
  </si>
  <si>
    <t>4자리</t>
    <phoneticPr fontId="2" type="noConversion"/>
  </si>
  <si>
    <t>← 해당 판매기준가 등록내역 적용</t>
    <phoneticPr fontId="2" type="noConversion"/>
  </si>
  <si>
    <t>※ Upload 양식</t>
    <phoneticPr fontId="2" type="noConversion"/>
  </si>
  <si>
    <t>① 대상SKU&amp;매장 일괄 Upload</t>
    <phoneticPr fontId="2" type="noConversion"/>
  </si>
  <si>
    <t>↑ 유형(대상매장 유형) 에 'All' 로 입력시, 해당 SKU 기준 전체 매장 자동적용 가능토록 개발요망 (이 경우, 매장코드, 매장명 입력 불필요)</t>
    <phoneticPr fontId="2" type="noConversion"/>
  </si>
  <si>
    <t>↑ Color 에 'All' 로 입력시, 해당 Style 전체 Color 자동적용 가능토록 개발요망 (이 경우, Color 등록 불필요)</t>
    <phoneticPr fontId="2" type="noConversion"/>
  </si>
  <si>
    <t>② 대상SKU Upload</t>
    <phoneticPr fontId="2" type="noConversion"/>
  </si>
  <si>
    <t>③ 대상매장 Upload</t>
    <phoneticPr fontId="2" type="noConversion"/>
  </si>
  <si>
    <t>* 적용기간, 행사유형, 대상SKU, 대상매장에 대한 입력 or Upload 없이 '적용' 버튼 클릭시, 에러 팝업</t>
    <phoneticPr fontId="2" type="noConversion"/>
  </si>
  <si>
    <t>↑ 매장명은 넣지 않더라도 매장코드로 적용</t>
    <phoneticPr fontId="2" type="noConversion"/>
  </si>
  <si>
    <t>제상품 판매기준가 등록 현황</t>
  </si>
  <si>
    <t>적용기간</t>
    <phoneticPr fontId="167" type="noConversion"/>
  </si>
  <si>
    <t>대상SKU</t>
    <phoneticPr fontId="167" type="noConversion"/>
  </si>
  <si>
    <t>할인율</t>
    <phoneticPr fontId="167" type="noConversion"/>
  </si>
  <si>
    <t>%</t>
    <phoneticPr fontId="2" type="noConversion"/>
  </si>
  <si>
    <t>Reg no.</t>
    <phoneticPr fontId="2" type="noConversion"/>
  </si>
  <si>
    <t>등록일자</t>
    <phoneticPr fontId="2" type="noConversion"/>
  </si>
  <si>
    <t>등록자</t>
    <phoneticPr fontId="2" type="noConversion"/>
  </si>
  <si>
    <t>조회</t>
    <phoneticPr fontId="2" type="noConversion"/>
  </si>
  <si>
    <t>↑대상SKU 선택시, 자동 Loading</t>
    <phoneticPr fontId="2" type="noConversion"/>
  </si>
  <si>
    <t>□</t>
    <phoneticPr fontId="2" type="noConversion"/>
  </si>
  <si>
    <t>YYYY-MM-DD</t>
    <phoneticPr fontId="2" type="noConversion"/>
  </si>
  <si>
    <t>BCA024</t>
    <phoneticPr fontId="2" type="noConversion"/>
  </si>
  <si>
    <t>현대백화점 미아점</t>
    <phoneticPr fontId="2" type="noConversion"/>
  </si>
  <si>
    <t>대상매장 등록유형</t>
    <phoneticPr fontId="167" type="noConversion"/>
  </si>
  <si>
    <t>← Default 는 '미선택'</t>
    <phoneticPr fontId="2" type="noConversion"/>
  </si>
  <si>
    <t>~</t>
    <phoneticPr fontId="2" type="noConversion"/>
  </si>
  <si>
    <t>브랜드</t>
    <phoneticPr fontId="167" type="noConversion"/>
  </si>
  <si>
    <t>대상매장</t>
    <phoneticPr fontId="167" type="noConversion"/>
  </si>
  <si>
    <t xml:space="preserve"> </t>
    <phoneticPr fontId="2" type="noConversion"/>
  </si>
  <si>
    <t>≤</t>
  </si>
  <si>
    <t>＜</t>
  </si>
  <si>
    <t>할인구간</t>
    <phoneticPr fontId="167" type="noConversion"/>
  </si>
  <si>
    <t>①</t>
    <phoneticPr fontId="2" type="noConversion"/>
  </si>
  <si>
    <t>③</t>
    <phoneticPr fontId="2" type="noConversion"/>
  </si>
  <si>
    <t>②</t>
    <phoneticPr fontId="2" type="noConversion"/>
  </si>
  <si>
    <t>④</t>
    <phoneticPr fontId="2" type="noConversion"/>
  </si>
  <si>
    <t>-</t>
    <phoneticPr fontId="2" type="noConversion"/>
  </si>
  <si>
    <t>마진유형</t>
    <phoneticPr fontId="167" type="noConversion"/>
  </si>
  <si>
    <t>정상</t>
    <phoneticPr fontId="2" type="noConversion"/>
  </si>
  <si>
    <t>⑤</t>
    <phoneticPr fontId="2" type="noConversion"/>
  </si>
  <si>
    <t>적용</t>
    <phoneticPr fontId="2" type="noConversion"/>
  </si>
  <si>
    <t>일괄삭제</t>
    <phoneticPr fontId="2" type="noConversion"/>
  </si>
  <si>
    <t>선택삭제</t>
    <phoneticPr fontId="2" type="noConversion"/>
  </si>
  <si>
    <t>마진
유형</t>
    <phoneticPr fontId="2" type="noConversion"/>
  </si>
  <si>
    <t>To</t>
    <phoneticPr fontId="2" type="noConversion"/>
  </si>
  <si>
    <t>From</t>
    <phoneticPr fontId="2" type="noConversion"/>
  </si>
  <si>
    <t>서브 브랜드</t>
    <phoneticPr fontId="2" type="noConversion"/>
  </si>
  <si>
    <t xml:space="preserve"> </t>
    <phoneticPr fontId="2" type="noConversion"/>
  </si>
  <si>
    <t>Code</t>
    <phoneticPr fontId="2" type="noConversion"/>
  </si>
  <si>
    <t>브랜드명</t>
    <phoneticPr fontId="2" type="noConversion"/>
  </si>
  <si>
    <t>할인구간(%)</t>
    <phoneticPr fontId="2" type="noConversion"/>
  </si>
  <si>
    <t>마진율
(%)</t>
    <phoneticPr fontId="2" type="noConversion"/>
  </si>
  <si>
    <t xml:space="preserve"> </t>
    <phoneticPr fontId="2" type="noConversion"/>
  </si>
  <si>
    <t xml:space="preserve"> </t>
    <phoneticPr fontId="2" type="noConversion"/>
  </si>
  <si>
    <t>마진유형</t>
    <phoneticPr fontId="2" type="noConversion"/>
  </si>
  <si>
    <t>적용 우선순위</t>
    <phoneticPr fontId="2" type="noConversion"/>
  </si>
  <si>
    <t xml:space="preserve">          2. 마진유형 정상과 행사 Data 등록은 하나의 Reg no. 에 동시 등록 불가</t>
    <phoneticPr fontId="2" type="noConversion"/>
  </si>
  <si>
    <t>* [주의] 1. 브랜드별 Data 등록과 서브 브랜드별 Data 등록은 하나의 Reg no. 에 동시 등록 불가</t>
    <phoneticPr fontId="2" type="noConversion"/>
  </si>
  <si>
    <t>** 동일매장, 동일 적용일 기준, 복수 등록Data 존재시, 유형별 적용 우선순위</t>
    <phoneticPr fontId="2" type="noConversion"/>
  </si>
  <si>
    <t>Copy from</t>
    <phoneticPr fontId="2" type="noConversion"/>
  </si>
  <si>
    <t>A</t>
    <phoneticPr fontId="2" type="noConversion"/>
  </si>
  <si>
    <t>A.전체매장</t>
    <phoneticPr fontId="2" type="noConversion"/>
  </si>
  <si>
    <t>S.특정매장</t>
    <phoneticPr fontId="2" type="noConversion"/>
  </si>
  <si>
    <t>등록일자</t>
    <phoneticPr fontId="2" type="noConversion"/>
  </si>
  <si>
    <t xml:space="preserve"> </t>
    <phoneticPr fontId="2" type="noConversion"/>
  </si>
  <si>
    <t>등록순번</t>
    <phoneticPr fontId="2" type="noConversion"/>
  </si>
  <si>
    <t>** [요청] 행사유형 정의 필요</t>
    <phoneticPr fontId="2" type="noConversion"/>
  </si>
  <si>
    <t>** 동일 일자 판매기준가 적용시, 동일매장 &amp; 동일 SKU 기준, 복수 판매기준가 등록Data 존재시, 유형별 적용 우선순위</t>
    <phoneticPr fontId="2" type="noConversion"/>
  </si>
  <si>
    <t>② 등록일자  :  Latest 등록 Data 우선</t>
    <phoneticPr fontId="2" type="noConversion"/>
  </si>
  <si>
    <t>① 대상매장  :  특정매장 &gt; 전매장 (특정매장 우선)</t>
    <phoneticPr fontId="2" type="noConversion"/>
  </si>
  <si>
    <t>③ 등록순번  :  동일 등록일자일 경우, Latest 등록순번 Data 우선</t>
    <phoneticPr fontId="2" type="noConversion"/>
  </si>
  <si>
    <t>A220201XXX1</t>
  </si>
  <si>
    <t>S220201XXX2</t>
  </si>
  <si>
    <t>S220202XXX1</t>
  </si>
  <si>
    <t>A220203XXX1</t>
  </si>
  <si>
    <t>S220203XXX2</t>
  </si>
  <si>
    <t>Sample. 동일 적용일 &amp; 동일 매장 &amp; 동일 SKU 에 대해 하기와 같이 다수 판매기준가 등록Data 존재시</t>
    <phoneticPr fontId="2" type="noConversion"/>
  </si>
  <si>
    <t>[Reg no]</t>
    <phoneticPr fontId="2" type="noConversion"/>
  </si>
  <si>
    <t>[판매기준가 적용순위]</t>
    <phoneticPr fontId="2" type="noConversion"/>
  </si>
  <si>
    <t>유통형태</t>
    <phoneticPr fontId="167" type="noConversion"/>
  </si>
  <si>
    <t>백화점</t>
    <phoneticPr fontId="2" type="noConversion"/>
  </si>
  <si>
    <t>* 조회시, SKU&amp;Reg no 기준 내림차순 정렬</t>
    <phoneticPr fontId="2" type="noConversion"/>
  </si>
  <si>
    <t>* [중요] 1. 조회조건의 경우, 등록일자와 상위브랜드 필드만 필수옵션. 기타 조건은 선택옵션 임</t>
    <phoneticPr fontId="2" type="noConversion"/>
  </si>
  <si>
    <t xml:space="preserve">          2. Grid Row 더블클릭 시, 등록된 '제상품 판매기준가 등록' 화면 조회 필요</t>
    <phoneticPr fontId="2" type="noConversion"/>
  </si>
  <si>
    <t>A</t>
    <phoneticPr fontId="2" type="noConversion"/>
  </si>
  <si>
    <t>전매장(A)</t>
    <phoneticPr fontId="2" type="noConversion"/>
  </si>
  <si>
    <t>특정매장(S)</t>
    <phoneticPr fontId="2" type="noConversion"/>
  </si>
  <si>
    <t>전매장(A)</t>
    <phoneticPr fontId="2" type="noConversion"/>
  </si>
  <si>
    <t>등록
유형</t>
    <phoneticPr fontId="2" type="noConversion"/>
  </si>
  <si>
    <t>LGR</t>
    <phoneticPr fontId="2" type="noConversion"/>
  </si>
  <si>
    <t xml:space="preserve"> </t>
    <phoneticPr fontId="2" type="noConversion"/>
  </si>
  <si>
    <t>마진율변경</t>
    <phoneticPr fontId="167" type="noConversion"/>
  </si>
  <si>
    <t>50.13</t>
    <phoneticPr fontId="2" type="noConversion"/>
  </si>
  <si>
    <t>%</t>
    <phoneticPr fontId="2" type="noConversion"/>
  </si>
  <si>
    <t>25</t>
    <phoneticPr fontId="2" type="noConversion"/>
  </si>
  <si>
    <t>↑변동없을시 미입력</t>
    <phoneticPr fontId="2" type="noConversion"/>
  </si>
  <si>
    <t>← 해당 메뉴로 업로드하여 등록시 대상매장 등록유형은 '특정매장(S)'</t>
    <phoneticPr fontId="2" type="noConversion"/>
  </si>
  <si>
    <t>변경
마진율</t>
    <phoneticPr fontId="2" type="noConversion"/>
  </si>
  <si>
    <t xml:space="preserve">                따라서, 해당 Process 연동하여 수정&amp;삭제 가능토록 개발 필요</t>
    <phoneticPr fontId="2" type="noConversion"/>
  </si>
  <si>
    <t>마진율</t>
    <phoneticPr fontId="2" type="noConversion"/>
  </si>
  <si>
    <t>(변경無)</t>
    <phoneticPr fontId="2" type="noConversion"/>
  </si>
  <si>
    <t>(코드 미생성)</t>
    <phoneticPr fontId="2" type="noConversion"/>
  </si>
  <si>
    <t>기안
상태</t>
    <phoneticPr fontId="2" type="noConversion"/>
  </si>
  <si>
    <t>완료</t>
    <phoneticPr fontId="2" type="noConversion"/>
  </si>
  <si>
    <t>(All)</t>
    <phoneticPr fontId="2" type="noConversion"/>
  </si>
  <si>
    <t>기안상태</t>
    <phoneticPr fontId="167" type="noConversion"/>
  </si>
  <si>
    <t>기안 문서번호</t>
    <phoneticPr fontId="2" type="noConversion"/>
  </si>
  <si>
    <t>XXXXXXXXXXXX</t>
  </si>
  <si>
    <t>XXXXXXXXXXXX</t>
    <phoneticPr fontId="2" type="noConversion"/>
  </si>
  <si>
    <t xml:space="preserve"> 변경마진율</t>
    <phoneticPr fontId="2" type="noConversion"/>
  </si>
  <si>
    <t>1-4.</t>
    <phoneticPr fontId="2" type="noConversion"/>
  </si>
  <si>
    <t>** [중요] 1. 판매기준가 변경시, 등록된 Reg no. 기준, 그룹웨어 전자결제와 연동하여 자동 기안상신 처리. (단, 등록내역 삭제시 전자결제 기안 자동삭제 안되는 점 참고) - 전자결재 양식은 별도 공유</t>
    <phoneticPr fontId="2" type="noConversion"/>
  </si>
  <si>
    <t xml:space="preserve">                 → 자동 기안한 내역이 전결처리가 되지 않더라도 Reg no. 등록된 내역 즉시 적용 (선조치 후보고 형태)</t>
    <phoneticPr fontId="2" type="noConversion"/>
  </si>
  <si>
    <t>기안문서번호</t>
    <phoneticPr fontId="167" type="noConversion"/>
  </si>
  <si>
    <t>1-2.</t>
    <phoneticPr fontId="2" type="noConversion"/>
  </si>
  <si>
    <t>1-2.</t>
    <phoneticPr fontId="2" type="noConversion"/>
  </si>
  <si>
    <t>브랜드 &amp; SKU</t>
    <phoneticPr fontId="2" type="noConversion"/>
  </si>
  <si>
    <t>비     고</t>
    <phoneticPr fontId="2" type="noConversion"/>
  </si>
  <si>
    <t>③ 동일매장, 동일 적용기간 기준, (상위)브랜드 마진율 Data 와 서브 브랜드 마진율 Data 존재시 서브 브랜드 마진율 Data 가 우선</t>
    <phoneticPr fontId="2" type="noConversion"/>
  </si>
  <si>
    <t>(U) SKU</t>
    <phoneticPr fontId="2" type="noConversion"/>
  </si>
  <si>
    <t>(S) 서브브랜드</t>
    <phoneticPr fontId="2" type="noConversion"/>
  </si>
  <si>
    <t>(B) (상위)브랜드</t>
    <phoneticPr fontId="2" type="noConversion"/>
  </si>
  <si>
    <t>유형코드</t>
    <phoneticPr fontId="2" type="noConversion"/>
  </si>
  <si>
    <t>DU</t>
    <phoneticPr fontId="2" type="noConversion"/>
  </si>
  <si>
    <t>DS</t>
    <phoneticPr fontId="2" type="noConversion"/>
  </si>
  <si>
    <t>DB</t>
    <phoneticPr fontId="2" type="noConversion"/>
  </si>
  <si>
    <t>DU220201XXX1</t>
    <phoneticPr fontId="2" type="noConversion"/>
  </si>
  <si>
    <t>AS</t>
    <phoneticPr fontId="2" type="noConversion"/>
  </si>
  <si>
    <t>AB</t>
    <phoneticPr fontId="2" type="noConversion"/>
  </si>
  <si>
    <t>AB220201XXX1</t>
  </si>
  <si>
    <t>AB220201XXX1</t>
    <phoneticPr fontId="2" type="noConversion"/>
  </si>
  <si>
    <t>① 마진유형 '정상' Data 와 마진유형 '행사' Data 존재시 '행사' Data 가 우선</t>
    <phoneticPr fontId="2" type="noConversion"/>
  </si>
  <si>
    <t>→ 단, 다수 동일유형내에서는 최근 등록Data 우선 적용</t>
    <phoneticPr fontId="2" type="noConversion"/>
  </si>
  <si>
    <t>2자리</t>
    <phoneticPr fontId="2" type="noConversion"/>
  </si>
  <si>
    <t>* 유형코드</t>
    <phoneticPr fontId="2" type="noConversion"/>
  </si>
  <si>
    <t>(D) 행사</t>
    <phoneticPr fontId="2" type="noConversion"/>
  </si>
  <si>
    <t>(A) 정상</t>
    <phoneticPr fontId="2" type="noConversion"/>
  </si>
  <si>
    <t>1-3.</t>
    <phoneticPr fontId="2" type="noConversion"/>
  </si>
  <si>
    <t>마진유형</t>
    <phoneticPr fontId="167" type="noConversion"/>
  </si>
  <si>
    <t>(마진유형 정의)</t>
    <phoneticPr fontId="2" type="noConversion"/>
  </si>
  <si>
    <t xml:space="preserve"> </t>
    <phoneticPr fontId="2" type="noConversion"/>
  </si>
  <si>
    <t xml:space="preserve"> </t>
    <phoneticPr fontId="2" type="noConversion"/>
  </si>
  <si>
    <t>행사</t>
    <phoneticPr fontId="2" type="noConversion"/>
  </si>
  <si>
    <t>GR</t>
    <phoneticPr fontId="2" type="noConversion"/>
  </si>
  <si>
    <t>LGR</t>
    <phoneticPr fontId="2" type="noConversion"/>
  </si>
  <si>
    <t>BL</t>
    <phoneticPr fontId="2" type="noConversion"/>
  </si>
  <si>
    <t>DU220201XXX1</t>
    <phoneticPr fontId="2" type="noConversion"/>
  </si>
  <si>
    <t>(상위)브랜드</t>
    <phoneticPr fontId="2" type="noConversion"/>
  </si>
  <si>
    <t>AS220201XXX1</t>
    <phoneticPr fontId="2" type="noConversion"/>
  </si>
  <si>
    <t>AD</t>
    <phoneticPr fontId="2" type="noConversion"/>
  </si>
  <si>
    <t>유통형태</t>
    <phoneticPr fontId="2" type="noConversion"/>
  </si>
  <si>
    <t>SKU</t>
    <phoneticPr fontId="2" type="noConversion"/>
  </si>
  <si>
    <t>:  POS 판매등록 화면 준용 개발 필요.  건당 등록과 일괄 등록 가능토록 개발요망</t>
    <phoneticPr fontId="2" type="noConversion"/>
  </si>
  <si>
    <t>`</t>
    <phoneticPr fontId="2" type="noConversion"/>
  </si>
  <si>
    <t>전 매장</t>
    <phoneticPr fontId="2" type="noConversion"/>
  </si>
  <si>
    <t>복수Style</t>
    <phoneticPr fontId="2" type="noConversion"/>
  </si>
  <si>
    <t>① 대상SKU Upload</t>
    <phoneticPr fontId="2" type="noConversion"/>
  </si>
  <si>
    <t>② 대상매장 Upload</t>
    <phoneticPr fontId="2" type="noConversion"/>
  </si>
  <si>
    <t>AU</t>
    <phoneticPr fontId="2" type="noConversion"/>
  </si>
  <si>
    <t>(A) 정상</t>
    <phoneticPr fontId="2" type="noConversion"/>
  </si>
  <si>
    <t>(U) SKU</t>
    <phoneticPr fontId="2" type="noConversion"/>
  </si>
  <si>
    <t>② 동일매장, 동일 적용기간 기준, 모든 마진율 등록&amp;변경 Data 내, SKU별 마진율 등록 Data 우선</t>
    <phoneticPr fontId="2" type="noConversion"/>
  </si>
  <si>
    <t>AU220201XXX1</t>
    <phoneticPr fontId="2" type="noConversion"/>
  </si>
  <si>
    <t>RD</t>
    <phoneticPr fontId="2" type="noConversion"/>
  </si>
  <si>
    <t>계약조건</t>
    <phoneticPr fontId="2" type="noConversion"/>
  </si>
  <si>
    <t>Retail Sales</t>
    <phoneticPr fontId="2" type="noConversion"/>
  </si>
  <si>
    <t>유통 마진</t>
    <phoneticPr fontId="2" type="noConversion"/>
  </si>
  <si>
    <t>세금계산서</t>
    <phoneticPr fontId="2" type="noConversion"/>
  </si>
  <si>
    <t>이후 작업</t>
    <phoneticPr fontId="2" type="noConversion"/>
  </si>
  <si>
    <t>계약 형태</t>
    <phoneticPr fontId="2" type="noConversion"/>
  </si>
  <si>
    <t>계약요율</t>
    <phoneticPr fontId="2" type="noConversion"/>
  </si>
  <si>
    <t>계약금액</t>
    <phoneticPr fontId="2" type="noConversion"/>
  </si>
  <si>
    <t>공제비용</t>
    <phoneticPr fontId="2" type="noConversion"/>
  </si>
  <si>
    <t>유형</t>
    <phoneticPr fontId="2" type="noConversion"/>
  </si>
  <si>
    <t>마진율</t>
    <phoneticPr fontId="2" type="noConversion"/>
  </si>
  <si>
    <t>수수료율</t>
    <phoneticPr fontId="2" type="noConversion"/>
  </si>
  <si>
    <t>최소마진</t>
    <phoneticPr fontId="2" type="noConversion"/>
  </si>
  <si>
    <t>임차료</t>
    <phoneticPr fontId="2" type="noConversion"/>
  </si>
  <si>
    <t>공급가</t>
    <phoneticPr fontId="2" type="noConversion"/>
  </si>
  <si>
    <t>부가세</t>
    <phoneticPr fontId="2" type="noConversion"/>
  </si>
  <si>
    <t>합계</t>
    <phoneticPr fontId="2" type="noConversion"/>
  </si>
  <si>
    <t>판매금액</t>
    <phoneticPr fontId="2" type="noConversion"/>
  </si>
  <si>
    <t>조정전</t>
    <phoneticPr fontId="2" type="noConversion"/>
  </si>
  <si>
    <t>EDI금액</t>
    <phoneticPr fontId="2" type="noConversion"/>
  </si>
  <si>
    <t>조정액</t>
    <phoneticPr fontId="2" type="noConversion"/>
  </si>
  <si>
    <t>마진</t>
    <phoneticPr fontId="2" type="noConversion"/>
  </si>
  <si>
    <t>수수료</t>
    <phoneticPr fontId="2" type="noConversion"/>
  </si>
  <si>
    <t>특정매입</t>
    <phoneticPr fontId="2" type="noConversion"/>
  </si>
  <si>
    <t>판매분 매입(법인유통)</t>
    <phoneticPr fontId="2" type="noConversion"/>
  </si>
  <si>
    <t>●</t>
    <phoneticPr fontId="2" type="noConversion"/>
  </si>
  <si>
    <t>역발행</t>
    <phoneticPr fontId="2" type="noConversion"/>
  </si>
  <si>
    <t>공급분 매입(법인유통)</t>
    <phoneticPr fontId="2" type="noConversion"/>
  </si>
  <si>
    <t>수익인식조정</t>
    <phoneticPr fontId="2" type="noConversion"/>
  </si>
  <si>
    <t>공급분 매입(대리점)</t>
    <phoneticPr fontId="2" type="noConversion"/>
  </si>
  <si>
    <t>정발행</t>
    <phoneticPr fontId="2" type="noConversion"/>
  </si>
  <si>
    <t>임대을</t>
    <phoneticPr fontId="2" type="noConversion"/>
  </si>
  <si>
    <t>비용처리</t>
    <phoneticPr fontId="2" type="noConversion"/>
  </si>
  <si>
    <t>위탁판매</t>
    <phoneticPr fontId="2" type="noConversion"/>
  </si>
  <si>
    <t>직영</t>
    <phoneticPr fontId="2" type="noConversion"/>
  </si>
  <si>
    <t>순수직영</t>
    <phoneticPr fontId="2" type="noConversion"/>
  </si>
  <si>
    <t>X</t>
    <phoneticPr fontId="2" type="noConversion"/>
  </si>
  <si>
    <t>판매액</t>
    <phoneticPr fontId="2" type="noConversion"/>
  </si>
  <si>
    <t>매출채권</t>
    <phoneticPr fontId="2" type="noConversion"/>
  </si>
  <si>
    <t>공제</t>
    <phoneticPr fontId="2" type="noConversion"/>
  </si>
  <si>
    <t>최종</t>
    <phoneticPr fontId="2" type="noConversion"/>
  </si>
  <si>
    <t>마진&amp;수수료율</t>
    <phoneticPr fontId="2" type="noConversion"/>
  </si>
  <si>
    <t>계약형태</t>
    <phoneticPr fontId="2" type="noConversion"/>
  </si>
  <si>
    <t>공급분 매입</t>
    <phoneticPr fontId="2" type="noConversion"/>
  </si>
  <si>
    <t>판매분 매입</t>
    <phoneticPr fontId="2" type="noConversion"/>
  </si>
  <si>
    <t>계약형태</t>
    <phoneticPr fontId="167" type="noConversion"/>
  </si>
  <si>
    <t xml:space="preserve">   * 참고 : 직영 임차매장의 경우, 매장 비용등록 화면에서 임차료 등록</t>
    <phoneticPr fontId="2" type="noConversion"/>
  </si>
  <si>
    <t>매장별 월별 판매액 정산 관리</t>
  </si>
  <si>
    <t>YYYY-MM</t>
    <phoneticPr fontId="2" type="noConversion"/>
  </si>
  <si>
    <t>EDI Upload</t>
    <phoneticPr fontId="2" type="noConversion"/>
  </si>
  <si>
    <t>정산년월</t>
    <phoneticPr fontId="167" type="noConversion"/>
  </si>
  <si>
    <t>정산년월</t>
    <phoneticPr fontId="2" type="noConversion"/>
  </si>
  <si>
    <t>판매
구분</t>
    <phoneticPr fontId="2" type="noConversion"/>
  </si>
  <si>
    <t>오프라인</t>
    <phoneticPr fontId="2" type="noConversion"/>
  </si>
  <si>
    <t>온라인</t>
    <phoneticPr fontId="2" type="noConversion"/>
  </si>
  <si>
    <t>매장계</t>
    <phoneticPr fontId="2" type="noConversion"/>
  </si>
  <si>
    <t>직영점</t>
    <phoneticPr fontId="2" type="noConversion"/>
  </si>
  <si>
    <t>순수직영</t>
    <phoneticPr fontId="2" type="noConversion"/>
  </si>
  <si>
    <t>직영XXXXXX점</t>
    <phoneticPr fontId="2" type="noConversion"/>
  </si>
  <si>
    <t>임대을</t>
    <phoneticPr fontId="2" type="noConversion"/>
  </si>
  <si>
    <t>위탁판매</t>
    <phoneticPr fontId="2" type="noConversion"/>
  </si>
  <si>
    <t>BCAXX1</t>
    <phoneticPr fontId="2" type="noConversion"/>
  </si>
  <si>
    <t>BCAXX2</t>
    <phoneticPr fontId="2" type="noConversion"/>
  </si>
  <si>
    <t>BCAXX3</t>
    <phoneticPr fontId="2" type="noConversion"/>
  </si>
  <si>
    <t>위탁XXXXXX점</t>
    <phoneticPr fontId="2" type="noConversion"/>
  </si>
  <si>
    <t>임대을XXXXX점</t>
    <phoneticPr fontId="2" type="noConversion"/>
  </si>
  <si>
    <t xml:space="preserve"> </t>
    <phoneticPr fontId="2" type="noConversion"/>
  </si>
  <si>
    <t xml:space="preserve"> </t>
    <phoneticPr fontId="2" type="noConversion"/>
  </si>
  <si>
    <t>자사POS기준</t>
    <phoneticPr fontId="2" type="noConversion"/>
  </si>
  <si>
    <t>유통EDI기준</t>
    <phoneticPr fontId="2" type="noConversion"/>
  </si>
  <si>
    <t>판매액 (+V)</t>
    <phoneticPr fontId="2" type="noConversion"/>
  </si>
  <si>
    <t>차액 (유통-자사)</t>
    <phoneticPr fontId="2" type="noConversion"/>
  </si>
  <si>
    <t>220201-01</t>
    <phoneticPr fontId="2" type="noConversion"/>
  </si>
  <si>
    <t>매장별 월별 판매액 정산확정 관리</t>
  </si>
  <si>
    <t>매장별 월별 판매액 정산확정 관리</t>
    <phoneticPr fontId="2" type="noConversion"/>
  </si>
  <si>
    <t>전사 합계</t>
    <phoneticPr fontId="2" type="noConversion"/>
  </si>
  <si>
    <t>□</t>
    <phoneticPr fontId="2" type="noConversion"/>
  </si>
  <si>
    <t>확정</t>
    <phoneticPr fontId="2" type="noConversion"/>
  </si>
  <si>
    <t>V</t>
    <phoneticPr fontId="2" type="noConversion"/>
  </si>
  <si>
    <t>* [중요] 매장별 확정체크 후, 저장시 해당 매장 해당월 판매등록 불가토록 등록 통제</t>
    <phoneticPr fontId="2" type="noConversion"/>
  </si>
  <si>
    <t>:  전매장 (특정매입(판매분매입, 공급분매입), 임대을, 위탁판매) 판매액 확정 관리 → 순수직영점의 경우 확정개념 無 (자체 POS 집계수치)</t>
    <phoneticPr fontId="2" type="noConversion"/>
  </si>
  <si>
    <t xml:space="preserve">   월정산시, 자사POS기준 판매액과 유통EDI기준 판매액 차이 발생시 매장 매니저 통보후, 최대한 근접하게 판매 조정등록 할 수 있도록 조치</t>
    <phoneticPr fontId="2" type="noConversion"/>
  </si>
  <si>
    <t>온오프구분</t>
    <phoneticPr fontId="2" type="noConversion"/>
  </si>
  <si>
    <t>마진율</t>
    <phoneticPr fontId="2" type="noConversion"/>
  </si>
  <si>
    <t>↑ 온라인/오프라인</t>
    <phoneticPr fontId="2" type="noConversion"/>
  </si>
  <si>
    <t>↑ 정수로 입력</t>
    <phoneticPr fontId="2" type="noConversion"/>
  </si>
  <si>
    <t>※ EDI Upload 양식</t>
    <phoneticPr fontId="2" type="noConversion"/>
  </si>
  <si>
    <t xml:space="preserve">   : EDI Data 는 해당 화면외, 타화면에서 마진율별 판매액 및 마진금액 조회해 사용하므로 월별/브랜드 별도 DB 저장&amp;관리 필요</t>
    <phoneticPr fontId="2" type="noConversion"/>
  </si>
  <si>
    <t>조회</t>
    <phoneticPr fontId="2" type="noConversion"/>
  </si>
  <si>
    <t>□</t>
    <phoneticPr fontId="2" type="noConversion"/>
  </si>
  <si>
    <t xml:space="preserve">   [중요] 온라인 구매확정 이월 혹은 오프매장 마일리지 등 사용으로 인해 조정불가한 판매액 차이 발생시, 해당 금액은 해당 매장 온오프 구분하여 브랜드별 가코드로 조정 등록</t>
    <phoneticPr fontId="2" type="noConversion"/>
  </si>
  <si>
    <t>↓일괄확정</t>
    <phoneticPr fontId="2" type="noConversion"/>
  </si>
  <si>
    <t>(R)</t>
  </si>
  <si>
    <t>차액조정반영</t>
    <phoneticPr fontId="2" type="noConversion"/>
  </si>
  <si>
    <t>EDI 판매액(+V)</t>
    <phoneticPr fontId="2" type="noConversion"/>
  </si>
  <si>
    <t>다혜대리 의견자료 반영 필요</t>
    <phoneticPr fontId="2" type="noConversion"/>
  </si>
  <si>
    <t>유통형태</t>
    <phoneticPr fontId="167" type="noConversion"/>
  </si>
  <si>
    <t>담당자</t>
    <phoneticPr fontId="2" type="noConversion"/>
  </si>
  <si>
    <t>홍길동</t>
    <phoneticPr fontId="2" type="noConversion"/>
  </si>
  <si>
    <t>마진율</t>
    <phoneticPr fontId="2" type="noConversion"/>
  </si>
  <si>
    <t xml:space="preserve"> </t>
    <phoneticPr fontId="2" type="noConversion"/>
  </si>
  <si>
    <t>할인율</t>
    <phoneticPr fontId="2" type="noConversion"/>
  </si>
  <si>
    <r>
      <t xml:space="preserve">소비자가
</t>
    </r>
    <r>
      <rPr>
        <sz val="9"/>
        <color theme="1"/>
        <rFont val="맑은 고딕"/>
        <family val="3"/>
        <charset val="129"/>
      </rPr>
      <t>(Amt)</t>
    </r>
    <phoneticPr fontId="2" type="noConversion"/>
  </si>
  <si>
    <r>
      <t xml:space="preserve">판매수량
</t>
    </r>
    <r>
      <rPr>
        <sz val="9"/>
        <color theme="1"/>
        <rFont val="맑은 고딕"/>
        <family val="3"/>
        <charset val="129"/>
      </rPr>
      <t>(PCS)</t>
    </r>
    <phoneticPr fontId="2" type="noConversion"/>
  </si>
  <si>
    <r>
      <t xml:space="preserve">판매액(+V)
</t>
    </r>
    <r>
      <rPr>
        <sz val="9"/>
        <color theme="1"/>
        <rFont val="맑은 고딕"/>
        <family val="3"/>
        <charset val="129"/>
      </rPr>
      <t>(Retail Sales)</t>
    </r>
    <phoneticPr fontId="2" type="noConversion"/>
  </si>
  <si>
    <t>BCA02X</t>
    <phoneticPr fontId="2" type="noConversion"/>
  </si>
  <si>
    <t>현대백화점 XXX</t>
    <phoneticPr fontId="2" type="noConversion"/>
  </si>
  <si>
    <t>* 정산전 판매&amp;마진별 진행상황 조회화면. 단, 특정월 판매정산 완료시, 해당월의 자료는 판매정산된 Data 를 기준으로 조회됨</t>
    <phoneticPr fontId="2" type="noConversion"/>
  </si>
  <si>
    <t>* 특정월 판매정산후, 특정월 판매&amp;마진별 진행현황 조회화면</t>
    <phoneticPr fontId="2" type="noConversion"/>
  </si>
  <si>
    <t>매장별 판매수수료(마진)율 등록</t>
  </si>
  <si>
    <t xml:space="preserve">             2. SKU별 판매수수료(마진)율을 변경해 등록한 내역은 '매장별 판매수수료(마진)율 등록' 에 Data 공유. 이때, 마진유형을 '행사' 로 구분</t>
  </si>
  <si>
    <t>판매수수료(마진)율 변경</t>
  </si>
  <si>
    <t>↑매장별 판매수수료(마진)율 등록 코드체계 적용</t>
  </si>
  <si>
    <t>:  매장 계약형태중 특정매입(판매분매입, 공급분매입), 임대을, 위탁판매 매장에 대한 판매수수료(마진)율 등록화면</t>
  </si>
  <si>
    <t>매장별 판매수수료(마진)율 등록 현황</t>
  </si>
  <si>
    <t>** [중요] 1. 기획행사 등 원인으로 SKU (스타일&amp;칼라)별 한정기간 별도 판매수수료(마진)율 적용시, '제상품 판매기준가 등록' 메뉴 통해 변경 마진율을 등록</t>
  </si>
  <si>
    <t xml:space="preserve">            2. '제상품 판매기준가 등록' 에서 등록된 SKU별 변경 마진율 정보는 '매장별 판매수수료(마진)율 등록' 과 동일한 Reg no. 생성 관리 필요</t>
  </si>
  <si>
    <t xml:space="preserve">                단, 이 경우 '제상품 판매기준가 등록' 후, 오류 등으로 해당 정보 수정or삭제시 '매장별 판매수수료(마진)율 등록' Reg no. 가 잔존하는 문제 발생.</t>
  </si>
  <si>
    <t>※ 매장별 판매수수료(마진)율 등록 Reg no. 생성 기준</t>
  </si>
  <si>
    <t>** [요청] 판매수수료(마진) 유형 설정 필요 (정상, 행사 등)</t>
  </si>
  <si>
    <t>'1-1. 제상품 판매기준가 등록' 내 변경마진율 등록 및 '1-2. 매장별 판매수수료(마진)율 등록'  내역</t>
  </si>
  <si>
    <t>'1-2. 매장별 판매수수료(마진)율 등록'  내역</t>
  </si>
  <si>
    <t>* [요청] 온라인/오프라인 별도 구분 필요여부 확인</t>
    <phoneticPr fontId="2" type="noConversion"/>
  </si>
  <si>
    <r>
      <t xml:space="preserve">수수료(마진)
</t>
    </r>
    <r>
      <rPr>
        <sz val="9"/>
        <color theme="1"/>
        <rFont val="맑은 고딕"/>
        <family val="3"/>
        <charset val="129"/>
      </rPr>
      <t>(+VAT)</t>
    </r>
    <phoneticPr fontId="2" type="noConversion"/>
  </si>
  <si>
    <t>판매월</t>
    <phoneticPr fontId="167" type="noConversion"/>
  </si>
  <si>
    <t>YYYY-MM</t>
    <phoneticPr fontId="2" type="noConversion"/>
  </si>
  <si>
    <t>조회기간</t>
    <phoneticPr fontId="167" type="noConversion"/>
  </si>
  <si>
    <t>* 상기 두 화면의 조회Data는 유사하나, 별도로 두는 이유는 전체 판매Data 를 기준으로 조회하느냐, 판매정산 되어 Fixed 된 Data 를 대상으로 조회하느냐의 차이임 ← 별도 필요여부는 개발자 판단 필요</t>
    <phoneticPr fontId="2" type="noConversion"/>
  </si>
  <si>
    <r>
      <t xml:space="preserve">판매액(+V)
</t>
    </r>
    <r>
      <rPr>
        <sz val="9"/>
        <color theme="1"/>
        <rFont val="맑은 고딕"/>
        <family val="3"/>
        <charset val="129"/>
      </rPr>
      <t>(마진차감후)</t>
    </r>
    <phoneticPr fontId="2" type="noConversion"/>
  </si>
  <si>
    <t>諸매장 매출 및 수수료(마진) 현황</t>
  </si>
  <si>
    <t>諸매장 매출 및 수수료(마진) 현황</t>
    <phoneticPr fontId="2" type="noConversion"/>
  </si>
  <si>
    <t>諸매장-제상품 매출 및 수수료(마진) 현황</t>
  </si>
  <si>
    <t>諸매장-제상품 매출 및 수수료(마진) 현황</t>
    <phoneticPr fontId="2" type="noConversion"/>
  </si>
  <si>
    <t>諸매장 월별 매출 및 수수료(마진) 현황 (자사기준)</t>
  </si>
  <si>
    <t>諸매장 월별 매출 및 수수료(마진) 현황 (마감기준)</t>
  </si>
  <si>
    <t>諸매장 기간별 매출 및 수수료(마진) 현황 (마감기준)</t>
  </si>
  <si>
    <t>諸매장 기간별 매출 및 수수료(마진) 현황 (자사기준)</t>
  </si>
  <si>
    <t>諸매장 기간별 매출 및 수수료(마진) 현황 (정산기준)</t>
  </si>
  <si>
    <t>諸매장-제상품 매출 및 수수료(마진) 현황 (자사기준)</t>
  </si>
  <si>
    <t>諸매장-제상품 매출 및 수수료(마진) 현황 (정산기준)</t>
  </si>
  <si>
    <t>諸매장-제상품 기간별 매출 및 수수료(마진) 현황 (정산기준)</t>
  </si>
  <si>
    <t>* 기간별 매출 및 수수료(마진) 현황 조회는 DB부하를 많이 줄 수 있음 (특히, 일자별 조회시). 따라서, 월단위 기간조회를 통해 Index 하고, 영업관리팀에만 권한 부여 필요</t>
    <phoneticPr fontId="2" type="noConversion"/>
  </si>
  <si>
    <t>諸매장-제상품 판매현황 (상세)</t>
  </si>
  <si>
    <t>諸매장-제상품 판매현황 (상세)</t>
    <phoneticPr fontId="2" type="noConversion"/>
  </si>
  <si>
    <t>:  매장별-일자&amp;시간대별-SKU별 판매내역 세부적으로 보는 화면 (POS 등록 Data 기준)</t>
    <phoneticPr fontId="2" type="noConversion"/>
  </si>
  <si>
    <t>[중요] 해당 조회화면은 Live DB data 를 쿼리하여 조회하는 자료로 조회기간을 길게 잡을수록 DB 부하가 높아짐. DB 효율적인 운영방안 필요</t>
    <phoneticPr fontId="2" type="noConversion"/>
  </si>
  <si>
    <t>판매일자</t>
    <phoneticPr fontId="167" type="noConversion"/>
  </si>
  <si>
    <t>□</t>
    <phoneticPr fontId="2" type="noConversion"/>
  </si>
  <si>
    <t>전매장</t>
    <phoneticPr fontId="2" type="noConversion"/>
  </si>
  <si>
    <t>↓(상위)브랜드 선택 필수</t>
    <phoneticPr fontId="2" type="noConversion"/>
  </si>
  <si>
    <t>← 실수 방지용</t>
    <phoneticPr fontId="2" type="noConversion"/>
  </si>
  <si>
    <t>매장  :  세금계산서 및 EDI 등 발행기준 생성</t>
    <phoneticPr fontId="2" type="noConversion"/>
  </si>
  <si>
    <t>매장</t>
    <phoneticPr fontId="2" type="noConversion"/>
  </si>
  <si>
    <t>브랜드</t>
    <phoneticPr fontId="2" type="noConversion"/>
  </si>
  <si>
    <t>A001</t>
    <phoneticPr fontId="2" type="noConversion"/>
  </si>
  <si>
    <t>ZZ</t>
    <phoneticPr fontId="2" type="noConversion"/>
  </si>
  <si>
    <t>OZ</t>
    <phoneticPr fontId="2" type="noConversion"/>
  </si>
  <si>
    <t>AZ</t>
    <phoneticPr fontId="2" type="noConversion"/>
  </si>
  <si>
    <t>판매액</t>
    <phoneticPr fontId="2" type="noConversion"/>
  </si>
  <si>
    <t>매장내 多브랜드 제상품 판매 가능</t>
    <phoneticPr fontId="2" type="noConversion"/>
  </si>
  <si>
    <t>ZZ</t>
    <phoneticPr fontId="2" type="noConversion"/>
  </si>
  <si>
    <t>AZ</t>
    <phoneticPr fontId="2" type="noConversion"/>
  </si>
  <si>
    <t>OZ</t>
    <phoneticPr fontId="2" type="noConversion"/>
  </si>
  <si>
    <t>레고형 DB 운영</t>
    <phoneticPr fontId="2" type="noConversion"/>
  </si>
  <si>
    <t>매장  :  브랜드별 귀속 생성</t>
    <phoneticPr fontId="2" type="noConversion"/>
  </si>
  <si>
    <t>매장내 단일 브랜드 제상품 판매 가능</t>
    <phoneticPr fontId="2" type="noConversion"/>
  </si>
  <si>
    <t>M001</t>
    <phoneticPr fontId="2" type="noConversion"/>
  </si>
  <si>
    <t>Z001</t>
    <phoneticPr fontId="2" type="noConversion"/>
  </si>
  <si>
    <t>Z001</t>
    <phoneticPr fontId="2" type="noConversion"/>
  </si>
  <si>
    <t>그룹</t>
    <phoneticPr fontId="2" type="noConversion"/>
  </si>
  <si>
    <t>XXX1</t>
    <phoneticPr fontId="2" type="noConversion"/>
  </si>
  <si>
    <t>EDI</t>
    <phoneticPr fontId="2" type="noConversion"/>
  </si>
  <si>
    <t>하이어라키형 DB 운영</t>
    <phoneticPr fontId="2" type="noConversion"/>
  </si>
  <si>
    <t>[판매 및 마진정산]</t>
    <phoneticPr fontId="2" type="noConversion"/>
  </si>
  <si>
    <t>[브랜드&amp;매장별 판매 현장]</t>
    <phoneticPr fontId="2" type="noConversion"/>
  </si>
  <si>
    <t>** 공급분 매입관리 및 매장별 각 브랜드 비용등록, Kone Data 연동 등 고려 필요</t>
    <phoneticPr fontId="2" type="noConversion"/>
  </si>
  <si>
    <t>기획년도</t>
    <phoneticPr fontId="167" type="noConversion"/>
  </si>
  <si>
    <t>XXXX</t>
    <phoneticPr fontId="2" type="noConversion"/>
  </si>
  <si>
    <t>시즌</t>
    <phoneticPr fontId="167" type="noConversion"/>
  </si>
  <si>
    <t>SP</t>
    <phoneticPr fontId="2" type="noConversion"/>
  </si>
  <si>
    <t>담당자</t>
    <phoneticPr fontId="167" type="noConversion"/>
  </si>
  <si>
    <t>프로모션</t>
    <phoneticPr fontId="167" type="noConversion"/>
  </si>
  <si>
    <t>(후속설계)</t>
    <phoneticPr fontId="2" type="noConversion"/>
  </si>
  <si>
    <t>R ZIOZIA</t>
  </si>
  <si>
    <t>판매일자</t>
    <phoneticPr fontId="2" type="noConversion"/>
  </si>
  <si>
    <t>판매시간</t>
    <phoneticPr fontId="167" type="noConversion"/>
  </si>
  <si>
    <t>판매시간</t>
    <phoneticPr fontId="2" type="noConversion"/>
  </si>
  <si>
    <t>YYYY-MM-DD</t>
    <phoneticPr fontId="2" type="noConversion"/>
  </si>
  <si>
    <t>POS Reg no.</t>
    <phoneticPr fontId="2" type="noConversion"/>
  </si>
  <si>
    <t>POS Reg no.</t>
    <phoneticPr fontId="167" type="noConversion"/>
  </si>
  <si>
    <t>XXXXXXXXXX</t>
    <phoneticPr fontId="2" type="noConversion"/>
  </si>
  <si>
    <t>고객ID</t>
    <phoneticPr fontId="2" type="noConversion"/>
  </si>
  <si>
    <t>XXXXXX</t>
    <phoneticPr fontId="2" type="noConversion"/>
  </si>
  <si>
    <t>Color</t>
    <phoneticPr fontId="2" type="noConversion"/>
  </si>
  <si>
    <t>BLK</t>
    <phoneticPr fontId="2" type="noConversion"/>
  </si>
  <si>
    <t>WHT</t>
    <phoneticPr fontId="2" type="noConversion"/>
  </si>
  <si>
    <t>Size</t>
    <phoneticPr fontId="2" type="noConversion"/>
  </si>
  <si>
    <t>부가세</t>
    <phoneticPr fontId="2" type="noConversion"/>
  </si>
  <si>
    <t>공급가액</t>
    <phoneticPr fontId="2" type="noConversion"/>
  </si>
  <si>
    <t>판매형태</t>
    <phoneticPr fontId="167" type="noConversion"/>
  </si>
  <si>
    <t>온라인/오프라인</t>
    <phoneticPr fontId="2" type="noConversion"/>
  </si>
  <si>
    <t>판매형태</t>
    <phoneticPr fontId="2" type="noConversion"/>
  </si>
  <si>
    <t>오프라인</t>
    <phoneticPr fontId="2" type="noConversion"/>
  </si>
  <si>
    <t>프로모션</t>
    <phoneticPr fontId="2" type="noConversion"/>
  </si>
  <si>
    <t>임직원명</t>
    <phoneticPr fontId="2" type="noConversion"/>
  </si>
  <si>
    <t>마진율</t>
    <phoneticPr fontId="2" type="noConversion"/>
  </si>
  <si>
    <t>SKU</t>
    <phoneticPr fontId="2" type="noConversion"/>
  </si>
  <si>
    <t>쿠폰번호</t>
    <phoneticPr fontId="2" type="noConversion"/>
  </si>
  <si>
    <t>* [요청] 브래드별 가상 제품코드 리스트</t>
    <phoneticPr fontId="2" type="noConversion"/>
  </si>
  <si>
    <t>※ 차액조정 방법</t>
    <phoneticPr fontId="2" type="noConversion"/>
  </si>
  <si>
    <t>[차액조정前]</t>
    <phoneticPr fontId="2" type="noConversion"/>
  </si>
  <si>
    <t xml:space="preserve"> </t>
    <phoneticPr fontId="2" type="noConversion"/>
  </si>
  <si>
    <t>[조정]</t>
    <phoneticPr fontId="2" type="noConversion"/>
  </si>
  <si>
    <t>[조정]</t>
    <phoneticPr fontId="2" type="noConversion"/>
  </si>
  <si>
    <t>조정</t>
    <phoneticPr fontId="2" type="noConversion"/>
  </si>
  <si>
    <t>[조정]</t>
    <phoneticPr fontId="2" type="noConversion"/>
  </si>
  <si>
    <t>[차액조정後]</t>
    <phoneticPr fontId="2" type="noConversion"/>
  </si>
  <si>
    <t>[Transaction]</t>
    <phoneticPr fontId="2" type="noConversion"/>
  </si>
  <si>
    <t xml:space="preserve">            따라서, 해당 브랜드별 개별매장 판매확정 후, '조정' 버튼 클릭시, 차이금액 발생한 매장으로 해당 브랜드 가코드로 수량없이 판매금액만 EDI 판매액에 맞도록 온오프 구분하여 조정금액 판매TR 생성 </t>
    <phoneticPr fontId="2" type="noConversion"/>
  </si>
  <si>
    <t>오프라인</t>
    <phoneticPr fontId="2" type="noConversion"/>
  </si>
  <si>
    <t>XXXXX</t>
    <phoneticPr fontId="2" type="noConversion"/>
  </si>
  <si>
    <t>마진율</t>
    <phoneticPr fontId="2" type="noConversion"/>
  </si>
  <si>
    <t>SKU</t>
    <phoneticPr fontId="2" type="noConversion"/>
  </si>
  <si>
    <t>판매일자</t>
    <phoneticPr fontId="2" type="noConversion"/>
  </si>
  <si>
    <t>22.02.01</t>
    <phoneticPr fontId="2" type="noConversion"/>
  </si>
  <si>
    <t>판매액</t>
    <phoneticPr fontId="2" type="noConversion"/>
  </si>
  <si>
    <t>판매구분</t>
    <phoneticPr fontId="2" type="noConversion"/>
  </si>
  <si>
    <t>22.02.02</t>
    <phoneticPr fontId="2" type="noConversion"/>
  </si>
  <si>
    <t>22.02.11</t>
    <phoneticPr fontId="2" type="noConversion"/>
  </si>
  <si>
    <t>온라인</t>
    <phoneticPr fontId="2" type="noConversion"/>
  </si>
  <si>
    <t>(가)XXXXX</t>
    <phoneticPr fontId="2" type="noConversion"/>
  </si>
  <si>
    <t>22.02.28</t>
    <phoneticPr fontId="2" type="noConversion"/>
  </si>
  <si>
    <t>4. 정산관리</t>
    <phoneticPr fontId="2" type="noConversion"/>
  </si>
  <si>
    <t>3. 매장관리</t>
    <phoneticPr fontId="2" type="noConversion"/>
  </si>
  <si>
    <t>신규 매장 등록</t>
    <phoneticPr fontId="2" type="noConversion"/>
  </si>
  <si>
    <t>3-2.</t>
    <phoneticPr fontId="2" type="noConversion"/>
  </si>
  <si>
    <t>3-2-1. 중간관리자 신규 등록</t>
  </si>
  <si>
    <r>
      <t>3-2-3.</t>
    </r>
    <r>
      <rPr>
        <sz val="10"/>
        <color theme="1"/>
        <rFont val="맑은 고딕"/>
        <family val="3"/>
        <charset val="129"/>
      </rPr>
      <t xml:space="preserve"> 중간관리자 공제내역 등록</t>
    </r>
    <phoneticPr fontId="2" type="noConversion"/>
  </si>
  <si>
    <r>
      <t>3-2-4.</t>
    </r>
    <r>
      <rPr>
        <sz val="10"/>
        <color theme="1"/>
        <rFont val="맑은 고딕"/>
        <family val="3"/>
        <charset val="129"/>
      </rPr>
      <t xml:space="preserve"> 중간관리자 수수료 세금계산서 발행 (역발행)</t>
    </r>
    <phoneticPr fontId="2" type="noConversion"/>
  </si>
  <si>
    <r>
      <t>3-2-5.</t>
    </r>
    <r>
      <rPr>
        <sz val="10"/>
        <color theme="1"/>
        <rFont val="맑은 고딕"/>
        <family val="3"/>
        <charset val="129"/>
      </rPr>
      <t xml:space="preserve"> 중간관리자 수수료 세금계산서 발행 (정발행)</t>
    </r>
    <phoneticPr fontId="2" type="noConversion"/>
  </si>
  <si>
    <t>중간관리매장 판매&amp;수수료 정산 현황</t>
  </si>
  <si>
    <t>중간관리매장 종합 정산 현황</t>
  </si>
  <si>
    <t>3-1.</t>
    <phoneticPr fontId="2" type="noConversion"/>
  </si>
  <si>
    <t>신규 매장등록</t>
    <phoneticPr fontId="2" type="noConversion"/>
  </si>
  <si>
    <t>신규매장 등록</t>
    <phoneticPr fontId="2" type="noConversion"/>
  </si>
  <si>
    <t>매장등록 현황</t>
    <phoneticPr fontId="2" type="noConversion"/>
  </si>
  <si>
    <t>3-2-1.</t>
    <phoneticPr fontId="2" type="noConversion"/>
  </si>
  <si>
    <t>중간관리자 등록 현황</t>
    <phoneticPr fontId="2" type="noConversion"/>
  </si>
  <si>
    <t>XXXXX</t>
    <phoneticPr fontId="2" type="noConversion"/>
  </si>
  <si>
    <t>중간관리자명</t>
    <phoneticPr fontId="167" type="noConversion"/>
  </si>
  <si>
    <t>홍길동</t>
    <phoneticPr fontId="2" type="noConversion"/>
  </si>
  <si>
    <t>중간관리자ID</t>
    <phoneticPr fontId="167" type="noConversion"/>
  </si>
  <si>
    <t>사업자번호 및 사업자명</t>
  </si>
  <si>
    <t>이메일</t>
    <phoneticPr fontId="167" type="noConversion"/>
  </si>
  <si>
    <t>XXXXXXXX@xxxx.com</t>
    <phoneticPr fontId="2" type="noConversion"/>
  </si>
  <si>
    <t>핸드폰</t>
    <phoneticPr fontId="167" type="noConversion"/>
  </si>
  <si>
    <t>XXX-XXXX-XXXX</t>
    <phoneticPr fontId="2" type="noConversion"/>
  </si>
  <si>
    <t>사업자번호</t>
    <phoneticPr fontId="2" type="noConversion"/>
  </si>
  <si>
    <t>사업자명</t>
    <phoneticPr fontId="2" type="noConversion"/>
  </si>
  <si>
    <t>현대김포 앤드지</t>
    <phoneticPr fontId="2" type="noConversion"/>
  </si>
  <si>
    <t>XXX-XX-XXXX1</t>
    <phoneticPr fontId="2" type="noConversion"/>
  </si>
  <si>
    <t>No.</t>
    <phoneticPr fontId="2" type="noConversion"/>
  </si>
  <si>
    <t>02</t>
    <phoneticPr fontId="2" type="noConversion"/>
  </si>
  <si>
    <t>01</t>
    <phoneticPr fontId="2" type="noConversion"/>
  </si>
  <si>
    <t>-</t>
  </si>
  <si>
    <t>-</t>
    <phoneticPr fontId="2" type="noConversion"/>
  </si>
  <si>
    <t>신규</t>
    <phoneticPr fontId="2" type="noConversion"/>
  </si>
  <si>
    <t>신규</t>
    <phoneticPr fontId="2" type="noConversion"/>
  </si>
  <si>
    <t>■</t>
    <phoneticPr fontId="167" type="noConversion"/>
  </si>
  <si>
    <t>대상매장 및 수수료율</t>
    <phoneticPr fontId="2" type="noConversion"/>
  </si>
  <si>
    <t>대상매장</t>
    <phoneticPr fontId="2" type="noConversion"/>
  </si>
  <si>
    <t>BBE011</t>
    <phoneticPr fontId="2" type="noConversion"/>
  </si>
  <si>
    <t>현대김포아울렛</t>
    <phoneticPr fontId="2" type="noConversion"/>
  </si>
  <si>
    <t>BCE041</t>
    <phoneticPr fontId="2" type="noConversion"/>
  </si>
  <si>
    <t>(온)현대김포</t>
    <phoneticPr fontId="2" type="noConversion"/>
  </si>
  <si>
    <t>계약기간</t>
    <phoneticPr fontId="2" type="noConversion"/>
  </si>
  <si>
    <t>03</t>
    <phoneticPr fontId="2" type="noConversion"/>
  </si>
  <si>
    <t>-</t>
    <phoneticPr fontId="2" type="noConversion"/>
  </si>
  <si>
    <t>-</t>
    <phoneticPr fontId="2" type="noConversion"/>
  </si>
  <si>
    <t>수수료율</t>
    <phoneticPr fontId="2" type="noConversion"/>
  </si>
  <si>
    <t>오프라인</t>
    <phoneticPr fontId="2" type="noConversion"/>
  </si>
  <si>
    <t>온라인</t>
    <phoneticPr fontId="2" type="noConversion"/>
  </si>
  <si>
    <t>위탁</t>
    <phoneticPr fontId="2" type="noConversion"/>
  </si>
  <si>
    <t>부가세</t>
    <phoneticPr fontId="2" type="noConversion"/>
  </si>
  <si>
    <t>포함</t>
    <phoneticPr fontId="2" type="noConversion"/>
  </si>
  <si>
    <t>□</t>
  </si>
  <si>
    <t>↑할인구간별, 판매허들별 수수료 별개 적용여부 사업부 협의 필요</t>
    <phoneticPr fontId="2" type="noConversion"/>
  </si>
  <si>
    <t>04</t>
    <phoneticPr fontId="2" type="noConversion"/>
  </si>
  <si>
    <t>* 동일매장 수수료율 적용시, (상위)브랜드 &lt; 서브브랜드 &lt; Style &lt; Color 순으로 우선순위 적용</t>
    <phoneticPr fontId="2" type="noConversion"/>
  </si>
  <si>
    <t>필수기능</t>
  </si>
  <si>
    <t>② 비용공제와 관련한 귀책대상 선택</t>
  </si>
  <si>
    <t>← 어떻게 구현해 달라는 얘기인지 논의 필요</t>
    <phoneticPr fontId="2" type="noConversion"/>
  </si>
  <si>
    <t>지원금</t>
    <phoneticPr fontId="2" type="noConversion"/>
  </si>
  <si>
    <t>지원기간</t>
    <phoneticPr fontId="2" type="noConversion"/>
  </si>
  <si>
    <t>XXXX-XX</t>
    <phoneticPr fontId="2" type="noConversion"/>
  </si>
  <si>
    <t>지원유형</t>
    <phoneticPr fontId="2" type="noConversion"/>
  </si>
  <si>
    <t>매월</t>
    <phoneticPr fontId="2" type="noConversion"/>
  </si>
  <si>
    <t>격월</t>
    <phoneticPr fontId="2" type="noConversion"/>
  </si>
  <si>
    <t>지원금액(+V)</t>
    <phoneticPr fontId="2" type="noConversion"/>
  </si>
  <si>
    <t>↑유형  :  매월, 격월, 3개월당, 6개월당, 년1회 / 분기별, 반기별, 년간</t>
    <phoneticPr fontId="2" type="noConversion"/>
  </si>
  <si>
    <t>* 입금계좌 및 계좌사본, 사업자등록 사본 관리 어디서 할지 논의 필요</t>
    <phoneticPr fontId="2" type="noConversion"/>
  </si>
  <si>
    <t>[조회]</t>
    <phoneticPr fontId="2" type="noConversion"/>
  </si>
  <si>
    <t>사업자증명서
사본등록</t>
    <phoneticPr fontId="2" type="noConversion"/>
  </si>
  <si>
    <t>[+]등록</t>
    <phoneticPr fontId="2" type="noConversion"/>
  </si>
  <si>
    <t>↑재업로드시 덮어쓰기</t>
    <phoneticPr fontId="2" type="noConversion"/>
  </si>
  <si>
    <t>현금보증금</t>
    <phoneticPr fontId="2" type="noConversion"/>
  </si>
  <si>
    <t>보증보험</t>
    <phoneticPr fontId="2" type="noConversion"/>
  </si>
  <si>
    <t>보증기간</t>
    <phoneticPr fontId="2" type="noConversion"/>
  </si>
  <si>
    <t>설정액</t>
    <phoneticPr fontId="2" type="noConversion"/>
  </si>
  <si>
    <t>증권번호</t>
    <phoneticPr fontId="2" type="noConversion"/>
  </si>
  <si>
    <t>XXXX XXXX XXXX</t>
    <phoneticPr fontId="2" type="noConversion"/>
  </si>
  <si>
    <t>중간관리자 정보 등록</t>
    <phoneticPr fontId="2" type="noConversion"/>
  </si>
  <si>
    <t>중간관리자 정보 등록</t>
    <phoneticPr fontId="2" type="noConversion"/>
  </si>
  <si>
    <t>* 중간관리자ID 비밀번호 필요여부</t>
    <phoneticPr fontId="2" type="noConversion"/>
  </si>
  <si>
    <t>중간관리자 정보 등록</t>
  </si>
  <si>
    <t>중간관리자 등록 현황</t>
  </si>
  <si>
    <t>등록일자</t>
    <phoneticPr fontId="2" type="noConversion"/>
  </si>
  <si>
    <t>Update</t>
    <phoneticPr fontId="2" type="noConversion"/>
  </si>
  <si>
    <t>ID</t>
    <phoneticPr fontId="2" type="noConversion"/>
  </si>
  <si>
    <t>Manager info</t>
    <phoneticPr fontId="2" type="noConversion"/>
  </si>
  <si>
    <t>XXXXX</t>
    <phoneticPr fontId="2" type="noConversion"/>
  </si>
  <si>
    <t>Name</t>
    <phoneticPr fontId="2" type="noConversion"/>
  </si>
  <si>
    <t>홍길동</t>
    <phoneticPr fontId="2" type="noConversion"/>
  </si>
  <si>
    <t>사업자번호</t>
    <phoneticPr fontId="2" type="noConversion"/>
  </si>
  <si>
    <t>사업자명</t>
    <phoneticPr fontId="2" type="noConversion"/>
  </si>
  <si>
    <t>설정일자</t>
    <phoneticPr fontId="2" type="noConversion"/>
  </si>
  <si>
    <t>설정액</t>
    <phoneticPr fontId="2" type="noConversion"/>
  </si>
  <si>
    <t>입금액</t>
    <phoneticPr fontId="2" type="noConversion"/>
  </si>
  <si>
    <t>담보-현금보증금</t>
    <phoneticPr fontId="2" type="noConversion"/>
  </si>
  <si>
    <t>담보-보증보험</t>
    <phoneticPr fontId="2" type="noConversion"/>
  </si>
  <si>
    <t>만료일자</t>
    <phoneticPr fontId="2" type="noConversion"/>
  </si>
  <si>
    <t>YYYY-MM-DD</t>
  </si>
  <si>
    <t>* Row 더블클릭시 해당 '중간관리자 정보등록' 화면으로 연결</t>
    <phoneticPr fontId="2" type="noConversion"/>
  </si>
  <si>
    <t>등록일자</t>
    <phoneticPr fontId="167" type="noConversion"/>
  </si>
  <si>
    <t>이메일</t>
    <phoneticPr fontId="2" type="noConversion"/>
  </si>
  <si>
    <t>핸드폰</t>
    <phoneticPr fontId="2" type="noConversion"/>
  </si>
  <si>
    <t>01099999999</t>
    <phoneticPr fontId="2" type="noConversion"/>
  </si>
  <si>
    <t>kkagoo@gmail.com</t>
    <phoneticPr fontId="2" type="noConversion"/>
  </si>
  <si>
    <t>BBE011</t>
    <phoneticPr fontId="2" type="noConversion"/>
  </si>
  <si>
    <t>현대김포아울렛</t>
    <phoneticPr fontId="2" type="noConversion"/>
  </si>
  <si>
    <t>대상매장</t>
    <phoneticPr fontId="167" type="noConversion"/>
  </si>
  <si>
    <t>↑ 등록일자, Update</t>
    <phoneticPr fontId="2" type="noConversion"/>
  </si>
  <si>
    <t>(상위)브랜드</t>
    <phoneticPr fontId="2" type="noConversion"/>
  </si>
  <si>
    <t>XXXX</t>
    <phoneticPr fontId="2" type="noConversion"/>
  </si>
  <si>
    <t>지원금</t>
    <phoneticPr fontId="2" type="noConversion"/>
  </si>
  <si>
    <t>수수료율</t>
    <phoneticPr fontId="167" type="noConversion"/>
  </si>
  <si>
    <t>지원/담보</t>
    <phoneticPr fontId="167" type="noConversion"/>
  </si>
  <si>
    <t>과거내역</t>
    <phoneticPr fontId="167" type="noConversion"/>
  </si>
  <si>
    <t>Manager info</t>
    <phoneticPr fontId="167" type="noConversion"/>
  </si>
  <si>
    <t>↑ Default</t>
    <phoneticPr fontId="2" type="noConversion"/>
  </si>
  <si>
    <t>조회내역      :</t>
    <phoneticPr fontId="167" type="noConversion"/>
  </si>
  <si>
    <t>4-1.</t>
    <phoneticPr fontId="2" type="noConversion"/>
  </si>
  <si>
    <t>법인유통 세금계산서 등록&amp;관리</t>
  </si>
  <si>
    <t>법인유통 세금계산서 등록&amp;관리</t>
    <phoneticPr fontId="2" type="noConversion"/>
  </si>
  <si>
    <t>법인유통 세금계산서 확정 등록</t>
    <phoneticPr fontId="2" type="noConversion"/>
  </si>
  <si>
    <t>계산서 발행</t>
    <phoneticPr fontId="167" type="noConversion"/>
  </si>
  <si>
    <t>정발행</t>
    <phoneticPr fontId="2" type="noConversion"/>
  </si>
  <si>
    <t>확정</t>
    <phoneticPr fontId="2" type="noConversion"/>
  </si>
  <si>
    <t>확정구분</t>
    <phoneticPr fontId="2" type="noConversion"/>
  </si>
  <si>
    <t>확정일자</t>
    <phoneticPr fontId="2" type="noConversion"/>
  </si>
  <si>
    <t>구분</t>
    <phoneticPr fontId="2" type="noConversion"/>
  </si>
  <si>
    <t>Style</t>
    <phoneticPr fontId="2" type="noConversion"/>
  </si>
  <si>
    <t>Tag Price</t>
    <phoneticPr fontId="2" type="noConversion"/>
  </si>
  <si>
    <t>예상할인율</t>
    <phoneticPr fontId="2" type="noConversion"/>
  </si>
  <si>
    <t>유통마진율</t>
    <phoneticPr fontId="2" type="noConversion"/>
  </si>
  <si>
    <t>공급가액</t>
    <phoneticPr fontId="2" type="noConversion"/>
  </si>
  <si>
    <t>PCS당</t>
    <phoneticPr fontId="2" type="noConversion"/>
  </si>
  <si>
    <t>공급수량</t>
    <phoneticPr fontId="2" type="noConversion"/>
  </si>
  <si>
    <t>Amt</t>
    <phoneticPr fontId="2" type="noConversion"/>
  </si>
  <si>
    <t>Month</t>
    <phoneticPr fontId="2" type="noConversion"/>
  </si>
  <si>
    <t>Day</t>
    <phoneticPr fontId="2" type="noConversion"/>
  </si>
  <si>
    <t>Jan</t>
    <phoneticPr fontId="2" type="noConversion"/>
  </si>
  <si>
    <t>Tag Price</t>
    <phoneticPr fontId="2" type="noConversion"/>
  </si>
  <si>
    <t>할인율</t>
    <phoneticPr fontId="2" type="noConversion"/>
  </si>
  <si>
    <t>마진율</t>
    <phoneticPr fontId="2" type="noConversion"/>
  </si>
  <si>
    <t>공급가액</t>
    <phoneticPr fontId="2" type="noConversion"/>
  </si>
  <si>
    <t>공급수량</t>
    <phoneticPr fontId="2" type="noConversion"/>
  </si>
  <si>
    <t>Retail Sales</t>
    <phoneticPr fontId="2" type="noConversion"/>
  </si>
  <si>
    <t>Retail Sales</t>
    <phoneticPr fontId="2" type="noConversion"/>
  </si>
  <si>
    <t>월간 합계</t>
    <phoneticPr fontId="2" type="noConversion"/>
  </si>
  <si>
    <t>25일 누계</t>
    <phoneticPr fontId="2" type="noConversion"/>
  </si>
  <si>
    <t>잔존일 누계</t>
    <phoneticPr fontId="2" type="noConversion"/>
  </si>
  <si>
    <t>재매입</t>
    <phoneticPr fontId="2" type="noConversion"/>
  </si>
  <si>
    <t>합계</t>
    <phoneticPr fontId="2" type="noConversion"/>
  </si>
  <si>
    <t>Fone 기준</t>
    <phoneticPr fontId="2" type="noConversion"/>
  </si>
  <si>
    <t>공급가</t>
    <phoneticPr fontId="2" type="noConversion"/>
  </si>
  <si>
    <t>부가세</t>
    <phoneticPr fontId="2" type="noConversion"/>
  </si>
  <si>
    <t>합계</t>
    <phoneticPr fontId="2" type="noConversion"/>
  </si>
  <si>
    <t>당월 공급 (+V)</t>
    <phoneticPr fontId="2" type="noConversion"/>
  </si>
  <si>
    <t>세금계산서 (당월 확정)</t>
    <phoneticPr fontId="2" type="noConversion"/>
  </si>
  <si>
    <t>기말</t>
    <phoneticPr fontId="2" type="noConversion"/>
  </si>
  <si>
    <t>기초</t>
    <phoneticPr fontId="2" type="noConversion"/>
  </si>
  <si>
    <t>판매분</t>
    <phoneticPr fontId="2" type="noConversion"/>
  </si>
  <si>
    <t>기말재고분</t>
    <phoneticPr fontId="2" type="noConversion"/>
  </si>
  <si>
    <t>A매장 - 공급분매입</t>
    <phoneticPr fontId="2" type="noConversion"/>
  </si>
  <si>
    <t>구     분</t>
    <phoneticPr fontId="2" type="noConversion"/>
  </si>
  <si>
    <t>구     분</t>
    <phoneticPr fontId="2" type="noConversion"/>
  </si>
  <si>
    <t>A매장</t>
    <phoneticPr fontId="2" type="noConversion"/>
  </si>
  <si>
    <t>마진율</t>
    <phoneticPr fontId="2" type="noConversion"/>
  </si>
  <si>
    <t>유통-자사</t>
    <phoneticPr fontId="2" type="noConversion"/>
  </si>
  <si>
    <t>오프</t>
    <phoneticPr fontId="2" type="noConversion"/>
  </si>
  <si>
    <t>수수료(마진)</t>
    <phoneticPr fontId="2" type="noConversion"/>
  </si>
  <si>
    <t>↓판매기준 공급가액</t>
    <phoneticPr fontId="2" type="noConversion"/>
  </si>
  <si>
    <t>판매기준 공급가</t>
    <phoneticPr fontId="2" type="noConversion"/>
  </si>
  <si>
    <t>업체 EDI</t>
    <phoneticPr fontId="2" type="noConversion"/>
  </si>
  <si>
    <t>판매기준
공급가</t>
    <phoneticPr fontId="2" type="noConversion"/>
  </si>
  <si>
    <t>기말
공급미수</t>
    <phoneticPr fontId="2" type="noConversion"/>
  </si>
  <si>
    <t>기초
공급미수</t>
    <phoneticPr fontId="2" type="noConversion"/>
  </si>
  <si>
    <r>
      <t xml:space="preserve">매입
</t>
    </r>
    <r>
      <rPr>
        <sz val="9"/>
        <color theme="1"/>
        <rFont val="맑은 고딕"/>
        <family val="3"/>
        <charset val="129"/>
      </rPr>
      <t>(세금계산서)</t>
    </r>
    <phoneticPr fontId="2" type="noConversion"/>
  </si>
  <si>
    <t xml:space="preserve"> 구    분</t>
    <phoneticPr fontId="2" type="noConversion"/>
  </si>
  <si>
    <t>판매기준 공급가</t>
    <phoneticPr fontId="2" type="noConversion"/>
  </si>
  <si>
    <t>M+1</t>
    <phoneticPr fontId="2" type="noConversion"/>
  </si>
  <si>
    <t>공급 Transaction (A매장)</t>
    <phoneticPr fontId="2" type="noConversion"/>
  </si>
  <si>
    <t>공급분매입 관리 (+V)</t>
    <phoneticPr fontId="2" type="noConversion"/>
  </si>
  <si>
    <t>판매정산 (+V)</t>
    <phoneticPr fontId="2" type="noConversion"/>
  </si>
  <si>
    <t>백화점 정산-세금계산서</t>
    <phoneticPr fontId="2" type="noConversion"/>
  </si>
  <si>
    <t>전월 이월</t>
    <phoneticPr fontId="2" type="noConversion"/>
  </si>
  <si>
    <t>당월 확정</t>
    <phoneticPr fontId="2" type="noConversion"/>
  </si>
  <si>
    <t>** 왜 5일, 월말에 재매입을 두번 돌리나???</t>
    <phoneticPr fontId="2" type="noConversion"/>
  </si>
  <si>
    <t>M+2</t>
    <phoneticPr fontId="2" type="noConversion"/>
  </si>
  <si>
    <t>공급가 조정(차감)</t>
    <phoneticPr fontId="2" type="noConversion"/>
  </si>
  <si>
    <t>1~25일</t>
    <phoneticPr fontId="2" type="noConversion"/>
  </si>
  <si>
    <t>전월 잔존분</t>
    <phoneticPr fontId="2" type="noConversion"/>
  </si>
  <si>
    <t>공급가조정</t>
    <phoneticPr fontId="2" type="noConversion"/>
  </si>
  <si>
    <t>M+3</t>
    <phoneticPr fontId="2" type="noConversion"/>
  </si>
  <si>
    <t>M+0 (매장별 기초Data Migration 시 필요자료)</t>
    <phoneticPr fontId="2" type="noConversion"/>
  </si>
  <si>
    <t>** 시즌반품 혹은 점간이동 출고, 자가소모가 있을 경우, 공급가액을 어떤 것으로 산출??</t>
    <phoneticPr fontId="2" type="noConversion"/>
  </si>
  <si>
    <t xml:space="preserve"> </t>
    <phoneticPr fontId="2" type="noConversion"/>
  </si>
  <si>
    <t>* 연관 입금계좌 및 계좌증명사본은 Kone 에 등록&amp;관리</t>
    <phoneticPr fontId="2" type="noConversion"/>
  </si>
  <si>
    <t xml:space="preserve">  단, 중간관리자ID, 관리매장 코드 등은 Kone 입금계좌 등과 인터페이스 관리</t>
    <phoneticPr fontId="2" type="noConversion"/>
  </si>
  <si>
    <t xml:space="preserve">*** 매장별 판매수수료(마진)율 등록의 경우, 계약서 기준 General 한 내용 등록하고, </t>
    <phoneticPr fontId="2" type="noConversion"/>
  </si>
  <si>
    <t xml:space="preserve">    특정SKU에 대한 마진율 변경에 대한 부분은 제상품 판매기준가 등록의 마진율 변경화면을 통해 등록하는 것이 어떨지....</t>
    <phoneticPr fontId="2" type="noConversion"/>
  </si>
  <si>
    <t>*** 아니면 기준가 등록과 마진율 변경 등록을 별도 구분해 등록하도록 하는 것이 가장 Best임.</t>
    <phoneticPr fontId="2" type="noConversion"/>
  </si>
  <si>
    <t>↓ 구조적으로 기준가 등록과 매장마진율 등록은 별개 업무임. 별도 등록 필요</t>
    <phoneticPr fontId="2" type="noConversion"/>
  </si>
  <si>
    <t>** 25일 확정기준으로 당월 공급확정 하지 않을 경우, 공급분 매입관리의 업체미매입 금액과 백화점정산-세금계산서 화면의 기말재고 금액이 맞게 진행되는 것을 검증 불가</t>
    <phoneticPr fontId="2" type="noConversion"/>
  </si>
  <si>
    <t>↑수수료율 적용항목 (오프, 온라인, 위탁, 상품권 등) 多옵션 적용 고려</t>
    <phoneticPr fontId="2" type="noConversion"/>
  </si>
  <si>
    <t xml:space="preserve">** SKU별 기말재고에 대한 TAG, Retail, 수수료율을 가지고 있지 않으면, </t>
    <phoneticPr fontId="2" type="noConversion"/>
  </si>
  <si>
    <t xml:space="preserve">   대량 시즌 반품시에 공급가를 얼마나 차감해야 하는지 정확히 알 수 없어 할인율이 덜 반영된 공급가로 반영해 기말 공급가를 크게 축소하는 문제 발생할 수 있음</t>
    <phoneticPr fontId="2" type="noConversion"/>
  </si>
  <si>
    <t>** 매장 판매 공급액은 실제 마감수치, 나머지 공급액은 허수임</t>
    <phoneticPr fontId="2" type="noConversion"/>
  </si>
  <si>
    <t>** 기말재고 매장판매수수료율은 계약요율을 적용하고, 매출할인율을 마감일의 기준판매가를 기준으로 산출하는 방법 고민</t>
    <phoneticPr fontId="2" type="noConversion"/>
  </si>
  <si>
    <t>** 판매분 공급액을 맞추기 위해 사용하는 가품번에 대한 대한 공급액 조정 고려해야 함</t>
    <phoneticPr fontId="2" type="noConversion"/>
  </si>
  <si>
    <t>** 1. 공급시 기준판매가와 수수료율 기준으로 공급가액 산정후, SKU별 공급가액 기준 '기초+공급-판매' 로 기말재고 공급가액을 산출</t>
    <phoneticPr fontId="2" type="noConversion"/>
  </si>
  <si>
    <t xml:space="preserve">   2. 공급가액 조정을 위해 월말 기준 기준판매가와 수수료율 기준으로 수정 공급가액 산정하여 1번의 공급가액과의 차액만큼만 조정하는 방법</t>
    <phoneticPr fontId="2" type="noConversion"/>
  </si>
  <si>
    <t>↙Logic 상 오류로 보이나 합계는 '0' 임</t>
    <phoneticPr fontId="2" type="noConversion"/>
  </si>
  <si>
    <t>← 판매기준가 관리와 프로모션 등록관리 혼용되어 있어 사용불가함</t>
    <phoneticPr fontId="2" type="noConversion"/>
  </si>
  <si>
    <t>판매취소</t>
    <phoneticPr fontId="2" type="noConversion"/>
  </si>
  <si>
    <t>순판매</t>
    <phoneticPr fontId="2" type="noConversion"/>
  </si>
  <si>
    <t>(POS or 기타 판매 등록)</t>
    <phoneticPr fontId="2" type="noConversion"/>
  </si>
  <si>
    <t>(POS or 기타 판매취소 등록)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</si>
</sst>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8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#,##0_-;\-#,##0_-;_-&quot;-&quot;_-;_-@_-"/>
    <numFmt numFmtId="178" formatCode="_-* #,##0_-;\-#,##0_-;_-* &quot;-&quot;_-;_-@_-"/>
    <numFmt numFmtId="179" formatCode="_(* #,##0_);_(* \(#,##0\);_(* &quot;-&quot;_);_(@_)"/>
    <numFmt numFmtId="180" formatCode="_(\$* #,##0.00_);_(\$* \(#,##0.00\);_(\$* \-??_);_(@_)"/>
    <numFmt numFmtId="181" formatCode="_-\$* #,##0_-;&quot;-$&quot;* #,##0_-;_-\$* \-_-;_-@_-"/>
    <numFmt numFmtId="182" formatCode="_(* #,##0_);_(* \(#,##0\);_(* \-??_);_(@_)"/>
    <numFmt numFmtId="183" formatCode="\\#,##0.00;[Red]&quot;\\\\\\-&quot;#,##0.00"/>
    <numFmt numFmtId="184" formatCode="\\#,##0;[Red]&quot;\\-&quot;#,##0"/>
    <numFmt numFmtId="185" formatCode="_ * #,##0.00_ ;_ * \-#,##0.00_ ;_ * \-??_ ;_ @_ "/>
    <numFmt numFmtId="186" formatCode="_ * #,##0_ ;_ * \-#,##0_ ;_ * \-_ ;_ @_ "/>
    <numFmt numFmtId="187" formatCode="_-* #,##0_-;\-* #,##0_-;_-* \-_-;_-@_-"/>
    <numFmt numFmtId="188" formatCode="_-* #,##0\ _€_-;\-* #,##0\ _€_-;_-* &quot;- &quot;_€_-;_-@_-"/>
    <numFmt numFmtId="189" formatCode="_(* #,##0_);_(* \(#,##0\);_(* \-_);_(@_)"/>
    <numFmt numFmtId="190" formatCode="_(\$* #,##0_);_(\$* \(#,##0\);_(\$* \-_);_(@_)"/>
    <numFmt numFmtId="191" formatCode="_-* #,##0\ _B_F_-;\-* #,##0\ _B_F_-;_-* &quot;- &quot;_B_F_-;_-@_-"/>
    <numFmt numFmtId="192" formatCode="_-* #,##0.00_-;\-* #,##0.00_-;_-* \-??_-;_-@_-"/>
    <numFmt numFmtId="193" formatCode="_-* #,##0.00\ _€_-;\-* #,##0.00\ _€_-;_-* \-??\ _€_-;_-@_-"/>
    <numFmt numFmtId="194" formatCode="_(* #,##0.00_);_(* \(#,##0.00\);_(* \-??_);_(@_)"/>
    <numFmt numFmtId="195" formatCode="0.000000"/>
    <numFmt numFmtId="196" formatCode="_(* #,##0.0000_);_(* \(#,##0.0000\);_(* \-??_);_(@_)"/>
    <numFmt numFmtId="197" formatCode="&quot;SFr. &quot;#,##0.00;[Red]&quot;SFr. -&quot;#,##0.00"/>
    <numFmt numFmtId="198" formatCode="_ &quot;SFr. &quot;* #,##0_ ;_ &quot;SFr. &quot;* \-#,##0_ ;_ &quot;SFr. &quot;* \-_ ;_ @_ "/>
    <numFmt numFmtId="199" formatCode="#,##0.0_);\(#,##0.0\)"/>
    <numFmt numFmtId="200" formatCode="0.0%;[Red]\(0.0%\)"/>
    <numFmt numFmtId="201" formatCode="_ * #,##0.00_)\£_ ;_ * \(#,##0.00&quot;)£&quot;_ ;_ * \-??_)\£_ ;_ @_ "/>
    <numFmt numFmtId="202" formatCode="_-\$* #,##0.00_-;&quot;-$&quot;* #,##0.00_-;_-\$* \-??_-;_-@_-"/>
    <numFmt numFmtId="203" formatCode="0.0%;\(0.0%\)"/>
    <numFmt numFmtId="204" formatCode="_-* #,##0.00&quot; F&quot;_-;\-* #,##0.00&quot; F&quot;_-;_-* \-??&quot; F&quot;_-;_-@_-"/>
    <numFmt numFmtId="205" formatCode="0.000_)"/>
    <numFmt numFmtId="206" formatCode="#,##0\ ;\-#,##0\ ;&quot; - &quot;;@\ "/>
    <numFmt numFmtId="207" formatCode="_ * #,##0_ ;_ * \-#,##0_ ;_ * &quot;-&quot;_ ;_ @_ "/>
    <numFmt numFmtId="208" formatCode="#,##0;\(#,##0\)"/>
    <numFmt numFmtId="209" formatCode="_ * #,##0.00_ ;_ * \-#,##0.00_ ;_ * &quot;-&quot;??_ ;_ @_ "/>
    <numFmt numFmtId="210" formatCode="\$#,##0\ ;&quot;($&quot;#,##0\)"/>
    <numFmt numFmtId="211" formatCode="\t0.00%"/>
    <numFmt numFmtId="212" formatCode="&quot;US$&quot;#,##0.00;&quot;(US$&quot;#,##0.00\)"/>
    <numFmt numFmtId="213" formatCode="_-* #,##0\ _D_M_-;\-* #,##0\ _D_M_-;_-* &quot;- &quot;_D_M_-;_-@_-"/>
    <numFmt numFmtId="214" formatCode="_-* #,##0.00\ _D_M_-;\-* #,##0.00\ _D_M_-;_-* \-??\ _D_M_-;_-@_-"/>
    <numFmt numFmtId="215" formatCode="\t#\ ??/??"/>
    <numFmt numFmtId="216" formatCode="_([$€-2]* #,##0.00_);_([$€-2]* \(#,##0.00\);_([$€-2]* \-??_)"/>
    <numFmt numFmtId="217" formatCode="0."/>
    <numFmt numFmtId="218" formatCode="_(* #,##0.000000_);_(* \(#,##0.000000\);_(* \-??_);_(@_)"/>
    <numFmt numFmtId="219" formatCode=";;;"/>
    <numFmt numFmtId="220" formatCode="mmm"/>
    <numFmt numFmtId="221" formatCode="mmm&quot; D&quot;"/>
    <numFmt numFmtId="222" formatCode="&quot;DDD&quot;__\ mmm__&quot; D&quot;__"/>
    <numFmt numFmtId="223" formatCode="&quot;R &quot;#,##0.00;&quot;R -&quot;#,##0.00"/>
    <numFmt numFmtId="224" formatCode="&quot;DDD &quot;mmm&quot; D&quot;__"/>
    <numFmt numFmtId="225" formatCode="#,##0\ \ ;&quot;△&quot;#,##0\ \ \ "/>
    <numFmt numFmtId="226" formatCode="#,##0\ \ ;&quot;△&quot;#,##0\ \ "/>
    <numFmt numFmtId="227" formatCode="\ß#,##0;&quot;-ß&quot;#,##0"/>
    <numFmt numFmtId="228" formatCode="*x"/>
    <numFmt numFmtId="229" formatCode="#,##0.000_);\(#,##0.000\)"/>
    <numFmt numFmtId="230" formatCode="#,##0.00&quot; F&quot;;[Red]\-#,##0.00&quot; F&quot;"/>
    <numFmt numFmtId="231" formatCode="\\#,##0;[Red]&quot;-\&quot;#,##0"/>
    <numFmt numFmtId="232" formatCode="#,##0&quot; F&quot;;\-#,##0&quot; F&quot;"/>
    <numFmt numFmtId="233" formatCode="#,##0&quot; F&quot;;[Red]\-#,##0&quot; F&quot;"/>
    <numFmt numFmtId="234" formatCode="_-* #,##0&quot; F&quot;_-;\-* #,##0&quot; F&quot;_-;_-* &quot;- F&quot;_-;_-@_-"/>
    <numFmt numFmtId="235" formatCode="\\#,##0.00;&quot;-\&quot;#,##0.00"/>
    <numFmt numFmtId="236" formatCode="0000"/>
    <numFmt numFmtId="237" formatCode="00"/>
    <numFmt numFmtId="238" formatCode="000"/>
    <numFmt numFmtId="239" formatCode="#,##0.00&quot; F&quot;;\-#,##0.00&quot; F&quot;"/>
    <numFmt numFmtId="240" formatCode="\$#,##0_);&quot;($&quot;#,##0\)"/>
    <numFmt numFmtId="241" formatCode="\$#,##0_);[Red]&quot;($&quot;#,##0\)"/>
    <numFmt numFmtId="242" formatCode="_-* #,##0&quot; DM&quot;_-;\-* #,##0&quot; DM&quot;_-;_-* &quot;- DM&quot;_-;_-@_-"/>
    <numFmt numFmtId="243" formatCode="_-* #,##0.00&quot; DM&quot;_-;\-* #,##0.00&quot; DM&quot;_-;_-* \-??&quot; DM&quot;_-;_-@_-"/>
    <numFmt numFmtId="244" formatCode="#,##0_ "/>
    <numFmt numFmtId="245" formatCode="_(&quot;₩&quot;* #,##0_);_(&quot;₩&quot;* \(#,##0\);_(&quot;₩&quot;* &quot;-&quot;_);_(@_)"/>
    <numFmt numFmtId="246" formatCode="_-[$$-409]* #,##0.00_ ;_-[$$-409]* \-#,##0.00\ ;_-[$$-409]* &quot;-&quot;??_ ;_-@_ "/>
    <numFmt numFmtId="247" formatCode="&quot;₩&quot;#,##0.00\ ;\(&quot;₩&quot;#,##0.00\)"/>
    <numFmt numFmtId="248" formatCode="&quot;₩&quot;#,##0;&quot;₩&quot;\-#,##0"/>
    <numFmt numFmtId="249" formatCode="_(* #,##0_);[Red]_(* \(#,##0\);_(* &quot;-&quot;_);_(@_)"/>
    <numFmt numFmtId="250" formatCode="_-* #,##0.00_-;\-* #,##0.00_-;_-* &quot;-&quot;_-;_-@_-"/>
    <numFmt numFmtId="251" formatCode="_-#,##0_-;\-#,##0_-;_-&quot;-&quot;??_-;_-@_-"/>
  </numFmts>
  <fonts count="182"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9"/>
      <color theme="1"/>
      <name val="맑은 고딕"/>
      <family val="3"/>
      <charset val="129"/>
    </font>
    <font>
      <sz val="9"/>
      <color rgb="FF0000FF"/>
      <name val="맑은 고딕"/>
      <family val="2"/>
      <charset val="129"/>
    </font>
    <font>
      <sz val="9"/>
      <color theme="1"/>
      <name val="맑은 고딕"/>
      <family val="3"/>
      <charset val="129"/>
    </font>
    <font>
      <sz val="9"/>
      <color rgb="FFFF0000"/>
      <name val="맑은 고딕"/>
      <family val="2"/>
      <charset val="129"/>
    </font>
    <font>
      <sz val="9"/>
      <color rgb="FF0000FF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theme="0"/>
      <name val="맑은 고딕"/>
      <family val="2"/>
      <charset val="129"/>
    </font>
    <font>
      <b/>
      <sz val="9"/>
      <color rgb="FF0000FF"/>
      <name val="맑은 고딕"/>
      <family val="3"/>
      <charset val="129"/>
    </font>
    <font>
      <sz val="8"/>
      <color theme="1" tint="0.34998626667073579"/>
      <name val="맑은 고딕"/>
      <family val="2"/>
      <charset val="129"/>
    </font>
    <font>
      <sz val="8"/>
      <color theme="1" tint="0.34998626667073579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3"/>
      <color theme="1"/>
      <name val="맑은 고딕"/>
      <family val="2"/>
      <charset val="129"/>
    </font>
    <font>
      <sz val="11"/>
      <color rgb="FFFF0000"/>
      <name val="맑은 고딕"/>
      <family val="2"/>
      <charset val="129"/>
    </font>
    <font>
      <b/>
      <sz val="9"/>
      <color theme="1"/>
      <name val="맑은 고딕"/>
      <family val="2"/>
      <charset val="129"/>
    </font>
    <font>
      <sz val="12"/>
      <color rgb="FFFF0000"/>
      <name val="맑은 고딕"/>
      <family val="2"/>
      <charset val="129"/>
    </font>
    <font>
      <b/>
      <sz val="12"/>
      <color rgb="FFFF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rgb="FF80C535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VN-NTime"/>
      <family val="2"/>
    </font>
    <font>
      <b/>
      <sz val="16"/>
      <color theme="1"/>
      <name val="맑은 고딕"/>
      <family val="2"/>
      <charset val="129"/>
    </font>
    <font>
      <sz val="8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b/>
      <sz val="8"/>
      <color theme="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0000FF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9"/>
      <color rgb="FF0000FF"/>
      <name val="맑은 고딕"/>
      <family val="2"/>
      <charset val="129"/>
    </font>
    <font>
      <sz val="8"/>
      <color theme="1" tint="0.499984740745262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VNTime"/>
      <family val="2"/>
    </font>
    <font>
      <sz val="10"/>
      <name val=".VnTime"/>
      <family val="2"/>
    </font>
    <font>
      <sz val="14"/>
      <name val="Terminal"/>
      <family val="3"/>
      <charset val="255"/>
    </font>
    <font>
      <sz val="14"/>
      <name val="lr ¾©"/>
      <family val="1"/>
      <charset val="128"/>
    </font>
    <font>
      <b/>
      <u/>
      <sz val="14"/>
      <color indexed="8"/>
      <name val=".VnBook-AntiquaH"/>
      <family val="2"/>
    </font>
    <font>
      <sz val="10"/>
      <name val="VnTimes"/>
      <family val="2"/>
    </font>
    <font>
      <sz val="12"/>
      <color indexed="8"/>
      <name val="¹ÙÅÁÃ¼"/>
      <family val="1"/>
      <charset val="129"/>
    </font>
    <font>
      <i/>
      <sz val="12"/>
      <color indexed="8"/>
      <name val=".VnBook-AntiquaH"/>
      <family val="2"/>
    </font>
    <font>
      <sz val="11"/>
      <color indexed="8"/>
      <name val="맑은 고딕"/>
      <family val="3"/>
      <charset val="129"/>
    </font>
    <font>
      <sz val="11"/>
      <color indexed="8"/>
      <name val="돋움"/>
      <family val="3"/>
      <charset val="129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1"/>
      <color indexed="9"/>
      <name val="맑은 고딕"/>
      <family val="3"/>
      <charset val="129"/>
    </font>
    <font>
      <sz val="11"/>
      <color indexed="9"/>
      <name val="돋움"/>
      <family val="3"/>
      <charset val="129"/>
    </font>
    <font>
      <sz val="8"/>
      <name val="Times New Roman"/>
      <family val="1"/>
    </font>
    <font>
      <sz val="11"/>
      <color indexed="20"/>
      <name val="맑은 고딕"/>
      <family val="3"/>
      <charset val="129"/>
    </font>
    <font>
      <sz val="12"/>
      <name val="Times New Roman"/>
      <family val="1"/>
    </font>
    <font>
      <sz val="12"/>
      <name val="¹UAAA¼"/>
      <family val="3"/>
      <charset val="129"/>
    </font>
    <font>
      <sz val="10"/>
      <name val="Times New Roman"/>
      <family val="1"/>
    </font>
    <font>
      <b/>
      <sz val="11"/>
      <color indexed="52"/>
      <name val="맑은 고딕"/>
      <family val="3"/>
      <charset val="129"/>
    </font>
    <font>
      <b/>
      <sz val="10"/>
      <name val="Arial"/>
      <family val="2"/>
    </font>
    <font>
      <b/>
      <sz val="11"/>
      <color indexed="9"/>
      <name val="맑은 고딕"/>
      <family val="3"/>
      <charset val="129"/>
    </font>
    <font>
      <sz val="10"/>
      <name val="VNI-Aptima"/>
      <family val="2"/>
    </font>
    <font>
      <b/>
      <sz val="8"/>
      <name val="Arial"/>
      <family val="2"/>
    </font>
    <font>
      <sz val="11"/>
      <name val="Times New Roman"/>
      <family val="1"/>
    </font>
    <font>
      <sz val="11"/>
      <name val="돋움"/>
      <family val="3"/>
      <charset val="129"/>
    </font>
    <font>
      <sz val="10"/>
      <name val="MS Serif"/>
      <family val="1"/>
    </font>
    <font>
      <sz val="10"/>
      <name val="Courier New"/>
      <family val="3"/>
    </font>
    <font>
      <sz val="10"/>
      <color indexed="8"/>
      <name val="Arial"/>
      <family val="2"/>
    </font>
    <font>
      <sz val="12"/>
      <name val="Arial"/>
      <family val="2"/>
    </font>
    <font>
      <b/>
      <sz val="11"/>
      <color indexed="8"/>
      <name val="VNI-Times"/>
      <family val="2"/>
    </font>
    <font>
      <sz val="10"/>
      <name val="VNI-Times"/>
      <family val="2"/>
    </font>
    <font>
      <sz val="10"/>
      <color indexed="16"/>
      <name val="MS Serif"/>
      <family val="1"/>
    </font>
    <font>
      <i/>
      <sz val="11"/>
      <color indexed="23"/>
      <name val="맑은 고딕"/>
      <family val="3"/>
      <charset val="129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color indexed="9"/>
      <name val="Times New Roman"/>
      <family val="1"/>
    </font>
    <font>
      <b/>
      <sz val="12"/>
      <name val="Arial"/>
      <family val="2"/>
    </font>
    <font>
      <b/>
      <sz val="15"/>
      <color indexed="56"/>
      <name val="맑은 고딕"/>
      <family val="3"/>
      <charset val="129"/>
    </font>
    <font>
      <b/>
      <sz val="12"/>
      <name val="Tahoma"/>
      <family val="2"/>
    </font>
    <font>
      <b/>
      <sz val="15"/>
      <color indexed="48"/>
      <name val="Calibri"/>
      <family val="2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2"/>
      <name val="VNI-Times"/>
      <family val="2"/>
    </font>
    <font>
      <b/>
      <sz val="12"/>
      <name val=".VnTime"/>
      <family val="2"/>
    </font>
    <font>
      <b/>
      <sz val="8"/>
      <name val="MS Sans Serif"/>
      <family val="2"/>
    </font>
    <font>
      <b/>
      <sz val="10"/>
      <name val=".VnTime"/>
      <family val="2"/>
    </font>
    <font>
      <b/>
      <sz val="14"/>
      <name val=".VnTimeH"/>
      <family val="2"/>
    </font>
    <font>
      <sz val="10"/>
      <name val="Tahoma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Arial"/>
      <family val="2"/>
    </font>
    <font>
      <sz val="11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sz val="12"/>
      <name val=".VnTime"/>
      <family val="2"/>
    </font>
    <font>
      <sz val="11"/>
      <name val="Arial MT"/>
      <family val="2"/>
    </font>
    <font>
      <b/>
      <sz val="11"/>
      <color indexed="63"/>
      <name val="맑은 고딕"/>
      <family val="3"/>
      <charset val="129"/>
    </font>
    <font>
      <sz val="12"/>
      <color indexed="8"/>
      <name val="Times New Roman"/>
      <family val="1"/>
    </font>
    <font>
      <b/>
      <sz val="10"/>
      <name val="MS Sans Serif"/>
      <family val="2"/>
    </font>
    <font>
      <b/>
      <sz val="12"/>
      <color indexed="9"/>
      <name val="Arial"/>
      <family val="2"/>
    </font>
    <font>
      <sz val="11"/>
      <name val="Arial"/>
      <family val="2"/>
    </font>
    <font>
      <b/>
      <sz val="18"/>
      <color indexed="8"/>
      <name val="Cambria"/>
      <family val="1"/>
    </font>
    <font>
      <sz val="8"/>
      <name val="MS Sans Serif"/>
      <family val="2"/>
    </font>
    <font>
      <b/>
      <sz val="10"/>
      <name val="Tahoma"/>
      <family val="2"/>
    </font>
    <font>
      <b/>
      <sz val="8"/>
      <color indexed="8"/>
      <name val="Arial"/>
      <family val="2"/>
    </font>
    <font>
      <sz val="13"/>
      <name val=".VnTime"/>
      <family val="2"/>
    </font>
    <font>
      <sz val="12"/>
      <name val=".VnArial"/>
      <family val="2"/>
    </font>
    <font>
      <b/>
      <sz val="18"/>
      <color indexed="56"/>
      <name val="맑은 고딕"/>
      <family val="3"/>
      <charset val="129"/>
    </font>
    <font>
      <b/>
      <sz val="11"/>
      <name val=".VnTime"/>
      <family val="2"/>
    </font>
    <font>
      <i/>
      <sz val="12"/>
      <name val=".VnTime"/>
      <family val="2"/>
    </font>
    <font>
      <b/>
      <sz val="11"/>
      <color indexed="8"/>
      <name val="맑은 고딕"/>
      <family val="3"/>
      <charset val="129"/>
    </font>
    <font>
      <sz val="7"/>
      <name val="VNI-Times"/>
      <family val="2"/>
    </font>
    <font>
      <sz val="10"/>
      <name val="VNtimes new roman"/>
      <family val="2"/>
    </font>
    <font>
      <b/>
      <sz val="8"/>
      <name val="VN Helvetica"/>
      <family val="2"/>
    </font>
    <font>
      <b/>
      <sz val="10"/>
      <name val="VN AvantGBook"/>
      <family val="2"/>
    </font>
    <font>
      <b/>
      <sz val="16"/>
      <name val=".VnTime"/>
      <family val="2"/>
    </font>
    <font>
      <sz val="9"/>
      <name val=".VnTime"/>
      <family val="2"/>
    </font>
    <font>
      <sz val="11"/>
      <color indexed="10"/>
      <name val="맑은 고딕"/>
      <family val="3"/>
      <charset val="129"/>
    </font>
    <font>
      <sz val="14"/>
      <name val=".VnArial"/>
      <family val="2"/>
    </font>
    <font>
      <sz val="16"/>
      <name val="AngsanaUPC"/>
      <family val="1"/>
    </font>
    <font>
      <sz val="11"/>
      <color indexed="10"/>
      <name val="돋움"/>
      <family val="3"/>
      <charset val="129"/>
    </font>
    <font>
      <b/>
      <sz val="11"/>
      <color indexed="52"/>
      <name val="돋움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20"/>
      <name val="돋움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  <charset val="129"/>
    </font>
    <font>
      <sz val="10"/>
      <name val="宋体"/>
      <family val="3"/>
      <charset val="129"/>
    </font>
    <font>
      <sz val="11"/>
      <color indexed="60"/>
      <name val="돋움"/>
      <family val="3"/>
      <charset val="129"/>
    </font>
    <font>
      <sz val="12"/>
      <name val="뼻뮝"/>
      <family val="1"/>
      <charset val="129"/>
    </font>
    <font>
      <sz val="10"/>
      <name val="宋体"/>
      <family val="3"/>
      <charset val="134"/>
    </font>
    <font>
      <i/>
      <sz val="11"/>
      <color indexed="23"/>
      <name val="돋움"/>
      <family val="3"/>
      <charset val="129"/>
    </font>
    <font>
      <b/>
      <sz val="11"/>
      <color indexed="9"/>
      <name val="돋움"/>
      <family val="3"/>
      <charset val="129"/>
    </font>
    <font>
      <u/>
      <sz val="12"/>
      <color indexed="20"/>
      <name val="Times New Roman"/>
      <family val="1"/>
    </font>
    <font>
      <sz val="9"/>
      <color theme="1"/>
      <name val="굴림"/>
      <family val="3"/>
      <charset val="129"/>
    </font>
    <font>
      <sz val="9"/>
      <color theme="1"/>
      <name val="굴림"/>
      <family val="2"/>
      <charset val="129"/>
    </font>
    <font>
      <sz val="10"/>
      <name val="Arial"/>
      <family val="2"/>
      <charset val="129"/>
    </font>
    <font>
      <sz val="11"/>
      <color indexed="52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62"/>
      <name val="돋움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sz val="11"/>
      <color indexed="17"/>
      <name val="돋움"/>
      <family val="3"/>
      <charset val="129"/>
    </font>
    <font>
      <u/>
      <sz val="12"/>
      <color indexed="12"/>
      <name val="Times New Roman"/>
      <family val="1"/>
    </font>
    <font>
      <b/>
      <sz val="11"/>
      <color indexed="63"/>
      <name val="돋움"/>
      <family val="3"/>
      <charset val="129"/>
    </font>
    <font>
      <sz val="11"/>
      <color theme="1"/>
      <name val="맑은 고딕"/>
      <family val="3"/>
      <charset val="129"/>
    </font>
    <font>
      <sz val="9"/>
      <name val="ＭＳ Ｐゴシック"/>
      <family val="2"/>
      <charset val="128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color rgb="FF0000FF"/>
      <name val="맑은 고딕"/>
      <family val="2"/>
      <charset val="129"/>
    </font>
    <font>
      <sz val="8"/>
      <color rgb="FFFF0000"/>
      <name val="맑은 고딕"/>
      <family val="2"/>
      <charset val="129"/>
    </font>
    <font>
      <sz val="8"/>
      <color rgb="FF0000FF"/>
      <name val="맑은 고딕"/>
      <family val="3"/>
      <charset val="129"/>
    </font>
    <font>
      <b/>
      <sz val="8"/>
      <color rgb="FF0000FF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sz val="9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8"/>
      <color theme="0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24"/>
      <color theme="0"/>
      <name val="맑은 고딕"/>
      <family val="3"/>
      <charset val="129"/>
    </font>
  </fonts>
  <fills count="7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80C53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1"/>
        <bgColor indexed="50"/>
      </patternFill>
    </fill>
    <fill>
      <patternFill patternType="solid">
        <fgColor indexed="26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8"/>
        <bgColor indexed="58"/>
      </patternFill>
    </fill>
    <fill>
      <patternFill patternType="solid">
        <fgColor indexed="34"/>
        <bgColor indexed="26"/>
      </patternFill>
    </fill>
    <fill>
      <patternFill patternType="solid">
        <fgColor indexed="40"/>
        <bgColor indexed="49"/>
      </patternFill>
    </fill>
    <fill>
      <patternFill patternType="solid">
        <fgColor indexed="43"/>
        <bgColor indexed="34"/>
      </patternFill>
    </fill>
    <fill>
      <patternFill patternType="solid">
        <fgColor indexed="15"/>
        <bgColor indexed="40"/>
      </patternFill>
    </fill>
    <fill>
      <patternFill patternType="solid">
        <fgColor indexed="12"/>
        <bgColor indexed="3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4"/>
        <bgColor indexed="23"/>
      </patternFill>
    </fill>
    <fill>
      <patternFill patternType="solid">
        <fgColor indexed="63"/>
        <bgColor indexed="21"/>
      </patternFill>
    </fill>
    <fill>
      <patternFill patternType="solid">
        <fgColor indexed="47"/>
        <bgColor indexed="51"/>
      </patternFill>
    </fill>
    <fill>
      <patternFill patternType="solid">
        <fgColor indexed="58"/>
        <bgColor indexed="56"/>
      </patternFill>
    </fill>
    <fill>
      <patternFill patternType="solid">
        <fgColor indexed="27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EFCFC"/>
        <bgColor indexed="64"/>
      </patternFill>
    </fill>
    <fill>
      <patternFill patternType="solid">
        <fgColor rgb="FFE1ED6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246">
    <border>
      <left/>
      <right/>
      <top/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 style="thin">
        <color theme="6" tint="-0.499984740745262"/>
      </right>
      <top/>
      <bottom/>
      <diagonal/>
    </border>
    <border>
      <left style="thin">
        <color theme="6" tint="-0.499984740745262"/>
      </left>
      <right style="thin">
        <color theme="6" tint="-0.499984740745262"/>
      </right>
      <top/>
      <bottom style="thin">
        <color theme="6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80C535"/>
      </left>
      <right/>
      <top style="medium">
        <color rgb="FF80C535"/>
      </top>
      <bottom/>
      <diagonal/>
    </border>
    <border>
      <left/>
      <right/>
      <top style="medium">
        <color rgb="FF80C535"/>
      </top>
      <bottom/>
      <diagonal/>
    </border>
    <border>
      <left style="medium">
        <color rgb="FF80C535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dashed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44"/>
      </bottom>
      <diagonal/>
    </border>
    <border>
      <left/>
      <right/>
      <top style="hair">
        <color indexed="44"/>
      </top>
      <bottom style="hair">
        <color indexed="4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/>
      <top style="medium">
        <color theme="0" tint="-0.499984740745262"/>
      </top>
      <bottom/>
      <diagonal/>
    </border>
    <border>
      <left/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0" tint="-0.499984740745262"/>
      </bottom>
      <diagonal/>
    </border>
    <border>
      <left/>
      <right/>
      <top style="thin">
        <color indexed="64"/>
      </top>
      <bottom style="medium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499984740745262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thin">
        <color auto="1"/>
      </left>
      <right/>
      <top style="medium">
        <color theme="6" tint="-0.24994659260841701"/>
      </top>
      <bottom/>
      <diagonal/>
    </border>
    <border>
      <left/>
      <right/>
      <top style="medium">
        <color theme="6" tint="-0.24994659260841701"/>
      </top>
      <bottom/>
      <diagonal/>
    </border>
    <border>
      <left style="thin">
        <color indexed="64"/>
      </left>
      <right/>
      <top style="medium">
        <color theme="6" tint="-0.24994659260841701"/>
      </top>
      <bottom style="thin">
        <color indexed="64"/>
      </bottom>
      <diagonal/>
    </border>
    <border>
      <left/>
      <right style="thin">
        <color indexed="64"/>
      </right>
      <top style="medium">
        <color theme="6" tint="-0.24994659260841701"/>
      </top>
      <bottom style="thin">
        <color indexed="64"/>
      </bottom>
      <diagonal/>
    </border>
    <border>
      <left/>
      <right/>
      <top style="medium">
        <color theme="6" tint="-0.24994659260841701"/>
      </top>
      <bottom style="thin">
        <color indexed="64"/>
      </bottom>
      <diagonal/>
    </border>
    <border>
      <left style="thin">
        <color auto="1"/>
      </left>
      <right/>
      <top/>
      <bottom style="medium">
        <color theme="6" tint="-0.24994659260841701"/>
      </bottom>
      <diagonal/>
    </border>
    <border>
      <left/>
      <right/>
      <top/>
      <bottom style="medium">
        <color theme="6" tint="-0.24994659260841701"/>
      </bottom>
      <diagonal/>
    </border>
    <border>
      <left style="thin">
        <color indexed="64"/>
      </left>
      <right/>
      <top style="thin">
        <color indexed="64"/>
      </top>
      <bottom style="medium">
        <color theme="6" tint="-0.24994659260841701"/>
      </bottom>
      <diagonal/>
    </border>
    <border>
      <left/>
      <right style="thin">
        <color indexed="64"/>
      </right>
      <top style="thin">
        <color indexed="64"/>
      </top>
      <bottom style="medium">
        <color theme="6" tint="-0.24994659260841701"/>
      </bottom>
      <diagonal/>
    </border>
    <border>
      <left/>
      <right/>
      <top style="thin">
        <color indexed="64"/>
      </top>
      <bottom style="medium">
        <color theme="6" tint="-0.24994659260841701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theme="6" tint="-0.24994659260841701"/>
      </top>
      <bottom/>
      <diagonal/>
    </border>
    <border>
      <left/>
      <right style="thin">
        <color indexed="64"/>
      </right>
      <top/>
      <bottom style="medium">
        <color theme="6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499984740745262"/>
      </bottom>
      <diagonal/>
    </border>
    <border>
      <left/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/>
      <top style="medium">
        <color theme="5" tint="-0.2499465926084170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theme="0" tint="-0.499984740745262"/>
      </left>
      <right/>
      <top style="medium">
        <color rgb="FF0000FF"/>
      </top>
      <bottom/>
      <diagonal/>
    </border>
    <border>
      <left style="thin">
        <color theme="0" tint="-0.499984740745262"/>
      </left>
      <right/>
      <top/>
      <bottom style="medium">
        <color rgb="FF0000FF"/>
      </bottom>
      <diagonal/>
    </border>
    <border>
      <left/>
      <right/>
      <top style="medium">
        <color indexed="64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</borders>
  <cellStyleXfs count="2888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1" fontId="29" fillId="0" borderId="0" applyFill="0" applyBorder="0" applyAlignment="0" applyProtection="0"/>
    <xf numFmtId="0" fontId="45" fillId="0" borderId="0"/>
    <xf numFmtId="182" fontId="29" fillId="0" borderId="0" applyBorder="0"/>
    <xf numFmtId="182" fontId="29" fillId="0" borderId="0" applyBorder="0"/>
    <xf numFmtId="183" fontId="29" fillId="0" borderId="0" applyFill="0" applyBorder="0" applyAlignment="0" applyProtection="0"/>
    <xf numFmtId="180" fontId="29" fillId="0" borderId="0" applyFill="0" applyBorder="0" applyAlignment="0" applyProtection="0"/>
    <xf numFmtId="184" fontId="29" fillId="0" borderId="0" applyFill="0" applyBorder="0" applyAlignment="0" applyProtection="0"/>
    <xf numFmtId="0" fontId="46" fillId="0" borderId="0"/>
    <xf numFmtId="185" fontId="29" fillId="0" borderId="0" applyFill="0" applyBorder="0" applyAlignment="0" applyProtection="0"/>
    <xf numFmtId="186" fontId="29" fillId="0" borderId="0" applyFill="0" applyBorder="0" applyAlignment="0" applyProtection="0"/>
    <xf numFmtId="187" fontId="29" fillId="0" borderId="0" applyFill="0" applyBorder="0" applyAlignment="0" applyProtection="0"/>
    <xf numFmtId="9" fontId="29" fillId="0" borderId="0" applyFill="0" applyBorder="0" applyAlignment="0" applyProtection="0"/>
    <xf numFmtId="188" fontId="29" fillId="0" borderId="0" applyFill="0" applyBorder="0" applyAlignment="0" applyProtection="0"/>
    <xf numFmtId="188" fontId="29" fillId="0" borderId="0" applyFill="0" applyBorder="0" applyAlignment="0" applyProtection="0"/>
    <xf numFmtId="189" fontId="29" fillId="0" borderId="0" applyFill="0" applyBorder="0" applyAlignment="0" applyProtection="0"/>
    <xf numFmtId="0" fontId="29" fillId="0" borderId="0" applyFill="0" applyBorder="0" applyAlignment="0" applyProtection="0"/>
    <xf numFmtId="188" fontId="29" fillId="0" borderId="0" applyFill="0" applyBorder="0" applyAlignment="0" applyProtection="0"/>
    <xf numFmtId="188" fontId="29" fillId="0" borderId="0" applyFill="0" applyBorder="0" applyAlignment="0" applyProtection="0"/>
    <xf numFmtId="189" fontId="29" fillId="0" borderId="0" applyFill="0" applyBorder="0" applyAlignment="0" applyProtection="0"/>
    <xf numFmtId="181" fontId="29" fillId="0" borderId="0" applyFill="0" applyBorder="0" applyAlignment="0" applyProtection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181" fontId="29" fillId="0" borderId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136"/>
    <xf numFmtId="0" fontId="48" fillId="0" borderId="136"/>
    <xf numFmtId="190" fontId="29" fillId="0" borderId="0" applyFill="0" applyBorder="0" applyAlignment="0" applyProtection="0"/>
    <xf numFmtId="0" fontId="49" fillId="0" borderId="0" applyNumberFormat="0" applyFill="0" applyBorder="0" applyAlignment="0" applyProtection="0"/>
    <xf numFmtId="181" fontId="29" fillId="0" borderId="0" applyFill="0" applyBorder="0" applyAlignment="0" applyProtection="0"/>
    <xf numFmtId="181" fontId="29" fillId="0" borderId="0" applyFill="0" applyBorder="0" applyAlignment="0" applyProtection="0"/>
    <xf numFmtId="0" fontId="48" fillId="0" borderId="136"/>
    <xf numFmtId="0" fontId="48" fillId="0" borderId="136"/>
    <xf numFmtId="0" fontId="48" fillId="0" borderId="136"/>
    <xf numFmtId="0" fontId="48" fillId="0" borderId="136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90" fontId="29" fillId="0" borderId="0" applyFill="0" applyBorder="0" applyAlignment="0" applyProtection="0"/>
    <xf numFmtId="181" fontId="29" fillId="0" borderId="0" applyFill="0" applyBorder="0" applyAlignment="0" applyProtection="0"/>
    <xf numFmtId="181" fontId="29" fillId="0" borderId="0" applyFill="0" applyBorder="0" applyAlignment="0" applyProtection="0"/>
    <xf numFmtId="0" fontId="47" fillId="0" borderId="0"/>
    <xf numFmtId="0" fontId="47" fillId="0" borderId="0"/>
    <xf numFmtId="0" fontId="45" fillId="0" borderId="0"/>
    <xf numFmtId="0" fontId="45" fillId="0" borderId="0"/>
    <xf numFmtId="0" fontId="49" fillId="0" borderId="0" applyNumberFormat="0" applyFill="0" applyBorder="0" applyAlignment="0" applyProtection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0" fontId="49" fillId="0" borderId="0" applyNumberFormat="0" applyFill="0" applyBorder="0" applyAlignment="0" applyProtection="0"/>
    <xf numFmtId="0" fontId="47" fillId="0" borderId="0"/>
    <xf numFmtId="0" fontId="47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0" fontId="45" fillId="0" borderId="0"/>
    <xf numFmtId="0" fontId="45" fillId="0" borderId="0"/>
    <xf numFmtId="0" fontId="47" fillId="0" borderId="0"/>
    <xf numFmtId="0" fontId="47" fillId="0" borderId="0"/>
    <xf numFmtId="190" fontId="29" fillId="0" borderId="0" applyFill="0" applyBorder="0" applyAlignment="0" applyProtection="0"/>
    <xf numFmtId="181" fontId="29" fillId="0" borderId="0" applyFill="0" applyBorder="0" applyAlignment="0" applyProtection="0"/>
    <xf numFmtId="181" fontId="29" fillId="0" borderId="0" applyFill="0" applyBorder="0" applyAlignment="0" applyProtection="0"/>
    <xf numFmtId="192" fontId="29" fillId="0" borderId="0" applyFill="0" applyBorder="0" applyAlignment="0" applyProtection="0"/>
    <xf numFmtId="192" fontId="29" fillId="0" borderId="0" applyFill="0" applyBorder="0" applyAlignment="0" applyProtection="0"/>
    <xf numFmtId="193" fontId="29" fillId="0" borderId="0" applyFill="0" applyBorder="0" applyAlignment="0" applyProtection="0"/>
    <xf numFmtId="194" fontId="29" fillId="0" borderId="0" applyFill="0" applyBorder="0" applyAlignment="0" applyProtection="0"/>
    <xf numFmtId="194" fontId="29" fillId="0" borderId="0" applyFill="0" applyBorder="0" applyAlignment="0" applyProtection="0"/>
    <xf numFmtId="193" fontId="29" fillId="0" borderId="0" applyFill="0" applyBorder="0" applyAlignment="0" applyProtection="0"/>
    <xf numFmtId="187" fontId="29" fillId="0" borderId="0" applyFill="0" applyBorder="0" applyAlignment="0" applyProtection="0"/>
    <xf numFmtId="187" fontId="29" fillId="0" borderId="0" applyFill="0" applyBorder="0" applyAlignment="0" applyProtection="0"/>
    <xf numFmtId="190" fontId="29" fillId="0" borderId="0" applyFill="0" applyBorder="0" applyAlignment="0" applyProtection="0"/>
    <xf numFmtId="181" fontId="29" fillId="0" borderId="0" applyFill="0" applyBorder="0" applyAlignment="0" applyProtection="0"/>
    <xf numFmtId="181" fontId="29" fillId="0" borderId="0" applyFill="0" applyBorder="0" applyAlignment="0" applyProtection="0"/>
    <xf numFmtId="190" fontId="29" fillId="0" borderId="0" applyFill="0" applyBorder="0" applyAlignment="0" applyProtection="0"/>
    <xf numFmtId="193" fontId="29" fillId="0" borderId="0" applyFill="0" applyBorder="0" applyAlignment="0" applyProtection="0"/>
    <xf numFmtId="194" fontId="29" fillId="0" borderId="0" applyFill="0" applyBorder="0" applyAlignment="0" applyProtection="0"/>
    <xf numFmtId="194" fontId="29" fillId="0" borderId="0" applyFill="0" applyBorder="0" applyAlignment="0" applyProtection="0"/>
    <xf numFmtId="193" fontId="29" fillId="0" borderId="0" applyFill="0" applyBorder="0" applyAlignment="0" applyProtection="0"/>
    <xf numFmtId="192" fontId="29" fillId="0" borderId="0" applyFill="0" applyBorder="0" applyAlignment="0" applyProtection="0"/>
    <xf numFmtId="192" fontId="29" fillId="0" borderId="0" applyFill="0" applyBorder="0" applyAlignment="0" applyProtection="0"/>
    <xf numFmtId="188" fontId="29" fillId="0" borderId="0" applyFill="0" applyBorder="0" applyAlignment="0" applyProtection="0"/>
    <xf numFmtId="189" fontId="29" fillId="0" borderId="0" applyFill="0" applyBorder="0" applyAlignment="0" applyProtection="0"/>
    <xf numFmtId="189" fontId="29" fillId="0" borderId="0" applyFill="0" applyBorder="0" applyAlignment="0" applyProtection="0"/>
    <xf numFmtId="188" fontId="29" fillId="0" borderId="0" applyFill="0" applyBorder="0" applyAlignment="0" applyProtection="0"/>
    <xf numFmtId="181" fontId="29" fillId="0" borderId="0" applyFill="0" applyBorder="0" applyAlignment="0" applyProtection="0"/>
    <xf numFmtId="181" fontId="29" fillId="0" borderId="0" applyFill="0" applyBorder="0" applyAlignment="0" applyProtection="0"/>
    <xf numFmtId="190" fontId="29" fillId="0" borderId="0" applyFill="0" applyBorder="0" applyAlignment="0" applyProtection="0"/>
    <xf numFmtId="187" fontId="29" fillId="0" borderId="0" applyFill="0" applyBorder="0" applyAlignment="0" applyProtection="0"/>
    <xf numFmtId="187" fontId="29" fillId="0" borderId="0" applyFill="0" applyBorder="0" applyAlignment="0" applyProtection="0"/>
    <xf numFmtId="192" fontId="29" fillId="0" borderId="0" applyFill="0" applyBorder="0" applyAlignment="0" applyProtection="0"/>
    <xf numFmtId="188" fontId="29" fillId="0" borderId="0" applyFill="0" applyBorder="0" applyAlignment="0" applyProtection="0"/>
    <xf numFmtId="189" fontId="29" fillId="0" borderId="0" applyFill="0" applyBorder="0" applyAlignment="0" applyProtection="0"/>
    <xf numFmtId="189" fontId="29" fillId="0" borderId="0" applyFill="0" applyBorder="0" applyAlignment="0" applyProtection="0"/>
    <xf numFmtId="188" fontId="29" fillId="0" borderId="0" applyFill="0" applyBorder="0" applyAlignment="0" applyProtection="0"/>
    <xf numFmtId="193" fontId="29" fillId="0" borderId="0" applyFill="0" applyBorder="0" applyAlignment="0" applyProtection="0"/>
    <xf numFmtId="194" fontId="29" fillId="0" borderId="0" applyFill="0" applyBorder="0" applyAlignment="0" applyProtection="0"/>
    <xf numFmtId="194" fontId="29" fillId="0" borderId="0" applyFill="0" applyBorder="0" applyAlignment="0" applyProtection="0"/>
    <xf numFmtId="193" fontId="29" fillId="0" borderId="0" applyFill="0" applyBorder="0" applyAlignment="0" applyProtection="0"/>
    <xf numFmtId="187" fontId="29" fillId="0" borderId="0" applyFill="0" applyBorder="0" applyAlignment="0" applyProtection="0"/>
    <xf numFmtId="187" fontId="29" fillId="0" borderId="0" applyFill="0" applyBorder="0" applyAlignment="0" applyProtection="0"/>
    <xf numFmtId="181" fontId="29" fillId="0" borderId="0" applyFill="0" applyBorder="0" applyAlignment="0" applyProtection="0"/>
    <xf numFmtId="181" fontId="29" fillId="0" borderId="0" applyFill="0" applyBorder="0" applyAlignment="0" applyProtection="0"/>
    <xf numFmtId="192" fontId="29" fillId="0" borderId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181" fontId="29" fillId="0" borderId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187" fontId="29" fillId="0" borderId="0" applyFill="0" applyBorder="0" applyAlignment="0" applyProtection="0"/>
    <xf numFmtId="188" fontId="29" fillId="0" borderId="0" applyFill="0" applyBorder="0" applyAlignment="0" applyProtection="0"/>
    <xf numFmtId="189" fontId="29" fillId="0" borderId="0" applyFill="0" applyBorder="0" applyAlignment="0" applyProtection="0"/>
    <xf numFmtId="189" fontId="29" fillId="0" borderId="0" applyFill="0" applyBorder="0" applyAlignment="0" applyProtection="0"/>
    <xf numFmtId="188" fontId="29" fillId="0" borderId="0" applyFill="0" applyBorder="0" applyAlignment="0" applyProtection="0"/>
    <xf numFmtId="193" fontId="29" fillId="0" borderId="0" applyFill="0" applyBorder="0" applyAlignment="0" applyProtection="0"/>
    <xf numFmtId="194" fontId="29" fillId="0" borderId="0" applyFill="0" applyBorder="0" applyAlignment="0" applyProtection="0"/>
    <xf numFmtId="194" fontId="29" fillId="0" borderId="0" applyFill="0" applyBorder="0" applyAlignment="0" applyProtection="0"/>
    <xf numFmtId="193" fontId="29" fillId="0" borderId="0" applyFill="0" applyBorder="0" applyAlignment="0" applyProtection="0"/>
    <xf numFmtId="181" fontId="29" fillId="0" borderId="0" applyFill="0" applyBorder="0" applyAlignment="0" applyProtection="0"/>
    <xf numFmtId="181" fontId="29" fillId="0" borderId="0" applyFill="0" applyBorder="0" applyAlignment="0" applyProtection="0"/>
    <xf numFmtId="192" fontId="29" fillId="0" borderId="0" applyFill="0" applyBorder="0" applyAlignment="0" applyProtection="0"/>
    <xf numFmtId="192" fontId="29" fillId="0" borderId="0" applyFill="0" applyBorder="0" applyAlignment="0" applyProtection="0"/>
    <xf numFmtId="187" fontId="29" fillId="0" borderId="0" applyFill="0" applyBorder="0" applyAlignment="0" applyProtection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0" fontId="49" fillId="0" borderId="0" applyNumberFormat="0" applyFill="0" applyBorder="0" applyAlignment="0" applyProtection="0"/>
    <xf numFmtId="0" fontId="47" fillId="0" borderId="0"/>
    <xf numFmtId="0" fontId="47" fillId="0" borderId="0"/>
    <xf numFmtId="195" fontId="29" fillId="0" borderId="0" applyFill="0" applyBorder="0" applyAlignment="0" applyProtection="0"/>
    <xf numFmtId="196" fontId="29" fillId="0" borderId="0" applyFill="0" applyBorder="0" applyAlignment="0" applyProtection="0"/>
    <xf numFmtId="0" fontId="50" fillId="0" borderId="0"/>
    <xf numFmtId="37" fontId="51" fillId="0" borderId="0"/>
    <xf numFmtId="0" fontId="52" fillId="30" borderId="0"/>
    <xf numFmtId="0" fontId="52" fillId="30" borderId="0"/>
    <xf numFmtId="0" fontId="53" fillId="0" borderId="0"/>
    <xf numFmtId="9" fontId="54" fillId="0" borderId="0" applyBorder="0" applyAlignment="0" applyProtection="0"/>
    <xf numFmtId="0" fontId="55" fillId="30" borderId="0"/>
    <xf numFmtId="0" fontId="55" fillId="30" borderId="0"/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8" fillId="30" borderId="0"/>
    <xf numFmtId="0" fontId="58" fillId="30" borderId="0"/>
    <xf numFmtId="0" fontId="45" fillId="0" borderId="0"/>
    <xf numFmtId="0" fontId="59" fillId="0" borderId="0">
      <alignment wrapText="1"/>
    </xf>
    <xf numFmtId="0" fontId="56" fillId="37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37" fontId="45" fillId="0" borderId="0" applyFill="0" applyBorder="0" applyAlignment="0" applyProtection="0"/>
    <xf numFmtId="197" fontId="29" fillId="0" borderId="0" applyFill="0" applyBorder="0" applyAlignment="0" applyProtection="0"/>
    <xf numFmtId="0" fontId="29" fillId="0" borderId="0" applyFill="0" applyBorder="0" applyAlignment="0" applyProtection="0"/>
    <xf numFmtId="198" fontId="29" fillId="0" borderId="0" applyFill="0" applyBorder="0" applyAlignment="0" applyProtection="0"/>
    <xf numFmtId="0" fontId="29" fillId="0" borderId="0" applyFill="0" applyBorder="0" applyAlignment="0" applyProtection="0"/>
    <xf numFmtId="198" fontId="29" fillId="0" borderId="0" applyFill="0" applyBorder="0" applyAlignment="0" applyProtection="0"/>
    <xf numFmtId="0" fontId="62" fillId="0" borderId="0">
      <alignment horizontal="center" wrapText="1"/>
      <protection locked="0"/>
    </xf>
    <xf numFmtId="186" fontId="29" fillId="0" borderId="0" applyFill="0" applyBorder="0" applyAlignment="0" applyProtection="0"/>
    <xf numFmtId="0" fontId="29" fillId="0" borderId="0" applyFill="0" applyBorder="0" applyAlignment="0" applyProtection="0"/>
    <xf numFmtId="186" fontId="29" fillId="0" borderId="0" applyFill="0" applyBorder="0" applyAlignment="0" applyProtection="0"/>
    <xf numFmtId="185" fontId="29" fillId="0" borderId="0" applyFill="0" applyBorder="0" applyAlignment="0" applyProtection="0"/>
    <xf numFmtId="0" fontId="29" fillId="0" borderId="0" applyFill="0" applyBorder="0" applyAlignment="0" applyProtection="0"/>
    <xf numFmtId="185" fontId="29" fillId="0" borderId="0" applyFill="0" applyBorder="0" applyAlignment="0" applyProtection="0"/>
    <xf numFmtId="181" fontId="29" fillId="0" borderId="0" applyFill="0" applyBorder="0" applyAlignment="0" applyProtection="0"/>
    <xf numFmtId="0" fontId="63" fillId="32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/>
    <xf numFmtId="0" fontId="65" fillId="0" borderId="0"/>
    <xf numFmtId="0" fontId="66" fillId="0" borderId="0"/>
    <xf numFmtId="0" fontId="65" fillId="0" borderId="0"/>
    <xf numFmtId="0" fontId="45" fillId="0" borderId="0" applyFill="0" applyBorder="0" applyAlignment="0"/>
    <xf numFmtId="199" fontId="45" fillId="0" borderId="0" applyFill="0" applyBorder="0" applyAlignment="0"/>
    <xf numFmtId="196" fontId="45" fillId="0" borderId="0" applyFill="0" applyBorder="0" applyAlignment="0"/>
    <xf numFmtId="200" fontId="45" fillId="0" borderId="0" applyFill="0" applyBorder="0" applyAlignment="0"/>
    <xf numFmtId="201" fontId="45" fillId="0" borderId="0" applyFill="0" applyBorder="0" applyAlignment="0"/>
    <xf numFmtId="202" fontId="45" fillId="0" borderId="0" applyFill="0" applyBorder="0" applyAlignment="0"/>
    <xf numFmtId="203" fontId="45" fillId="0" borderId="0" applyFill="0" applyBorder="0" applyAlignment="0"/>
    <xf numFmtId="199" fontId="45" fillId="0" borderId="0" applyFill="0" applyBorder="0" applyAlignment="0"/>
    <xf numFmtId="0" fontId="67" fillId="49" borderId="137" applyNumberFormat="0" applyAlignment="0" applyProtection="0">
      <alignment vertical="center"/>
    </xf>
    <xf numFmtId="0" fontId="67" fillId="49" borderId="137" applyNumberFormat="0" applyAlignment="0" applyProtection="0">
      <alignment vertical="center"/>
    </xf>
    <xf numFmtId="0" fontId="67" fillId="49" borderId="137" applyNumberFormat="0" applyAlignment="0" applyProtection="0">
      <alignment vertical="center"/>
    </xf>
    <xf numFmtId="0" fontId="67" fillId="49" borderId="137" applyNumberFormat="0" applyAlignment="0" applyProtection="0">
      <alignment vertical="center"/>
    </xf>
    <xf numFmtId="0" fontId="67" fillId="49" borderId="137" applyNumberFormat="0" applyAlignment="0" applyProtection="0">
      <alignment vertical="center"/>
    </xf>
    <xf numFmtId="0" fontId="67" fillId="49" borderId="137" applyNumberFormat="0" applyAlignment="0" applyProtection="0">
      <alignment vertical="center"/>
    </xf>
    <xf numFmtId="0" fontId="67" fillId="49" borderId="137" applyNumberFormat="0" applyAlignment="0" applyProtection="0">
      <alignment vertical="center"/>
    </xf>
    <xf numFmtId="0" fontId="67" fillId="49" borderId="137" applyNumberFormat="0" applyAlignment="0" applyProtection="0">
      <alignment vertical="center"/>
    </xf>
    <xf numFmtId="0" fontId="68" fillId="0" borderId="0"/>
    <xf numFmtId="204" fontId="29" fillId="0" borderId="0" applyFill="0" applyBorder="0" applyAlignment="0" applyProtection="0"/>
    <xf numFmtId="0" fontId="69" fillId="50" borderId="138" applyNumberFormat="0" applyAlignment="0" applyProtection="0">
      <alignment vertical="center"/>
    </xf>
    <xf numFmtId="1" fontId="70" fillId="0" borderId="0" applyBorder="0"/>
    <xf numFmtId="0" fontId="71" fillId="0" borderId="120">
      <alignment horizontal="center"/>
    </xf>
    <xf numFmtId="205" fontId="72" fillId="0" borderId="0"/>
    <xf numFmtId="205" fontId="72" fillId="0" borderId="0"/>
    <xf numFmtId="205" fontId="72" fillId="0" borderId="0"/>
    <xf numFmtId="205" fontId="72" fillId="0" borderId="0"/>
    <xf numFmtId="205" fontId="72" fillId="0" borderId="0"/>
    <xf numFmtId="205" fontId="72" fillId="0" borderId="0"/>
    <xf numFmtId="205" fontId="72" fillId="0" borderId="0"/>
    <xf numFmtId="205" fontId="72" fillId="0" borderId="0"/>
    <xf numFmtId="41" fontId="73" fillId="0" borderId="0" applyFont="0" applyFill="0" applyBorder="0" applyAlignment="0" applyProtection="0">
      <alignment vertical="center"/>
    </xf>
    <xf numFmtId="206" fontId="73" fillId="0" borderId="0" applyFill="0" applyBorder="0" applyProtection="0">
      <alignment vertical="center"/>
    </xf>
    <xf numFmtId="207" fontId="45" fillId="0" borderId="0" applyFont="0" applyFill="0" applyBorder="0" applyAlignment="0" applyProtection="0"/>
    <xf numFmtId="202" fontId="29" fillId="0" borderId="0" applyFill="0" applyBorder="0" applyAlignment="0" applyProtection="0"/>
    <xf numFmtId="194" fontId="29" fillId="0" borderId="0" applyFill="0" applyBorder="0" applyAlignment="0" applyProtection="0"/>
    <xf numFmtId="194" fontId="29" fillId="0" borderId="0" applyFill="0" applyBorder="0" applyAlignment="0" applyProtection="0"/>
    <xf numFmtId="208" fontId="66" fillId="0" borderId="0"/>
    <xf numFmtId="209" fontId="45" fillId="0" borderId="0" applyFont="0" applyFill="0" applyBorder="0" applyAlignment="0" applyProtection="0"/>
    <xf numFmtId="3" fontId="29" fillId="0" borderId="0" applyFill="0" applyBorder="0" applyAlignment="0" applyProtection="0"/>
    <xf numFmtId="37" fontId="45" fillId="0" borderId="0" applyFill="0" applyBorder="0" applyAlignment="0" applyProtection="0"/>
    <xf numFmtId="0" fontId="74" fillId="0" borderId="0" applyNumberFormat="0" applyAlignment="0"/>
    <xf numFmtId="0" fontId="75" fillId="0" borderId="0" applyNumberFormat="0" applyAlignment="0"/>
    <xf numFmtId="0" fontId="45" fillId="0" borderId="0" applyFont="0" applyFill="0" applyBorder="0" applyAlignment="0" applyProtection="0"/>
    <xf numFmtId="199" fontId="29" fillId="0" borderId="0" applyFill="0" applyBorder="0" applyAlignment="0" applyProtection="0"/>
    <xf numFmtId="0" fontId="45" fillId="0" borderId="0" applyFont="0" applyFill="0" applyBorder="0" applyAlignment="0" applyProtection="0"/>
    <xf numFmtId="210" fontId="29" fillId="0" borderId="0" applyFill="0" applyBorder="0" applyAlignment="0" applyProtection="0"/>
    <xf numFmtId="211" fontId="45" fillId="0" borderId="0"/>
    <xf numFmtId="0" fontId="29" fillId="0" borderId="0" applyNumberFormat="0" applyFill="0" applyBorder="0" applyProtection="0">
      <alignment horizontal="left"/>
    </xf>
    <xf numFmtId="0" fontId="29" fillId="0" borderId="0" applyFill="0" applyBorder="0" applyAlignment="0" applyProtection="0"/>
    <xf numFmtId="14" fontId="76" fillId="0" borderId="0" applyFill="0" applyBorder="0" applyAlignment="0"/>
    <xf numFmtId="0" fontId="77" fillId="0" borderId="0" applyProtection="0"/>
    <xf numFmtId="212" fontId="45" fillId="0" borderId="139">
      <alignment vertical="center"/>
    </xf>
    <xf numFmtId="213" fontId="29" fillId="0" borderId="0" applyFill="0" applyBorder="0" applyAlignment="0" applyProtection="0"/>
    <xf numFmtId="214" fontId="29" fillId="0" borderId="0" applyFill="0" applyBorder="0" applyAlignment="0" applyProtection="0"/>
    <xf numFmtId="215" fontId="45" fillId="0" borderId="0"/>
    <xf numFmtId="3" fontId="29" fillId="0" borderId="0" applyBorder="0" applyAlignment="0"/>
    <xf numFmtId="3" fontId="29" fillId="0" borderId="0" applyBorder="0" applyAlignment="0"/>
    <xf numFmtId="0" fontId="78" fillId="51" borderId="0" applyNumberFormat="0" applyBorder="0" applyAlignment="0" applyProtection="0"/>
    <xf numFmtId="0" fontId="78" fillId="52" borderId="0" applyNumberFormat="0" applyBorder="0" applyAlignment="0" applyProtection="0"/>
    <xf numFmtId="0" fontId="78" fillId="52" borderId="0" applyNumberFormat="0" applyBorder="0" applyAlignment="0" applyProtection="0"/>
    <xf numFmtId="0" fontId="79" fillId="0" borderId="0"/>
    <xf numFmtId="202" fontId="45" fillId="0" borderId="0" applyFill="0" applyBorder="0" applyAlignment="0"/>
    <xf numFmtId="199" fontId="45" fillId="0" borderId="0" applyFill="0" applyBorder="0" applyAlignment="0"/>
    <xf numFmtId="202" fontId="45" fillId="0" borderId="0" applyFill="0" applyBorder="0" applyAlignment="0"/>
    <xf numFmtId="203" fontId="45" fillId="0" borderId="0" applyFill="0" applyBorder="0" applyAlignment="0"/>
    <xf numFmtId="199" fontId="45" fillId="0" borderId="0" applyFill="0" applyBorder="0" applyAlignment="0"/>
    <xf numFmtId="0" fontId="80" fillId="0" borderId="0" applyNumberFormat="0" applyAlignment="0"/>
    <xf numFmtId="216" fontId="29" fillId="0" borderId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3" fontId="29" fillId="0" borderId="0" applyBorder="0" applyAlignment="0"/>
    <xf numFmtId="3" fontId="29" fillId="0" borderId="0" applyBorder="0" applyAlignment="0"/>
    <xf numFmtId="0" fontId="82" fillId="0" borderId="0" applyProtection="0"/>
    <xf numFmtId="0" fontId="83" fillId="0" borderId="0" applyProtection="0"/>
    <xf numFmtId="0" fontId="84" fillId="0" borderId="0" applyProtection="0"/>
    <xf numFmtId="0" fontId="85" fillId="0" borderId="0" applyProtection="0"/>
    <xf numFmtId="0" fontId="29" fillId="0" borderId="0" applyNumberFormat="0" applyFill="0" applyBorder="0" applyAlignment="0" applyProtection="0"/>
    <xf numFmtId="0" fontId="86" fillId="0" borderId="0" applyProtection="0"/>
    <xf numFmtId="0" fontId="87" fillId="0" borderId="0" applyProtection="0"/>
    <xf numFmtId="2" fontId="29" fillId="0" borderId="0" applyFill="0" applyBorder="0" applyAlignment="0" applyProtection="0"/>
    <xf numFmtId="0" fontId="88" fillId="33" borderId="0" applyNumberFormat="0" applyBorder="0" applyAlignment="0" applyProtection="0">
      <alignment vertical="center"/>
    </xf>
    <xf numFmtId="0" fontId="89" fillId="53" borderId="0" applyNumberFormat="0" applyBorder="0" applyAlignment="0" applyProtection="0"/>
    <xf numFmtId="0" fontId="29" fillId="0" borderId="0" applyNumberFormat="0" applyBorder="0" applyAlignment="0"/>
    <xf numFmtId="0" fontId="90" fillId="54" borderId="0"/>
    <xf numFmtId="0" fontId="91" fillId="0" borderId="0">
      <alignment horizontal="left"/>
    </xf>
    <xf numFmtId="0" fontId="91" fillId="0" borderId="140" applyNumberFormat="0" applyAlignment="0" applyProtection="0"/>
    <xf numFmtId="0" fontId="91" fillId="0" borderId="141">
      <alignment horizontal="left" vertical="center"/>
    </xf>
    <xf numFmtId="0" fontId="92" fillId="0" borderId="142" applyNumberFormat="0" applyFill="0" applyAlignment="0" applyProtection="0">
      <alignment vertical="center"/>
    </xf>
    <xf numFmtId="217" fontId="93" fillId="55" borderId="0">
      <alignment horizontal="left" vertical="top"/>
    </xf>
    <xf numFmtId="0" fontId="94" fillId="0" borderId="142" applyNumberFormat="0" applyFill="0" applyAlignment="0" applyProtection="0"/>
    <xf numFmtId="0" fontId="95" fillId="0" borderId="143" applyNumberFormat="0" applyFill="0" applyAlignment="0" applyProtection="0">
      <alignment vertical="center"/>
    </xf>
    <xf numFmtId="0" fontId="96" fillId="0" borderId="144" applyNumberFormat="0" applyFill="0" applyAlignment="0" applyProtection="0">
      <alignment vertical="center"/>
    </xf>
    <xf numFmtId="0" fontId="96" fillId="0" borderId="144" applyNumberFormat="0" applyFill="0" applyAlignment="0" applyProtection="0">
      <alignment vertical="center"/>
    </xf>
    <xf numFmtId="0" fontId="96" fillId="0" borderId="144" applyNumberFormat="0" applyFill="0" applyAlignment="0" applyProtection="0">
      <alignment vertical="center"/>
    </xf>
    <xf numFmtId="0" fontId="96" fillId="0" borderId="144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218" fontId="97" fillId="0" borderId="0">
      <protection locked="0"/>
    </xf>
    <xf numFmtId="218" fontId="97" fillId="0" borderId="0">
      <protection locked="0"/>
    </xf>
    <xf numFmtId="218" fontId="97" fillId="0" borderId="0">
      <protection locked="0"/>
    </xf>
    <xf numFmtId="0" fontId="98" fillId="0" borderId="0" applyNumberFormat="0" applyFill="0" applyBorder="0" applyAlignment="0" applyProtection="0"/>
    <xf numFmtId="0" fontId="99" fillId="0" borderId="145">
      <alignment horizontal="center"/>
    </xf>
    <xf numFmtId="0" fontId="99" fillId="0" borderId="0">
      <alignment horizontal="center"/>
    </xf>
    <xf numFmtId="0" fontId="100" fillId="56" borderId="146" applyNumberFormat="0" applyAlignment="0"/>
    <xf numFmtId="219" fontId="29" fillId="0" borderId="0" applyFill="0" applyBorder="0" applyAlignment="0" applyProtection="0"/>
    <xf numFmtId="0" fontId="29" fillId="30" borderId="0" applyNumberFormat="0" applyBorder="0" applyAlignment="0"/>
    <xf numFmtId="0" fontId="29" fillId="57" borderId="0" applyNumberFormat="0" applyBorder="0" applyAlignment="0"/>
    <xf numFmtId="49" fontId="101" fillId="0" borderId="146">
      <alignment vertical="center"/>
    </xf>
    <xf numFmtId="194" fontId="29" fillId="0" borderId="0" applyFill="0" applyBorder="0" applyAlignment="0" applyProtection="0"/>
    <xf numFmtId="194" fontId="29" fillId="0" borderId="0" applyFill="0" applyBorder="0" applyAlignment="0" applyProtection="0"/>
    <xf numFmtId="189" fontId="29" fillId="0" borderId="0" applyFill="0" applyBorder="0" applyAlignment="0" applyProtection="0"/>
    <xf numFmtId="189" fontId="29" fillId="0" borderId="0" applyFill="0" applyBorder="0" applyAlignment="0" applyProtection="0"/>
    <xf numFmtId="0" fontId="102" fillId="55" borderId="0">
      <alignment horizontal="left" wrapText="1" indent="2"/>
    </xf>
    <xf numFmtId="0" fontId="103" fillId="36" borderId="137" applyNumberFormat="0" applyAlignment="0" applyProtection="0">
      <alignment vertical="center"/>
    </xf>
    <xf numFmtId="0" fontId="89" fillId="53" borderId="0" applyNumberFormat="0" applyBorder="0" applyAlignment="0" applyProtection="0"/>
    <xf numFmtId="0" fontId="103" fillId="36" borderId="137" applyNumberFormat="0" applyAlignment="0" applyProtection="0">
      <alignment vertical="center"/>
    </xf>
    <xf numFmtId="0" fontId="103" fillId="36" borderId="137" applyNumberFormat="0" applyAlignment="0" applyProtection="0">
      <alignment vertical="center"/>
    </xf>
    <xf numFmtId="0" fontId="103" fillId="36" borderId="137" applyNumberFormat="0" applyAlignment="0" applyProtection="0">
      <alignment vertical="center"/>
    </xf>
    <xf numFmtId="0" fontId="103" fillId="36" borderId="137" applyNumberFormat="0" applyAlignment="0" applyProtection="0">
      <alignment vertical="center"/>
    </xf>
    <xf numFmtId="0" fontId="103" fillId="36" borderId="137" applyNumberFormat="0" applyAlignment="0" applyProtection="0">
      <alignment vertical="center"/>
    </xf>
    <xf numFmtId="0" fontId="103" fillId="36" borderId="137" applyNumberFormat="0" applyAlignment="0" applyProtection="0">
      <alignment vertical="center"/>
    </xf>
    <xf numFmtId="0" fontId="103" fillId="36" borderId="137" applyNumberFormat="0" applyAlignment="0" applyProtection="0">
      <alignment vertical="center"/>
    </xf>
    <xf numFmtId="220" fontId="79" fillId="58" borderId="0"/>
    <xf numFmtId="208" fontId="45" fillId="0" borderId="0" applyFill="0" applyBorder="0" applyAlignment="0"/>
    <xf numFmtId="0" fontId="47" fillId="0" borderId="0"/>
    <xf numFmtId="0" fontId="47" fillId="0" borderId="0"/>
    <xf numFmtId="202" fontId="45" fillId="0" borderId="0" applyFill="0" applyBorder="0" applyAlignment="0"/>
    <xf numFmtId="199" fontId="45" fillId="0" borderId="0" applyFill="0" applyBorder="0" applyAlignment="0"/>
    <xf numFmtId="202" fontId="45" fillId="0" borderId="0" applyFill="0" applyBorder="0" applyAlignment="0"/>
    <xf numFmtId="203" fontId="45" fillId="0" borderId="0" applyFill="0" applyBorder="0" applyAlignment="0"/>
    <xf numFmtId="199" fontId="45" fillId="0" borderId="0" applyFill="0" applyBorder="0" applyAlignment="0"/>
    <xf numFmtId="0" fontId="104" fillId="0" borderId="147" applyNumberFormat="0" applyFill="0" applyAlignment="0" applyProtection="0">
      <alignment vertical="center"/>
    </xf>
    <xf numFmtId="220" fontId="79" fillId="59" borderId="0"/>
    <xf numFmtId="41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221" fontId="29" fillId="0" borderId="0" applyFill="0" applyBorder="0" applyAlignment="0" applyProtection="0"/>
    <xf numFmtId="222" fontId="29" fillId="0" borderId="0" applyFill="0" applyBorder="0" applyAlignment="0" applyProtection="0"/>
    <xf numFmtId="0" fontId="105" fillId="0" borderId="145"/>
    <xf numFmtId="223" fontId="29" fillId="0" borderId="0" applyFill="0" applyBorder="0" applyAlignment="0" applyProtection="0"/>
    <xf numFmtId="224" fontId="29" fillId="0" borderId="0" applyFill="0" applyBorder="0" applyAlignment="0" applyProtection="0"/>
    <xf numFmtId="225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58" fontId="29" fillId="0" borderId="0" applyFill="0" applyBorder="0" applyAlignment="0" applyProtection="0"/>
    <xf numFmtId="227" fontId="29" fillId="0" borderId="0" applyFill="0" applyBorder="0" applyAlignment="0" applyProtection="0"/>
    <xf numFmtId="0" fontId="29" fillId="0" borderId="0" applyNumberFormat="0" applyFill="0" applyAlignment="0"/>
    <xf numFmtId="0" fontId="29" fillId="0" borderId="0" applyNumberFormat="0" applyFill="0" applyAlignment="0"/>
    <xf numFmtId="0" fontId="107" fillId="60" borderId="0" applyNumberFormat="0" applyBorder="0" applyAlignment="0" applyProtection="0">
      <alignment vertical="center"/>
    </xf>
    <xf numFmtId="0" fontId="66" fillId="0" borderId="0"/>
    <xf numFmtId="37" fontId="108" fillId="0" borderId="0"/>
    <xf numFmtId="228" fontId="29" fillId="30" borderId="0" applyBorder="0">
      <alignment horizontal="center" vertical="center"/>
    </xf>
    <xf numFmtId="0" fontId="29" fillId="0" borderId="0" applyNumberFormat="0" applyFill="0" applyBorder="0" applyAlignment="0"/>
    <xf numFmtId="0" fontId="45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9" fillId="0" borderId="0"/>
    <xf numFmtId="0" fontId="73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9" fillId="0" borderId="0"/>
    <xf numFmtId="37" fontId="110" fillId="0" borderId="0"/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193" fontId="29" fillId="0" borderId="0" applyFill="0" applyBorder="0" applyAlignment="0" applyProtection="0"/>
    <xf numFmtId="188" fontId="29" fillId="0" borderId="0" applyFill="0" applyBorder="0" applyAlignment="0" applyProtection="0"/>
    <xf numFmtId="0" fontId="105" fillId="0" borderId="0" applyNumberFormat="0" applyFill="0" applyBorder="0" applyAlignment="0" applyProtection="0"/>
    <xf numFmtId="0" fontId="29" fillId="0" borderId="0" applyFill="0" applyBorder="0" applyAlignment="0" applyProtection="0"/>
    <xf numFmtId="0" fontId="66" fillId="0" borderId="0"/>
    <xf numFmtId="0" fontId="111" fillId="49" borderId="149" applyNumberFormat="0" applyAlignment="0" applyProtection="0">
      <alignment vertical="center"/>
    </xf>
    <xf numFmtId="0" fontId="111" fillId="49" borderId="149" applyNumberFormat="0" applyAlignment="0" applyProtection="0">
      <alignment vertical="center"/>
    </xf>
    <xf numFmtId="0" fontId="111" fillId="49" borderId="149" applyNumberFormat="0" applyAlignment="0" applyProtection="0">
      <alignment vertical="center"/>
    </xf>
    <xf numFmtId="0" fontId="111" fillId="49" borderId="149" applyNumberFormat="0" applyAlignment="0" applyProtection="0">
      <alignment vertical="center"/>
    </xf>
    <xf numFmtId="0" fontId="111" fillId="49" borderId="149" applyNumberFormat="0" applyAlignment="0" applyProtection="0">
      <alignment vertical="center"/>
    </xf>
    <xf numFmtId="0" fontId="111" fillId="49" borderId="149" applyNumberFormat="0" applyAlignment="0" applyProtection="0">
      <alignment vertical="center"/>
    </xf>
    <xf numFmtId="0" fontId="111" fillId="49" borderId="149" applyNumberFormat="0" applyAlignment="0" applyProtection="0">
      <alignment vertical="center"/>
    </xf>
    <xf numFmtId="0" fontId="111" fillId="49" borderId="149" applyNumberFormat="0" applyAlignment="0" applyProtection="0">
      <alignment vertical="center"/>
    </xf>
    <xf numFmtId="3" fontId="45" fillId="0" borderId="0" applyFill="0" applyBorder="0" applyAlignment="0" applyProtection="0"/>
    <xf numFmtId="0" fontId="112" fillId="53" borderId="0"/>
    <xf numFmtId="14" fontId="62" fillId="0" borderId="0">
      <alignment horizontal="center" wrapText="1"/>
      <protection locked="0"/>
    </xf>
    <xf numFmtId="201" fontId="29" fillId="0" borderId="0" applyFill="0" applyBorder="0" applyAlignment="0" applyProtection="0"/>
    <xf numFmtId="229" fontId="29" fillId="0" borderId="0" applyFill="0" applyBorder="0" applyAlignment="0" applyProtection="0"/>
    <xf numFmtId="10" fontId="29" fillId="0" borderId="0" applyFill="0" applyBorder="0" applyAlignment="0" applyProtection="0"/>
    <xf numFmtId="9" fontId="29" fillId="0" borderId="0" applyFill="0" applyBorder="0" applyAlignment="0" applyProtection="0"/>
    <xf numFmtId="0" fontId="47" fillId="0" borderId="0" applyNumberFormat="0" applyBorder="0"/>
    <xf numFmtId="202" fontId="45" fillId="0" borderId="0" applyFill="0" applyBorder="0" applyAlignment="0"/>
    <xf numFmtId="199" fontId="45" fillId="0" borderId="0" applyFill="0" applyBorder="0" applyAlignment="0"/>
    <xf numFmtId="202" fontId="45" fillId="0" borderId="0" applyFill="0" applyBorder="0" applyAlignment="0"/>
    <xf numFmtId="203" fontId="45" fillId="0" borderId="0" applyFill="0" applyBorder="0" applyAlignment="0"/>
    <xf numFmtId="199" fontId="45" fillId="0" borderId="0" applyFill="0" applyBorder="0" applyAlignment="0"/>
    <xf numFmtId="0" fontId="77" fillId="0" borderId="0"/>
    <xf numFmtId="0" fontId="29" fillId="0" borderId="0" applyFill="0" applyBorder="0" applyAlignment="0" applyProtection="0"/>
    <xf numFmtId="0" fontId="29" fillId="0" borderId="0" applyNumberFormat="0" applyFill="0" applyBorder="0" applyAlignment="0" applyProtection="0"/>
    <xf numFmtId="0" fontId="113" fillId="0" borderId="145">
      <alignment horizontal="center"/>
    </xf>
    <xf numFmtId="0" fontId="29" fillId="62" borderId="0" applyNumberFormat="0" applyBorder="0" applyAlignment="0"/>
    <xf numFmtId="0" fontId="89" fillId="0" borderId="0" applyNumberFormat="0" applyFill="0" applyBorder="0" applyAlignment="0" applyProtection="0"/>
    <xf numFmtId="189" fontId="29" fillId="0" borderId="0" applyFill="0" applyBorder="0" applyAlignment="0" applyProtection="0"/>
    <xf numFmtId="189" fontId="29" fillId="0" borderId="0" applyFill="0" applyBorder="0" applyAlignment="0" applyProtection="0"/>
    <xf numFmtId="0" fontId="114" fillId="63" borderId="150" applyNumberFormat="0" applyProtection="0">
      <alignment horizontal="left" vertical="center"/>
    </xf>
    <xf numFmtId="3" fontId="77" fillId="53" borderId="151" applyProtection="0">
      <alignment horizontal="right" vertical="center"/>
    </xf>
    <xf numFmtId="0" fontId="115" fillId="55" borderId="150" applyNumberFormat="0" applyProtection="0">
      <alignment horizontal="left" vertical="center" wrapText="1"/>
    </xf>
    <xf numFmtId="0" fontId="29" fillId="64" borderId="141" applyNumberFormat="0" applyAlignment="0"/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/>
    <xf numFmtId="0" fontId="45" fillId="65" borderId="0"/>
    <xf numFmtId="0" fontId="45" fillId="0" borderId="0"/>
    <xf numFmtId="188" fontId="29" fillId="0" borderId="0" applyFill="0" applyBorder="0" applyAlignment="0" applyProtection="0"/>
    <xf numFmtId="188" fontId="29" fillId="0" borderId="0" applyFill="0" applyBorder="0" applyAlignment="0" applyProtection="0"/>
    <xf numFmtId="190" fontId="29" fillId="0" borderId="0" applyFill="0" applyBorder="0" applyAlignment="0" applyProtection="0"/>
    <xf numFmtId="0" fontId="105" fillId="0" borderId="0"/>
    <xf numFmtId="0" fontId="118" fillId="55" borderId="0">
      <alignment wrapText="1"/>
    </xf>
    <xf numFmtId="40" fontId="119" fillId="0" borderId="0" applyBorder="0">
      <alignment horizontal="right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0" fontId="29" fillId="0" borderId="0"/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231" fontId="109" fillId="0" borderId="152">
      <alignment horizontal="right" vertical="center"/>
    </xf>
    <xf numFmtId="231" fontId="109" fillId="0" borderId="152">
      <alignment horizontal="right" vertical="center"/>
    </xf>
    <xf numFmtId="230" fontId="120" fillId="0" borderId="152">
      <alignment horizontal="right" vertical="center"/>
    </xf>
    <xf numFmtId="230" fontId="120" fillId="0" borderId="152">
      <alignment horizontal="right" vertical="center"/>
    </xf>
    <xf numFmtId="37" fontId="76" fillId="0" borderId="0" applyBorder="0" applyAlignment="0" applyProtection="0"/>
    <xf numFmtId="49" fontId="76" fillId="0" borderId="0" applyFill="0" applyBorder="0" applyAlignment="0"/>
    <xf numFmtId="232" fontId="45" fillId="0" borderId="0" applyFill="0" applyBorder="0" applyAlignment="0"/>
    <xf numFmtId="233" fontId="45" fillId="0" borderId="0" applyFill="0" applyBorder="0" applyAlignment="0"/>
    <xf numFmtId="234" fontId="120" fillId="0" borderId="152">
      <alignment horizontal="center"/>
    </xf>
    <xf numFmtId="0" fontId="48" fillId="0" borderId="136"/>
    <xf numFmtId="235" fontId="109" fillId="0" borderId="152">
      <alignment horizontal="center"/>
    </xf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235" fontId="109" fillId="0" borderId="152">
      <alignment horizontal="center"/>
    </xf>
    <xf numFmtId="0" fontId="48" fillId="0" borderId="136"/>
    <xf numFmtId="0" fontId="48" fillId="0" borderId="136"/>
    <xf numFmtId="235" fontId="109" fillId="0" borderId="152">
      <alignment horizontal="center"/>
    </xf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235" fontId="109" fillId="0" borderId="152">
      <alignment horizontal="center"/>
    </xf>
    <xf numFmtId="0" fontId="48" fillId="0" borderId="136"/>
    <xf numFmtId="0" fontId="48" fillId="0" borderId="136"/>
    <xf numFmtId="235" fontId="109" fillId="0" borderId="152">
      <alignment horizontal="center"/>
    </xf>
    <xf numFmtId="0" fontId="48" fillId="0" borderId="136"/>
    <xf numFmtId="0" fontId="48" fillId="0" borderId="136"/>
    <xf numFmtId="235" fontId="109" fillId="0" borderId="152">
      <alignment horizontal="center"/>
    </xf>
    <xf numFmtId="0" fontId="48" fillId="0" borderId="136"/>
    <xf numFmtId="234" fontId="120" fillId="0" borderId="152">
      <alignment horizontal="center"/>
    </xf>
    <xf numFmtId="0" fontId="48" fillId="0" borderId="136"/>
    <xf numFmtId="0" fontId="121" fillId="0" borderId="0">
      <alignment vertical="center" wrapText="1"/>
      <protection locked="0"/>
    </xf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48" fillId="0" borderId="136"/>
    <xf numFmtId="0" fontId="105" fillId="0" borderId="0" applyNumberFormat="0" applyFill="0" applyBorder="0" applyAlignment="0" applyProtection="0"/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5" fillId="0" borderId="153" applyNumberFormat="0" applyFill="0" applyAlignment="0" applyProtection="0">
      <alignment vertical="center"/>
    </xf>
    <xf numFmtId="0" fontId="125" fillId="0" borderId="153" applyNumberFormat="0" applyFill="0" applyAlignment="0" applyProtection="0">
      <alignment vertical="center"/>
    </xf>
    <xf numFmtId="0" fontId="125" fillId="0" borderId="153" applyNumberFormat="0" applyFill="0" applyAlignment="0" applyProtection="0">
      <alignment vertical="center"/>
    </xf>
    <xf numFmtId="0" fontId="125" fillId="0" borderId="153" applyNumberFormat="0" applyFill="0" applyAlignment="0" applyProtection="0">
      <alignment vertical="center"/>
    </xf>
    <xf numFmtId="0" fontId="125" fillId="0" borderId="153" applyNumberFormat="0" applyFill="0" applyAlignment="0" applyProtection="0">
      <alignment vertical="center"/>
    </xf>
    <xf numFmtId="0" fontId="125" fillId="0" borderId="153" applyNumberFormat="0" applyFill="0" applyAlignment="0" applyProtection="0">
      <alignment vertical="center"/>
    </xf>
    <xf numFmtId="0" fontId="125" fillId="0" borderId="153" applyNumberFormat="0" applyFill="0" applyAlignment="0" applyProtection="0">
      <alignment vertical="center"/>
    </xf>
    <xf numFmtId="0" fontId="125" fillId="0" borderId="153" applyNumberFormat="0" applyFill="0" applyAlignment="0" applyProtection="0">
      <alignment vertical="center"/>
    </xf>
    <xf numFmtId="0" fontId="45" fillId="0" borderId="0"/>
    <xf numFmtId="236" fontId="29" fillId="0" borderId="0" applyFill="0" applyBorder="0" applyProtection="0">
      <alignment horizontal="center"/>
    </xf>
    <xf numFmtId="237" fontId="29" fillId="0" borderId="0" applyFill="0" applyBorder="0" applyProtection="0">
      <alignment horizontal="center"/>
    </xf>
    <xf numFmtId="38" fontId="29" fillId="0" borderId="0" applyFill="0" applyBorder="0" applyAlignment="0" applyProtection="0"/>
    <xf numFmtId="15" fontId="29" fillId="0" borderId="0" applyFill="0" applyBorder="0" applyProtection="0">
      <alignment horizontal="center"/>
    </xf>
    <xf numFmtId="10" fontId="29" fillId="0" borderId="0" applyFill="0" applyBorder="0" applyProtection="0">
      <alignment horizontal="center"/>
    </xf>
    <xf numFmtId="238" fontId="29" fillId="0" borderId="0" applyFill="0" applyBorder="0" applyProtection="0">
      <alignment horizontal="center"/>
    </xf>
    <xf numFmtId="0" fontId="126" fillId="0" borderId="154">
      <alignment horizontal="center" vertical="center"/>
    </xf>
    <xf numFmtId="0" fontId="126" fillId="0" borderId="154">
      <alignment horizontal="center" vertical="center"/>
    </xf>
    <xf numFmtId="233" fontId="120" fillId="0" borderId="0"/>
    <xf numFmtId="239" fontId="120" fillId="0" borderId="146"/>
    <xf numFmtId="0" fontId="127" fillId="0" borderId="0"/>
    <xf numFmtId="0" fontId="127" fillId="0" borderId="0"/>
    <xf numFmtId="240" fontId="128" fillId="58" borderId="155">
      <alignment vertical="top"/>
    </xf>
    <xf numFmtId="0" fontId="98" fillId="66" borderId="146">
      <alignment horizontal="left" vertical="center"/>
    </xf>
    <xf numFmtId="241" fontId="129" fillId="55" borderId="155"/>
    <xf numFmtId="240" fontId="100" fillId="0" borderId="155">
      <alignment horizontal="left" vertical="top"/>
    </xf>
    <xf numFmtId="0" fontId="130" fillId="53" borderId="0">
      <alignment horizontal="left" vertical="center"/>
    </xf>
    <xf numFmtId="240" fontId="49" fillId="0" borderId="156">
      <alignment horizontal="left" vertical="top"/>
    </xf>
    <xf numFmtId="0" fontId="131" fillId="0" borderId="156">
      <alignment horizontal="left" vertical="center"/>
    </xf>
    <xf numFmtId="242" fontId="29" fillId="0" borderId="0" applyFill="0" applyBorder="0" applyAlignment="0" applyProtection="0"/>
    <xf numFmtId="243" fontId="29" fillId="0" borderId="0" applyFill="0" applyBorder="0" applyAlignment="0" applyProtection="0"/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/>
    <xf numFmtId="190" fontId="29" fillId="0" borderId="0" applyFill="0" applyBorder="0" applyAlignment="0" applyProtection="0"/>
    <xf numFmtId="180" fontId="29" fillId="0" borderId="0" applyFill="0" applyBorder="0" applyAlignment="0" applyProtection="0"/>
    <xf numFmtId="0" fontId="134" fillId="0" borderId="0"/>
    <xf numFmtId="0" fontId="29" fillId="0" borderId="0" applyFill="0" applyBorder="0" applyAlignment="0" applyProtection="0"/>
    <xf numFmtId="0" fontId="29" fillId="0" borderId="0" applyFill="0" applyBorder="0" applyAlignment="0" applyProtection="0"/>
    <xf numFmtId="0" fontId="64" fillId="0" borderId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0" fontId="136" fillId="49" borderId="137" applyNumberFormat="0" applyAlignment="0" applyProtection="0">
      <alignment vertical="center"/>
    </xf>
    <xf numFmtId="2" fontId="137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40" fillId="32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7" fillId="0" borderId="0" applyFont="0" applyFill="0" applyBorder="0" applyAlignment="0" applyProtection="0"/>
    <xf numFmtId="0" fontId="137" fillId="0" borderId="0" applyFont="0" applyFill="0" applyBorder="0" applyAlignment="0" applyProtection="0"/>
    <xf numFmtId="40" fontId="29" fillId="0" borderId="0" applyFill="0" applyBorder="0" applyAlignment="0" applyProtection="0"/>
    <xf numFmtId="38" fontId="29" fillId="0" borderId="0" applyFill="0" applyBorder="0" applyAlignment="0" applyProtection="0"/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73" fillId="61" borderId="148" applyNumberFormat="0" applyFont="0" applyAlignment="0" applyProtection="0">
      <alignment vertical="center"/>
    </xf>
    <xf numFmtId="0" fontId="29" fillId="0" borderId="0" applyFill="0" applyBorder="0" applyAlignment="0" applyProtection="0"/>
    <xf numFmtId="0" fontId="29" fillId="0" borderId="0" applyFill="0" applyBorder="0" applyAlignment="0" applyProtection="0"/>
    <xf numFmtId="9" fontId="73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>
      <alignment vertical="center"/>
    </xf>
    <xf numFmtId="9" fontId="141" fillId="0" borderId="0" applyFont="0" applyFill="0" applyBorder="0" applyAlignment="0" applyProtection="0">
      <alignment vertical="center"/>
    </xf>
    <xf numFmtId="9" fontId="142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/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4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3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45" fillId="0" borderId="0" applyFont="0" applyFill="0" applyBorder="0" applyAlignment="0" applyProtection="0">
      <alignment vertical="center"/>
    </xf>
    <xf numFmtId="9" fontId="145" fillId="0" borderId="0" applyFont="0" applyFill="0" applyBorder="0" applyAlignment="0" applyProtection="0">
      <alignment vertical="center"/>
    </xf>
    <xf numFmtId="9" fontId="145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/>
    <xf numFmtId="0" fontId="146" fillId="60" borderId="0" applyNumberFormat="0" applyBorder="0" applyAlignment="0" applyProtection="0">
      <alignment vertical="center"/>
    </xf>
    <xf numFmtId="0" fontId="146" fillId="60" borderId="0" applyNumberFormat="0" applyBorder="0" applyAlignment="0" applyProtection="0">
      <alignment vertical="center"/>
    </xf>
    <xf numFmtId="0" fontId="146" fillId="60" borderId="0" applyNumberFormat="0" applyBorder="0" applyAlignment="0" applyProtection="0">
      <alignment vertical="center"/>
    </xf>
    <xf numFmtId="0" fontId="147" fillId="0" borderId="0"/>
    <xf numFmtId="0" fontId="148" fillId="0" borderId="0"/>
    <xf numFmtId="0" fontId="145" fillId="0" borderId="0"/>
    <xf numFmtId="0" fontId="73" fillId="0" borderId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50" fillId="50" borderId="138" applyNumberFormat="0" applyAlignment="0" applyProtection="0">
      <alignment vertical="center"/>
    </xf>
    <xf numFmtId="0" fontId="150" fillId="50" borderId="138" applyNumberFormat="0" applyAlignment="0" applyProtection="0">
      <alignment vertical="center"/>
    </xf>
    <xf numFmtId="0" fontId="150" fillId="50" borderId="138" applyNumberFormat="0" applyAlignment="0" applyProtection="0">
      <alignment vertical="center"/>
    </xf>
    <xf numFmtId="0" fontId="151" fillId="0" borderId="0" applyNumberForma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142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207" fontId="145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53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8" fillId="0" borderId="0" applyFont="0" applyFill="0" applyBorder="0" applyAlignment="0" applyProtection="0">
      <alignment vertical="center"/>
    </xf>
    <xf numFmtId="41" fontId="145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194" fontId="45" fillId="0" borderId="0" applyFill="0" applyBorder="0" applyAlignment="0" applyProtection="0"/>
    <xf numFmtId="194" fontId="45" fillId="0" borderId="0" applyFill="0" applyBorder="0" applyAlignment="0" applyProtection="0"/>
    <xf numFmtId="194" fontId="154" fillId="0" borderId="0" applyFill="0" applyBorder="0" applyAlignment="0" applyProtection="0"/>
    <xf numFmtId="194" fontId="45" fillId="0" borderId="0" applyFill="0" applyBorder="0" applyAlignment="0" applyProtection="0"/>
    <xf numFmtId="0" fontId="155" fillId="0" borderId="147" applyNumberFormat="0" applyFill="0" applyAlignment="0" applyProtection="0">
      <alignment vertical="center"/>
    </xf>
    <xf numFmtId="0" fontId="155" fillId="0" borderId="147" applyNumberFormat="0" applyFill="0" applyAlignment="0" applyProtection="0">
      <alignment vertical="center"/>
    </xf>
    <xf numFmtId="0" fontId="155" fillId="0" borderId="147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156" fillId="0" borderId="153" applyNumberFormat="0" applyFill="0" applyAlignment="0" applyProtection="0">
      <alignment vertical="center"/>
    </xf>
    <xf numFmtId="0" fontId="77" fillId="0" borderId="0"/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0" fontId="157" fillId="36" borderId="137" applyNumberFormat="0" applyAlignment="0" applyProtection="0">
      <alignment vertical="center"/>
    </xf>
    <xf numFmtId="4" fontId="137" fillId="0" borderId="0" applyFont="0" applyFill="0" applyBorder="0" applyAlignment="0" applyProtection="0"/>
    <xf numFmtId="3" fontId="137" fillId="0" borderId="0" applyFont="0" applyFill="0" applyBorder="0" applyAlignment="0" applyProtection="0"/>
    <xf numFmtId="0" fontId="158" fillId="0" borderId="142" applyNumberFormat="0" applyFill="0" applyAlignment="0" applyProtection="0">
      <alignment vertical="center"/>
    </xf>
    <xf numFmtId="0" fontId="158" fillId="0" borderId="142" applyNumberFormat="0" applyFill="0" applyAlignment="0" applyProtection="0">
      <alignment vertical="center"/>
    </xf>
    <xf numFmtId="0" fontId="158" fillId="0" borderId="142" applyNumberFormat="0" applyFill="0" applyAlignment="0" applyProtection="0">
      <alignment vertical="center"/>
    </xf>
    <xf numFmtId="0" fontId="159" fillId="0" borderId="143" applyNumberFormat="0" applyFill="0" applyAlignment="0" applyProtection="0">
      <alignment vertical="center"/>
    </xf>
    <xf numFmtId="0" fontId="159" fillId="0" borderId="143" applyNumberFormat="0" applyFill="0" applyAlignment="0" applyProtection="0">
      <alignment vertical="center"/>
    </xf>
    <xf numFmtId="0" fontId="159" fillId="0" borderId="143" applyNumberFormat="0" applyFill="0" applyAlignment="0" applyProtection="0">
      <alignment vertical="center"/>
    </xf>
    <xf numFmtId="0" fontId="160" fillId="0" borderId="144" applyNumberFormat="0" applyFill="0" applyAlignment="0" applyProtection="0">
      <alignment vertical="center"/>
    </xf>
    <xf numFmtId="0" fontId="160" fillId="0" borderId="144" applyNumberFormat="0" applyFill="0" applyAlignment="0" applyProtection="0">
      <alignment vertical="center"/>
    </xf>
    <xf numFmtId="0" fontId="160" fillId="0" borderId="144" applyNumberFormat="0" applyFill="0" applyAlignment="0" applyProtection="0">
      <alignment vertical="center"/>
    </xf>
    <xf numFmtId="0" fontId="160" fillId="0" borderId="144" applyNumberFormat="0" applyFill="0" applyAlignment="0" applyProtection="0">
      <alignment vertical="center"/>
    </xf>
    <xf numFmtId="0" fontId="160" fillId="0" borderId="144" applyNumberFormat="0" applyFill="0" applyAlignment="0" applyProtection="0">
      <alignment vertical="center"/>
    </xf>
    <xf numFmtId="0" fontId="160" fillId="0" borderId="144" applyNumberFormat="0" applyFill="0" applyAlignment="0" applyProtection="0">
      <alignment vertical="center"/>
    </xf>
    <xf numFmtId="0" fontId="160" fillId="0" borderId="144" applyNumberFormat="0" applyFill="0" applyAlignment="0" applyProtection="0">
      <alignment vertical="center"/>
    </xf>
    <xf numFmtId="0" fontId="160" fillId="0" borderId="144" applyNumberFormat="0" applyFill="0" applyAlignment="0" applyProtection="0">
      <alignment vertical="center"/>
    </xf>
    <xf numFmtId="0" fontId="160" fillId="0" borderId="144" applyNumberFormat="0" applyFill="0" applyAlignment="0" applyProtection="0">
      <alignment vertical="center"/>
    </xf>
    <xf numFmtId="0" fontId="160" fillId="0" borderId="144" applyNumberFormat="0" applyFill="0" applyAlignment="0" applyProtection="0">
      <alignment vertical="center"/>
    </xf>
    <xf numFmtId="0" fontId="160" fillId="0" borderId="144" applyNumberFormat="0" applyFill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61" fillId="33" borderId="0" applyNumberFormat="0" applyBorder="0" applyAlignment="0" applyProtection="0">
      <alignment vertical="center"/>
    </xf>
    <xf numFmtId="0" fontId="161" fillId="33" borderId="0" applyNumberFormat="0" applyBorder="0" applyAlignment="0" applyProtection="0">
      <alignment vertical="center"/>
    </xf>
    <xf numFmtId="0" fontId="161" fillId="33" borderId="0" applyNumberFormat="0" applyBorder="0" applyAlignment="0" applyProtection="0">
      <alignment vertical="center"/>
    </xf>
    <xf numFmtId="0" fontId="46" fillId="0" borderId="0"/>
    <xf numFmtId="187" fontId="29" fillId="0" borderId="0" applyFill="0" applyBorder="0" applyAlignment="0" applyProtection="0"/>
    <xf numFmtId="192" fontId="29" fillId="0" borderId="0" applyFill="0" applyBorder="0" applyAlignment="0" applyProtection="0"/>
    <xf numFmtId="244" fontId="148" fillId="0" borderId="0" applyFont="0" applyFill="0" applyBorder="0" applyAlignment="0" applyProtection="0"/>
    <xf numFmtId="244" fontId="145" fillId="0" borderId="0" applyFont="0" applyFill="0" applyBorder="0" applyAlignment="0" applyProtection="0"/>
    <xf numFmtId="0" fontId="162" fillId="0" borderId="0" applyNumberFormat="0" applyFill="0" applyBorder="0" applyAlignment="0" applyProtection="0"/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163" fillId="49" borderId="149" applyNumberFormat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9" fillId="0" borderId="0" applyFill="0" applyBorder="0" applyAlignment="0" applyProtection="0"/>
    <xf numFmtId="0" fontId="29" fillId="0" borderId="0" applyFill="0" applyBorder="0" applyAlignment="0" applyProtection="0"/>
    <xf numFmtId="180" fontId="29" fillId="0" borderId="0" applyFill="0" applyBorder="0" applyAlignment="0" applyProtection="0"/>
    <xf numFmtId="245" fontId="56" fillId="0" borderId="0" applyFont="0" applyFill="0" applyBorder="0" applyAlignment="0" applyProtection="0">
      <alignment vertical="center"/>
    </xf>
    <xf numFmtId="190" fontId="29" fillId="0" borderId="0" applyFill="0" applyBorder="0" applyAlignment="0" applyProtection="0"/>
    <xf numFmtId="10" fontId="137" fillId="0" borderId="0" applyFont="0" applyFill="0" applyBorder="0" applyAlignment="0" applyProtection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5" fillId="0" borderId="0"/>
    <xf numFmtId="0" fontId="73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5" fillId="0" borderId="0"/>
    <xf numFmtId="0" fontId="73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45" fillId="0" borderId="0"/>
    <xf numFmtId="0" fontId="73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246" fontId="164" fillId="0" borderId="0">
      <alignment vertical="center"/>
    </xf>
    <xf numFmtId="0" fontId="143" fillId="0" borderId="0">
      <alignment vertical="center"/>
    </xf>
    <xf numFmtId="0" fontId="73" fillId="0" borderId="0"/>
    <xf numFmtId="0" fontId="45" fillId="0" borderId="0"/>
    <xf numFmtId="0" fontId="141" fillId="0" borderId="0">
      <alignment vertical="center"/>
    </xf>
    <xf numFmtId="0" fontId="143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48" fillId="0" borderId="0"/>
    <xf numFmtId="0" fontId="145" fillId="0" borderId="0"/>
    <xf numFmtId="0" fontId="44" fillId="0" borderId="0">
      <alignment vertical="center"/>
    </xf>
    <xf numFmtId="0" fontId="44" fillId="0" borderId="0">
      <alignment vertical="center"/>
    </xf>
    <xf numFmtId="0" fontId="56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4" fillId="0" borderId="0">
      <alignment vertical="center"/>
    </xf>
    <xf numFmtId="0" fontId="141" fillId="0" borderId="0">
      <alignment vertical="center"/>
    </xf>
    <xf numFmtId="0" fontId="44" fillId="0" borderId="0">
      <alignment vertical="center"/>
    </xf>
    <xf numFmtId="0" fontId="142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5" fillId="0" borderId="0"/>
    <xf numFmtId="0" fontId="44" fillId="0" borderId="0">
      <alignment vertical="center"/>
    </xf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5" fillId="0" borderId="0"/>
    <xf numFmtId="0" fontId="73" fillId="0" borderId="0">
      <alignment vertical="center"/>
    </xf>
    <xf numFmtId="0" fontId="45" fillId="0" borderId="0"/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5" fillId="0" borderId="0"/>
    <xf numFmtId="0" fontId="44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45" fillId="0" borderId="0"/>
    <xf numFmtId="0" fontId="145" fillId="0" borderId="0"/>
    <xf numFmtId="0" fontId="145" fillId="0" borderId="0"/>
    <xf numFmtId="0" fontId="145" fillId="0" borderId="0"/>
    <xf numFmtId="0" fontId="45" fillId="0" borderId="0"/>
    <xf numFmtId="0" fontId="165" fillId="0" borderId="0"/>
    <xf numFmtId="0" fontId="137" fillId="0" borderId="157" applyNumberFormat="0" applyFont="0" applyFill="0" applyAlignment="0" applyProtection="0"/>
    <xf numFmtId="185" fontId="29" fillId="0" borderId="0" applyFill="0" applyBorder="0" applyAlignment="0" applyProtection="0"/>
    <xf numFmtId="186" fontId="29" fillId="0" borderId="0" applyFill="0" applyBorder="0" applyAlignment="0" applyProtection="0"/>
    <xf numFmtId="181" fontId="29" fillId="0" borderId="0" applyFill="0" applyBorder="0" applyAlignment="0" applyProtection="0"/>
    <xf numFmtId="241" fontId="29" fillId="0" borderId="0" applyFill="0" applyBorder="0" applyAlignment="0" applyProtection="0"/>
    <xf numFmtId="202" fontId="29" fillId="0" borderId="0" applyFill="0" applyBorder="0" applyAlignment="0" applyProtection="0"/>
    <xf numFmtId="247" fontId="137" fillId="0" borderId="0" applyFont="0" applyFill="0" applyBorder="0" applyAlignment="0" applyProtection="0"/>
    <xf numFmtId="248" fontId="137" fillId="0" borderId="0" applyFont="0" applyFill="0" applyBorder="0" applyAlignment="0" applyProtection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91" fillId="0" borderId="161" applyNumberFormat="0" applyAlignment="0" applyProtection="0"/>
    <xf numFmtId="0" fontId="67" fillId="49" borderId="212" applyNumberFormat="0" applyAlignment="0" applyProtection="0">
      <alignment vertical="center"/>
    </xf>
    <xf numFmtId="0" fontId="67" fillId="49" borderId="212" applyNumberFormat="0" applyAlignment="0" applyProtection="0">
      <alignment vertical="center"/>
    </xf>
    <xf numFmtId="0" fontId="67" fillId="49" borderId="212" applyNumberFormat="0" applyAlignment="0" applyProtection="0">
      <alignment vertical="center"/>
    </xf>
    <xf numFmtId="0" fontId="67" fillId="49" borderId="212" applyNumberFormat="0" applyAlignment="0" applyProtection="0">
      <alignment vertical="center"/>
    </xf>
    <xf numFmtId="0" fontId="67" fillId="49" borderId="212" applyNumberFormat="0" applyAlignment="0" applyProtection="0">
      <alignment vertical="center"/>
    </xf>
    <xf numFmtId="0" fontId="67" fillId="49" borderId="212" applyNumberFormat="0" applyAlignment="0" applyProtection="0">
      <alignment vertical="center"/>
    </xf>
    <xf numFmtId="0" fontId="67" fillId="49" borderId="212" applyNumberFormat="0" applyAlignment="0" applyProtection="0">
      <alignment vertical="center"/>
    </xf>
    <xf numFmtId="0" fontId="67" fillId="49" borderId="212" applyNumberFormat="0" applyAlignment="0" applyProtection="0">
      <alignment vertical="center"/>
    </xf>
    <xf numFmtId="0" fontId="91" fillId="0" borderId="213">
      <alignment horizontal="left" vertical="center"/>
    </xf>
    <xf numFmtId="0" fontId="100" fillId="56" borderId="214" applyNumberFormat="0" applyAlignment="0"/>
    <xf numFmtId="49" fontId="101" fillId="0" borderId="214">
      <alignment vertical="center"/>
    </xf>
    <xf numFmtId="0" fontId="103" fillId="36" borderId="212" applyNumberFormat="0" applyAlignment="0" applyProtection="0">
      <alignment vertical="center"/>
    </xf>
    <xf numFmtId="0" fontId="103" fillId="36" borderId="212" applyNumberFormat="0" applyAlignment="0" applyProtection="0">
      <alignment vertical="center"/>
    </xf>
    <xf numFmtId="0" fontId="103" fillId="36" borderId="212" applyNumberFormat="0" applyAlignment="0" applyProtection="0">
      <alignment vertical="center"/>
    </xf>
    <xf numFmtId="0" fontId="103" fillId="36" borderId="212" applyNumberFormat="0" applyAlignment="0" applyProtection="0">
      <alignment vertical="center"/>
    </xf>
    <xf numFmtId="0" fontId="103" fillId="36" borderId="212" applyNumberFormat="0" applyAlignment="0" applyProtection="0">
      <alignment vertical="center"/>
    </xf>
    <xf numFmtId="0" fontId="103" fillId="36" borderId="212" applyNumberFormat="0" applyAlignment="0" applyProtection="0">
      <alignment vertical="center"/>
    </xf>
    <xf numFmtId="0" fontId="103" fillId="36" borderId="212" applyNumberFormat="0" applyAlignment="0" applyProtection="0">
      <alignment vertical="center"/>
    </xf>
    <xf numFmtId="0" fontId="103" fillId="36" borderId="212" applyNumberForma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111" fillId="49" borderId="216" applyNumberFormat="0" applyAlignment="0" applyProtection="0">
      <alignment vertical="center"/>
    </xf>
    <xf numFmtId="0" fontId="111" fillId="49" borderId="216" applyNumberFormat="0" applyAlignment="0" applyProtection="0">
      <alignment vertical="center"/>
    </xf>
    <xf numFmtId="0" fontId="111" fillId="49" borderId="216" applyNumberFormat="0" applyAlignment="0" applyProtection="0">
      <alignment vertical="center"/>
    </xf>
    <xf numFmtId="0" fontId="111" fillId="49" borderId="216" applyNumberFormat="0" applyAlignment="0" applyProtection="0">
      <alignment vertical="center"/>
    </xf>
    <xf numFmtId="0" fontId="111" fillId="49" borderId="216" applyNumberFormat="0" applyAlignment="0" applyProtection="0">
      <alignment vertical="center"/>
    </xf>
    <xf numFmtId="0" fontId="111" fillId="49" borderId="216" applyNumberFormat="0" applyAlignment="0" applyProtection="0">
      <alignment vertical="center"/>
    </xf>
    <xf numFmtId="0" fontId="111" fillId="49" borderId="216" applyNumberFormat="0" applyAlignment="0" applyProtection="0">
      <alignment vertical="center"/>
    </xf>
    <xf numFmtId="0" fontId="111" fillId="49" borderId="216" applyNumberFormat="0" applyAlignment="0" applyProtection="0">
      <alignment vertical="center"/>
    </xf>
    <xf numFmtId="0" fontId="29" fillId="64" borderId="213" applyNumberFormat="0" applyAlignment="0"/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1" fontId="109" fillId="0" borderId="217">
      <alignment horizontal="right" vertical="center"/>
    </xf>
    <xf numFmtId="231" fontId="109" fillId="0" borderId="217">
      <alignment horizontal="right" vertical="center"/>
    </xf>
    <xf numFmtId="230" fontId="120" fillId="0" borderId="217">
      <alignment horizontal="right" vertical="center"/>
    </xf>
    <xf numFmtId="230" fontId="120" fillId="0" borderId="217">
      <alignment horizontal="right" vertical="center"/>
    </xf>
    <xf numFmtId="234" fontId="120" fillId="0" borderId="217">
      <alignment horizontal="center"/>
    </xf>
    <xf numFmtId="235" fontId="109" fillId="0" borderId="217">
      <alignment horizontal="center"/>
    </xf>
    <xf numFmtId="235" fontId="109" fillId="0" borderId="217">
      <alignment horizontal="center"/>
    </xf>
    <xf numFmtId="234" fontId="120" fillId="0" borderId="217">
      <alignment horizontal="center"/>
    </xf>
    <xf numFmtId="0" fontId="125" fillId="0" borderId="218" applyNumberFormat="0" applyFill="0" applyAlignment="0" applyProtection="0">
      <alignment vertical="center"/>
    </xf>
    <xf numFmtId="0" fontId="125" fillId="0" borderId="218" applyNumberFormat="0" applyFill="0" applyAlignment="0" applyProtection="0">
      <alignment vertical="center"/>
    </xf>
    <xf numFmtId="0" fontId="125" fillId="0" borderId="218" applyNumberFormat="0" applyFill="0" applyAlignment="0" applyProtection="0">
      <alignment vertical="center"/>
    </xf>
    <xf numFmtId="0" fontId="125" fillId="0" borderId="218" applyNumberFormat="0" applyFill="0" applyAlignment="0" applyProtection="0">
      <alignment vertical="center"/>
    </xf>
    <xf numFmtId="0" fontId="125" fillId="0" borderId="218" applyNumberFormat="0" applyFill="0" applyAlignment="0" applyProtection="0">
      <alignment vertical="center"/>
    </xf>
    <xf numFmtId="0" fontId="125" fillId="0" borderId="218" applyNumberFormat="0" applyFill="0" applyAlignment="0" applyProtection="0">
      <alignment vertical="center"/>
    </xf>
    <xf numFmtId="0" fontId="125" fillId="0" borderId="218" applyNumberFormat="0" applyFill="0" applyAlignment="0" applyProtection="0">
      <alignment vertical="center"/>
    </xf>
    <xf numFmtId="0" fontId="125" fillId="0" borderId="218" applyNumberFormat="0" applyFill="0" applyAlignment="0" applyProtection="0">
      <alignment vertical="center"/>
    </xf>
    <xf numFmtId="239" fontId="120" fillId="0" borderId="214"/>
    <xf numFmtId="240" fontId="128" fillId="58" borderId="219">
      <alignment vertical="top"/>
    </xf>
    <xf numFmtId="0" fontId="98" fillId="66" borderId="214">
      <alignment horizontal="left" vertical="center"/>
    </xf>
    <xf numFmtId="241" fontId="129" fillId="55" borderId="219"/>
    <xf numFmtId="240" fontId="100" fillId="0" borderId="219">
      <alignment horizontal="left" vertical="top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136" fillId="49" borderId="212" applyNumberForma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73" fillId="61" borderId="215" applyNumberFormat="0" applyFont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6" fillId="0" borderId="218" applyNumberFormat="0" applyFill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57" fillId="36" borderId="212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  <xf numFmtId="0" fontId="163" fillId="49" borderId="216" applyNumberFormat="0" applyAlignment="0" applyProtection="0">
      <alignment vertical="center"/>
    </xf>
  </cellStyleXfs>
  <cellXfs count="1356">
    <xf numFmtId="0" fontId="0" fillId="0" borderId="0" xfId="0">
      <alignment vertical="center"/>
    </xf>
    <xf numFmtId="177" fontId="43" fillId="0" borderId="0" xfId="0" applyNumberFormat="1" applyFont="1">
      <alignment vertical="center"/>
    </xf>
    <xf numFmtId="41" fontId="0" fillId="2" borderId="126" xfId="0" applyNumberFormat="1" applyFill="1" applyBorder="1">
      <alignment vertical="center"/>
    </xf>
    <xf numFmtId="41" fontId="0" fillId="2" borderId="121" xfId="0" applyNumberFormat="1" applyFill="1" applyBorder="1">
      <alignment vertical="center"/>
    </xf>
    <xf numFmtId="41" fontId="0" fillId="2" borderId="59" xfId="0" applyNumberFormat="1" applyFill="1" applyBorder="1">
      <alignment vertical="center"/>
    </xf>
    <xf numFmtId="41" fontId="0" fillId="2" borderId="60" xfId="0" applyNumberFormat="1" applyFill="1" applyBorder="1">
      <alignment vertical="center"/>
    </xf>
    <xf numFmtId="41" fontId="0" fillId="2" borderId="125" xfId="0" applyNumberFormat="1" applyFill="1" applyBorder="1">
      <alignment vertical="center"/>
    </xf>
    <xf numFmtId="41" fontId="0" fillId="2" borderId="122" xfId="0" applyNumberFormat="1" applyFill="1" applyBorder="1">
      <alignment vertical="center"/>
    </xf>
    <xf numFmtId="41" fontId="0" fillId="2" borderId="61" xfId="0" applyNumberFormat="1" applyFill="1" applyBorder="1">
      <alignment vertical="center"/>
    </xf>
    <xf numFmtId="177" fontId="0" fillId="2" borderId="125" xfId="0" applyNumberFormat="1" applyFill="1" applyBorder="1">
      <alignment vertical="center"/>
    </xf>
    <xf numFmtId="177" fontId="0" fillId="2" borderId="122" xfId="0" applyNumberFormat="1" applyFill="1" applyBorder="1">
      <alignment vertical="center"/>
    </xf>
    <xf numFmtId="0" fontId="0" fillId="0" borderId="133" xfId="0" applyBorder="1" applyAlignment="1">
      <alignment horizontal="centerContinuous" vertical="center"/>
    </xf>
    <xf numFmtId="0" fontId="0" fillId="0" borderId="132" xfId="0" applyBorder="1" applyAlignment="1">
      <alignment horizontal="centerContinuous" vertical="center"/>
    </xf>
    <xf numFmtId="0" fontId="3" fillId="0" borderId="131" xfId="0" applyFont="1" applyBorder="1" applyAlignment="1">
      <alignment horizontal="centerContinuous" vertical="center"/>
    </xf>
    <xf numFmtId="41" fontId="3" fillId="12" borderId="55" xfId="2" applyFont="1" applyFill="1" applyBorder="1" applyAlignment="1">
      <alignment horizontal="left" vertical="center"/>
    </xf>
    <xf numFmtId="41" fontId="0" fillId="18" borderId="0" xfId="2" applyFont="1" applyFill="1" applyBorder="1" applyAlignment="1">
      <alignment horizontal="left" vertical="center"/>
    </xf>
    <xf numFmtId="41" fontId="0" fillId="18" borderId="110" xfId="2" applyFont="1" applyFill="1" applyBorder="1" applyAlignment="1">
      <alignment horizontal="left" vertical="center"/>
    </xf>
    <xf numFmtId="176" fontId="11" fillId="0" borderId="24" xfId="0" applyNumberFormat="1" applyFont="1" applyBorder="1">
      <alignment vertical="center"/>
    </xf>
    <xf numFmtId="176" fontId="11" fillId="0" borderId="78" xfId="0" applyNumberFormat="1" applyFont="1" applyBorder="1">
      <alignment vertical="center"/>
    </xf>
    <xf numFmtId="0" fontId="16" fillId="15" borderId="114" xfId="0" applyFont="1" applyFill="1" applyBorder="1" applyAlignment="1">
      <alignment horizontal="center" vertical="center"/>
    </xf>
    <xf numFmtId="41" fontId="3" fillId="12" borderId="70" xfId="2" applyFont="1" applyFill="1" applyBorder="1" applyAlignment="1">
      <alignment horizontal="left" vertical="center"/>
    </xf>
    <xf numFmtId="41" fontId="0" fillId="18" borderId="112" xfId="2" applyFont="1" applyFill="1" applyBorder="1" applyAlignment="1">
      <alignment horizontal="left" vertical="center"/>
    </xf>
    <xf numFmtId="41" fontId="0" fillId="18" borderId="111" xfId="2" applyFont="1" applyFill="1" applyBorder="1" applyAlignment="1">
      <alignment horizontal="left" vertical="center"/>
    </xf>
    <xf numFmtId="41" fontId="0" fillId="0" borderId="115" xfId="2" applyFont="1" applyBorder="1" applyAlignment="1">
      <alignment horizontal="left" vertical="center"/>
    </xf>
    <xf numFmtId="41" fontId="0" fillId="0" borderId="112" xfId="2" applyFont="1" applyBorder="1" applyAlignment="1">
      <alignment horizontal="left" vertical="center"/>
    </xf>
    <xf numFmtId="41" fontId="0" fillId="0" borderId="123" xfId="2" applyFont="1" applyBorder="1" applyAlignment="1">
      <alignment horizontal="left" vertical="center"/>
    </xf>
    <xf numFmtId="9" fontId="0" fillId="0" borderId="130" xfId="1" applyFont="1" applyBorder="1">
      <alignment vertical="center"/>
    </xf>
    <xf numFmtId="41" fontId="0" fillId="0" borderId="130" xfId="0" applyNumberFormat="1" applyBorder="1">
      <alignment vertical="center"/>
    </xf>
    <xf numFmtId="41" fontId="0" fillId="0" borderId="129" xfId="0" applyNumberFormat="1" applyBorder="1">
      <alignment vertical="center"/>
    </xf>
    <xf numFmtId="176" fontId="0" fillId="0" borderId="128" xfId="1" applyNumberFormat="1" applyFont="1" applyBorder="1">
      <alignment vertical="center"/>
    </xf>
    <xf numFmtId="41" fontId="0" fillId="0" borderId="128" xfId="0" applyNumberFormat="1" applyBorder="1">
      <alignment vertical="center"/>
    </xf>
    <xf numFmtId="41" fontId="0" fillId="0" borderId="127" xfId="0" applyNumberFormat="1" applyBorder="1" applyAlignment="1">
      <alignment horizontal="left" vertical="center"/>
    </xf>
    <xf numFmtId="9" fontId="0" fillId="0" borderId="119" xfId="1" applyFont="1" applyBorder="1">
      <alignment vertical="center"/>
    </xf>
    <xf numFmtId="41" fontId="0" fillId="0" borderId="119" xfId="0" applyNumberFormat="1" applyBorder="1">
      <alignment vertical="center"/>
    </xf>
    <xf numFmtId="41" fontId="0" fillId="0" borderId="124" xfId="0" applyNumberFormat="1" applyBorder="1">
      <alignment vertical="center"/>
    </xf>
    <xf numFmtId="176" fontId="0" fillId="0" borderId="120" xfId="1" applyNumberFormat="1" applyFont="1" applyBorder="1">
      <alignment vertical="center"/>
    </xf>
    <xf numFmtId="41" fontId="0" fillId="0" borderId="120" xfId="0" applyNumberFormat="1" applyBorder="1">
      <alignment vertical="center"/>
    </xf>
    <xf numFmtId="41" fontId="0" fillId="0" borderId="117" xfId="0" applyNumberFormat="1" applyBorder="1" applyAlignment="1">
      <alignment horizontal="left" vertical="center"/>
    </xf>
    <xf numFmtId="41" fontId="3" fillId="0" borderId="14" xfId="0" applyNumberFormat="1" applyFont="1" applyBorder="1" applyAlignment="1">
      <alignment horizontal="center" vertical="center"/>
    </xf>
    <xf numFmtId="0" fontId="0" fillId="0" borderId="118" xfId="0" applyBorder="1" applyAlignment="1">
      <alignment horizontal="centerContinuous" vertical="center"/>
    </xf>
    <xf numFmtId="41" fontId="0" fillId="18" borderId="116" xfId="0" applyNumberFormat="1" applyFill="1" applyBorder="1" applyAlignment="1">
      <alignment horizontal="centerContinuous" vertical="center"/>
    </xf>
    <xf numFmtId="41" fontId="0" fillId="18" borderId="49" xfId="0" applyNumberFormat="1" applyFill="1" applyBorder="1" applyAlignment="1">
      <alignment horizontal="centerContinuous" vertical="center"/>
    </xf>
    <xf numFmtId="41" fontId="0" fillId="18" borderId="118" xfId="0" applyNumberFormat="1" applyFill="1" applyBorder="1" applyAlignment="1">
      <alignment horizontal="centerContinuous" vertical="center"/>
    </xf>
    <xf numFmtId="41" fontId="0" fillId="0" borderId="116" xfId="0" applyNumberFormat="1" applyBorder="1" applyAlignment="1">
      <alignment horizontal="centerContinuous" vertical="center"/>
    </xf>
    <xf numFmtId="41" fontId="0" fillId="0" borderId="117" xfId="0" applyNumberFormat="1" applyBorder="1" applyAlignment="1">
      <alignment horizontal="centerContinuous" vertical="center"/>
    </xf>
    <xf numFmtId="176" fontId="11" fillId="0" borderId="112" xfId="0" applyNumberFormat="1" applyFont="1" applyBorder="1">
      <alignment vertical="center"/>
    </xf>
    <xf numFmtId="41" fontId="0" fillId="0" borderId="49" xfId="0" applyNumberFormat="1" applyBorder="1" applyAlignment="1">
      <alignment horizontal="centerContinuous" vertical="center"/>
    </xf>
    <xf numFmtId="0" fontId="0" fillId="0" borderId="112" xfId="0" applyBorder="1" applyAlignment="1">
      <alignment horizontal="centerContinuous" vertical="center"/>
    </xf>
    <xf numFmtId="0" fontId="0" fillId="0" borderId="49" xfId="0" applyBorder="1" applyAlignment="1">
      <alignment horizontal="centerContinuous" vertical="center"/>
    </xf>
    <xf numFmtId="41" fontId="0" fillId="0" borderId="61" xfId="0" applyNumberFormat="1" applyBorder="1">
      <alignment vertical="center"/>
    </xf>
    <xf numFmtId="41" fontId="0" fillId="0" borderId="125" xfId="0" applyNumberFormat="1" applyBorder="1">
      <alignment vertical="center"/>
    </xf>
    <xf numFmtId="0" fontId="0" fillId="0" borderId="110" xfId="0" applyBorder="1" applyAlignment="1">
      <alignment horizontal="centerContinuous" vertical="center"/>
    </xf>
    <xf numFmtId="0" fontId="3" fillId="4" borderId="124" xfId="0" applyFont="1" applyFill="1" applyBorder="1" applyAlignment="1">
      <alignment horizontal="centerContinuous" vertical="center"/>
    </xf>
    <xf numFmtId="0" fontId="3" fillId="4" borderId="120" xfId="0" applyFont="1" applyFill="1" applyBorder="1" applyAlignment="1">
      <alignment horizontal="centerContinuous" vertical="center"/>
    </xf>
    <xf numFmtId="0" fontId="3" fillId="10" borderId="120" xfId="0" applyFont="1" applyFill="1" applyBorder="1" applyAlignment="1">
      <alignment horizontal="centerContinuous" vertical="center"/>
    </xf>
    <xf numFmtId="0" fontId="3" fillId="10" borderId="120" xfId="0" applyFont="1" applyFill="1" applyBorder="1" applyAlignment="1">
      <alignment horizontal="center" vertical="center"/>
    </xf>
    <xf numFmtId="0" fontId="3" fillId="10" borderId="117" xfId="0" applyFont="1" applyFill="1" applyBorder="1" applyAlignment="1">
      <alignment horizontal="center" vertical="center"/>
    </xf>
    <xf numFmtId="0" fontId="3" fillId="10" borderId="119" xfId="0" applyFont="1" applyFill="1" applyBorder="1" applyAlignment="1">
      <alignment horizontal="center" vertical="center"/>
    </xf>
    <xf numFmtId="0" fontId="3" fillId="0" borderId="123" xfId="0" applyFont="1" applyBorder="1" applyAlignment="1">
      <alignment horizontal="center" vertical="center"/>
    </xf>
    <xf numFmtId="0" fontId="3" fillId="0" borderId="120" xfId="0" applyFont="1" applyBorder="1" applyAlignment="1">
      <alignment horizontal="center" vertical="center"/>
    </xf>
    <xf numFmtId="41" fontId="0" fillId="0" borderId="122" xfId="0" applyNumberFormat="1" applyBorder="1">
      <alignment vertical="center"/>
    </xf>
    <xf numFmtId="177" fontId="0" fillId="18" borderId="60" xfId="0" applyNumberFormat="1" applyFill="1" applyBorder="1">
      <alignment vertical="center"/>
    </xf>
    <xf numFmtId="177" fontId="0" fillId="18" borderId="122" xfId="0" applyNumberFormat="1" applyFill="1" applyBorder="1">
      <alignment vertical="center"/>
    </xf>
    <xf numFmtId="177" fontId="0" fillId="18" borderId="61" xfId="0" applyNumberFormat="1" applyFill="1" applyBorder="1">
      <alignment vertical="center"/>
    </xf>
    <xf numFmtId="177" fontId="0" fillId="0" borderId="121" xfId="0" applyNumberFormat="1" applyBorder="1">
      <alignment vertical="center"/>
    </xf>
    <xf numFmtId="177" fontId="0" fillId="0" borderId="59" xfId="0" applyNumberFormat="1" applyBorder="1">
      <alignment vertical="center"/>
    </xf>
    <xf numFmtId="177" fontId="0" fillId="0" borderId="60" xfId="0" applyNumberFormat="1" applyBorder="1">
      <alignment vertical="center"/>
    </xf>
    <xf numFmtId="177" fontId="0" fillId="0" borderId="120" xfId="0" applyNumberFormat="1" applyBorder="1">
      <alignment vertical="center"/>
    </xf>
    <xf numFmtId="177" fontId="0" fillId="0" borderId="119" xfId="0" applyNumberFormat="1" applyBorder="1">
      <alignment vertical="center"/>
    </xf>
    <xf numFmtId="176" fontId="11" fillId="0" borderId="60" xfId="0" applyNumberFormat="1" applyFont="1" applyBorder="1">
      <alignment vertical="center"/>
    </xf>
    <xf numFmtId="176" fontId="11" fillId="0" borderId="14" xfId="0" applyNumberFormat="1" applyFont="1" applyBorder="1">
      <alignment vertical="center"/>
    </xf>
    <xf numFmtId="41" fontId="15" fillId="15" borderId="109" xfId="0" applyNumberFormat="1" applyFont="1" applyFill="1" applyBorder="1" applyAlignment="1">
      <alignment horizontal="centerContinuous" vertical="center"/>
    </xf>
    <xf numFmtId="176" fontId="42" fillId="0" borderId="49" xfId="0" applyNumberFormat="1" applyFont="1" applyBorder="1">
      <alignment vertical="center"/>
    </xf>
    <xf numFmtId="177" fontId="1" fillId="0" borderId="53" xfId="0" applyNumberFormat="1" applyFont="1" applyBorder="1">
      <alignment vertical="center"/>
    </xf>
    <xf numFmtId="177" fontId="0" fillId="2" borderId="118" xfId="0" applyNumberFormat="1" applyFill="1" applyBorder="1">
      <alignment vertical="center"/>
    </xf>
    <xf numFmtId="177" fontId="0" fillId="18" borderId="118" xfId="0" applyNumberFormat="1" applyFill="1" applyBorder="1">
      <alignment vertical="center"/>
    </xf>
    <xf numFmtId="177" fontId="0" fillId="0" borderId="118" xfId="0" applyNumberFormat="1" applyBorder="1">
      <alignment vertical="center"/>
    </xf>
    <xf numFmtId="41" fontId="15" fillId="15" borderId="110" xfId="0" applyNumberFormat="1" applyFont="1" applyFill="1" applyBorder="1" applyAlignment="1">
      <alignment horizontal="centerContinuous" vertical="center"/>
    </xf>
    <xf numFmtId="41" fontId="0" fillId="0" borderId="0" xfId="0" applyNumberFormat="1">
      <alignment vertical="center"/>
    </xf>
    <xf numFmtId="41" fontId="0" fillId="0" borderId="0" xfId="0" applyNumberFormat="1" applyAlignment="1">
      <alignment horizontal="center" vertical="center"/>
    </xf>
    <xf numFmtId="41" fontId="3" fillId="0" borderId="0" xfId="0" applyNumberFormat="1" applyFont="1" applyAlignment="1">
      <alignment horizontal="left" vertical="center"/>
    </xf>
    <xf numFmtId="41" fontId="3" fillId="0" borderId="0" xfId="0" applyNumberFormat="1" applyFont="1">
      <alignment vertical="center"/>
    </xf>
    <xf numFmtId="41" fontId="3" fillId="0" borderId="0" xfId="0" applyNumberFormat="1" applyFont="1" applyAlignment="1">
      <alignment horizontal="center" vertical="center"/>
    </xf>
    <xf numFmtId="41" fontId="0" fillId="2" borderId="1" xfId="0" applyNumberFormat="1" applyFill="1" applyBorder="1" applyAlignment="1">
      <alignment horizontal="center" vertical="center"/>
    </xf>
    <xf numFmtId="41" fontId="0" fillId="2" borderId="1" xfId="0" applyNumberFormat="1" applyFill="1" applyBorder="1" applyAlignment="1">
      <alignment horizontal="centerContinuous" vertical="center"/>
    </xf>
    <xf numFmtId="41" fontId="0" fillId="2" borderId="0" xfId="0" applyNumberFormat="1" applyFill="1" applyAlignment="1">
      <alignment horizontal="centerContinuous" vertical="center"/>
    </xf>
    <xf numFmtId="41" fontId="4" fillId="0" borderId="0" xfId="0" applyNumberFormat="1" applyFont="1">
      <alignment vertical="center"/>
    </xf>
    <xf numFmtId="41" fontId="0" fillId="2" borderId="0" xfId="0" applyNumberFormat="1" applyFill="1">
      <alignment vertical="center"/>
    </xf>
    <xf numFmtId="41" fontId="0" fillId="3" borderId="0" xfId="0" applyNumberFormat="1" applyFill="1" applyAlignment="1">
      <alignment horizontal="center" vertical="center"/>
    </xf>
    <xf numFmtId="41" fontId="5" fillId="0" borderId="0" xfId="0" applyNumberFormat="1" applyFont="1">
      <alignment vertical="center"/>
    </xf>
    <xf numFmtId="41" fontId="3" fillId="4" borderId="0" xfId="0" applyNumberFormat="1" applyFont="1" applyFill="1">
      <alignment vertical="center"/>
    </xf>
    <xf numFmtId="41" fontId="3" fillId="5" borderId="0" xfId="0" applyNumberFormat="1" applyFont="1" applyFill="1">
      <alignment vertical="center"/>
    </xf>
    <xf numFmtId="41" fontId="0" fillId="6" borderId="0" xfId="0" applyNumberFormat="1" applyFill="1">
      <alignment vertical="center"/>
    </xf>
    <xf numFmtId="41" fontId="0" fillId="2" borderId="2" xfId="0" applyNumberFormat="1" applyFill="1" applyBorder="1" applyAlignment="1">
      <alignment horizontal="center" vertical="center"/>
    </xf>
    <xf numFmtId="41" fontId="6" fillId="0" borderId="0" xfId="0" applyNumberFormat="1" applyFont="1">
      <alignment vertical="center"/>
    </xf>
    <xf numFmtId="41" fontId="0" fillId="6" borderId="0" xfId="0" applyNumberFormat="1" applyFill="1" applyAlignment="1">
      <alignment horizontal="centerContinuous" vertical="center"/>
    </xf>
    <xf numFmtId="41" fontId="0" fillId="8" borderId="0" xfId="0" applyNumberFormat="1" applyFill="1" applyAlignment="1">
      <alignment horizontal="center" vertical="center"/>
    </xf>
    <xf numFmtId="41" fontId="0" fillId="8" borderId="2" xfId="0" applyNumberFormat="1" applyFill="1" applyBorder="1" applyAlignment="1">
      <alignment horizontal="center" vertical="center"/>
    </xf>
    <xf numFmtId="41" fontId="0" fillId="8" borderId="1" xfId="0" applyNumberFormat="1" applyFill="1" applyBorder="1" applyAlignment="1">
      <alignment horizontal="centerContinuous" vertical="center"/>
    </xf>
    <xf numFmtId="41" fontId="3" fillId="2" borderId="0" xfId="0" applyNumberFormat="1" applyFont="1" applyFill="1" applyAlignment="1">
      <alignment horizontal="center" vertical="center"/>
    </xf>
    <xf numFmtId="41" fontId="3" fillId="8" borderId="0" xfId="0" applyNumberFormat="1" applyFont="1" applyFill="1" applyAlignment="1">
      <alignment horizontal="centerContinuous" vertical="center"/>
    </xf>
    <xf numFmtId="41" fontId="0" fillId="8" borderId="0" xfId="0" applyNumberFormat="1" applyFill="1" applyAlignment="1">
      <alignment horizontal="centerContinuous" vertical="center"/>
    </xf>
    <xf numFmtId="41" fontId="7" fillId="0" borderId="0" xfId="0" applyNumberFormat="1" applyFont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41" fontId="0" fillId="9" borderId="0" xfId="0" applyNumberFormat="1" applyFill="1">
      <alignment vertical="center"/>
    </xf>
    <xf numFmtId="41" fontId="0" fillId="10" borderId="0" xfId="0" applyNumberFormat="1" applyFill="1">
      <alignment vertical="center"/>
    </xf>
    <xf numFmtId="41" fontId="3" fillId="8" borderId="3" xfId="0" applyNumberFormat="1" applyFont="1" applyFill="1" applyBorder="1" applyAlignment="1">
      <alignment horizontal="center" vertical="center"/>
    </xf>
    <xf numFmtId="41" fontId="0" fillId="8" borderId="3" xfId="0" applyNumberFormat="1" applyFill="1" applyBorder="1" applyAlignment="1">
      <alignment horizontal="center" vertical="center"/>
    </xf>
    <xf numFmtId="41" fontId="3" fillId="8" borderId="4" xfId="0" applyNumberFormat="1" applyFont="1" applyFill="1" applyBorder="1" applyAlignment="1">
      <alignment horizontal="centerContinuous" vertical="center"/>
    </xf>
    <xf numFmtId="41" fontId="0" fillId="8" borderId="5" xfId="0" applyNumberFormat="1" applyFill="1" applyBorder="1" applyAlignment="1">
      <alignment horizontal="centerContinuous" vertical="center"/>
    </xf>
    <xf numFmtId="41" fontId="0" fillId="2" borderId="7" xfId="0" applyNumberFormat="1" applyFill="1" applyBorder="1" applyAlignment="1">
      <alignment horizontal="center" vertical="center"/>
    </xf>
    <xf numFmtId="41" fontId="0" fillId="2" borderId="8" xfId="0" applyNumberFormat="1" applyFill="1" applyBorder="1" applyAlignment="1">
      <alignment horizontal="center" vertical="center"/>
    </xf>
    <xf numFmtId="41" fontId="0" fillId="2" borderId="9" xfId="0" applyNumberFormat="1" applyFill="1" applyBorder="1" applyAlignment="1">
      <alignment horizontal="centerContinuous" vertical="center"/>
    </xf>
    <xf numFmtId="41" fontId="0" fillId="2" borderId="6" xfId="0" applyNumberFormat="1" applyFill="1" applyBorder="1" applyAlignment="1">
      <alignment horizontal="centerContinuous" vertical="center"/>
    </xf>
    <xf numFmtId="41" fontId="0" fillId="2" borderId="10" xfId="0" applyNumberFormat="1" applyFill="1" applyBorder="1" applyAlignment="1">
      <alignment horizontal="center" vertical="center"/>
    </xf>
    <xf numFmtId="41" fontId="7" fillId="2" borderId="9" xfId="0" applyNumberFormat="1" applyFont="1" applyFill="1" applyBorder="1" applyAlignment="1">
      <alignment horizontal="centerContinuous" vertical="center"/>
    </xf>
    <xf numFmtId="41" fontId="4" fillId="2" borderId="9" xfId="0" applyNumberFormat="1" applyFont="1" applyFill="1" applyBorder="1" applyAlignment="1">
      <alignment horizontal="centerContinuous" vertical="center"/>
    </xf>
    <xf numFmtId="41" fontId="4" fillId="2" borderId="6" xfId="0" applyNumberFormat="1" applyFont="1" applyFill="1" applyBorder="1" applyAlignment="1">
      <alignment horizontal="centerContinuous" vertical="center"/>
    </xf>
    <xf numFmtId="41" fontId="0" fillId="2" borderId="6" xfId="0" applyNumberFormat="1" applyFill="1" applyBorder="1" applyAlignment="1">
      <alignment horizontal="center" vertical="center"/>
    </xf>
    <xf numFmtId="0" fontId="8" fillId="0" borderId="0" xfId="0" applyFont="1">
      <alignment vertical="center"/>
    </xf>
    <xf numFmtId="41" fontId="9" fillId="0" borderId="0" xfId="0" applyNumberFormat="1" applyFont="1">
      <alignment vertical="center"/>
    </xf>
    <xf numFmtId="41" fontId="3" fillId="8" borderId="1" xfId="0" applyNumberFormat="1" applyFont="1" applyFill="1" applyBorder="1" applyAlignment="1">
      <alignment horizontal="centerContinuous" vertical="center"/>
    </xf>
    <xf numFmtId="41" fontId="0" fillId="8" borderId="2" xfId="0" applyNumberFormat="1" applyFill="1" applyBorder="1" applyAlignment="1">
      <alignment horizontal="centerContinuous" vertical="center"/>
    </xf>
    <xf numFmtId="41" fontId="3" fillId="11" borderId="1" xfId="0" applyNumberFormat="1" applyFont="1" applyFill="1" applyBorder="1" applyAlignment="1">
      <alignment horizontal="centerContinuous" vertical="center"/>
    </xf>
    <xf numFmtId="41" fontId="0" fillId="11" borderId="1" xfId="0" applyNumberFormat="1" applyFill="1" applyBorder="1" applyAlignment="1">
      <alignment horizontal="centerContinuous" vertical="center"/>
    </xf>
    <xf numFmtId="41" fontId="0" fillId="11" borderId="0" xfId="0" applyNumberFormat="1" applyFill="1" applyAlignment="1">
      <alignment horizontal="centerContinuous" vertical="center"/>
    </xf>
    <xf numFmtId="41" fontId="0" fillId="11" borderId="0" xfId="0" applyNumberFormat="1" applyFill="1" applyAlignment="1">
      <alignment horizontal="center" vertical="center"/>
    </xf>
    <xf numFmtId="41" fontId="0" fillId="11" borderId="2" xfId="0" applyNumberFormat="1" applyFill="1" applyBorder="1" applyAlignment="1">
      <alignment horizontal="center" vertical="center"/>
    </xf>
    <xf numFmtId="41" fontId="3" fillId="0" borderId="11" xfId="0" applyNumberFormat="1" applyFont="1" applyBorder="1">
      <alignment vertical="center"/>
    </xf>
    <xf numFmtId="41" fontId="0" fillId="0" borderId="12" xfId="0" applyNumberFormat="1" applyBorder="1">
      <alignment vertical="center"/>
    </xf>
    <xf numFmtId="41" fontId="3" fillId="6" borderId="12" xfId="0" applyNumberFormat="1" applyFont="1" applyFill="1" applyBorder="1">
      <alignment vertical="center"/>
    </xf>
    <xf numFmtId="41" fontId="0" fillId="6" borderId="12" xfId="0" applyNumberFormat="1" applyFill="1" applyBorder="1">
      <alignment vertical="center"/>
    </xf>
    <xf numFmtId="41" fontId="0" fillId="2" borderId="12" xfId="0" applyNumberFormat="1" applyFill="1" applyBorder="1">
      <alignment vertical="center"/>
    </xf>
    <xf numFmtId="41" fontId="3" fillId="6" borderId="13" xfId="0" applyNumberFormat="1" applyFont="1" applyFill="1" applyBorder="1">
      <alignment vertical="center"/>
    </xf>
    <xf numFmtId="41" fontId="0" fillId="0" borderId="14" xfId="0" applyNumberFormat="1" applyBorder="1">
      <alignment vertical="center"/>
    </xf>
    <xf numFmtId="41" fontId="0" fillId="3" borderId="0" xfId="0" applyNumberFormat="1" applyFill="1">
      <alignment vertical="center"/>
    </xf>
    <xf numFmtId="43" fontId="0" fillId="0" borderId="15" xfId="0" applyNumberFormat="1" applyBorder="1">
      <alignment vertical="center"/>
    </xf>
    <xf numFmtId="41" fontId="0" fillId="0" borderId="16" xfId="0" applyNumberFormat="1" applyBorder="1">
      <alignment vertical="center"/>
    </xf>
    <xf numFmtId="41" fontId="0" fillId="0" borderId="17" xfId="0" applyNumberFormat="1" applyBorder="1">
      <alignment vertical="center"/>
    </xf>
    <xf numFmtId="41" fontId="0" fillId="2" borderId="17" xfId="0" applyNumberFormat="1" applyFill="1" applyBorder="1">
      <alignment vertical="center"/>
    </xf>
    <xf numFmtId="41" fontId="0" fillId="3" borderId="17" xfId="0" applyNumberFormat="1" applyFill="1" applyBorder="1">
      <alignment vertical="center"/>
    </xf>
    <xf numFmtId="41" fontId="0" fillId="0" borderId="18" xfId="0" applyNumberFormat="1" applyBorder="1">
      <alignment vertical="center"/>
    </xf>
    <xf numFmtId="41" fontId="7" fillId="0" borderId="0" xfId="0" applyNumberFormat="1" applyFont="1">
      <alignment vertical="center"/>
    </xf>
    <xf numFmtId="41" fontId="11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4" fillId="0" borderId="0" xfId="0" applyFont="1">
      <alignment vertical="center"/>
    </xf>
    <xf numFmtId="0" fontId="0" fillId="0" borderId="0" xfId="0" quotePrefix="1">
      <alignment vertical="center"/>
    </xf>
    <xf numFmtId="41" fontId="12" fillId="13" borderId="0" xfId="0" applyNumberFormat="1" applyFont="1" applyFill="1">
      <alignment vertical="center"/>
    </xf>
    <xf numFmtId="41" fontId="3" fillId="13" borderId="0" xfId="0" applyNumberFormat="1" applyFont="1" applyFill="1">
      <alignment vertical="center"/>
    </xf>
    <xf numFmtId="41" fontId="13" fillId="13" borderId="0" xfId="0" applyNumberFormat="1" applyFont="1" applyFill="1">
      <alignment vertical="center"/>
    </xf>
    <xf numFmtId="41" fontId="3" fillId="0" borderId="1" xfId="0" applyNumberFormat="1" applyFont="1" applyBorder="1">
      <alignment vertical="center"/>
    </xf>
    <xf numFmtId="41" fontId="3" fillId="0" borderId="29" xfId="0" applyNumberFormat="1" applyFont="1" applyBorder="1">
      <alignment vertical="center"/>
    </xf>
    <xf numFmtId="41" fontId="0" fillId="7" borderId="0" xfId="0" applyNumberFormat="1" applyFill="1">
      <alignment vertical="center"/>
    </xf>
    <xf numFmtId="41" fontId="0" fillId="0" borderId="0" xfId="0" applyNumberFormat="1" applyAlignment="1">
      <alignment horizontal="centerContinuous" vertical="center"/>
    </xf>
    <xf numFmtId="41" fontId="0" fillId="0" borderId="5" xfId="0" applyNumberFormat="1" applyBorder="1">
      <alignment vertical="center"/>
    </xf>
    <xf numFmtId="41" fontId="3" fillId="0" borderId="5" xfId="0" applyNumberFormat="1" applyFont="1" applyBorder="1">
      <alignment vertical="center"/>
    </xf>
    <xf numFmtId="41" fontId="0" fillId="0" borderId="2" xfId="0" applyNumberFormat="1" applyBorder="1">
      <alignment vertical="center"/>
    </xf>
    <xf numFmtId="41" fontId="0" fillId="2" borderId="2" xfId="0" applyNumberFormat="1" applyFill="1" applyBorder="1">
      <alignment vertical="center"/>
    </xf>
    <xf numFmtId="41" fontId="5" fillId="0" borderId="2" xfId="0" applyNumberFormat="1" applyFont="1" applyBorder="1">
      <alignment vertical="center"/>
    </xf>
    <xf numFmtId="41" fontId="3" fillId="14" borderId="28" xfId="0" applyNumberFormat="1" applyFont="1" applyFill="1" applyBorder="1">
      <alignment vertical="center"/>
    </xf>
    <xf numFmtId="41" fontId="3" fillId="14" borderId="1" xfId="0" applyNumberFormat="1" applyFont="1" applyFill="1" applyBorder="1">
      <alignment vertical="center"/>
    </xf>
    <xf numFmtId="41" fontId="0" fillId="14" borderId="4" xfId="0" applyNumberFormat="1" applyFill="1" applyBorder="1">
      <alignment vertical="center"/>
    </xf>
    <xf numFmtId="41" fontId="0" fillId="14" borderId="0" xfId="0" applyNumberFormat="1" applyFill="1">
      <alignment vertical="center"/>
    </xf>
    <xf numFmtId="41" fontId="3" fillId="14" borderId="4" xfId="0" applyNumberFormat="1" applyFont="1" applyFill="1" applyBorder="1">
      <alignment vertical="center"/>
    </xf>
    <xf numFmtId="41" fontId="3" fillId="14" borderId="0" xfId="0" applyNumberFormat="1" applyFont="1" applyFill="1">
      <alignment vertical="center"/>
    </xf>
    <xf numFmtId="41" fontId="0" fillId="14" borderId="30" xfId="0" applyNumberFormat="1" applyFill="1" applyBorder="1">
      <alignment vertical="center"/>
    </xf>
    <xf numFmtId="41" fontId="0" fillId="14" borderId="2" xfId="0" applyNumberFormat="1" applyFill="1" applyBorder="1">
      <alignment vertical="center"/>
    </xf>
    <xf numFmtId="41" fontId="3" fillId="14" borderId="1" xfId="0" applyNumberFormat="1" applyFont="1" applyFill="1" applyBorder="1" applyAlignment="1">
      <alignment horizontal="center" vertical="center"/>
    </xf>
    <xf numFmtId="41" fontId="0" fillId="14" borderId="0" xfId="0" applyNumberFormat="1" applyFill="1" applyAlignment="1">
      <alignment horizontal="center" vertical="center"/>
    </xf>
    <xf numFmtId="41" fontId="3" fillId="14" borderId="0" xfId="0" applyNumberFormat="1" applyFont="1" applyFill="1" applyAlignment="1">
      <alignment horizontal="center" vertical="center"/>
    </xf>
    <xf numFmtId="41" fontId="0" fillId="14" borderId="2" xfId="0" applyNumberForma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3" fillId="0" borderId="0" xfId="0" applyFont="1" applyAlignment="1">
      <alignment horizontal="centerContinuous" vertical="center"/>
    </xf>
    <xf numFmtId="0" fontId="0" fillId="0" borderId="17" xfId="0" applyBorder="1">
      <alignment vertical="center"/>
    </xf>
    <xf numFmtId="176" fontId="11" fillId="0" borderId="0" xfId="0" applyNumberFormat="1" applyFont="1">
      <alignment vertical="center"/>
    </xf>
    <xf numFmtId="41" fontId="3" fillId="2" borderId="33" xfId="0" applyNumberFormat="1" applyFont="1" applyFill="1" applyBorder="1" applyAlignment="1">
      <alignment horizontal="center" vertical="center"/>
    </xf>
    <xf numFmtId="41" fontId="3" fillId="2" borderId="33" xfId="0" applyNumberFormat="1" applyFont="1" applyFill="1" applyBorder="1" applyAlignment="1">
      <alignment horizontal="centerContinuous" vertical="center"/>
    </xf>
    <xf numFmtId="41" fontId="0" fillId="0" borderId="1" xfId="0" applyNumberFormat="1" applyBorder="1">
      <alignment vertical="center"/>
    </xf>
    <xf numFmtId="41" fontId="0" fillId="0" borderId="1" xfId="0" applyNumberFormat="1" applyBorder="1" applyAlignment="1">
      <alignment horizontal="center" vertical="center"/>
    </xf>
    <xf numFmtId="41" fontId="3" fillId="2" borderId="34" xfId="0" applyNumberFormat="1" applyFont="1" applyFill="1" applyBorder="1" applyAlignment="1">
      <alignment horizontal="centerContinuous" vertical="center"/>
    </xf>
    <xf numFmtId="41" fontId="3" fillId="2" borderId="35" xfId="0" applyNumberFormat="1" applyFont="1" applyFill="1" applyBorder="1" applyAlignment="1">
      <alignment horizontal="centerContinuous" vertical="center"/>
    </xf>
    <xf numFmtId="41" fontId="17" fillId="0" borderId="28" xfId="0" applyNumberFormat="1" applyFont="1" applyBorder="1" applyAlignment="1">
      <alignment horizontal="center" vertical="center"/>
    </xf>
    <xf numFmtId="41" fontId="0" fillId="0" borderId="29" xfId="0" applyNumberFormat="1" applyBorder="1">
      <alignment vertical="center"/>
    </xf>
    <xf numFmtId="41" fontId="17" fillId="0" borderId="4" xfId="0" applyNumberFormat="1" applyFont="1" applyBorder="1" applyAlignment="1">
      <alignment horizontal="center" vertical="center"/>
    </xf>
    <xf numFmtId="41" fontId="0" fillId="0" borderId="4" xfId="0" applyNumberFormat="1" applyBorder="1">
      <alignment vertical="center"/>
    </xf>
    <xf numFmtId="41" fontId="3" fillId="2" borderId="36" xfId="0" applyNumberFormat="1" applyFont="1" applyFill="1" applyBorder="1" applyAlignment="1">
      <alignment horizontal="centerContinuous" vertical="center"/>
    </xf>
    <xf numFmtId="41" fontId="0" fillId="0" borderId="3" xfId="0" applyNumberFormat="1" applyBorder="1">
      <alignment vertical="center"/>
    </xf>
    <xf numFmtId="41" fontId="3" fillId="0" borderId="1" xfId="0" applyNumberFormat="1" applyFont="1" applyBorder="1" applyAlignment="1">
      <alignment horizontal="center" vertical="center"/>
    </xf>
    <xf numFmtId="41" fontId="3" fillId="0" borderId="37" xfId="0" applyNumberFormat="1" applyFont="1" applyBorder="1" applyAlignment="1">
      <alignment horizontal="center" vertical="center"/>
    </xf>
    <xf numFmtId="41" fontId="3" fillId="0" borderId="2" xfId="0" applyNumberFormat="1" applyFont="1" applyBorder="1">
      <alignment vertical="center"/>
    </xf>
    <xf numFmtId="41" fontId="0" fillId="0" borderId="38" xfId="0" applyNumberFormat="1" applyBorder="1">
      <alignment vertical="center"/>
    </xf>
    <xf numFmtId="41" fontId="0" fillId="0" borderId="30" xfId="0" applyNumberFormat="1" applyBorder="1">
      <alignment vertical="center"/>
    </xf>
    <xf numFmtId="41" fontId="0" fillId="0" borderId="31" xfId="0" applyNumberFormat="1" applyBorder="1">
      <alignment vertical="center"/>
    </xf>
    <xf numFmtId="41" fontId="15" fillId="16" borderId="37" xfId="0" applyNumberFormat="1" applyFont="1" applyFill="1" applyBorder="1" applyAlignment="1">
      <alignment horizontal="center" vertical="center"/>
    </xf>
    <xf numFmtId="41" fontId="6" fillId="0" borderId="1" xfId="0" applyNumberFormat="1" applyFont="1" applyBorder="1">
      <alignment vertical="center"/>
    </xf>
    <xf numFmtId="41" fontId="11" fillId="0" borderId="1" xfId="0" applyNumberFormat="1" applyFont="1" applyBorder="1">
      <alignment vertical="center"/>
    </xf>
    <xf numFmtId="41" fontId="18" fillId="0" borderId="0" xfId="0" applyNumberFormat="1" applyFont="1">
      <alignment vertical="center"/>
    </xf>
    <xf numFmtId="41" fontId="15" fillId="3" borderId="0" xfId="0" applyNumberFormat="1" applyFont="1" applyFill="1">
      <alignment vertical="center"/>
    </xf>
    <xf numFmtId="41" fontId="5" fillId="13" borderId="0" xfId="0" applyNumberFormat="1" applyFont="1" applyFill="1">
      <alignment vertical="center"/>
    </xf>
    <xf numFmtId="41" fontId="3" fillId="8" borderId="0" xfId="0" applyNumberFormat="1" applyFont="1" applyFill="1" applyAlignment="1">
      <alignment horizontal="center" vertical="center"/>
    </xf>
    <xf numFmtId="41" fontId="3" fillId="8" borderId="5" xfId="0" applyNumberFormat="1" applyFont="1" applyFill="1" applyBorder="1" applyAlignment="1">
      <alignment horizontal="center" vertical="center"/>
    </xf>
    <xf numFmtId="41" fontId="3" fillId="8" borderId="5" xfId="0" applyNumberFormat="1" applyFont="1" applyFill="1" applyBorder="1" applyAlignment="1">
      <alignment horizontal="centerContinuous" vertical="center"/>
    </xf>
    <xf numFmtId="41" fontId="4" fillId="0" borderId="4" xfId="0" applyNumberFormat="1" applyFont="1" applyBorder="1" applyAlignment="1">
      <alignment horizontal="center" vertical="center"/>
    </xf>
    <xf numFmtId="41" fontId="7" fillId="0" borderId="4" xfId="0" applyNumberFormat="1" applyFont="1" applyBorder="1" applyAlignment="1">
      <alignment horizontal="center" vertical="center"/>
    </xf>
    <xf numFmtId="41" fontId="5" fillId="8" borderId="5" xfId="0" applyNumberFormat="1" applyFont="1" applyFill="1" applyBorder="1" applyAlignment="1">
      <alignment horizontal="center" vertical="center"/>
    </xf>
    <xf numFmtId="41" fontId="3" fillId="8" borderId="3" xfId="0" applyNumberFormat="1" applyFont="1" applyFill="1" applyBorder="1" applyAlignment="1">
      <alignment horizontal="centerContinuous" vertical="center"/>
    </xf>
    <xf numFmtId="0" fontId="3" fillId="0" borderId="0" xfId="0" quotePrefix="1" applyFont="1">
      <alignment vertical="center"/>
    </xf>
    <xf numFmtId="0" fontId="0" fillId="8" borderId="0" xfId="0" applyFill="1" applyAlignment="1">
      <alignment horizontal="centerContinuous" vertical="center"/>
    </xf>
    <xf numFmtId="0" fontId="0" fillId="8" borderId="0" xfId="0" applyFill="1" applyAlignment="1">
      <alignment horizontal="center" vertical="center"/>
    </xf>
    <xf numFmtId="41" fontId="3" fillId="2" borderId="0" xfId="0" applyNumberFormat="1" applyFont="1" applyFill="1" applyAlignment="1">
      <alignment horizontal="centerContinuous" vertical="center"/>
    </xf>
    <xf numFmtId="41" fontId="11" fillId="2" borderId="0" xfId="0" applyNumberFormat="1" applyFont="1" applyFill="1" applyAlignment="1">
      <alignment horizontal="centerContinuous" vertical="center"/>
    </xf>
    <xf numFmtId="41" fontId="5" fillId="8" borderId="0" xfId="0" applyNumberFormat="1" applyFont="1" applyFill="1" applyAlignment="1">
      <alignment horizontal="centerContinuous" vertical="center"/>
    </xf>
    <xf numFmtId="0" fontId="0" fillId="17" borderId="0" xfId="0" applyFill="1" applyAlignment="1">
      <alignment horizontal="centerContinuous" vertical="center"/>
    </xf>
    <xf numFmtId="0" fontId="0" fillId="17" borderId="0" xfId="0" applyFill="1" applyAlignment="1">
      <alignment horizontal="center" vertical="center"/>
    </xf>
    <xf numFmtId="41" fontId="3" fillId="17" borderId="0" xfId="0" applyNumberFormat="1" applyFont="1" applyFill="1" applyAlignment="1">
      <alignment horizontal="center" vertical="center"/>
    </xf>
    <xf numFmtId="41" fontId="5" fillId="17" borderId="0" xfId="0" applyNumberFormat="1" applyFont="1" applyFill="1" applyAlignment="1">
      <alignment horizontal="centerContinuous" vertical="center"/>
    </xf>
    <xf numFmtId="41" fontId="3" fillId="17" borderId="0" xfId="0" applyNumberFormat="1" applyFont="1" applyFill="1" applyAlignment="1">
      <alignment horizontal="centerContinuous" vertical="center"/>
    </xf>
    <xf numFmtId="41" fontId="3" fillId="18" borderId="0" xfId="0" applyNumberFormat="1" applyFont="1" applyFill="1" applyAlignment="1">
      <alignment horizontal="center" vertical="center"/>
    </xf>
    <xf numFmtId="41" fontId="3" fillId="18" borderId="0" xfId="0" applyNumberFormat="1" applyFont="1" applyFill="1" applyAlignment="1">
      <alignment horizontal="centerContinuous" vertical="center"/>
    </xf>
    <xf numFmtId="41" fontId="11" fillId="18" borderId="0" xfId="0" applyNumberFormat="1" applyFont="1" applyFill="1" applyAlignment="1">
      <alignment horizontal="centerContinuous" vertical="center"/>
    </xf>
    <xf numFmtId="0" fontId="0" fillId="11" borderId="0" xfId="0" applyFill="1" applyAlignment="1">
      <alignment horizontal="centerContinuous" vertical="center"/>
    </xf>
    <xf numFmtId="0" fontId="0" fillId="11" borderId="0" xfId="0" applyFill="1" applyAlignment="1">
      <alignment horizontal="center" vertical="center"/>
    </xf>
    <xf numFmtId="41" fontId="3" fillId="3" borderId="0" xfId="0" applyNumberFormat="1" applyFont="1" applyFill="1">
      <alignment vertical="center"/>
    </xf>
    <xf numFmtId="0" fontId="16" fillId="3" borderId="0" xfId="0" applyFont="1" applyFill="1">
      <alignment vertical="center"/>
    </xf>
    <xf numFmtId="41" fontId="0" fillId="2" borderId="42" xfId="0" applyNumberFormat="1" applyFill="1" applyBorder="1" applyAlignment="1">
      <alignment horizontal="centerContinuous" vertical="center"/>
    </xf>
    <xf numFmtId="177" fontId="3" fillId="2" borderId="42" xfId="0" applyNumberFormat="1" applyFont="1" applyFill="1" applyBorder="1">
      <alignment vertical="center"/>
    </xf>
    <xf numFmtId="0" fontId="3" fillId="2" borderId="42" xfId="0" applyFont="1" applyFill="1" applyBorder="1" applyAlignment="1">
      <alignment horizontal="centerContinuous" vertical="center"/>
    </xf>
    <xf numFmtId="177" fontId="3" fillId="0" borderId="0" xfId="0" applyNumberFormat="1" applyFont="1">
      <alignment vertical="center"/>
    </xf>
    <xf numFmtId="41" fontId="0" fillId="8" borderId="0" xfId="0" applyNumberFormat="1" applyFill="1">
      <alignment vertical="center"/>
    </xf>
    <xf numFmtId="41" fontId="0" fillId="0" borderId="44" xfId="0" applyNumberFormat="1" applyBorder="1">
      <alignment vertical="center"/>
    </xf>
    <xf numFmtId="177" fontId="0" fillId="0" borderId="45" xfId="0" applyNumberFormat="1" applyBorder="1">
      <alignment vertical="center"/>
    </xf>
    <xf numFmtId="177" fontId="0" fillId="0" borderId="44" xfId="0" applyNumberFormat="1" applyBorder="1">
      <alignment vertical="center"/>
    </xf>
    <xf numFmtId="177" fontId="0" fillId="0" borderId="43" xfId="0" applyNumberFormat="1" applyBorder="1">
      <alignment vertical="center"/>
    </xf>
    <xf numFmtId="177" fontId="3" fillId="12" borderId="47" xfId="0" applyNumberFormat="1" applyFont="1" applyFill="1" applyBorder="1">
      <alignment vertical="center"/>
    </xf>
    <xf numFmtId="177" fontId="3" fillId="2" borderId="48" xfId="0" applyNumberFormat="1" applyFont="1" applyFill="1" applyBorder="1">
      <alignment vertical="center"/>
    </xf>
    <xf numFmtId="176" fontId="11" fillId="0" borderId="44" xfId="0" applyNumberFormat="1" applyFont="1" applyBorder="1">
      <alignment vertical="center"/>
    </xf>
    <xf numFmtId="41" fontId="0" fillId="0" borderId="49" xfId="0" applyNumberFormat="1" applyBorder="1">
      <alignment vertical="center"/>
    </xf>
    <xf numFmtId="176" fontId="11" fillId="0" borderId="49" xfId="0" applyNumberFormat="1" applyFont="1" applyBorder="1">
      <alignment vertical="center"/>
    </xf>
    <xf numFmtId="177" fontId="0" fillId="0" borderId="51" xfId="0" applyNumberFormat="1" applyBorder="1">
      <alignment vertical="center"/>
    </xf>
    <xf numFmtId="177" fontId="0" fillId="0" borderId="49" xfId="0" applyNumberFormat="1" applyBorder="1">
      <alignment vertical="center"/>
    </xf>
    <xf numFmtId="177" fontId="0" fillId="0" borderId="53" xfId="0" applyNumberFormat="1" applyBorder="1">
      <alignment vertical="center"/>
    </xf>
    <xf numFmtId="177" fontId="3" fillId="12" borderId="55" xfId="0" applyNumberFormat="1" applyFont="1" applyFill="1" applyBorder="1">
      <alignment vertical="center"/>
    </xf>
    <xf numFmtId="177" fontId="3" fillId="2" borderId="56" xfId="0" applyNumberFormat="1" applyFont="1" applyFill="1" applyBorder="1">
      <alignment vertical="center"/>
    </xf>
    <xf numFmtId="0" fontId="10" fillId="15" borderId="12" xfId="0" applyFont="1" applyFill="1" applyBorder="1">
      <alignment vertical="center"/>
    </xf>
    <xf numFmtId="0" fontId="10" fillId="15" borderId="12" xfId="0" applyFont="1" applyFill="1" applyBorder="1" applyAlignment="1">
      <alignment horizontal="center" vertical="center"/>
    </xf>
    <xf numFmtId="41" fontId="15" fillId="15" borderId="12" xfId="0" applyNumberFormat="1" applyFont="1" applyFill="1" applyBorder="1" applyAlignment="1">
      <alignment horizontal="centerContinuous" vertical="center"/>
    </xf>
    <xf numFmtId="0" fontId="10" fillId="15" borderId="0" xfId="0" applyFont="1" applyFill="1" applyAlignment="1">
      <alignment horizontal="centerContinuous" vertical="center"/>
    </xf>
    <xf numFmtId="0" fontId="16" fillId="15" borderId="0" xfId="0" applyFont="1" applyFill="1" applyAlignment="1">
      <alignment horizontal="centerContinuous" vertical="center"/>
    </xf>
    <xf numFmtId="0" fontId="16" fillId="15" borderId="17" xfId="0" applyFont="1" applyFill="1" applyBorder="1" applyAlignment="1">
      <alignment horizontal="center" vertical="center"/>
    </xf>
    <xf numFmtId="41" fontId="0" fillId="0" borderId="60" xfId="0" applyNumberFormat="1" applyBorder="1">
      <alignment vertical="center"/>
    </xf>
    <xf numFmtId="177" fontId="3" fillId="12" borderId="62" xfId="0" applyNumberFormat="1" applyFont="1" applyFill="1" applyBorder="1">
      <alignment vertical="center"/>
    </xf>
    <xf numFmtId="177" fontId="3" fillId="2" borderId="63" xfId="0" applyNumberFormat="1" applyFont="1" applyFill="1" applyBorder="1">
      <alignment vertical="center"/>
    </xf>
    <xf numFmtId="0" fontId="16" fillId="15" borderId="0" xfId="0" applyFont="1" applyFill="1" applyAlignment="1">
      <alignment horizontal="center" vertical="center"/>
    </xf>
    <xf numFmtId="41" fontId="0" fillId="8" borderId="60" xfId="0" applyNumberFormat="1" applyFill="1" applyBorder="1">
      <alignment vertical="center"/>
    </xf>
    <xf numFmtId="41" fontId="0" fillId="8" borderId="44" xfId="0" applyNumberFormat="1" applyFill="1" applyBorder="1">
      <alignment vertical="center"/>
    </xf>
    <xf numFmtId="0" fontId="3" fillId="10" borderId="39" xfId="0" applyFont="1" applyFill="1" applyBorder="1" applyAlignment="1">
      <alignment horizontal="centerContinuous" vertical="center"/>
    </xf>
    <xf numFmtId="0" fontId="3" fillId="10" borderId="32" xfId="0" applyFont="1" applyFill="1" applyBorder="1" applyAlignment="1">
      <alignment horizontal="centerContinuous" vertical="center"/>
    </xf>
    <xf numFmtId="0" fontId="3" fillId="10" borderId="51" xfId="0" applyFont="1" applyFill="1" applyBorder="1" applyAlignment="1">
      <alignment horizontal="centerContinuous" vertical="center"/>
    </xf>
    <xf numFmtId="177" fontId="0" fillId="18" borderId="46" xfId="0" applyNumberFormat="1" applyFill="1" applyBorder="1">
      <alignment vertical="center"/>
    </xf>
    <xf numFmtId="177" fontId="0" fillId="18" borderId="54" xfId="0" applyNumberFormat="1" applyFill="1" applyBorder="1">
      <alignment vertical="center"/>
    </xf>
    <xf numFmtId="177" fontId="0" fillId="18" borderId="44" xfId="0" applyNumberFormat="1" applyFill="1" applyBorder="1">
      <alignment vertical="center"/>
    </xf>
    <xf numFmtId="177" fontId="0" fillId="18" borderId="49" xfId="0" applyNumberFormat="1" applyFill="1" applyBorder="1">
      <alignment vertical="center"/>
    </xf>
    <xf numFmtId="41" fontId="15" fillId="15" borderId="13" xfId="0" applyNumberFormat="1" applyFont="1" applyFill="1" applyBorder="1" applyAlignment="1">
      <alignment horizontal="centerContinuous" vertical="center"/>
    </xf>
    <xf numFmtId="0" fontId="3" fillId="10" borderId="40" xfId="0" applyFont="1" applyFill="1" applyBorder="1" applyAlignment="1">
      <alignment horizontal="centerContinuous" vertical="center"/>
    </xf>
    <xf numFmtId="177" fontId="19" fillId="2" borderId="48" xfId="0" applyNumberFormat="1" applyFont="1" applyFill="1" applyBorder="1">
      <alignment vertical="center"/>
    </xf>
    <xf numFmtId="0" fontId="0" fillId="0" borderId="24" xfId="0" applyBorder="1" applyAlignment="1">
      <alignment horizontal="centerContinuous" vertical="center"/>
    </xf>
    <xf numFmtId="0" fontId="0" fillId="0" borderId="68" xfId="0" applyBorder="1" applyAlignment="1">
      <alignment horizontal="centerContinuous" vertical="center"/>
    </xf>
    <xf numFmtId="0" fontId="3" fillId="0" borderId="24" xfId="0" applyFont="1" applyBorder="1" applyAlignment="1">
      <alignment horizontal="centerContinuous" vertical="center"/>
    </xf>
    <xf numFmtId="0" fontId="3" fillId="0" borderId="69" xfId="0" applyFont="1" applyBorder="1" applyAlignment="1">
      <alignment horizontal="centerContinuous" vertical="center"/>
    </xf>
    <xf numFmtId="41" fontId="15" fillId="15" borderId="11" xfId="0" applyNumberFormat="1" applyFont="1" applyFill="1" applyBorder="1" applyAlignment="1">
      <alignment horizontal="centerContinuous" vertical="center"/>
    </xf>
    <xf numFmtId="177" fontId="3" fillId="2" borderId="71" xfId="0" applyNumberFormat="1" applyFont="1" applyFill="1" applyBorder="1">
      <alignment vertical="center"/>
    </xf>
    <xf numFmtId="41" fontId="0" fillId="8" borderId="50" xfId="0" applyNumberFormat="1" applyFill="1" applyBorder="1">
      <alignment vertical="center"/>
    </xf>
    <xf numFmtId="177" fontId="3" fillId="2" borderId="57" xfId="0" applyNumberFormat="1" applyFont="1" applyFill="1" applyBorder="1">
      <alignment vertical="center"/>
    </xf>
    <xf numFmtId="0" fontId="3" fillId="10" borderId="47" xfId="0" applyFont="1" applyFill="1" applyBorder="1" applyAlignment="1">
      <alignment horizontal="center" vertical="center"/>
    </xf>
    <xf numFmtId="0" fontId="3" fillId="10" borderId="52" xfId="0" applyFont="1" applyFill="1" applyBorder="1" applyAlignment="1">
      <alignment horizontal="centerContinuous" vertical="center"/>
    </xf>
    <xf numFmtId="0" fontId="3" fillId="10" borderId="62" xfId="0" applyFont="1" applyFill="1" applyBorder="1" applyAlignment="1">
      <alignment horizontal="center" vertical="center"/>
    </xf>
    <xf numFmtId="0" fontId="3" fillId="10" borderId="55" xfId="0" applyFont="1" applyFill="1" applyBorder="1" applyAlignment="1">
      <alignment horizontal="center" vertical="center"/>
    </xf>
    <xf numFmtId="0" fontId="3" fillId="10" borderId="47" xfId="0" applyFont="1" applyFill="1" applyBorder="1" applyAlignment="1">
      <alignment horizontal="centerContinuous" vertical="center"/>
    </xf>
    <xf numFmtId="41" fontId="0" fillId="8" borderId="67" xfId="0" applyNumberFormat="1" applyFill="1" applyBorder="1">
      <alignment vertical="center"/>
    </xf>
    <xf numFmtId="176" fontId="11" fillId="8" borderId="67" xfId="0" applyNumberFormat="1" applyFont="1" applyFill="1" applyBorder="1">
      <alignment vertical="center"/>
    </xf>
    <xf numFmtId="177" fontId="0" fillId="8" borderId="67" xfId="0" applyNumberFormat="1" applyFill="1" applyBorder="1">
      <alignment vertical="center"/>
    </xf>
    <xf numFmtId="0" fontId="3" fillId="4" borderId="47" xfId="0" applyFont="1" applyFill="1" applyBorder="1" applyAlignment="1">
      <alignment horizontal="centerContinuous" vertical="center"/>
    </xf>
    <xf numFmtId="0" fontId="3" fillId="4" borderId="70" xfId="0" applyFont="1" applyFill="1" applyBorder="1" applyAlignment="1">
      <alignment horizontal="centerContinuous" vertical="center"/>
    </xf>
    <xf numFmtId="41" fontId="0" fillId="2" borderId="44" xfId="0" applyNumberFormat="1" applyFill="1" applyBorder="1">
      <alignment vertical="center"/>
    </xf>
    <xf numFmtId="176" fontId="11" fillId="2" borderId="44" xfId="0" applyNumberFormat="1" applyFont="1" applyFill="1" applyBorder="1">
      <alignment vertical="center"/>
    </xf>
    <xf numFmtId="177" fontId="0" fillId="2" borderId="45" xfId="0" applyNumberFormat="1" applyFill="1" applyBorder="1">
      <alignment vertical="center"/>
    </xf>
    <xf numFmtId="177" fontId="0" fillId="2" borderId="44" xfId="0" applyNumberFormat="1" applyFill="1" applyBorder="1">
      <alignment vertical="center"/>
    </xf>
    <xf numFmtId="177" fontId="0" fillId="2" borderId="43" xfId="0" applyNumberFormat="1" applyFill="1" applyBorder="1">
      <alignment vertical="center"/>
    </xf>
    <xf numFmtId="177" fontId="0" fillId="2" borderId="46" xfId="0" applyNumberFormat="1" applyFill="1" applyBorder="1">
      <alignment vertical="center"/>
    </xf>
    <xf numFmtId="9" fontId="0" fillId="2" borderId="60" xfId="0" applyNumberFormat="1" applyFill="1" applyBorder="1">
      <alignment vertical="center"/>
    </xf>
    <xf numFmtId="177" fontId="0" fillId="2" borderId="58" xfId="0" applyNumberFormat="1" applyFill="1" applyBorder="1">
      <alignment vertical="center"/>
    </xf>
    <xf numFmtId="177" fontId="0" fillId="2" borderId="60" xfId="0" applyNumberFormat="1" applyFill="1" applyBorder="1">
      <alignment vertical="center"/>
    </xf>
    <xf numFmtId="177" fontId="0" fillId="2" borderId="59" xfId="0" applyNumberFormat="1" applyFill="1" applyBorder="1">
      <alignment vertical="center"/>
    </xf>
    <xf numFmtId="177" fontId="0" fillId="2" borderId="61" xfId="0" applyNumberFormat="1" applyFill="1" applyBorder="1">
      <alignment vertical="center"/>
    </xf>
    <xf numFmtId="177" fontId="3" fillId="2" borderId="62" xfId="0" applyNumberFormat="1" applyFont="1" applyFill="1" applyBorder="1">
      <alignment vertical="center"/>
    </xf>
    <xf numFmtId="177" fontId="9" fillId="2" borderId="48" xfId="0" applyNumberFormat="1" applyFont="1" applyFill="1" applyBorder="1">
      <alignment vertical="center"/>
    </xf>
    <xf numFmtId="177" fontId="9" fillId="2" borderId="56" xfId="0" applyNumberFormat="1" applyFont="1" applyFill="1" applyBorder="1">
      <alignment vertical="center"/>
    </xf>
    <xf numFmtId="177" fontId="11" fillId="2" borderId="63" xfId="0" applyNumberFormat="1" applyFont="1" applyFill="1" applyBorder="1">
      <alignment vertical="center"/>
    </xf>
    <xf numFmtId="176" fontId="0" fillId="0" borderId="0" xfId="0" applyNumberFormat="1">
      <alignment vertical="center"/>
    </xf>
    <xf numFmtId="41" fontId="0" fillId="2" borderId="49" xfId="0" applyNumberFormat="1" applyFill="1" applyBorder="1">
      <alignment vertical="center"/>
    </xf>
    <xf numFmtId="176" fontId="11" fillId="2" borderId="49" xfId="0" applyNumberFormat="1" applyFont="1" applyFill="1" applyBorder="1">
      <alignment vertical="center"/>
    </xf>
    <xf numFmtId="177" fontId="0" fillId="2" borderId="51" xfId="0" applyNumberFormat="1" applyFill="1" applyBorder="1">
      <alignment vertical="center"/>
    </xf>
    <xf numFmtId="177" fontId="0" fillId="2" borderId="49" xfId="0" applyNumberFormat="1" applyFill="1" applyBorder="1">
      <alignment vertical="center"/>
    </xf>
    <xf numFmtId="177" fontId="0" fillId="2" borderId="53" xfId="0" applyNumberFormat="1" applyFill="1" applyBorder="1">
      <alignment vertical="center"/>
    </xf>
    <xf numFmtId="177" fontId="0" fillId="2" borderId="54" xfId="0" applyNumberFormat="1" applyFill="1" applyBorder="1">
      <alignment vertical="center"/>
    </xf>
    <xf numFmtId="177" fontId="1" fillId="0" borderId="49" xfId="0" applyNumberFormat="1" applyFont="1" applyBorder="1">
      <alignment vertical="center"/>
    </xf>
    <xf numFmtId="177" fontId="19" fillId="2" borderId="56" xfId="0" applyNumberFormat="1" applyFont="1" applyFill="1" applyBorder="1">
      <alignment vertical="center"/>
    </xf>
    <xf numFmtId="41" fontId="0" fillId="2" borderId="67" xfId="0" applyNumberFormat="1" applyFill="1" applyBorder="1">
      <alignment vertical="center"/>
    </xf>
    <xf numFmtId="176" fontId="11" fillId="2" borderId="67" xfId="0" applyNumberFormat="1" applyFont="1" applyFill="1" applyBorder="1">
      <alignment vertical="center"/>
    </xf>
    <xf numFmtId="177" fontId="0" fillId="2" borderId="65" xfId="0" applyNumberFormat="1" applyFill="1" applyBorder="1">
      <alignment vertical="center"/>
    </xf>
    <xf numFmtId="177" fontId="0" fillId="2" borderId="67" xfId="0" applyNumberFormat="1" applyFill="1" applyBorder="1">
      <alignment vertical="center"/>
    </xf>
    <xf numFmtId="177" fontId="0" fillId="2" borderId="66" xfId="0" applyNumberFormat="1" applyFill="1" applyBorder="1">
      <alignment vertical="center"/>
    </xf>
    <xf numFmtId="177" fontId="0" fillId="2" borderId="72" xfId="0" applyNumberFormat="1" applyFill="1" applyBorder="1">
      <alignment vertical="center"/>
    </xf>
    <xf numFmtId="177" fontId="3" fillId="12" borderId="70" xfId="0" applyNumberFormat="1" applyFont="1" applyFill="1" applyBorder="1">
      <alignment vertical="center"/>
    </xf>
    <xf numFmtId="177" fontId="19" fillId="2" borderId="64" xfId="0" applyNumberFormat="1" applyFont="1" applyFill="1" applyBorder="1">
      <alignment vertical="center"/>
    </xf>
    <xf numFmtId="0" fontId="3" fillId="0" borderId="74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177" fontId="0" fillId="0" borderId="54" xfId="0" applyNumberFormat="1" applyBorder="1">
      <alignment vertical="center"/>
    </xf>
    <xf numFmtId="41" fontId="5" fillId="2" borderId="0" xfId="0" applyNumberFormat="1" applyFont="1" applyFill="1" applyAlignment="1">
      <alignment horizontal="center" vertical="center"/>
    </xf>
    <xf numFmtId="178" fontId="0" fillId="9" borderId="0" xfId="0" applyNumberFormat="1" applyFill="1">
      <alignment vertical="center"/>
    </xf>
    <xf numFmtId="178" fontId="0" fillId="10" borderId="0" xfId="0" applyNumberFormat="1" applyFill="1">
      <alignment vertical="center"/>
    </xf>
    <xf numFmtId="178" fontId="0" fillId="0" borderId="0" xfId="0" applyNumberFormat="1">
      <alignment vertical="center"/>
    </xf>
    <xf numFmtId="41" fontId="1" fillId="0" borderId="0" xfId="0" applyNumberFormat="1" applyFont="1">
      <alignment vertical="center"/>
    </xf>
    <xf numFmtId="178" fontId="0" fillId="17" borderId="0" xfId="0" applyNumberFormat="1" applyFill="1">
      <alignment vertical="center"/>
    </xf>
    <xf numFmtId="41" fontId="0" fillId="5" borderId="0" xfId="0" applyNumberFormat="1" applyFill="1">
      <alignment vertical="center"/>
    </xf>
    <xf numFmtId="41" fontId="20" fillId="0" borderId="0" xfId="0" applyNumberFormat="1" applyFont="1">
      <alignment vertical="center"/>
    </xf>
    <xf numFmtId="41" fontId="21" fillId="0" borderId="0" xfId="0" applyNumberFormat="1" applyFont="1">
      <alignment vertical="center"/>
    </xf>
    <xf numFmtId="41" fontId="3" fillId="3" borderId="1" xfId="0" applyNumberFormat="1" applyFont="1" applyFill="1" applyBorder="1">
      <alignment vertical="center"/>
    </xf>
    <xf numFmtId="41" fontId="3" fillId="3" borderId="2" xfId="0" applyNumberFormat="1" applyFont="1" applyFill="1" applyBorder="1">
      <alignment vertical="center"/>
    </xf>
    <xf numFmtId="41" fontId="11" fillId="3" borderId="0" xfId="0" applyNumberFormat="1" applyFont="1" applyFill="1">
      <alignment vertical="center"/>
    </xf>
    <xf numFmtId="41" fontId="11" fillId="3" borderId="2" xfId="0" applyNumberFormat="1" applyFont="1" applyFill="1" applyBorder="1">
      <alignment vertical="center"/>
    </xf>
    <xf numFmtId="41" fontId="15" fillId="3" borderId="37" xfId="0" applyNumberFormat="1" applyFont="1" applyFill="1" applyBorder="1" applyAlignment="1">
      <alignment horizontal="center" vertical="center"/>
    </xf>
    <xf numFmtId="41" fontId="9" fillId="0" borderId="1" xfId="0" applyNumberFormat="1" applyFont="1" applyBorder="1">
      <alignment vertical="center"/>
    </xf>
    <xf numFmtId="41" fontId="15" fillId="0" borderId="37" xfId="0" applyNumberFormat="1" applyFont="1" applyBorder="1" applyAlignment="1">
      <alignment horizontal="center" vertical="center"/>
    </xf>
    <xf numFmtId="0" fontId="22" fillId="20" borderId="75" xfId="0" applyFont="1" applyFill="1" applyBorder="1">
      <alignment vertical="center"/>
    </xf>
    <xf numFmtId="0" fontId="22" fillId="20" borderId="76" xfId="0" applyFont="1" applyFill="1" applyBorder="1">
      <alignment vertical="center"/>
    </xf>
    <xf numFmtId="0" fontId="22" fillId="0" borderId="76" xfId="0" applyFont="1" applyBorder="1" applyAlignment="1">
      <alignment horizontal="right" vertical="center"/>
    </xf>
    <xf numFmtId="0" fontId="23" fillId="20" borderId="77" xfId="0" applyFont="1" applyFill="1" applyBorder="1" applyAlignment="1">
      <alignment horizontal="centerContinuous"/>
    </xf>
    <xf numFmtId="0" fontId="23" fillId="20" borderId="0" xfId="0" applyFont="1" applyFill="1" applyAlignment="1">
      <alignment horizontal="centerContinuous"/>
    </xf>
    <xf numFmtId="0" fontId="22" fillId="0" borderId="0" xfId="0" applyFont="1" applyAlignment="1">
      <alignment horizontal="right" vertical="center"/>
    </xf>
    <xf numFmtId="0" fontId="23" fillId="20" borderId="77" xfId="0" applyFont="1" applyFill="1" applyBorder="1" applyAlignment="1">
      <alignment horizontal="centerContinuous" vertical="center"/>
    </xf>
    <xf numFmtId="0" fontId="23" fillId="20" borderId="0" xfId="0" applyFont="1" applyFill="1" applyAlignment="1">
      <alignment horizontal="centerContinuous" vertical="center"/>
    </xf>
    <xf numFmtId="179" fontId="24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26" fillId="0" borderId="0" xfId="0" quotePrefix="1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179" fontId="28" fillId="0" borderId="0" xfId="0" quotePrefix="1" applyNumberFormat="1" applyFont="1" applyAlignment="1">
      <alignment horizontal="right" vertical="center"/>
    </xf>
    <xf numFmtId="179" fontId="22" fillId="0" borderId="0" xfId="0" quotePrefix="1" applyNumberFormat="1" applyFont="1" applyAlignment="1">
      <alignment horizontal="right" vertical="center"/>
    </xf>
    <xf numFmtId="0" fontId="30" fillId="0" borderId="0" xfId="0" applyFont="1">
      <alignment vertical="center"/>
    </xf>
    <xf numFmtId="41" fontId="9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0" fillId="0" borderId="0" xfId="0" applyNumberFormat="1" applyAlignment="1">
      <alignment horizontal="left" vertical="center"/>
    </xf>
    <xf numFmtId="41" fontId="6" fillId="0" borderId="0" xfId="0" applyNumberFormat="1" applyFont="1" applyAlignment="1">
      <alignment horizontal="left" vertical="center"/>
    </xf>
    <xf numFmtId="41" fontId="4" fillId="0" borderId="0" xfId="0" applyNumberFormat="1" applyFont="1" applyAlignment="1">
      <alignment horizontal="left" vertical="center"/>
    </xf>
    <xf numFmtId="41" fontId="7" fillId="0" borderId="0" xfId="0" applyNumberFormat="1" applyFont="1" applyAlignment="1">
      <alignment horizontal="left" vertical="center"/>
    </xf>
    <xf numFmtId="0" fontId="5" fillId="0" borderId="24" xfId="0" applyFont="1" applyBorder="1" applyAlignment="1">
      <alignment horizontal="centerContinuous" vertical="center"/>
    </xf>
    <xf numFmtId="41" fontId="3" fillId="6" borderId="0" xfId="0" applyNumberFormat="1" applyFont="1" applyFill="1" applyAlignment="1">
      <alignment horizontal="centerContinuous" vertical="center"/>
    </xf>
    <xf numFmtId="0" fontId="0" fillId="6" borderId="0" xfId="0" applyFill="1" applyAlignment="1">
      <alignment horizontal="center" vertical="center"/>
    </xf>
    <xf numFmtId="0" fontId="0" fillId="6" borderId="0" xfId="0" applyFill="1">
      <alignment vertical="center"/>
    </xf>
    <xf numFmtId="41" fontId="3" fillId="6" borderId="0" xfId="0" applyNumberFormat="1" applyFont="1" applyFill="1" applyAlignment="1">
      <alignment horizontal="center" vertical="center"/>
    </xf>
    <xf numFmtId="41" fontId="3" fillId="6" borderId="0" xfId="0" applyNumberFormat="1" applyFont="1" applyFill="1">
      <alignment vertical="center"/>
    </xf>
    <xf numFmtId="41" fontId="3" fillId="0" borderId="78" xfId="0" applyNumberFormat="1" applyFont="1" applyBorder="1" applyAlignment="1">
      <alignment horizontal="center" vertical="center"/>
    </xf>
    <xf numFmtId="41" fontId="3" fillId="0" borderId="78" xfId="0" applyNumberFormat="1" applyFont="1" applyBorder="1">
      <alignment vertical="center"/>
    </xf>
    <xf numFmtId="41" fontId="0" fillId="0" borderId="78" xfId="0" applyNumberFormat="1" applyBorder="1">
      <alignment vertical="center"/>
    </xf>
    <xf numFmtId="41" fontId="0" fillId="0" borderId="78" xfId="0" applyNumberFormat="1" applyBorder="1" applyAlignment="1">
      <alignment horizontal="left" vertical="center"/>
    </xf>
    <xf numFmtId="0" fontId="0" fillId="0" borderId="81" xfId="0" applyBorder="1">
      <alignment vertical="center"/>
    </xf>
    <xf numFmtId="41" fontId="3" fillId="0" borderId="81" xfId="0" applyNumberFormat="1" applyFont="1" applyBorder="1" applyAlignment="1">
      <alignment horizontal="left" vertical="center"/>
    </xf>
    <xf numFmtId="41" fontId="3" fillId="0" borderId="81" xfId="0" applyNumberFormat="1" applyFont="1" applyBorder="1">
      <alignment vertical="center"/>
    </xf>
    <xf numFmtId="41" fontId="3" fillId="0" borderId="82" xfId="0" applyNumberFormat="1" applyFont="1" applyBorder="1">
      <alignment vertical="center"/>
    </xf>
    <xf numFmtId="41" fontId="9" fillId="0" borderId="83" xfId="0" applyNumberFormat="1" applyFont="1" applyBorder="1">
      <alignment vertical="center"/>
    </xf>
    <xf numFmtId="0" fontId="15" fillId="15" borderId="79" xfId="0" applyFont="1" applyFill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15" borderId="80" xfId="0" applyFont="1" applyFill="1" applyBorder="1" applyAlignment="1">
      <alignment horizontal="center" vertical="center"/>
    </xf>
    <xf numFmtId="41" fontId="3" fillId="10" borderId="0" xfId="0" applyNumberFormat="1" applyFont="1" applyFill="1" applyAlignment="1">
      <alignment horizontal="center" vertical="center"/>
    </xf>
    <xf numFmtId="41" fontId="3" fillId="21" borderId="0" xfId="0" applyNumberFormat="1" applyFont="1" applyFill="1" applyAlignment="1">
      <alignment horizontal="center"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41" fontId="3" fillId="3" borderId="0" xfId="0" applyNumberFormat="1" applyFont="1" applyFill="1" applyAlignment="1">
      <alignment horizontal="center" vertical="center"/>
    </xf>
    <xf numFmtId="0" fontId="6" fillId="0" borderId="0" xfId="0" applyFont="1">
      <alignment vertical="center"/>
    </xf>
    <xf numFmtId="0" fontId="34" fillId="3" borderId="0" xfId="0" applyFont="1" applyFill="1">
      <alignment vertical="center"/>
    </xf>
    <xf numFmtId="0" fontId="0" fillId="3" borderId="0" xfId="0" applyFill="1">
      <alignment vertical="center"/>
    </xf>
    <xf numFmtId="0" fontId="11" fillId="3" borderId="0" xfId="0" applyFont="1" applyFill="1">
      <alignment vertical="center"/>
    </xf>
    <xf numFmtId="0" fontId="4" fillId="0" borderId="0" xfId="0" applyFont="1">
      <alignment vertical="center"/>
    </xf>
    <xf numFmtId="41" fontId="14" fillId="8" borderId="0" xfId="0" applyNumberFormat="1" applyFont="1" applyFill="1" applyAlignment="1">
      <alignment horizontal="centerContinuous" vertical="center"/>
    </xf>
    <xf numFmtId="0" fontId="3" fillId="21" borderId="0" xfId="0" applyFont="1" applyFill="1">
      <alignment vertical="center"/>
    </xf>
    <xf numFmtId="41" fontId="0" fillId="21" borderId="0" xfId="0" applyNumberFormat="1" applyFill="1">
      <alignment vertical="center"/>
    </xf>
    <xf numFmtId="41" fontId="3" fillId="8" borderId="0" xfId="0" applyNumberFormat="1" applyFont="1" applyFill="1">
      <alignment vertical="center"/>
    </xf>
    <xf numFmtId="41" fontId="5" fillId="14" borderId="0" xfId="0" applyNumberFormat="1" applyFont="1" applyFill="1" applyAlignment="1">
      <alignment horizontal="center" vertical="center"/>
    </xf>
    <xf numFmtId="41" fontId="14" fillId="4" borderId="0" xfId="0" applyNumberFormat="1" applyFont="1" applyFill="1" applyAlignment="1">
      <alignment horizontal="centerContinuous" vertical="center"/>
    </xf>
    <xf numFmtId="41" fontId="0" fillId="4" borderId="0" xfId="0" applyNumberFormat="1" applyFill="1" applyAlignment="1">
      <alignment horizontal="centerContinuous" vertical="center"/>
    </xf>
    <xf numFmtId="0" fontId="0" fillId="22" borderId="84" xfId="0" applyFill="1" applyBorder="1">
      <alignment vertical="center"/>
    </xf>
    <xf numFmtId="0" fontId="0" fillId="22" borderId="85" xfId="0" applyFill="1" applyBorder="1">
      <alignment vertical="center"/>
    </xf>
    <xf numFmtId="0" fontId="0" fillId="22" borderId="86" xfId="0" applyFill="1" applyBorder="1">
      <alignment vertical="center"/>
    </xf>
    <xf numFmtId="0" fontId="0" fillId="22" borderId="87" xfId="0" applyFill="1" applyBorder="1">
      <alignment vertical="center"/>
    </xf>
    <xf numFmtId="0" fontId="11" fillId="22" borderId="0" xfId="0" applyFont="1" applyFill="1">
      <alignment vertical="center"/>
    </xf>
    <xf numFmtId="0" fontId="0" fillId="22" borderId="0" xfId="0" applyFill="1">
      <alignment vertical="center"/>
    </xf>
    <xf numFmtId="0" fontId="0" fillId="22" borderId="88" xfId="0" applyFill="1" applyBorder="1">
      <alignment vertical="center"/>
    </xf>
    <xf numFmtId="0" fontId="4" fillId="22" borderId="0" xfId="0" applyFont="1" applyFill="1">
      <alignment vertical="center"/>
    </xf>
    <xf numFmtId="0" fontId="0" fillId="22" borderId="89" xfId="0" applyFill="1" applyBorder="1">
      <alignment vertical="center"/>
    </xf>
    <xf numFmtId="0" fontId="0" fillId="22" borderId="90" xfId="0" applyFill="1" applyBorder="1">
      <alignment vertical="center"/>
    </xf>
    <xf numFmtId="0" fontId="0" fillId="22" borderId="91" xfId="0" applyFill="1" applyBorder="1">
      <alignment vertical="center"/>
    </xf>
    <xf numFmtId="41" fontId="4" fillId="18" borderId="0" xfId="0" applyNumberFormat="1" applyFont="1" applyFill="1" applyAlignment="1">
      <alignment horizontal="center" vertical="center"/>
    </xf>
    <xf numFmtId="41" fontId="7" fillId="18" borderId="0" xfId="0" applyNumberFormat="1" applyFont="1" applyFill="1" applyAlignment="1">
      <alignment horizontal="center" vertical="center"/>
    </xf>
    <xf numFmtId="41" fontId="5" fillId="3" borderId="0" xfId="0" applyNumberFormat="1" applyFont="1" applyFill="1" applyAlignment="1">
      <alignment horizontal="center" vertical="center"/>
    </xf>
    <xf numFmtId="0" fontId="3" fillId="23" borderId="11" xfId="0" applyFont="1" applyFill="1" applyBorder="1" applyAlignment="1">
      <alignment horizontal="centerContinuous" vertical="center"/>
    </xf>
    <xf numFmtId="0" fontId="3" fillId="23" borderId="12" xfId="0" applyFont="1" applyFill="1" applyBorder="1" applyAlignment="1">
      <alignment horizontal="centerContinuous" vertical="center"/>
    </xf>
    <xf numFmtId="0" fontId="3" fillId="4" borderId="12" xfId="0" applyFont="1" applyFill="1" applyBorder="1" applyAlignment="1">
      <alignment horizontal="centerContinuous" vertical="center"/>
    </xf>
    <xf numFmtId="0" fontId="3" fillId="4" borderId="13" xfId="0" applyFont="1" applyFill="1" applyBorder="1" applyAlignment="1">
      <alignment horizontal="centerContinuous" vertical="center"/>
    </xf>
    <xf numFmtId="0" fontId="3" fillId="8" borderId="79" xfId="0" applyFont="1" applyFill="1" applyBorder="1" applyAlignment="1">
      <alignment horizontal="centerContinuous" vertical="center"/>
    </xf>
    <xf numFmtId="0" fontId="3" fillId="24" borderId="79" xfId="0" applyFont="1" applyFill="1" applyBorder="1" applyAlignment="1">
      <alignment horizontal="centerContinuous" vertical="center"/>
    </xf>
    <xf numFmtId="0" fontId="3" fillId="21" borderId="79" xfId="0" applyFont="1" applyFill="1" applyBorder="1" applyAlignment="1">
      <alignment horizontal="centerContinuous" vertical="center"/>
    </xf>
    <xf numFmtId="0" fontId="3" fillId="25" borderId="79" xfId="0" applyFont="1" applyFill="1" applyBorder="1" applyAlignment="1">
      <alignment horizontal="centerContinuous" vertical="center"/>
    </xf>
    <xf numFmtId="0" fontId="3" fillId="12" borderId="79" xfId="0" applyFont="1" applyFill="1" applyBorder="1" applyAlignment="1">
      <alignment horizontal="centerContinuous" vertical="center"/>
    </xf>
    <xf numFmtId="0" fontId="3" fillId="26" borderId="79" xfId="0" applyFont="1" applyFill="1" applyBorder="1" applyAlignment="1">
      <alignment horizontal="centerContinuous" vertical="center"/>
    </xf>
    <xf numFmtId="0" fontId="3" fillId="27" borderId="79" xfId="0" applyFont="1" applyFill="1" applyBorder="1" applyAlignment="1">
      <alignment horizontal="centerContinuous" vertical="center"/>
    </xf>
    <xf numFmtId="0" fontId="0" fillId="0" borderId="9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37" fillId="0" borderId="0" xfId="0" applyNumberFormat="1" applyFont="1">
      <alignment vertical="center"/>
    </xf>
    <xf numFmtId="0" fontId="0" fillId="0" borderId="93" xfId="0" applyBorder="1" applyAlignment="1">
      <alignment horizontal="centerContinuous" vertical="center"/>
    </xf>
    <xf numFmtId="0" fontId="3" fillId="23" borderId="13" xfId="0" applyFont="1" applyFill="1" applyBorder="1" applyAlignment="1">
      <alignment horizontal="centerContinuous" vertical="center"/>
    </xf>
    <xf numFmtId="0" fontId="0" fillId="0" borderId="64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0" fillId="0" borderId="13" xfId="0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0" fontId="0" fillId="0" borderId="15" xfId="0" applyBorder="1" applyAlignment="1">
      <alignment horizontal="centerContinuous" vertical="center"/>
    </xf>
    <xf numFmtId="0" fontId="0" fillId="0" borderId="16" xfId="0" applyBorder="1" applyAlignment="1">
      <alignment horizontal="centerContinuous" vertical="center"/>
    </xf>
    <xf numFmtId="0" fontId="0" fillId="0" borderId="18" xfId="0" applyBorder="1" applyAlignment="1">
      <alignment horizontal="centerContinuous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3" fillId="8" borderId="11" xfId="0" applyFont="1" applyFill="1" applyBorder="1" applyAlignment="1">
      <alignment horizontal="centerContinuous" vertical="center"/>
    </xf>
    <xf numFmtId="0" fontId="3" fillId="8" borderId="13" xfId="0" applyFont="1" applyFill="1" applyBorder="1" applyAlignment="1">
      <alignment horizontal="centerContinuous" vertical="center"/>
    </xf>
    <xf numFmtId="0" fontId="3" fillId="27" borderId="11" xfId="0" applyFont="1" applyFill="1" applyBorder="1" applyAlignment="1">
      <alignment horizontal="centerContinuous" vertical="center"/>
    </xf>
    <xf numFmtId="0" fontId="3" fillId="27" borderId="13" xfId="0" applyFont="1" applyFill="1" applyBorder="1" applyAlignment="1">
      <alignment horizontal="centerContinuous" vertical="center"/>
    </xf>
    <xf numFmtId="0" fontId="15" fillId="15" borderId="0" xfId="0" applyFont="1" applyFill="1" applyAlignment="1">
      <alignment horizontal="centerContinuous" vertical="center"/>
    </xf>
    <xf numFmtId="0" fontId="3" fillId="23" borderId="79" xfId="0" applyFont="1" applyFill="1" applyBorder="1" applyAlignment="1">
      <alignment horizontal="centerContinuous" vertical="center"/>
    </xf>
    <xf numFmtId="0" fontId="0" fillId="0" borderId="79" xfId="0" applyBorder="1" applyAlignment="1">
      <alignment horizontal="centerContinuous" vertical="center"/>
    </xf>
    <xf numFmtId="0" fontId="0" fillId="0" borderId="81" xfId="0" applyBorder="1" applyAlignment="1">
      <alignment horizontal="centerContinuous" vertical="center"/>
    </xf>
    <xf numFmtId="0" fontId="0" fillId="0" borderId="83" xfId="0" applyBorder="1" applyAlignment="1">
      <alignment horizontal="centerContinuous" vertical="center"/>
    </xf>
    <xf numFmtId="0" fontId="0" fillId="5" borderId="14" xfId="0" applyFill="1" applyBorder="1" applyAlignment="1">
      <alignment horizontal="centerContinuous" vertical="center"/>
    </xf>
    <xf numFmtId="0" fontId="0" fillId="5" borderId="15" xfId="0" applyFill="1" applyBorder="1" applyAlignment="1">
      <alignment horizontal="centerContinuous" vertical="center"/>
    </xf>
    <xf numFmtId="0" fontId="0" fillId="5" borderId="14" xfId="0" applyFill="1" applyBorder="1" applyAlignment="1">
      <alignment horizontal="left" vertical="center"/>
    </xf>
    <xf numFmtId="0" fontId="0" fillId="5" borderId="15" xfId="0" applyFill="1" applyBorder="1" applyAlignment="1">
      <alignment horizontal="left" vertical="center"/>
    </xf>
    <xf numFmtId="0" fontId="3" fillId="5" borderId="81" xfId="0" applyFont="1" applyFill="1" applyBorder="1" applyAlignment="1">
      <alignment horizontal="centerContinuous" vertical="center"/>
    </xf>
    <xf numFmtId="41" fontId="3" fillId="18" borderId="0" xfId="0" applyNumberFormat="1" applyFont="1" applyFill="1">
      <alignment vertical="center"/>
    </xf>
    <xf numFmtId="0" fontId="0" fillId="18" borderId="0" xfId="0" applyFill="1">
      <alignment vertical="center"/>
    </xf>
    <xf numFmtId="41" fontId="0" fillId="18" borderId="0" xfId="0" applyNumberFormat="1" applyFill="1">
      <alignment vertical="center"/>
    </xf>
    <xf numFmtId="41" fontId="5" fillId="18" borderId="0" xfId="0" applyNumberFormat="1" applyFont="1" applyFill="1">
      <alignment vertical="center"/>
    </xf>
    <xf numFmtId="0" fontId="37" fillId="0" borderId="0" xfId="0" applyFont="1">
      <alignment vertical="center"/>
    </xf>
    <xf numFmtId="41" fontId="11" fillId="18" borderId="0" xfId="0" applyNumberFormat="1" applyFont="1" applyFill="1">
      <alignment vertical="center"/>
    </xf>
    <xf numFmtId="41" fontId="4" fillId="18" borderId="0" xfId="0" applyNumberFormat="1" applyFont="1" applyFill="1">
      <alignment vertical="center"/>
    </xf>
    <xf numFmtId="0" fontId="0" fillId="18" borderId="94" xfId="0" applyFill="1" applyBorder="1" applyAlignment="1">
      <alignment horizontal="center" vertical="center"/>
    </xf>
    <xf numFmtId="41" fontId="3" fillId="18" borderId="95" xfId="0" applyNumberFormat="1" applyFont="1" applyFill="1" applyBorder="1">
      <alignment vertical="center"/>
    </xf>
    <xf numFmtId="0" fontId="0" fillId="18" borderId="95" xfId="0" applyFill="1" applyBorder="1">
      <alignment vertical="center"/>
    </xf>
    <xf numFmtId="0" fontId="0" fillId="18" borderId="96" xfId="0" applyFill="1" applyBorder="1">
      <alignment vertical="center"/>
    </xf>
    <xf numFmtId="0" fontId="0" fillId="18" borderId="97" xfId="0" applyFill="1" applyBorder="1" applyAlignment="1">
      <alignment horizontal="center" vertical="center"/>
    </xf>
    <xf numFmtId="0" fontId="0" fillId="18" borderId="98" xfId="0" applyFill="1" applyBorder="1">
      <alignment vertical="center"/>
    </xf>
    <xf numFmtId="0" fontId="0" fillId="18" borderId="99" xfId="0" applyFill="1" applyBorder="1" applyAlignment="1">
      <alignment horizontal="center" vertical="center"/>
    </xf>
    <xf numFmtId="0" fontId="0" fillId="18" borderId="100" xfId="0" applyFill="1" applyBorder="1">
      <alignment vertical="center"/>
    </xf>
    <xf numFmtId="0" fontId="0" fillId="18" borderId="101" xfId="0" applyFill="1" applyBorder="1">
      <alignment vertical="center"/>
    </xf>
    <xf numFmtId="41" fontId="3" fillId="5" borderId="1" xfId="0" applyNumberFormat="1" applyFont="1" applyFill="1" applyBorder="1" applyAlignment="1">
      <alignment horizontal="center" vertical="center"/>
    </xf>
    <xf numFmtId="41" fontId="3" fillId="5" borderId="2" xfId="0" applyNumberFormat="1" applyFont="1" applyFill="1" applyBorder="1">
      <alignment vertical="center"/>
    </xf>
    <xf numFmtId="41" fontId="3" fillId="3" borderId="1" xfId="0" applyNumberFormat="1" applyFont="1" applyFill="1" applyBorder="1" applyAlignment="1">
      <alignment horizontal="center" vertical="center"/>
    </xf>
    <xf numFmtId="41" fontId="14" fillId="0" borderId="0" xfId="0" applyNumberFormat="1" applyFont="1">
      <alignment vertical="center"/>
    </xf>
    <xf numFmtId="41" fontId="0" fillId="0" borderId="0" xfId="0" quotePrefix="1" applyNumberFormat="1">
      <alignment vertical="center"/>
    </xf>
    <xf numFmtId="41" fontId="0" fillId="0" borderId="0" xfId="0" quotePrefix="1" applyNumberFormat="1" applyAlignment="1">
      <alignment horizontal="center" vertical="center"/>
    </xf>
    <xf numFmtId="41" fontId="9" fillId="28" borderId="102" xfId="0" applyNumberFormat="1" applyFont="1" applyFill="1" applyBorder="1">
      <alignment vertical="center"/>
    </xf>
    <xf numFmtId="41" fontId="0" fillId="28" borderId="103" xfId="0" applyNumberFormat="1" applyFill="1" applyBorder="1">
      <alignment vertical="center"/>
    </xf>
    <xf numFmtId="41" fontId="0" fillId="28" borderId="104" xfId="0" applyNumberFormat="1" applyFill="1" applyBorder="1">
      <alignment vertical="center"/>
    </xf>
    <xf numFmtId="41" fontId="9" fillId="28" borderId="105" xfId="0" applyNumberFormat="1" applyFont="1" applyFill="1" applyBorder="1">
      <alignment vertical="center"/>
    </xf>
    <xf numFmtId="41" fontId="0" fillId="28" borderId="106" xfId="0" applyNumberFormat="1" applyFill="1" applyBorder="1">
      <alignment vertical="center"/>
    </xf>
    <xf numFmtId="41" fontId="0" fillId="28" borderId="107" xfId="0" applyNumberFormat="1" applyFill="1" applyBorder="1">
      <alignment vertical="center"/>
    </xf>
    <xf numFmtId="41" fontId="11" fillId="0" borderId="0" xfId="0" quotePrefix="1" applyNumberFormat="1" applyFont="1" applyAlignment="1">
      <alignment horizontal="center" vertical="center"/>
    </xf>
    <xf numFmtId="41" fontId="16" fillId="3" borderId="0" xfId="0" applyNumberFormat="1" applyFont="1" applyFill="1">
      <alignment vertical="center"/>
    </xf>
    <xf numFmtId="41" fontId="0" fillId="0" borderId="108" xfId="0" applyNumberFormat="1" applyBorder="1">
      <alignment vertical="center"/>
    </xf>
    <xf numFmtId="41" fontId="0" fillId="0" borderId="109" xfId="0" applyNumberFormat="1" applyBorder="1">
      <alignment vertical="center"/>
    </xf>
    <xf numFmtId="41" fontId="0" fillId="0" borderId="110" xfId="0" applyNumberFormat="1" applyBorder="1">
      <alignment vertical="center"/>
    </xf>
    <xf numFmtId="41" fontId="0" fillId="0" borderId="111" xfId="0" applyNumberFormat="1" applyBorder="1">
      <alignment vertical="center"/>
    </xf>
    <xf numFmtId="41" fontId="40" fillId="6" borderId="0" xfId="0" applyNumberFormat="1" applyFont="1" applyFill="1" applyAlignment="1">
      <alignment horizontal="centerContinuous" vertical="center"/>
    </xf>
    <xf numFmtId="41" fontId="0" fillId="0" borderId="112" xfId="0" applyNumberFormat="1" applyBorder="1">
      <alignment vertical="center"/>
    </xf>
    <xf numFmtId="41" fontId="32" fillId="14" borderId="0" xfId="0" applyNumberFormat="1" applyFont="1" applyFill="1" applyAlignment="1">
      <alignment horizontal="center" vertical="center"/>
    </xf>
    <xf numFmtId="41" fontId="3" fillId="0" borderId="14" xfId="0" applyNumberFormat="1" applyFont="1" applyBorder="1">
      <alignment vertical="center"/>
    </xf>
    <xf numFmtId="41" fontId="41" fillId="15" borderId="0" xfId="0" applyNumberFormat="1" applyFont="1" applyFill="1" applyAlignment="1">
      <alignment horizontal="centerContinuous" vertical="center"/>
    </xf>
    <xf numFmtId="41" fontId="41" fillId="15" borderId="0" xfId="0" applyNumberFormat="1" applyFont="1" applyFill="1">
      <alignment vertical="center"/>
    </xf>
    <xf numFmtId="41" fontId="15" fillId="15" borderId="0" xfId="0" applyNumberFormat="1" applyFont="1" applyFill="1">
      <alignment vertical="center"/>
    </xf>
    <xf numFmtId="41" fontId="3" fillId="0" borderId="112" xfId="0" applyNumberFormat="1" applyFont="1" applyBorder="1">
      <alignment vertical="center"/>
    </xf>
    <xf numFmtId="41" fontId="32" fillId="8" borderId="0" xfId="0" applyNumberFormat="1" applyFont="1" applyFill="1" applyAlignment="1">
      <alignment horizontal="centerContinuous" vertical="center"/>
    </xf>
    <xf numFmtId="41" fontId="0" fillId="0" borderId="113" xfId="0" applyNumberFormat="1" applyBorder="1">
      <alignment vertical="center"/>
    </xf>
    <xf numFmtId="41" fontId="0" fillId="0" borderId="114" xfId="0" applyNumberFormat="1" applyBorder="1">
      <alignment vertical="center"/>
    </xf>
    <xf numFmtId="41" fontId="0" fillId="0" borderId="115" xfId="0" applyNumberFormat="1" applyBorder="1">
      <alignment vertical="center"/>
    </xf>
    <xf numFmtId="41" fontId="38" fillId="6" borderId="0" xfId="0" applyNumberFormat="1" applyFont="1" applyFill="1">
      <alignment vertical="center"/>
    </xf>
    <xf numFmtId="41" fontId="32" fillId="3" borderId="0" xfId="0" applyNumberFormat="1" applyFont="1" applyFill="1" applyAlignment="1">
      <alignment horizontal="centerContinuous" vertical="center"/>
    </xf>
    <xf numFmtId="41" fontId="0" fillId="0" borderId="11" xfId="0" applyNumberFormat="1" applyBorder="1">
      <alignment vertical="center"/>
    </xf>
    <xf numFmtId="41" fontId="0" fillId="0" borderId="13" xfId="0" applyNumberFormat="1" applyBorder="1">
      <alignment vertical="center"/>
    </xf>
    <xf numFmtId="41" fontId="39" fillId="6" borderId="0" xfId="0" applyNumberFormat="1" applyFont="1" applyFill="1">
      <alignment vertical="center"/>
    </xf>
    <xf numFmtId="41" fontId="40" fillId="0" borderId="0" xfId="0" applyNumberFormat="1" applyFont="1">
      <alignment vertical="center"/>
    </xf>
    <xf numFmtId="180" fontId="29" fillId="0" borderId="0" xfId="0" applyNumberFormat="1" applyFont="1">
      <alignment vertical="center"/>
    </xf>
    <xf numFmtId="9" fontId="29" fillId="0" borderId="0" xfId="0" applyNumberFormat="1" applyFont="1">
      <alignment vertical="center"/>
    </xf>
    <xf numFmtId="41" fontId="0" fillId="0" borderId="0" xfId="2" applyFont="1">
      <alignment vertical="center"/>
    </xf>
    <xf numFmtId="41" fontId="0" fillId="29" borderId="102" xfId="0" applyNumberFormat="1" applyFill="1" applyBorder="1">
      <alignment vertical="center"/>
    </xf>
    <xf numFmtId="41" fontId="0" fillId="29" borderId="103" xfId="0" applyNumberFormat="1" applyFill="1" applyBorder="1">
      <alignment vertical="center"/>
    </xf>
    <xf numFmtId="41" fontId="0" fillId="29" borderId="104" xfId="0" applyNumberFormat="1" applyFill="1" applyBorder="1">
      <alignment vertical="center"/>
    </xf>
    <xf numFmtId="41" fontId="9" fillId="29" borderId="134" xfId="0" applyNumberFormat="1" applyFont="1" applyFill="1" applyBorder="1">
      <alignment vertical="center"/>
    </xf>
    <xf numFmtId="41" fontId="0" fillId="29" borderId="0" xfId="0" applyNumberFormat="1" applyFill="1">
      <alignment vertical="center"/>
    </xf>
    <xf numFmtId="41" fontId="0" fillId="29" borderId="135" xfId="0" applyNumberFormat="1" applyFill="1" applyBorder="1">
      <alignment vertical="center"/>
    </xf>
    <xf numFmtId="41" fontId="6" fillId="29" borderId="134" xfId="0" applyNumberFormat="1" applyFont="1" applyFill="1" applyBorder="1">
      <alignment vertical="center"/>
    </xf>
    <xf numFmtId="177" fontId="0" fillId="29" borderId="0" xfId="0" applyNumberFormat="1" applyFill="1">
      <alignment vertical="center"/>
    </xf>
    <xf numFmtId="41" fontId="0" fillId="29" borderId="105" xfId="0" applyNumberFormat="1" applyFill="1" applyBorder="1">
      <alignment vertical="center"/>
    </xf>
    <xf numFmtId="176" fontId="0" fillId="29" borderId="106" xfId="0" applyNumberFormat="1" applyFill="1" applyBorder="1">
      <alignment vertical="center"/>
    </xf>
    <xf numFmtId="177" fontId="0" fillId="29" borderId="106" xfId="0" applyNumberFormat="1" applyFill="1" applyBorder="1">
      <alignment vertical="center"/>
    </xf>
    <xf numFmtId="41" fontId="0" fillId="29" borderId="106" xfId="0" applyNumberFormat="1" applyFill="1" applyBorder="1">
      <alignment vertical="center"/>
    </xf>
    <xf numFmtId="41" fontId="0" fillId="29" borderId="107" xfId="0" applyNumberFormat="1" applyFill="1" applyBorder="1">
      <alignment vertical="center"/>
    </xf>
    <xf numFmtId="41" fontId="11" fillId="29" borderId="134" xfId="0" applyNumberFormat="1" applyFont="1" applyFill="1" applyBorder="1">
      <alignment vertical="center"/>
    </xf>
    <xf numFmtId="41" fontId="7" fillId="29" borderId="0" xfId="0" applyNumberFormat="1" applyFont="1" applyFill="1">
      <alignment vertical="center"/>
    </xf>
    <xf numFmtId="41" fontId="0" fillId="6" borderId="0" xfId="2" applyFont="1" applyFill="1">
      <alignment vertical="center"/>
    </xf>
    <xf numFmtId="41" fontId="32" fillId="2" borderId="0" xfId="2" applyFont="1" applyFill="1" applyAlignment="1">
      <alignment horizontal="center" vertical="center"/>
    </xf>
    <xf numFmtId="41" fontId="0" fillId="2" borderId="0" xfId="2" applyFont="1" applyFill="1">
      <alignment vertical="center"/>
    </xf>
    <xf numFmtId="41" fontId="0" fillId="0" borderId="0" xfId="2" applyFont="1" applyFill="1">
      <alignment vertical="center"/>
    </xf>
    <xf numFmtId="41" fontId="34" fillId="0" borderId="0" xfId="2" applyFont="1" applyFill="1">
      <alignment vertical="center"/>
    </xf>
    <xf numFmtId="41" fontId="34" fillId="0" borderId="0" xfId="2" applyFont="1">
      <alignment vertical="center"/>
    </xf>
    <xf numFmtId="41" fontId="40" fillId="6" borderId="0" xfId="2" applyFont="1" applyFill="1" applyBorder="1" applyAlignment="1">
      <alignment horizontal="centerContinuous" vertical="center"/>
    </xf>
    <xf numFmtId="41" fontId="38" fillId="6" borderId="0" xfId="2" applyFont="1" applyFill="1" applyBorder="1">
      <alignment vertical="center"/>
    </xf>
    <xf numFmtId="41" fontId="0" fillId="6" borderId="0" xfId="2" applyFont="1" applyFill="1" applyBorder="1">
      <alignment vertical="center"/>
    </xf>
    <xf numFmtId="0" fontId="0" fillId="6" borderId="159" xfId="0" applyFill="1" applyBorder="1">
      <alignment vertical="center"/>
    </xf>
    <xf numFmtId="0" fontId="0" fillId="6" borderId="74" xfId="0" applyFill="1" applyBorder="1">
      <alignment vertical="center"/>
    </xf>
    <xf numFmtId="41" fontId="166" fillId="6" borderId="158" xfId="2" applyFont="1" applyFill="1" applyBorder="1" applyAlignment="1">
      <alignment horizontal="left" vertical="center"/>
    </xf>
    <xf numFmtId="0" fontId="171" fillId="0" borderId="0" xfId="0" applyFont="1">
      <alignment vertical="center"/>
    </xf>
    <xf numFmtId="0" fontId="39" fillId="0" borderId="0" xfId="0" applyFont="1">
      <alignment vertical="center"/>
    </xf>
    <xf numFmtId="0" fontId="11" fillId="6" borderId="0" xfId="0" applyFont="1" applyFill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41" fontId="5" fillId="67" borderId="0" xfId="1519" applyFont="1" applyFill="1" applyBorder="1" applyAlignment="1">
      <alignment horizontal="left" vertical="center"/>
    </xf>
    <xf numFmtId="0" fontId="40" fillId="0" borderId="0" xfId="0" applyFont="1">
      <alignment vertical="center"/>
    </xf>
    <xf numFmtId="41" fontId="172" fillId="0" borderId="0" xfId="2" applyFont="1" applyFill="1" applyBorder="1">
      <alignment vertical="center"/>
    </xf>
    <xf numFmtId="41" fontId="171" fillId="0" borderId="0" xfId="2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right" vertical="center"/>
    </xf>
    <xf numFmtId="41" fontId="5" fillId="67" borderId="159" xfId="1519" applyFont="1" applyFill="1" applyBorder="1" applyAlignment="1">
      <alignment horizontal="centerContinuous" vertical="center"/>
    </xf>
    <xf numFmtId="41" fontId="5" fillId="67" borderId="74" xfId="1519" applyFont="1" applyFill="1" applyBorder="1" applyAlignment="1">
      <alignment horizontal="centerContinuous" vertical="center"/>
    </xf>
    <xf numFmtId="41" fontId="5" fillId="67" borderId="158" xfId="1519" applyFont="1" applyFill="1" applyBorder="1" applyAlignment="1">
      <alignment horizontal="centerContinuous" vertical="center"/>
    </xf>
    <xf numFmtId="41" fontId="0" fillId="0" borderId="128" xfId="2" applyFont="1" applyBorder="1">
      <alignment vertical="center"/>
    </xf>
    <xf numFmtId="249" fontId="3" fillId="0" borderId="120" xfId="1519" applyNumberFormat="1" applyFont="1" applyFill="1" applyBorder="1" applyAlignment="1">
      <alignment horizontal="center" vertical="center"/>
    </xf>
    <xf numFmtId="249" fontId="3" fillId="2" borderId="128" xfId="1519" applyNumberFormat="1" applyFont="1" applyFill="1" applyBorder="1" applyAlignment="1">
      <alignment horizontal="center" vertical="center"/>
    </xf>
    <xf numFmtId="249" fontId="3" fillId="2" borderId="120" xfId="1519" applyNumberFormat="1" applyFont="1" applyFill="1" applyBorder="1" applyAlignment="1">
      <alignment horizontal="center" vertical="center"/>
    </xf>
    <xf numFmtId="41" fontId="3" fillId="9" borderId="159" xfId="1519" applyFont="1" applyFill="1" applyBorder="1" applyAlignment="1">
      <alignment horizontal="centerContinuous" vertical="center"/>
    </xf>
    <xf numFmtId="41" fontId="3" fillId="9" borderId="74" xfId="1519" applyFont="1" applyFill="1" applyBorder="1" applyAlignment="1">
      <alignment horizontal="centerContinuous" vertical="center"/>
    </xf>
    <xf numFmtId="41" fontId="5" fillId="9" borderId="158" xfId="1519" applyFont="1" applyFill="1" applyBorder="1" applyAlignment="1">
      <alignment horizontal="centerContinuous" vertical="center"/>
    </xf>
    <xf numFmtId="0" fontId="3" fillId="4" borderId="159" xfId="0" applyFont="1" applyFill="1" applyBorder="1" applyAlignment="1">
      <alignment horizontal="centerContinuous" vertical="center"/>
    </xf>
    <xf numFmtId="0" fontId="3" fillId="4" borderId="158" xfId="0" applyFont="1" applyFill="1" applyBorder="1" applyAlignment="1">
      <alignment horizontal="centerContinuous" vertical="center"/>
    </xf>
    <xf numFmtId="0" fontId="3" fillId="2" borderId="159" xfId="0" applyFont="1" applyFill="1" applyBorder="1" applyAlignment="1">
      <alignment horizontal="centerContinuous" vertical="center"/>
    </xf>
    <xf numFmtId="0" fontId="3" fillId="2" borderId="74" xfId="0" applyFont="1" applyFill="1" applyBorder="1" applyAlignment="1">
      <alignment horizontal="centerContinuous" vertical="center"/>
    </xf>
    <xf numFmtId="0" fontId="3" fillId="2" borderId="158" xfId="0" applyFont="1" applyFill="1" applyBorder="1" applyAlignment="1">
      <alignment horizontal="centerContinuous" vertical="center"/>
    </xf>
    <xf numFmtId="41" fontId="0" fillId="0" borderId="160" xfId="2" applyFont="1" applyBorder="1">
      <alignment vertical="center"/>
    </xf>
    <xf numFmtId="0" fontId="166" fillId="0" borderId="0" xfId="1942" applyFont="1" applyAlignment="1">
      <alignment horizontal="left" vertical="center"/>
    </xf>
    <xf numFmtId="41" fontId="169" fillId="0" borderId="158" xfId="1519" quotePrefix="1" applyFont="1" applyFill="1" applyBorder="1" applyAlignment="1">
      <alignment horizontal="centerContinuous" vertical="center"/>
    </xf>
    <xf numFmtId="41" fontId="37" fillId="0" borderId="159" xfId="1519" applyFont="1" applyFill="1" applyBorder="1" applyAlignment="1">
      <alignment horizontal="centerContinuous" vertical="center"/>
    </xf>
    <xf numFmtId="41" fontId="37" fillId="0" borderId="74" xfId="1519" applyFont="1" applyFill="1" applyBorder="1" applyAlignment="1">
      <alignment horizontal="centerContinuous" vertical="center"/>
    </xf>
    <xf numFmtId="41" fontId="16" fillId="16" borderId="0" xfId="2" applyFont="1" applyFill="1" applyBorder="1" applyAlignment="1">
      <alignment horizontal="centerContinuous" vertical="center"/>
    </xf>
    <xf numFmtId="41" fontId="33" fillId="16" borderId="0" xfId="2" applyFont="1" applyFill="1" applyBorder="1" applyAlignment="1">
      <alignment horizontal="centerContinuous" vertical="center"/>
    </xf>
    <xf numFmtId="41" fontId="0" fillId="0" borderId="0" xfId="2" applyFont="1" applyFill="1" applyBorder="1" applyAlignment="1">
      <alignment horizontal="center" vertical="center"/>
    </xf>
    <xf numFmtId="0" fontId="0" fillId="0" borderId="166" xfId="0" applyBorder="1">
      <alignment vertical="center"/>
    </xf>
    <xf numFmtId="0" fontId="0" fillId="0" borderId="24" xfId="0" applyBorder="1">
      <alignment vertical="center"/>
    </xf>
    <xf numFmtId="0" fontId="0" fillId="0" borderId="127" xfId="0" applyBorder="1">
      <alignment vertical="center"/>
    </xf>
    <xf numFmtId="0" fontId="0" fillId="0" borderId="50" xfId="0" applyBorder="1">
      <alignment vertical="center"/>
    </xf>
    <xf numFmtId="0" fontId="0" fillId="0" borderId="49" xfId="0" applyBorder="1">
      <alignment vertical="center"/>
    </xf>
    <xf numFmtId="41" fontId="166" fillId="0" borderId="0" xfId="1519" applyFont="1" applyFill="1" applyBorder="1" applyAlignment="1">
      <alignment horizontal="centerContinuous" vertical="center"/>
    </xf>
    <xf numFmtId="41" fontId="3" fillId="6" borderId="159" xfId="1519" applyFont="1" applyFill="1" applyBorder="1" applyAlignment="1">
      <alignment horizontal="centerContinuous" vertical="center"/>
    </xf>
    <xf numFmtId="41" fontId="3" fillId="6" borderId="74" xfId="1519" applyFont="1" applyFill="1" applyBorder="1" applyAlignment="1">
      <alignment horizontal="centerContinuous" vertical="center"/>
    </xf>
    <xf numFmtId="41" fontId="5" fillId="6" borderId="158" xfId="1519" applyFont="1" applyFill="1" applyBorder="1" applyAlignment="1">
      <alignment horizontal="centerContinuous" vertical="center"/>
    </xf>
    <xf numFmtId="0" fontId="3" fillId="4" borderId="74" xfId="0" applyFont="1" applyFill="1" applyBorder="1" applyAlignment="1">
      <alignment horizontal="centerContinuous" vertical="center"/>
    </xf>
    <xf numFmtId="41" fontId="0" fillId="68" borderId="159" xfId="2" applyFont="1" applyFill="1" applyBorder="1" applyAlignment="1">
      <alignment horizontal="centerContinuous" vertical="center"/>
    </xf>
    <xf numFmtId="41" fontId="0" fillId="68" borderId="165" xfId="2" applyFont="1" applyFill="1" applyBorder="1" applyAlignment="1">
      <alignment horizontal="centerContinuous" vertical="center"/>
    </xf>
    <xf numFmtId="41" fontId="33" fillId="68" borderId="158" xfId="2" applyFont="1" applyFill="1" applyBorder="1" applyAlignment="1">
      <alignment horizontal="centerContinuous" vertical="center"/>
    </xf>
    <xf numFmtId="41" fontId="5" fillId="0" borderId="160" xfId="2" applyFont="1" applyBorder="1">
      <alignment vertical="center"/>
    </xf>
    <xf numFmtId="41" fontId="168" fillId="0" borderId="0" xfId="1519" applyFont="1" applyFill="1" applyBorder="1" applyAlignment="1">
      <alignment horizontal="left" vertical="center"/>
    </xf>
    <xf numFmtId="41" fontId="0" fillId="15" borderId="164" xfId="2" applyFont="1" applyFill="1" applyBorder="1" applyAlignment="1">
      <alignment horizontal="centerContinuous" vertical="center"/>
    </xf>
    <xf numFmtId="41" fontId="33" fillId="15" borderId="163" xfId="2" applyFont="1" applyFill="1" applyBorder="1" applyAlignment="1">
      <alignment horizontal="centerContinuous" vertical="center"/>
    </xf>
    <xf numFmtId="41" fontId="5" fillId="0" borderId="158" xfId="1519" applyFont="1" applyFill="1" applyBorder="1" applyAlignment="1">
      <alignment horizontal="left" vertical="center"/>
    </xf>
    <xf numFmtId="41" fontId="3" fillId="0" borderId="159" xfId="1519" applyFont="1" applyFill="1" applyBorder="1" applyAlignment="1">
      <alignment horizontal="centerContinuous" vertical="center"/>
    </xf>
    <xf numFmtId="41" fontId="3" fillId="0" borderId="74" xfId="1519" applyFont="1" applyFill="1" applyBorder="1" applyAlignment="1">
      <alignment horizontal="centerContinuous" vertical="center"/>
    </xf>
    <xf numFmtId="41" fontId="5" fillId="0" borderId="158" xfId="1519" applyFont="1" applyFill="1" applyBorder="1" applyAlignment="1">
      <alignment horizontal="centerContinuous" vertical="center"/>
    </xf>
    <xf numFmtId="41" fontId="0" fillId="0" borderId="0" xfId="2" applyFont="1" applyBorder="1" applyAlignment="1">
      <alignment horizontal="left" vertical="center"/>
    </xf>
    <xf numFmtId="41" fontId="0" fillId="0" borderId="0" xfId="2" applyFont="1" applyBorder="1" applyAlignment="1">
      <alignment horizontal="center" vertical="center"/>
    </xf>
    <xf numFmtId="41" fontId="5" fillId="0" borderId="159" xfId="1519" applyFont="1" applyFill="1" applyBorder="1" applyAlignment="1">
      <alignment horizontal="centerContinuous" vertical="center"/>
    </xf>
    <xf numFmtId="41" fontId="5" fillId="0" borderId="74" xfId="1519" applyFont="1" applyFill="1" applyBorder="1" applyAlignment="1">
      <alignment horizontal="centerContinuous" vertical="center"/>
    </xf>
    <xf numFmtId="41" fontId="5" fillId="0" borderId="158" xfId="1519" quotePrefix="1" applyFont="1" applyFill="1" applyBorder="1" applyAlignment="1">
      <alignment horizontal="centerContinuous" vertical="center"/>
    </xf>
    <xf numFmtId="249" fontId="3" fillId="0" borderId="160" xfId="1519" applyNumberFormat="1" applyFont="1" applyFill="1" applyBorder="1" applyAlignment="1">
      <alignment horizontal="center" vertical="center"/>
    </xf>
    <xf numFmtId="0" fontId="0" fillId="0" borderId="0" xfId="2" applyNumberFormat="1" applyFont="1" applyBorder="1" applyAlignment="1">
      <alignment horizontal="left" vertical="center"/>
    </xf>
    <xf numFmtId="249" fontId="3" fillId="67" borderId="160" xfId="1519" applyNumberFormat="1" applyFont="1" applyFill="1" applyBorder="1" applyAlignment="1">
      <alignment horizontal="center" vertical="center"/>
    </xf>
    <xf numFmtId="0" fontId="166" fillId="0" borderId="0" xfId="1942" applyFont="1" applyAlignment="1">
      <alignment horizontal="centerContinuous" vertical="center"/>
    </xf>
    <xf numFmtId="41" fontId="166" fillId="0" borderId="0" xfId="1519" applyFont="1" applyFill="1" applyBorder="1" applyAlignment="1">
      <alignment horizontal="left" vertical="center"/>
    </xf>
    <xf numFmtId="41" fontId="34" fillId="0" borderId="0" xfId="2" quotePrefix="1" applyFont="1" applyAlignment="1">
      <alignment horizontal="centerContinuous" vertical="center"/>
    </xf>
    <xf numFmtId="41" fontId="0" fillId="0" borderId="52" xfId="2" applyFont="1" applyBorder="1">
      <alignment vertical="center"/>
    </xf>
    <xf numFmtId="41" fontId="0" fillId="0" borderId="162" xfId="2" applyFont="1" applyBorder="1">
      <alignment vertical="center"/>
    </xf>
    <xf numFmtId="0" fontId="0" fillId="0" borderId="162" xfId="0" applyBorder="1">
      <alignment vertical="center"/>
    </xf>
    <xf numFmtId="0" fontId="0" fillId="0" borderId="117" xfId="0" applyBorder="1">
      <alignment vertical="center"/>
    </xf>
    <xf numFmtId="41" fontId="3" fillId="15" borderId="159" xfId="2" applyFont="1" applyFill="1" applyBorder="1" applyAlignment="1">
      <alignment horizontal="centerContinuous" vertical="center"/>
    </xf>
    <xf numFmtId="41" fontId="3" fillId="15" borderId="74" xfId="2" applyFont="1" applyFill="1" applyBorder="1" applyAlignment="1">
      <alignment horizontal="centerContinuous" vertical="center"/>
    </xf>
    <xf numFmtId="41" fontId="15" fillId="15" borderId="158" xfId="2" applyFont="1" applyFill="1" applyBorder="1" applyAlignment="1">
      <alignment horizontal="centerContinuous" vertical="center"/>
    </xf>
    <xf numFmtId="0" fontId="3" fillId="0" borderId="50" xfId="0" applyFont="1" applyBorder="1" applyAlignment="1">
      <alignment horizontal="centerContinuous" vertical="center"/>
    </xf>
    <xf numFmtId="0" fontId="3" fillId="0" borderId="49" xfId="0" applyFont="1" applyBorder="1" applyAlignment="1">
      <alignment horizontal="centerContinuous" vertical="center"/>
    </xf>
    <xf numFmtId="0" fontId="3" fillId="0" borderId="52" xfId="0" applyFont="1" applyBorder="1" applyAlignment="1">
      <alignment horizontal="center" vertical="center"/>
    </xf>
    <xf numFmtId="0" fontId="3" fillId="0" borderId="162" xfId="0" applyFont="1" applyBorder="1" applyAlignment="1">
      <alignment horizontal="center" vertical="center"/>
    </xf>
    <xf numFmtId="0" fontId="3" fillId="0" borderId="117" xfId="0" applyFont="1" applyBorder="1" applyAlignment="1">
      <alignment horizontal="center" vertical="center"/>
    </xf>
    <xf numFmtId="41" fontId="5" fillId="7" borderId="0" xfId="2" applyFont="1" applyFill="1">
      <alignment vertical="center"/>
    </xf>
    <xf numFmtId="41" fontId="32" fillId="7" borderId="0" xfId="2" applyFont="1" applyFill="1" applyAlignment="1">
      <alignment horizontal="center" vertical="center"/>
    </xf>
    <xf numFmtId="41" fontId="39" fillId="6" borderId="0" xfId="2" applyFont="1" applyFill="1" applyBorder="1">
      <alignment vertical="center"/>
    </xf>
    <xf numFmtId="41" fontId="0" fillId="0" borderId="0" xfId="2" applyFont="1" applyBorder="1">
      <alignment vertical="center"/>
    </xf>
    <xf numFmtId="41" fontId="0" fillId="0" borderId="44" xfId="2" applyFont="1" applyBorder="1">
      <alignment vertical="center"/>
    </xf>
    <xf numFmtId="0" fontId="0" fillId="0" borderId="167" xfId="0" applyBorder="1">
      <alignment vertical="center"/>
    </xf>
    <xf numFmtId="41" fontId="5" fillId="0" borderId="0" xfId="1519" applyFont="1" applyFill="1" applyBorder="1" applyAlignment="1">
      <alignment horizontal="centerContinuous" vertical="center"/>
    </xf>
    <xf numFmtId="0" fontId="0" fillId="0" borderId="44" xfId="0" applyBorder="1" applyAlignment="1">
      <alignment horizontal="centerContinuous" vertical="center"/>
    </xf>
    <xf numFmtId="41" fontId="5" fillId="4" borderId="158" xfId="1519" quotePrefix="1" applyFont="1" applyFill="1" applyBorder="1" applyAlignment="1">
      <alignment horizontal="centerContinuous" vertical="center"/>
    </xf>
    <xf numFmtId="0" fontId="3" fillId="2" borderId="117" xfId="0" applyFont="1" applyFill="1" applyBorder="1" applyAlignment="1">
      <alignment horizontal="centerContinuous" vertical="center"/>
    </xf>
    <xf numFmtId="0" fontId="3" fillId="2" borderId="162" xfId="0" applyFont="1" applyFill="1" applyBorder="1" applyAlignment="1">
      <alignment horizontal="centerContinuous" vertical="center"/>
    </xf>
    <xf numFmtId="0" fontId="3" fillId="2" borderId="52" xfId="0" applyFont="1" applyFill="1" applyBorder="1" applyAlignment="1">
      <alignment horizontal="centerContinuous" vertical="center"/>
    </xf>
    <xf numFmtId="41" fontId="5" fillId="2" borderId="160" xfId="1519" quotePrefix="1" applyFont="1" applyFill="1" applyBorder="1" applyAlignment="1">
      <alignment horizontal="centerContinuous" vertical="center"/>
    </xf>
    <xf numFmtId="41" fontId="5" fillId="2" borderId="158" xfId="1519" quotePrefix="1" applyFont="1" applyFill="1" applyBorder="1" applyAlignment="1">
      <alignment horizontal="centerContinuous" vertical="center"/>
    </xf>
    <xf numFmtId="41" fontId="11" fillId="0" borderId="0" xfId="2" applyFont="1" applyFill="1" applyBorder="1">
      <alignment vertical="center"/>
    </xf>
    <xf numFmtId="41" fontId="4" fillId="0" borderId="0" xfId="2" applyFont="1" applyFill="1" applyBorder="1">
      <alignment vertical="center"/>
    </xf>
    <xf numFmtId="0" fontId="0" fillId="18" borderId="168" xfId="0" applyFill="1" applyBorder="1" applyAlignment="1">
      <alignment horizontal="centerContinuous" vertical="center"/>
    </xf>
    <xf numFmtId="0" fontId="0" fillId="18" borderId="170" xfId="0" applyFill="1" applyBorder="1" applyAlignment="1">
      <alignment horizontal="centerContinuous" vertical="center"/>
    </xf>
    <xf numFmtId="0" fontId="0" fillId="18" borderId="169" xfId="0" applyFill="1" applyBorder="1" applyAlignment="1">
      <alignment horizontal="centerContinuous" vertical="center"/>
    </xf>
    <xf numFmtId="0" fontId="3" fillId="17" borderId="169" xfId="0" applyFont="1" applyFill="1" applyBorder="1" applyAlignment="1">
      <alignment horizontal="centerContinuous" vertical="center"/>
    </xf>
    <xf numFmtId="0" fontId="3" fillId="17" borderId="168" xfId="0" applyFont="1" applyFill="1" applyBorder="1" applyAlignment="1">
      <alignment horizontal="centerContinuous" vertical="center"/>
    </xf>
    <xf numFmtId="0" fontId="3" fillId="17" borderId="170" xfId="0" applyFont="1" applyFill="1" applyBorder="1" applyAlignment="1">
      <alignment horizontal="centerContinuous" vertical="center"/>
    </xf>
    <xf numFmtId="0" fontId="0" fillId="0" borderId="74" xfId="0" applyBorder="1">
      <alignment vertical="center"/>
    </xf>
    <xf numFmtId="41" fontId="9" fillId="0" borderId="0" xfId="2" applyFont="1">
      <alignment vertical="center"/>
    </xf>
    <xf numFmtId="41" fontId="5" fillId="0" borderId="117" xfId="1519" applyFont="1" applyFill="1" applyBorder="1" applyAlignment="1">
      <alignment horizontal="centerContinuous" vertical="center"/>
    </xf>
    <xf numFmtId="41" fontId="3" fillId="0" borderId="162" xfId="1519" applyFont="1" applyFill="1" applyBorder="1" applyAlignment="1">
      <alignment horizontal="centerContinuous" vertical="center"/>
    </xf>
    <xf numFmtId="41" fontId="3" fillId="0" borderId="52" xfId="1519" applyFont="1" applyFill="1" applyBorder="1" applyAlignment="1">
      <alignment horizontal="centerContinuous" vertical="center"/>
    </xf>
    <xf numFmtId="41" fontId="5" fillId="9" borderId="117" xfId="1519" applyFont="1" applyFill="1" applyBorder="1" applyAlignment="1">
      <alignment horizontal="centerContinuous" vertical="center"/>
    </xf>
    <xf numFmtId="41" fontId="3" fillId="9" borderId="162" xfId="1519" applyFont="1" applyFill="1" applyBorder="1" applyAlignment="1">
      <alignment horizontal="centerContinuous" vertical="center"/>
    </xf>
    <xf numFmtId="41" fontId="3" fillId="9" borderId="52" xfId="1519" applyFont="1" applyFill="1" applyBorder="1" applyAlignment="1">
      <alignment horizontal="centerContinuous" vertical="center"/>
    </xf>
    <xf numFmtId="10" fontId="5" fillId="9" borderId="117" xfId="1519" applyNumberFormat="1" applyFont="1" applyFill="1" applyBorder="1" applyAlignment="1">
      <alignment horizontal="centerContinuous" vertical="center"/>
    </xf>
    <xf numFmtId="41" fontId="169" fillId="0" borderId="117" xfId="1519" quotePrefix="1" applyFont="1" applyFill="1" applyBorder="1" applyAlignment="1">
      <alignment horizontal="centerContinuous" vertical="center"/>
    </xf>
    <xf numFmtId="41" fontId="37" fillId="0" borderId="162" xfId="1519" applyFont="1" applyFill="1" applyBorder="1" applyAlignment="1">
      <alignment horizontal="centerContinuous" vertical="center"/>
    </xf>
    <xf numFmtId="41" fontId="37" fillId="0" borderId="52" xfId="1519" applyFont="1" applyFill="1" applyBorder="1" applyAlignment="1">
      <alignment horizontal="centerContinuous" vertical="center"/>
    </xf>
    <xf numFmtId="41" fontId="170" fillId="0" borderId="117" xfId="2" applyFont="1" applyFill="1" applyBorder="1" applyAlignment="1">
      <alignment horizontal="left" vertical="center"/>
    </xf>
    <xf numFmtId="41" fontId="169" fillId="0" borderId="162" xfId="1519" applyFont="1" applyFill="1" applyBorder="1" applyAlignment="1">
      <alignment horizontal="centerContinuous" vertical="center"/>
    </xf>
    <xf numFmtId="41" fontId="169" fillId="0" borderId="52" xfId="1519" applyFont="1" applyFill="1" applyBorder="1" applyAlignment="1">
      <alignment horizontal="centerContinuous" vertical="center"/>
    </xf>
    <xf numFmtId="41" fontId="5" fillId="0" borderId="49" xfId="1519" applyFont="1" applyFill="1" applyBorder="1" applyAlignment="1">
      <alignment horizontal="centerContinuous" vertical="center"/>
    </xf>
    <xf numFmtId="41" fontId="3" fillId="0" borderId="0" xfId="1519" applyFont="1" applyFill="1" applyBorder="1" applyAlignment="1">
      <alignment horizontal="centerContinuous" vertical="center"/>
    </xf>
    <xf numFmtId="41" fontId="3" fillId="0" borderId="50" xfId="1519" applyFont="1" applyFill="1" applyBorder="1" applyAlignment="1">
      <alignment horizontal="centerContinuous" vertical="center"/>
    </xf>
    <xf numFmtId="41" fontId="5" fillId="0" borderId="167" xfId="1519" applyFont="1" applyFill="1" applyBorder="1" applyAlignment="1">
      <alignment horizontal="centerContinuous" vertical="center"/>
    </xf>
    <xf numFmtId="41" fontId="5" fillId="9" borderId="167" xfId="1519" applyFont="1" applyFill="1" applyBorder="1" applyAlignment="1">
      <alignment horizontal="centerContinuous" vertical="center"/>
    </xf>
    <xf numFmtId="41" fontId="3" fillId="9" borderId="0" xfId="1519" applyFont="1" applyFill="1" applyBorder="1" applyAlignment="1">
      <alignment horizontal="centerContinuous" vertical="center"/>
    </xf>
    <xf numFmtId="41" fontId="3" fillId="9" borderId="50" xfId="1519" applyFont="1" applyFill="1" applyBorder="1" applyAlignment="1">
      <alignment horizontal="centerContinuous" vertical="center"/>
    </xf>
    <xf numFmtId="10" fontId="5" fillId="9" borderId="167" xfId="1519" applyNumberFormat="1" applyFont="1" applyFill="1" applyBorder="1" applyAlignment="1">
      <alignment horizontal="centerContinuous" vertical="center"/>
    </xf>
    <xf numFmtId="41" fontId="169" fillId="0" borderId="167" xfId="1519" quotePrefix="1" applyFont="1" applyFill="1" applyBorder="1" applyAlignment="1">
      <alignment horizontal="centerContinuous" vertical="center"/>
    </xf>
    <xf numFmtId="41" fontId="37" fillId="0" borderId="0" xfId="1519" applyFont="1" applyFill="1" applyBorder="1" applyAlignment="1">
      <alignment horizontal="centerContinuous" vertical="center"/>
    </xf>
    <xf numFmtId="41" fontId="37" fillId="0" borderId="50" xfId="1519" applyFont="1" applyFill="1" applyBorder="1" applyAlignment="1">
      <alignment horizontal="centerContinuous" vertical="center"/>
    </xf>
    <xf numFmtId="41" fontId="170" fillId="0" borderId="167" xfId="2" applyFont="1" applyFill="1" applyBorder="1" applyAlignment="1">
      <alignment horizontal="left" vertical="center"/>
    </xf>
    <xf numFmtId="41" fontId="169" fillId="0" borderId="0" xfId="1519" applyFont="1" applyFill="1" applyBorder="1" applyAlignment="1">
      <alignment horizontal="centerContinuous" vertical="center"/>
    </xf>
    <xf numFmtId="41" fontId="169" fillId="0" borderId="50" xfId="1519" applyFont="1" applyFill="1" applyBorder="1" applyAlignment="1">
      <alignment horizontal="centerContinuous" vertical="center"/>
    </xf>
    <xf numFmtId="41" fontId="5" fillId="0" borderId="127" xfId="1519" applyFont="1" applyFill="1" applyBorder="1" applyAlignment="1">
      <alignment horizontal="centerContinuous" vertical="center"/>
    </xf>
    <xf numFmtId="41" fontId="3" fillId="0" borderId="24" xfId="1519" applyFont="1" applyFill="1" applyBorder="1" applyAlignment="1">
      <alignment horizontal="centerContinuous" vertical="center"/>
    </xf>
    <xf numFmtId="41" fontId="3" fillId="0" borderId="166" xfId="1519" applyFont="1" applyFill="1" applyBorder="1" applyAlignment="1">
      <alignment horizontal="centerContinuous" vertical="center"/>
    </xf>
    <xf numFmtId="41" fontId="5" fillId="9" borderId="127" xfId="1519" applyFont="1" applyFill="1" applyBorder="1" applyAlignment="1">
      <alignment horizontal="centerContinuous" vertical="center"/>
    </xf>
    <xf numFmtId="41" fontId="3" fillId="9" borderId="24" xfId="1519" applyFont="1" applyFill="1" applyBorder="1" applyAlignment="1">
      <alignment horizontal="centerContinuous" vertical="center"/>
    </xf>
    <xf numFmtId="41" fontId="3" fillId="9" borderId="166" xfId="1519" applyFont="1" applyFill="1" applyBorder="1" applyAlignment="1">
      <alignment horizontal="centerContinuous" vertical="center"/>
    </xf>
    <xf numFmtId="10" fontId="5" fillId="9" borderId="127" xfId="1519" applyNumberFormat="1" applyFont="1" applyFill="1" applyBorder="1" applyAlignment="1">
      <alignment horizontal="centerContinuous" vertical="center"/>
    </xf>
    <xf numFmtId="41" fontId="169" fillId="0" borderId="127" xfId="1519" quotePrefix="1" applyFont="1" applyFill="1" applyBorder="1" applyAlignment="1">
      <alignment horizontal="centerContinuous" vertical="center"/>
    </xf>
    <xf numFmtId="41" fontId="37" fillId="0" borderId="24" xfId="1519" applyFont="1" applyFill="1" applyBorder="1" applyAlignment="1">
      <alignment horizontal="centerContinuous" vertical="center"/>
    </xf>
    <xf numFmtId="41" fontId="37" fillId="0" borderId="166" xfId="1519" applyFont="1" applyFill="1" applyBorder="1" applyAlignment="1">
      <alignment horizontal="centerContinuous" vertical="center"/>
    </xf>
    <xf numFmtId="41" fontId="170" fillId="0" borderId="127" xfId="2" applyFont="1" applyFill="1" applyBorder="1" applyAlignment="1">
      <alignment horizontal="left" vertical="center"/>
    </xf>
    <xf numFmtId="41" fontId="169" fillId="0" borderId="24" xfId="1519" applyFont="1" applyFill="1" applyBorder="1" applyAlignment="1">
      <alignment horizontal="centerContinuous" vertical="center"/>
    </xf>
    <xf numFmtId="41" fontId="169" fillId="0" borderId="166" xfId="1519" applyFont="1" applyFill="1" applyBorder="1" applyAlignment="1">
      <alignment horizontal="centerContinuous" vertical="center"/>
    </xf>
    <xf numFmtId="41" fontId="0" fillId="0" borderId="120" xfId="2" applyFont="1" applyBorder="1">
      <alignment vertical="center"/>
    </xf>
    <xf numFmtId="41" fontId="5" fillId="0" borderId="52" xfId="1519" applyFont="1" applyFill="1" applyBorder="1" applyAlignment="1">
      <alignment horizontal="centerContinuous" vertical="center"/>
    </xf>
    <xf numFmtId="41" fontId="5" fillId="0" borderId="50" xfId="1519" applyFont="1" applyFill="1" applyBorder="1" applyAlignment="1">
      <alignment horizontal="centerContinuous" vertical="center"/>
    </xf>
    <xf numFmtId="41" fontId="5" fillId="0" borderId="166" xfId="1519" applyFont="1" applyFill="1" applyBorder="1" applyAlignment="1">
      <alignment horizontal="centerContinuous" vertical="center"/>
    </xf>
    <xf numFmtId="41" fontId="5" fillId="0" borderId="162" xfId="1519" applyFont="1" applyFill="1" applyBorder="1" applyAlignment="1">
      <alignment horizontal="centerContinuous" vertical="center"/>
    </xf>
    <xf numFmtId="41" fontId="5" fillId="67" borderId="49" xfId="1519" applyFont="1" applyFill="1" applyBorder="1" applyAlignment="1">
      <alignment horizontal="centerContinuous" vertical="center"/>
    </xf>
    <xf numFmtId="41" fontId="5" fillId="67" borderId="0" xfId="1519" applyFont="1" applyFill="1" applyBorder="1" applyAlignment="1">
      <alignment horizontal="centerContinuous" vertical="center"/>
    </xf>
    <xf numFmtId="41" fontId="5" fillId="67" borderId="50" xfId="1519" applyFont="1" applyFill="1" applyBorder="1" applyAlignment="1">
      <alignment horizontal="centerContinuous" vertical="center"/>
    </xf>
    <xf numFmtId="41" fontId="5" fillId="67" borderId="127" xfId="1519" applyFont="1" applyFill="1" applyBorder="1" applyAlignment="1">
      <alignment horizontal="centerContinuous" vertical="center"/>
    </xf>
    <xf numFmtId="41" fontId="5" fillId="67" borderId="24" xfId="1519" applyFont="1" applyFill="1" applyBorder="1" applyAlignment="1">
      <alignment horizontal="centerContinuous" vertical="center"/>
    </xf>
    <xf numFmtId="41" fontId="5" fillId="67" borderId="166" xfId="1519" applyFont="1" applyFill="1" applyBorder="1" applyAlignment="1">
      <alignment horizontal="centerContinuous" vertical="center"/>
    </xf>
    <xf numFmtId="41" fontId="33" fillId="15" borderId="158" xfId="2" applyFont="1" applyFill="1" applyBorder="1" applyAlignment="1">
      <alignment horizontal="centerContinuous" vertical="center"/>
    </xf>
    <xf numFmtId="41" fontId="0" fillId="15" borderId="159" xfId="2" applyFont="1" applyFill="1" applyBorder="1" applyAlignment="1">
      <alignment horizontal="centerContinuous" vertical="center"/>
    </xf>
    <xf numFmtId="10" fontId="5" fillId="9" borderId="158" xfId="1" quotePrefix="1" applyNumberFormat="1" applyFont="1" applyFill="1" applyBorder="1" applyAlignment="1">
      <alignment horizontal="centerContinuous" vertical="center"/>
    </xf>
    <xf numFmtId="10" fontId="5" fillId="6" borderId="158" xfId="1" quotePrefix="1" applyNumberFormat="1" applyFont="1" applyFill="1" applyBorder="1" applyAlignment="1">
      <alignment horizontal="centerContinuous" vertical="center"/>
    </xf>
    <xf numFmtId="41" fontId="5" fillId="14" borderId="158" xfId="1519" quotePrefix="1" applyFont="1" applyFill="1" applyBorder="1" applyAlignment="1">
      <alignment horizontal="centerContinuous" vertical="center"/>
    </xf>
    <xf numFmtId="41" fontId="3" fillId="14" borderId="159" xfId="1519" applyFont="1" applyFill="1" applyBorder="1" applyAlignment="1">
      <alignment horizontal="centerContinuous" vertical="center"/>
    </xf>
    <xf numFmtId="41" fontId="3" fillId="14" borderId="74" xfId="1519" applyFont="1" applyFill="1" applyBorder="1" applyAlignment="1">
      <alignment horizontal="centerContinuous" vertical="center"/>
    </xf>
    <xf numFmtId="41" fontId="173" fillId="0" borderId="117" xfId="1519" applyFont="1" applyFill="1" applyBorder="1" applyAlignment="1">
      <alignment horizontal="centerContinuous" vertical="center"/>
    </xf>
    <xf numFmtId="41" fontId="173" fillId="0" borderId="162" xfId="1519" applyFont="1" applyFill="1" applyBorder="1" applyAlignment="1">
      <alignment horizontal="centerContinuous" vertical="center"/>
    </xf>
    <xf numFmtId="41" fontId="173" fillId="0" borderId="52" xfId="1519" applyFont="1" applyFill="1" applyBorder="1" applyAlignment="1">
      <alignment horizontal="centerContinuous" vertical="center"/>
    </xf>
    <xf numFmtId="10" fontId="5" fillId="14" borderId="117" xfId="1519" applyNumberFormat="1" applyFont="1" applyFill="1" applyBorder="1" applyAlignment="1">
      <alignment horizontal="centerContinuous" vertical="center"/>
    </xf>
    <xf numFmtId="41" fontId="3" fillId="14" borderId="162" xfId="1519" applyFont="1" applyFill="1" applyBorder="1" applyAlignment="1">
      <alignment horizontal="centerContinuous" vertical="center"/>
    </xf>
    <xf numFmtId="41" fontId="3" fillId="14" borderId="52" xfId="1519" applyFont="1" applyFill="1" applyBorder="1" applyAlignment="1">
      <alignment horizontal="centerContinuous" vertical="center"/>
    </xf>
    <xf numFmtId="10" fontId="5" fillId="14" borderId="167" xfId="1519" applyNumberFormat="1" applyFont="1" applyFill="1" applyBorder="1" applyAlignment="1">
      <alignment horizontal="centerContinuous" vertical="center"/>
    </xf>
    <xf numFmtId="41" fontId="3" fillId="14" borderId="0" xfId="1519" applyFont="1" applyFill="1" applyBorder="1" applyAlignment="1">
      <alignment horizontal="centerContinuous" vertical="center"/>
    </xf>
    <xf numFmtId="41" fontId="3" fillId="14" borderId="50" xfId="1519" applyFont="1" applyFill="1" applyBorder="1" applyAlignment="1">
      <alignment horizontal="centerContinuous" vertical="center"/>
    </xf>
    <xf numFmtId="10" fontId="5" fillId="14" borderId="127" xfId="1519" applyNumberFormat="1" applyFont="1" applyFill="1" applyBorder="1" applyAlignment="1">
      <alignment horizontal="centerContinuous" vertical="center"/>
    </xf>
    <xf numFmtId="41" fontId="3" fillId="14" borderId="24" xfId="1519" applyFont="1" applyFill="1" applyBorder="1" applyAlignment="1">
      <alignment horizontal="centerContinuous" vertical="center"/>
    </xf>
    <xf numFmtId="41" fontId="3" fillId="14" borderId="166" xfId="1519" applyFont="1" applyFill="1" applyBorder="1" applyAlignment="1">
      <alignment horizontal="centerContinuous" vertical="center"/>
    </xf>
    <xf numFmtId="0" fontId="171" fillId="0" borderId="24" xfId="0" applyFont="1" applyBorder="1">
      <alignment vertical="center"/>
    </xf>
    <xf numFmtId="41" fontId="173" fillId="0" borderId="49" xfId="1519" applyFont="1" applyFill="1" applyBorder="1" applyAlignment="1">
      <alignment horizontal="centerContinuous" vertical="center"/>
    </xf>
    <xf numFmtId="41" fontId="173" fillId="0" borderId="0" xfId="1519" applyFont="1" applyFill="1" applyBorder="1" applyAlignment="1">
      <alignment horizontal="centerContinuous" vertical="center"/>
    </xf>
    <xf numFmtId="41" fontId="173" fillId="0" borderId="50" xfId="1519" applyFont="1" applyFill="1" applyBorder="1" applyAlignment="1">
      <alignment horizontal="centerContinuous" vertical="center"/>
    </xf>
    <xf numFmtId="10" fontId="173" fillId="14" borderId="117" xfId="1519" quotePrefix="1" applyNumberFormat="1" applyFont="1" applyFill="1" applyBorder="1" applyAlignment="1">
      <alignment horizontal="centerContinuous" vertical="center"/>
    </xf>
    <xf numFmtId="41" fontId="173" fillId="0" borderId="158" xfId="1519" applyFont="1" applyFill="1" applyBorder="1" applyAlignment="1">
      <alignment horizontal="centerContinuous" vertical="center"/>
    </xf>
    <xf numFmtId="41" fontId="0" fillId="18" borderId="171" xfId="2" quotePrefix="1" applyFont="1" applyFill="1" applyBorder="1">
      <alignment vertical="center"/>
    </xf>
    <xf numFmtId="0" fontId="0" fillId="18" borderId="172" xfId="0" applyFill="1" applyBorder="1">
      <alignment vertical="center"/>
    </xf>
    <xf numFmtId="0" fontId="0" fillId="18" borderId="173" xfId="0" applyFill="1" applyBorder="1">
      <alignment vertical="center"/>
    </xf>
    <xf numFmtId="41" fontId="0" fillId="18" borderId="174" xfId="2" quotePrefix="1" applyFont="1" applyFill="1" applyBorder="1">
      <alignment vertical="center"/>
    </xf>
    <xf numFmtId="0" fontId="0" fillId="18" borderId="175" xfId="0" applyFill="1" applyBorder="1">
      <alignment vertical="center"/>
    </xf>
    <xf numFmtId="41" fontId="0" fillId="18" borderId="176" xfId="2" quotePrefix="1" applyFont="1" applyFill="1" applyBorder="1">
      <alignment vertical="center"/>
    </xf>
    <xf numFmtId="0" fontId="0" fillId="18" borderId="177" xfId="0" applyFill="1" applyBorder="1">
      <alignment vertical="center"/>
    </xf>
    <xf numFmtId="0" fontId="0" fillId="18" borderId="178" xfId="0" applyFill="1" applyBorder="1">
      <alignment vertical="center"/>
    </xf>
    <xf numFmtId="41" fontId="0" fillId="18" borderId="168" xfId="2" applyFont="1" applyFill="1" applyBorder="1" applyAlignment="1">
      <alignment horizontal="left" vertical="center"/>
    </xf>
    <xf numFmtId="41" fontId="9" fillId="0" borderId="0" xfId="2" applyFont="1" applyFill="1" applyBorder="1">
      <alignment vertical="center"/>
    </xf>
    <xf numFmtId="41" fontId="5" fillId="14" borderId="158" xfId="1519" applyFont="1" applyFill="1" applyBorder="1" applyAlignment="1">
      <alignment horizontal="centerContinuous" vertical="center"/>
    </xf>
    <xf numFmtId="0" fontId="0" fillId="29" borderId="102" xfId="0" applyFill="1" applyBorder="1">
      <alignment vertical="center"/>
    </xf>
    <xf numFmtId="0" fontId="0" fillId="29" borderId="103" xfId="0" applyFill="1" applyBorder="1">
      <alignment vertical="center"/>
    </xf>
    <xf numFmtId="0" fontId="0" fillId="29" borderId="104" xfId="0" applyFill="1" applyBorder="1">
      <alignment vertical="center"/>
    </xf>
    <xf numFmtId="0" fontId="0" fillId="29" borderId="134" xfId="0" applyFill="1" applyBorder="1">
      <alignment vertical="center"/>
    </xf>
    <xf numFmtId="0" fontId="0" fillId="29" borderId="0" xfId="0" applyFill="1">
      <alignment vertical="center"/>
    </xf>
    <xf numFmtId="0" fontId="0" fillId="29" borderId="135" xfId="0" applyFill="1" applyBorder="1">
      <alignment vertical="center"/>
    </xf>
    <xf numFmtId="0" fontId="0" fillId="29" borderId="105" xfId="0" applyFill="1" applyBorder="1">
      <alignment vertical="center"/>
    </xf>
    <xf numFmtId="0" fontId="0" fillId="29" borderId="106" xfId="0" applyFill="1" applyBorder="1">
      <alignment vertical="center"/>
    </xf>
    <xf numFmtId="0" fontId="0" fillId="29" borderId="107" xfId="0" applyFill="1" applyBorder="1">
      <alignment vertical="center"/>
    </xf>
    <xf numFmtId="41" fontId="0" fillId="2" borderId="0" xfId="2" applyFont="1" applyFill="1" applyAlignment="1">
      <alignment horizontal="centerContinuous" vertical="center"/>
    </xf>
    <xf numFmtId="41" fontId="0" fillId="2" borderId="0" xfId="2" applyFont="1" applyFill="1" applyAlignment="1">
      <alignment horizontal="center" vertical="center"/>
    </xf>
    <xf numFmtId="0" fontId="0" fillId="2" borderId="0" xfId="0" applyFill="1" applyAlignment="1">
      <alignment horizontal="centerContinuous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41" fontId="0" fillId="17" borderId="0" xfId="0" applyNumberFormat="1" applyFill="1" applyAlignment="1">
      <alignment horizontal="centerContinuous" vertical="center"/>
    </xf>
    <xf numFmtId="0" fontId="0" fillId="17" borderId="0" xfId="0" applyFill="1">
      <alignment vertical="center"/>
    </xf>
    <xf numFmtId="41" fontId="0" fillId="17" borderId="0" xfId="0" applyNumberFormat="1" applyFill="1">
      <alignment vertical="center"/>
    </xf>
    <xf numFmtId="41" fontId="0" fillId="17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Continuous" vertical="center"/>
    </xf>
    <xf numFmtId="0" fontId="0" fillId="10" borderId="0" xfId="0" applyFill="1">
      <alignment vertical="center"/>
    </xf>
    <xf numFmtId="0" fontId="0" fillId="10" borderId="0" xfId="0" applyFill="1" applyAlignment="1">
      <alignment horizontal="center" vertical="center"/>
    </xf>
    <xf numFmtId="0" fontId="0" fillId="6" borderId="0" xfId="0" applyFill="1" applyAlignment="1">
      <alignment horizontal="centerContinuous" vertical="center"/>
    </xf>
    <xf numFmtId="0" fontId="0" fillId="3" borderId="0" xfId="0" applyFill="1" applyAlignment="1">
      <alignment horizontal="center" vertical="center"/>
    </xf>
    <xf numFmtId="41" fontId="0" fillId="6" borderId="0" xfId="0" applyNumberForma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41" fontId="5" fillId="0" borderId="117" xfId="1519" quotePrefix="1" applyFont="1" applyFill="1" applyBorder="1" applyAlignment="1">
      <alignment horizontal="centerContinuous" vertical="center"/>
    </xf>
    <xf numFmtId="41" fontId="5" fillId="0" borderId="117" xfId="1519" applyFont="1" applyFill="1" applyBorder="1" applyAlignment="1">
      <alignment horizontal="left" vertical="center"/>
    </xf>
    <xf numFmtId="41" fontId="5" fillId="0" borderId="167" xfId="1519" quotePrefix="1" applyFont="1" applyFill="1" applyBorder="1" applyAlignment="1">
      <alignment horizontal="centerContinuous" vertical="center"/>
    </xf>
    <xf numFmtId="41" fontId="5" fillId="0" borderId="167" xfId="1519" applyFont="1" applyFill="1" applyBorder="1" applyAlignment="1">
      <alignment horizontal="left" vertical="center"/>
    </xf>
    <xf numFmtId="41" fontId="5" fillId="0" borderId="127" xfId="1519" quotePrefix="1" applyFont="1" applyFill="1" applyBorder="1" applyAlignment="1">
      <alignment horizontal="centerContinuous" vertical="center"/>
    </xf>
    <xf numFmtId="41" fontId="5" fillId="0" borderId="24" xfId="1519" applyFont="1" applyFill="1" applyBorder="1" applyAlignment="1">
      <alignment horizontal="centerContinuous" vertical="center"/>
    </xf>
    <xf numFmtId="41" fontId="5" fillId="0" borderId="127" xfId="1519" applyFont="1" applyFill="1" applyBorder="1" applyAlignment="1">
      <alignment horizontal="left" vertical="center"/>
    </xf>
    <xf numFmtId="0" fontId="3" fillId="2" borderId="127" xfId="0" applyFont="1" applyFill="1" applyBorder="1" applyAlignment="1">
      <alignment horizontal="centerContinuous" vertical="center"/>
    </xf>
    <xf numFmtId="0" fontId="3" fillId="2" borderId="24" xfId="0" applyFont="1" applyFill="1" applyBorder="1" applyAlignment="1">
      <alignment horizontal="centerContinuous" vertical="center"/>
    </xf>
    <xf numFmtId="0" fontId="3" fillId="2" borderId="166" xfId="0" applyFont="1" applyFill="1" applyBorder="1" applyAlignment="1">
      <alignment horizontal="centerContinuous" vertical="center"/>
    </xf>
    <xf numFmtId="0" fontId="3" fillId="2" borderId="158" xfId="0" applyFont="1" applyFill="1" applyBorder="1" applyAlignment="1">
      <alignment horizontal="centerContinuous" vertical="center" wrapText="1"/>
    </xf>
    <xf numFmtId="41" fontId="5" fillId="0" borderId="179" xfId="1519" applyFont="1" applyFill="1" applyBorder="1" applyAlignment="1">
      <alignment horizontal="centerContinuous" vertical="center"/>
    </xf>
    <xf numFmtId="41" fontId="3" fillId="0" borderId="1" xfId="1519" applyFont="1" applyFill="1" applyBorder="1" applyAlignment="1">
      <alignment horizontal="centerContinuous" vertical="center"/>
    </xf>
    <xf numFmtId="41" fontId="3" fillId="0" borderId="180" xfId="1519" applyFont="1" applyFill="1" applyBorder="1" applyAlignment="1">
      <alignment horizontal="centerContinuous" vertical="center"/>
    </xf>
    <xf numFmtId="41" fontId="5" fillId="9" borderId="183" xfId="1519" applyFont="1" applyFill="1" applyBorder="1" applyAlignment="1">
      <alignment horizontal="centerContinuous" vertical="center"/>
    </xf>
    <xf numFmtId="41" fontId="3" fillId="9" borderId="184" xfId="1519" applyFont="1" applyFill="1" applyBorder="1" applyAlignment="1">
      <alignment horizontal="centerContinuous" vertical="center"/>
    </xf>
    <xf numFmtId="41" fontId="3" fillId="9" borderId="185" xfId="1519" applyFont="1" applyFill="1" applyBorder="1" applyAlignment="1">
      <alignment horizontal="centerContinuous" vertical="center"/>
    </xf>
    <xf numFmtId="41" fontId="5" fillId="4" borderId="179" xfId="1519" applyFont="1" applyFill="1" applyBorder="1" applyAlignment="1">
      <alignment horizontal="centerContinuous" vertical="center"/>
    </xf>
    <xf numFmtId="41" fontId="5" fillId="4" borderId="1" xfId="1519" applyFont="1" applyFill="1" applyBorder="1" applyAlignment="1">
      <alignment horizontal="centerContinuous" vertical="center"/>
    </xf>
    <xf numFmtId="41" fontId="5" fillId="4" borderId="1" xfId="1519" quotePrefix="1" applyFont="1" applyFill="1" applyBorder="1" applyAlignment="1">
      <alignment horizontal="centerContinuous" vertical="center"/>
    </xf>
    <xf numFmtId="41" fontId="3" fillId="4" borderId="1" xfId="1519" applyFont="1" applyFill="1" applyBorder="1" applyAlignment="1">
      <alignment horizontal="centerContinuous" vertical="center"/>
    </xf>
    <xf numFmtId="41" fontId="3" fillId="4" borderId="180" xfId="1519" applyFont="1" applyFill="1" applyBorder="1" applyAlignment="1">
      <alignment horizontal="centerContinuous" vertical="center"/>
    </xf>
    <xf numFmtId="41" fontId="5" fillId="4" borderId="181" xfId="1519" applyFont="1" applyFill="1" applyBorder="1" applyAlignment="1">
      <alignment horizontal="center" vertical="center"/>
    </xf>
    <xf numFmtId="41" fontId="5" fillId="4" borderId="2" xfId="1519" applyFont="1" applyFill="1" applyBorder="1" applyAlignment="1">
      <alignment horizontal="center" vertical="center"/>
    </xf>
    <xf numFmtId="41" fontId="5" fillId="4" borderId="2" xfId="1519" quotePrefix="1" applyFont="1" applyFill="1" applyBorder="1" applyAlignment="1">
      <alignment horizontal="center" vertical="center"/>
    </xf>
    <xf numFmtId="41" fontId="3" fillId="4" borderId="2" xfId="1519" applyFont="1" applyFill="1" applyBorder="1" applyAlignment="1">
      <alignment horizontal="center" vertical="center"/>
    </xf>
    <xf numFmtId="41" fontId="3" fillId="4" borderId="182" xfId="1519" applyFont="1" applyFill="1" applyBorder="1" applyAlignment="1">
      <alignment horizontal="center" vertical="center"/>
    </xf>
    <xf numFmtId="41" fontId="5" fillId="4" borderId="167" xfId="1519" applyFont="1" applyFill="1" applyBorder="1" applyAlignment="1">
      <alignment horizontal="centerContinuous" vertical="center"/>
    </xf>
    <xf numFmtId="41" fontId="5" fillId="4" borderId="0" xfId="1519" applyFont="1" applyFill="1" applyBorder="1" applyAlignment="1">
      <alignment horizontal="centerContinuous" vertical="center"/>
    </xf>
    <xf numFmtId="41" fontId="5" fillId="4" borderId="0" xfId="1519" quotePrefix="1" applyFont="1" applyFill="1" applyBorder="1" applyAlignment="1">
      <alignment horizontal="centerContinuous" vertical="center"/>
    </xf>
    <xf numFmtId="41" fontId="3" fillId="4" borderId="0" xfId="1519" applyFont="1" applyFill="1" applyBorder="1" applyAlignment="1">
      <alignment horizontal="centerContinuous" vertical="center"/>
    </xf>
    <xf numFmtId="41" fontId="3" fillId="4" borderId="50" xfId="1519" applyFont="1" applyFill="1" applyBorder="1" applyAlignment="1">
      <alignment horizontal="centerContinuous" vertical="center"/>
    </xf>
    <xf numFmtId="0" fontId="3" fillId="2" borderId="117" xfId="0" applyFont="1" applyFill="1" applyBorder="1" applyAlignment="1">
      <alignment horizontal="centerContinuous" vertical="center" wrapText="1"/>
    </xf>
    <xf numFmtId="41" fontId="5" fillId="0" borderId="167" xfId="1519" applyFont="1" applyFill="1" applyBorder="1" applyAlignment="1">
      <alignment horizontal="center" vertical="center"/>
    </xf>
    <xf numFmtId="41" fontId="5" fillId="0" borderId="0" xfId="1519" applyFont="1" applyFill="1" applyBorder="1" applyAlignment="1">
      <alignment horizontal="center" vertical="center"/>
    </xf>
    <xf numFmtId="41" fontId="5" fillId="0" borderId="50" xfId="1519" applyFont="1" applyFill="1" applyBorder="1" applyAlignment="1">
      <alignment horizontal="center" vertical="center"/>
    </xf>
    <xf numFmtId="41" fontId="5" fillId="0" borderId="127" xfId="1519" applyFont="1" applyFill="1" applyBorder="1" applyAlignment="1">
      <alignment horizontal="center" vertical="center"/>
    </xf>
    <xf numFmtId="41" fontId="5" fillId="0" borderId="24" xfId="1519" applyFont="1" applyFill="1" applyBorder="1" applyAlignment="1">
      <alignment horizontal="center" vertical="center"/>
    </xf>
    <xf numFmtId="41" fontId="5" fillId="0" borderId="166" xfId="1519" applyFont="1" applyFill="1" applyBorder="1" applyAlignment="1">
      <alignment horizontal="center" vertical="center"/>
    </xf>
    <xf numFmtId="0" fontId="174" fillId="0" borderId="0" xfId="0" applyFont="1">
      <alignment vertical="center"/>
    </xf>
    <xf numFmtId="0" fontId="11" fillId="6" borderId="186" xfId="0" applyFont="1" applyFill="1" applyBorder="1">
      <alignment vertical="center"/>
    </xf>
    <xf numFmtId="0" fontId="0" fillId="6" borderId="187" xfId="0" applyFill="1" applyBorder="1">
      <alignment vertical="center"/>
    </xf>
    <xf numFmtId="0" fontId="0" fillId="6" borderId="188" xfId="0" applyFill="1" applyBorder="1">
      <alignment vertical="center"/>
    </xf>
    <xf numFmtId="0" fontId="11" fillId="6" borderId="189" xfId="0" applyFont="1" applyFill="1" applyBorder="1">
      <alignment vertical="center"/>
    </xf>
    <xf numFmtId="0" fontId="0" fillId="6" borderId="190" xfId="0" applyFill="1" applyBorder="1">
      <alignment vertical="center"/>
    </xf>
    <xf numFmtId="0" fontId="0" fillId="6" borderId="191" xfId="0" applyFill="1" applyBorder="1">
      <alignment vertical="center"/>
    </xf>
    <xf numFmtId="0" fontId="9" fillId="0" borderId="0" xfId="0" applyFont="1">
      <alignment vertical="center"/>
    </xf>
    <xf numFmtId="0" fontId="9" fillId="29" borderId="0" xfId="0" applyFont="1" applyFill="1">
      <alignment vertical="center"/>
    </xf>
    <xf numFmtId="0" fontId="166" fillId="0" borderId="0" xfId="1942" applyFont="1" applyAlignment="1">
      <alignment horizontal="center" vertical="center"/>
    </xf>
    <xf numFmtId="41" fontId="5" fillId="0" borderId="127" xfId="1519" quotePrefix="1" applyFont="1" applyFill="1" applyBorder="1" applyAlignment="1">
      <alignment horizontal="center" vertical="center"/>
    </xf>
    <xf numFmtId="41" fontId="3" fillId="0" borderId="24" xfId="1519" applyFont="1" applyFill="1" applyBorder="1" applyAlignment="1">
      <alignment horizontal="center" vertical="center"/>
    </xf>
    <xf numFmtId="41" fontId="3" fillId="0" borderId="166" xfId="1519" applyFont="1" applyFill="1" applyBorder="1" applyAlignment="1">
      <alignment horizontal="center" vertical="center"/>
    </xf>
    <xf numFmtId="41" fontId="3" fillId="10" borderId="159" xfId="1519" applyFont="1" applyFill="1" applyBorder="1" applyAlignment="1">
      <alignment horizontal="centerContinuous" vertical="center"/>
    </xf>
    <xf numFmtId="41" fontId="5" fillId="10" borderId="158" xfId="1519" quotePrefix="1" applyFont="1" applyFill="1" applyBorder="1" applyAlignment="1">
      <alignment horizontal="centerContinuous" vertical="center"/>
    </xf>
    <xf numFmtId="41" fontId="5" fillId="10" borderId="74" xfId="1519" applyFont="1" applyFill="1" applyBorder="1" applyAlignment="1">
      <alignment horizontal="centerContinuous" vertical="center"/>
    </xf>
    <xf numFmtId="41" fontId="5" fillId="10" borderId="159" xfId="1519" applyFont="1" applyFill="1" applyBorder="1" applyAlignment="1">
      <alignment horizontal="centerContinuous" vertical="center"/>
    </xf>
    <xf numFmtId="250" fontId="5" fillId="0" borderId="158" xfId="1519" applyNumberFormat="1" applyFont="1" applyFill="1" applyBorder="1" applyAlignment="1">
      <alignment horizontal="centerContinuous" vertical="center"/>
    </xf>
    <xf numFmtId="250" fontId="5" fillId="10" borderId="158" xfId="1519" applyNumberFormat="1" applyFont="1" applyFill="1" applyBorder="1" applyAlignment="1">
      <alignment horizontal="centerContinuous" vertical="center"/>
    </xf>
    <xf numFmtId="0" fontId="15" fillId="15" borderId="49" xfId="0" applyFont="1" applyFill="1" applyBorder="1" applyAlignment="1">
      <alignment horizontal="centerContinuous" vertical="center"/>
    </xf>
    <xf numFmtId="0" fontId="15" fillId="15" borderId="50" xfId="0" applyFont="1" applyFill="1" applyBorder="1" applyAlignment="1">
      <alignment horizontal="centerContinuous" vertical="center"/>
    </xf>
    <xf numFmtId="41" fontId="5" fillId="0" borderId="167" xfId="1519" quotePrefix="1" applyFont="1" applyFill="1" applyBorder="1" applyAlignment="1">
      <alignment horizontal="center" vertical="center"/>
    </xf>
    <xf numFmtId="41" fontId="3" fillId="0" borderId="0" xfId="1519" applyFont="1" applyFill="1" applyBorder="1" applyAlignment="1">
      <alignment horizontal="center" vertical="center"/>
    </xf>
    <xf numFmtId="41" fontId="3" fillId="0" borderId="50" xfId="1519" applyFont="1" applyFill="1" applyBorder="1" applyAlignment="1">
      <alignment horizontal="center" vertical="center"/>
    </xf>
    <xf numFmtId="250" fontId="5" fillId="10" borderId="117" xfId="1519" applyNumberFormat="1" applyFont="1" applyFill="1" applyBorder="1" applyAlignment="1">
      <alignment horizontal="centerContinuous" vertical="center"/>
    </xf>
    <xf numFmtId="41" fontId="3" fillId="10" borderId="52" xfId="1519" applyFont="1" applyFill="1" applyBorder="1" applyAlignment="1">
      <alignment horizontal="centerContinuous" vertical="center"/>
    </xf>
    <xf numFmtId="41" fontId="5" fillId="10" borderId="117" xfId="1519" quotePrefix="1" applyFont="1" applyFill="1" applyBorder="1" applyAlignment="1">
      <alignment horizontal="centerContinuous" vertical="center"/>
    </xf>
    <xf numFmtId="41" fontId="5" fillId="10" borderId="162" xfId="1519" applyFont="1" applyFill="1" applyBorder="1" applyAlignment="1">
      <alignment horizontal="centerContinuous" vertical="center"/>
    </xf>
    <xf numFmtId="41" fontId="5" fillId="10" borderId="52" xfId="1519" applyFont="1" applyFill="1" applyBorder="1" applyAlignment="1">
      <alignment horizontal="centerContinuous" vertical="center"/>
    </xf>
    <xf numFmtId="41" fontId="5" fillId="4" borderId="192" xfId="1519" applyFont="1" applyFill="1" applyBorder="1" applyAlignment="1">
      <alignment horizontal="centerContinuous" vertical="center"/>
    </xf>
    <xf numFmtId="41" fontId="5" fillId="4" borderId="193" xfId="1519" applyFont="1" applyFill="1" applyBorder="1" applyAlignment="1">
      <alignment horizontal="centerContinuous" vertical="center"/>
    </xf>
    <xf numFmtId="250" fontId="5" fillId="0" borderId="194" xfId="1519" applyNumberFormat="1" applyFont="1" applyFill="1" applyBorder="1" applyAlignment="1">
      <alignment horizontal="centerContinuous" vertical="center"/>
    </xf>
    <xf numFmtId="41" fontId="3" fillId="0" borderId="195" xfId="1519" applyFont="1" applyFill="1" applyBorder="1" applyAlignment="1">
      <alignment horizontal="centerContinuous" vertical="center"/>
    </xf>
    <xf numFmtId="41" fontId="5" fillId="0" borderId="194" xfId="1519" quotePrefix="1" applyFont="1" applyFill="1" applyBorder="1" applyAlignment="1">
      <alignment horizontal="centerContinuous" vertical="center"/>
    </xf>
    <xf numFmtId="41" fontId="5" fillId="0" borderId="196" xfId="1519" applyFont="1" applyFill="1" applyBorder="1" applyAlignment="1">
      <alignment horizontal="centerContinuous" vertical="center"/>
    </xf>
    <xf numFmtId="41" fontId="5" fillId="0" borderId="195" xfId="1519" applyFont="1" applyFill="1" applyBorder="1" applyAlignment="1">
      <alignment horizontal="centerContinuous" vertical="center"/>
    </xf>
    <xf numFmtId="41" fontId="5" fillId="4" borderId="197" xfId="1519" applyFont="1" applyFill="1" applyBorder="1" applyAlignment="1">
      <alignment horizontal="center" vertical="center"/>
    </xf>
    <xf numFmtId="41" fontId="5" fillId="4" borderId="198" xfId="1519" applyFont="1" applyFill="1" applyBorder="1" applyAlignment="1">
      <alignment horizontal="center" vertical="center"/>
    </xf>
    <xf numFmtId="250" fontId="5" fillId="10" borderId="199" xfId="1519" applyNumberFormat="1" applyFont="1" applyFill="1" applyBorder="1" applyAlignment="1">
      <alignment horizontal="centerContinuous" vertical="center"/>
    </xf>
    <xf numFmtId="41" fontId="3" fillId="10" borderId="200" xfId="1519" applyFont="1" applyFill="1" applyBorder="1" applyAlignment="1">
      <alignment horizontal="centerContinuous" vertical="center"/>
    </xf>
    <xf numFmtId="41" fontId="5" fillId="10" borderId="199" xfId="1519" quotePrefix="1" applyFont="1" applyFill="1" applyBorder="1" applyAlignment="1">
      <alignment horizontal="centerContinuous" vertical="center"/>
    </xf>
    <xf numFmtId="41" fontId="5" fillId="10" borderId="201" xfId="1519" applyFont="1" applyFill="1" applyBorder="1" applyAlignment="1">
      <alignment horizontal="centerContinuous" vertical="center"/>
    </xf>
    <xf numFmtId="41" fontId="5" fillId="10" borderId="200" xfId="1519" applyFont="1" applyFill="1" applyBorder="1" applyAlignment="1">
      <alignment horizontal="centerContinuous" vertical="center"/>
    </xf>
    <xf numFmtId="0" fontId="15" fillId="15" borderId="127" xfId="0" applyFont="1" applyFill="1" applyBorder="1" applyAlignment="1">
      <alignment horizontal="centerContinuous" vertical="center"/>
    </xf>
    <xf numFmtId="0" fontId="15" fillId="15" borderId="24" xfId="0" applyFont="1" applyFill="1" applyBorder="1" applyAlignment="1">
      <alignment horizontal="centerContinuous" vertical="center"/>
    </xf>
    <xf numFmtId="0" fontId="15" fillId="15" borderId="166" xfId="0" applyFont="1" applyFill="1" applyBorder="1" applyAlignment="1">
      <alignment horizontal="centerContinuous" vertical="center"/>
    </xf>
    <xf numFmtId="0" fontId="15" fillId="15" borderId="202" xfId="0" applyFont="1" applyFill="1" applyBorder="1" applyAlignment="1">
      <alignment horizontal="centerContinuous" vertical="center"/>
    </xf>
    <xf numFmtId="0" fontId="3" fillId="0" borderId="167" xfId="0" applyFont="1" applyBorder="1" applyAlignment="1">
      <alignment horizontal="centerContinuous" vertical="center"/>
    </xf>
    <xf numFmtId="41" fontId="5" fillId="4" borderId="203" xfId="1519" applyFont="1" applyFill="1" applyBorder="1" applyAlignment="1">
      <alignment horizontal="centerContinuous" vertical="center"/>
    </xf>
    <xf numFmtId="41" fontId="5" fillId="4" borderId="50" xfId="1519" applyFont="1" applyFill="1" applyBorder="1" applyAlignment="1">
      <alignment horizontal="centerContinuous" vertical="center"/>
    </xf>
    <xf numFmtId="41" fontId="5" fillId="4" borderId="204" xfId="1519" applyFont="1" applyFill="1" applyBorder="1" applyAlignment="1">
      <alignment horizontal="center" vertical="center"/>
    </xf>
    <xf numFmtId="0" fontId="11" fillId="0" borderId="0" xfId="0" applyFont="1">
      <alignment vertical="center"/>
    </xf>
    <xf numFmtId="41" fontId="171" fillId="0" borderId="0" xfId="2" applyFont="1" applyBorder="1">
      <alignment vertical="center"/>
    </xf>
    <xf numFmtId="41" fontId="0" fillId="0" borderId="0" xfId="2" applyFont="1" applyAlignment="1">
      <alignment horizontal="center" vertical="center"/>
    </xf>
    <xf numFmtId="41" fontId="176" fillId="15" borderId="0" xfId="2" applyFont="1" applyFill="1" applyAlignment="1">
      <alignment horizontal="centerContinuous" vertical="center"/>
    </xf>
    <xf numFmtId="41" fontId="0" fillId="17" borderId="0" xfId="2" applyFont="1" applyFill="1" applyAlignment="1">
      <alignment horizontal="center" vertical="center"/>
    </xf>
    <xf numFmtId="41" fontId="3" fillId="0" borderId="0" xfId="2" applyFont="1" applyAlignment="1">
      <alignment horizontal="center" vertical="center"/>
    </xf>
    <xf numFmtId="41" fontId="3" fillId="0" borderId="0" xfId="2" applyFont="1" applyAlignment="1">
      <alignment horizontal="left" vertical="center"/>
    </xf>
    <xf numFmtId="41" fontId="5" fillId="3" borderId="74" xfId="1519" applyFont="1" applyFill="1" applyBorder="1" applyAlignment="1">
      <alignment horizontal="centerContinuous" vertical="center"/>
    </xf>
    <xf numFmtId="41" fontId="5" fillId="3" borderId="159" xfId="1519" applyFont="1" applyFill="1" applyBorder="1" applyAlignment="1">
      <alignment horizontal="centerContinuous" vertical="center"/>
    </xf>
    <xf numFmtId="41" fontId="16" fillId="3" borderId="74" xfId="1519" applyFont="1" applyFill="1" applyBorder="1" applyAlignment="1">
      <alignment horizontal="centerContinuous" vertical="center"/>
    </xf>
    <xf numFmtId="41" fontId="16" fillId="3" borderId="159" xfId="1519" applyFont="1" applyFill="1" applyBorder="1" applyAlignment="1">
      <alignment horizontal="centerContinuous" vertical="center"/>
    </xf>
    <xf numFmtId="41" fontId="33" fillId="3" borderId="158" xfId="1519" quotePrefix="1" applyFont="1" applyFill="1" applyBorder="1" applyAlignment="1">
      <alignment horizontal="centerContinuous" vertical="center"/>
    </xf>
    <xf numFmtId="20" fontId="5" fillId="0" borderId="158" xfId="1519" applyNumberFormat="1" applyFont="1" applyFill="1" applyBorder="1" applyAlignment="1">
      <alignment horizontal="centerContinuous" vertical="center"/>
    </xf>
    <xf numFmtId="0" fontId="0" fillId="0" borderId="52" xfId="0" applyBorder="1">
      <alignment vertical="center"/>
    </xf>
    <xf numFmtId="20" fontId="5" fillId="3" borderId="158" xfId="1519" applyNumberFormat="1" applyFont="1" applyFill="1" applyBorder="1" applyAlignment="1">
      <alignment horizontal="centerContinuous" vertical="center"/>
    </xf>
    <xf numFmtId="249" fontId="3" fillId="0" borderId="44" xfId="1519" applyNumberFormat="1" applyFont="1" applyFill="1" applyBorder="1" applyAlignment="1">
      <alignment horizontal="center" vertical="center"/>
    </xf>
    <xf numFmtId="41" fontId="5" fillId="0" borderId="205" xfId="1519" applyFont="1" applyFill="1" applyBorder="1" applyAlignment="1">
      <alignment horizontal="centerContinuous" vertical="center"/>
    </xf>
    <xf numFmtId="41" fontId="5" fillId="0" borderId="44" xfId="1519" applyFont="1" applyFill="1" applyBorder="1" applyAlignment="1">
      <alignment horizontal="centerContinuous" vertical="center"/>
    </xf>
    <xf numFmtId="41" fontId="5" fillId="9" borderId="206" xfId="1519" applyFont="1" applyFill="1" applyBorder="1" applyAlignment="1">
      <alignment horizontal="centerContinuous" vertical="center"/>
    </xf>
    <xf numFmtId="250" fontId="5" fillId="0" borderId="179" xfId="1519" applyNumberFormat="1" applyFont="1" applyFill="1" applyBorder="1" applyAlignment="1">
      <alignment horizontal="centerContinuous" vertical="center"/>
    </xf>
    <xf numFmtId="250" fontId="5" fillId="0" borderId="167" xfId="1519" applyNumberFormat="1" applyFont="1" applyFill="1" applyBorder="1" applyAlignment="1">
      <alignment horizontal="centerContinuous" vertical="center"/>
    </xf>
    <xf numFmtId="250" fontId="5" fillId="9" borderId="183" xfId="1519" applyNumberFormat="1" applyFont="1" applyFill="1" applyBorder="1" applyAlignment="1">
      <alignment horizontal="centerContinuous" vertical="center"/>
    </xf>
    <xf numFmtId="250" fontId="5" fillId="0" borderId="117" xfId="1519" applyNumberFormat="1" applyFont="1" applyFill="1" applyBorder="1" applyAlignment="1">
      <alignment horizontal="centerContinuous" vertical="center"/>
    </xf>
    <xf numFmtId="250" fontId="5" fillId="0" borderId="127" xfId="1519" applyNumberFormat="1" applyFont="1" applyFill="1" applyBorder="1" applyAlignment="1">
      <alignment horizontal="centerContinuous" vertical="center"/>
    </xf>
    <xf numFmtId="177" fontId="5" fillId="0" borderId="117" xfId="1519" applyNumberFormat="1" applyFont="1" applyFill="1" applyBorder="1" applyAlignment="1">
      <alignment horizontal="centerContinuous" vertical="center"/>
    </xf>
    <xf numFmtId="177" fontId="3" fillId="0" borderId="162" xfId="1519" applyNumberFormat="1" applyFont="1" applyFill="1" applyBorder="1" applyAlignment="1">
      <alignment horizontal="centerContinuous" vertical="center"/>
    </xf>
    <xf numFmtId="177" fontId="3" fillId="0" borderId="52" xfId="1519" applyNumberFormat="1" applyFont="1" applyFill="1" applyBorder="1" applyAlignment="1">
      <alignment horizontal="centerContinuous" vertical="center"/>
    </xf>
    <xf numFmtId="177" fontId="169" fillId="0" borderId="117" xfId="1519" applyNumberFormat="1" applyFont="1" applyFill="1" applyBorder="1" applyAlignment="1">
      <alignment horizontal="centerContinuous" vertical="center"/>
    </xf>
    <xf numFmtId="177" fontId="175" fillId="0" borderId="162" xfId="1519" applyNumberFormat="1" applyFont="1" applyFill="1" applyBorder="1" applyAlignment="1">
      <alignment horizontal="centerContinuous" vertical="center"/>
    </xf>
    <xf numFmtId="177" fontId="5" fillId="0" borderId="167" xfId="1519" applyNumberFormat="1" applyFont="1" applyFill="1" applyBorder="1" applyAlignment="1">
      <alignment horizontal="centerContinuous" vertical="center"/>
    </xf>
    <xf numFmtId="177" fontId="3" fillId="0" borderId="0" xfId="1519" applyNumberFormat="1" applyFont="1" applyFill="1" applyBorder="1" applyAlignment="1">
      <alignment horizontal="centerContinuous" vertical="center"/>
    </xf>
    <xf numFmtId="177" fontId="3" fillId="0" borderId="50" xfId="1519" applyNumberFormat="1" applyFont="1" applyFill="1" applyBorder="1" applyAlignment="1">
      <alignment horizontal="centerContinuous" vertical="center"/>
    </xf>
    <xf numFmtId="177" fontId="169" fillId="0" borderId="167" xfId="1519" applyNumberFormat="1" applyFont="1" applyFill="1" applyBorder="1" applyAlignment="1">
      <alignment horizontal="centerContinuous" vertical="center"/>
    </xf>
    <xf numFmtId="177" fontId="175" fillId="0" borderId="0" xfId="1519" applyNumberFormat="1" applyFont="1" applyFill="1" applyBorder="1" applyAlignment="1">
      <alignment horizontal="centerContinuous" vertical="center"/>
    </xf>
    <xf numFmtId="177" fontId="5" fillId="0" borderId="127" xfId="1519" applyNumberFormat="1" applyFont="1" applyFill="1" applyBorder="1" applyAlignment="1">
      <alignment horizontal="centerContinuous" vertical="center"/>
    </xf>
    <xf numFmtId="177" fontId="3" fillId="0" borderId="24" xfId="1519" applyNumberFormat="1" applyFont="1" applyFill="1" applyBorder="1" applyAlignment="1">
      <alignment horizontal="centerContinuous" vertical="center"/>
    </xf>
    <xf numFmtId="177" fontId="3" fillId="0" borderId="166" xfId="1519" applyNumberFormat="1" applyFont="1" applyFill="1" applyBorder="1" applyAlignment="1">
      <alignment horizontal="centerContinuous" vertical="center"/>
    </xf>
    <xf numFmtId="177" fontId="169" fillId="0" borderId="127" xfId="1519" applyNumberFormat="1" applyFont="1" applyFill="1" applyBorder="1" applyAlignment="1">
      <alignment horizontal="centerContinuous" vertical="center"/>
    </xf>
    <xf numFmtId="177" fontId="175" fillId="0" borderId="24" xfId="1519" applyNumberFormat="1" applyFont="1" applyFill="1" applyBorder="1" applyAlignment="1">
      <alignment horizontal="centerContinuous" vertical="center"/>
    </xf>
    <xf numFmtId="177" fontId="5" fillId="0" borderId="158" xfId="1519" applyNumberFormat="1" applyFont="1" applyFill="1" applyBorder="1" applyAlignment="1">
      <alignment horizontal="centerContinuous" vertical="center"/>
    </xf>
    <xf numFmtId="177" fontId="3" fillId="0" borderId="74" xfId="1519" applyNumberFormat="1" applyFont="1" applyFill="1" applyBorder="1" applyAlignment="1">
      <alignment horizontal="centerContinuous" vertical="center"/>
    </xf>
    <xf numFmtId="177" fontId="3" fillId="0" borderId="159" xfId="1519" applyNumberFormat="1" applyFont="1" applyFill="1" applyBorder="1" applyAlignment="1">
      <alignment horizontal="centerContinuous" vertical="center"/>
    </xf>
    <xf numFmtId="177" fontId="5" fillId="9" borderId="158" xfId="1519" applyNumberFormat="1" applyFont="1" applyFill="1" applyBorder="1" applyAlignment="1">
      <alignment horizontal="centerContinuous" vertical="center"/>
    </xf>
    <xf numFmtId="177" fontId="3" fillId="9" borderId="74" xfId="1519" applyNumberFormat="1" applyFont="1" applyFill="1" applyBorder="1" applyAlignment="1">
      <alignment horizontal="centerContinuous" vertical="center"/>
    </xf>
    <xf numFmtId="177" fontId="3" fillId="9" borderId="159" xfId="1519" applyNumberFormat="1" applyFont="1" applyFill="1" applyBorder="1" applyAlignment="1">
      <alignment horizontal="centerContinuous" vertical="center"/>
    </xf>
    <xf numFmtId="177" fontId="5" fillId="2" borderId="117" xfId="1519" applyNumberFormat="1" applyFont="1" applyFill="1" applyBorder="1" applyAlignment="1">
      <alignment horizontal="centerContinuous" vertical="center"/>
    </xf>
    <xf numFmtId="177" fontId="3" fillId="2" borderId="162" xfId="1519" applyNumberFormat="1" applyFont="1" applyFill="1" applyBorder="1" applyAlignment="1">
      <alignment horizontal="centerContinuous" vertical="center"/>
    </xf>
    <xf numFmtId="177" fontId="3" fillId="2" borderId="52" xfId="1519" applyNumberFormat="1" applyFont="1" applyFill="1" applyBorder="1" applyAlignment="1">
      <alignment horizontal="centerContinuous" vertical="center"/>
    </xf>
    <xf numFmtId="177" fontId="5" fillId="2" borderId="167" xfId="1519" applyNumberFormat="1" applyFont="1" applyFill="1" applyBorder="1" applyAlignment="1">
      <alignment horizontal="centerContinuous" vertical="center"/>
    </xf>
    <xf numFmtId="177" fontId="3" fillId="2" borderId="0" xfId="1519" applyNumberFormat="1" applyFont="1" applyFill="1" applyBorder="1" applyAlignment="1">
      <alignment horizontal="centerContinuous" vertical="center"/>
    </xf>
    <xf numFmtId="177" fontId="3" fillId="2" borderId="50" xfId="1519" applyNumberFormat="1" applyFont="1" applyFill="1" applyBorder="1" applyAlignment="1">
      <alignment horizontal="centerContinuous" vertical="center"/>
    </xf>
    <xf numFmtId="177" fontId="5" fillId="9" borderId="117" xfId="1519" applyNumberFormat="1" applyFont="1" applyFill="1" applyBorder="1" applyAlignment="1">
      <alignment horizontal="centerContinuous" vertical="center"/>
    </xf>
    <xf numFmtId="177" fontId="3" fillId="9" borderId="162" xfId="1519" applyNumberFormat="1" applyFont="1" applyFill="1" applyBorder="1" applyAlignment="1">
      <alignment horizontal="centerContinuous" vertical="center"/>
    </xf>
    <xf numFmtId="177" fontId="3" fillId="9" borderId="52" xfId="1519" applyNumberFormat="1" applyFont="1" applyFill="1" applyBorder="1" applyAlignment="1">
      <alignment horizontal="centerContinuous" vertical="center"/>
    </xf>
    <xf numFmtId="177" fontId="5" fillId="0" borderId="179" xfId="1519" applyNumberFormat="1" applyFont="1" applyFill="1" applyBorder="1" applyAlignment="1">
      <alignment horizontal="centerContinuous" vertical="center"/>
    </xf>
    <xf numFmtId="177" fontId="3" fillId="0" borderId="1" xfId="1519" applyNumberFormat="1" applyFont="1" applyFill="1" applyBorder="1" applyAlignment="1">
      <alignment horizontal="centerContinuous" vertical="center"/>
    </xf>
    <xf numFmtId="177" fontId="3" fillId="0" borderId="180" xfId="1519" applyNumberFormat="1" applyFont="1" applyFill="1" applyBorder="1" applyAlignment="1">
      <alignment horizontal="centerContinuous" vertical="center"/>
    </xf>
    <xf numFmtId="177" fontId="5" fillId="9" borderId="183" xfId="1519" applyNumberFormat="1" applyFont="1" applyFill="1" applyBorder="1" applyAlignment="1">
      <alignment horizontal="centerContinuous" vertical="center"/>
    </xf>
    <xf numFmtId="177" fontId="3" fillId="9" borderId="184" xfId="1519" applyNumberFormat="1" applyFont="1" applyFill="1" applyBorder="1" applyAlignment="1">
      <alignment horizontal="centerContinuous" vertical="center"/>
    </xf>
    <xf numFmtId="177" fontId="3" fillId="9" borderId="185" xfId="1519" applyNumberFormat="1" applyFont="1" applyFill="1" applyBorder="1" applyAlignment="1">
      <alignment horizontal="centerContinuous" vertical="center"/>
    </xf>
    <xf numFmtId="41" fontId="5" fillId="0" borderId="160" xfId="1519" applyFont="1" applyFill="1" applyBorder="1" applyAlignment="1">
      <alignment horizontal="centerContinuous" vertical="center"/>
    </xf>
    <xf numFmtId="0" fontId="5" fillId="29" borderId="0" xfId="0" applyFont="1" applyFill="1">
      <alignment vertical="center"/>
    </xf>
    <xf numFmtId="0" fontId="39" fillId="29" borderId="0" xfId="0" applyFont="1" applyFill="1">
      <alignment vertical="center"/>
    </xf>
    <xf numFmtId="0" fontId="5" fillId="29" borderId="0" xfId="0" applyFont="1" applyFill="1" applyAlignment="1">
      <alignment horizontal="centerContinuous" vertical="center"/>
    </xf>
    <xf numFmtId="0" fontId="39" fillId="29" borderId="0" xfId="0" applyFont="1" applyFill="1" applyAlignment="1">
      <alignment horizontal="centerContinuous" vertical="center"/>
    </xf>
    <xf numFmtId="0" fontId="39" fillId="69" borderId="207" xfId="0" applyFont="1" applyFill="1" applyBorder="1" applyAlignment="1">
      <alignment horizontal="centerContinuous" vertical="center"/>
    </xf>
    <xf numFmtId="0" fontId="5" fillId="69" borderId="207" xfId="0" applyFont="1" applyFill="1" applyBorder="1" applyAlignment="1">
      <alignment horizontal="centerContinuous" vertical="center"/>
    </xf>
    <xf numFmtId="0" fontId="39" fillId="70" borderId="208" xfId="0" applyFont="1" applyFill="1" applyBorder="1" applyAlignment="1">
      <alignment horizontal="centerContinuous" vertical="center"/>
    </xf>
    <xf numFmtId="0" fontId="5" fillId="70" borderId="208" xfId="0" applyFont="1" applyFill="1" applyBorder="1" applyAlignment="1">
      <alignment horizontal="centerContinuous" vertical="center"/>
    </xf>
    <xf numFmtId="0" fontId="39" fillId="70" borderId="0" xfId="0" applyFont="1" applyFill="1" applyAlignment="1">
      <alignment horizontal="centerContinuous" vertical="center"/>
    </xf>
    <xf numFmtId="0" fontId="5" fillId="70" borderId="0" xfId="0" applyFont="1" applyFill="1" applyAlignment="1">
      <alignment horizontal="centerContinuous" vertical="center"/>
    </xf>
    <xf numFmtId="0" fontId="178" fillId="70" borderId="0" xfId="0" applyFont="1" applyFill="1" applyAlignment="1">
      <alignment horizontal="centerContinuous" vertical="center"/>
    </xf>
    <xf numFmtId="0" fontId="7" fillId="70" borderId="0" xfId="0" applyFont="1" applyFill="1" applyAlignment="1">
      <alignment horizontal="centerContinuous" vertical="center"/>
    </xf>
    <xf numFmtId="0" fontId="39" fillId="7" borderId="207" xfId="0" applyFont="1" applyFill="1" applyBorder="1" applyAlignment="1">
      <alignment horizontal="centerContinuous" vertical="center"/>
    </xf>
    <xf numFmtId="0" fontId="5" fillId="7" borderId="207" xfId="0" applyFont="1" applyFill="1" applyBorder="1" applyAlignment="1">
      <alignment horizontal="centerContinuous" vertical="center"/>
    </xf>
    <xf numFmtId="41" fontId="0" fillId="0" borderId="78" xfId="2" applyFont="1" applyBorder="1">
      <alignment vertical="center"/>
    </xf>
    <xf numFmtId="41" fontId="0" fillId="0" borderId="209" xfId="2" applyFont="1" applyBorder="1">
      <alignment vertical="center"/>
    </xf>
    <xf numFmtId="0" fontId="3" fillId="2" borderId="210" xfId="0" applyFont="1" applyFill="1" applyBorder="1" applyAlignment="1">
      <alignment horizontal="centerContinuous" vertical="center" wrapText="1"/>
    </xf>
    <xf numFmtId="0" fontId="3" fillId="2" borderId="209" xfId="0" applyFont="1" applyFill="1" applyBorder="1" applyAlignment="1">
      <alignment horizontal="centerContinuous" vertical="center"/>
    </xf>
    <xf numFmtId="249" fontId="3" fillId="2" borderId="211" xfId="1519" applyNumberFormat="1" applyFont="1" applyFill="1" applyBorder="1" applyAlignment="1">
      <alignment horizontal="center" vertical="center"/>
    </xf>
    <xf numFmtId="249" fontId="3" fillId="0" borderId="211" xfId="1519" applyNumberFormat="1" applyFont="1" applyFill="1" applyBorder="1" applyAlignment="1">
      <alignment horizontal="center" vertical="center"/>
    </xf>
    <xf numFmtId="41" fontId="179" fillId="3" borderId="158" xfId="1519" quotePrefix="1" applyFont="1" applyFill="1" applyBorder="1" applyAlignment="1">
      <alignment horizontal="centerContinuous" vertical="center"/>
    </xf>
    <xf numFmtId="0" fontId="40" fillId="6" borderId="0" xfId="2" applyNumberFormat="1" applyFont="1" applyFill="1" applyBorder="1" applyAlignment="1">
      <alignment horizontal="left" vertical="center"/>
    </xf>
    <xf numFmtId="0" fontId="0" fillId="0" borderId="158" xfId="0" applyBorder="1" applyAlignment="1">
      <alignment horizontal="centerContinuous" vertical="center"/>
    </xf>
    <xf numFmtId="0" fontId="168" fillId="0" borderId="0" xfId="1942" applyFont="1" applyAlignment="1">
      <alignment horizontal="left" vertical="center"/>
    </xf>
    <xf numFmtId="0" fontId="5" fillId="0" borderId="158" xfId="1519" applyNumberFormat="1" applyFont="1" applyFill="1" applyBorder="1" applyAlignment="1">
      <alignment horizontal="centerContinuous" vertical="center"/>
    </xf>
    <xf numFmtId="0" fontId="5" fillId="0" borderId="74" xfId="1519" applyNumberFormat="1" applyFont="1" applyFill="1" applyBorder="1" applyAlignment="1">
      <alignment horizontal="centerContinuous" vertical="center"/>
    </xf>
    <xf numFmtId="0" fontId="5" fillId="0" borderId="159" xfId="1519" applyNumberFormat="1" applyFont="1" applyFill="1" applyBorder="1" applyAlignment="1">
      <alignment horizontal="centerContinuous" vertical="center"/>
    </xf>
    <xf numFmtId="0" fontId="5" fillId="0" borderId="158" xfId="1519" quotePrefix="1" applyNumberFormat="1" applyFont="1" applyFill="1" applyBorder="1" applyAlignment="1">
      <alignment horizontal="centerContinuous" vertical="center"/>
    </xf>
    <xf numFmtId="0" fontId="5" fillId="14" borderId="158" xfId="1519" applyNumberFormat="1" applyFont="1" applyFill="1" applyBorder="1" applyAlignment="1">
      <alignment horizontal="centerContinuous" vertical="center"/>
    </xf>
    <xf numFmtId="0" fontId="5" fillId="14" borderId="74" xfId="1519" applyNumberFormat="1" applyFont="1" applyFill="1" applyBorder="1" applyAlignment="1">
      <alignment horizontal="centerContinuous" vertical="center"/>
    </xf>
    <xf numFmtId="0" fontId="5" fillId="14" borderId="159" xfId="1519" applyNumberFormat="1" applyFont="1" applyFill="1" applyBorder="1" applyAlignment="1">
      <alignment horizontal="centerContinuous" vertical="center"/>
    </xf>
    <xf numFmtId="0" fontId="5" fillId="3" borderId="158" xfId="1519" quotePrefix="1" applyNumberFormat="1" applyFont="1" applyFill="1" applyBorder="1" applyAlignment="1">
      <alignment horizontal="centerContinuous" vertical="center"/>
    </xf>
    <xf numFmtId="0" fontId="5" fillId="3" borderId="74" xfId="1519" applyNumberFormat="1" applyFont="1" applyFill="1" applyBorder="1" applyAlignment="1">
      <alignment horizontal="centerContinuous" vertical="center"/>
    </xf>
    <xf numFmtId="0" fontId="5" fillId="3" borderId="159" xfId="1519" applyNumberFormat="1" applyFont="1" applyFill="1" applyBorder="1" applyAlignment="1">
      <alignment horizontal="centerContinuous" vertical="center"/>
    </xf>
    <xf numFmtId="0" fontId="5" fillId="3" borderId="158" xfId="1519" applyNumberFormat="1" applyFont="1" applyFill="1" applyBorder="1" applyAlignment="1">
      <alignment horizontal="centerContinuous" vertical="center"/>
    </xf>
    <xf numFmtId="0" fontId="3" fillId="2" borderId="210" xfId="0" applyFont="1" applyFill="1" applyBorder="1" applyAlignment="1">
      <alignment horizontal="centerContinuous" vertical="center"/>
    </xf>
    <xf numFmtId="0" fontId="3" fillId="3" borderId="210" xfId="0" applyFont="1" applyFill="1" applyBorder="1" applyAlignment="1">
      <alignment horizontal="centerContinuous" vertical="center"/>
    </xf>
    <xf numFmtId="0" fontId="3" fillId="3" borderId="209" xfId="0" applyFont="1" applyFill="1" applyBorder="1" applyAlignment="1">
      <alignment horizontal="centerContinuous" vertical="center"/>
    </xf>
    <xf numFmtId="0" fontId="3" fillId="3" borderId="127" xfId="0" applyFont="1" applyFill="1" applyBorder="1" applyAlignment="1">
      <alignment horizontal="centerContinuous" vertical="center"/>
    </xf>
    <xf numFmtId="0" fontId="3" fillId="3" borderId="166" xfId="0" applyFont="1" applyFill="1" applyBorder="1" applyAlignment="1">
      <alignment horizontal="centerContinuous" vertical="center"/>
    </xf>
    <xf numFmtId="249" fontId="3" fillId="0" borderId="160" xfId="1519" applyNumberFormat="1" applyFont="1" applyFill="1" applyBorder="1" applyAlignment="1">
      <alignment horizontal="centerContinuous" vertical="center"/>
    </xf>
    <xf numFmtId="0" fontId="3" fillId="3" borderId="158" xfId="0" applyFont="1" applyFill="1" applyBorder="1" applyAlignment="1">
      <alignment horizontal="centerContinuous" vertical="center"/>
    </xf>
    <xf numFmtId="0" fontId="3" fillId="3" borderId="74" xfId="0" applyFont="1" applyFill="1" applyBorder="1" applyAlignment="1">
      <alignment horizontal="centerContinuous" vertical="center"/>
    </xf>
    <xf numFmtId="0" fontId="3" fillId="3" borderId="159" xfId="0" applyFont="1" applyFill="1" applyBorder="1" applyAlignment="1">
      <alignment horizontal="centerContinuous" vertical="center"/>
    </xf>
    <xf numFmtId="0" fontId="172" fillId="0" borderId="0" xfId="0" applyFont="1">
      <alignment vertical="center"/>
    </xf>
    <xf numFmtId="249" fontId="3" fillId="0" borderId="128" xfId="1519" applyNumberFormat="1" applyFont="1" applyFill="1" applyBorder="1" applyAlignment="1">
      <alignment horizontal="center" vertical="center"/>
    </xf>
    <xf numFmtId="0" fontId="3" fillId="4" borderId="162" xfId="0" applyFont="1" applyFill="1" applyBorder="1" applyAlignment="1">
      <alignment horizontal="centerContinuous" vertical="center"/>
    </xf>
    <xf numFmtId="0" fontId="172" fillId="0" borderId="24" xfId="0" applyFont="1" applyBorder="1">
      <alignment vertical="center"/>
    </xf>
    <xf numFmtId="249" fontId="3" fillId="3" borderId="211" xfId="1519" applyNumberFormat="1" applyFont="1" applyFill="1" applyBorder="1" applyAlignment="1">
      <alignment horizontal="center" vertical="center"/>
    </xf>
    <xf numFmtId="0" fontId="3" fillId="4" borderId="209" xfId="0" applyFont="1" applyFill="1" applyBorder="1" applyAlignment="1">
      <alignment horizontal="centerContinuous" vertical="center"/>
    </xf>
    <xf numFmtId="0" fontId="3" fillId="4" borderId="210" xfId="0" applyFont="1" applyFill="1" applyBorder="1" applyAlignment="1">
      <alignment horizontal="centerContinuous" vertical="center"/>
    </xf>
    <xf numFmtId="249" fontId="3" fillId="3" borderId="160" xfId="1519" applyNumberFormat="1" applyFont="1" applyFill="1" applyBorder="1" applyAlignment="1">
      <alignment horizontal="center" vertical="center"/>
    </xf>
    <xf numFmtId="0" fontId="0" fillId="3" borderId="159" xfId="0" applyFill="1" applyBorder="1" applyAlignment="1">
      <alignment horizontal="centerContinuous" vertical="center"/>
    </xf>
    <xf numFmtId="0" fontId="0" fillId="3" borderId="74" xfId="0" applyFill="1" applyBorder="1" applyAlignment="1">
      <alignment horizontal="centerContinuous" vertical="center"/>
    </xf>
    <xf numFmtId="0" fontId="0" fillId="3" borderId="158" xfId="0" applyFill="1" applyBorder="1" applyAlignment="1">
      <alignment horizontal="centerContinuous" vertical="center"/>
    </xf>
    <xf numFmtId="41" fontId="5" fillId="3" borderId="158" xfId="1519" applyFont="1" applyFill="1" applyBorder="1" applyAlignment="1">
      <alignment horizontal="left" vertical="center"/>
    </xf>
    <xf numFmtId="41" fontId="3" fillId="3" borderId="159" xfId="1519" applyFont="1" applyFill="1" applyBorder="1" applyAlignment="1">
      <alignment horizontal="centerContinuous" vertical="center"/>
    </xf>
    <xf numFmtId="41" fontId="3" fillId="3" borderId="74" xfId="1519" applyFont="1" applyFill="1" applyBorder="1" applyAlignment="1">
      <alignment horizontal="centerContinuous" vertical="center"/>
    </xf>
    <xf numFmtId="41" fontId="5" fillId="3" borderId="158" xfId="1519" applyFont="1" applyFill="1" applyBorder="1" applyAlignment="1">
      <alignment horizontal="centerContinuous" vertical="center"/>
    </xf>
    <xf numFmtId="41" fontId="5" fillId="3" borderId="158" xfId="1519" quotePrefix="1" applyFont="1" applyFill="1" applyBorder="1" applyAlignment="1">
      <alignment horizontal="centerContinuous" vertical="center"/>
    </xf>
    <xf numFmtId="41" fontId="0" fillId="3" borderId="160" xfId="2" applyFont="1" applyFill="1" applyBorder="1">
      <alignment vertical="center"/>
    </xf>
    <xf numFmtId="41" fontId="32" fillId="11" borderId="159" xfId="1519" applyFont="1" applyFill="1" applyBorder="1" applyAlignment="1">
      <alignment horizontal="centerContinuous" vertical="center"/>
    </xf>
    <xf numFmtId="41" fontId="32" fillId="11" borderId="158" xfId="1519" quotePrefix="1" applyFont="1" applyFill="1" applyBorder="1" applyAlignment="1">
      <alignment horizontal="centerContinuous" vertical="center"/>
    </xf>
    <xf numFmtId="41" fontId="31" fillId="14" borderId="159" xfId="1519" applyFont="1" applyFill="1" applyBorder="1" applyAlignment="1">
      <alignment horizontal="centerContinuous" vertical="center"/>
    </xf>
    <xf numFmtId="41" fontId="31" fillId="14" borderId="158" xfId="1519" quotePrefix="1" applyFont="1" applyFill="1" applyBorder="1" applyAlignment="1">
      <alignment horizontal="centerContinuous" vertical="center"/>
    </xf>
    <xf numFmtId="41" fontId="6" fillId="0" borderId="0" xfId="2" applyFont="1" applyFill="1" applyBorder="1">
      <alignment vertical="center"/>
    </xf>
    <xf numFmtId="0" fontId="0" fillId="0" borderId="74" xfId="0" applyBorder="1" applyAlignment="1">
      <alignment horizontal="centerContinuous" vertical="center"/>
    </xf>
    <xf numFmtId="0" fontId="0" fillId="0" borderId="159" xfId="0" applyBorder="1" applyAlignment="1">
      <alignment horizontal="centerContinuous" vertical="center"/>
    </xf>
    <xf numFmtId="0" fontId="37" fillId="7" borderId="0" xfId="0" applyFont="1" applyFill="1">
      <alignment vertical="center"/>
    </xf>
    <xf numFmtId="41" fontId="37" fillId="7" borderId="0" xfId="2" applyFont="1" applyFill="1">
      <alignment vertical="center"/>
    </xf>
    <xf numFmtId="41" fontId="6" fillId="7" borderId="0" xfId="2" quotePrefix="1" applyFont="1" applyFill="1">
      <alignment vertical="center"/>
    </xf>
    <xf numFmtId="41" fontId="0" fillId="7" borderId="0" xfId="2" applyFont="1" applyFill="1" applyAlignment="1">
      <alignment vertical="center"/>
    </xf>
    <xf numFmtId="41" fontId="0" fillId="7" borderId="0" xfId="2" quotePrefix="1" applyFont="1" applyFill="1" applyAlignment="1">
      <alignment horizontal="center" vertical="center"/>
    </xf>
    <xf numFmtId="0" fontId="0" fillId="7" borderId="0" xfId="0" applyFill="1">
      <alignment vertical="center"/>
    </xf>
    <xf numFmtId="41" fontId="0" fillId="7" borderId="0" xfId="2" applyFont="1" applyFill="1">
      <alignment vertical="center"/>
    </xf>
    <xf numFmtId="41" fontId="0" fillId="7" borderId="0" xfId="2" quotePrefix="1" applyFont="1" applyFill="1">
      <alignment vertical="center"/>
    </xf>
    <xf numFmtId="41" fontId="14" fillId="7" borderId="0" xfId="2" applyFont="1" applyFill="1">
      <alignment vertical="center"/>
    </xf>
    <xf numFmtId="41" fontId="5" fillId="0" borderId="210" xfId="1519" applyFont="1" applyFill="1" applyBorder="1" applyAlignment="1">
      <alignment horizontal="centerContinuous" vertical="center"/>
    </xf>
    <xf numFmtId="41" fontId="3" fillId="0" borderId="220" xfId="1519" applyFont="1" applyFill="1" applyBorder="1" applyAlignment="1">
      <alignment horizontal="centerContinuous" vertical="center"/>
    </xf>
    <xf numFmtId="41" fontId="3" fillId="0" borderId="221" xfId="1519" applyFont="1" applyFill="1" applyBorder="1" applyAlignment="1">
      <alignment horizontal="centerContinuous" vertical="center"/>
    </xf>
    <xf numFmtId="41" fontId="5" fillId="0" borderId="221" xfId="1519" applyFont="1" applyFill="1" applyBorder="1" applyAlignment="1">
      <alignment horizontal="centerContinuous" vertical="center"/>
    </xf>
    <xf numFmtId="41" fontId="5" fillId="0" borderId="210" xfId="1519" applyFont="1" applyFill="1" applyBorder="1" applyAlignment="1">
      <alignment horizontal="left" vertical="center"/>
    </xf>
    <xf numFmtId="14" fontId="5" fillId="0" borderId="167" xfId="1519" applyNumberFormat="1" applyFont="1" applyFill="1" applyBorder="1" applyAlignment="1">
      <alignment horizontal="center" vertical="center"/>
    </xf>
    <xf numFmtId="14" fontId="5" fillId="0" borderId="167" xfId="1519" quotePrefix="1" applyNumberFormat="1" applyFont="1" applyFill="1" applyBorder="1" applyAlignment="1">
      <alignment horizontal="center" vertical="center"/>
    </xf>
    <xf numFmtId="14" fontId="5" fillId="0" borderId="127" xfId="1519" applyNumberFormat="1" applyFont="1" applyFill="1" applyBorder="1" applyAlignment="1">
      <alignment horizontal="center" vertical="center"/>
    </xf>
    <xf numFmtId="14" fontId="5" fillId="0" borderId="127" xfId="1519" quotePrefix="1" applyNumberFormat="1" applyFont="1" applyFill="1" applyBorder="1" applyAlignment="1">
      <alignment horizontal="center" vertical="center"/>
    </xf>
    <xf numFmtId="0" fontId="3" fillId="2" borderId="220" xfId="0" applyFont="1" applyFill="1" applyBorder="1" applyAlignment="1">
      <alignment horizontal="centerContinuous" vertical="center"/>
    </xf>
    <xf numFmtId="0" fontId="0" fillId="0" borderId="210" xfId="0" applyBorder="1" applyAlignment="1">
      <alignment horizontal="centerContinuous" vertical="center"/>
    </xf>
    <xf numFmtId="0" fontId="0" fillId="0" borderId="220" xfId="0" applyBorder="1" applyAlignment="1">
      <alignment horizontal="centerContinuous" vertical="center"/>
    </xf>
    <xf numFmtId="0" fontId="0" fillId="0" borderId="221" xfId="0" applyBorder="1" applyAlignment="1">
      <alignment horizontal="centerContinuous" vertical="center"/>
    </xf>
    <xf numFmtId="0" fontId="0" fillId="0" borderId="167" xfId="0" applyBorder="1" applyAlignment="1">
      <alignment horizontal="centerContinuous" vertical="center"/>
    </xf>
    <xf numFmtId="0" fontId="0" fillId="0" borderId="50" xfId="0" applyBorder="1" applyAlignment="1">
      <alignment horizontal="centerContinuous" vertical="center"/>
    </xf>
    <xf numFmtId="0" fontId="0" fillId="0" borderId="127" xfId="0" applyBorder="1" applyAlignment="1">
      <alignment horizontal="centerContinuous" vertical="center"/>
    </xf>
    <xf numFmtId="0" fontId="0" fillId="0" borderId="166" xfId="0" applyBorder="1" applyAlignment="1">
      <alignment horizontal="centerContinuous" vertical="center"/>
    </xf>
    <xf numFmtId="0" fontId="3" fillId="2" borderId="221" xfId="0" applyFont="1" applyFill="1" applyBorder="1" applyAlignment="1">
      <alignment horizontal="centerContinuous" vertical="center"/>
    </xf>
    <xf numFmtId="0" fontId="3" fillId="2" borderId="220" xfId="0" applyFont="1" applyFill="1" applyBorder="1" applyAlignment="1">
      <alignment horizontal="centerContinuous" vertical="center" wrapText="1"/>
    </xf>
    <xf numFmtId="0" fontId="3" fillId="2" borderId="221" xfId="0" applyFont="1" applyFill="1" applyBorder="1" applyAlignment="1">
      <alignment horizontal="centerContinuous" vertical="center" wrapText="1"/>
    </xf>
    <xf numFmtId="0" fontId="3" fillId="2" borderId="74" xfId="0" applyFont="1" applyFill="1" applyBorder="1" applyAlignment="1">
      <alignment horizontal="centerContinuous" vertical="center" wrapText="1"/>
    </xf>
    <xf numFmtId="0" fontId="3" fillId="2" borderId="159" xfId="0" applyFont="1" applyFill="1" applyBorder="1" applyAlignment="1">
      <alignment horizontal="centerContinuous" vertical="center" wrapText="1"/>
    </xf>
    <xf numFmtId="41" fontId="166" fillId="0" borderId="158" xfId="1519" applyFont="1" applyFill="1" applyBorder="1" applyAlignment="1">
      <alignment horizontal="centerContinuous" vertical="center"/>
    </xf>
    <xf numFmtId="0" fontId="166" fillId="0" borderId="74" xfId="1942" applyFont="1" applyBorder="1" applyAlignment="1">
      <alignment horizontal="centerContinuous" vertical="center"/>
    </xf>
    <xf numFmtId="0" fontId="166" fillId="0" borderId="159" xfId="1942" applyFont="1" applyBorder="1" applyAlignment="1">
      <alignment horizontal="centerContinuous" vertical="center"/>
    </xf>
    <xf numFmtId="0" fontId="0" fillId="0" borderId="220" xfId="0" applyBorder="1">
      <alignment vertical="center"/>
    </xf>
    <xf numFmtId="41" fontId="0" fillId="0" borderId="220" xfId="2" applyFont="1" applyBorder="1">
      <alignment vertical="center"/>
    </xf>
    <xf numFmtId="41" fontId="0" fillId="0" borderId="221" xfId="2" applyFont="1" applyBorder="1">
      <alignment vertical="center"/>
    </xf>
    <xf numFmtId="0" fontId="3" fillId="4" borderId="220" xfId="0" applyFont="1" applyFill="1" applyBorder="1" applyAlignment="1">
      <alignment horizontal="centerContinuous" vertical="center"/>
    </xf>
    <xf numFmtId="0" fontId="3" fillId="4" borderId="221" xfId="0" applyFont="1" applyFill="1" applyBorder="1" applyAlignment="1">
      <alignment horizontal="centerContinuous" vertical="center"/>
    </xf>
    <xf numFmtId="0" fontId="3" fillId="3" borderId="221" xfId="0" applyFont="1" applyFill="1" applyBorder="1" applyAlignment="1">
      <alignment horizontal="centerContinuous" vertical="center"/>
    </xf>
    <xf numFmtId="41" fontId="166" fillId="0" borderId="0" xfId="2" applyFont="1" applyFill="1" applyBorder="1" applyAlignment="1">
      <alignment horizontal="centerContinuous" vertical="center"/>
    </xf>
    <xf numFmtId="0" fontId="180" fillId="0" borderId="0" xfId="0" applyFont="1">
      <alignment vertical="center"/>
    </xf>
    <xf numFmtId="0" fontId="164" fillId="0" borderId="0" xfId="0" applyFont="1" applyAlignment="1">
      <alignment horizontal="center" vertical="center"/>
    </xf>
    <xf numFmtId="41" fontId="5" fillId="0" borderId="158" xfId="1519" applyFont="1" applyFill="1" applyBorder="1" applyAlignment="1">
      <alignment horizontal="centerContinuous" vertical="center" wrapText="1"/>
    </xf>
    <xf numFmtId="0" fontId="5" fillId="0" borderId="0" xfId="0" applyFont="1" applyAlignment="1">
      <alignment horizontal="centerContinuous" vertical="center"/>
    </xf>
    <xf numFmtId="41" fontId="0" fillId="0" borderId="223" xfId="2" applyFont="1" applyBorder="1">
      <alignment vertical="center"/>
    </xf>
    <xf numFmtId="9" fontId="0" fillId="0" borderId="0" xfId="0" applyNumberFormat="1">
      <alignment vertical="center"/>
    </xf>
    <xf numFmtId="41" fontId="0" fillId="0" borderId="10" xfId="2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24" xfId="0" applyFill="1" applyBorder="1" applyAlignment="1">
      <alignment horizontal="centerContinuous" vertical="center"/>
    </xf>
    <xf numFmtId="0" fontId="0" fillId="2" borderId="1" xfId="0" applyFill="1" applyBorder="1" applyAlignment="1">
      <alignment horizontal="centerContinuous" vertical="center"/>
    </xf>
    <xf numFmtId="0" fontId="0" fillId="2" borderId="225" xfId="0" applyFill="1" applyBorder="1" applyAlignment="1">
      <alignment horizontal="centerContinuous" vertical="center"/>
    </xf>
    <xf numFmtId="0" fontId="0" fillId="2" borderId="2" xfId="0" applyFill="1" applyBorder="1" applyAlignment="1">
      <alignment horizontal="center" vertical="center"/>
    </xf>
    <xf numFmtId="0" fontId="0" fillId="2" borderId="226" xfId="0" applyFill="1" applyBorder="1" applyAlignment="1">
      <alignment horizontal="center" vertical="center"/>
    </xf>
    <xf numFmtId="0" fontId="0" fillId="2" borderId="227" xfId="0" applyFill="1" applyBorder="1" applyAlignment="1">
      <alignment horizontal="center" vertical="center"/>
    </xf>
    <xf numFmtId="41" fontId="3" fillId="0" borderId="0" xfId="2" applyFont="1">
      <alignment vertical="center"/>
    </xf>
    <xf numFmtId="251" fontId="0" fillId="0" borderId="0" xfId="2" applyNumberFormat="1" applyFont="1">
      <alignment vertical="center"/>
    </xf>
    <xf numFmtId="251" fontId="0" fillId="0" borderId="0" xfId="0" applyNumberFormat="1">
      <alignment vertical="center"/>
    </xf>
    <xf numFmtId="177" fontId="5" fillId="0" borderId="0" xfId="0" applyNumberFormat="1" applyFont="1">
      <alignment vertical="center"/>
    </xf>
    <xf numFmtId="41" fontId="3" fillId="10" borderId="0" xfId="0" applyNumberFormat="1" applyFont="1" applyFill="1">
      <alignment vertical="center"/>
    </xf>
    <xf numFmtId="41" fontId="3" fillId="71" borderId="0" xfId="0" applyNumberFormat="1" applyFont="1" applyFill="1">
      <alignment vertical="center"/>
    </xf>
    <xf numFmtId="41" fontId="0" fillId="0" borderId="0" xfId="2" applyFont="1" applyAlignment="1">
      <alignment horizontal="centerContinuous"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 applyAlignment="1">
      <alignment horizontal="centerContinuous" vertical="center"/>
    </xf>
    <xf numFmtId="0" fontId="3" fillId="2" borderId="0" xfId="0" applyFont="1" applyFill="1" applyAlignment="1">
      <alignment horizontal="centerContinuous" vertical="center"/>
    </xf>
    <xf numFmtId="0" fontId="0" fillId="2" borderId="2" xfId="0" applyFill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Continuous" vertical="center"/>
    </xf>
    <xf numFmtId="251" fontId="0" fillId="0" borderId="4" xfId="2" applyNumberFormat="1" applyFont="1" applyBorder="1">
      <alignment vertical="center"/>
    </xf>
    <xf numFmtId="0" fontId="0" fillId="0" borderId="4" xfId="0" applyBorder="1">
      <alignment vertical="center"/>
    </xf>
    <xf numFmtId="41" fontId="0" fillId="0" borderId="4" xfId="2" applyFont="1" applyBorder="1">
      <alignment vertical="center"/>
    </xf>
    <xf numFmtId="0" fontId="3" fillId="2" borderId="9" xfId="0" applyFont="1" applyFill="1" applyBorder="1" applyAlignment="1">
      <alignment horizontal="center" vertical="center"/>
    </xf>
    <xf numFmtId="251" fontId="0" fillId="0" borderId="0" xfId="2" applyNumberFormat="1" applyFont="1" applyBorder="1">
      <alignment vertical="center"/>
    </xf>
    <xf numFmtId="176" fontId="0" fillId="0" borderId="0" xfId="1" applyNumberFormat="1" applyFont="1" applyBorder="1">
      <alignment vertical="center"/>
    </xf>
    <xf numFmtId="251" fontId="0" fillId="0" borderId="222" xfId="2" applyNumberFormat="1" applyFont="1" applyBorder="1">
      <alignment vertical="center"/>
    </xf>
    <xf numFmtId="251" fontId="0" fillId="71" borderId="222" xfId="2" applyNumberFormat="1" applyFont="1" applyFill="1" applyBorder="1">
      <alignment vertical="center"/>
    </xf>
    <xf numFmtId="176" fontId="0" fillId="0" borderId="222" xfId="1" applyNumberFormat="1" applyFont="1" applyBorder="1">
      <alignment vertical="center"/>
    </xf>
    <xf numFmtId="0" fontId="3" fillId="2" borderId="231" xfId="0" applyFont="1" applyFill="1" applyBorder="1" applyAlignment="1">
      <alignment horizontal="centerContinuous" vertical="center" wrapText="1"/>
    </xf>
    <xf numFmtId="0" fontId="3" fillId="2" borderId="6" xfId="0" applyFont="1" applyFill="1" applyBorder="1" applyAlignment="1">
      <alignment horizontal="centerContinuous" vertical="center" wrapText="1"/>
    </xf>
    <xf numFmtId="251" fontId="0" fillId="0" borderId="223" xfId="2" applyNumberFormat="1" applyFont="1" applyBorder="1">
      <alignment vertical="center"/>
    </xf>
    <xf numFmtId="251" fontId="0" fillId="0" borderId="10" xfId="2" applyNumberFormat="1" applyFont="1" applyBorder="1">
      <alignment vertical="center"/>
    </xf>
    <xf numFmtId="0" fontId="0" fillId="0" borderId="223" xfId="0" applyBorder="1">
      <alignment vertical="center"/>
    </xf>
    <xf numFmtId="0" fontId="0" fillId="0" borderId="10" xfId="0" applyBorder="1">
      <alignment vertical="center"/>
    </xf>
    <xf numFmtId="0" fontId="0" fillId="0" borderId="222" xfId="0" applyBorder="1">
      <alignment vertical="center"/>
    </xf>
    <xf numFmtId="251" fontId="0" fillId="6" borderId="10" xfId="2" applyNumberFormat="1" applyFont="1" applyFill="1" applyBorder="1">
      <alignment vertical="center"/>
    </xf>
    <xf numFmtId="41" fontId="0" fillId="0" borderId="10" xfId="0" applyNumberFormat="1" applyBorder="1">
      <alignment vertical="center"/>
    </xf>
    <xf numFmtId="41" fontId="0" fillId="10" borderId="0" xfId="2" applyFont="1" applyFill="1" applyBorder="1">
      <alignment vertical="center"/>
    </xf>
    <xf numFmtId="251" fontId="0" fillId="0" borderId="10" xfId="0" applyNumberFormat="1" applyBorder="1">
      <alignment vertical="center"/>
    </xf>
    <xf numFmtId="0" fontId="3" fillId="2" borderId="224" xfId="0" applyFont="1" applyFill="1" applyBorder="1" applyAlignment="1">
      <alignment horizontal="centerContinuous" vertical="center"/>
    </xf>
    <xf numFmtId="0" fontId="3" fillId="2" borderId="225" xfId="0" applyFont="1" applyFill="1" applyBorder="1" applyAlignment="1">
      <alignment horizontal="centerContinuous" vertical="center"/>
    </xf>
    <xf numFmtId="0" fontId="0" fillId="14" borderId="234" xfId="0" applyFill="1" applyBorder="1" applyAlignment="1">
      <alignment horizontal="center" vertical="center"/>
    </xf>
    <xf numFmtId="0" fontId="0" fillId="14" borderId="235" xfId="0" applyFill="1" applyBorder="1" applyAlignment="1">
      <alignment horizontal="center" vertical="center"/>
    </xf>
    <xf numFmtId="0" fontId="0" fillId="14" borderId="232" xfId="0" applyFill="1" applyBorder="1" applyAlignment="1">
      <alignment horizontal="center" vertical="center"/>
    </xf>
    <xf numFmtId="0" fontId="0" fillId="14" borderId="233" xfId="0" applyFill="1" applyBorder="1" applyAlignment="1">
      <alignment horizontal="center" vertical="center"/>
    </xf>
    <xf numFmtId="0" fontId="3" fillId="14" borderId="232" xfId="0" applyFont="1" applyFill="1" applyBorder="1" applyAlignment="1">
      <alignment horizontal="center" vertical="center"/>
    </xf>
    <xf numFmtId="0" fontId="3" fillId="14" borderId="233" xfId="0" applyFont="1" applyFill="1" applyBorder="1" applyAlignment="1">
      <alignment horizontal="center" vertical="center"/>
    </xf>
    <xf numFmtId="0" fontId="3" fillId="14" borderId="236" xfId="0" applyFont="1" applyFill="1" applyBorder="1" applyAlignment="1">
      <alignment horizontal="center" vertical="center" wrapText="1"/>
    </xf>
    <xf numFmtId="251" fontId="0" fillId="0" borderId="222" xfId="0" applyNumberFormat="1" applyBorder="1">
      <alignment vertical="center"/>
    </xf>
    <xf numFmtId="177" fontId="5" fillId="0" borderId="222" xfId="0" applyNumberFormat="1" applyFont="1" applyBorder="1">
      <alignment vertical="center"/>
    </xf>
    <xf numFmtId="177" fontId="5" fillId="0" borderId="210" xfId="1519" applyNumberFormat="1" applyFont="1" applyFill="1" applyBorder="1" applyAlignment="1">
      <alignment horizontal="centerContinuous" vertical="center"/>
    </xf>
    <xf numFmtId="177" fontId="3" fillId="0" borderId="220" xfId="1519" applyNumberFormat="1" applyFont="1" applyFill="1" applyBorder="1" applyAlignment="1">
      <alignment horizontal="centerContinuous" vertical="center"/>
    </xf>
    <xf numFmtId="177" fontId="3" fillId="0" borderId="221" xfId="1519" applyNumberFormat="1" applyFont="1" applyFill="1" applyBorder="1" applyAlignment="1">
      <alignment horizontal="centerContinuous" vertical="center"/>
    </xf>
    <xf numFmtId="177" fontId="5" fillId="0" borderId="49" xfId="1519" applyNumberFormat="1" applyFont="1" applyFill="1" applyBorder="1" applyAlignment="1">
      <alignment horizontal="centerContinuous" vertical="center"/>
    </xf>
    <xf numFmtId="0" fontId="175" fillId="0" borderId="0" xfId="0" applyFont="1">
      <alignment vertical="center"/>
    </xf>
    <xf numFmtId="0" fontId="0" fillId="2" borderId="33" xfId="0" applyFill="1" applyBorder="1" applyAlignment="1">
      <alignment horizontal="centerContinuous" vertical="center"/>
    </xf>
    <xf numFmtId="0" fontId="0" fillId="2" borderId="237" xfId="0" applyFill="1" applyBorder="1" applyAlignment="1">
      <alignment horizontal="center" vertical="center"/>
    </xf>
    <xf numFmtId="176" fontId="0" fillId="0" borderId="222" xfId="0" applyNumberFormat="1" applyBorder="1">
      <alignment vertical="center"/>
    </xf>
    <xf numFmtId="0" fontId="5" fillId="2" borderId="237" xfId="0" applyFont="1" applyFill="1" applyBorder="1" applyAlignment="1">
      <alignment horizontal="centerContinuous" vertical="center"/>
    </xf>
    <xf numFmtId="41" fontId="0" fillId="0" borderId="222" xfId="2" applyFont="1" applyBorder="1">
      <alignment vertical="center"/>
    </xf>
    <xf numFmtId="41" fontId="0" fillId="21" borderId="223" xfId="0" applyNumberFormat="1" applyFill="1" applyBorder="1">
      <alignment vertical="center"/>
    </xf>
    <xf numFmtId="251" fontId="0" fillId="21" borderId="222" xfId="2" applyNumberFormat="1" applyFont="1" applyFill="1" applyBorder="1">
      <alignment vertical="center"/>
    </xf>
    <xf numFmtId="0" fontId="176" fillId="15" borderId="0" xfId="0" applyFont="1" applyFill="1" applyAlignment="1">
      <alignment horizontal="centerContinuous" vertical="center"/>
    </xf>
    <xf numFmtId="0" fontId="5" fillId="21" borderId="238" xfId="0" applyFont="1" applyFill="1" applyBorder="1" applyAlignment="1">
      <alignment horizontal="centerContinuous" vertical="center" shrinkToFit="1"/>
    </xf>
    <xf numFmtId="251" fontId="0" fillId="6" borderId="10" xfId="0" applyNumberFormat="1" applyFill="1" applyBorder="1">
      <alignment vertical="center"/>
    </xf>
    <xf numFmtId="251" fontId="0" fillId="0" borderId="222" xfId="2" applyNumberFormat="1" applyFont="1" applyFill="1" applyBorder="1">
      <alignment vertical="center"/>
    </xf>
    <xf numFmtId="41" fontId="3" fillId="23" borderId="0" xfId="0" applyNumberFormat="1" applyFont="1" applyFill="1">
      <alignment vertical="center"/>
    </xf>
    <xf numFmtId="41" fontId="0" fillId="23" borderId="0" xfId="2" applyFont="1" applyFill="1" applyBorder="1">
      <alignment vertical="center"/>
    </xf>
    <xf numFmtId="41" fontId="0" fillId="72" borderId="223" xfId="2" applyFont="1" applyFill="1" applyBorder="1">
      <alignment vertical="center"/>
    </xf>
    <xf numFmtId="176" fontId="0" fillId="0" borderId="4" xfId="1" applyNumberFormat="1" applyFont="1" applyBorder="1">
      <alignment vertical="center"/>
    </xf>
    <xf numFmtId="251" fontId="0" fillId="17" borderId="222" xfId="2" applyNumberFormat="1" applyFont="1" applyFill="1" applyBorder="1">
      <alignment vertical="center"/>
    </xf>
    <xf numFmtId="176" fontId="0" fillId="17" borderId="222" xfId="1" applyNumberFormat="1" applyFont="1" applyFill="1" applyBorder="1">
      <alignment vertical="center"/>
    </xf>
    <xf numFmtId="41" fontId="0" fillId="2" borderId="4" xfId="2" applyFont="1" applyFill="1" applyBorder="1">
      <alignment vertical="center"/>
    </xf>
    <xf numFmtId="41" fontId="0" fillId="2" borderId="10" xfId="0" applyNumberFormat="1" applyFill="1" applyBorder="1">
      <alignment vertical="center"/>
    </xf>
    <xf numFmtId="251" fontId="0" fillId="2" borderId="0" xfId="0" applyNumberFormat="1" applyFill="1">
      <alignment vertical="center"/>
    </xf>
    <xf numFmtId="41" fontId="0" fillId="2" borderId="223" xfId="2" applyFont="1" applyFill="1" applyBorder="1">
      <alignment vertical="center"/>
    </xf>
    <xf numFmtId="41" fontId="0" fillId="2" borderId="0" xfId="2" applyFont="1" applyFill="1" applyBorder="1">
      <alignment vertical="center"/>
    </xf>
    <xf numFmtId="251" fontId="0" fillId="2" borderId="10" xfId="2" applyNumberFormat="1" applyFont="1" applyFill="1" applyBorder="1">
      <alignment vertical="center"/>
    </xf>
    <xf numFmtId="41" fontId="0" fillId="2" borderId="10" xfId="2" applyFont="1" applyFill="1" applyBorder="1">
      <alignment vertical="center"/>
    </xf>
    <xf numFmtId="251" fontId="0" fillId="2" borderId="10" xfId="0" applyNumberFormat="1" applyFill="1" applyBorder="1">
      <alignment vertical="center"/>
    </xf>
    <xf numFmtId="251" fontId="0" fillId="10" borderId="223" xfId="2" applyNumberFormat="1" applyFont="1" applyFill="1" applyBorder="1">
      <alignment vertical="center"/>
    </xf>
    <xf numFmtId="0" fontId="0" fillId="10" borderId="223" xfId="0" applyFill="1" applyBorder="1">
      <alignment vertical="center"/>
    </xf>
    <xf numFmtId="41" fontId="0" fillId="10" borderId="10" xfId="0" applyNumberFormat="1" applyFill="1" applyBorder="1">
      <alignment vertical="center"/>
    </xf>
    <xf numFmtId="251" fontId="0" fillId="10" borderId="0" xfId="0" applyNumberFormat="1" applyFill="1">
      <alignment vertical="center"/>
    </xf>
    <xf numFmtId="251" fontId="0" fillId="0" borderId="4" xfId="2" applyNumberFormat="1" applyFont="1" applyFill="1" applyBorder="1">
      <alignment vertical="center"/>
    </xf>
    <xf numFmtId="176" fontId="0" fillId="0" borderId="4" xfId="1" applyNumberFormat="1" applyFont="1" applyFill="1" applyBorder="1">
      <alignment vertical="center"/>
    </xf>
    <xf numFmtId="176" fontId="0" fillId="0" borderId="222" xfId="1" applyNumberFormat="1" applyFont="1" applyFill="1" applyBorder="1">
      <alignment vertical="center"/>
    </xf>
    <xf numFmtId="41" fontId="0" fillId="0" borderId="222" xfId="2" applyFont="1" applyFill="1" applyBorder="1">
      <alignment vertical="center"/>
    </xf>
    <xf numFmtId="41" fontId="0" fillId="0" borderId="223" xfId="0" applyNumberFormat="1" applyBorder="1">
      <alignment vertical="center"/>
    </xf>
    <xf numFmtId="0" fontId="176" fillId="73" borderId="0" xfId="0" applyFont="1" applyFill="1" applyAlignment="1">
      <alignment horizontal="centerContinuous" vertical="center"/>
    </xf>
    <xf numFmtId="251" fontId="0" fillId="3" borderId="0" xfId="2" applyNumberFormat="1" applyFont="1" applyFill="1" applyBorder="1">
      <alignment vertical="center"/>
    </xf>
    <xf numFmtId="251" fontId="0" fillId="3" borderId="223" xfId="2" applyNumberFormat="1" applyFont="1" applyFill="1" applyBorder="1">
      <alignment vertical="center"/>
    </xf>
    <xf numFmtId="251" fontId="0" fillId="3" borderId="0" xfId="0" applyNumberFormat="1" applyFill="1">
      <alignment vertical="center"/>
    </xf>
    <xf numFmtId="251" fontId="0" fillId="5" borderId="222" xfId="0" applyNumberFormat="1" applyFill="1" applyBorder="1">
      <alignment vertical="center"/>
    </xf>
    <xf numFmtId="177" fontId="5" fillId="5" borderId="222" xfId="0" applyNumberFormat="1" applyFont="1" applyFill="1" applyBorder="1">
      <alignment vertical="center"/>
    </xf>
    <xf numFmtId="251" fontId="0" fillId="5" borderId="10" xfId="2" applyNumberFormat="1" applyFont="1" applyFill="1" applyBorder="1">
      <alignment vertical="center"/>
    </xf>
    <xf numFmtId="251" fontId="0" fillId="0" borderId="223" xfId="2" applyNumberFormat="1" applyFont="1" applyFill="1" applyBorder="1">
      <alignment vertical="center"/>
    </xf>
    <xf numFmtId="177" fontId="5" fillId="0" borderId="223" xfId="0" applyNumberFormat="1" applyFont="1" applyBorder="1">
      <alignment vertical="center"/>
    </xf>
    <xf numFmtId="0" fontId="3" fillId="14" borderId="231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41" fontId="3" fillId="0" borderId="239" xfId="0" applyNumberFormat="1" applyFont="1" applyBorder="1">
      <alignment vertical="center"/>
    </xf>
    <xf numFmtId="41" fontId="3" fillId="0" borderId="240" xfId="0" applyNumberFormat="1" applyFont="1" applyBorder="1">
      <alignment vertical="center"/>
    </xf>
    <xf numFmtId="41" fontId="3" fillId="0" borderId="241" xfId="0" applyNumberFormat="1" applyFont="1" applyBorder="1">
      <alignment vertical="center"/>
    </xf>
    <xf numFmtId="251" fontId="0" fillId="10" borderId="84" xfId="2" applyNumberFormat="1" applyFont="1" applyFill="1" applyBorder="1">
      <alignment vertical="center"/>
    </xf>
    <xf numFmtId="251" fontId="0" fillId="10" borderId="242" xfId="2" applyNumberFormat="1" applyFont="1" applyFill="1" applyBorder="1">
      <alignment vertical="center"/>
    </xf>
    <xf numFmtId="251" fontId="0" fillId="10" borderId="86" xfId="2" applyNumberFormat="1" applyFont="1" applyFill="1" applyBorder="1">
      <alignment vertical="center"/>
    </xf>
    <xf numFmtId="251" fontId="0" fillId="10" borderId="87" xfId="2" applyNumberFormat="1" applyFont="1" applyFill="1" applyBorder="1">
      <alignment vertical="center"/>
    </xf>
    <xf numFmtId="251" fontId="0" fillId="10" borderId="88" xfId="2" applyNumberFormat="1" applyFont="1" applyFill="1" applyBorder="1">
      <alignment vertical="center"/>
    </xf>
    <xf numFmtId="176" fontId="0" fillId="10" borderId="87" xfId="1" applyNumberFormat="1" applyFont="1" applyFill="1" applyBorder="1">
      <alignment vertical="center"/>
    </xf>
    <xf numFmtId="0" fontId="0" fillId="10" borderId="88" xfId="0" applyFill="1" applyBorder="1">
      <alignment vertical="center"/>
    </xf>
    <xf numFmtId="251" fontId="0" fillId="10" borderId="89" xfId="2" applyNumberFormat="1" applyFont="1" applyFill="1" applyBorder="1">
      <alignment vertical="center"/>
    </xf>
    <xf numFmtId="251" fontId="0" fillId="10" borderId="243" xfId="2" applyNumberFormat="1" applyFont="1" applyFill="1" applyBorder="1">
      <alignment vertical="center"/>
    </xf>
    <xf numFmtId="251" fontId="0" fillId="10" borderId="91" xfId="2" applyNumberFormat="1" applyFont="1" applyFill="1" applyBorder="1">
      <alignment vertical="center"/>
    </xf>
    <xf numFmtId="41" fontId="5" fillId="0" borderId="0" xfId="2" applyFont="1">
      <alignment vertical="center"/>
    </xf>
    <xf numFmtId="0" fontId="173" fillId="0" borderId="0" xfId="0" applyFont="1">
      <alignment vertical="center"/>
    </xf>
    <xf numFmtId="0" fontId="3" fillId="3" borderId="158" xfId="0" applyFont="1" applyFill="1" applyBorder="1" applyAlignment="1">
      <alignment horizontal="centerContinuous" vertical="center" wrapText="1"/>
    </xf>
    <xf numFmtId="0" fontId="3" fillId="3" borderId="24" xfId="0" applyFont="1" applyFill="1" applyBorder="1" applyAlignment="1">
      <alignment horizontal="centerContinuous" vertical="center"/>
    </xf>
    <xf numFmtId="0" fontId="3" fillId="3" borderId="49" xfId="0" applyFont="1" applyFill="1" applyBorder="1" applyAlignment="1">
      <alignment horizontal="centerContinuous" vertical="center"/>
    </xf>
    <xf numFmtId="0" fontId="3" fillId="3" borderId="0" xfId="0" applyFont="1" applyFill="1" applyAlignment="1">
      <alignment horizontal="centerContinuous" vertical="center"/>
    </xf>
    <xf numFmtId="0" fontId="3" fillId="3" borderId="50" xfId="0" applyFont="1" applyFill="1" applyBorder="1" applyAlignment="1">
      <alignment horizontal="centerContinuous" vertical="center"/>
    </xf>
    <xf numFmtId="41" fontId="15" fillId="3" borderId="0" xfId="2" applyFont="1" applyFill="1">
      <alignment vertical="center"/>
    </xf>
    <xf numFmtId="41" fontId="10" fillId="3" borderId="168" xfId="2" quotePrefix="1" applyFont="1" applyFill="1" applyBorder="1">
      <alignment vertical="center"/>
    </xf>
    <xf numFmtId="0" fontId="16" fillId="3" borderId="169" xfId="0" applyFont="1" applyFill="1" applyBorder="1">
      <alignment vertical="center"/>
    </xf>
    <xf numFmtId="0" fontId="16" fillId="3" borderId="170" xfId="0" applyFont="1" applyFill="1" applyBorder="1">
      <alignment vertical="center"/>
    </xf>
    <xf numFmtId="0" fontId="0" fillId="0" borderId="162" xfId="0" applyBorder="1" applyAlignment="1">
      <alignment horizontal="centerContinuous" vertical="center"/>
    </xf>
    <xf numFmtId="41" fontId="5" fillId="0" borderId="162" xfId="1519" quotePrefix="1" applyFont="1" applyFill="1" applyBorder="1" applyAlignment="1">
      <alignment horizontal="centerContinuous" vertical="center"/>
    </xf>
    <xf numFmtId="41" fontId="5" fillId="0" borderId="49" xfId="1519" applyFont="1" applyFill="1" applyBorder="1" applyAlignment="1">
      <alignment horizontal="center" vertical="center"/>
    </xf>
    <xf numFmtId="0" fontId="15" fillId="16" borderId="0" xfId="0" applyFont="1" applyFill="1">
      <alignment vertical="center"/>
    </xf>
    <xf numFmtId="0" fontId="16" fillId="16" borderId="0" xfId="0" applyFont="1" applyFill="1">
      <alignment vertical="center"/>
    </xf>
    <xf numFmtId="251" fontId="0" fillId="5" borderId="223" xfId="2" applyNumberFormat="1" applyFont="1" applyFill="1" applyBorder="1">
      <alignment vertical="center"/>
    </xf>
    <xf numFmtId="251" fontId="0" fillId="5" borderId="0" xfId="0" applyNumberFormat="1" applyFill="1">
      <alignment vertical="center"/>
    </xf>
    <xf numFmtId="41" fontId="35" fillId="0" borderId="0" xfId="0" applyNumberFormat="1" applyFont="1">
      <alignment vertical="center"/>
    </xf>
    <xf numFmtId="41" fontId="0" fillId="7" borderId="5" xfId="0" applyNumberFormat="1" applyFill="1" applyBorder="1">
      <alignment vertical="center"/>
    </xf>
    <xf numFmtId="0" fontId="181" fillId="3" borderId="0" xfId="0" applyFont="1" applyFill="1">
      <alignment vertical="center"/>
    </xf>
    <xf numFmtId="0" fontId="15" fillId="3" borderId="0" xfId="0" applyFont="1" applyFill="1">
      <alignment vertical="center"/>
    </xf>
    <xf numFmtId="41" fontId="3" fillId="6" borderId="244" xfId="0" applyNumberFormat="1" applyFont="1" applyFill="1" applyBorder="1">
      <alignment vertical="center"/>
    </xf>
    <xf numFmtId="41" fontId="0" fillId="2" borderId="245" xfId="0" applyNumberFormat="1" applyFill="1" applyBorder="1" applyAlignment="1">
      <alignment horizontal="centerContinuous" vertical="center"/>
    </xf>
    <xf numFmtId="41" fontId="0" fillId="2" borderId="5" xfId="0" applyNumberFormat="1" applyFill="1" applyBorder="1" applyAlignment="1">
      <alignment horizontal="center" vertical="center"/>
    </xf>
    <xf numFmtId="41" fontId="15" fillId="3" borderId="37" xfId="0" applyNumberFormat="1" applyFont="1" applyFill="1" applyBorder="1" applyAlignment="1">
      <alignment horizontal="center" vertical="center"/>
    </xf>
    <xf numFmtId="41" fontId="15" fillId="3" borderId="3" xfId="0" applyNumberFormat="1" applyFont="1" applyFill="1" applyBorder="1" applyAlignment="1">
      <alignment horizontal="center" vertical="center"/>
    </xf>
    <xf numFmtId="41" fontId="15" fillId="3" borderId="38" xfId="0" applyNumberFormat="1" applyFont="1" applyFill="1" applyBorder="1" applyAlignment="1">
      <alignment horizontal="center" vertical="center"/>
    </xf>
    <xf numFmtId="41" fontId="3" fillId="5" borderId="37" xfId="0" applyNumberFormat="1" applyFont="1" applyFill="1" applyBorder="1" applyAlignment="1">
      <alignment horizontal="center" vertical="center"/>
    </xf>
    <xf numFmtId="41" fontId="3" fillId="5" borderId="3" xfId="0" applyNumberFormat="1" applyFont="1" applyFill="1" applyBorder="1" applyAlignment="1">
      <alignment horizontal="center" vertical="center"/>
    </xf>
    <xf numFmtId="41" fontId="3" fillId="5" borderId="38" xfId="0" applyNumberFormat="1" applyFont="1" applyFill="1" applyBorder="1" applyAlignment="1">
      <alignment horizontal="center" vertical="center"/>
    </xf>
    <xf numFmtId="41" fontId="15" fillId="19" borderId="37" xfId="0" applyNumberFormat="1" applyFont="1" applyFill="1" applyBorder="1" applyAlignment="1">
      <alignment horizontal="center" vertical="center"/>
    </xf>
    <xf numFmtId="41" fontId="15" fillId="19" borderId="3" xfId="0" applyNumberFormat="1" applyFont="1" applyFill="1" applyBorder="1" applyAlignment="1">
      <alignment horizontal="center" vertical="center"/>
    </xf>
    <xf numFmtId="41" fontId="15" fillId="19" borderId="38" xfId="0" applyNumberFormat="1" applyFont="1" applyFill="1" applyBorder="1" applyAlignment="1">
      <alignment horizontal="center" vertical="center"/>
    </xf>
    <xf numFmtId="41" fontId="15" fillId="3" borderId="37" xfId="0" applyNumberFormat="1" applyFont="1" applyFill="1" applyBorder="1" applyAlignment="1">
      <alignment horizontal="center" vertical="center" wrapText="1"/>
    </xf>
    <xf numFmtId="41" fontId="15" fillId="3" borderId="3" xfId="0" applyNumberFormat="1" applyFont="1" applyFill="1" applyBorder="1" applyAlignment="1">
      <alignment horizontal="center" vertical="center" wrapText="1"/>
    </xf>
    <xf numFmtId="41" fontId="15" fillId="3" borderId="38" xfId="0" applyNumberFormat="1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41" fontId="5" fillId="2" borderId="0" xfId="0" applyNumberFormat="1" applyFont="1" applyFill="1" applyAlignment="1">
      <alignment horizontal="center" vertical="center"/>
    </xf>
    <xf numFmtId="41" fontId="3" fillId="10" borderId="0" xfId="0" applyNumberFormat="1" applyFont="1" applyFill="1" applyAlignment="1">
      <alignment horizontal="center" vertical="center"/>
    </xf>
    <xf numFmtId="41" fontId="3" fillId="21" borderId="0" xfId="0" applyNumberFormat="1" applyFont="1" applyFill="1" applyAlignment="1">
      <alignment horizontal="center" vertical="center"/>
    </xf>
    <xf numFmtId="0" fontId="3" fillId="12" borderId="19" xfId="0" applyFont="1" applyFill="1" applyBorder="1" applyAlignment="1">
      <alignment horizontal="center" vertical="center" wrapText="1"/>
    </xf>
    <xf numFmtId="0" fontId="3" fillId="12" borderId="20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41" fontId="0" fillId="8" borderId="5" xfId="0" applyNumberFormat="1" applyFill="1" applyBorder="1" applyAlignment="1">
      <alignment horizontal="center" vertical="center"/>
    </xf>
    <xf numFmtId="41" fontId="0" fillId="8" borderId="0" xfId="0" applyNumberFormat="1" applyFill="1" applyAlignment="1">
      <alignment horizontal="center" vertical="center"/>
    </xf>
    <xf numFmtId="41" fontId="0" fillId="8" borderId="2" xfId="0" applyNumberFormat="1" applyFill="1" applyBorder="1" applyAlignment="1">
      <alignment horizontal="center" vertical="center"/>
    </xf>
    <xf numFmtId="41" fontId="0" fillId="11" borderId="0" xfId="0" applyNumberFormat="1" applyFill="1" applyAlignment="1">
      <alignment horizontal="center" vertical="center"/>
    </xf>
    <xf numFmtId="41" fontId="0" fillId="11" borderId="2" xfId="0" applyNumberForma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/>
    </xf>
    <xf numFmtId="0" fontId="3" fillId="0" borderId="119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/>
    </xf>
    <xf numFmtId="0" fontId="3" fillId="0" borderId="120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 wrapText="1"/>
    </xf>
    <xf numFmtId="0" fontId="3" fillId="0" borderId="117" xfId="0" applyFont="1" applyBorder="1" applyAlignment="1">
      <alignment horizontal="center" vertical="center" wrapText="1"/>
    </xf>
    <xf numFmtId="41" fontId="3" fillId="0" borderId="119" xfId="0" applyNumberFormat="1" applyFont="1" applyBorder="1" applyAlignment="1">
      <alignment horizontal="center" vertical="center"/>
    </xf>
    <xf numFmtId="41" fontId="3" fillId="0" borderId="60" xfId="0" applyNumberFormat="1" applyFont="1" applyBorder="1" applyAlignment="1">
      <alignment horizontal="center" vertical="center"/>
    </xf>
    <xf numFmtId="0" fontId="3" fillId="0" borderId="120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121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41" fontId="3" fillId="0" borderId="59" xfId="0" applyNumberFormat="1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 wrapText="1"/>
    </xf>
    <xf numFmtId="0" fontId="3" fillId="2" borderId="228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229" xfId="0" applyFont="1" applyFill="1" applyBorder="1" applyAlignment="1">
      <alignment horizontal="center" vertical="center" wrapText="1"/>
    </xf>
    <xf numFmtId="0" fontId="3" fillId="2" borderId="23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2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31" xfId="0" applyFont="1" applyFill="1" applyBorder="1" applyAlignment="1">
      <alignment horizontal="center" vertical="center" wrapText="1"/>
    </xf>
    <xf numFmtId="0" fontId="3" fillId="2" borderId="226" xfId="0" applyFont="1" applyFill="1" applyBorder="1" applyAlignment="1">
      <alignment horizontal="center" vertical="center"/>
    </xf>
    <xf numFmtId="0" fontId="3" fillId="21" borderId="229" xfId="0" applyFont="1" applyFill="1" applyBorder="1" applyAlignment="1">
      <alignment horizontal="center" vertical="center" wrapText="1"/>
    </xf>
    <xf numFmtId="0" fontId="3" fillId="21" borderId="23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1" fontId="0" fillId="18" borderId="0" xfId="2" applyFont="1" applyFill="1">
      <alignment vertical="center"/>
    </xf>
    <xf numFmtId="0" fontId="3" fillId="2" borderId="117" xfId="0" applyFont="1" applyFill="1" applyBorder="1" applyAlignment="1">
      <alignment horizontal="center" vertical="center" wrapText="1"/>
    </xf>
    <xf numFmtId="0" fontId="3" fillId="2" borderId="162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3" fillId="2" borderId="127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166" xfId="0" applyFont="1" applyFill="1" applyBorder="1" applyAlignment="1">
      <alignment horizontal="center" vertical="center" wrapText="1"/>
    </xf>
    <xf numFmtId="0" fontId="3" fillId="2" borderId="162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127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66" xfId="0" applyFont="1" applyFill="1" applyBorder="1" applyAlignment="1">
      <alignment horizontal="center" vertical="center"/>
    </xf>
    <xf numFmtId="0" fontId="3" fillId="12" borderId="117" xfId="0" applyFont="1" applyFill="1" applyBorder="1" applyAlignment="1">
      <alignment horizontal="center" vertical="center" wrapText="1"/>
    </xf>
    <xf numFmtId="0" fontId="3" fillId="12" borderId="162" xfId="0" applyFont="1" applyFill="1" applyBorder="1" applyAlignment="1">
      <alignment horizontal="center" vertical="center"/>
    </xf>
    <xf numFmtId="0" fontId="3" fillId="12" borderId="52" xfId="0" applyFont="1" applyFill="1" applyBorder="1" applyAlignment="1">
      <alignment horizontal="center" vertical="center"/>
    </xf>
    <xf numFmtId="0" fontId="3" fillId="12" borderId="127" xfId="0" applyFont="1" applyFill="1" applyBorder="1" applyAlignment="1">
      <alignment horizontal="center" vertical="center"/>
    </xf>
    <xf numFmtId="0" fontId="3" fillId="12" borderId="24" xfId="0" applyFont="1" applyFill="1" applyBorder="1" applyAlignment="1">
      <alignment horizontal="center" vertical="center"/>
    </xf>
    <xf numFmtId="0" fontId="3" fillId="12" borderId="166" xfId="0" applyFont="1" applyFill="1" applyBorder="1" applyAlignment="1">
      <alignment horizontal="center" vertical="center"/>
    </xf>
    <xf numFmtId="0" fontId="3" fillId="3" borderId="117" xfId="0" applyFont="1" applyFill="1" applyBorder="1" applyAlignment="1">
      <alignment horizontal="center" vertical="center" wrapText="1"/>
    </xf>
    <xf numFmtId="0" fontId="3" fillId="3" borderId="162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127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166" xfId="0" applyFont="1" applyFill="1" applyBorder="1" applyAlignment="1">
      <alignment horizontal="center" vertical="center"/>
    </xf>
    <xf numFmtId="41" fontId="5" fillId="0" borderId="158" xfId="1519" applyFont="1" applyFill="1" applyBorder="1" applyAlignment="1">
      <alignment horizontal="center" vertical="center"/>
    </xf>
    <xf numFmtId="41" fontId="5" fillId="0" borderId="74" xfId="1519" applyFont="1" applyFill="1" applyBorder="1" applyAlignment="1">
      <alignment horizontal="center" vertical="center"/>
    </xf>
    <xf numFmtId="41" fontId="5" fillId="0" borderId="159" xfId="1519" applyFont="1" applyFill="1" applyBorder="1" applyAlignment="1">
      <alignment horizontal="center" vertical="center"/>
    </xf>
    <xf numFmtId="0" fontId="3" fillId="2" borderId="117" xfId="0" applyFont="1" applyFill="1" applyBorder="1" applyAlignment="1">
      <alignment horizontal="center" vertical="center"/>
    </xf>
    <xf numFmtId="41" fontId="5" fillId="0" borderId="117" xfId="1519" applyFont="1" applyFill="1" applyBorder="1" applyAlignment="1">
      <alignment horizontal="center" vertical="center"/>
    </xf>
    <xf numFmtId="41" fontId="5" fillId="0" borderId="162" xfId="1519" applyFont="1" applyFill="1" applyBorder="1" applyAlignment="1">
      <alignment horizontal="center" vertical="center"/>
    </xf>
    <xf numFmtId="41" fontId="5" fillId="0" borderId="52" xfId="1519" applyFont="1" applyFill="1" applyBorder="1" applyAlignment="1">
      <alignment horizontal="center" vertical="center"/>
    </xf>
    <xf numFmtId="41" fontId="5" fillId="0" borderId="167" xfId="1519" applyFont="1" applyFill="1" applyBorder="1" applyAlignment="1">
      <alignment horizontal="center" vertical="center"/>
    </xf>
    <xf numFmtId="41" fontId="5" fillId="0" borderId="0" xfId="1519" applyFont="1" applyFill="1" applyBorder="1" applyAlignment="1">
      <alignment horizontal="center" vertical="center"/>
    </xf>
    <xf numFmtId="41" fontId="5" fillId="0" borderId="50" xfId="1519" applyFont="1" applyFill="1" applyBorder="1" applyAlignment="1">
      <alignment horizontal="center" vertical="center"/>
    </xf>
    <xf numFmtId="0" fontId="0" fillId="0" borderId="210" xfId="0" applyBorder="1" applyAlignment="1">
      <alignment horizontal="center" vertical="center"/>
    </xf>
    <xf numFmtId="0" fontId="0" fillId="0" borderId="209" xfId="0" applyBorder="1" applyAlignment="1">
      <alignment horizontal="center" vertical="center"/>
    </xf>
    <xf numFmtId="0" fontId="0" fillId="0" borderId="16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27" xfId="0" applyBorder="1" applyAlignment="1">
      <alignment horizontal="center" vertical="center"/>
    </xf>
    <xf numFmtId="0" fontId="0" fillId="0" borderId="166" xfId="0" applyBorder="1" applyAlignment="1">
      <alignment horizontal="center" vertical="center"/>
    </xf>
    <xf numFmtId="0" fontId="3" fillId="0" borderId="210" xfId="0" applyFont="1" applyBorder="1" applyAlignment="1">
      <alignment horizontal="center" vertical="center"/>
    </xf>
    <xf numFmtId="0" fontId="3" fillId="0" borderId="209" xfId="0" applyFont="1" applyBorder="1" applyAlignment="1">
      <alignment horizontal="center" vertical="center"/>
    </xf>
    <xf numFmtId="0" fontId="3" fillId="0" borderId="167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127" xfId="0" applyFont="1" applyBorder="1" applyAlignment="1">
      <alignment horizontal="center" vertical="center"/>
    </xf>
    <xf numFmtId="0" fontId="3" fillId="0" borderId="166" xfId="0" applyFont="1" applyBorder="1" applyAlignment="1">
      <alignment horizontal="center" vertical="center"/>
    </xf>
    <xf numFmtId="0" fontId="11" fillId="0" borderId="210" xfId="0" applyFont="1" applyBorder="1" applyAlignment="1">
      <alignment horizontal="center" vertical="center"/>
    </xf>
    <xf numFmtId="0" fontId="11" fillId="0" borderId="209" xfId="0" applyFont="1" applyBorder="1" applyAlignment="1">
      <alignment horizontal="center" vertical="center"/>
    </xf>
    <xf numFmtId="0" fontId="11" fillId="0" borderId="167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127" xfId="0" applyFont="1" applyBorder="1" applyAlignment="1">
      <alignment horizontal="center" vertical="center"/>
    </xf>
    <xf numFmtId="0" fontId="11" fillId="0" borderId="166" xfId="0" applyFont="1" applyBorder="1" applyAlignment="1">
      <alignment horizontal="center" vertical="center"/>
    </xf>
    <xf numFmtId="0" fontId="0" fillId="2" borderId="210" xfId="0" applyFill="1" applyBorder="1" applyAlignment="1">
      <alignment horizontal="center" vertical="center"/>
    </xf>
    <xf numFmtId="0" fontId="0" fillId="2" borderId="209" xfId="0" applyFill="1" applyBorder="1" applyAlignment="1">
      <alignment horizontal="center" vertical="center"/>
    </xf>
    <xf numFmtId="0" fontId="0" fillId="2" borderId="167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127" xfId="0" applyFill="1" applyBorder="1" applyAlignment="1">
      <alignment horizontal="center" vertical="center"/>
    </xf>
    <xf numFmtId="0" fontId="0" fillId="2" borderId="166" xfId="0" applyFill="1" applyBorder="1" applyAlignment="1">
      <alignment horizontal="center" vertical="center"/>
    </xf>
    <xf numFmtId="41" fontId="5" fillId="0" borderId="127" xfId="1519" applyFont="1" applyFill="1" applyBorder="1" applyAlignment="1">
      <alignment horizontal="center" vertical="center"/>
    </xf>
    <xf numFmtId="41" fontId="5" fillId="0" borderId="24" xfId="1519" applyFont="1" applyFill="1" applyBorder="1" applyAlignment="1">
      <alignment horizontal="center" vertical="center"/>
    </xf>
    <xf numFmtId="41" fontId="5" fillId="0" borderId="166" xfId="1519" applyFont="1" applyFill="1" applyBorder="1" applyAlignment="1">
      <alignment horizontal="center" vertical="center"/>
    </xf>
    <xf numFmtId="177" fontId="5" fillId="70" borderId="208" xfId="2" applyNumberFormat="1" applyFont="1" applyFill="1" applyBorder="1" applyAlignment="1">
      <alignment horizontal="right" vertical="center"/>
    </xf>
    <xf numFmtId="177" fontId="5" fillId="70" borderId="0" xfId="2" applyNumberFormat="1" applyFont="1" applyFill="1" applyBorder="1" applyAlignment="1">
      <alignment horizontal="right" vertical="center"/>
    </xf>
    <xf numFmtId="177" fontId="7" fillId="70" borderId="0" xfId="2" applyNumberFormat="1" applyFont="1" applyFill="1" applyBorder="1" applyAlignment="1">
      <alignment horizontal="right" vertical="center"/>
    </xf>
    <xf numFmtId="177" fontId="3" fillId="7" borderId="207" xfId="2" applyNumberFormat="1" applyFont="1" applyFill="1" applyBorder="1" applyAlignment="1">
      <alignment horizontal="right" vertical="center"/>
    </xf>
    <xf numFmtId="0" fontId="3" fillId="4" borderId="117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horizontal="center" vertical="center"/>
    </xf>
    <xf numFmtId="0" fontId="3" fillId="4" borderId="127" xfId="0" applyFont="1" applyFill="1" applyBorder="1" applyAlignment="1">
      <alignment horizontal="center" vertical="center"/>
    </xf>
    <xf numFmtId="0" fontId="3" fillId="4" borderId="166" xfId="0" applyFont="1" applyFill="1" applyBorder="1" applyAlignment="1">
      <alignment horizontal="center" vertical="center"/>
    </xf>
    <xf numFmtId="41" fontId="5" fillId="3" borderId="158" xfId="1519" applyFont="1" applyFill="1" applyBorder="1" applyAlignment="1">
      <alignment horizontal="center" vertical="center"/>
    </xf>
    <xf numFmtId="41" fontId="5" fillId="3" borderId="74" xfId="1519" applyFont="1" applyFill="1" applyBorder="1" applyAlignment="1">
      <alignment horizontal="center" vertical="center"/>
    </xf>
    <xf numFmtId="41" fontId="5" fillId="3" borderId="159" xfId="1519" applyFont="1" applyFill="1" applyBorder="1" applyAlignment="1">
      <alignment horizontal="center" vertical="center"/>
    </xf>
    <xf numFmtId="0" fontId="3" fillId="2" borderId="120" xfId="0" quotePrefix="1" applyFont="1" applyFill="1" applyBorder="1" applyAlignment="1">
      <alignment horizontal="center" vertical="center"/>
    </xf>
    <xf numFmtId="0" fontId="3" fillId="2" borderId="128" xfId="0" quotePrefix="1" applyFont="1" applyFill="1" applyBorder="1" applyAlignment="1">
      <alignment horizontal="center" vertical="center"/>
    </xf>
    <xf numFmtId="41" fontId="5" fillId="14" borderId="158" xfId="1519" applyFont="1" applyFill="1" applyBorder="1" applyAlignment="1">
      <alignment horizontal="center" vertical="center"/>
    </xf>
    <xf numFmtId="41" fontId="5" fillId="14" borderId="74" xfId="1519" applyFont="1" applyFill="1" applyBorder="1" applyAlignment="1">
      <alignment horizontal="center" vertical="center"/>
    </xf>
    <xf numFmtId="41" fontId="5" fillId="14" borderId="159" xfId="1519" applyFont="1" applyFill="1" applyBorder="1" applyAlignment="1">
      <alignment horizontal="center" vertical="center"/>
    </xf>
    <xf numFmtId="0" fontId="3" fillId="8" borderId="117" xfId="0" applyFont="1" applyFill="1" applyBorder="1" applyAlignment="1">
      <alignment horizontal="center" vertical="center" wrapText="1"/>
    </xf>
    <xf numFmtId="0" fontId="3" fillId="8" borderId="52" xfId="0" applyFont="1" applyFill="1" applyBorder="1" applyAlignment="1">
      <alignment horizontal="center" vertical="center"/>
    </xf>
    <xf numFmtId="0" fontId="3" fillId="8" borderId="127" xfId="0" applyFont="1" applyFill="1" applyBorder="1" applyAlignment="1">
      <alignment horizontal="center" vertical="center"/>
    </xf>
    <xf numFmtId="0" fontId="3" fillId="8" borderId="166" xfId="0" applyFont="1" applyFill="1" applyBorder="1" applyAlignment="1">
      <alignment horizontal="center" vertical="center"/>
    </xf>
    <xf numFmtId="0" fontId="3" fillId="8" borderId="117" xfId="0" applyFont="1" applyFill="1" applyBorder="1" applyAlignment="1">
      <alignment horizontal="center" vertical="center"/>
    </xf>
    <xf numFmtId="0" fontId="3" fillId="8" borderId="162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3" borderId="117" xfId="0" applyFont="1" applyFill="1" applyBorder="1" applyAlignment="1">
      <alignment horizontal="center" vertical="center"/>
    </xf>
    <xf numFmtId="0" fontId="3" fillId="0" borderId="117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177" fillId="0" borderId="117" xfId="0" applyFont="1" applyBorder="1" applyAlignment="1">
      <alignment horizontal="center" vertical="center"/>
    </xf>
    <xf numFmtId="0" fontId="177" fillId="0" borderId="52" xfId="0" applyFont="1" applyBorder="1" applyAlignment="1">
      <alignment horizontal="center" vertical="center"/>
    </xf>
    <xf numFmtId="0" fontId="177" fillId="0" borderId="167" xfId="0" applyFont="1" applyBorder="1" applyAlignment="1">
      <alignment horizontal="center" vertical="center"/>
    </xf>
    <xf numFmtId="0" fontId="177" fillId="0" borderId="50" xfId="0" applyFont="1" applyBorder="1" applyAlignment="1">
      <alignment horizontal="center" vertical="center"/>
    </xf>
    <xf numFmtId="0" fontId="177" fillId="0" borderId="127" xfId="0" applyFont="1" applyBorder="1" applyAlignment="1">
      <alignment horizontal="center" vertical="center"/>
    </xf>
    <xf numFmtId="0" fontId="177" fillId="0" borderId="166" xfId="0" applyFont="1" applyBorder="1" applyAlignment="1">
      <alignment horizontal="center" vertical="center"/>
    </xf>
    <xf numFmtId="0" fontId="0" fillId="2" borderId="117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14" fontId="5" fillId="0" borderId="210" xfId="1519" applyNumberFormat="1" applyFont="1" applyFill="1" applyBorder="1" applyAlignment="1">
      <alignment horizontal="center" vertical="center"/>
    </xf>
    <xf numFmtId="41" fontId="5" fillId="0" borderId="220" xfId="1519" applyFont="1" applyFill="1" applyBorder="1" applyAlignment="1">
      <alignment horizontal="center" vertical="center"/>
    </xf>
    <xf numFmtId="41" fontId="5" fillId="0" borderId="221" xfId="1519" applyFont="1" applyFill="1" applyBorder="1" applyAlignment="1">
      <alignment horizontal="center" vertical="center"/>
    </xf>
    <xf numFmtId="177" fontId="5" fillId="0" borderId="210" xfId="1519" applyNumberFormat="1" applyFont="1" applyFill="1" applyBorder="1" applyAlignment="1">
      <alignment horizontal="center" vertical="center"/>
    </xf>
    <xf numFmtId="177" fontId="5" fillId="0" borderId="220" xfId="1519" applyNumberFormat="1" applyFont="1" applyFill="1" applyBorder="1" applyAlignment="1">
      <alignment horizontal="center" vertical="center"/>
    </xf>
    <xf numFmtId="177" fontId="5" fillId="0" borderId="221" xfId="1519" applyNumberFormat="1" applyFont="1" applyFill="1" applyBorder="1" applyAlignment="1">
      <alignment horizontal="center" vertical="center"/>
    </xf>
    <xf numFmtId="14" fontId="5" fillId="0" borderId="167" xfId="1519" applyNumberFormat="1" applyFont="1" applyFill="1" applyBorder="1" applyAlignment="1">
      <alignment horizontal="center" vertical="center"/>
    </xf>
    <xf numFmtId="177" fontId="5" fillId="0" borderId="167" xfId="1519" applyNumberFormat="1" applyFont="1" applyFill="1" applyBorder="1" applyAlignment="1">
      <alignment horizontal="center" vertical="center"/>
    </xf>
    <xf numFmtId="177" fontId="5" fillId="0" borderId="0" xfId="1519" applyNumberFormat="1" applyFont="1" applyFill="1" applyBorder="1" applyAlignment="1">
      <alignment horizontal="center" vertical="center"/>
    </xf>
    <xf numFmtId="177" fontId="5" fillId="0" borderId="50" xfId="1519" applyNumberFormat="1" applyFont="1" applyFill="1" applyBorder="1" applyAlignment="1">
      <alignment horizontal="center" vertical="center"/>
    </xf>
    <xf numFmtId="14" fontId="5" fillId="0" borderId="127" xfId="1519" applyNumberFormat="1" applyFont="1" applyFill="1" applyBorder="1" applyAlignment="1">
      <alignment horizontal="center" vertical="center"/>
    </xf>
    <xf numFmtId="177" fontId="5" fillId="0" borderId="127" xfId="1519" applyNumberFormat="1" applyFont="1" applyFill="1" applyBorder="1" applyAlignment="1">
      <alignment horizontal="center" vertical="center"/>
    </xf>
    <xf numFmtId="177" fontId="5" fillId="0" borderId="24" xfId="1519" applyNumberFormat="1" applyFont="1" applyFill="1" applyBorder="1" applyAlignment="1">
      <alignment horizontal="center" vertical="center"/>
    </xf>
    <xf numFmtId="177" fontId="5" fillId="0" borderId="166" xfId="1519" applyNumberFormat="1" applyFont="1" applyFill="1" applyBorder="1" applyAlignment="1">
      <alignment horizontal="center" vertical="center"/>
    </xf>
    <xf numFmtId="14" fontId="5" fillId="0" borderId="158" xfId="1519" applyNumberFormat="1" applyFont="1" applyFill="1" applyBorder="1" applyAlignment="1">
      <alignment horizontal="center" vertical="center"/>
    </xf>
    <xf numFmtId="177" fontId="5" fillId="0" borderId="158" xfId="1519" applyNumberFormat="1" applyFont="1" applyFill="1" applyBorder="1" applyAlignment="1">
      <alignment horizontal="center" vertical="center"/>
    </xf>
    <xf numFmtId="177" fontId="5" fillId="0" borderId="74" xfId="1519" applyNumberFormat="1" applyFont="1" applyFill="1" applyBorder="1" applyAlignment="1">
      <alignment horizontal="center" vertical="center"/>
    </xf>
    <xf numFmtId="177" fontId="5" fillId="0" borderId="159" xfId="1519" applyNumberFormat="1" applyFont="1" applyFill="1" applyBorder="1" applyAlignment="1">
      <alignment horizontal="center" vertical="center"/>
    </xf>
    <xf numFmtId="14" fontId="5" fillId="0" borderId="158" xfId="1519" quotePrefix="1" applyNumberFormat="1" applyFont="1" applyFill="1" applyBorder="1" applyAlignment="1">
      <alignment horizontal="center" vertical="center"/>
    </xf>
    <xf numFmtId="0" fontId="3" fillId="2" borderId="210" xfId="0" applyFont="1" applyFill="1" applyBorder="1" applyAlignment="1">
      <alignment horizontal="center" vertical="center" wrapText="1"/>
    </xf>
    <xf numFmtId="0" fontId="3" fillId="2" borderId="209" xfId="0" applyFont="1" applyFill="1" applyBorder="1" applyAlignment="1">
      <alignment horizontal="center" vertical="center" wrapText="1"/>
    </xf>
    <xf numFmtId="41" fontId="5" fillId="0" borderId="210" xfId="1519" applyFont="1" applyFill="1" applyBorder="1" applyAlignment="1">
      <alignment horizontal="center" vertical="center"/>
    </xf>
    <xf numFmtId="0" fontId="3" fillId="2" borderId="210" xfId="0" applyFont="1" applyFill="1" applyBorder="1" applyAlignment="1">
      <alignment horizontal="center" vertical="center"/>
    </xf>
    <xf numFmtId="0" fontId="3" fillId="2" borderId="220" xfId="0" applyFont="1" applyFill="1" applyBorder="1" applyAlignment="1">
      <alignment horizontal="center" vertical="center"/>
    </xf>
    <xf numFmtId="0" fontId="3" fillId="2" borderId="221" xfId="0" applyFont="1" applyFill="1" applyBorder="1" applyAlignment="1">
      <alignment horizontal="center" vertical="center"/>
    </xf>
    <xf numFmtId="14" fontId="5" fillId="0" borderId="210" xfId="1519" quotePrefix="1" applyNumberFormat="1" applyFont="1" applyFill="1" applyBorder="1" applyAlignment="1">
      <alignment horizontal="center" vertical="center"/>
    </xf>
    <xf numFmtId="177" fontId="5" fillId="3" borderId="158" xfId="1519" applyNumberFormat="1" applyFont="1" applyFill="1" applyBorder="1" applyAlignment="1">
      <alignment horizontal="center" vertical="center"/>
    </xf>
    <xf numFmtId="177" fontId="5" fillId="3" borderId="74" xfId="1519" applyNumberFormat="1" applyFont="1" applyFill="1" applyBorder="1" applyAlignment="1">
      <alignment horizontal="center" vertical="center"/>
    </xf>
    <xf numFmtId="177" fontId="5" fillId="3" borderId="159" xfId="1519" applyNumberFormat="1" applyFont="1" applyFill="1" applyBorder="1" applyAlignment="1">
      <alignment horizontal="center" vertical="center"/>
    </xf>
    <xf numFmtId="14" fontId="5" fillId="3" borderId="158" xfId="1519" applyNumberFormat="1" applyFont="1" applyFill="1" applyBorder="1" applyAlignment="1">
      <alignment horizontal="center" vertical="center"/>
    </xf>
    <xf numFmtId="41" fontId="5" fillId="10" borderId="158" xfId="1519" applyFont="1" applyFill="1" applyBorder="1" applyAlignment="1">
      <alignment horizontal="center" vertical="center"/>
    </xf>
    <xf numFmtId="41" fontId="5" fillId="10" borderId="74" xfId="1519" applyFont="1" applyFill="1" applyBorder="1" applyAlignment="1">
      <alignment horizontal="center" vertical="center"/>
    </xf>
    <xf numFmtId="41" fontId="5" fillId="10" borderId="159" xfId="1519" applyFont="1" applyFill="1" applyBorder="1" applyAlignment="1">
      <alignment horizontal="center" vertical="center"/>
    </xf>
    <xf numFmtId="0" fontId="0" fillId="0" borderId="158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159" xfId="0" applyBorder="1" applyAlignment="1">
      <alignment horizontal="center" vertical="center"/>
    </xf>
    <xf numFmtId="0" fontId="3" fillId="2" borderId="211" xfId="0" quotePrefix="1" applyFont="1" applyFill="1" applyBorder="1" applyAlignment="1">
      <alignment horizontal="center" vertical="center"/>
    </xf>
    <xf numFmtId="41" fontId="5" fillId="0" borderId="158" xfId="1519" quotePrefix="1" applyFont="1" applyFill="1" applyBorder="1" applyAlignment="1">
      <alignment horizontal="center" vertical="center"/>
    </xf>
    <xf numFmtId="0" fontId="3" fillId="2" borderId="209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41" fontId="3" fillId="8" borderId="0" xfId="0" applyNumberFormat="1" applyFont="1" applyFill="1" applyAlignment="1">
      <alignment horizontal="center" vertical="center"/>
    </xf>
    <xf numFmtId="41" fontId="3" fillId="17" borderId="0" xfId="0" applyNumberFormat="1" applyFont="1" applyFill="1" applyAlignment="1">
      <alignment horizontal="center" vertical="center"/>
    </xf>
  </cellXfs>
  <cellStyles count="2888">
    <cellStyle name="_x0001_" xfId="3" xr:uid="{00000000-0005-0000-0000-000000000000}"/>
    <cellStyle name=" 1" xfId="4" xr:uid="{00000000-0005-0000-0000-000001000000}"/>
    <cellStyle name="." xfId="5" xr:uid="{00000000-0005-0000-0000-000002000000}"/>
    <cellStyle name="._PIT092008" xfId="6" xr:uid="{00000000-0005-0000-0000-000003000000}"/>
    <cellStyle name="??" xfId="7" xr:uid="{00000000-0005-0000-0000-000004000000}"/>
    <cellStyle name="?? [0.00]_List-dwg" xfId="8" xr:uid="{00000000-0005-0000-0000-000005000000}"/>
    <cellStyle name="?? [0]" xfId="9" xr:uid="{00000000-0005-0000-0000-000006000000}"/>
    <cellStyle name="??&amp;O?&amp;H?_x0008__x000f__x0007_?_x0007__x0001__x0001_" xfId="10" xr:uid="{00000000-0005-0000-0000-000007000000}"/>
    <cellStyle name="???? [0.00]_List-dwg" xfId="11" xr:uid="{00000000-0005-0000-0000-000008000000}"/>
    <cellStyle name="????_List-dwg" xfId="12" xr:uid="{00000000-0005-0000-0000-000009000000}"/>
    <cellStyle name="???[0]_Book1" xfId="13" xr:uid="{00000000-0005-0000-0000-00000A000000}"/>
    <cellStyle name="???_???" xfId="14" xr:uid="{00000000-0005-0000-0000-00000B000000}"/>
    <cellStyle name="?_x0010__x0001_??Pr" xfId="15" xr:uid="{00000000-0005-0000-0000-00000C000000}"/>
    <cellStyle name="?_x0010__x0001_??Pr 1" xfId="16" xr:uid="{00000000-0005-0000-0000-00000D000000}"/>
    <cellStyle name="?_x0010__x0001_??Pr_Book1" xfId="17" xr:uid="{00000000-0005-0000-0000-00000E000000}"/>
    <cellStyle name="??_ ??? ???? " xfId="18" xr:uid="{00000000-0005-0000-0000-00000F000000}"/>
    <cellStyle name="??9JS—_x0008_??????????????????H_x0001_????&lt;i·0??????????_x0007_?_x0010__x0001_??Thongso??9JS—_x0008_??????????????????‚_x0001_?" xfId="19" xr:uid="{00000000-0005-0000-0000-000010000000}"/>
    <cellStyle name="??9JS—_x0008_??????????????????H_x0001_????&lt;i·0??????????_x0007_?_x0010__x0001_??Thongso??9JS—_x0008_??????????????????‚_x0001_? 1" xfId="20" xr:uid="{00000000-0005-0000-0000-000011000000}"/>
    <cellStyle name="??9JS—_x0008_??????????????????H_x0001_????&lt;i·0??????????_x0007_?_x0010__x0001_??Thongso??9JS—_x0008_??????????????????‚_x0001_?_Book1" xfId="21" xr:uid="{00000000-0005-0000-0000-000012000000}"/>
    <cellStyle name="_x0001_??Thanh_phan?9š" xfId="22" xr:uid="{00000000-0005-0000-0000-000013000000}"/>
    <cellStyle name="?Sums?9^R—_x0008_????????????????????N_x0004__x0002__x0003_1?_x0014_" xfId="23" xr:uid="{00000000-0005-0000-0000-000014000000}"/>
    <cellStyle name="?Sums?9^R—_x0008_????????????????????N_x0004__x0002__x0003_1?_x0014_ 1" xfId="24" xr:uid="{00000000-0005-0000-0000-000015000000}"/>
    <cellStyle name="?Sums?9^R—_x0008_????????????????????N_x0004__x0002__x0003_1?_x0014__Book1" xfId="25" xr:uid="{00000000-0005-0000-0000-000016000000}"/>
    <cellStyle name="_03TBH MOI" xfId="26" xr:uid="{00000000-0005-0000-0000-000017000000}"/>
    <cellStyle name="_03TBH MOI_PIT092008" xfId="27" xr:uid="{00000000-0005-0000-0000-000018000000}"/>
    <cellStyle name="_A5-v4-client's comment" xfId="28" xr:uid="{00000000-0005-0000-0000-000019000000}"/>
    <cellStyle name="_A5-v4-client's comment_PIT092008" xfId="29" xr:uid="{00000000-0005-0000-0000-00001A000000}"/>
    <cellStyle name="_Ac 2160 - BO" xfId="30" xr:uid="{00000000-0005-0000-0000-00001B000000}"/>
    <cellStyle name="_Ac 2160 - BO_PIT092008" xfId="31" xr:uid="{00000000-0005-0000-0000-00001C000000}"/>
    <cellStyle name="_BC 10-7-2006" xfId="32" xr:uid="{00000000-0005-0000-0000-00001D000000}"/>
    <cellStyle name="_BC 10-7-2006_PIT092008" xfId="33" xr:uid="{00000000-0005-0000-0000-00001E000000}"/>
    <cellStyle name="_Book1" xfId="34" xr:uid="{00000000-0005-0000-0000-00001F000000}"/>
    <cellStyle name="_Book1_03TBH MOI" xfId="35" xr:uid="{00000000-0005-0000-0000-000020000000}"/>
    <cellStyle name="_Book1_1" xfId="36" xr:uid="{00000000-0005-0000-0000-000021000000}"/>
    <cellStyle name="_Book1_1_PIT092008" xfId="37" xr:uid="{00000000-0005-0000-0000-000022000000}"/>
    <cellStyle name="_Book1_1_SAY FASHION" xfId="38" xr:uid="{00000000-0005-0000-0000-000023000000}"/>
    <cellStyle name="_Book1_1_SAY FASHION_PIT092008" xfId="39" xr:uid="{00000000-0005-0000-0000-000024000000}"/>
    <cellStyle name="_Book1_2" xfId="40" xr:uid="{00000000-0005-0000-0000-000025000000}"/>
    <cellStyle name="_Book1_2_PIT092008" xfId="41" xr:uid="{00000000-0005-0000-0000-000026000000}"/>
    <cellStyle name="_Book1_Book1" xfId="42" xr:uid="{00000000-0005-0000-0000-000027000000}"/>
    <cellStyle name="_Book1_Book1_PIT092008" xfId="43" xr:uid="{00000000-0005-0000-0000-000028000000}"/>
    <cellStyle name="_Book1_dS" xfId="44" xr:uid="{00000000-0005-0000-0000-000029000000}"/>
    <cellStyle name="_Book1_dS_PIT092008" xfId="45" xr:uid="{00000000-0005-0000-0000-00002A000000}"/>
    <cellStyle name="_Book1_F4_5_6__Bao_cao_tai_NPP BICH TIEN" xfId="46" xr:uid="{00000000-0005-0000-0000-00002B000000}"/>
    <cellStyle name="_Book1_Mau -bao_cao_XNT_NVTK_tai_NPP 19.7" xfId="47" xr:uid="{00000000-0005-0000-0000-00002C000000}"/>
    <cellStyle name="_Book1_Mau_bao_cao_XNT_NVTK_tai_NPP 21.7" xfId="48" xr:uid="{00000000-0005-0000-0000-00002D000000}"/>
    <cellStyle name="_Book1_PIT092008" xfId="49" xr:uid="{00000000-0005-0000-0000-00002E000000}"/>
    <cellStyle name="_Book1_SAY FASHION" xfId="50" xr:uid="{00000000-0005-0000-0000-00002F000000}"/>
    <cellStyle name="_Book1_SAY FASHION_PIT092008" xfId="51" xr:uid="{00000000-0005-0000-0000-000030000000}"/>
    <cellStyle name="_Castrol - Sales &amp; AR - NTHH" xfId="52" xr:uid="{00000000-0005-0000-0000-000031000000}"/>
    <cellStyle name="_Castrol - Sales &amp; AR - NTHH_PIT092008" xfId="53" xr:uid="{00000000-0005-0000-0000-000032000000}"/>
    <cellStyle name="_Castrol - Stock WPs - NTHH" xfId="54" xr:uid="{00000000-0005-0000-0000-000033000000}"/>
    <cellStyle name="_Castrol - Stock WPs - NTHH_PIT092008" xfId="55" xr:uid="{00000000-0005-0000-0000-000034000000}"/>
    <cellStyle name="_Copy of Mau_bao_cao_XNT_NVTK_tai_NPP" xfId="56" xr:uid="{00000000-0005-0000-0000-000035000000}"/>
    <cellStyle name="_doiPK_DC" xfId="57" xr:uid="{00000000-0005-0000-0000-000036000000}"/>
    <cellStyle name="_doiPK_DC_PIT092008" xfId="58" xr:uid="{00000000-0005-0000-0000-000037000000}"/>
    <cellStyle name="_ĐƠN ĐẶT HÀNG VNM" xfId="59" xr:uid="{00000000-0005-0000-0000-000038000000}"/>
    <cellStyle name="_EXPENSES-1206" xfId="60" xr:uid="{00000000-0005-0000-0000-000039000000}"/>
    <cellStyle name="_EXPENSES-1206_PIT092008" xfId="61" xr:uid="{00000000-0005-0000-0000-00003A000000}"/>
    <cellStyle name="_F4_5_6__Bao_cao_tai_NPP BICH TIEN" xfId="62" xr:uid="{00000000-0005-0000-0000-00003B000000}"/>
    <cellStyle name="_form__moi__bao_cao_ngay_NEW_AGAIN" xfId="63" xr:uid="{00000000-0005-0000-0000-00003C000000}"/>
    <cellStyle name="_HAN SU DUNG" xfId="64" xr:uid="{00000000-0005-0000-0000-00003D000000}"/>
    <cellStyle name="_HU2_BenCat" xfId="65" xr:uid="{00000000-0005-0000-0000-00003E000000}"/>
    <cellStyle name="_HU2_BenCat_PIT092008" xfId="66" xr:uid="{00000000-0005-0000-0000-00003F000000}"/>
    <cellStyle name="_icp 7-07" xfId="67" xr:uid="{00000000-0005-0000-0000-000040000000}"/>
    <cellStyle name="_icp 7-07_PIT092008" xfId="68" xr:uid="{00000000-0005-0000-0000-000041000000}"/>
    <cellStyle name="_KD - Stock WPs - NTHH" xfId="69" xr:uid="{00000000-0005-0000-0000-000042000000}"/>
    <cellStyle name="_KD - Stock WPs - NTHH_PIT092008" xfId="70" xr:uid="{00000000-0005-0000-0000-000043000000}"/>
    <cellStyle name="_KT (2)" xfId="71" xr:uid="{00000000-0005-0000-0000-000044000000}"/>
    <cellStyle name="_KT (2)_1" xfId="72" xr:uid="{00000000-0005-0000-0000-000045000000}"/>
    <cellStyle name="_KT (2)_1_PIT092008" xfId="73" xr:uid="{00000000-0005-0000-0000-000046000000}"/>
    <cellStyle name="_KT (2)_2" xfId="74" xr:uid="{00000000-0005-0000-0000-000047000000}"/>
    <cellStyle name="_KT (2)_2_PIT092008" xfId="75" xr:uid="{00000000-0005-0000-0000-000048000000}"/>
    <cellStyle name="_KT (2)_2_TG-TH" xfId="76" xr:uid="{00000000-0005-0000-0000-000049000000}"/>
    <cellStyle name="_KT (2)_2_TG-TH_Book1" xfId="77" xr:uid="{00000000-0005-0000-0000-00004A000000}"/>
    <cellStyle name="_KT (2)_2_TG-TH_Book1_PIT092008" xfId="78" xr:uid="{00000000-0005-0000-0000-00004B000000}"/>
    <cellStyle name="_KT (2)_2_TG-TH_PIT092008" xfId="79" xr:uid="{00000000-0005-0000-0000-00004C000000}"/>
    <cellStyle name="_KT (2)_3" xfId="80" xr:uid="{00000000-0005-0000-0000-00004D000000}"/>
    <cellStyle name="_KT (2)_3_PIT092008" xfId="81" xr:uid="{00000000-0005-0000-0000-00004E000000}"/>
    <cellStyle name="_KT (2)_3_TG-TH" xfId="82" xr:uid="{00000000-0005-0000-0000-00004F000000}"/>
    <cellStyle name="_KT (2)_3_TG-TH_Book1" xfId="83" xr:uid="{00000000-0005-0000-0000-000050000000}"/>
    <cellStyle name="_KT (2)_3_TG-TH_Book1_PIT092008" xfId="84" xr:uid="{00000000-0005-0000-0000-000051000000}"/>
    <cellStyle name="_KT (2)_3_TG-TH_PIT092008" xfId="85" xr:uid="{00000000-0005-0000-0000-000052000000}"/>
    <cellStyle name="_KT (2)_4" xfId="86" xr:uid="{00000000-0005-0000-0000-000053000000}"/>
    <cellStyle name="_KT (2)_4_Book1" xfId="87" xr:uid="{00000000-0005-0000-0000-000054000000}"/>
    <cellStyle name="_KT (2)_4_Book1_PIT092008" xfId="88" xr:uid="{00000000-0005-0000-0000-000055000000}"/>
    <cellStyle name="_KT (2)_4_PIT092008" xfId="89" xr:uid="{00000000-0005-0000-0000-000056000000}"/>
    <cellStyle name="_KT (2)_4_TG-TH" xfId="90" xr:uid="{00000000-0005-0000-0000-000057000000}"/>
    <cellStyle name="_KT (2)_4_TG-TH_PIT092008" xfId="91" xr:uid="{00000000-0005-0000-0000-000058000000}"/>
    <cellStyle name="_KT (2)_5" xfId="92" xr:uid="{00000000-0005-0000-0000-000059000000}"/>
    <cellStyle name="_KT (2)_5_Book1" xfId="93" xr:uid="{00000000-0005-0000-0000-00005A000000}"/>
    <cellStyle name="_KT (2)_5_Book1_PIT092008" xfId="94" xr:uid="{00000000-0005-0000-0000-00005B000000}"/>
    <cellStyle name="_KT (2)_5_PIT092008" xfId="95" xr:uid="{00000000-0005-0000-0000-00005C000000}"/>
    <cellStyle name="_KT (2)_Book1" xfId="96" xr:uid="{00000000-0005-0000-0000-00005D000000}"/>
    <cellStyle name="_KT (2)_Book1_PIT092008" xfId="97" xr:uid="{00000000-0005-0000-0000-00005E000000}"/>
    <cellStyle name="_KT (2)_PIT092008" xfId="98" xr:uid="{00000000-0005-0000-0000-00005F000000}"/>
    <cellStyle name="_KT (2)_TG-TH" xfId="99" xr:uid="{00000000-0005-0000-0000-000060000000}"/>
    <cellStyle name="_KT (2)_TG-TH_PIT092008" xfId="100" xr:uid="{00000000-0005-0000-0000-000061000000}"/>
    <cellStyle name="_KT_TG" xfId="101" xr:uid="{00000000-0005-0000-0000-000062000000}"/>
    <cellStyle name="_KT_TG_1" xfId="102" xr:uid="{00000000-0005-0000-0000-000063000000}"/>
    <cellStyle name="_KT_TG_1_Book1" xfId="103" xr:uid="{00000000-0005-0000-0000-000064000000}"/>
    <cellStyle name="_KT_TG_1_Book1_PIT092008" xfId="104" xr:uid="{00000000-0005-0000-0000-000065000000}"/>
    <cellStyle name="_KT_TG_1_PIT092008" xfId="105" xr:uid="{00000000-0005-0000-0000-000066000000}"/>
    <cellStyle name="_KT_TG_2" xfId="106" xr:uid="{00000000-0005-0000-0000-000067000000}"/>
    <cellStyle name="_KT_TG_2_Book1" xfId="107" xr:uid="{00000000-0005-0000-0000-000068000000}"/>
    <cellStyle name="_KT_TG_2_Book1_PIT092008" xfId="108" xr:uid="{00000000-0005-0000-0000-000069000000}"/>
    <cellStyle name="_KT_TG_2_PIT092008" xfId="109" xr:uid="{00000000-0005-0000-0000-00006A000000}"/>
    <cellStyle name="_KT_TG_3" xfId="110" xr:uid="{00000000-0005-0000-0000-00006B000000}"/>
    <cellStyle name="_KT_TG_3_PIT092008" xfId="111" xr:uid="{00000000-0005-0000-0000-00006C000000}"/>
    <cellStyle name="_KT_TG_4" xfId="112" xr:uid="{00000000-0005-0000-0000-00006D000000}"/>
    <cellStyle name="_KT_TG_4_PIT092008" xfId="113" xr:uid="{00000000-0005-0000-0000-00006E000000}"/>
    <cellStyle name="_KT_TG_PIT092008" xfId="114" xr:uid="{00000000-0005-0000-0000-00006F000000}"/>
    <cellStyle name="_Mau -bao_cao_XNT_NVTK_tai_NPP 19.7" xfId="115" xr:uid="{00000000-0005-0000-0000-000070000000}"/>
    <cellStyle name="_Mau_bao_cao_XNT_NVTK_tai_NPP 21.7" xfId="116" xr:uid="{00000000-0005-0000-0000-000071000000}"/>
    <cellStyle name="_Mau_bao_cao_XNT_NVTK_tai_NPP 3.7" xfId="117" xr:uid="{00000000-0005-0000-0000-000072000000}"/>
    <cellStyle name="_Mau_bao_cao_XNT_NVTK_tai_NPP 3.7_1" xfId="118" xr:uid="{00000000-0005-0000-0000-000073000000}"/>
    <cellStyle name="_PepsiCo_BD_ 2008.06 Mau 02a (1)" xfId="119" xr:uid="{00000000-0005-0000-0000-000074000000}"/>
    <cellStyle name="_PepsiCo_BD_ 2008.06 Mau 02a (1)_PIT092008" xfId="120" xr:uid="{00000000-0005-0000-0000-000075000000}"/>
    <cellStyle name="_x0001__PIT092008" xfId="121" xr:uid="{00000000-0005-0000-0000-000076000000}"/>
    <cellStyle name="_Purchasing 2006 YTD" xfId="122" xr:uid="{00000000-0005-0000-0000-000077000000}"/>
    <cellStyle name="_Purchasing 2006 YTD_PIT092008" xfId="123" xr:uid="{00000000-0005-0000-0000-000078000000}"/>
    <cellStyle name="_RM FG INV 2006" xfId="124" xr:uid="{00000000-0005-0000-0000-000079000000}"/>
    <cellStyle name="_RM FG INV 2006_PIT092008" xfId="125" xr:uid="{00000000-0005-0000-0000-00007A000000}"/>
    <cellStyle name="_SAY FASHION" xfId="126" xr:uid="{00000000-0005-0000-0000-00007B000000}"/>
    <cellStyle name="_SAY FASHION_PIT092008" xfId="127" xr:uid="{00000000-0005-0000-0000-00007C000000}"/>
    <cellStyle name="_Stock" xfId="128" xr:uid="{00000000-0005-0000-0000-00007D000000}"/>
    <cellStyle name="_Stock_PIT092008" xfId="129" xr:uid="{00000000-0005-0000-0000-00007E000000}"/>
    <cellStyle name="_STT_Huyen" xfId="130" xr:uid="{00000000-0005-0000-0000-00007F000000}"/>
    <cellStyle name="_STT_Huyen_PIT092008" xfId="131" xr:uid="{00000000-0005-0000-0000-000080000000}"/>
    <cellStyle name="_TG-TH" xfId="132" xr:uid="{00000000-0005-0000-0000-000081000000}"/>
    <cellStyle name="_TG-TH_1" xfId="133" xr:uid="{00000000-0005-0000-0000-000082000000}"/>
    <cellStyle name="_TG-TH_1_Book1" xfId="134" xr:uid="{00000000-0005-0000-0000-000083000000}"/>
    <cellStyle name="_TG-TH_1_Book1_PIT092008" xfId="135" xr:uid="{00000000-0005-0000-0000-000084000000}"/>
    <cellStyle name="_TG-TH_1_PIT092008" xfId="136" xr:uid="{00000000-0005-0000-0000-000085000000}"/>
    <cellStyle name="_TG-TH_2" xfId="137" xr:uid="{00000000-0005-0000-0000-000086000000}"/>
    <cellStyle name="_TG-TH_2_Book1" xfId="138" xr:uid="{00000000-0005-0000-0000-000087000000}"/>
    <cellStyle name="_TG-TH_2_Book1_PIT092008" xfId="139" xr:uid="{00000000-0005-0000-0000-000088000000}"/>
    <cellStyle name="_TG-TH_2_PIT092008" xfId="140" xr:uid="{00000000-0005-0000-0000-000089000000}"/>
    <cellStyle name="_TG-TH_3" xfId="141" xr:uid="{00000000-0005-0000-0000-00008A000000}"/>
    <cellStyle name="_TG-TH_3_PIT092008" xfId="142" xr:uid="{00000000-0005-0000-0000-00008B000000}"/>
    <cellStyle name="_TG-TH_4" xfId="143" xr:uid="{00000000-0005-0000-0000-00008C000000}"/>
    <cellStyle name="_TG-TH_4_PIT092008" xfId="144" xr:uid="{00000000-0005-0000-0000-00008D000000}"/>
    <cellStyle name="_TG-TH_PIT092008" xfId="145" xr:uid="{00000000-0005-0000-0000-00008E000000}"/>
    <cellStyle name="_tong hop Mau Ngay 04.10.07" xfId="146" xr:uid="{00000000-0005-0000-0000-00008F000000}"/>
    <cellStyle name="_tong hop Mau Ngay 04.10.07_PIT092008" xfId="147" xr:uid="{00000000-0005-0000-0000-000090000000}"/>
    <cellStyle name="_tong kho 31.12.06" xfId="148" xr:uid="{00000000-0005-0000-0000-000091000000}"/>
    <cellStyle name="_Write off" xfId="149" xr:uid="{00000000-0005-0000-0000-000092000000}"/>
    <cellStyle name="_Write off_PIT092008" xfId="150" xr:uid="{00000000-0005-0000-0000-000093000000}"/>
    <cellStyle name="’Ê‰Ý [0.00]_laroux" xfId="151" xr:uid="{00000000-0005-0000-0000-000094000000}"/>
    <cellStyle name="’Ê‰Ý_laroux" xfId="152" xr:uid="{00000000-0005-0000-0000-000095000000}"/>
    <cellStyle name="•W€_¯–ì" xfId="153" xr:uid="{00000000-0005-0000-0000-000096000000}"/>
    <cellStyle name="W_RENKETU1" xfId="154" xr:uid="{00000000-0005-0000-0000-000097000000}"/>
    <cellStyle name="1" xfId="155" xr:uid="{00000000-0005-0000-0000-000098000000}"/>
    <cellStyle name="1_PIT092008" xfId="156" xr:uid="{00000000-0005-0000-0000-000099000000}"/>
    <cellStyle name="15" xfId="157" xr:uid="{00000000-0005-0000-0000-00009A000000}"/>
    <cellStyle name="¹éºÐÀ²_      " xfId="158" xr:uid="{00000000-0005-0000-0000-00009B000000}"/>
    <cellStyle name="2" xfId="159" xr:uid="{00000000-0005-0000-0000-00009C000000}"/>
    <cellStyle name="2_PIT092008" xfId="160" xr:uid="{00000000-0005-0000-0000-00009D000000}"/>
    <cellStyle name="20% - Accent1" xfId="161" xr:uid="{00000000-0005-0000-0000-00009E000000}"/>
    <cellStyle name="20% - Accent2" xfId="162" xr:uid="{00000000-0005-0000-0000-00009F000000}"/>
    <cellStyle name="20% - Accent3" xfId="163" xr:uid="{00000000-0005-0000-0000-0000A0000000}"/>
    <cellStyle name="20% - Accent4" xfId="164" xr:uid="{00000000-0005-0000-0000-0000A1000000}"/>
    <cellStyle name="20% - Accent5" xfId="165" xr:uid="{00000000-0005-0000-0000-0000A2000000}"/>
    <cellStyle name="20% - Accent6" xfId="166" xr:uid="{00000000-0005-0000-0000-0000A3000000}"/>
    <cellStyle name="20% - 강조색1 2" xfId="167" xr:uid="{00000000-0005-0000-0000-0000A4000000}"/>
    <cellStyle name="20% - 강조색1 3" xfId="168" xr:uid="{00000000-0005-0000-0000-0000A5000000}"/>
    <cellStyle name="20% - 강조색1 4" xfId="169" xr:uid="{00000000-0005-0000-0000-0000A6000000}"/>
    <cellStyle name="20% - 강조색2 2" xfId="170" xr:uid="{00000000-0005-0000-0000-0000A7000000}"/>
    <cellStyle name="20% - 강조색2 3" xfId="171" xr:uid="{00000000-0005-0000-0000-0000A8000000}"/>
    <cellStyle name="20% - 강조색2 4" xfId="172" xr:uid="{00000000-0005-0000-0000-0000A9000000}"/>
    <cellStyle name="20% - 강조색3 2" xfId="173" xr:uid="{00000000-0005-0000-0000-0000AA000000}"/>
    <cellStyle name="20% - 강조색3 3" xfId="174" xr:uid="{00000000-0005-0000-0000-0000AB000000}"/>
    <cellStyle name="20% - 강조색3 4" xfId="175" xr:uid="{00000000-0005-0000-0000-0000AC000000}"/>
    <cellStyle name="20% - 강조색4 2" xfId="176" xr:uid="{00000000-0005-0000-0000-0000AD000000}"/>
    <cellStyle name="20% - 강조색4 3" xfId="177" xr:uid="{00000000-0005-0000-0000-0000AE000000}"/>
    <cellStyle name="20% - 강조색4 4" xfId="178" xr:uid="{00000000-0005-0000-0000-0000AF000000}"/>
    <cellStyle name="20% - 강조색5 2" xfId="179" xr:uid="{00000000-0005-0000-0000-0000B0000000}"/>
    <cellStyle name="20% - 강조색5 3" xfId="180" xr:uid="{00000000-0005-0000-0000-0000B1000000}"/>
    <cellStyle name="20% - 강조색5 4" xfId="181" xr:uid="{00000000-0005-0000-0000-0000B2000000}"/>
    <cellStyle name="20% - 강조색6 2" xfId="182" xr:uid="{00000000-0005-0000-0000-0000B3000000}"/>
    <cellStyle name="20% - 강조색6 3" xfId="183" xr:uid="{00000000-0005-0000-0000-0000B4000000}"/>
    <cellStyle name="20% - 강조색6 4" xfId="184" xr:uid="{00000000-0005-0000-0000-0000B5000000}"/>
    <cellStyle name="3" xfId="185" xr:uid="{00000000-0005-0000-0000-0000B6000000}"/>
    <cellStyle name="3_PIT092008" xfId="186" xr:uid="{00000000-0005-0000-0000-0000B7000000}"/>
    <cellStyle name="32B12" xfId="187" xr:uid="{00000000-0005-0000-0000-0000B8000000}"/>
    <cellStyle name="4" xfId="188" xr:uid="{00000000-0005-0000-0000-0000B9000000}"/>
    <cellStyle name="40% - Accent1" xfId="189" xr:uid="{00000000-0005-0000-0000-0000BA000000}"/>
    <cellStyle name="40% - Accent2" xfId="190" xr:uid="{00000000-0005-0000-0000-0000BB000000}"/>
    <cellStyle name="40% - Accent3" xfId="191" xr:uid="{00000000-0005-0000-0000-0000BC000000}"/>
    <cellStyle name="40% - Accent4" xfId="192" xr:uid="{00000000-0005-0000-0000-0000BD000000}"/>
    <cellStyle name="40% - Accent5" xfId="193" xr:uid="{00000000-0005-0000-0000-0000BE000000}"/>
    <cellStyle name="40% - Accent6" xfId="194" xr:uid="{00000000-0005-0000-0000-0000BF000000}"/>
    <cellStyle name="40% - 강조색1 2" xfId="195" xr:uid="{00000000-0005-0000-0000-0000C0000000}"/>
    <cellStyle name="40% - 강조색1 3" xfId="196" xr:uid="{00000000-0005-0000-0000-0000C1000000}"/>
    <cellStyle name="40% - 강조색1 4" xfId="197" xr:uid="{00000000-0005-0000-0000-0000C2000000}"/>
    <cellStyle name="40% - 강조색2 2" xfId="198" xr:uid="{00000000-0005-0000-0000-0000C3000000}"/>
    <cellStyle name="40% - 강조색2 3" xfId="199" xr:uid="{00000000-0005-0000-0000-0000C4000000}"/>
    <cellStyle name="40% - 강조색2 4" xfId="200" xr:uid="{00000000-0005-0000-0000-0000C5000000}"/>
    <cellStyle name="40% - 강조색3 2" xfId="201" xr:uid="{00000000-0005-0000-0000-0000C6000000}"/>
    <cellStyle name="40% - 강조색3 3" xfId="202" xr:uid="{00000000-0005-0000-0000-0000C7000000}"/>
    <cellStyle name="40% - 강조색3 4" xfId="203" xr:uid="{00000000-0005-0000-0000-0000C8000000}"/>
    <cellStyle name="40% - 강조색4 2" xfId="204" xr:uid="{00000000-0005-0000-0000-0000C9000000}"/>
    <cellStyle name="40% - 강조색4 3" xfId="205" xr:uid="{00000000-0005-0000-0000-0000CA000000}"/>
    <cellStyle name="40% - 강조색4 4" xfId="206" xr:uid="{00000000-0005-0000-0000-0000CB000000}"/>
    <cellStyle name="40% - 강조색5 2" xfId="207" xr:uid="{00000000-0005-0000-0000-0000CC000000}"/>
    <cellStyle name="40% - 강조색5 3" xfId="208" xr:uid="{00000000-0005-0000-0000-0000CD000000}"/>
    <cellStyle name="40% - 강조색5 4" xfId="209" xr:uid="{00000000-0005-0000-0000-0000CE000000}"/>
    <cellStyle name="40% - 강조색6 2" xfId="210" xr:uid="{00000000-0005-0000-0000-0000CF000000}"/>
    <cellStyle name="40% - 강조색6 3" xfId="211" xr:uid="{00000000-0005-0000-0000-0000D0000000}"/>
    <cellStyle name="40% - 강조색6 4" xfId="212" xr:uid="{00000000-0005-0000-0000-0000D1000000}"/>
    <cellStyle name="60% - Accent1" xfId="213" xr:uid="{00000000-0005-0000-0000-0000D2000000}"/>
    <cellStyle name="60% - Accent2" xfId="214" xr:uid="{00000000-0005-0000-0000-0000D3000000}"/>
    <cellStyle name="60% - Accent3" xfId="215" xr:uid="{00000000-0005-0000-0000-0000D4000000}"/>
    <cellStyle name="60% - Accent4" xfId="216" xr:uid="{00000000-0005-0000-0000-0000D5000000}"/>
    <cellStyle name="60% - Accent5" xfId="217" xr:uid="{00000000-0005-0000-0000-0000D6000000}"/>
    <cellStyle name="60% - Accent6" xfId="218" xr:uid="{00000000-0005-0000-0000-0000D7000000}"/>
    <cellStyle name="60% - 강조색1 2" xfId="219" xr:uid="{00000000-0005-0000-0000-0000D8000000}"/>
    <cellStyle name="60% - 강조색1 3" xfId="220" xr:uid="{00000000-0005-0000-0000-0000D9000000}"/>
    <cellStyle name="60% - 강조색1 4" xfId="221" xr:uid="{00000000-0005-0000-0000-0000DA000000}"/>
    <cellStyle name="60% - 강조색2 2" xfId="222" xr:uid="{00000000-0005-0000-0000-0000DB000000}"/>
    <cellStyle name="60% - 강조색2 3" xfId="223" xr:uid="{00000000-0005-0000-0000-0000DC000000}"/>
    <cellStyle name="60% - 강조색2 4" xfId="224" xr:uid="{00000000-0005-0000-0000-0000DD000000}"/>
    <cellStyle name="60% - 강조색3 2" xfId="225" xr:uid="{00000000-0005-0000-0000-0000DE000000}"/>
    <cellStyle name="60% - 강조색3 3" xfId="226" xr:uid="{00000000-0005-0000-0000-0000DF000000}"/>
    <cellStyle name="60% - 강조색3 4" xfId="227" xr:uid="{00000000-0005-0000-0000-0000E0000000}"/>
    <cellStyle name="60% - 강조색4 2" xfId="228" xr:uid="{00000000-0005-0000-0000-0000E1000000}"/>
    <cellStyle name="60% - 강조색4 3" xfId="229" xr:uid="{00000000-0005-0000-0000-0000E2000000}"/>
    <cellStyle name="60% - 강조색4 4" xfId="230" xr:uid="{00000000-0005-0000-0000-0000E3000000}"/>
    <cellStyle name="60% - 강조색5 2" xfId="231" xr:uid="{00000000-0005-0000-0000-0000E4000000}"/>
    <cellStyle name="60% - 강조색5 3" xfId="232" xr:uid="{00000000-0005-0000-0000-0000E5000000}"/>
    <cellStyle name="60% - 강조색5 4" xfId="233" xr:uid="{00000000-0005-0000-0000-0000E6000000}"/>
    <cellStyle name="60% - 강조색6 2" xfId="234" xr:uid="{00000000-0005-0000-0000-0000E7000000}"/>
    <cellStyle name="60% - 강조색6 3" xfId="235" xr:uid="{00000000-0005-0000-0000-0000E8000000}"/>
    <cellStyle name="60% - 강조색6 4" xfId="236" xr:uid="{00000000-0005-0000-0000-0000E9000000}"/>
    <cellStyle name="Accent1" xfId="237" xr:uid="{00000000-0005-0000-0000-0000EA000000}"/>
    <cellStyle name="Accent2" xfId="238" xr:uid="{00000000-0005-0000-0000-0000EB000000}"/>
    <cellStyle name="Accent3" xfId="239" xr:uid="{00000000-0005-0000-0000-0000EC000000}"/>
    <cellStyle name="Accent4" xfId="240" xr:uid="{00000000-0005-0000-0000-0000ED000000}"/>
    <cellStyle name="Accent5" xfId="241" xr:uid="{00000000-0005-0000-0000-0000EE000000}"/>
    <cellStyle name="Accent6" xfId="242" xr:uid="{00000000-0005-0000-0000-0000EF000000}"/>
    <cellStyle name="Account" xfId="243" xr:uid="{00000000-0005-0000-0000-0000F0000000}"/>
    <cellStyle name="ÅëÈ­ [0]_      " xfId="244" xr:uid="{00000000-0005-0000-0000-0000F1000000}"/>
    <cellStyle name="AeE­ [0]_INQUIRY ¿?¾÷AßAø " xfId="245" xr:uid="{00000000-0005-0000-0000-0000F2000000}"/>
    <cellStyle name="ÅëÈ­_      " xfId="246" xr:uid="{00000000-0005-0000-0000-0000F3000000}"/>
    <cellStyle name="AeE­_INQUIRY ¿?¾÷AßAø " xfId="247" xr:uid="{00000000-0005-0000-0000-0000F4000000}"/>
    <cellStyle name="ÅëÈ­_L601CPT" xfId="248" xr:uid="{00000000-0005-0000-0000-0000F5000000}"/>
    <cellStyle name="args.style" xfId="249" xr:uid="{00000000-0005-0000-0000-0000F6000000}"/>
    <cellStyle name="ÄÞ¸¶ [0]_      " xfId="250" xr:uid="{00000000-0005-0000-0000-0000F7000000}"/>
    <cellStyle name="AÞ¸¶ [0]_INQUIRY ¿?¾÷AßAø " xfId="251" xr:uid="{00000000-0005-0000-0000-0000F8000000}"/>
    <cellStyle name="ÄÞ¸¶ [0]_L601CPT" xfId="252" xr:uid="{00000000-0005-0000-0000-0000F9000000}"/>
    <cellStyle name="ÄÞ¸¶_      " xfId="253" xr:uid="{00000000-0005-0000-0000-0000FA000000}"/>
    <cellStyle name="AÞ¸¶_INQUIRY ¿?¾÷AßAø " xfId="254" xr:uid="{00000000-0005-0000-0000-0000FB000000}"/>
    <cellStyle name="ÄÞ¸¶_L601CPT" xfId="255" xr:uid="{00000000-0005-0000-0000-0000FC000000}"/>
    <cellStyle name="AutoFormat Options" xfId="256" xr:uid="{00000000-0005-0000-0000-0000FD000000}"/>
    <cellStyle name="Bad" xfId="257" xr:uid="{00000000-0005-0000-0000-0000FE000000}"/>
    <cellStyle name="Body" xfId="258" xr:uid="{00000000-0005-0000-0000-0000FF000000}"/>
    <cellStyle name="C?AØ_¿?¾÷CoE² " xfId="259" xr:uid="{00000000-0005-0000-0000-000000010000}"/>
    <cellStyle name="Ç¥ÁØ_      " xfId="260" xr:uid="{00000000-0005-0000-0000-000001010000}"/>
    <cellStyle name="C￥AØ_¿μ¾÷CoE² " xfId="261" xr:uid="{00000000-0005-0000-0000-000002010000}"/>
    <cellStyle name="Calc Currency (0)" xfId="262" xr:uid="{00000000-0005-0000-0000-000003010000}"/>
    <cellStyle name="Calc Currency (2)" xfId="263" xr:uid="{00000000-0005-0000-0000-000004010000}"/>
    <cellStyle name="Calc Percent (0)" xfId="264" xr:uid="{00000000-0005-0000-0000-000005010000}"/>
    <cellStyle name="Calc Percent (1)" xfId="265" xr:uid="{00000000-0005-0000-0000-000006010000}"/>
    <cellStyle name="Calc Percent (2)" xfId="266" xr:uid="{00000000-0005-0000-0000-000007010000}"/>
    <cellStyle name="Calc Units (0)" xfId="267" xr:uid="{00000000-0005-0000-0000-000008010000}"/>
    <cellStyle name="Calc Units (1)" xfId="268" xr:uid="{00000000-0005-0000-0000-000009010000}"/>
    <cellStyle name="Calc Units (2)" xfId="269" xr:uid="{00000000-0005-0000-0000-00000A010000}"/>
    <cellStyle name="Calculation" xfId="270" xr:uid="{00000000-0005-0000-0000-00000B010000}"/>
    <cellStyle name="Calculation 2" xfId="271" xr:uid="{00000000-0005-0000-0000-00000C010000}"/>
    <cellStyle name="Calculation 2 2" xfId="272" xr:uid="{00000000-0005-0000-0000-00000D010000}"/>
    <cellStyle name="Calculation 2 2 2" xfId="2250" xr:uid="{00000000-0005-0000-0000-00000E010000}"/>
    <cellStyle name="Calculation 2 3" xfId="2249" xr:uid="{00000000-0005-0000-0000-00000F010000}"/>
    <cellStyle name="Calculation 3" xfId="273" xr:uid="{00000000-0005-0000-0000-000010010000}"/>
    <cellStyle name="Calculation 3 2" xfId="274" xr:uid="{00000000-0005-0000-0000-000011010000}"/>
    <cellStyle name="Calculation 3 2 2" xfId="2252" xr:uid="{00000000-0005-0000-0000-000012010000}"/>
    <cellStyle name="Calculation 3 3" xfId="2251" xr:uid="{00000000-0005-0000-0000-000013010000}"/>
    <cellStyle name="Calculation 4" xfId="275" xr:uid="{00000000-0005-0000-0000-000014010000}"/>
    <cellStyle name="Calculation 4 2" xfId="2253" xr:uid="{00000000-0005-0000-0000-000015010000}"/>
    <cellStyle name="Calculation 5" xfId="276" xr:uid="{00000000-0005-0000-0000-000016010000}"/>
    <cellStyle name="Calculation 5 2" xfId="2254" xr:uid="{00000000-0005-0000-0000-000017010000}"/>
    <cellStyle name="Calculation 6" xfId="277" xr:uid="{00000000-0005-0000-0000-000018010000}"/>
    <cellStyle name="Calculation 6 2" xfId="2255" xr:uid="{00000000-0005-0000-0000-000019010000}"/>
    <cellStyle name="Calculation 7" xfId="2248" xr:uid="{00000000-0005-0000-0000-00001A010000}"/>
    <cellStyle name="category" xfId="278" xr:uid="{00000000-0005-0000-0000-00001B010000}"/>
    <cellStyle name="Cerrency_Sheet2_XANGDAU" xfId="279" xr:uid="{00000000-0005-0000-0000-00001C010000}"/>
    <cellStyle name="Check Cell" xfId="280" xr:uid="{00000000-0005-0000-0000-00001D010000}"/>
    <cellStyle name="CHUONG" xfId="281" xr:uid="{00000000-0005-0000-0000-00001E010000}"/>
    <cellStyle name="Column_Title" xfId="282" xr:uid="{00000000-0005-0000-0000-00001F010000}"/>
    <cellStyle name="Comma  - Style1" xfId="283" xr:uid="{00000000-0005-0000-0000-000020010000}"/>
    <cellStyle name="Comma  - Style2" xfId="284" xr:uid="{00000000-0005-0000-0000-000021010000}"/>
    <cellStyle name="Comma  - Style3" xfId="285" xr:uid="{00000000-0005-0000-0000-000022010000}"/>
    <cellStyle name="Comma  - Style4" xfId="286" xr:uid="{00000000-0005-0000-0000-000023010000}"/>
    <cellStyle name="Comma  - Style5" xfId="287" xr:uid="{00000000-0005-0000-0000-000024010000}"/>
    <cellStyle name="Comma  - Style6" xfId="288" xr:uid="{00000000-0005-0000-0000-000025010000}"/>
    <cellStyle name="Comma  - Style7" xfId="289" xr:uid="{00000000-0005-0000-0000-000026010000}"/>
    <cellStyle name="Comma  - Style8" xfId="290" xr:uid="{00000000-0005-0000-0000-000027010000}"/>
    <cellStyle name="Comma [0] 2" xfId="291" xr:uid="{00000000-0005-0000-0000-000028010000}"/>
    <cellStyle name="Comma [0] 5" xfId="292" xr:uid="{00000000-0005-0000-0000-000029010000}"/>
    <cellStyle name="Comma [0]_ SG&amp;A Bridge " xfId="293" xr:uid="{00000000-0005-0000-0000-00002A010000}"/>
    <cellStyle name="Comma [00]" xfId="294" xr:uid="{00000000-0005-0000-0000-00002B010000}"/>
    <cellStyle name="Comma 2" xfId="295" xr:uid="{00000000-0005-0000-0000-00002C010000}"/>
    <cellStyle name="Comma 6" xfId="296" xr:uid="{00000000-0005-0000-0000-00002D010000}"/>
    <cellStyle name="comma zerodec" xfId="297" xr:uid="{00000000-0005-0000-0000-00002E010000}"/>
    <cellStyle name="Comma_ SG&amp;A Bridge " xfId="298" xr:uid="{00000000-0005-0000-0000-00002F010000}"/>
    <cellStyle name="Comma0" xfId="299" xr:uid="{00000000-0005-0000-0000-000030010000}"/>
    <cellStyle name="computed cell" xfId="300" xr:uid="{00000000-0005-0000-0000-000031010000}"/>
    <cellStyle name="Copied" xfId="301" xr:uid="{00000000-0005-0000-0000-000032010000}"/>
    <cellStyle name="COST1" xfId="302" xr:uid="{00000000-0005-0000-0000-000033010000}"/>
    <cellStyle name="Currency [0]_ SG&amp;A Bridge " xfId="303" xr:uid="{00000000-0005-0000-0000-000034010000}"/>
    <cellStyle name="Currency [00]" xfId="304" xr:uid="{00000000-0005-0000-0000-000035010000}"/>
    <cellStyle name="Currency_ SG&amp;A Bridge " xfId="305" xr:uid="{00000000-0005-0000-0000-000036010000}"/>
    <cellStyle name="Currency0" xfId="306" xr:uid="{00000000-0005-0000-0000-000037010000}"/>
    <cellStyle name="Currency1" xfId="307" xr:uid="{00000000-0005-0000-0000-000038010000}"/>
    <cellStyle name="Dan" xfId="308" xr:uid="{00000000-0005-0000-0000-000039010000}"/>
    <cellStyle name="Date" xfId="309" xr:uid="{00000000-0005-0000-0000-00003A010000}"/>
    <cellStyle name="Date Short" xfId="310" xr:uid="{00000000-0005-0000-0000-00003B010000}"/>
    <cellStyle name="Date_Bao Cao Kiem Tra  trung bay Ke milk-yomilk CK 2" xfId="311" xr:uid="{00000000-0005-0000-0000-00003C010000}"/>
    <cellStyle name="DELTA" xfId="312" xr:uid="{00000000-0005-0000-0000-00003D010000}"/>
    <cellStyle name="Dezimal [0]_68574_Materialbedarfsliste" xfId="313" xr:uid="{00000000-0005-0000-0000-00003E010000}"/>
    <cellStyle name="Dezimal_68574_Materialbedarfsliste" xfId="314" xr:uid="{00000000-0005-0000-0000-00003F010000}"/>
    <cellStyle name="Dollar (zero dec)" xfId="315" xr:uid="{00000000-0005-0000-0000-000040010000}"/>
    <cellStyle name="e" xfId="316" xr:uid="{00000000-0005-0000-0000-000041010000}"/>
    <cellStyle name="e_PIT092008" xfId="317" xr:uid="{00000000-0005-0000-0000-000042010000}"/>
    <cellStyle name="Emphasis 1" xfId="318" xr:uid="{00000000-0005-0000-0000-000043010000}"/>
    <cellStyle name="Emphasis 2" xfId="319" xr:uid="{00000000-0005-0000-0000-000044010000}"/>
    <cellStyle name="Emphasis 3" xfId="320" xr:uid="{00000000-0005-0000-0000-000045010000}"/>
    <cellStyle name="EN CO.," xfId="321" xr:uid="{00000000-0005-0000-0000-000046010000}"/>
    <cellStyle name="Enter Currency (0)" xfId="322" xr:uid="{00000000-0005-0000-0000-000047010000}"/>
    <cellStyle name="Enter Currency (2)" xfId="323" xr:uid="{00000000-0005-0000-0000-000048010000}"/>
    <cellStyle name="Enter Units (0)" xfId="324" xr:uid="{00000000-0005-0000-0000-000049010000}"/>
    <cellStyle name="Enter Units (1)" xfId="325" xr:uid="{00000000-0005-0000-0000-00004A010000}"/>
    <cellStyle name="Enter Units (2)" xfId="326" xr:uid="{00000000-0005-0000-0000-00004B010000}"/>
    <cellStyle name="Entered" xfId="327" xr:uid="{00000000-0005-0000-0000-00004C010000}"/>
    <cellStyle name="Euro" xfId="328" xr:uid="{00000000-0005-0000-0000-00004D010000}"/>
    <cellStyle name="Explanatory Text" xfId="329" xr:uid="{00000000-0005-0000-0000-00004E010000}"/>
    <cellStyle name="f" xfId="330" xr:uid="{00000000-0005-0000-0000-00004F010000}"/>
    <cellStyle name="f_PIT092008" xfId="331" xr:uid="{00000000-0005-0000-0000-000050010000}"/>
    <cellStyle name="F2" xfId="332" xr:uid="{00000000-0005-0000-0000-000051010000}"/>
    <cellStyle name="F3" xfId="333" xr:uid="{00000000-0005-0000-0000-000052010000}"/>
    <cellStyle name="F4" xfId="334" xr:uid="{00000000-0005-0000-0000-000053010000}"/>
    <cellStyle name="F5" xfId="335" xr:uid="{00000000-0005-0000-0000-000054010000}"/>
    <cellStyle name="F6" xfId="336" xr:uid="{00000000-0005-0000-0000-000055010000}"/>
    <cellStyle name="F7" xfId="337" xr:uid="{00000000-0005-0000-0000-000056010000}"/>
    <cellStyle name="F8" xfId="338" xr:uid="{00000000-0005-0000-0000-000057010000}"/>
    <cellStyle name="Fixed" xfId="339" xr:uid="{00000000-0005-0000-0000-000058010000}"/>
    <cellStyle name="Good" xfId="340" xr:uid="{00000000-0005-0000-0000-000059010000}"/>
    <cellStyle name="Grey" xfId="341" xr:uid="{00000000-0005-0000-0000-00005A010000}"/>
    <cellStyle name="ha" xfId="342" xr:uid="{00000000-0005-0000-0000-00005B010000}"/>
    <cellStyle name="Head 1" xfId="343" xr:uid="{00000000-0005-0000-0000-00005C010000}"/>
    <cellStyle name="HEADER" xfId="344" xr:uid="{00000000-0005-0000-0000-00005D010000}"/>
    <cellStyle name="Header1" xfId="345" xr:uid="{00000000-0005-0000-0000-00005E010000}"/>
    <cellStyle name="Header1 2" xfId="2247" xr:uid="{00000000-0005-0000-0000-00005F010000}"/>
    <cellStyle name="Header2" xfId="346" xr:uid="{00000000-0005-0000-0000-000060010000}"/>
    <cellStyle name="Header2 2" xfId="2256" xr:uid="{00000000-0005-0000-0000-000061010000}"/>
    <cellStyle name="Heading 1" xfId="347" xr:uid="{00000000-0005-0000-0000-000062010000}"/>
    <cellStyle name="Heading 1 1" xfId="348" xr:uid="{00000000-0005-0000-0000-000063010000}"/>
    <cellStyle name="Heading 1 1 1" xfId="349" xr:uid="{00000000-0005-0000-0000-000064010000}"/>
    <cellStyle name="Heading 2" xfId="350" xr:uid="{00000000-0005-0000-0000-000065010000}"/>
    <cellStyle name="Heading 3" xfId="351" xr:uid="{00000000-0005-0000-0000-000066010000}"/>
    <cellStyle name="Heading 3 2" xfId="352" xr:uid="{00000000-0005-0000-0000-000067010000}"/>
    <cellStyle name="Heading 3 2 2" xfId="353" xr:uid="{00000000-0005-0000-0000-000068010000}"/>
    <cellStyle name="Heading 3 3" xfId="354" xr:uid="{00000000-0005-0000-0000-000069010000}"/>
    <cellStyle name="Heading 4" xfId="355" xr:uid="{00000000-0005-0000-0000-00006A010000}"/>
    <cellStyle name="Heading1 1" xfId="356" xr:uid="{00000000-0005-0000-0000-00006B010000}"/>
    <cellStyle name="Heading1 1 1" xfId="357" xr:uid="{00000000-0005-0000-0000-00006C010000}"/>
    <cellStyle name="Heading2" xfId="358" xr:uid="{00000000-0005-0000-0000-00006D010000}"/>
    <cellStyle name="Heading3" xfId="359" xr:uid="{00000000-0005-0000-0000-00006E010000}"/>
    <cellStyle name="HEADINGS" xfId="360" xr:uid="{00000000-0005-0000-0000-00006F010000}"/>
    <cellStyle name="HEADINGSTOP" xfId="361" xr:uid="{00000000-0005-0000-0000-000070010000}"/>
    <cellStyle name="headoption" xfId="362" xr:uid="{00000000-0005-0000-0000-000071010000}"/>
    <cellStyle name="headoption 2" xfId="2257" xr:uid="{00000000-0005-0000-0000-000072010000}"/>
    <cellStyle name="hidden" xfId="363" xr:uid="{00000000-0005-0000-0000-000073010000}"/>
    <cellStyle name="HMRCalculated" xfId="364" xr:uid="{00000000-0005-0000-0000-000074010000}"/>
    <cellStyle name="HMRInput" xfId="365" xr:uid="{00000000-0005-0000-0000-000075010000}"/>
    <cellStyle name="Hoa-Scholl" xfId="366" xr:uid="{00000000-0005-0000-0000-000076010000}"/>
    <cellStyle name="Hoa-Scholl 2" xfId="2258" xr:uid="{00000000-0005-0000-0000-000077010000}"/>
    <cellStyle name="i·0??????????_x0003_?_x0010__x0001_??Luu??9JS—_x0008_??????????????????ò_x0001_????&lt;i·0???" xfId="367" xr:uid="{00000000-0005-0000-0000-000078010000}"/>
    <cellStyle name="i·0??????????_x0003_?_x0010__x0001_??Luu??9JS—_x0008_??????????????????ò_x0001_????&lt;i·0??? 1" xfId="368" xr:uid="{00000000-0005-0000-0000-000079010000}"/>
    <cellStyle name="i·0??????????_x0007_?_x0010__x0001_??PrintDT??9JS—_x0008_??????????????????¼_x0001_????&lt;i·" xfId="369" xr:uid="{00000000-0005-0000-0000-00007A010000}"/>
    <cellStyle name="i·0??????????_x0007_?_x0010__x0001_??PrintDT??9JS—_x0008_??????????????????¼_x0001_????&lt;i· 1" xfId="370" xr:uid="{00000000-0005-0000-0000-00007B010000}"/>
    <cellStyle name="Indent" xfId="371" xr:uid="{00000000-0005-0000-0000-00007C010000}"/>
    <cellStyle name="Input" xfId="372" xr:uid="{00000000-0005-0000-0000-00007D010000}"/>
    <cellStyle name="Input [yellow]" xfId="373" xr:uid="{00000000-0005-0000-0000-00007E010000}"/>
    <cellStyle name="Input 2" xfId="374" xr:uid="{00000000-0005-0000-0000-00007F010000}"/>
    <cellStyle name="Input 2 2" xfId="375" xr:uid="{00000000-0005-0000-0000-000080010000}"/>
    <cellStyle name="Input 2 2 2" xfId="2261" xr:uid="{00000000-0005-0000-0000-000081010000}"/>
    <cellStyle name="Input 2 3" xfId="2260" xr:uid="{00000000-0005-0000-0000-000082010000}"/>
    <cellStyle name="Input 3" xfId="376" xr:uid="{00000000-0005-0000-0000-000083010000}"/>
    <cellStyle name="Input 3 2" xfId="377" xr:uid="{00000000-0005-0000-0000-000084010000}"/>
    <cellStyle name="Input 3 2 2" xfId="2263" xr:uid="{00000000-0005-0000-0000-000085010000}"/>
    <cellStyle name="Input 3 3" xfId="2262" xr:uid="{00000000-0005-0000-0000-000086010000}"/>
    <cellStyle name="Input 4" xfId="378" xr:uid="{00000000-0005-0000-0000-000087010000}"/>
    <cellStyle name="Input 4 2" xfId="2264" xr:uid="{00000000-0005-0000-0000-000088010000}"/>
    <cellStyle name="Input 5" xfId="379" xr:uid="{00000000-0005-0000-0000-000089010000}"/>
    <cellStyle name="Input 5 2" xfId="2265" xr:uid="{00000000-0005-0000-0000-00008A010000}"/>
    <cellStyle name="Input 6" xfId="380" xr:uid="{00000000-0005-0000-0000-00008B010000}"/>
    <cellStyle name="Input 6 2" xfId="2266" xr:uid="{00000000-0005-0000-0000-00008C010000}"/>
    <cellStyle name="Input 7" xfId="2259" xr:uid="{00000000-0005-0000-0000-00008D010000}"/>
    <cellStyle name="Input Cells" xfId="381" xr:uid="{00000000-0005-0000-0000-00008E010000}"/>
    <cellStyle name="Latest Estimate" xfId="382" xr:uid="{00000000-0005-0000-0000-00008F010000}"/>
    <cellStyle name="Ledger 17 x 11 in" xfId="383" xr:uid="{00000000-0005-0000-0000-000090010000}"/>
    <cellStyle name="Line" xfId="384" xr:uid="{00000000-0005-0000-0000-000091010000}"/>
    <cellStyle name="Link Currency (0)" xfId="385" xr:uid="{00000000-0005-0000-0000-000092010000}"/>
    <cellStyle name="Link Currency (2)" xfId="386" xr:uid="{00000000-0005-0000-0000-000093010000}"/>
    <cellStyle name="Link Units (0)" xfId="387" xr:uid="{00000000-0005-0000-0000-000094010000}"/>
    <cellStyle name="Link Units (1)" xfId="388" xr:uid="{00000000-0005-0000-0000-000095010000}"/>
    <cellStyle name="Link Units (2)" xfId="389" xr:uid="{00000000-0005-0000-0000-000096010000}"/>
    <cellStyle name="Linked Cell" xfId="390" xr:uid="{00000000-0005-0000-0000-000097010000}"/>
    <cellStyle name="Linked Cells" xfId="391" xr:uid="{00000000-0005-0000-0000-000098010000}"/>
    <cellStyle name="Millares [0]_PERSONAL" xfId="392" xr:uid="{00000000-0005-0000-0000-000099010000}"/>
    <cellStyle name="Millares_PERSONAL" xfId="393" xr:uid="{00000000-0005-0000-0000-00009A010000}"/>
    <cellStyle name="Milliers [0]_!!!GO" xfId="394" xr:uid="{00000000-0005-0000-0000-00009B010000}"/>
    <cellStyle name="Milliers_!!!GO" xfId="395" xr:uid="{00000000-0005-0000-0000-00009C010000}"/>
    <cellStyle name="Model" xfId="396" xr:uid="{00000000-0005-0000-0000-00009D010000}"/>
    <cellStyle name="Mon?aire [0]_!!!GO" xfId="397" xr:uid="{00000000-0005-0000-0000-00009E010000}"/>
    <cellStyle name="Mon?aire_!!!GO" xfId="398" xr:uid="{00000000-0005-0000-0000-00009F010000}"/>
    <cellStyle name="Moneda [0]_CONTENCION CONDELL 25.051" xfId="399" xr:uid="{00000000-0005-0000-0000-0000A0010000}"/>
    <cellStyle name="Moneda_CONTENCION CONDELL 25.051" xfId="400" xr:uid="{00000000-0005-0000-0000-0000A1010000}"/>
    <cellStyle name="Monétaire [0]_TARIFFS DB" xfId="401" xr:uid="{00000000-0005-0000-0000-0000A2010000}"/>
    <cellStyle name="Monétaire_TARIFFS DB" xfId="402" xr:uid="{00000000-0005-0000-0000-0000A3010000}"/>
    <cellStyle name="n" xfId="403" xr:uid="{00000000-0005-0000-0000-0000A4010000}"/>
    <cellStyle name="n_PIT092008" xfId="404" xr:uid="{00000000-0005-0000-0000-0000A5010000}"/>
    <cellStyle name="Neutral" xfId="405" xr:uid="{00000000-0005-0000-0000-0000A6010000}"/>
    <cellStyle name="New Times Roman" xfId="406" xr:uid="{00000000-0005-0000-0000-0000A7010000}"/>
    <cellStyle name="no dec" xfId="407" xr:uid="{00000000-0005-0000-0000-0000A8010000}"/>
    <cellStyle name="NoFill" xfId="408" xr:uid="{00000000-0005-0000-0000-0000A9010000}"/>
    <cellStyle name="ÑONVÒ" xfId="409" xr:uid="{00000000-0005-0000-0000-0000AA010000}"/>
    <cellStyle name="Normal - Style1" xfId="410" xr:uid="{00000000-0005-0000-0000-0000AB010000}"/>
    <cellStyle name="Normal - 유형1" xfId="411" xr:uid="{00000000-0005-0000-0000-0000AC010000}"/>
    <cellStyle name="Normal 10" xfId="412" xr:uid="{00000000-0005-0000-0000-0000AD010000}"/>
    <cellStyle name="Normal 11" xfId="413" xr:uid="{00000000-0005-0000-0000-0000AE010000}"/>
    <cellStyle name="Normal 12" xfId="414" xr:uid="{00000000-0005-0000-0000-0000AF010000}"/>
    <cellStyle name="Normal 13" xfId="415" xr:uid="{00000000-0005-0000-0000-0000B0010000}"/>
    <cellStyle name="Normal 14" xfId="416" xr:uid="{00000000-0005-0000-0000-0000B1010000}"/>
    <cellStyle name="Normal 17" xfId="417" xr:uid="{00000000-0005-0000-0000-0000B2010000}"/>
    <cellStyle name="Normal 18" xfId="418" xr:uid="{00000000-0005-0000-0000-0000B3010000}"/>
    <cellStyle name="Normal 19" xfId="419" xr:uid="{00000000-0005-0000-0000-0000B4010000}"/>
    <cellStyle name="Normal 2" xfId="420" xr:uid="{00000000-0005-0000-0000-0000B5010000}"/>
    <cellStyle name="Normal 20" xfId="421" xr:uid="{00000000-0005-0000-0000-0000B6010000}"/>
    <cellStyle name="Normal 22" xfId="422" xr:uid="{00000000-0005-0000-0000-0000B7010000}"/>
    <cellStyle name="Normal 23" xfId="423" xr:uid="{00000000-0005-0000-0000-0000B8010000}"/>
    <cellStyle name="Normal 24" xfId="424" xr:uid="{00000000-0005-0000-0000-0000B9010000}"/>
    <cellStyle name="Normal 25" xfId="425" xr:uid="{00000000-0005-0000-0000-0000BA010000}"/>
    <cellStyle name="Normal 26" xfId="426" xr:uid="{00000000-0005-0000-0000-0000BB010000}"/>
    <cellStyle name="Normal 27" xfId="427" xr:uid="{00000000-0005-0000-0000-0000BC010000}"/>
    <cellStyle name="Normal 28" xfId="428" xr:uid="{00000000-0005-0000-0000-0000BD010000}"/>
    <cellStyle name="Normal 29" xfId="429" xr:uid="{00000000-0005-0000-0000-0000BE010000}"/>
    <cellStyle name="Normal 30" xfId="430" xr:uid="{00000000-0005-0000-0000-0000BF010000}"/>
    <cellStyle name="Normal 31" xfId="431" xr:uid="{00000000-0005-0000-0000-0000C0010000}"/>
    <cellStyle name="Normal 32" xfId="432" xr:uid="{00000000-0005-0000-0000-0000C1010000}"/>
    <cellStyle name="Normal 33" xfId="433" xr:uid="{00000000-0005-0000-0000-0000C2010000}"/>
    <cellStyle name="Normal 34" xfId="434" xr:uid="{00000000-0005-0000-0000-0000C3010000}"/>
    <cellStyle name="Normal 35" xfId="435" xr:uid="{00000000-0005-0000-0000-0000C4010000}"/>
    <cellStyle name="Normal 4" xfId="436" xr:uid="{00000000-0005-0000-0000-0000C5010000}"/>
    <cellStyle name="Normal 5" xfId="437" xr:uid="{00000000-0005-0000-0000-0000C6010000}"/>
    <cellStyle name="Normal 81" xfId="438" xr:uid="{00000000-0005-0000-0000-0000C7010000}"/>
    <cellStyle name="Normal 87" xfId="439" xr:uid="{00000000-0005-0000-0000-0000C8010000}"/>
    <cellStyle name="Normal 89" xfId="440" xr:uid="{00000000-0005-0000-0000-0000C9010000}"/>
    <cellStyle name="Normal 94" xfId="441" xr:uid="{00000000-0005-0000-0000-0000CA010000}"/>
    <cellStyle name="Normal_ SG&amp;A Bridge " xfId="442" xr:uid="{00000000-0005-0000-0000-0000CB010000}"/>
    <cellStyle name="Normal1" xfId="443" xr:uid="{00000000-0005-0000-0000-0000CC010000}"/>
    <cellStyle name="normální_A" xfId="444" xr:uid="{00000000-0005-0000-0000-0000CD010000}"/>
    <cellStyle name="Note" xfId="445" xr:uid="{00000000-0005-0000-0000-0000CE010000}"/>
    <cellStyle name="Note 2" xfId="446" xr:uid="{00000000-0005-0000-0000-0000CF010000}"/>
    <cellStyle name="Note 2 2" xfId="447" xr:uid="{00000000-0005-0000-0000-0000D0010000}"/>
    <cellStyle name="Note 2 2 2" xfId="2269" xr:uid="{00000000-0005-0000-0000-0000D1010000}"/>
    <cellStyle name="Note 2 3" xfId="2268" xr:uid="{00000000-0005-0000-0000-0000D2010000}"/>
    <cellStyle name="Note 3" xfId="448" xr:uid="{00000000-0005-0000-0000-0000D3010000}"/>
    <cellStyle name="Note 3 2" xfId="449" xr:uid="{00000000-0005-0000-0000-0000D4010000}"/>
    <cellStyle name="Note 3 2 2" xfId="2271" xr:uid="{00000000-0005-0000-0000-0000D5010000}"/>
    <cellStyle name="Note 3 3" xfId="2270" xr:uid="{00000000-0005-0000-0000-0000D6010000}"/>
    <cellStyle name="Note 4" xfId="450" xr:uid="{00000000-0005-0000-0000-0000D7010000}"/>
    <cellStyle name="Note 4 2" xfId="2272" xr:uid="{00000000-0005-0000-0000-0000D8010000}"/>
    <cellStyle name="Note 5" xfId="451" xr:uid="{00000000-0005-0000-0000-0000D9010000}"/>
    <cellStyle name="Note 5 2" xfId="2273" xr:uid="{00000000-0005-0000-0000-0000DA010000}"/>
    <cellStyle name="Note 6" xfId="452" xr:uid="{00000000-0005-0000-0000-0000DB010000}"/>
    <cellStyle name="Note 6 2" xfId="2274" xr:uid="{00000000-0005-0000-0000-0000DC010000}"/>
    <cellStyle name="Note 7" xfId="2267" xr:uid="{00000000-0005-0000-0000-0000DD010000}"/>
    <cellStyle name="Œ…‹æØ‚è [0.00]_laroux" xfId="453" xr:uid="{00000000-0005-0000-0000-0000DE010000}"/>
    <cellStyle name="Œ…‹æØ‚è_laroux" xfId="454" xr:uid="{00000000-0005-0000-0000-0000DF010000}"/>
    <cellStyle name="oft Excel]_x000d__x000a_Comment=open=/f ‚ðw’è‚·‚é‚ÆAƒ†[ƒU[’è‹`ŠÖ”‚ðŠÖ”“\‚è•t‚¯‚Ìˆê——‚É“o˜^‚·‚é‚±‚Æ‚ª‚Å‚«‚Ü‚·B_x000d__x000a_Maximized" xfId="455" xr:uid="{00000000-0005-0000-0000-0000E0010000}"/>
    <cellStyle name="omma [0]_Mktg Prog" xfId="456" xr:uid="{00000000-0005-0000-0000-0000E1010000}"/>
    <cellStyle name="ormal_Sheet1_1" xfId="457" xr:uid="{00000000-0005-0000-0000-0000E2010000}"/>
    <cellStyle name="Output" xfId="458" xr:uid="{00000000-0005-0000-0000-0000E3010000}"/>
    <cellStyle name="Output 2" xfId="459" xr:uid="{00000000-0005-0000-0000-0000E4010000}"/>
    <cellStyle name="Output 2 2" xfId="460" xr:uid="{00000000-0005-0000-0000-0000E5010000}"/>
    <cellStyle name="Output 2 2 2" xfId="2277" xr:uid="{00000000-0005-0000-0000-0000E6010000}"/>
    <cellStyle name="Output 2 3" xfId="2276" xr:uid="{00000000-0005-0000-0000-0000E7010000}"/>
    <cellStyle name="Output 3" xfId="461" xr:uid="{00000000-0005-0000-0000-0000E8010000}"/>
    <cellStyle name="Output 3 2" xfId="462" xr:uid="{00000000-0005-0000-0000-0000E9010000}"/>
    <cellStyle name="Output 3 2 2" xfId="2279" xr:uid="{00000000-0005-0000-0000-0000EA010000}"/>
    <cellStyle name="Output 3 3" xfId="2278" xr:uid="{00000000-0005-0000-0000-0000EB010000}"/>
    <cellStyle name="Output 4" xfId="463" xr:uid="{00000000-0005-0000-0000-0000EC010000}"/>
    <cellStyle name="Output 4 2" xfId="2280" xr:uid="{00000000-0005-0000-0000-0000ED010000}"/>
    <cellStyle name="Output 5" xfId="464" xr:uid="{00000000-0005-0000-0000-0000EE010000}"/>
    <cellStyle name="Output 5 2" xfId="2281" xr:uid="{00000000-0005-0000-0000-0000EF010000}"/>
    <cellStyle name="Output 6" xfId="465" xr:uid="{00000000-0005-0000-0000-0000F0010000}"/>
    <cellStyle name="Output 6 2" xfId="2282" xr:uid="{00000000-0005-0000-0000-0000F1010000}"/>
    <cellStyle name="Output 7" xfId="2275" xr:uid="{00000000-0005-0000-0000-0000F2010000}"/>
    <cellStyle name="Package_numbers" xfId="466" xr:uid="{00000000-0005-0000-0000-0000F3010000}"/>
    <cellStyle name="paint" xfId="467" xr:uid="{00000000-0005-0000-0000-0000F4010000}"/>
    <cellStyle name="per.style" xfId="468" xr:uid="{00000000-0005-0000-0000-0000F5010000}"/>
    <cellStyle name="Percent [0]" xfId="469" xr:uid="{00000000-0005-0000-0000-0000F6010000}"/>
    <cellStyle name="Percent [00]" xfId="470" xr:uid="{00000000-0005-0000-0000-0000F7010000}"/>
    <cellStyle name="Percent [2]" xfId="471" xr:uid="{00000000-0005-0000-0000-0000F8010000}"/>
    <cellStyle name="Percent 2" xfId="472" xr:uid="{00000000-0005-0000-0000-0000F9010000}"/>
    <cellStyle name="PERCENTAGE" xfId="473" xr:uid="{00000000-0005-0000-0000-0000FA010000}"/>
    <cellStyle name="PrePop Currency (0)" xfId="474" xr:uid="{00000000-0005-0000-0000-0000FB010000}"/>
    <cellStyle name="PrePop Currency (2)" xfId="475" xr:uid="{00000000-0005-0000-0000-0000FC010000}"/>
    <cellStyle name="PrePop Units (0)" xfId="476" xr:uid="{00000000-0005-0000-0000-0000FD010000}"/>
    <cellStyle name="PrePop Units (1)" xfId="477" xr:uid="{00000000-0005-0000-0000-0000FE010000}"/>
    <cellStyle name="PrePop Units (2)" xfId="478" xr:uid="{00000000-0005-0000-0000-0000FF010000}"/>
    <cellStyle name="pricing" xfId="479" xr:uid="{00000000-0005-0000-0000-000000020000}"/>
    <cellStyle name="Print_header" xfId="480" xr:uid="{00000000-0005-0000-0000-000001020000}"/>
    <cellStyle name="PSChar" xfId="481" xr:uid="{00000000-0005-0000-0000-000002020000}"/>
    <cellStyle name="PSHeading" xfId="482" xr:uid="{00000000-0005-0000-0000-000003020000}"/>
    <cellStyle name="regstoresfromspecstores" xfId="483" xr:uid="{00000000-0005-0000-0000-000004020000}"/>
    <cellStyle name="RevList" xfId="484" xr:uid="{00000000-0005-0000-0000-000005020000}"/>
    <cellStyle name="S—_x0008_??????????????????‚_x0001_????&lt;i·0??????????_x0007_?_x0010__x0001_??PrintDT??9JS—_x0008_?????????????" xfId="485" xr:uid="{00000000-0005-0000-0000-000006020000}"/>
    <cellStyle name="S—_x0008_??????????????????‚_x0001_????&lt;i·0??????????_x0007_?_x0010__x0001_??PrintDT??9JS—_x0008_????????????? 1" xfId="486" xr:uid="{00000000-0005-0000-0000-000007020000}"/>
    <cellStyle name="SAPBEXchaText" xfId="487" xr:uid="{00000000-0005-0000-0000-000008020000}"/>
    <cellStyle name="SAPBEXstdData" xfId="488" xr:uid="{00000000-0005-0000-0000-000009020000}"/>
    <cellStyle name="SAPBEXstdItem" xfId="489" xr:uid="{00000000-0005-0000-0000-00000A020000}"/>
    <cellStyle name="SHADEDSTORES" xfId="490" xr:uid="{00000000-0005-0000-0000-00000B020000}"/>
    <cellStyle name="SHADEDSTORES 2" xfId="2283" xr:uid="{00000000-0005-0000-0000-00000C020000}"/>
    <cellStyle name="Sheet Title" xfId="491" xr:uid="{00000000-0005-0000-0000-00000D020000}"/>
    <cellStyle name="specstores" xfId="492" xr:uid="{00000000-0005-0000-0000-00000E020000}"/>
    <cellStyle name="Standard_Anpassen der Amortisation" xfId="493" xr:uid="{00000000-0005-0000-0000-00000F020000}"/>
    <cellStyle name="Style 1" xfId="494" xr:uid="{00000000-0005-0000-0000-000010020000}"/>
    <cellStyle name="Style 2" xfId="495" xr:uid="{00000000-0005-0000-0000-000011020000}"/>
    <cellStyle name="Style 3" xfId="496" xr:uid="{00000000-0005-0000-0000-000012020000}"/>
    <cellStyle name="Style 4" xfId="497" xr:uid="{00000000-0005-0000-0000-000013020000}"/>
    <cellStyle name="subhead" xfId="498" xr:uid="{00000000-0005-0000-0000-000014020000}"/>
    <cellStyle name="SubHeading" xfId="499" xr:uid="{00000000-0005-0000-0000-000015020000}"/>
    <cellStyle name="Subtotal" xfId="500" xr:uid="{00000000-0005-0000-0000-000016020000}"/>
    <cellStyle name="T" xfId="501" xr:uid="{00000000-0005-0000-0000-000017020000}"/>
    <cellStyle name="T 2" xfId="2284" xr:uid="{00000000-0005-0000-0000-000018020000}"/>
    <cellStyle name="T_22_5_Dat_CF_MM_de_dat_chi_tieu_nhom_G__CK5" xfId="502" xr:uid="{00000000-0005-0000-0000-000019020000}"/>
    <cellStyle name="T_22_5_Dat_CF_MM_de_dat_chi_tieu_nhom_G__CK5 2" xfId="2285" xr:uid="{00000000-0005-0000-0000-00001A020000}"/>
    <cellStyle name="T_22_5_Dat_CF_MM_de_dat_chi_tieu_nhom_G__CK5_PIT092008" xfId="503" xr:uid="{00000000-0005-0000-0000-00001B020000}"/>
    <cellStyle name="T_22_5_Dat_CF_MM_de_dat_chi_tieu_nhom_G__CK5_PIT092008 2" xfId="2286" xr:uid="{00000000-0005-0000-0000-00001C020000}"/>
    <cellStyle name="T_3. Trien khai Muc Tieu GSMV-NVBH-CK6_Bien Thuy_Hai Duong" xfId="504" xr:uid="{00000000-0005-0000-0000-00001D020000}"/>
    <cellStyle name="T_3. Trien khai Muc Tieu GSMV-NVBH-CK6_Bien Thuy_Hai Duong 2" xfId="2287" xr:uid="{00000000-0005-0000-0000-00001E020000}"/>
    <cellStyle name="T_3. Trien khai Muc Tieu GSMV-NVBH-CK6_Bien Thuy_Hai Duong_PIT092008" xfId="505" xr:uid="{00000000-0005-0000-0000-00001F020000}"/>
    <cellStyle name="T_3. Trien khai Muc Tieu GSMV-NVBH-CK6_Bien Thuy_Hai Duong_PIT092008 2" xfId="2288" xr:uid="{00000000-0005-0000-0000-000020020000}"/>
    <cellStyle name="T_Bao cao kttb milk yomilkYAO-mien bac" xfId="506" xr:uid="{00000000-0005-0000-0000-000021020000}"/>
    <cellStyle name="T_Bao cao kttb milk yomilkYAO-mien bac 2" xfId="2289" xr:uid="{00000000-0005-0000-0000-000022020000}"/>
    <cellStyle name="T_Bao cao kttb milk yomilkYAO-mien bac_Book1" xfId="507" xr:uid="{00000000-0005-0000-0000-000023020000}"/>
    <cellStyle name="T_Bao cao kttb milk yomilkYAO-mien bac_Book1 2" xfId="2290" xr:uid="{00000000-0005-0000-0000-000024020000}"/>
    <cellStyle name="T_Bao cao kttb milk yomilkYAO-mien bac_Book1_F4_5_6__Bao_cao_tai_NPP BICH TIEN" xfId="508" xr:uid="{00000000-0005-0000-0000-000025020000}"/>
    <cellStyle name="T_Bao cao kttb milk yomilkYAO-mien bac_Book1_F4_5_6__Bao_cao_tai_NPP BICH TIEN 2" xfId="2291" xr:uid="{00000000-0005-0000-0000-000026020000}"/>
    <cellStyle name="T_Bao cao kttb milk yomilkYAO-mien bac_Book1_F4_5_6__Bao_cao_tai_NPP BICH TIEN_PIT092008" xfId="509" xr:uid="{00000000-0005-0000-0000-000027020000}"/>
    <cellStyle name="T_Bao cao kttb milk yomilkYAO-mien bac_Book1_F4_5_6__Bao_cao_tai_NPP BICH TIEN_PIT092008 2" xfId="2292" xr:uid="{00000000-0005-0000-0000-000028020000}"/>
    <cellStyle name="T_Bao cao kttb milk yomilkYAO-mien bac_Book1_Mau_bao_cao_XNT_NVTK_tai_NPP 21.7" xfId="510" xr:uid="{00000000-0005-0000-0000-000029020000}"/>
    <cellStyle name="T_Bao cao kttb milk yomilkYAO-mien bac_Book1_Mau_bao_cao_XNT_NVTK_tai_NPP 21.7 2" xfId="2293" xr:uid="{00000000-0005-0000-0000-00002A020000}"/>
    <cellStyle name="T_Bao cao kttb milk yomilkYAO-mien bac_Book1_Mau_bao_cao_XNT_NVTK_tai_NPP 21.7_PIT092008" xfId="511" xr:uid="{00000000-0005-0000-0000-00002B020000}"/>
    <cellStyle name="T_Bao cao kttb milk yomilkYAO-mien bac_Book1_Mau_bao_cao_XNT_NVTK_tai_NPP 21.7_PIT092008 2" xfId="2294" xr:uid="{00000000-0005-0000-0000-00002C020000}"/>
    <cellStyle name="T_Bao cao kttb milk yomilkYAO-mien bac_Book1_PIT092008" xfId="512" xr:uid="{00000000-0005-0000-0000-00002D020000}"/>
    <cellStyle name="T_Bao cao kttb milk yomilkYAO-mien bac_Book1_PIT092008 2" xfId="2295" xr:uid="{00000000-0005-0000-0000-00002E020000}"/>
    <cellStyle name="T_Bao cao kttb milk yomilkYAO-mien bac_Copy of Mau_bao_cao_XNT_NVTK_tai_NPP" xfId="513" xr:uid="{00000000-0005-0000-0000-00002F020000}"/>
    <cellStyle name="T_Bao cao kttb milk yomilkYAO-mien bac_Copy of Mau_bao_cao_XNT_NVTK_tai_NPP 2" xfId="2296" xr:uid="{00000000-0005-0000-0000-000030020000}"/>
    <cellStyle name="T_Bao cao kttb milk yomilkYAO-mien bac_Copy of Mau_bao_cao_XNT_NVTK_tai_NPP_PIT092008" xfId="514" xr:uid="{00000000-0005-0000-0000-000031020000}"/>
    <cellStyle name="T_Bao cao kttb milk yomilkYAO-mien bac_Copy of Mau_bao_cao_XNT_NVTK_tai_NPP_PIT092008 2" xfId="2297" xr:uid="{00000000-0005-0000-0000-000032020000}"/>
    <cellStyle name="T_Bao cao kttb milk yomilkYAO-mien bac_ĐƠN ĐẶT HÀNG VNM" xfId="515" xr:uid="{00000000-0005-0000-0000-000033020000}"/>
    <cellStyle name="T_Bao cao kttb milk yomilkYAO-mien bac_ĐƠN ĐẶT HÀNG VNM 2" xfId="2298" xr:uid="{00000000-0005-0000-0000-000034020000}"/>
    <cellStyle name="T_Bao cao kttb milk yomilkYAO-mien bac_ĐƠN ĐẶT HÀNG VNM_PIT092008" xfId="516" xr:uid="{00000000-0005-0000-0000-000035020000}"/>
    <cellStyle name="T_Bao cao kttb milk yomilkYAO-mien bac_ĐƠN ĐẶT HÀNG VNM_PIT092008 2" xfId="2299" xr:uid="{00000000-0005-0000-0000-000036020000}"/>
    <cellStyle name="T_Bao cao kttb milk yomilkYAO-mien bac_F4_5_6__Bao_cao_tai_NPP BICH TIEN" xfId="517" xr:uid="{00000000-0005-0000-0000-000037020000}"/>
    <cellStyle name="T_Bao cao kttb milk yomilkYAO-mien bac_F4_5_6__Bao_cao_tai_NPP BICH TIEN 2" xfId="2300" xr:uid="{00000000-0005-0000-0000-000038020000}"/>
    <cellStyle name="T_Bao cao kttb milk yomilkYAO-mien bac_F4_5_6__Bao_cao_tai_NPP BICH TIEN_PIT092008" xfId="518" xr:uid="{00000000-0005-0000-0000-000039020000}"/>
    <cellStyle name="T_Bao cao kttb milk yomilkYAO-mien bac_F4_5_6__Bao_cao_tai_NPP BICH TIEN_PIT092008 2" xfId="2301" xr:uid="{00000000-0005-0000-0000-00003A020000}"/>
    <cellStyle name="T_Bao cao kttb milk yomilkYAO-mien bac_form__moi__bao_cao_ngay_NEW_AGAIN" xfId="519" xr:uid="{00000000-0005-0000-0000-00003B020000}"/>
    <cellStyle name="T_Bao cao kttb milk yomilkYAO-mien bac_form__moi__bao_cao_ngay_NEW_AGAIN 2" xfId="2302" xr:uid="{00000000-0005-0000-0000-00003C020000}"/>
    <cellStyle name="T_Bao cao kttb milk yomilkYAO-mien bac_form__moi__bao_cao_ngay_NEW_AGAIN_PIT092008" xfId="520" xr:uid="{00000000-0005-0000-0000-00003D020000}"/>
    <cellStyle name="T_Bao cao kttb milk yomilkYAO-mien bac_form__moi__bao_cao_ngay_NEW_AGAIN_PIT092008 2" xfId="2303" xr:uid="{00000000-0005-0000-0000-00003E020000}"/>
    <cellStyle name="T_Bao cao kttb milk yomilkYAO-mien bac_Mau -bao_cao_XNT_NVTK_tai_NPP 19.7" xfId="521" xr:uid="{00000000-0005-0000-0000-00003F020000}"/>
    <cellStyle name="T_Bao cao kttb milk yomilkYAO-mien bac_Mau -bao_cao_XNT_NVTK_tai_NPP 19.7 2" xfId="2304" xr:uid="{00000000-0005-0000-0000-000040020000}"/>
    <cellStyle name="T_Bao cao kttb milk yomilkYAO-mien bac_Mau -bao_cao_XNT_NVTK_tai_NPP 19.7_PIT092008" xfId="522" xr:uid="{00000000-0005-0000-0000-000041020000}"/>
    <cellStyle name="T_Bao cao kttb milk yomilkYAO-mien bac_Mau -bao_cao_XNT_NVTK_tai_NPP 19.7_PIT092008 2" xfId="2305" xr:uid="{00000000-0005-0000-0000-000042020000}"/>
    <cellStyle name="T_Bao cao kttb milk yomilkYAO-mien bac_Mau -bao_cao_XNT_NVTK_tai_NPP 19.7_S#650995" xfId="523" xr:uid="{00000000-0005-0000-0000-000043020000}"/>
    <cellStyle name="T_Bao cao kttb milk yomilkYAO-mien bac_Mau_bao_cao_XNT_NVTK_tai_NPP 21.7" xfId="524" xr:uid="{00000000-0005-0000-0000-000044020000}"/>
    <cellStyle name="T_Bao cao kttb milk yomilkYAO-mien bac_Mau_bao_cao_XNT_NVTK_tai_NPP 21.7 2" xfId="2306" xr:uid="{00000000-0005-0000-0000-000045020000}"/>
    <cellStyle name="T_Bao cao kttb milk yomilkYAO-mien bac_Mau_bao_cao_XNT_NVTK_tai_NPP 21.7_PIT092008" xfId="525" xr:uid="{00000000-0005-0000-0000-000046020000}"/>
    <cellStyle name="T_Bao cao kttb milk yomilkYAO-mien bac_Mau_bao_cao_XNT_NVTK_tai_NPP 21.7_PIT092008 2" xfId="2307" xr:uid="{00000000-0005-0000-0000-000047020000}"/>
    <cellStyle name="T_Bao cao kttb milk yomilkYAO-mien bac_Mau_bao_cao_XNT_NVTK_tai_NPP 3.7" xfId="526" xr:uid="{00000000-0005-0000-0000-000048020000}"/>
    <cellStyle name="T_Bao cao kttb milk yomilkYAO-mien bac_Mau_bao_cao_XNT_NVTK_tai_NPP 3.7 2" xfId="2308" xr:uid="{00000000-0005-0000-0000-000049020000}"/>
    <cellStyle name="T_Bao cao kttb milk yomilkYAO-mien bac_Mau_bao_cao_XNT_NVTK_tai_NPP 3.7_1" xfId="527" xr:uid="{00000000-0005-0000-0000-00004A020000}"/>
    <cellStyle name="T_Bao cao kttb milk yomilkYAO-mien bac_Mau_bao_cao_XNT_NVTK_tai_NPP 3.7_1 2" xfId="2309" xr:uid="{00000000-0005-0000-0000-00004B020000}"/>
    <cellStyle name="T_Bao cao kttb milk yomilkYAO-mien bac_Mau_bao_cao_XNT_NVTK_tai_NPP 3.7_1_PIT092008" xfId="528" xr:uid="{00000000-0005-0000-0000-00004C020000}"/>
    <cellStyle name="T_Bao cao kttb milk yomilkYAO-mien bac_Mau_bao_cao_XNT_NVTK_tai_NPP 3.7_1_PIT092008 2" xfId="2310" xr:uid="{00000000-0005-0000-0000-00004D020000}"/>
    <cellStyle name="T_Bao cao kttb milk yomilkYAO-mien bac_Mau_bao_cao_XNT_NVTK_tai_NPP 3.7_PIT092008" xfId="529" xr:uid="{00000000-0005-0000-0000-00004E020000}"/>
    <cellStyle name="T_Bao cao kttb milk yomilkYAO-mien bac_Mau_bao_cao_XNT_NVTK_tai_NPP 3.7_PIT092008 2" xfId="2311" xr:uid="{00000000-0005-0000-0000-00004F020000}"/>
    <cellStyle name="T_Bao cao kttb milk yomilkYAO-mien bac_PIT092008" xfId="530" xr:uid="{00000000-0005-0000-0000-000050020000}"/>
    <cellStyle name="T_Bao cao kttb milk yomilkYAO-mien bac_PIT092008 2" xfId="2312" xr:uid="{00000000-0005-0000-0000-000051020000}"/>
    <cellStyle name="T_Bao_cao_tuan_CK6_NPP_BÍCH TIẾN" xfId="531" xr:uid="{00000000-0005-0000-0000-000052020000}"/>
    <cellStyle name="T_Bao_cao_tuan_CK6_NPP_BÍCH TIẾN 2" xfId="2313" xr:uid="{00000000-0005-0000-0000-000053020000}"/>
    <cellStyle name="T_Bao_cao_tuan_CK6_NPP_BÍCH TIẾN_PIT092008" xfId="532" xr:uid="{00000000-0005-0000-0000-000054020000}"/>
    <cellStyle name="T_Bao_cao_tuan_CK6_NPP_BÍCH TIẾN_PIT092008 2" xfId="2314" xr:uid="{00000000-0005-0000-0000-000055020000}"/>
    <cellStyle name="T_bc_km_ngay" xfId="533" xr:uid="{00000000-0005-0000-0000-000056020000}"/>
    <cellStyle name="T_bc_km_ngay 2" xfId="2315" xr:uid="{00000000-0005-0000-0000-000057020000}"/>
    <cellStyle name="T_bc_km_ngay_Book1" xfId="534" xr:uid="{00000000-0005-0000-0000-000058020000}"/>
    <cellStyle name="T_bc_km_ngay_Book1 2" xfId="2316" xr:uid="{00000000-0005-0000-0000-000059020000}"/>
    <cellStyle name="T_bc_km_ngay_Book1_F4_5_6__Bao_cao_tai_NPP BICH TIEN" xfId="535" xr:uid="{00000000-0005-0000-0000-00005A020000}"/>
    <cellStyle name="T_bc_km_ngay_Book1_F4_5_6__Bao_cao_tai_NPP BICH TIEN 2" xfId="2317" xr:uid="{00000000-0005-0000-0000-00005B020000}"/>
    <cellStyle name="T_bc_km_ngay_Book1_F4_5_6__Bao_cao_tai_NPP BICH TIEN_PIT092008" xfId="536" xr:uid="{00000000-0005-0000-0000-00005C020000}"/>
    <cellStyle name="T_bc_km_ngay_Book1_F4_5_6__Bao_cao_tai_NPP BICH TIEN_PIT092008 2" xfId="2318" xr:uid="{00000000-0005-0000-0000-00005D020000}"/>
    <cellStyle name="T_bc_km_ngay_Book1_Mau_bao_cao_XNT_NVTK_tai_NPP 21.7" xfId="537" xr:uid="{00000000-0005-0000-0000-00005E020000}"/>
    <cellStyle name="T_bc_km_ngay_Book1_Mau_bao_cao_XNT_NVTK_tai_NPP 21.7 2" xfId="2319" xr:uid="{00000000-0005-0000-0000-00005F020000}"/>
    <cellStyle name="T_bc_km_ngay_Book1_Mau_bao_cao_XNT_NVTK_tai_NPP 21.7_PIT092008" xfId="538" xr:uid="{00000000-0005-0000-0000-000060020000}"/>
    <cellStyle name="T_bc_km_ngay_Book1_Mau_bao_cao_XNT_NVTK_tai_NPP 21.7_PIT092008 2" xfId="2320" xr:uid="{00000000-0005-0000-0000-000061020000}"/>
    <cellStyle name="T_bc_km_ngay_Book1_PIT092008" xfId="539" xr:uid="{00000000-0005-0000-0000-000062020000}"/>
    <cellStyle name="T_bc_km_ngay_Book1_PIT092008 2" xfId="2321" xr:uid="{00000000-0005-0000-0000-000063020000}"/>
    <cellStyle name="T_bc_km_ngay_Copy of Mau_bao_cao_XNT_NVTK_tai_NPP" xfId="540" xr:uid="{00000000-0005-0000-0000-000064020000}"/>
    <cellStyle name="T_bc_km_ngay_Copy of Mau_bao_cao_XNT_NVTK_tai_NPP 2" xfId="2322" xr:uid="{00000000-0005-0000-0000-000065020000}"/>
    <cellStyle name="T_bc_km_ngay_Copy of Mau_bao_cao_XNT_NVTK_tai_NPP_PIT092008" xfId="541" xr:uid="{00000000-0005-0000-0000-000066020000}"/>
    <cellStyle name="T_bc_km_ngay_Copy of Mau_bao_cao_XNT_NVTK_tai_NPP_PIT092008 2" xfId="2323" xr:uid="{00000000-0005-0000-0000-000067020000}"/>
    <cellStyle name="T_bc_km_ngay_ĐƠN ĐẶT HÀNG VNM" xfId="542" xr:uid="{00000000-0005-0000-0000-000068020000}"/>
    <cellStyle name="T_bc_km_ngay_ĐƠN ĐẶT HÀNG VNM 2" xfId="2324" xr:uid="{00000000-0005-0000-0000-000069020000}"/>
    <cellStyle name="T_bc_km_ngay_ĐƠN ĐẶT HÀNG VNM_PIT092008" xfId="543" xr:uid="{00000000-0005-0000-0000-00006A020000}"/>
    <cellStyle name="T_bc_km_ngay_ĐƠN ĐẶT HÀNG VNM_PIT092008 2" xfId="2325" xr:uid="{00000000-0005-0000-0000-00006B020000}"/>
    <cellStyle name="T_bc_km_ngay_F4_5_6__Bao_cao_tai_NPP BICH TIEN" xfId="544" xr:uid="{00000000-0005-0000-0000-00006C020000}"/>
    <cellStyle name="T_bc_km_ngay_F4_5_6__Bao_cao_tai_NPP BICH TIEN 2" xfId="2326" xr:uid="{00000000-0005-0000-0000-00006D020000}"/>
    <cellStyle name="T_bc_km_ngay_F4_5_6__Bao_cao_tai_NPP BICH TIEN_PIT092008" xfId="545" xr:uid="{00000000-0005-0000-0000-00006E020000}"/>
    <cellStyle name="T_bc_km_ngay_F4_5_6__Bao_cao_tai_NPP BICH TIEN_PIT092008 2" xfId="2327" xr:uid="{00000000-0005-0000-0000-00006F020000}"/>
    <cellStyle name="T_bc_km_ngay_form__moi__bao_cao_ngay_NEW_AGAIN" xfId="546" xr:uid="{00000000-0005-0000-0000-000070020000}"/>
    <cellStyle name="T_bc_km_ngay_form__moi__bao_cao_ngay_NEW_AGAIN 2" xfId="2328" xr:uid="{00000000-0005-0000-0000-000071020000}"/>
    <cellStyle name="T_bc_km_ngay_form__moi__bao_cao_ngay_NEW_AGAIN_PIT092008" xfId="547" xr:uid="{00000000-0005-0000-0000-000072020000}"/>
    <cellStyle name="T_bc_km_ngay_form__moi__bao_cao_ngay_NEW_AGAIN_PIT092008 2" xfId="2329" xr:uid="{00000000-0005-0000-0000-000073020000}"/>
    <cellStyle name="T_bc_km_ngay_Mau -bao_cao_XNT_NVTK_tai_NPP 19.7" xfId="548" xr:uid="{00000000-0005-0000-0000-000074020000}"/>
    <cellStyle name="T_bc_km_ngay_Mau -bao_cao_XNT_NVTK_tai_NPP 19.7 2" xfId="2330" xr:uid="{00000000-0005-0000-0000-000075020000}"/>
    <cellStyle name="T_bc_km_ngay_Mau -bao_cao_XNT_NVTK_tai_NPP 19.7_PIT092008" xfId="549" xr:uid="{00000000-0005-0000-0000-000076020000}"/>
    <cellStyle name="T_bc_km_ngay_Mau -bao_cao_XNT_NVTK_tai_NPP 19.7_PIT092008 2" xfId="2331" xr:uid="{00000000-0005-0000-0000-000077020000}"/>
    <cellStyle name="T_bc_km_ngay_Mau_bao_cao_XNT_NVTK_tai_NPP 21.7" xfId="550" xr:uid="{00000000-0005-0000-0000-000078020000}"/>
    <cellStyle name="T_bc_km_ngay_Mau_bao_cao_XNT_NVTK_tai_NPP 21.7 2" xfId="2332" xr:uid="{00000000-0005-0000-0000-000079020000}"/>
    <cellStyle name="T_bc_km_ngay_Mau_bao_cao_XNT_NVTK_tai_NPP 21.7_PIT092008" xfId="551" xr:uid="{00000000-0005-0000-0000-00007A020000}"/>
    <cellStyle name="T_bc_km_ngay_Mau_bao_cao_XNT_NVTK_tai_NPP 21.7_PIT092008 2" xfId="2333" xr:uid="{00000000-0005-0000-0000-00007B020000}"/>
    <cellStyle name="T_bc_km_ngay_Mau_bao_cao_XNT_NVTK_tai_NPP 3.7" xfId="552" xr:uid="{00000000-0005-0000-0000-00007C020000}"/>
    <cellStyle name="T_bc_km_ngay_Mau_bao_cao_XNT_NVTK_tai_NPP 3.7 2" xfId="2334" xr:uid="{00000000-0005-0000-0000-00007D020000}"/>
    <cellStyle name="T_bc_km_ngay_Mau_bao_cao_XNT_NVTK_tai_NPP 3.7_1" xfId="553" xr:uid="{00000000-0005-0000-0000-00007E020000}"/>
    <cellStyle name="T_bc_km_ngay_Mau_bao_cao_XNT_NVTK_tai_NPP 3.7_1 2" xfId="2335" xr:uid="{00000000-0005-0000-0000-00007F020000}"/>
    <cellStyle name="T_bc_km_ngay_Mau_bao_cao_XNT_NVTK_tai_NPP 3.7_1_PIT092008" xfId="554" xr:uid="{00000000-0005-0000-0000-000080020000}"/>
    <cellStyle name="T_bc_km_ngay_Mau_bao_cao_XNT_NVTK_tai_NPP 3.7_1_PIT092008 2" xfId="2336" xr:uid="{00000000-0005-0000-0000-000081020000}"/>
    <cellStyle name="T_bc_km_ngay_Mau_bao_cao_XNT_NVTK_tai_NPP 3.7_PIT092008" xfId="555" xr:uid="{00000000-0005-0000-0000-000082020000}"/>
    <cellStyle name="T_bc_km_ngay_Mau_bao_cao_XNT_NVTK_tai_NPP 3.7_PIT092008 2" xfId="2337" xr:uid="{00000000-0005-0000-0000-000083020000}"/>
    <cellStyle name="T_bc_km_ngay_PIT092008" xfId="556" xr:uid="{00000000-0005-0000-0000-000084020000}"/>
    <cellStyle name="T_bc_km_ngay_PIT092008 2" xfId="2338" xr:uid="{00000000-0005-0000-0000-000085020000}"/>
    <cellStyle name="T_Book1" xfId="557" xr:uid="{00000000-0005-0000-0000-000086020000}"/>
    <cellStyle name="T_Book1 2" xfId="2339" xr:uid="{00000000-0005-0000-0000-000087020000}"/>
    <cellStyle name="T_Book1_03TBH MOI" xfId="558" xr:uid="{00000000-0005-0000-0000-000088020000}"/>
    <cellStyle name="T_Book1_03TBH MOI 2" xfId="2340" xr:uid="{00000000-0005-0000-0000-000089020000}"/>
    <cellStyle name="T_Book1_03TBH MOI_PIT092008" xfId="559" xr:uid="{00000000-0005-0000-0000-00008A020000}"/>
    <cellStyle name="T_Book1_03TBH MOI_PIT092008 2" xfId="2341" xr:uid="{00000000-0005-0000-0000-00008B020000}"/>
    <cellStyle name="T_Book1_1" xfId="560" xr:uid="{00000000-0005-0000-0000-00008C020000}"/>
    <cellStyle name="T_Book1_1 2" xfId="2342" xr:uid="{00000000-0005-0000-0000-00008D020000}"/>
    <cellStyle name="T_Book1_1_F4_5_6__Bao_cao_tai_NPP BICH TIEN" xfId="561" xr:uid="{00000000-0005-0000-0000-00008E020000}"/>
    <cellStyle name="T_Book1_1_F4_5_6__Bao_cao_tai_NPP BICH TIEN 2" xfId="2343" xr:uid="{00000000-0005-0000-0000-00008F020000}"/>
    <cellStyle name="T_Book1_1_F4_5_6__Bao_cao_tai_NPP BICH TIEN_PIT092008" xfId="562" xr:uid="{00000000-0005-0000-0000-000090020000}"/>
    <cellStyle name="T_Book1_1_F4_5_6__Bao_cao_tai_NPP BICH TIEN_PIT092008 2" xfId="2344" xr:uid="{00000000-0005-0000-0000-000091020000}"/>
    <cellStyle name="T_Book1_1_Mau -bao_cao_XNT_NVTK_tai_NPP 19.7" xfId="563" xr:uid="{00000000-0005-0000-0000-000092020000}"/>
    <cellStyle name="T_Book1_1_Mau -bao_cao_XNT_NVTK_tai_NPP 19.7 2" xfId="2345" xr:uid="{00000000-0005-0000-0000-000093020000}"/>
    <cellStyle name="T_Book1_1_Mau -bao_cao_XNT_NVTK_tai_NPP 19.7_PIT092008" xfId="564" xr:uid="{00000000-0005-0000-0000-000094020000}"/>
    <cellStyle name="T_Book1_1_Mau -bao_cao_XNT_NVTK_tai_NPP 19.7_PIT092008 2" xfId="2346" xr:uid="{00000000-0005-0000-0000-000095020000}"/>
    <cellStyle name="T_Book1_1_PIT092008" xfId="565" xr:uid="{00000000-0005-0000-0000-000096020000}"/>
    <cellStyle name="T_Book1_1_PIT092008 2" xfId="2347" xr:uid="{00000000-0005-0000-0000-000097020000}"/>
    <cellStyle name="T_Book1_2" xfId="566" xr:uid="{00000000-0005-0000-0000-000098020000}"/>
    <cellStyle name="T_Book1_2 2" xfId="2348" xr:uid="{00000000-0005-0000-0000-000099020000}"/>
    <cellStyle name="T_Book1_2_F4_5_6__Bao_cao_tai_NPP BICH TIEN" xfId="567" xr:uid="{00000000-0005-0000-0000-00009A020000}"/>
    <cellStyle name="T_Book1_2_F4_5_6__Bao_cao_tai_NPP BICH TIEN 2" xfId="2349" xr:uid="{00000000-0005-0000-0000-00009B020000}"/>
    <cellStyle name="T_Book1_2_F4_5_6__Bao_cao_tai_NPP BICH TIEN_PIT092008" xfId="568" xr:uid="{00000000-0005-0000-0000-00009C020000}"/>
    <cellStyle name="T_Book1_2_F4_5_6__Bao_cao_tai_NPP BICH TIEN_PIT092008 2" xfId="2350" xr:uid="{00000000-0005-0000-0000-00009D020000}"/>
    <cellStyle name="T_Book1_2_Mau_bao_cao_XNT_NVTK_tai_NPP 21.7" xfId="569" xr:uid="{00000000-0005-0000-0000-00009E020000}"/>
    <cellStyle name="T_Book1_2_Mau_bao_cao_XNT_NVTK_tai_NPP 21.7 2" xfId="2351" xr:uid="{00000000-0005-0000-0000-00009F020000}"/>
    <cellStyle name="T_Book1_2_Mau_bao_cao_XNT_NVTK_tai_NPP 21.7_PIT092008" xfId="570" xr:uid="{00000000-0005-0000-0000-0000A0020000}"/>
    <cellStyle name="T_Book1_2_Mau_bao_cao_XNT_NVTK_tai_NPP 21.7_PIT092008 2" xfId="2352" xr:uid="{00000000-0005-0000-0000-0000A1020000}"/>
    <cellStyle name="T_Book1_2_PIT092008" xfId="571" xr:uid="{00000000-0005-0000-0000-0000A2020000}"/>
    <cellStyle name="T_Book1_2_PIT092008 2" xfId="2353" xr:uid="{00000000-0005-0000-0000-0000A3020000}"/>
    <cellStyle name="T_Book1_Book1" xfId="572" xr:uid="{00000000-0005-0000-0000-0000A4020000}"/>
    <cellStyle name="T_Book1_Book1 2" xfId="2354" xr:uid="{00000000-0005-0000-0000-0000A5020000}"/>
    <cellStyle name="T_Book1_Book1_1" xfId="573" xr:uid="{00000000-0005-0000-0000-0000A6020000}"/>
    <cellStyle name="T_Book1_Book1_1 2" xfId="2355" xr:uid="{00000000-0005-0000-0000-0000A7020000}"/>
    <cellStyle name="T_Book1_Book1_1_F4_5_6__Bao_cao_tai_NPP BICH TIEN" xfId="574" xr:uid="{00000000-0005-0000-0000-0000A8020000}"/>
    <cellStyle name="T_Book1_Book1_1_F4_5_6__Bao_cao_tai_NPP BICH TIEN 2" xfId="2356" xr:uid="{00000000-0005-0000-0000-0000A9020000}"/>
    <cellStyle name="T_Book1_Book1_1_F4_5_6__Bao_cao_tai_NPP BICH TIEN_PIT092008" xfId="575" xr:uid="{00000000-0005-0000-0000-0000AA020000}"/>
    <cellStyle name="T_Book1_Book1_1_F4_5_6__Bao_cao_tai_NPP BICH TIEN_PIT092008 2" xfId="2357" xr:uid="{00000000-0005-0000-0000-0000AB020000}"/>
    <cellStyle name="T_Book1_Book1_1_PIT092008" xfId="576" xr:uid="{00000000-0005-0000-0000-0000AC020000}"/>
    <cellStyle name="T_Book1_Book1_1_PIT092008 2" xfId="2358" xr:uid="{00000000-0005-0000-0000-0000AD020000}"/>
    <cellStyle name="T_Book1_Book1_F4_5_6__Bao_cao_tai_NPP BICH TIEN" xfId="577" xr:uid="{00000000-0005-0000-0000-0000AE020000}"/>
    <cellStyle name="T_Book1_Book1_F4_5_6__Bao_cao_tai_NPP BICH TIEN 2" xfId="2359" xr:uid="{00000000-0005-0000-0000-0000AF020000}"/>
    <cellStyle name="T_Book1_Book1_F4_5_6__Bao_cao_tai_NPP BICH TIEN_PIT092008" xfId="578" xr:uid="{00000000-0005-0000-0000-0000B0020000}"/>
    <cellStyle name="T_Book1_Book1_F4_5_6__Bao_cao_tai_NPP BICH TIEN_PIT092008 2" xfId="2360" xr:uid="{00000000-0005-0000-0000-0000B1020000}"/>
    <cellStyle name="T_Book1_Book1_Mau_bao_cao_XNT_NVTK_tai_NPP 21.7" xfId="579" xr:uid="{00000000-0005-0000-0000-0000B2020000}"/>
    <cellStyle name="T_Book1_Book1_Mau_bao_cao_XNT_NVTK_tai_NPP 21.7 2" xfId="2361" xr:uid="{00000000-0005-0000-0000-0000B3020000}"/>
    <cellStyle name="T_Book1_Book1_Mau_bao_cao_XNT_NVTK_tai_NPP 21.7_PIT092008" xfId="580" xr:uid="{00000000-0005-0000-0000-0000B4020000}"/>
    <cellStyle name="T_Book1_Book1_Mau_bao_cao_XNT_NVTK_tai_NPP 21.7_PIT092008 2" xfId="2362" xr:uid="{00000000-0005-0000-0000-0000B5020000}"/>
    <cellStyle name="T_Book1_Book1_PIT092008" xfId="581" xr:uid="{00000000-0005-0000-0000-0000B6020000}"/>
    <cellStyle name="T_Book1_Book1_PIT092008 2" xfId="2363" xr:uid="{00000000-0005-0000-0000-0000B7020000}"/>
    <cellStyle name="T_Book1_Book1_SAY FASHION" xfId="582" xr:uid="{00000000-0005-0000-0000-0000B8020000}"/>
    <cellStyle name="T_Book1_Book1_SAY FASHION 2" xfId="2364" xr:uid="{00000000-0005-0000-0000-0000B9020000}"/>
    <cellStyle name="T_Book1_Book1_SAY FASHION_PIT092008" xfId="583" xr:uid="{00000000-0005-0000-0000-0000BA020000}"/>
    <cellStyle name="T_Book1_Book1_SAY FASHION_PIT092008 2" xfId="2365" xr:uid="{00000000-0005-0000-0000-0000BB020000}"/>
    <cellStyle name="T_Book1_Copy of Mau_bao_cao_XNT_NVTK_tai_NPP" xfId="584" xr:uid="{00000000-0005-0000-0000-0000BC020000}"/>
    <cellStyle name="T_Book1_Copy of Mau_bao_cao_XNT_NVTK_tai_NPP 2" xfId="2366" xr:uid="{00000000-0005-0000-0000-0000BD020000}"/>
    <cellStyle name="T_Book1_Copy of Mau_bao_cao_XNT_NVTK_tai_NPP_PIT092008" xfId="585" xr:uid="{00000000-0005-0000-0000-0000BE020000}"/>
    <cellStyle name="T_Book1_Copy of Mau_bao_cao_XNT_NVTK_tai_NPP_PIT092008 2" xfId="2367" xr:uid="{00000000-0005-0000-0000-0000BF020000}"/>
    <cellStyle name="T_Book1_ĐƠN ĐẶT HÀNG VNM" xfId="586" xr:uid="{00000000-0005-0000-0000-0000C0020000}"/>
    <cellStyle name="T_Book1_ĐƠN ĐẶT HÀNG VNM 2" xfId="2368" xr:uid="{00000000-0005-0000-0000-0000C1020000}"/>
    <cellStyle name="T_Book1_ĐƠN ĐẶT HÀNG VNM_PIT092008" xfId="587" xr:uid="{00000000-0005-0000-0000-0000C2020000}"/>
    <cellStyle name="T_Book1_ĐƠN ĐẶT HÀNG VNM_PIT092008 2" xfId="2369" xr:uid="{00000000-0005-0000-0000-0000C3020000}"/>
    <cellStyle name="T_Book1_F4_5_6__Bao_cao_tai_NPP BICH TIEN" xfId="588" xr:uid="{00000000-0005-0000-0000-0000C4020000}"/>
    <cellStyle name="T_Book1_F4_5_6__Bao_cao_tai_NPP BICH TIEN 2" xfId="2370" xr:uid="{00000000-0005-0000-0000-0000C5020000}"/>
    <cellStyle name="T_Book1_F4_5_6__Bao_cao_tai_NPP BICH TIEN_PIT092008" xfId="589" xr:uid="{00000000-0005-0000-0000-0000C6020000}"/>
    <cellStyle name="T_Book1_F4_5_6__Bao_cao_tai_NPP BICH TIEN_PIT092008 2" xfId="2371" xr:uid="{00000000-0005-0000-0000-0000C7020000}"/>
    <cellStyle name="T_Book1_form__moi__bao_cao_ngay_NEW_AGAIN" xfId="590" xr:uid="{00000000-0005-0000-0000-0000C8020000}"/>
    <cellStyle name="T_Book1_form__moi__bao_cao_ngay_NEW_AGAIN 2" xfId="2372" xr:uid="{00000000-0005-0000-0000-0000C9020000}"/>
    <cellStyle name="T_Book1_form__moi__bao_cao_ngay_NEW_AGAIN_PIT092008" xfId="591" xr:uid="{00000000-0005-0000-0000-0000CA020000}"/>
    <cellStyle name="T_Book1_form__moi__bao_cao_ngay_NEW_AGAIN_PIT092008 2" xfId="2373" xr:uid="{00000000-0005-0000-0000-0000CB020000}"/>
    <cellStyle name="T_Book1_Mau -bao_cao_XNT_NVTK_tai_NPP 19.7" xfId="592" xr:uid="{00000000-0005-0000-0000-0000CC020000}"/>
    <cellStyle name="T_Book1_Mau -bao_cao_XNT_NVTK_tai_NPP 19.7 2" xfId="2374" xr:uid="{00000000-0005-0000-0000-0000CD020000}"/>
    <cellStyle name="T_Book1_Mau -bao_cao_XNT_NVTK_tai_NPP 19.7_PIT092008" xfId="593" xr:uid="{00000000-0005-0000-0000-0000CE020000}"/>
    <cellStyle name="T_Book1_Mau -bao_cao_XNT_NVTK_tai_NPP 19.7_PIT092008 2" xfId="2375" xr:uid="{00000000-0005-0000-0000-0000CF020000}"/>
    <cellStyle name="T_Book1_Mau_bao_cao_XNT_NVTK_tai_NPP 21.7" xfId="594" xr:uid="{00000000-0005-0000-0000-0000D0020000}"/>
    <cellStyle name="T_Book1_Mau_bao_cao_XNT_NVTK_tai_NPP 21.7 2" xfId="2376" xr:uid="{00000000-0005-0000-0000-0000D1020000}"/>
    <cellStyle name="T_Book1_Mau_bao_cao_XNT_NVTK_tai_NPP 21.7_PIT092008" xfId="595" xr:uid="{00000000-0005-0000-0000-0000D2020000}"/>
    <cellStyle name="T_Book1_Mau_bao_cao_XNT_NVTK_tai_NPP 21.7_PIT092008 2" xfId="2377" xr:uid="{00000000-0005-0000-0000-0000D3020000}"/>
    <cellStyle name="T_Book1_Mau_bao_cao_XNT_NVTK_tai_NPP 3.7" xfId="596" xr:uid="{00000000-0005-0000-0000-0000D4020000}"/>
    <cellStyle name="T_Book1_Mau_bao_cao_XNT_NVTK_tai_NPP 3.7 2" xfId="2378" xr:uid="{00000000-0005-0000-0000-0000D5020000}"/>
    <cellStyle name="T_Book1_Mau_bao_cao_XNT_NVTK_tai_NPP 3.7_1" xfId="597" xr:uid="{00000000-0005-0000-0000-0000D6020000}"/>
    <cellStyle name="T_Book1_Mau_bao_cao_XNT_NVTK_tai_NPP 3.7_1 2" xfId="2379" xr:uid="{00000000-0005-0000-0000-0000D7020000}"/>
    <cellStyle name="T_Book1_Mau_bao_cao_XNT_NVTK_tai_NPP 3.7_1_PIT092008" xfId="598" xr:uid="{00000000-0005-0000-0000-0000D8020000}"/>
    <cellStyle name="T_Book1_Mau_bao_cao_XNT_NVTK_tai_NPP 3.7_1_PIT092008 2" xfId="2380" xr:uid="{00000000-0005-0000-0000-0000D9020000}"/>
    <cellStyle name="T_Book1_Mau_bao_cao_XNT_NVTK_tai_NPP 3.7_PIT092008" xfId="599" xr:uid="{00000000-0005-0000-0000-0000DA020000}"/>
    <cellStyle name="T_Book1_Mau_bao_cao_XNT_NVTK_tai_NPP 3.7_PIT092008 2" xfId="2381" xr:uid="{00000000-0005-0000-0000-0000DB020000}"/>
    <cellStyle name="T_Book1_PIT092008" xfId="600" xr:uid="{00000000-0005-0000-0000-0000DC020000}"/>
    <cellStyle name="T_Book1_PIT092008 2" xfId="2382" xr:uid="{00000000-0005-0000-0000-0000DD020000}"/>
    <cellStyle name="T_Book1_SAY FASHION" xfId="601" xr:uid="{00000000-0005-0000-0000-0000DE020000}"/>
    <cellStyle name="T_Book1_SAY FASHION 2" xfId="2383" xr:uid="{00000000-0005-0000-0000-0000DF020000}"/>
    <cellStyle name="T_Book1_SAY FASHION_PIT092008" xfId="602" xr:uid="{00000000-0005-0000-0000-0000E0020000}"/>
    <cellStyle name="T_Book1_SAY FASHION_PIT092008 2" xfId="2384" xr:uid="{00000000-0005-0000-0000-0000E1020000}"/>
    <cellStyle name="T_Cac bao cao TB  Milk-Yomilk-co Ke- CK 1-Vinh Thang" xfId="603" xr:uid="{00000000-0005-0000-0000-0000E2020000}"/>
    <cellStyle name="T_Cac bao cao TB  Milk-Yomilk-co Ke- CK 1-Vinh Thang 2" xfId="2385" xr:uid="{00000000-0005-0000-0000-0000E3020000}"/>
    <cellStyle name="T_Cac bao cao TB  Milk-Yomilk-co Ke- CK 1-Vinh Thang_Book1" xfId="604" xr:uid="{00000000-0005-0000-0000-0000E4020000}"/>
    <cellStyle name="T_Cac bao cao TB  Milk-Yomilk-co Ke- CK 1-Vinh Thang_Book1 2" xfId="2386" xr:uid="{00000000-0005-0000-0000-0000E5020000}"/>
    <cellStyle name="T_Cac bao cao TB  Milk-Yomilk-co Ke- CK 1-Vinh Thang_Book1_F4_5_6__Bao_cao_tai_NPP BICH TIEN" xfId="605" xr:uid="{00000000-0005-0000-0000-0000E6020000}"/>
    <cellStyle name="T_Cac bao cao TB  Milk-Yomilk-co Ke- CK 1-Vinh Thang_Book1_F4_5_6__Bao_cao_tai_NPP BICH TIEN 2" xfId="2387" xr:uid="{00000000-0005-0000-0000-0000E7020000}"/>
    <cellStyle name="T_Cac bao cao TB  Milk-Yomilk-co Ke- CK 1-Vinh Thang_Book1_F4_5_6__Bao_cao_tai_NPP BICH TIEN_PIT092008" xfId="606" xr:uid="{00000000-0005-0000-0000-0000E8020000}"/>
    <cellStyle name="T_Cac bao cao TB  Milk-Yomilk-co Ke- CK 1-Vinh Thang_Book1_F4_5_6__Bao_cao_tai_NPP BICH TIEN_PIT092008 2" xfId="2388" xr:uid="{00000000-0005-0000-0000-0000E9020000}"/>
    <cellStyle name="T_Cac bao cao TB  Milk-Yomilk-co Ke- CK 1-Vinh Thang_Book1_Mau_bao_cao_XNT_NVTK_tai_NPP 21.7" xfId="607" xr:uid="{00000000-0005-0000-0000-0000EA020000}"/>
    <cellStyle name="T_Cac bao cao TB  Milk-Yomilk-co Ke- CK 1-Vinh Thang_Book1_Mau_bao_cao_XNT_NVTK_tai_NPP 21.7 2" xfId="2389" xr:uid="{00000000-0005-0000-0000-0000EB020000}"/>
    <cellStyle name="T_Cac bao cao TB  Milk-Yomilk-co Ke- CK 1-Vinh Thang_Book1_Mau_bao_cao_XNT_NVTK_tai_NPP 21.7_PIT092008" xfId="608" xr:uid="{00000000-0005-0000-0000-0000EC020000}"/>
    <cellStyle name="T_Cac bao cao TB  Milk-Yomilk-co Ke- CK 1-Vinh Thang_Book1_Mau_bao_cao_XNT_NVTK_tai_NPP 21.7_PIT092008 2" xfId="2390" xr:uid="{00000000-0005-0000-0000-0000ED020000}"/>
    <cellStyle name="T_Cac bao cao TB  Milk-Yomilk-co Ke- CK 1-Vinh Thang_Book1_PIT092008" xfId="609" xr:uid="{00000000-0005-0000-0000-0000EE020000}"/>
    <cellStyle name="T_Cac bao cao TB  Milk-Yomilk-co Ke- CK 1-Vinh Thang_Book1_PIT092008 2" xfId="2391" xr:uid="{00000000-0005-0000-0000-0000EF020000}"/>
    <cellStyle name="T_Cac bao cao TB  Milk-Yomilk-co Ke- CK 1-Vinh Thang_Copy of Mau_bao_cao_XNT_NVTK_tai_NPP" xfId="610" xr:uid="{00000000-0005-0000-0000-0000F0020000}"/>
    <cellStyle name="T_Cac bao cao TB  Milk-Yomilk-co Ke- CK 1-Vinh Thang_Copy of Mau_bao_cao_XNT_NVTK_tai_NPP 2" xfId="2392" xr:uid="{00000000-0005-0000-0000-0000F1020000}"/>
    <cellStyle name="T_Cac bao cao TB  Milk-Yomilk-co Ke- CK 1-Vinh Thang_Copy of Mau_bao_cao_XNT_NVTK_tai_NPP_PIT092008" xfId="611" xr:uid="{00000000-0005-0000-0000-0000F2020000}"/>
    <cellStyle name="T_Cac bao cao TB  Milk-Yomilk-co Ke- CK 1-Vinh Thang_Copy of Mau_bao_cao_XNT_NVTK_tai_NPP_PIT092008 2" xfId="2393" xr:uid="{00000000-0005-0000-0000-0000F3020000}"/>
    <cellStyle name="T_Cac bao cao TB  Milk-Yomilk-co Ke- CK 1-Vinh Thang_ĐƠN ĐẶT HÀNG VNM" xfId="612" xr:uid="{00000000-0005-0000-0000-0000F4020000}"/>
    <cellStyle name="T_Cac bao cao TB  Milk-Yomilk-co Ke- CK 1-Vinh Thang_ĐƠN ĐẶT HÀNG VNM 2" xfId="2394" xr:uid="{00000000-0005-0000-0000-0000F5020000}"/>
    <cellStyle name="T_Cac bao cao TB  Milk-Yomilk-co Ke- CK 1-Vinh Thang_ĐƠN ĐẶT HÀNG VNM_PIT092008" xfId="613" xr:uid="{00000000-0005-0000-0000-0000F6020000}"/>
    <cellStyle name="T_Cac bao cao TB  Milk-Yomilk-co Ke- CK 1-Vinh Thang_ĐƠN ĐẶT HÀNG VNM_PIT092008 2" xfId="2395" xr:uid="{00000000-0005-0000-0000-0000F7020000}"/>
    <cellStyle name="T_Cac bao cao TB  Milk-Yomilk-co Ke- CK 1-Vinh Thang_F4_5_6__Bao_cao_tai_NPP BICH TIEN" xfId="614" xr:uid="{00000000-0005-0000-0000-0000F8020000}"/>
    <cellStyle name="T_Cac bao cao TB  Milk-Yomilk-co Ke- CK 1-Vinh Thang_F4_5_6__Bao_cao_tai_NPP BICH TIEN 2" xfId="2396" xr:uid="{00000000-0005-0000-0000-0000F9020000}"/>
    <cellStyle name="T_Cac bao cao TB  Milk-Yomilk-co Ke- CK 1-Vinh Thang_F4_5_6__Bao_cao_tai_NPP BICH TIEN_PIT092008" xfId="615" xr:uid="{00000000-0005-0000-0000-0000FA020000}"/>
    <cellStyle name="T_Cac bao cao TB  Milk-Yomilk-co Ke- CK 1-Vinh Thang_F4_5_6__Bao_cao_tai_NPP BICH TIEN_PIT092008 2" xfId="2397" xr:uid="{00000000-0005-0000-0000-0000FB020000}"/>
    <cellStyle name="T_Cac bao cao TB  Milk-Yomilk-co Ke- CK 1-Vinh Thang_form__moi__bao_cao_ngay_NEW_AGAIN" xfId="616" xr:uid="{00000000-0005-0000-0000-0000FC020000}"/>
    <cellStyle name="T_Cac bao cao TB  Milk-Yomilk-co Ke- CK 1-Vinh Thang_form__moi__bao_cao_ngay_NEW_AGAIN 2" xfId="2398" xr:uid="{00000000-0005-0000-0000-0000FD020000}"/>
    <cellStyle name="T_Cac bao cao TB  Milk-Yomilk-co Ke- CK 1-Vinh Thang_form__moi__bao_cao_ngay_NEW_AGAIN_PIT092008" xfId="617" xr:uid="{00000000-0005-0000-0000-0000FE020000}"/>
    <cellStyle name="T_Cac bao cao TB  Milk-Yomilk-co Ke- CK 1-Vinh Thang_form__moi__bao_cao_ngay_NEW_AGAIN_PIT092008 2" xfId="2399" xr:uid="{00000000-0005-0000-0000-0000FF020000}"/>
    <cellStyle name="T_Cac bao cao TB  Milk-Yomilk-co Ke- CK 1-Vinh Thang_Mau -bao_cao_XNT_NVTK_tai_NPP 19.7" xfId="618" xr:uid="{00000000-0005-0000-0000-000000030000}"/>
    <cellStyle name="T_Cac bao cao TB  Milk-Yomilk-co Ke- CK 1-Vinh Thang_Mau -bao_cao_XNT_NVTK_tai_NPP 19.7 2" xfId="2400" xr:uid="{00000000-0005-0000-0000-000001030000}"/>
    <cellStyle name="T_Cac bao cao TB  Milk-Yomilk-co Ke- CK 1-Vinh Thang_Mau -bao_cao_XNT_NVTK_tai_NPP 19.7_PIT092008" xfId="619" xr:uid="{00000000-0005-0000-0000-000002030000}"/>
    <cellStyle name="T_Cac bao cao TB  Milk-Yomilk-co Ke- CK 1-Vinh Thang_Mau -bao_cao_XNT_NVTK_tai_NPP 19.7_PIT092008 2" xfId="2401" xr:uid="{00000000-0005-0000-0000-000003030000}"/>
    <cellStyle name="T_Cac bao cao TB  Milk-Yomilk-co Ke- CK 1-Vinh Thang_Mau_bao_cao_XNT_NVTK_tai_NPP 21.7" xfId="620" xr:uid="{00000000-0005-0000-0000-000004030000}"/>
    <cellStyle name="T_Cac bao cao TB  Milk-Yomilk-co Ke- CK 1-Vinh Thang_Mau_bao_cao_XNT_NVTK_tai_NPP 21.7 2" xfId="2402" xr:uid="{00000000-0005-0000-0000-000005030000}"/>
    <cellStyle name="T_Cac bao cao TB  Milk-Yomilk-co Ke- CK 1-Vinh Thang_Mau_bao_cao_XNT_NVTK_tai_NPP 21.7_PIT092008" xfId="621" xr:uid="{00000000-0005-0000-0000-000006030000}"/>
    <cellStyle name="T_Cac bao cao TB  Milk-Yomilk-co Ke- CK 1-Vinh Thang_Mau_bao_cao_XNT_NVTK_tai_NPP 21.7_PIT092008 2" xfId="2403" xr:uid="{00000000-0005-0000-0000-000007030000}"/>
    <cellStyle name="T_Cac bao cao TB  Milk-Yomilk-co Ke- CK 1-Vinh Thang_Mau_bao_cao_XNT_NVTK_tai_NPP 3.7" xfId="622" xr:uid="{00000000-0005-0000-0000-000008030000}"/>
    <cellStyle name="T_Cac bao cao TB  Milk-Yomilk-co Ke- CK 1-Vinh Thang_Mau_bao_cao_XNT_NVTK_tai_NPP 3.7 2" xfId="2404" xr:uid="{00000000-0005-0000-0000-000009030000}"/>
    <cellStyle name="T_Cac bao cao TB  Milk-Yomilk-co Ke- CK 1-Vinh Thang_Mau_bao_cao_XNT_NVTK_tai_NPP 3.7_1" xfId="623" xr:uid="{00000000-0005-0000-0000-00000A030000}"/>
    <cellStyle name="T_Cac bao cao TB  Milk-Yomilk-co Ke- CK 1-Vinh Thang_Mau_bao_cao_XNT_NVTK_tai_NPP 3.7_1 2" xfId="2405" xr:uid="{00000000-0005-0000-0000-00000B030000}"/>
    <cellStyle name="T_Cac bao cao TB  Milk-Yomilk-co Ke- CK 1-Vinh Thang_Mau_bao_cao_XNT_NVTK_tai_NPP 3.7_1_PIT092008" xfId="624" xr:uid="{00000000-0005-0000-0000-00000C030000}"/>
    <cellStyle name="T_Cac bao cao TB  Milk-Yomilk-co Ke- CK 1-Vinh Thang_Mau_bao_cao_XNT_NVTK_tai_NPP 3.7_1_PIT092008 2" xfId="2406" xr:uid="{00000000-0005-0000-0000-00000D030000}"/>
    <cellStyle name="T_Cac bao cao TB  Milk-Yomilk-co Ke- CK 1-Vinh Thang_Mau_bao_cao_XNT_NVTK_tai_NPP 3.7_PIT092008" xfId="625" xr:uid="{00000000-0005-0000-0000-00000E030000}"/>
    <cellStyle name="T_Cac bao cao TB  Milk-Yomilk-co Ke- CK 1-Vinh Thang_Mau_bao_cao_XNT_NVTK_tai_NPP 3.7_PIT092008 2" xfId="2407" xr:uid="{00000000-0005-0000-0000-00000F030000}"/>
    <cellStyle name="T_Cac bao cao TB  Milk-Yomilk-co Ke- CK 1-Vinh Thang_PIT092008" xfId="626" xr:uid="{00000000-0005-0000-0000-000010030000}"/>
    <cellStyle name="T_Cac bao cao TB  Milk-Yomilk-co Ke- CK 1-Vinh Thang_PIT092008 2" xfId="2408" xr:uid="{00000000-0005-0000-0000-000011030000}"/>
    <cellStyle name="T_cham diem Milk chu ky2-ANH MINH" xfId="627" xr:uid="{00000000-0005-0000-0000-000012030000}"/>
    <cellStyle name="T_cham diem Milk chu ky2-ANH MINH 2" xfId="2409" xr:uid="{00000000-0005-0000-0000-000013030000}"/>
    <cellStyle name="T_cham diem Milk chu ky2-ANH MINH_Book1" xfId="628" xr:uid="{00000000-0005-0000-0000-000014030000}"/>
    <cellStyle name="T_cham diem Milk chu ky2-ANH MINH_Book1 2" xfId="2410" xr:uid="{00000000-0005-0000-0000-000015030000}"/>
    <cellStyle name="T_cham diem Milk chu ky2-ANH MINH_Book1_F4_5_6__Bao_cao_tai_NPP BICH TIEN" xfId="629" xr:uid="{00000000-0005-0000-0000-000016030000}"/>
    <cellStyle name="T_cham diem Milk chu ky2-ANH MINH_Book1_F4_5_6__Bao_cao_tai_NPP BICH TIEN 2" xfId="2411" xr:uid="{00000000-0005-0000-0000-000017030000}"/>
    <cellStyle name="T_cham diem Milk chu ky2-ANH MINH_Book1_F4_5_6__Bao_cao_tai_NPP BICH TIEN_PIT092008" xfId="630" xr:uid="{00000000-0005-0000-0000-000018030000}"/>
    <cellStyle name="T_cham diem Milk chu ky2-ANH MINH_Book1_F4_5_6__Bao_cao_tai_NPP BICH TIEN_PIT092008 2" xfId="2412" xr:uid="{00000000-0005-0000-0000-000019030000}"/>
    <cellStyle name="T_cham diem Milk chu ky2-ANH MINH_Book1_Mau_bao_cao_XNT_NVTK_tai_NPP 21.7" xfId="631" xr:uid="{00000000-0005-0000-0000-00001A030000}"/>
    <cellStyle name="T_cham diem Milk chu ky2-ANH MINH_Book1_Mau_bao_cao_XNT_NVTK_tai_NPP 21.7 2" xfId="2413" xr:uid="{00000000-0005-0000-0000-00001B030000}"/>
    <cellStyle name="T_cham diem Milk chu ky2-ANH MINH_Book1_Mau_bao_cao_XNT_NVTK_tai_NPP 21.7_PIT092008" xfId="632" xr:uid="{00000000-0005-0000-0000-00001C030000}"/>
    <cellStyle name="T_cham diem Milk chu ky2-ANH MINH_Book1_Mau_bao_cao_XNT_NVTK_tai_NPP 21.7_PIT092008 2" xfId="2414" xr:uid="{00000000-0005-0000-0000-00001D030000}"/>
    <cellStyle name="T_cham diem Milk chu ky2-ANH MINH_Book1_PIT092008" xfId="633" xr:uid="{00000000-0005-0000-0000-00001E030000}"/>
    <cellStyle name="T_cham diem Milk chu ky2-ANH MINH_Book1_PIT092008 2" xfId="2415" xr:uid="{00000000-0005-0000-0000-00001F030000}"/>
    <cellStyle name="T_cham diem Milk chu ky2-ANH MINH_Copy of Mau_bao_cao_XNT_NVTK_tai_NPP" xfId="634" xr:uid="{00000000-0005-0000-0000-000020030000}"/>
    <cellStyle name="T_cham diem Milk chu ky2-ANH MINH_Copy of Mau_bao_cao_XNT_NVTK_tai_NPP 2" xfId="2416" xr:uid="{00000000-0005-0000-0000-000021030000}"/>
    <cellStyle name="T_cham diem Milk chu ky2-ANH MINH_Copy of Mau_bao_cao_XNT_NVTK_tai_NPP_PIT092008" xfId="635" xr:uid="{00000000-0005-0000-0000-000022030000}"/>
    <cellStyle name="T_cham diem Milk chu ky2-ANH MINH_Copy of Mau_bao_cao_XNT_NVTK_tai_NPP_PIT092008 2" xfId="2417" xr:uid="{00000000-0005-0000-0000-000023030000}"/>
    <cellStyle name="T_cham diem Milk chu ky2-ANH MINH_ĐƠN ĐẶT HÀNG VNM" xfId="636" xr:uid="{00000000-0005-0000-0000-000024030000}"/>
    <cellStyle name="T_cham diem Milk chu ky2-ANH MINH_ĐƠN ĐẶT HÀNG VNM 2" xfId="2418" xr:uid="{00000000-0005-0000-0000-000025030000}"/>
    <cellStyle name="T_cham diem Milk chu ky2-ANH MINH_ĐƠN ĐẶT HÀNG VNM_PIT092008" xfId="637" xr:uid="{00000000-0005-0000-0000-000026030000}"/>
    <cellStyle name="T_cham diem Milk chu ky2-ANH MINH_ĐƠN ĐẶT HÀNG VNM_PIT092008 2" xfId="2419" xr:uid="{00000000-0005-0000-0000-000027030000}"/>
    <cellStyle name="T_cham diem Milk chu ky2-ANH MINH_F4_5_6__Bao_cao_tai_NPP BICH TIEN" xfId="638" xr:uid="{00000000-0005-0000-0000-000028030000}"/>
    <cellStyle name="T_cham diem Milk chu ky2-ANH MINH_F4_5_6__Bao_cao_tai_NPP BICH TIEN 2" xfId="2420" xr:uid="{00000000-0005-0000-0000-000029030000}"/>
    <cellStyle name="T_cham diem Milk chu ky2-ANH MINH_F4_5_6__Bao_cao_tai_NPP BICH TIEN_PIT092008" xfId="639" xr:uid="{00000000-0005-0000-0000-00002A030000}"/>
    <cellStyle name="T_cham diem Milk chu ky2-ANH MINH_F4_5_6__Bao_cao_tai_NPP BICH TIEN_PIT092008 2" xfId="2421" xr:uid="{00000000-0005-0000-0000-00002B030000}"/>
    <cellStyle name="T_cham diem Milk chu ky2-ANH MINH_form__moi__bao_cao_ngay_NEW_AGAIN" xfId="640" xr:uid="{00000000-0005-0000-0000-00002C030000}"/>
    <cellStyle name="T_cham diem Milk chu ky2-ANH MINH_form__moi__bao_cao_ngay_NEW_AGAIN 2" xfId="2422" xr:uid="{00000000-0005-0000-0000-00002D030000}"/>
    <cellStyle name="T_cham diem Milk chu ky2-ANH MINH_form__moi__bao_cao_ngay_NEW_AGAIN_PIT092008" xfId="641" xr:uid="{00000000-0005-0000-0000-00002E030000}"/>
    <cellStyle name="T_cham diem Milk chu ky2-ANH MINH_form__moi__bao_cao_ngay_NEW_AGAIN_PIT092008 2" xfId="2423" xr:uid="{00000000-0005-0000-0000-00002F030000}"/>
    <cellStyle name="T_cham diem Milk chu ky2-ANH MINH_Mau -bao_cao_XNT_NVTK_tai_NPP 19.7" xfId="642" xr:uid="{00000000-0005-0000-0000-000030030000}"/>
    <cellStyle name="T_cham diem Milk chu ky2-ANH MINH_Mau -bao_cao_XNT_NVTK_tai_NPP 19.7 2" xfId="2424" xr:uid="{00000000-0005-0000-0000-000031030000}"/>
    <cellStyle name="T_cham diem Milk chu ky2-ANH MINH_Mau -bao_cao_XNT_NVTK_tai_NPP 19.7_PIT092008" xfId="643" xr:uid="{00000000-0005-0000-0000-000032030000}"/>
    <cellStyle name="T_cham diem Milk chu ky2-ANH MINH_Mau -bao_cao_XNT_NVTK_tai_NPP 19.7_PIT092008 2" xfId="2425" xr:uid="{00000000-0005-0000-0000-000033030000}"/>
    <cellStyle name="T_cham diem Milk chu ky2-ANH MINH_Mau_bao_cao_XNT_NVTK_tai_NPP 21.7" xfId="644" xr:uid="{00000000-0005-0000-0000-000034030000}"/>
    <cellStyle name="T_cham diem Milk chu ky2-ANH MINH_Mau_bao_cao_XNT_NVTK_tai_NPP 21.7 2" xfId="2426" xr:uid="{00000000-0005-0000-0000-000035030000}"/>
    <cellStyle name="T_cham diem Milk chu ky2-ANH MINH_Mau_bao_cao_XNT_NVTK_tai_NPP 21.7_PIT092008" xfId="645" xr:uid="{00000000-0005-0000-0000-000036030000}"/>
    <cellStyle name="T_cham diem Milk chu ky2-ANH MINH_Mau_bao_cao_XNT_NVTK_tai_NPP 21.7_PIT092008 2" xfId="2427" xr:uid="{00000000-0005-0000-0000-000037030000}"/>
    <cellStyle name="T_cham diem Milk chu ky2-ANH MINH_Mau_bao_cao_XNT_NVTK_tai_NPP 3.7" xfId="646" xr:uid="{00000000-0005-0000-0000-000038030000}"/>
    <cellStyle name="T_cham diem Milk chu ky2-ANH MINH_Mau_bao_cao_XNT_NVTK_tai_NPP 3.7 2" xfId="2428" xr:uid="{00000000-0005-0000-0000-000039030000}"/>
    <cellStyle name="T_cham diem Milk chu ky2-ANH MINH_Mau_bao_cao_XNT_NVTK_tai_NPP 3.7_1" xfId="647" xr:uid="{00000000-0005-0000-0000-00003A030000}"/>
    <cellStyle name="T_cham diem Milk chu ky2-ANH MINH_Mau_bao_cao_XNT_NVTK_tai_NPP 3.7_1 2" xfId="2429" xr:uid="{00000000-0005-0000-0000-00003B030000}"/>
    <cellStyle name="T_cham diem Milk chu ky2-ANH MINH_Mau_bao_cao_XNT_NVTK_tai_NPP 3.7_1_PIT092008" xfId="648" xr:uid="{00000000-0005-0000-0000-00003C030000}"/>
    <cellStyle name="T_cham diem Milk chu ky2-ANH MINH_Mau_bao_cao_XNT_NVTK_tai_NPP 3.7_1_PIT092008 2" xfId="2430" xr:uid="{00000000-0005-0000-0000-00003D030000}"/>
    <cellStyle name="T_cham diem Milk chu ky2-ANH MINH_Mau_bao_cao_XNT_NVTK_tai_NPP 3.7_PIT092008" xfId="649" xr:uid="{00000000-0005-0000-0000-00003E030000}"/>
    <cellStyle name="T_cham diem Milk chu ky2-ANH MINH_Mau_bao_cao_XNT_NVTK_tai_NPP 3.7_PIT092008 2" xfId="2431" xr:uid="{00000000-0005-0000-0000-00003F030000}"/>
    <cellStyle name="T_cham diem Milk chu ky2-ANH MINH_PIT092008" xfId="650" xr:uid="{00000000-0005-0000-0000-000040030000}"/>
    <cellStyle name="T_cham diem Milk chu ky2-ANH MINH_PIT092008 2" xfId="2432" xr:uid="{00000000-0005-0000-0000-000041030000}"/>
    <cellStyle name="T_cham trung bay ck 1 m.Bac milk co ke 2" xfId="651" xr:uid="{00000000-0005-0000-0000-000042030000}"/>
    <cellStyle name="T_cham trung bay ck 1 m.Bac milk co ke 2 2" xfId="2433" xr:uid="{00000000-0005-0000-0000-000043030000}"/>
    <cellStyle name="T_cham trung bay ck 1 m.Bac milk co ke 2_Book1" xfId="652" xr:uid="{00000000-0005-0000-0000-000044030000}"/>
    <cellStyle name="T_cham trung bay ck 1 m.Bac milk co ke 2_Book1 2" xfId="2434" xr:uid="{00000000-0005-0000-0000-000045030000}"/>
    <cellStyle name="T_cham trung bay ck 1 m.Bac milk co ke 2_Book1_F4_5_6__Bao_cao_tai_NPP BICH TIEN" xfId="653" xr:uid="{00000000-0005-0000-0000-000046030000}"/>
    <cellStyle name="T_cham trung bay ck 1 m.Bac milk co ke 2_Book1_F4_5_6__Bao_cao_tai_NPP BICH TIEN 2" xfId="2435" xr:uid="{00000000-0005-0000-0000-000047030000}"/>
    <cellStyle name="T_cham trung bay ck 1 m.Bac milk co ke 2_Book1_F4_5_6__Bao_cao_tai_NPP BICH TIEN_PIT092008" xfId="654" xr:uid="{00000000-0005-0000-0000-000048030000}"/>
    <cellStyle name="T_cham trung bay ck 1 m.Bac milk co ke 2_Book1_F4_5_6__Bao_cao_tai_NPP BICH TIEN_PIT092008 2" xfId="2436" xr:uid="{00000000-0005-0000-0000-000049030000}"/>
    <cellStyle name="T_cham trung bay ck 1 m.Bac milk co ke 2_Book1_Mau_bao_cao_XNT_NVTK_tai_NPP 21.7" xfId="655" xr:uid="{00000000-0005-0000-0000-00004A030000}"/>
    <cellStyle name="T_cham trung bay ck 1 m.Bac milk co ke 2_Book1_Mau_bao_cao_XNT_NVTK_tai_NPP 21.7 2" xfId="2437" xr:uid="{00000000-0005-0000-0000-00004B030000}"/>
    <cellStyle name="T_cham trung bay ck 1 m.Bac milk co ke 2_Book1_Mau_bao_cao_XNT_NVTK_tai_NPP 21.7_PIT092008" xfId="656" xr:uid="{00000000-0005-0000-0000-00004C030000}"/>
    <cellStyle name="T_cham trung bay ck 1 m.Bac milk co ke 2_Book1_Mau_bao_cao_XNT_NVTK_tai_NPP 21.7_PIT092008 2" xfId="2438" xr:uid="{00000000-0005-0000-0000-00004D030000}"/>
    <cellStyle name="T_cham trung bay ck 1 m.Bac milk co ke 2_Book1_PIT092008" xfId="657" xr:uid="{00000000-0005-0000-0000-00004E030000}"/>
    <cellStyle name="T_cham trung bay ck 1 m.Bac milk co ke 2_Book1_PIT092008 2" xfId="2439" xr:uid="{00000000-0005-0000-0000-00004F030000}"/>
    <cellStyle name="T_cham trung bay ck 1 m.Bac milk co ke 2_Copy of Mau_bao_cao_XNT_NVTK_tai_NPP" xfId="658" xr:uid="{00000000-0005-0000-0000-000050030000}"/>
    <cellStyle name="T_cham trung bay ck 1 m.Bac milk co ke 2_Copy of Mau_bao_cao_XNT_NVTK_tai_NPP 2" xfId="2440" xr:uid="{00000000-0005-0000-0000-000051030000}"/>
    <cellStyle name="T_cham trung bay ck 1 m.Bac milk co ke 2_Copy of Mau_bao_cao_XNT_NVTK_tai_NPP_PIT092008" xfId="659" xr:uid="{00000000-0005-0000-0000-000052030000}"/>
    <cellStyle name="T_cham trung bay ck 1 m.Bac milk co ke 2_Copy of Mau_bao_cao_XNT_NVTK_tai_NPP_PIT092008 2" xfId="2441" xr:uid="{00000000-0005-0000-0000-000053030000}"/>
    <cellStyle name="T_cham trung bay ck 1 m.Bac milk co ke 2_ĐƠN ĐẶT HÀNG VNM" xfId="660" xr:uid="{00000000-0005-0000-0000-000054030000}"/>
    <cellStyle name="T_cham trung bay ck 1 m.Bac milk co ke 2_ĐƠN ĐẶT HÀNG VNM 2" xfId="2442" xr:uid="{00000000-0005-0000-0000-000055030000}"/>
    <cellStyle name="T_cham trung bay ck 1 m.Bac milk co ke 2_ĐƠN ĐẶT HÀNG VNM_PIT092008" xfId="661" xr:uid="{00000000-0005-0000-0000-000056030000}"/>
    <cellStyle name="T_cham trung bay ck 1 m.Bac milk co ke 2_ĐƠN ĐẶT HÀNG VNM_PIT092008 2" xfId="2443" xr:uid="{00000000-0005-0000-0000-000057030000}"/>
    <cellStyle name="T_cham trung bay ck 1 m.Bac milk co ke 2_F4_5_6__Bao_cao_tai_NPP BICH TIEN" xfId="662" xr:uid="{00000000-0005-0000-0000-000058030000}"/>
    <cellStyle name="T_cham trung bay ck 1 m.Bac milk co ke 2_F4_5_6__Bao_cao_tai_NPP BICH TIEN 2" xfId="2444" xr:uid="{00000000-0005-0000-0000-000059030000}"/>
    <cellStyle name="T_cham trung bay ck 1 m.Bac milk co ke 2_F4_5_6__Bao_cao_tai_NPP BICH TIEN_PIT092008" xfId="663" xr:uid="{00000000-0005-0000-0000-00005A030000}"/>
    <cellStyle name="T_cham trung bay ck 1 m.Bac milk co ke 2_F4_5_6__Bao_cao_tai_NPP BICH TIEN_PIT092008 2" xfId="2445" xr:uid="{00000000-0005-0000-0000-00005B030000}"/>
    <cellStyle name="T_cham trung bay ck 1 m.Bac milk co ke 2_form__moi__bao_cao_ngay_NEW_AGAIN" xfId="664" xr:uid="{00000000-0005-0000-0000-00005C030000}"/>
    <cellStyle name="T_cham trung bay ck 1 m.Bac milk co ke 2_form__moi__bao_cao_ngay_NEW_AGAIN 2" xfId="2446" xr:uid="{00000000-0005-0000-0000-00005D030000}"/>
    <cellStyle name="T_cham trung bay ck 1 m.Bac milk co ke 2_form__moi__bao_cao_ngay_NEW_AGAIN_PIT092008" xfId="665" xr:uid="{00000000-0005-0000-0000-00005E030000}"/>
    <cellStyle name="T_cham trung bay ck 1 m.Bac milk co ke 2_form__moi__bao_cao_ngay_NEW_AGAIN_PIT092008 2" xfId="2447" xr:uid="{00000000-0005-0000-0000-00005F030000}"/>
    <cellStyle name="T_cham trung bay ck 1 m.Bac milk co ke 2_Mau -bao_cao_XNT_NVTK_tai_NPP 19.7" xfId="666" xr:uid="{00000000-0005-0000-0000-000060030000}"/>
    <cellStyle name="T_cham trung bay ck 1 m.Bac milk co ke 2_Mau -bao_cao_XNT_NVTK_tai_NPP 19.7 2" xfId="2448" xr:uid="{00000000-0005-0000-0000-000061030000}"/>
    <cellStyle name="T_cham trung bay ck 1 m.Bac milk co ke 2_Mau -bao_cao_XNT_NVTK_tai_NPP 19.7_PIT092008" xfId="667" xr:uid="{00000000-0005-0000-0000-000062030000}"/>
    <cellStyle name="T_cham trung bay ck 1 m.Bac milk co ke 2_Mau -bao_cao_XNT_NVTK_tai_NPP 19.7_PIT092008 2" xfId="2449" xr:uid="{00000000-0005-0000-0000-000063030000}"/>
    <cellStyle name="T_cham trung bay ck 1 m.Bac milk co ke 2_Mau_bao_cao_XNT_NVTK_tai_NPP 21.7" xfId="668" xr:uid="{00000000-0005-0000-0000-000064030000}"/>
    <cellStyle name="T_cham trung bay ck 1 m.Bac milk co ke 2_Mau_bao_cao_XNT_NVTK_tai_NPP 21.7 2" xfId="2450" xr:uid="{00000000-0005-0000-0000-000065030000}"/>
    <cellStyle name="T_cham trung bay ck 1 m.Bac milk co ke 2_Mau_bao_cao_XNT_NVTK_tai_NPP 21.7_PIT092008" xfId="669" xr:uid="{00000000-0005-0000-0000-000066030000}"/>
    <cellStyle name="T_cham trung bay ck 1 m.Bac milk co ke 2_Mau_bao_cao_XNT_NVTK_tai_NPP 21.7_PIT092008 2" xfId="2451" xr:uid="{00000000-0005-0000-0000-000067030000}"/>
    <cellStyle name="T_cham trung bay ck 1 m.Bac milk co ke 2_Mau_bao_cao_XNT_NVTK_tai_NPP 3.7" xfId="670" xr:uid="{00000000-0005-0000-0000-000068030000}"/>
    <cellStyle name="T_cham trung bay ck 1 m.Bac milk co ke 2_Mau_bao_cao_XNT_NVTK_tai_NPP 3.7 2" xfId="2452" xr:uid="{00000000-0005-0000-0000-000069030000}"/>
    <cellStyle name="T_cham trung bay ck 1 m.Bac milk co ke 2_Mau_bao_cao_XNT_NVTK_tai_NPP 3.7_1" xfId="671" xr:uid="{00000000-0005-0000-0000-00006A030000}"/>
    <cellStyle name="T_cham trung bay ck 1 m.Bac milk co ke 2_Mau_bao_cao_XNT_NVTK_tai_NPP 3.7_1 2" xfId="2453" xr:uid="{00000000-0005-0000-0000-00006B030000}"/>
    <cellStyle name="T_cham trung bay ck 1 m.Bac milk co ke 2_Mau_bao_cao_XNT_NVTK_tai_NPP 3.7_1_PIT092008" xfId="672" xr:uid="{00000000-0005-0000-0000-00006C030000}"/>
    <cellStyle name="T_cham trung bay ck 1 m.Bac milk co ke 2_Mau_bao_cao_XNT_NVTK_tai_NPP 3.7_1_PIT092008 2" xfId="2454" xr:uid="{00000000-0005-0000-0000-00006D030000}"/>
    <cellStyle name="T_cham trung bay ck 1 m.Bac milk co ke 2_Mau_bao_cao_XNT_NVTK_tai_NPP 3.7_PIT092008" xfId="673" xr:uid="{00000000-0005-0000-0000-00006E030000}"/>
    <cellStyle name="T_cham trung bay ck 1 m.Bac milk co ke 2_Mau_bao_cao_XNT_NVTK_tai_NPP 3.7_PIT092008 2" xfId="2455" xr:uid="{00000000-0005-0000-0000-00006F030000}"/>
    <cellStyle name="T_cham trung bay ck 1 m.Bac milk co ke 2_PIT092008" xfId="674" xr:uid="{00000000-0005-0000-0000-000070030000}"/>
    <cellStyle name="T_cham trung bay ck 1 m.Bac milk co ke 2_PIT092008 2" xfId="2456" xr:uid="{00000000-0005-0000-0000-000071030000}"/>
    <cellStyle name="T_cham trung bay yao smart milk ck 2 mien Bac" xfId="675" xr:uid="{00000000-0005-0000-0000-000072030000}"/>
    <cellStyle name="T_cham trung bay yao smart milk ck 2 mien Bac 2" xfId="2457" xr:uid="{00000000-0005-0000-0000-000073030000}"/>
    <cellStyle name="T_cham trung bay yao smart milk ck 2 mien Bac_Book1" xfId="676" xr:uid="{00000000-0005-0000-0000-000074030000}"/>
    <cellStyle name="T_cham trung bay yao smart milk ck 2 mien Bac_Book1 2" xfId="2458" xr:uid="{00000000-0005-0000-0000-000075030000}"/>
    <cellStyle name="T_cham trung bay yao smart milk ck 2 mien Bac_Book1_F4_5_6__Bao_cao_tai_NPP BICH TIEN" xfId="677" xr:uid="{00000000-0005-0000-0000-000076030000}"/>
    <cellStyle name="T_cham trung bay yao smart milk ck 2 mien Bac_Book1_F4_5_6__Bao_cao_tai_NPP BICH TIEN 2" xfId="2459" xr:uid="{00000000-0005-0000-0000-000077030000}"/>
    <cellStyle name="T_cham trung bay yao smart milk ck 2 mien Bac_Book1_F4_5_6__Bao_cao_tai_NPP BICH TIEN_PIT092008" xfId="678" xr:uid="{00000000-0005-0000-0000-000078030000}"/>
    <cellStyle name="T_cham trung bay yao smart milk ck 2 mien Bac_Book1_F4_5_6__Bao_cao_tai_NPP BICH TIEN_PIT092008 2" xfId="2460" xr:uid="{00000000-0005-0000-0000-000079030000}"/>
    <cellStyle name="T_cham trung bay yao smart milk ck 2 mien Bac_Book1_Mau_bao_cao_XNT_NVTK_tai_NPP 21.7" xfId="679" xr:uid="{00000000-0005-0000-0000-00007A030000}"/>
    <cellStyle name="T_cham trung bay yao smart milk ck 2 mien Bac_Book1_Mau_bao_cao_XNT_NVTK_tai_NPP 21.7 2" xfId="2461" xr:uid="{00000000-0005-0000-0000-00007B030000}"/>
    <cellStyle name="T_cham trung bay yao smart milk ck 2 mien Bac_Book1_Mau_bao_cao_XNT_NVTK_tai_NPP 21.7_PIT092008" xfId="680" xr:uid="{00000000-0005-0000-0000-00007C030000}"/>
    <cellStyle name="T_cham trung bay yao smart milk ck 2 mien Bac_Book1_Mau_bao_cao_XNT_NVTK_tai_NPP 21.7_PIT092008 2" xfId="2462" xr:uid="{00000000-0005-0000-0000-00007D030000}"/>
    <cellStyle name="T_cham trung bay yao smart milk ck 2 mien Bac_Book1_PIT092008" xfId="681" xr:uid="{00000000-0005-0000-0000-00007E030000}"/>
    <cellStyle name="T_cham trung bay yao smart milk ck 2 mien Bac_Book1_PIT092008 2" xfId="2463" xr:uid="{00000000-0005-0000-0000-00007F030000}"/>
    <cellStyle name="T_cham trung bay yao smart milk ck 2 mien Bac_Copy of Mau_bao_cao_XNT_NVTK_tai_NPP" xfId="682" xr:uid="{00000000-0005-0000-0000-000080030000}"/>
    <cellStyle name="T_cham trung bay yao smart milk ck 2 mien Bac_Copy of Mau_bao_cao_XNT_NVTK_tai_NPP 2" xfId="2464" xr:uid="{00000000-0005-0000-0000-000081030000}"/>
    <cellStyle name="T_cham trung bay yao smart milk ck 2 mien Bac_Copy of Mau_bao_cao_XNT_NVTK_tai_NPP_PIT092008" xfId="683" xr:uid="{00000000-0005-0000-0000-000082030000}"/>
    <cellStyle name="T_cham trung bay yao smart milk ck 2 mien Bac_Copy of Mau_bao_cao_XNT_NVTK_tai_NPP_PIT092008 2" xfId="2465" xr:uid="{00000000-0005-0000-0000-000083030000}"/>
    <cellStyle name="T_cham trung bay yao smart milk ck 2 mien Bac_ĐƠN ĐẶT HÀNG VNM" xfId="684" xr:uid="{00000000-0005-0000-0000-000084030000}"/>
    <cellStyle name="T_cham trung bay yao smart milk ck 2 mien Bac_ĐƠN ĐẶT HÀNG VNM 2" xfId="2466" xr:uid="{00000000-0005-0000-0000-000085030000}"/>
    <cellStyle name="T_cham trung bay yao smart milk ck 2 mien Bac_ĐƠN ĐẶT HÀNG VNM_PIT092008" xfId="685" xr:uid="{00000000-0005-0000-0000-000086030000}"/>
    <cellStyle name="T_cham trung bay yao smart milk ck 2 mien Bac_ĐƠN ĐẶT HÀNG VNM_PIT092008 2" xfId="2467" xr:uid="{00000000-0005-0000-0000-000087030000}"/>
    <cellStyle name="T_cham trung bay yao smart milk ck 2 mien Bac_F4_5_6__Bao_cao_tai_NPP BICH TIEN" xfId="686" xr:uid="{00000000-0005-0000-0000-000088030000}"/>
    <cellStyle name="T_cham trung bay yao smart milk ck 2 mien Bac_F4_5_6__Bao_cao_tai_NPP BICH TIEN 2" xfId="2468" xr:uid="{00000000-0005-0000-0000-000089030000}"/>
    <cellStyle name="T_cham trung bay yao smart milk ck 2 mien Bac_F4_5_6__Bao_cao_tai_NPP BICH TIEN_PIT092008" xfId="687" xr:uid="{00000000-0005-0000-0000-00008A030000}"/>
    <cellStyle name="T_cham trung bay yao smart milk ck 2 mien Bac_F4_5_6__Bao_cao_tai_NPP BICH TIEN_PIT092008 2" xfId="2469" xr:uid="{00000000-0005-0000-0000-00008B030000}"/>
    <cellStyle name="T_cham trung bay yao smart milk ck 2 mien Bac_form__moi__bao_cao_ngay_NEW_AGAIN" xfId="688" xr:uid="{00000000-0005-0000-0000-00008C030000}"/>
    <cellStyle name="T_cham trung bay yao smart milk ck 2 mien Bac_form__moi__bao_cao_ngay_NEW_AGAIN 2" xfId="2470" xr:uid="{00000000-0005-0000-0000-00008D030000}"/>
    <cellStyle name="T_cham trung bay yao smart milk ck 2 mien Bac_form__moi__bao_cao_ngay_NEW_AGAIN_PIT092008" xfId="689" xr:uid="{00000000-0005-0000-0000-00008E030000}"/>
    <cellStyle name="T_cham trung bay yao smart milk ck 2 mien Bac_form__moi__bao_cao_ngay_NEW_AGAIN_PIT092008 2" xfId="2471" xr:uid="{00000000-0005-0000-0000-00008F030000}"/>
    <cellStyle name="T_cham trung bay yao smart milk ck 2 mien Bac_Mau -bao_cao_XNT_NVTK_tai_NPP 19.7" xfId="690" xr:uid="{00000000-0005-0000-0000-000090030000}"/>
    <cellStyle name="T_cham trung bay yao smart milk ck 2 mien Bac_Mau -bao_cao_XNT_NVTK_tai_NPP 19.7 2" xfId="2472" xr:uid="{00000000-0005-0000-0000-000091030000}"/>
    <cellStyle name="T_cham trung bay yao smart milk ck 2 mien Bac_Mau -bao_cao_XNT_NVTK_tai_NPP 19.7_PIT092008" xfId="691" xr:uid="{00000000-0005-0000-0000-000092030000}"/>
    <cellStyle name="T_cham trung bay yao smart milk ck 2 mien Bac_Mau -bao_cao_XNT_NVTK_tai_NPP 19.7_PIT092008 2" xfId="2473" xr:uid="{00000000-0005-0000-0000-000093030000}"/>
    <cellStyle name="T_cham trung bay yao smart milk ck 2 mien Bac_Mau_bao_cao_XNT_NVTK_tai_NPP 21.7" xfId="692" xr:uid="{00000000-0005-0000-0000-000094030000}"/>
    <cellStyle name="T_cham trung bay yao smart milk ck 2 mien Bac_Mau_bao_cao_XNT_NVTK_tai_NPP 21.7 2" xfId="2474" xr:uid="{00000000-0005-0000-0000-000095030000}"/>
    <cellStyle name="T_cham trung bay yao smart milk ck 2 mien Bac_Mau_bao_cao_XNT_NVTK_tai_NPP 21.7_PIT092008" xfId="693" xr:uid="{00000000-0005-0000-0000-000096030000}"/>
    <cellStyle name="T_cham trung bay yao smart milk ck 2 mien Bac_Mau_bao_cao_XNT_NVTK_tai_NPP 21.7_PIT092008 2" xfId="2475" xr:uid="{00000000-0005-0000-0000-000097030000}"/>
    <cellStyle name="T_cham trung bay yao smart milk ck 2 mien Bac_Mau_bao_cao_XNT_NVTK_tai_NPP 3.7" xfId="694" xr:uid="{00000000-0005-0000-0000-000098030000}"/>
    <cellStyle name="T_cham trung bay yao smart milk ck 2 mien Bac_Mau_bao_cao_XNT_NVTK_tai_NPP 3.7 2" xfId="2476" xr:uid="{00000000-0005-0000-0000-000099030000}"/>
    <cellStyle name="T_cham trung bay yao smart milk ck 2 mien Bac_Mau_bao_cao_XNT_NVTK_tai_NPP 3.7_1" xfId="695" xr:uid="{00000000-0005-0000-0000-00009A030000}"/>
    <cellStyle name="T_cham trung bay yao smart milk ck 2 mien Bac_Mau_bao_cao_XNT_NVTK_tai_NPP 3.7_1 2" xfId="2477" xr:uid="{00000000-0005-0000-0000-00009B030000}"/>
    <cellStyle name="T_cham trung bay yao smart milk ck 2 mien Bac_Mau_bao_cao_XNT_NVTK_tai_NPP 3.7_1_PIT092008" xfId="696" xr:uid="{00000000-0005-0000-0000-00009C030000}"/>
    <cellStyle name="T_cham trung bay yao smart milk ck 2 mien Bac_Mau_bao_cao_XNT_NVTK_tai_NPP 3.7_1_PIT092008 2" xfId="2478" xr:uid="{00000000-0005-0000-0000-00009D030000}"/>
    <cellStyle name="T_cham trung bay yao smart milk ck 2 mien Bac_Mau_bao_cao_XNT_NVTK_tai_NPP 3.7_PIT092008" xfId="697" xr:uid="{00000000-0005-0000-0000-00009E030000}"/>
    <cellStyle name="T_cham trung bay yao smart milk ck 2 mien Bac_Mau_bao_cao_XNT_NVTK_tai_NPP 3.7_PIT092008 2" xfId="2479" xr:uid="{00000000-0005-0000-0000-00009F030000}"/>
    <cellStyle name="T_cham trung bay yao smart milk ck 2 mien Bac_PIT092008" xfId="698" xr:uid="{00000000-0005-0000-0000-0000A0030000}"/>
    <cellStyle name="T_cham trung bay yao smart milk ck 2 mien Bac_PIT092008 2" xfId="2480" xr:uid="{00000000-0005-0000-0000-0000A1030000}"/>
    <cellStyle name="T_CLB_CK9_10_11_DOT_2_va_CK_12_13_gui_lai" xfId="699" xr:uid="{00000000-0005-0000-0000-0000A2030000}"/>
    <cellStyle name="T_CLB_CK9_10_11_DOT_2_va_CK_12_13_gui_lai 2" xfId="2481" xr:uid="{00000000-0005-0000-0000-0000A3030000}"/>
    <cellStyle name="T_CLB_CK9_10_11_DOT_2_va_CK_12_13_gui_lai_PIT092008" xfId="700" xr:uid="{00000000-0005-0000-0000-0000A4030000}"/>
    <cellStyle name="T_CLB_CK9_10_11_DOT_2_va_CK_12_13_gui_lai_PIT092008 2" xfId="2482" xr:uid="{00000000-0005-0000-0000-0000A5030000}"/>
    <cellStyle name="T_Copy of Mau_bao_cao_XNT_NVTK_tai_NPP" xfId="701" xr:uid="{00000000-0005-0000-0000-0000A6030000}"/>
    <cellStyle name="T_Copy of Mau_bao_cao_XNT_NVTK_tai_NPP 2" xfId="2483" xr:uid="{00000000-0005-0000-0000-0000A7030000}"/>
    <cellStyle name="T_Copy of Mau_bao_cao_XNT_NVTK_tai_NPP_PIT092008" xfId="702" xr:uid="{00000000-0005-0000-0000-0000A8030000}"/>
    <cellStyle name="T_Copy of Mau_bao_cao_XNT_NVTK_tai_NPP_PIT092008 2" xfId="2484" xr:uid="{00000000-0005-0000-0000-0000A9030000}"/>
    <cellStyle name="T_Danh sach chua nop bcao trung bay CK 1 co ke tinh den 1-3-06" xfId="703" xr:uid="{00000000-0005-0000-0000-0000AA030000}"/>
    <cellStyle name="T_Danh sach chua nop bcao trung bay CK 1 co ke tinh den 1-3-06 2" xfId="2485" xr:uid="{00000000-0005-0000-0000-0000AB030000}"/>
    <cellStyle name="T_Danh sach chua nop bcao trung bay CK 1 co ke tinh den 1-3-06_PIT092008" xfId="704" xr:uid="{00000000-0005-0000-0000-0000AC030000}"/>
    <cellStyle name="T_Danh sach chua nop bcao trung bay CK 1 co ke tinh den 1-3-06_PIT092008 2" xfId="2486" xr:uid="{00000000-0005-0000-0000-0000AD030000}"/>
    <cellStyle name="T_danh sach chua nop bcao trung bay sua chua  tinh den 1-3-06" xfId="705" xr:uid="{00000000-0005-0000-0000-0000AE030000}"/>
    <cellStyle name="T_danh sach chua nop bcao trung bay sua chua  tinh den 1-3-06 2" xfId="2487" xr:uid="{00000000-0005-0000-0000-0000AF030000}"/>
    <cellStyle name="T_danh sach chua nop bcao trung bay sua chua  tinh den 1-3-06_Book1" xfId="706" xr:uid="{00000000-0005-0000-0000-0000B0030000}"/>
    <cellStyle name="T_danh sach chua nop bcao trung bay sua chua  tinh den 1-3-06_Book1 2" xfId="2488" xr:uid="{00000000-0005-0000-0000-0000B1030000}"/>
    <cellStyle name="T_danh sach chua nop bcao trung bay sua chua  tinh den 1-3-06_Book1_F4_5_6__Bao_cao_tai_NPP BICH TIEN" xfId="707" xr:uid="{00000000-0005-0000-0000-0000B2030000}"/>
    <cellStyle name="T_danh sach chua nop bcao trung bay sua chua  tinh den 1-3-06_Book1_F4_5_6__Bao_cao_tai_NPP BICH TIEN 2" xfId="2489" xr:uid="{00000000-0005-0000-0000-0000B3030000}"/>
    <cellStyle name="T_danh sach chua nop bcao trung bay sua chua  tinh den 1-3-06_Book1_F4_5_6__Bao_cao_tai_NPP BICH TIEN_PIT092008" xfId="708" xr:uid="{00000000-0005-0000-0000-0000B4030000}"/>
    <cellStyle name="T_danh sach chua nop bcao trung bay sua chua  tinh den 1-3-06_Book1_F4_5_6__Bao_cao_tai_NPP BICH TIEN_PIT092008 2" xfId="2490" xr:uid="{00000000-0005-0000-0000-0000B5030000}"/>
    <cellStyle name="T_danh sach chua nop bcao trung bay sua chua  tinh den 1-3-06_Book1_Mau_bao_cao_XNT_NVTK_tai_NPP 21.7" xfId="709" xr:uid="{00000000-0005-0000-0000-0000B6030000}"/>
    <cellStyle name="T_danh sach chua nop bcao trung bay sua chua  tinh den 1-3-06_Book1_Mau_bao_cao_XNT_NVTK_tai_NPP 21.7 2" xfId="2491" xr:uid="{00000000-0005-0000-0000-0000B7030000}"/>
    <cellStyle name="T_danh sach chua nop bcao trung bay sua chua  tinh den 1-3-06_Book1_Mau_bao_cao_XNT_NVTK_tai_NPP 21.7_PIT092008" xfId="710" xr:uid="{00000000-0005-0000-0000-0000B8030000}"/>
    <cellStyle name="T_danh sach chua nop bcao trung bay sua chua  tinh den 1-3-06_Book1_Mau_bao_cao_XNT_NVTK_tai_NPP 21.7_PIT092008 2" xfId="2492" xr:uid="{00000000-0005-0000-0000-0000B9030000}"/>
    <cellStyle name="T_danh sach chua nop bcao trung bay sua chua  tinh den 1-3-06_Book1_PIT092008" xfId="711" xr:uid="{00000000-0005-0000-0000-0000BA030000}"/>
    <cellStyle name="T_danh sach chua nop bcao trung bay sua chua  tinh den 1-3-06_Book1_PIT092008 2" xfId="2493" xr:uid="{00000000-0005-0000-0000-0000BB030000}"/>
    <cellStyle name="T_danh sach chua nop bcao trung bay sua chua  tinh den 1-3-06_Copy of Mau_bao_cao_XNT_NVTK_tai_NPP" xfId="712" xr:uid="{00000000-0005-0000-0000-0000BC030000}"/>
    <cellStyle name="T_danh sach chua nop bcao trung bay sua chua  tinh den 1-3-06_Copy of Mau_bao_cao_XNT_NVTK_tai_NPP 2" xfId="2494" xr:uid="{00000000-0005-0000-0000-0000BD030000}"/>
    <cellStyle name="T_danh sach chua nop bcao trung bay sua chua  tinh den 1-3-06_Copy of Mau_bao_cao_XNT_NVTK_tai_NPP_PIT092008" xfId="713" xr:uid="{00000000-0005-0000-0000-0000BE030000}"/>
    <cellStyle name="T_danh sach chua nop bcao trung bay sua chua  tinh den 1-3-06_Copy of Mau_bao_cao_XNT_NVTK_tai_NPP_PIT092008 2" xfId="2495" xr:uid="{00000000-0005-0000-0000-0000BF030000}"/>
    <cellStyle name="T_danh sach chua nop bcao trung bay sua chua  tinh den 1-3-06_ĐƠN ĐẶT HÀNG VNM" xfId="714" xr:uid="{00000000-0005-0000-0000-0000C0030000}"/>
    <cellStyle name="T_danh sach chua nop bcao trung bay sua chua  tinh den 1-3-06_ĐƠN ĐẶT HÀNG VNM 2" xfId="2496" xr:uid="{00000000-0005-0000-0000-0000C1030000}"/>
    <cellStyle name="T_danh sach chua nop bcao trung bay sua chua  tinh den 1-3-06_ĐƠN ĐẶT HÀNG VNM_PIT092008" xfId="715" xr:uid="{00000000-0005-0000-0000-0000C2030000}"/>
    <cellStyle name="T_danh sach chua nop bcao trung bay sua chua  tinh den 1-3-06_ĐƠN ĐẶT HÀNG VNM_PIT092008 2" xfId="2497" xr:uid="{00000000-0005-0000-0000-0000C3030000}"/>
    <cellStyle name="T_danh sach chua nop bcao trung bay sua chua  tinh den 1-3-06_F4_5_6__Bao_cao_tai_NPP BICH TIEN" xfId="716" xr:uid="{00000000-0005-0000-0000-0000C4030000}"/>
    <cellStyle name="T_danh sach chua nop bcao trung bay sua chua  tinh den 1-3-06_F4_5_6__Bao_cao_tai_NPP BICH TIEN 2" xfId="2498" xr:uid="{00000000-0005-0000-0000-0000C5030000}"/>
    <cellStyle name="T_danh sach chua nop bcao trung bay sua chua  tinh den 1-3-06_F4_5_6__Bao_cao_tai_NPP BICH TIEN_PIT092008" xfId="717" xr:uid="{00000000-0005-0000-0000-0000C6030000}"/>
    <cellStyle name="T_danh sach chua nop bcao trung bay sua chua  tinh den 1-3-06_F4_5_6__Bao_cao_tai_NPP BICH TIEN_PIT092008 2" xfId="2499" xr:uid="{00000000-0005-0000-0000-0000C7030000}"/>
    <cellStyle name="T_danh sach chua nop bcao trung bay sua chua  tinh den 1-3-06_form__moi__bao_cao_ngay_NEW_AGAIN" xfId="718" xr:uid="{00000000-0005-0000-0000-0000C8030000}"/>
    <cellStyle name="T_danh sach chua nop bcao trung bay sua chua  tinh den 1-3-06_form__moi__bao_cao_ngay_NEW_AGAIN 2" xfId="2500" xr:uid="{00000000-0005-0000-0000-0000C9030000}"/>
    <cellStyle name="T_danh sach chua nop bcao trung bay sua chua  tinh den 1-3-06_form__moi__bao_cao_ngay_NEW_AGAIN_PIT092008" xfId="719" xr:uid="{00000000-0005-0000-0000-0000CA030000}"/>
    <cellStyle name="T_danh sach chua nop bcao trung bay sua chua  tinh den 1-3-06_form__moi__bao_cao_ngay_NEW_AGAIN_PIT092008 2" xfId="2501" xr:uid="{00000000-0005-0000-0000-0000CB030000}"/>
    <cellStyle name="T_danh sach chua nop bcao trung bay sua chua  tinh den 1-3-06_Mau -bao_cao_XNT_NVTK_tai_NPP 19.7" xfId="720" xr:uid="{00000000-0005-0000-0000-0000CC030000}"/>
    <cellStyle name="T_danh sach chua nop bcao trung bay sua chua  tinh den 1-3-06_Mau -bao_cao_XNT_NVTK_tai_NPP 19.7 2" xfId="2502" xr:uid="{00000000-0005-0000-0000-0000CD030000}"/>
    <cellStyle name="T_danh sach chua nop bcao trung bay sua chua  tinh den 1-3-06_Mau -bao_cao_XNT_NVTK_tai_NPP 19.7_PIT092008" xfId="721" xr:uid="{00000000-0005-0000-0000-0000CE030000}"/>
    <cellStyle name="T_danh sach chua nop bcao trung bay sua chua  tinh den 1-3-06_Mau -bao_cao_XNT_NVTK_tai_NPP 19.7_PIT092008 2" xfId="2503" xr:uid="{00000000-0005-0000-0000-0000CF030000}"/>
    <cellStyle name="T_danh sach chua nop bcao trung bay sua chua  tinh den 1-3-06_Mau_bao_cao_XNT_NVTK_tai_NPP 21.7" xfId="722" xr:uid="{00000000-0005-0000-0000-0000D0030000}"/>
    <cellStyle name="T_danh sach chua nop bcao trung bay sua chua  tinh den 1-3-06_Mau_bao_cao_XNT_NVTK_tai_NPP 21.7 2" xfId="2504" xr:uid="{00000000-0005-0000-0000-0000D1030000}"/>
    <cellStyle name="T_danh sach chua nop bcao trung bay sua chua  tinh den 1-3-06_Mau_bao_cao_XNT_NVTK_tai_NPP 21.7_PIT092008" xfId="723" xr:uid="{00000000-0005-0000-0000-0000D2030000}"/>
    <cellStyle name="T_danh sach chua nop bcao trung bay sua chua  tinh den 1-3-06_Mau_bao_cao_XNT_NVTK_tai_NPP 21.7_PIT092008 2" xfId="2505" xr:uid="{00000000-0005-0000-0000-0000D3030000}"/>
    <cellStyle name="T_danh sach chua nop bcao trung bay sua chua  tinh den 1-3-06_Mau_bao_cao_XNT_NVTK_tai_NPP 3.7" xfId="724" xr:uid="{00000000-0005-0000-0000-0000D4030000}"/>
    <cellStyle name="T_danh sach chua nop bcao trung bay sua chua  tinh den 1-3-06_Mau_bao_cao_XNT_NVTK_tai_NPP 3.7 2" xfId="2506" xr:uid="{00000000-0005-0000-0000-0000D5030000}"/>
    <cellStyle name="T_danh sach chua nop bcao trung bay sua chua  tinh den 1-3-06_Mau_bao_cao_XNT_NVTK_tai_NPP 3.7_1" xfId="725" xr:uid="{00000000-0005-0000-0000-0000D6030000}"/>
    <cellStyle name="T_danh sach chua nop bcao trung bay sua chua  tinh den 1-3-06_Mau_bao_cao_XNT_NVTK_tai_NPP 3.7_1 2" xfId="2507" xr:uid="{00000000-0005-0000-0000-0000D7030000}"/>
    <cellStyle name="T_danh sach chua nop bcao trung bay sua chua  tinh den 1-3-06_Mau_bao_cao_XNT_NVTK_tai_NPP 3.7_1_PIT092008" xfId="726" xr:uid="{00000000-0005-0000-0000-0000D8030000}"/>
    <cellStyle name="T_danh sach chua nop bcao trung bay sua chua  tinh den 1-3-06_Mau_bao_cao_XNT_NVTK_tai_NPP 3.7_1_PIT092008 2" xfId="2508" xr:uid="{00000000-0005-0000-0000-0000D9030000}"/>
    <cellStyle name="T_danh sach chua nop bcao trung bay sua chua  tinh den 1-3-06_Mau_bao_cao_XNT_NVTK_tai_NPP 3.7_PIT092008" xfId="727" xr:uid="{00000000-0005-0000-0000-0000DA030000}"/>
    <cellStyle name="T_danh sach chua nop bcao trung bay sua chua  tinh den 1-3-06_Mau_bao_cao_XNT_NVTK_tai_NPP 3.7_PIT092008 2" xfId="2509" xr:uid="{00000000-0005-0000-0000-0000DB030000}"/>
    <cellStyle name="T_danh sach chua nop bcao trung bay sua chua  tinh den 1-3-06_PIT092008" xfId="728" xr:uid="{00000000-0005-0000-0000-0000DC030000}"/>
    <cellStyle name="T_danh sach chua nop bcao trung bay sua chua  tinh den 1-3-06_PIT092008 2" xfId="2510" xr:uid="{00000000-0005-0000-0000-0000DD030000}"/>
    <cellStyle name="T_Danh sach KH TB MilkYomilk Yao  Smart chu ky 2-Vinh Thang" xfId="729" xr:uid="{00000000-0005-0000-0000-0000DE030000}"/>
    <cellStyle name="T_Danh sach KH TB MilkYomilk Yao  Smart chu ky 2-Vinh Thang 2" xfId="2511" xr:uid="{00000000-0005-0000-0000-0000DF030000}"/>
    <cellStyle name="T_Danh sach KH TB MilkYomilk Yao  Smart chu ky 2-Vinh Thang_Book1" xfId="730" xr:uid="{00000000-0005-0000-0000-0000E0030000}"/>
    <cellStyle name="T_Danh sach KH TB MilkYomilk Yao  Smart chu ky 2-Vinh Thang_Book1 2" xfId="2512" xr:uid="{00000000-0005-0000-0000-0000E1030000}"/>
    <cellStyle name="T_Danh sach KH TB MilkYomilk Yao  Smart chu ky 2-Vinh Thang_Book1_F4_5_6__Bao_cao_tai_NPP BICH TIEN" xfId="731" xr:uid="{00000000-0005-0000-0000-0000E2030000}"/>
    <cellStyle name="T_Danh sach KH TB MilkYomilk Yao  Smart chu ky 2-Vinh Thang_Book1_F4_5_6__Bao_cao_tai_NPP BICH TIEN 2" xfId="2513" xr:uid="{00000000-0005-0000-0000-0000E3030000}"/>
    <cellStyle name="T_Danh sach KH TB MilkYomilk Yao  Smart chu ky 2-Vinh Thang_Book1_F4_5_6__Bao_cao_tai_NPP BICH TIEN_PIT092008" xfId="732" xr:uid="{00000000-0005-0000-0000-0000E4030000}"/>
    <cellStyle name="T_Danh sach KH TB MilkYomilk Yao  Smart chu ky 2-Vinh Thang_Book1_F4_5_6__Bao_cao_tai_NPP BICH TIEN_PIT092008 2" xfId="2514" xr:uid="{00000000-0005-0000-0000-0000E5030000}"/>
    <cellStyle name="T_Danh sach KH TB MilkYomilk Yao  Smart chu ky 2-Vinh Thang_Book1_Mau_bao_cao_XNT_NVTK_tai_NPP 21.7" xfId="733" xr:uid="{00000000-0005-0000-0000-0000E6030000}"/>
    <cellStyle name="T_Danh sach KH TB MilkYomilk Yao  Smart chu ky 2-Vinh Thang_Book1_Mau_bao_cao_XNT_NVTK_tai_NPP 21.7 2" xfId="2515" xr:uid="{00000000-0005-0000-0000-0000E7030000}"/>
    <cellStyle name="T_Danh sach KH TB MilkYomilk Yao  Smart chu ky 2-Vinh Thang_Book1_Mau_bao_cao_XNT_NVTK_tai_NPP 21.7_PIT092008" xfId="734" xr:uid="{00000000-0005-0000-0000-0000E8030000}"/>
    <cellStyle name="T_Danh sach KH TB MilkYomilk Yao  Smart chu ky 2-Vinh Thang_Book1_Mau_bao_cao_XNT_NVTK_tai_NPP 21.7_PIT092008 2" xfId="2516" xr:uid="{00000000-0005-0000-0000-0000E9030000}"/>
    <cellStyle name="T_Danh sach KH TB MilkYomilk Yao  Smart chu ky 2-Vinh Thang_Book1_PIT092008" xfId="735" xr:uid="{00000000-0005-0000-0000-0000EA030000}"/>
    <cellStyle name="T_Danh sach KH TB MilkYomilk Yao  Smart chu ky 2-Vinh Thang_Book1_PIT092008 2" xfId="2517" xr:uid="{00000000-0005-0000-0000-0000EB030000}"/>
    <cellStyle name="T_Danh sach KH TB MilkYomilk Yao  Smart chu ky 2-Vinh Thang_Copy of Mau_bao_cao_XNT_NVTK_tai_NPP" xfId="736" xr:uid="{00000000-0005-0000-0000-0000EC030000}"/>
    <cellStyle name="T_Danh sach KH TB MilkYomilk Yao  Smart chu ky 2-Vinh Thang_Copy of Mau_bao_cao_XNT_NVTK_tai_NPP 2" xfId="2518" xr:uid="{00000000-0005-0000-0000-0000ED030000}"/>
    <cellStyle name="T_Danh sach KH TB MilkYomilk Yao  Smart chu ky 2-Vinh Thang_Copy of Mau_bao_cao_XNT_NVTK_tai_NPP_PIT092008" xfId="737" xr:uid="{00000000-0005-0000-0000-0000EE030000}"/>
    <cellStyle name="T_Danh sach KH TB MilkYomilk Yao  Smart chu ky 2-Vinh Thang_Copy of Mau_bao_cao_XNT_NVTK_tai_NPP_PIT092008 2" xfId="2519" xr:uid="{00000000-0005-0000-0000-0000EF030000}"/>
    <cellStyle name="T_Danh sach KH TB MilkYomilk Yao  Smart chu ky 2-Vinh Thang_ĐƠN ĐẶT HÀNG VNM" xfId="738" xr:uid="{00000000-0005-0000-0000-0000F0030000}"/>
    <cellStyle name="T_Danh sach KH TB MilkYomilk Yao  Smart chu ky 2-Vinh Thang_ĐƠN ĐẶT HÀNG VNM 2" xfId="2520" xr:uid="{00000000-0005-0000-0000-0000F1030000}"/>
    <cellStyle name="T_Danh sach KH TB MilkYomilk Yao  Smart chu ky 2-Vinh Thang_ĐƠN ĐẶT HÀNG VNM_PIT092008" xfId="739" xr:uid="{00000000-0005-0000-0000-0000F2030000}"/>
    <cellStyle name="T_Danh sach KH TB MilkYomilk Yao  Smart chu ky 2-Vinh Thang_ĐƠN ĐẶT HÀNG VNM_PIT092008 2" xfId="2521" xr:uid="{00000000-0005-0000-0000-0000F3030000}"/>
    <cellStyle name="T_Danh sach KH TB MilkYomilk Yao  Smart chu ky 2-Vinh Thang_F4_5_6__Bao_cao_tai_NPP BICH TIEN" xfId="740" xr:uid="{00000000-0005-0000-0000-0000F4030000}"/>
    <cellStyle name="T_Danh sach KH TB MilkYomilk Yao  Smart chu ky 2-Vinh Thang_F4_5_6__Bao_cao_tai_NPP BICH TIEN 2" xfId="2522" xr:uid="{00000000-0005-0000-0000-0000F5030000}"/>
    <cellStyle name="T_Danh sach KH TB MilkYomilk Yao  Smart chu ky 2-Vinh Thang_F4_5_6__Bao_cao_tai_NPP BICH TIEN_PIT092008" xfId="741" xr:uid="{00000000-0005-0000-0000-0000F6030000}"/>
    <cellStyle name="T_Danh sach KH TB MilkYomilk Yao  Smart chu ky 2-Vinh Thang_F4_5_6__Bao_cao_tai_NPP BICH TIEN_PIT092008 2" xfId="2523" xr:uid="{00000000-0005-0000-0000-0000F7030000}"/>
    <cellStyle name="T_Danh sach KH TB MilkYomilk Yao  Smart chu ky 2-Vinh Thang_form__moi__bao_cao_ngay_NEW_AGAIN" xfId="742" xr:uid="{00000000-0005-0000-0000-0000F8030000}"/>
    <cellStyle name="T_Danh sach KH TB MilkYomilk Yao  Smart chu ky 2-Vinh Thang_form__moi__bao_cao_ngay_NEW_AGAIN 2" xfId="2524" xr:uid="{00000000-0005-0000-0000-0000F9030000}"/>
    <cellStyle name="T_Danh sach KH TB MilkYomilk Yao  Smart chu ky 2-Vinh Thang_form__moi__bao_cao_ngay_NEW_AGAIN_PIT092008" xfId="743" xr:uid="{00000000-0005-0000-0000-0000FA030000}"/>
    <cellStyle name="T_Danh sach KH TB MilkYomilk Yao  Smart chu ky 2-Vinh Thang_form__moi__bao_cao_ngay_NEW_AGAIN_PIT092008 2" xfId="2525" xr:uid="{00000000-0005-0000-0000-0000FB030000}"/>
    <cellStyle name="T_Danh sach KH TB MilkYomilk Yao  Smart chu ky 2-Vinh Thang_Mau -bao_cao_XNT_NVTK_tai_NPP 19.7" xfId="744" xr:uid="{00000000-0005-0000-0000-0000FC030000}"/>
    <cellStyle name="T_Danh sach KH TB MilkYomilk Yao  Smart chu ky 2-Vinh Thang_Mau -bao_cao_XNT_NVTK_tai_NPP 19.7 2" xfId="2526" xr:uid="{00000000-0005-0000-0000-0000FD030000}"/>
    <cellStyle name="T_Danh sach KH TB MilkYomilk Yao  Smart chu ky 2-Vinh Thang_Mau -bao_cao_XNT_NVTK_tai_NPP 19.7_PIT092008" xfId="745" xr:uid="{00000000-0005-0000-0000-0000FE030000}"/>
    <cellStyle name="T_Danh sach KH TB MilkYomilk Yao  Smart chu ky 2-Vinh Thang_Mau -bao_cao_XNT_NVTK_tai_NPP 19.7_PIT092008 2" xfId="2527" xr:uid="{00000000-0005-0000-0000-0000FF030000}"/>
    <cellStyle name="T_Danh sach KH TB MilkYomilk Yao  Smart chu ky 2-Vinh Thang_Mau_bao_cao_XNT_NVTK_tai_NPP 21.7" xfId="746" xr:uid="{00000000-0005-0000-0000-000000040000}"/>
    <cellStyle name="T_Danh sach KH TB MilkYomilk Yao  Smart chu ky 2-Vinh Thang_Mau_bao_cao_XNT_NVTK_tai_NPP 21.7 2" xfId="2528" xr:uid="{00000000-0005-0000-0000-000001040000}"/>
    <cellStyle name="T_Danh sach KH TB MilkYomilk Yao  Smart chu ky 2-Vinh Thang_Mau_bao_cao_XNT_NVTK_tai_NPP 21.7_PIT092008" xfId="747" xr:uid="{00000000-0005-0000-0000-000002040000}"/>
    <cellStyle name="T_Danh sach KH TB MilkYomilk Yao  Smart chu ky 2-Vinh Thang_Mau_bao_cao_XNT_NVTK_tai_NPP 21.7_PIT092008 2" xfId="2529" xr:uid="{00000000-0005-0000-0000-000003040000}"/>
    <cellStyle name="T_Danh sach KH TB MilkYomilk Yao  Smart chu ky 2-Vinh Thang_Mau_bao_cao_XNT_NVTK_tai_NPP 3.7" xfId="748" xr:uid="{00000000-0005-0000-0000-000004040000}"/>
    <cellStyle name="T_Danh sach KH TB MilkYomilk Yao  Smart chu ky 2-Vinh Thang_Mau_bao_cao_XNT_NVTK_tai_NPP 3.7 2" xfId="2530" xr:uid="{00000000-0005-0000-0000-000005040000}"/>
    <cellStyle name="T_Danh sach KH TB MilkYomilk Yao  Smart chu ky 2-Vinh Thang_Mau_bao_cao_XNT_NVTK_tai_NPP 3.7_1" xfId="749" xr:uid="{00000000-0005-0000-0000-000006040000}"/>
    <cellStyle name="T_Danh sach KH TB MilkYomilk Yao  Smart chu ky 2-Vinh Thang_Mau_bao_cao_XNT_NVTK_tai_NPP 3.7_1 2" xfId="2531" xr:uid="{00000000-0005-0000-0000-000007040000}"/>
    <cellStyle name="T_Danh sach KH TB MilkYomilk Yao  Smart chu ky 2-Vinh Thang_Mau_bao_cao_XNT_NVTK_tai_NPP 3.7_1_PIT092008" xfId="750" xr:uid="{00000000-0005-0000-0000-000008040000}"/>
    <cellStyle name="T_Danh sach KH TB MilkYomilk Yao  Smart chu ky 2-Vinh Thang_Mau_bao_cao_XNT_NVTK_tai_NPP 3.7_1_PIT092008 2" xfId="2532" xr:uid="{00000000-0005-0000-0000-000009040000}"/>
    <cellStyle name="T_Danh sach KH TB MilkYomilk Yao  Smart chu ky 2-Vinh Thang_Mau_bao_cao_XNT_NVTK_tai_NPP 3.7_PIT092008" xfId="751" xr:uid="{00000000-0005-0000-0000-00000A040000}"/>
    <cellStyle name="T_Danh sach KH TB MilkYomilk Yao  Smart chu ky 2-Vinh Thang_Mau_bao_cao_XNT_NVTK_tai_NPP 3.7_PIT092008 2" xfId="2533" xr:uid="{00000000-0005-0000-0000-00000B040000}"/>
    <cellStyle name="T_Danh sach KH TB MilkYomilk Yao  Smart chu ky 2-Vinh Thang_PIT092008" xfId="752" xr:uid="{00000000-0005-0000-0000-00000C040000}"/>
    <cellStyle name="T_Danh sach KH TB MilkYomilk Yao  Smart chu ky 2-Vinh Thang_PIT092008 2" xfId="2534" xr:uid="{00000000-0005-0000-0000-00000D040000}"/>
    <cellStyle name="T_Danh sach KH trung bay MilkYomilk co ke chu ky 2-Vinh Thang" xfId="753" xr:uid="{00000000-0005-0000-0000-00000E040000}"/>
    <cellStyle name="T_Danh sach KH trung bay MilkYomilk co ke chu ky 2-Vinh Thang 2" xfId="2535" xr:uid="{00000000-0005-0000-0000-00000F040000}"/>
    <cellStyle name="T_Danh sach KH trung bay MilkYomilk co ke chu ky 2-Vinh Thang_Book1" xfId="754" xr:uid="{00000000-0005-0000-0000-000010040000}"/>
    <cellStyle name="T_Danh sach KH trung bay MilkYomilk co ke chu ky 2-Vinh Thang_Book1 2" xfId="2536" xr:uid="{00000000-0005-0000-0000-000011040000}"/>
    <cellStyle name="T_Danh sach KH trung bay MilkYomilk co ke chu ky 2-Vinh Thang_Book1_F4_5_6__Bao_cao_tai_NPP BICH TIEN" xfId="755" xr:uid="{00000000-0005-0000-0000-000012040000}"/>
    <cellStyle name="T_Danh sach KH trung bay MilkYomilk co ke chu ky 2-Vinh Thang_Book1_F4_5_6__Bao_cao_tai_NPP BICH TIEN 2" xfId="2537" xr:uid="{00000000-0005-0000-0000-000013040000}"/>
    <cellStyle name="T_Danh sach KH trung bay MilkYomilk co ke chu ky 2-Vinh Thang_Book1_F4_5_6__Bao_cao_tai_NPP BICH TIEN_PIT092008" xfId="756" xr:uid="{00000000-0005-0000-0000-000014040000}"/>
    <cellStyle name="T_Danh sach KH trung bay MilkYomilk co ke chu ky 2-Vinh Thang_Book1_F4_5_6__Bao_cao_tai_NPP BICH TIEN_PIT092008 2" xfId="2538" xr:uid="{00000000-0005-0000-0000-000015040000}"/>
    <cellStyle name="T_Danh sach KH trung bay MilkYomilk co ke chu ky 2-Vinh Thang_Book1_Mau_bao_cao_XNT_NVTK_tai_NPP 21.7" xfId="757" xr:uid="{00000000-0005-0000-0000-000016040000}"/>
    <cellStyle name="T_Danh sach KH trung bay MilkYomilk co ke chu ky 2-Vinh Thang_Book1_Mau_bao_cao_XNT_NVTK_tai_NPP 21.7 2" xfId="2539" xr:uid="{00000000-0005-0000-0000-000017040000}"/>
    <cellStyle name="T_Danh sach KH trung bay MilkYomilk co ke chu ky 2-Vinh Thang_Book1_Mau_bao_cao_XNT_NVTK_tai_NPP 21.7_PIT092008" xfId="758" xr:uid="{00000000-0005-0000-0000-000018040000}"/>
    <cellStyle name="T_Danh sach KH trung bay MilkYomilk co ke chu ky 2-Vinh Thang_Book1_Mau_bao_cao_XNT_NVTK_tai_NPP 21.7_PIT092008 2" xfId="2540" xr:uid="{00000000-0005-0000-0000-000019040000}"/>
    <cellStyle name="T_Danh sach KH trung bay MilkYomilk co ke chu ky 2-Vinh Thang_Book1_PIT092008" xfId="759" xr:uid="{00000000-0005-0000-0000-00001A040000}"/>
    <cellStyle name="T_Danh sach KH trung bay MilkYomilk co ke chu ky 2-Vinh Thang_Book1_PIT092008 2" xfId="2541" xr:uid="{00000000-0005-0000-0000-00001B040000}"/>
    <cellStyle name="T_Danh sach KH trung bay MilkYomilk co ke chu ky 2-Vinh Thang_Copy of Mau_bao_cao_XNT_NVTK_tai_NPP" xfId="760" xr:uid="{00000000-0005-0000-0000-00001C040000}"/>
    <cellStyle name="T_Danh sach KH trung bay MilkYomilk co ke chu ky 2-Vinh Thang_Copy of Mau_bao_cao_XNT_NVTK_tai_NPP 2" xfId="2542" xr:uid="{00000000-0005-0000-0000-00001D040000}"/>
    <cellStyle name="T_Danh sach KH trung bay MilkYomilk co ke chu ky 2-Vinh Thang_Copy of Mau_bao_cao_XNT_NVTK_tai_NPP_PIT092008" xfId="761" xr:uid="{00000000-0005-0000-0000-00001E040000}"/>
    <cellStyle name="T_Danh sach KH trung bay MilkYomilk co ke chu ky 2-Vinh Thang_Copy of Mau_bao_cao_XNT_NVTK_tai_NPP_PIT092008 2" xfId="2543" xr:uid="{00000000-0005-0000-0000-00001F040000}"/>
    <cellStyle name="T_Danh sach KH trung bay MilkYomilk co ke chu ky 2-Vinh Thang_ĐƠN ĐẶT HÀNG VNM" xfId="762" xr:uid="{00000000-0005-0000-0000-000020040000}"/>
    <cellStyle name="T_Danh sach KH trung bay MilkYomilk co ke chu ky 2-Vinh Thang_ĐƠN ĐẶT HÀNG VNM 2" xfId="2544" xr:uid="{00000000-0005-0000-0000-000021040000}"/>
    <cellStyle name="T_Danh sach KH trung bay MilkYomilk co ke chu ky 2-Vinh Thang_ĐƠN ĐẶT HÀNG VNM_PIT092008" xfId="763" xr:uid="{00000000-0005-0000-0000-000022040000}"/>
    <cellStyle name="T_Danh sach KH trung bay MilkYomilk co ke chu ky 2-Vinh Thang_ĐƠN ĐẶT HÀNG VNM_PIT092008 2" xfId="2545" xr:uid="{00000000-0005-0000-0000-000023040000}"/>
    <cellStyle name="T_Danh sach KH trung bay MilkYomilk co ke chu ky 2-Vinh Thang_F4_5_6__Bao_cao_tai_NPP BICH TIEN" xfId="764" xr:uid="{00000000-0005-0000-0000-000024040000}"/>
    <cellStyle name="T_Danh sach KH trung bay MilkYomilk co ke chu ky 2-Vinh Thang_F4_5_6__Bao_cao_tai_NPP BICH TIEN 2" xfId="2546" xr:uid="{00000000-0005-0000-0000-000025040000}"/>
    <cellStyle name="T_Danh sach KH trung bay MilkYomilk co ke chu ky 2-Vinh Thang_F4_5_6__Bao_cao_tai_NPP BICH TIEN_PIT092008" xfId="765" xr:uid="{00000000-0005-0000-0000-000026040000}"/>
    <cellStyle name="T_Danh sach KH trung bay MilkYomilk co ke chu ky 2-Vinh Thang_F4_5_6__Bao_cao_tai_NPP BICH TIEN_PIT092008 2" xfId="2547" xr:uid="{00000000-0005-0000-0000-000027040000}"/>
    <cellStyle name="T_Danh sach KH trung bay MilkYomilk co ke chu ky 2-Vinh Thang_form__moi__bao_cao_ngay_NEW_AGAIN" xfId="766" xr:uid="{00000000-0005-0000-0000-000028040000}"/>
    <cellStyle name="T_Danh sach KH trung bay MilkYomilk co ke chu ky 2-Vinh Thang_form__moi__bao_cao_ngay_NEW_AGAIN 2" xfId="2548" xr:uid="{00000000-0005-0000-0000-000029040000}"/>
    <cellStyle name="T_Danh sach KH trung bay MilkYomilk co ke chu ky 2-Vinh Thang_form__moi__bao_cao_ngay_NEW_AGAIN_PIT092008" xfId="767" xr:uid="{00000000-0005-0000-0000-00002A040000}"/>
    <cellStyle name="T_Danh sach KH trung bay MilkYomilk co ke chu ky 2-Vinh Thang_form__moi__bao_cao_ngay_NEW_AGAIN_PIT092008 2" xfId="2549" xr:uid="{00000000-0005-0000-0000-00002B040000}"/>
    <cellStyle name="T_Danh sach KH trung bay MilkYomilk co ke chu ky 2-Vinh Thang_Mau -bao_cao_XNT_NVTK_tai_NPP 19.7" xfId="768" xr:uid="{00000000-0005-0000-0000-00002C040000}"/>
    <cellStyle name="T_Danh sach KH trung bay MilkYomilk co ke chu ky 2-Vinh Thang_Mau -bao_cao_XNT_NVTK_tai_NPP 19.7 2" xfId="2550" xr:uid="{00000000-0005-0000-0000-00002D040000}"/>
    <cellStyle name="T_Danh sach KH trung bay MilkYomilk co ke chu ky 2-Vinh Thang_Mau -bao_cao_XNT_NVTK_tai_NPP 19.7_PIT092008" xfId="769" xr:uid="{00000000-0005-0000-0000-00002E040000}"/>
    <cellStyle name="T_Danh sach KH trung bay MilkYomilk co ke chu ky 2-Vinh Thang_Mau -bao_cao_XNT_NVTK_tai_NPP 19.7_PIT092008 2" xfId="2551" xr:uid="{00000000-0005-0000-0000-00002F040000}"/>
    <cellStyle name="T_Danh sach KH trung bay MilkYomilk co ke chu ky 2-Vinh Thang_Mau_bao_cao_XNT_NVTK_tai_NPP 21.7" xfId="770" xr:uid="{00000000-0005-0000-0000-000030040000}"/>
    <cellStyle name="T_Danh sach KH trung bay MilkYomilk co ke chu ky 2-Vinh Thang_Mau_bao_cao_XNT_NVTK_tai_NPP 21.7 2" xfId="2552" xr:uid="{00000000-0005-0000-0000-000031040000}"/>
    <cellStyle name="T_Danh sach KH trung bay MilkYomilk co ke chu ky 2-Vinh Thang_Mau_bao_cao_XNT_NVTK_tai_NPP 21.7_PIT092008" xfId="771" xr:uid="{00000000-0005-0000-0000-000032040000}"/>
    <cellStyle name="T_Danh sach KH trung bay MilkYomilk co ke chu ky 2-Vinh Thang_Mau_bao_cao_XNT_NVTK_tai_NPP 21.7_PIT092008 2" xfId="2553" xr:uid="{00000000-0005-0000-0000-000033040000}"/>
    <cellStyle name="T_Danh sach KH trung bay MilkYomilk co ke chu ky 2-Vinh Thang_Mau_bao_cao_XNT_NVTK_tai_NPP 3.7" xfId="772" xr:uid="{00000000-0005-0000-0000-000034040000}"/>
    <cellStyle name="T_Danh sach KH trung bay MilkYomilk co ke chu ky 2-Vinh Thang_Mau_bao_cao_XNT_NVTK_tai_NPP 3.7 2" xfId="2554" xr:uid="{00000000-0005-0000-0000-000035040000}"/>
    <cellStyle name="T_Danh sach KH trung bay MilkYomilk co ke chu ky 2-Vinh Thang_Mau_bao_cao_XNT_NVTK_tai_NPP 3.7_1" xfId="773" xr:uid="{00000000-0005-0000-0000-000036040000}"/>
    <cellStyle name="T_Danh sach KH trung bay MilkYomilk co ke chu ky 2-Vinh Thang_Mau_bao_cao_XNT_NVTK_tai_NPP 3.7_1 2" xfId="2555" xr:uid="{00000000-0005-0000-0000-000037040000}"/>
    <cellStyle name="T_Danh sach KH trung bay MilkYomilk co ke chu ky 2-Vinh Thang_Mau_bao_cao_XNT_NVTK_tai_NPP 3.7_1_PIT092008" xfId="774" xr:uid="{00000000-0005-0000-0000-000038040000}"/>
    <cellStyle name="T_Danh sach KH trung bay MilkYomilk co ke chu ky 2-Vinh Thang_Mau_bao_cao_XNT_NVTK_tai_NPP 3.7_1_PIT092008 2" xfId="2556" xr:uid="{00000000-0005-0000-0000-000039040000}"/>
    <cellStyle name="T_Danh sach KH trung bay MilkYomilk co ke chu ky 2-Vinh Thang_Mau_bao_cao_XNT_NVTK_tai_NPP 3.7_PIT092008" xfId="775" xr:uid="{00000000-0005-0000-0000-00003A040000}"/>
    <cellStyle name="T_Danh sach KH trung bay MilkYomilk co ke chu ky 2-Vinh Thang_Mau_bao_cao_XNT_NVTK_tai_NPP 3.7_PIT092008 2" xfId="2557" xr:uid="{00000000-0005-0000-0000-00003B040000}"/>
    <cellStyle name="T_Danh sach KH trung bay MilkYomilk co ke chu ky 2-Vinh Thang_PIT092008" xfId="776" xr:uid="{00000000-0005-0000-0000-00003C040000}"/>
    <cellStyle name="T_Danh sach KH trung bay MilkYomilk co ke chu ky 2-Vinh Thang_PIT092008 2" xfId="2558" xr:uid="{00000000-0005-0000-0000-00003D040000}"/>
    <cellStyle name="T_Danh sach MilkYomilk CK2 M.Bac cap nhat21-02-06 lai HANOI" xfId="777" xr:uid="{00000000-0005-0000-0000-00003E040000}"/>
    <cellStyle name="T_Danh sach MilkYomilk CK2 M.Bac cap nhat21-02-06 lai HANOI 2" xfId="2559" xr:uid="{00000000-0005-0000-0000-00003F040000}"/>
    <cellStyle name="T_Danh sach MilkYomilk CK2 M.Bac cap nhat21-02-06 lai HANOI_PIT092008" xfId="778" xr:uid="{00000000-0005-0000-0000-000040040000}"/>
    <cellStyle name="T_Danh sach MilkYomilk CK2 M.Bac cap nhat21-02-06 lai HANOI_PIT092008 2" xfId="2560" xr:uid="{00000000-0005-0000-0000-000041040000}"/>
    <cellStyle name="T_ĐƠN ĐẶT HÀNG VNM" xfId="779" xr:uid="{00000000-0005-0000-0000-000042040000}"/>
    <cellStyle name="T_ĐƠN ĐẶT HÀNG VNM 2" xfId="2561" xr:uid="{00000000-0005-0000-0000-000043040000}"/>
    <cellStyle name="T_ĐƠN ĐẶT HÀNG VNM_PIT092008" xfId="780" xr:uid="{00000000-0005-0000-0000-000044040000}"/>
    <cellStyle name="T_ĐƠN ĐẶT HÀNG VNM_PIT092008 2" xfId="2562" xr:uid="{00000000-0005-0000-0000-000045040000}"/>
    <cellStyle name="T_DS KH  CLB da nhan va chua nhan tien theo ket qua tra cua cty Chu ky 111213-Vinh Thang" xfId="781" xr:uid="{00000000-0005-0000-0000-000046040000}"/>
    <cellStyle name="T_DS KH  CLB da nhan va chua nhan tien theo ket qua tra cua cty Chu ky 111213-Vinh Thang 2" xfId="2563" xr:uid="{00000000-0005-0000-0000-000047040000}"/>
    <cellStyle name="T_DS KH  CLB da nhan va chua nhan tien theo ket qua tra cua cty Chu ky 111213-Vinh Thang_PIT092008" xfId="782" xr:uid="{00000000-0005-0000-0000-000048040000}"/>
    <cellStyle name="T_DS KH  CLB da nhan va chua nhan tien theo ket qua tra cua cty Chu ky 111213-Vinh Thang_PIT092008 2" xfId="2564" xr:uid="{00000000-0005-0000-0000-000049040000}"/>
    <cellStyle name="T_DSACH MILK YO MILK CK 2 M.BAC" xfId="783" xr:uid="{00000000-0005-0000-0000-00004A040000}"/>
    <cellStyle name="T_DSACH MILK YO MILK CK 2 M.BAC 2" xfId="2565" xr:uid="{00000000-0005-0000-0000-00004B040000}"/>
    <cellStyle name="T_DSACH MILK YO MILK CK 2 M.BAC_Book1" xfId="784" xr:uid="{00000000-0005-0000-0000-00004C040000}"/>
    <cellStyle name="T_DSACH MILK YO MILK CK 2 M.BAC_Book1 2" xfId="2566" xr:uid="{00000000-0005-0000-0000-00004D040000}"/>
    <cellStyle name="T_DSACH MILK YO MILK CK 2 M.BAC_Book1_F4_5_6__Bao_cao_tai_NPP BICH TIEN" xfId="785" xr:uid="{00000000-0005-0000-0000-00004E040000}"/>
    <cellStyle name="T_DSACH MILK YO MILK CK 2 M.BAC_Book1_F4_5_6__Bao_cao_tai_NPP BICH TIEN 2" xfId="2567" xr:uid="{00000000-0005-0000-0000-00004F040000}"/>
    <cellStyle name="T_DSACH MILK YO MILK CK 2 M.BAC_Book1_F4_5_6__Bao_cao_tai_NPP BICH TIEN_PIT092008" xfId="786" xr:uid="{00000000-0005-0000-0000-000050040000}"/>
    <cellStyle name="T_DSACH MILK YO MILK CK 2 M.BAC_Book1_F4_5_6__Bao_cao_tai_NPP BICH TIEN_PIT092008 2" xfId="2568" xr:uid="{00000000-0005-0000-0000-000051040000}"/>
    <cellStyle name="T_DSACH MILK YO MILK CK 2 M.BAC_Book1_Mau_bao_cao_XNT_NVTK_tai_NPP 21.7" xfId="787" xr:uid="{00000000-0005-0000-0000-000052040000}"/>
    <cellStyle name="T_DSACH MILK YO MILK CK 2 M.BAC_Book1_Mau_bao_cao_XNT_NVTK_tai_NPP 21.7 2" xfId="2569" xr:uid="{00000000-0005-0000-0000-000053040000}"/>
    <cellStyle name="T_DSACH MILK YO MILK CK 2 M.BAC_Book1_Mau_bao_cao_XNT_NVTK_tai_NPP 21.7_PIT092008" xfId="788" xr:uid="{00000000-0005-0000-0000-000054040000}"/>
    <cellStyle name="T_DSACH MILK YO MILK CK 2 M.BAC_Book1_Mau_bao_cao_XNT_NVTK_tai_NPP 21.7_PIT092008 2" xfId="2570" xr:uid="{00000000-0005-0000-0000-000055040000}"/>
    <cellStyle name="T_DSACH MILK YO MILK CK 2 M.BAC_Book1_PIT092008" xfId="789" xr:uid="{00000000-0005-0000-0000-000056040000}"/>
    <cellStyle name="T_DSACH MILK YO MILK CK 2 M.BAC_Book1_PIT092008 2" xfId="2571" xr:uid="{00000000-0005-0000-0000-000057040000}"/>
    <cellStyle name="T_DSACH MILK YO MILK CK 2 M.BAC_Copy of Mau_bao_cao_XNT_NVTK_tai_NPP" xfId="790" xr:uid="{00000000-0005-0000-0000-000058040000}"/>
    <cellStyle name="T_DSACH MILK YO MILK CK 2 M.BAC_Copy of Mau_bao_cao_XNT_NVTK_tai_NPP 2" xfId="2572" xr:uid="{00000000-0005-0000-0000-000059040000}"/>
    <cellStyle name="T_DSACH MILK YO MILK CK 2 M.BAC_Copy of Mau_bao_cao_XNT_NVTK_tai_NPP_PIT092008" xfId="791" xr:uid="{00000000-0005-0000-0000-00005A040000}"/>
    <cellStyle name="T_DSACH MILK YO MILK CK 2 M.BAC_Copy of Mau_bao_cao_XNT_NVTK_tai_NPP_PIT092008 2" xfId="2573" xr:uid="{00000000-0005-0000-0000-00005B040000}"/>
    <cellStyle name="T_DSACH MILK YO MILK CK 2 M.BAC_ĐƠN ĐẶT HÀNG VNM" xfId="792" xr:uid="{00000000-0005-0000-0000-00005C040000}"/>
    <cellStyle name="T_DSACH MILK YO MILK CK 2 M.BAC_ĐƠN ĐẶT HÀNG VNM 2" xfId="2574" xr:uid="{00000000-0005-0000-0000-00005D040000}"/>
    <cellStyle name="T_DSACH MILK YO MILK CK 2 M.BAC_ĐƠN ĐẶT HÀNG VNM_PIT092008" xfId="793" xr:uid="{00000000-0005-0000-0000-00005E040000}"/>
    <cellStyle name="T_DSACH MILK YO MILK CK 2 M.BAC_ĐƠN ĐẶT HÀNG VNM_PIT092008 2" xfId="2575" xr:uid="{00000000-0005-0000-0000-00005F040000}"/>
    <cellStyle name="T_DSACH MILK YO MILK CK 2 M.BAC_F4_5_6__Bao_cao_tai_NPP BICH TIEN" xfId="794" xr:uid="{00000000-0005-0000-0000-000060040000}"/>
    <cellStyle name="T_DSACH MILK YO MILK CK 2 M.BAC_F4_5_6__Bao_cao_tai_NPP BICH TIEN 2" xfId="2576" xr:uid="{00000000-0005-0000-0000-000061040000}"/>
    <cellStyle name="T_DSACH MILK YO MILK CK 2 M.BAC_F4_5_6__Bao_cao_tai_NPP BICH TIEN_PIT092008" xfId="795" xr:uid="{00000000-0005-0000-0000-000062040000}"/>
    <cellStyle name="T_DSACH MILK YO MILK CK 2 M.BAC_F4_5_6__Bao_cao_tai_NPP BICH TIEN_PIT092008 2" xfId="2577" xr:uid="{00000000-0005-0000-0000-000063040000}"/>
    <cellStyle name="T_DSACH MILK YO MILK CK 2 M.BAC_form__moi__bao_cao_ngay_NEW_AGAIN" xfId="796" xr:uid="{00000000-0005-0000-0000-000064040000}"/>
    <cellStyle name="T_DSACH MILK YO MILK CK 2 M.BAC_form__moi__bao_cao_ngay_NEW_AGAIN 2" xfId="2578" xr:uid="{00000000-0005-0000-0000-000065040000}"/>
    <cellStyle name="T_DSACH MILK YO MILK CK 2 M.BAC_form__moi__bao_cao_ngay_NEW_AGAIN_PIT092008" xfId="797" xr:uid="{00000000-0005-0000-0000-000066040000}"/>
    <cellStyle name="T_DSACH MILK YO MILK CK 2 M.BAC_form__moi__bao_cao_ngay_NEW_AGAIN_PIT092008 2" xfId="2579" xr:uid="{00000000-0005-0000-0000-000067040000}"/>
    <cellStyle name="T_DSACH MILK YO MILK CK 2 M.BAC_Mau -bao_cao_XNT_NVTK_tai_NPP 19.7" xfId="798" xr:uid="{00000000-0005-0000-0000-000068040000}"/>
    <cellStyle name="T_DSACH MILK YO MILK CK 2 M.BAC_Mau -bao_cao_XNT_NVTK_tai_NPP 19.7 2" xfId="2580" xr:uid="{00000000-0005-0000-0000-000069040000}"/>
    <cellStyle name="T_DSACH MILK YO MILK CK 2 M.BAC_Mau -bao_cao_XNT_NVTK_tai_NPP 19.7_PIT092008" xfId="799" xr:uid="{00000000-0005-0000-0000-00006A040000}"/>
    <cellStyle name="T_DSACH MILK YO MILK CK 2 M.BAC_Mau -bao_cao_XNT_NVTK_tai_NPP 19.7_PIT092008 2" xfId="2581" xr:uid="{00000000-0005-0000-0000-00006B040000}"/>
    <cellStyle name="T_DSACH MILK YO MILK CK 2 M.BAC_Mau_bao_cao_XNT_NVTK_tai_NPP 21.7" xfId="800" xr:uid="{00000000-0005-0000-0000-00006C040000}"/>
    <cellStyle name="T_DSACH MILK YO MILK CK 2 M.BAC_Mau_bao_cao_XNT_NVTK_tai_NPP 21.7 2" xfId="2582" xr:uid="{00000000-0005-0000-0000-00006D040000}"/>
    <cellStyle name="T_DSACH MILK YO MILK CK 2 M.BAC_Mau_bao_cao_XNT_NVTK_tai_NPP 21.7_PIT092008" xfId="801" xr:uid="{00000000-0005-0000-0000-00006E040000}"/>
    <cellStyle name="T_DSACH MILK YO MILK CK 2 M.BAC_Mau_bao_cao_XNT_NVTK_tai_NPP 21.7_PIT092008 2" xfId="2583" xr:uid="{00000000-0005-0000-0000-00006F040000}"/>
    <cellStyle name="T_DSACH MILK YO MILK CK 2 M.BAC_Mau_bao_cao_XNT_NVTK_tai_NPP 3.7" xfId="802" xr:uid="{00000000-0005-0000-0000-000070040000}"/>
    <cellStyle name="T_DSACH MILK YO MILK CK 2 M.BAC_Mau_bao_cao_XNT_NVTK_tai_NPP 3.7 2" xfId="2584" xr:uid="{00000000-0005-0000-0000-000071040000}"/>
    <cellStyle name="T_DSACH MILK YO MILK CK 2 M.BAC_Mau_bao_cao_XNT_NVTK_tai_NPP 3.7_1" xfId="803" xr:uid="{00000000-0005-0000-0000-000072040000}"/>
    <cellStyle name="T_DSACH MILK YO MILK CK 2 M.BAC_Mau_bao_cao_XNT_NVTK_tai_NPP 3.7_1 2" xfId="2585" xr:uid="{00000000-0005-0000-0000-000073040000}"/>
    <cellStyle name="T_DSACH MILK YO MILK CK 2 M.BAC_Mau_bao_cao_XNT_NVTK_tai_NPP 3.7_1_PIT092008" xfId="804" xr:uid="{00000000-0005-0000-0000-000074040000}"/>
    <cellStyle name="T_DSACH MILK YO MILK CK 2 M.BAC_Mau_bao_cao_XNT_NVTK_tai_NPP 3.7_1_PIT092008 2" xfId="2586" xr:uid="{00000000-0005-0000-0000-000075040000}"/>
    <cellStyle name="T_DSACH MILK YO MILK CK 2 M.BAC_Mau_bao_cao_XNT_NVTK_tai_NPP 3.7_PIT092008" xfId="805" xr:uid="{00000000-0005-0000-0000-000076040000}"/>
    <cellStyle name="T_DSACH MILK YO MILK CK 2 M.BAC_Mau_bao_cao_XNT_NVTK_tai_NPP 3.7_PIT092008 2" xfId="2587" xr:uid="{00000000-0005-0000-0000-000077040000}"/>
    <cellStyle name="T_DSACH MILK YO MILK CK 2 M.BAC_PIT092008" xfId="806" xr:uid="{00000000-0005-0000-0000-000078040000}"/>
    <cellStyle name="T_DSACH MILK YO MILK CK 2 M.BAC_PIT092008 2" xfId="2588" xr:uid="{00000000-0005-0000-0000-000079040000}"/>
    <cellStyle name="T_DSKH Tbay Milk , Yomilk CK 2 Vu Thi Hanh" xfId="807" xr:uid="{00000000-0005-0000-0000-00007A040000}"/>
    <cellStyle name="T_DSKH Tbay Milk , Yomilk CK 2 Vu Thi Hanh 2" xfId="2589" xr:uid="{00000000-0005-0000-0000-00007B040000}"/>
    <cellStyle name="T_DSKH Tbay Milk , Yomilk CK 2 Vu Thi Hanh_Book1" xfId="808" xr:uid="{00000000-0005-0000-0000-00007C040000}"/>
    <cellStyle name="T_DSKH Tbay Milk , Yomilk CK 2 Vu Thi Hanh_Book1 2" xfId="2590" xr:uid="{00000000-0005-0000-0000-00007D040000}"/>
    <cellStyle name="T_DSKH Tbay Milk , Yomilk CK 2 Vu Thi Hanh_Book1_F4_5_6__Bao_cao_tai_NPP BICH TIEN" xfId="809" xr:uid="{00000000-0005-0000-0000-00007E040000}"/>
    <cellStyle name="T_DSKH Tbay Milk , Yomilk CK 2 Vu Thi Hanh_Book1_F4_5_6__Bao_cao_tai_NPP BICH TIEN 2" xfId="2591" xr:uid="{00000000-0005-0000-0000-00007F040000}"/>
    <cellStyle name="T_DSKH Tbay Milk , Yomilk CK 2 Vu Thi Hanh_Book1_F4_5_6__Bao_cao_tai_NPP BICH TIEN_PIT092008" xfId="810" xr:uid="{00000000-0005-0000-0000-000080040000}"/>
    <cellStyle name="T_DSKH Tbay Milk , Yomilk CK 2 Vu Thi Hanh_Book1_F4_5_6__Bao_cao_tai_NPP BICH TIEN_PIT092008 2" xfId="2592" xr:uid="{00000000-0005-0000-0000-000081040000}"/>
    <cellStyle name="T_DSKH Tbay Milk , Yomilk CK 2 Vu Thi Hanh_Book1_Mau_bao_cao_XNT_NVTK_tai_NPP 21.7" xfId="811" xr:uid="{00000000-0005-0000-0000-000082040000}"/>
    <cellStyle name="T_DSKH Tbay Milk , Yomilk CK 2 Vu Thi Hanh_Book1_Mau_bao_cao_XNT_NVTK_tai_NPP 21.7 2" xfId="2593" xr:uid="{00000000-0005-0000-0000-000083040000}"/>
    <cellStyle name="T_DSKH Tbay Milk , Yomilk CK 2 Vu Thi Hanh_Book1_Mau_bao_cao_XNT_NVTK_tai_NPP 21.7_PIT092008" xfId="812" xr:uid="{00000000-0005-0000-0000-000084040000}"/>
    <cellStyle name="T_DSKH Tbay Milk , Yomilk CK 2 Vu Thi Hanh_Book1_Mau_bao_cao_XNT_NVTK_tai_NPP 21.7_PIT092008 2" xfId="2594" xr:uid="{00000000-0005-0000-0000-000085040000}"/>
    <cellStyle name="T_DSKH Tbay Milk , Yomilk CK 2 Vu Thi Hanh_Book1_PIT092008" xfId="813" xr:uid="{00000000-0005-0000-0000-000086040000}"/>
    <cellStyle name="T_DSKH Tbay Milk , Yomilk CK 2 Vu Thi Hanh_Book1_PIT092008 2" xfId="2595" xr:uid="{00000000-0005-0000-0000-000087040000}"/>
    <cellStyle name="T_DSKH Tbay Milk , Yomilk CK 2 Vu Thi Hanh_Copy of Mau_bao_cao_XNT_NVTK_tai_NPP" xfId="814" xr:uid="{00000000-0005-0000-0000-000088040000}"/>
    <cellStyle name="T_DSKH Tbay Milk , Yomilk CK 2 Vu Thi Hanh_Copy of Mau_bao_cao_XNT_NVTK_tai_NPP 2" xfId="2596" xr:uid="{00000000-0005-0000-0000-000089040000}"/>
    <cellStyle name="T_DSKH Tbay Milk , Yomilk CK 2 Vu Thi Hanh_Copy of Mau_bao_cao_XNT_NVTK_tai_NPP_PIT092008" xfId="815" xr:uid="{00000000-0005-0000-0000-00008A040000}"/>
    <cellStyle name="T_DSKH Tbay Milk , Yomilk CK 2 Vu Thi Hanh_Copy of Mau_bao_cao_XNT_NVTK_tai_NPP_PIT092008 2" xfId="2597" xr:uid="{00000000-0005-0000-0000-00008B040000}"/>
    <cellStyle name="T_DSKH Tbay Milk , Yomilk CK 2 Vu Thi Hanh_ĐƠN ĐẶT HÀNG VNM" xfId="816" xr:uid="{00000000-0005-0000-0000-00008C040000}"/>
    <cellStyle name="T_DSKH Tbay Milk , Yomilk CK 2 Vu Thi Hanh_ĐƠN ĐẶT HÀNG VNM 2" xfId="2598" xr:uid="{00000000-0005-0000-0000-00008D040000}"/>
    <cellStyle name="T_DSKH Tbay Milk , Yomilk CK 2 Vu Thi Hanh_ĐƠN ĐẶT HÀNG VNM_PIT092008" xfId="817" xr:uid="{00000000-0005-0000-0000-00008E040000}"/>
    <cellStyle name="T_DSKH Tbay Milk , Yomilk CK 2 Vu Thi Hanh_ĐƠN ĐẶT HÀNG VNM_PIT092008 2" xfId="2599" xr:uid="{00000000-0005-0000-0000-00008F040000}"/>
    <cellStyle name="T_DSKH Tbay Milk , Yomilk CK 2 Vu Thi Hanh_F4_5_6__Bao_cao_tai_NPP BICH TIEN" xfId="818" xr:uid="{00000000-0005-0000-0000-000090040000}"/>
    <cellStyle name="T_DSKH Tbay Milk , Yomilk CK 2 Vu Thi Hanh_F4_5_6__Bao_cao_tai_NPP BICH TIEN 2" xfId="2600" xr:uid="{00000000-0005-0000-0000-000091040000}"/>
    <cellStyle name="T_DSKH Tbay Milk , Yomilk CK 2 Vu Thi Hanh_F4_5_6__Bao_cao_tai_NPP BICH TIEN_PIT092008" xfId="819" xr:uid="{00000000-0005-0000-0000-000092040000}"/>
    <cellStyle name="T_DSKH Tbay Milk , Yomilk CK 2 Vu Thi Hanh_F4_5_6__Bao_cao_tai_NPP BICH TIEN_PIT092008 2" xfId="2601" xr:uid="{00000000-0005-0000-0000-000093040000}"/>
    <cellStyle name="T_DSKH Tbay Milk , Yomilk CK 2 Vu Thi Hanh_form__moi__bao_cao_ngay_NEW_AGAIN" xfId="820" xr:uid="{00000000-0005-0000-0000-000094040000}"/>
    <cellStyle name="T_DSKH Tbay Milk , Yomilk CK 2 Vu Thi Hanh_form__moi__bao_cao_ngay_NEW_AGAIN 2" xfId="2602" xr:uid="{00000000-0005-0000-0000-000095040000}"/>
    <cellStyle name="T_DSKH Tbay Milk , Yomilk CK 2 Vu Thi Hanh_form__moi__bao_cao_ngay_NEW_AGAIN_PIT092008" xfId="821" xr:uid="{00000000-0005-0000-0000-000096040000}"/>
    <cellStyle name="T_DSKH Tbay Milk , Yomilk CK 2 Vu Thi Hanh_form__moi__bao_cao_ngay_NEW_AGAIN_PIT092008 2" xfId="2603" xr:uid="{00000000-0005-0000-0000-000097040000}"/>
    <cellStyle name="T_DSKH Tbay Milk , Yomilk CK 2 Vu Thi Hanh_Mau -bao_cao_XNT_NVTK_tai_NPP 19.7" xfId="822" xr:uid="{00000000-0005-0000-0000-000098040000}"/>
    <cellStyle name="T_DSKH Tbay Milk , Yomilk CK 2 Vu Thi Hanh_Mau -bao_cao_XNT_NVTK_tai_NPP 19.7 2" xfId="2604" xr:uid="{00000000-0005-0000-0000-000099040000}"/>
    <cellStyle name="T_DSKH Tbay Milk , Yomilk CK 2 Vu Thi Hanh_Mau -bao_cao_XNT_NVTK_tai_NPP 19.7_PIT092008" xfId="823" xr:uid="{00000000-0005-0000-0000-00009A040000}"/>
    <cellStyle name="T_DSKH Tbay Milk , Yomilk CK 2 Vu Thi Hanh_Mau -bao_cao_XNT_NVTK_tai_NPP 19.7_PIT092008 2" xfId="2605" xr:uid="{00000000-0005-0000-0000-00009B040000}"/>
    <cellStyle name="T_DSKH Tbay Milk , Yomilk CK 2 Vu Thi Hanh_Mau_bao_cao_XNT_NVTK_tai_NPP 21.7" xfId="824" xr:uid="{00000000-0005-0000-0000-00009C040000}"/>
    <cellStyle name="T_DSKH Tbay Milk , Yomilk CK 2 Vu Thi Hanh_Mau_bao_cao_XNT_NVTK_tai_NPP 21.7 2" xfId="2606" xr:uid="{00000000-0005-0000-0000-00009D040000}"/>
    <cellStyle name="T_DSKH Tbay Milk , Yomilk CK 2 Vu Thi Hanh_Mau_bao_cao_XNT_NVTK_tai_NPP 21.7_PIT092008" xfId="825" xr:uid="{00000000-0005-0000-0000-00009E040000}"/>
    <cellStyle name="T_DSKH Tbay Milk , Yomilk CK 2 Vu Thi Hanh_Mau_bao_cao_XNT_NVTK_tai_NPP 21.7_PIT092008 2" xfId="2607" xr:uid="{00000000-0005-0000-0000-00009F040000}"/>
    <cellStyle name="T_DSKH Tbay Milk , Yomilk CK 2 Vu Thi Hanh_Mau_bao_cao_XNT_NVTK_tai_NPP 3.7" xfId="826" xr:uid="{00000000-0005-0000-0000-0000A0040000}"/>
    <cellStyle name="T_DSKH Tbay Milk , Yomilk CK 2 Vu Thi Hanh_Mau_bao_cao_XNT_NVTK_tai_NPP 3.7 2" xfId="2608" xr:uid="{00000000-0005-0000-0000-0000A1040000}"/>
    <cellStyle name="T_DSKH Tbay Milk , Yomilk CK 2 Vu Thi Hanh_Mau_bao_cao_XNT_NVTK_tai_NPP 3.7_1" xfId="827" xr:uid="{00000000-0005-0000-0000-0000A2040000}"/>
    <cellStyle name="T_DSKH Tbay Milk , Yomilk CK 2 Vu Thi Hanh_Mau_bao_cao_XNT_NVTK_tai_NPP 3.7_1 2" xfId="2609" xr:uid="{00000000-0005-0000-0000-0000A3040000}"/>
    <cellStyle name="T_DSKH Tbay Milk , Yomilk CK 2 Vu Thi Hanh_Mau_bao_cao_XNT_NVTK_tai_NPP 3.7_1_PIT092008" xfId="828" xr:uid="{00000000-0005-0000-0000-0000A4040000}"/>
    <cellStyle name="T_DSKH Tbay Milk , Yomilk CK 2 Vu Thi Hanh_Mau_bao_cao_XNT_NVTK_tai_NPP 3.7_1_PIT092008 2" xfId="2610" xr:uid="{00000000-0005-0000-0000-0000A5040000}"/>
    <cellStyle name="T_DSKH Tbay Milk , Yomilk CK 2 Vu Thi Hanh_Mau_bao_cao_XNT_NVTK_tai_NPP 3.7_PIT092008" xfId="829" xr:uid="{00000000-0005-0000-0000-0000A6040000}"/>
    <cellStyle name="T_DSKH Tbay Milk , Yomilk CK 2 Vu Thi Hanh_Mau_bao_cao_XNT_NVTK_tai_NPP 3.7_PIT092008 2" xfId="2611" xr:uid="{00000000-0005-0000-0000-0000A7040000}"/>
    <cellStyle name="T_DSKH Tbay Milk , Yomilk CK 2 Vu Thi Hanh_PIT092008" xfId="830" xr:uid="{00000000-0005-0000-0000-0000A8040000}"/>
    <cellStyle name="T_DSKH Tbay Milk , Yomilk CK 2 Vu Thi Hanh_PIT092008 2" xfId="2612" xr:uid="{00000000-0005-0000-0000-0000A9040000}"/>
    <cellStyle name="T_F4_5_6__Bao_cao_tai_NPP BICH TIEN" xfId="831" xr:uid="{00000000-0005-0000-0000-0000AA040000}"/>
    <cellStyle name="T_F4_5_6__Bao_cao_tai_NPP BICH TIEN 2" xfId="2613" xr:uid="{00000000-0005-0000-0000-0000AB040000}"/>
    <cellStyle name="T_F4_5_6__Bao_cao_tai_NPP BICH TIEN_PIT092008" xfId="832" xr:uid="{00000000-0005-0000-0000-0000AC040000}"/>
    <cellStyle name="T_F4_5_6__Bao_cao_tai_NPP BICH TIEN_PIT092008 2" xfId="2614" xr:uid="{00000000-0005-0000-0000-0000AD040000}"/>
    <cellStyle name="T_form ton kho CK 2 tuan 8" xfId="833" xr:uid="{00000000-0005-0000-0000-0000AE040000}"/>
    <cellStyle name="T_form ton kho CK 2 tuan 8 2" xfId="2615" xr:uid="{00000000-0005-0000-0000-0000AF040000}"/>
    <cellStyle name="T_form ton kho CK 2 tuan 8_Book1" xfId="834" xr:uid="{00000000-0005-0000-0000-0000B0040000}"/>
    <cellStyle name="T_form ton kho CK 2 tuan 8_Book1 2" xfId="2616" xr:uid="{00000000-0005-0000-0000-0000B1040000}"/>
    <cellStyle name="T_form ton kho CK 2 tuan 8_Book1_F4_5_6__Bao_cao_tai_NPP BICH TIEN" xfId="835" xr:uid="{00000000-0005-0000-0000-0000B2040000}"/>
    <cellStyle name="T_form ton kho CK 2 tuan 8_Book1_F4_5_6__Bao_cao_tai_NPP BICH TIEN 2" xfId="2617" xr:uid="{00000000-0005-0000-0000-0000B3040000}"/>
    <cellStyle name="T_form ton kho CK 2 tuan 8_Book1_F4_5_6__Bao_cao_tai_NPP BICH TIEN_PIT092008" xfId="836" xr:uid="{00000000-0005-0000-0000-0000B4040000}"/>
    <cellStyle name="T_form ton kho CK 2 tuan 8_Book1_F4_5_6__Bao_cao_tai_NPP BICH TIEN_PIT092008 2" xfId="2618" xr:uid="{00000000-0005-0000-0000-0000B5040000}"/>
    <cellStyle name="T_form ton kho CK 2 tuan 8_Book1_Mau_bao_cao_XNT_NVTK_tai_NPP 21.7" xfId="837" xr:uid="{00000000-0005-0000-0000-0000B6040000}"/>
    <cellStyle name="T_form ton kho CK 2 tuan 8_Book1_Mau_bao_cao_XNT_NVTK_tai_NPP 21.7 2" xfId="2619" xr:uid="{00000000-0005-0000-0000-0000B7040000}"/>
    <cellStyle name="T_form ton kho CK 2 tuan 8_Book1_Mau_bao_cao_XNT_NVTK_tai_NPP 21.7_PIT092008" xfId="838" xr:uid="{00000000-0005-0000-0000-0000B8040000}"/>
    <cellStyle name="T_form ton kho CK 2 tuan 8_Book1_Mau_bao_cao_XNT_NVTK_tai_NPP 21.7_PIT092008 2" xfId="2620" xr:uid="{00000000-0005-0000-0000-0000B9040000}"/>
    <cellStyle name="T_form ton kho CK 2 tuan 8_Book1_PIT092008" xfId="839" xr:uid="{00000000-0005-0000-0000-0000BA040000}"/>
    <cellStyle name="T_form ton kho CK 2 tuan 8_Book1_PIT092008 2" xfId="2621" xr:uid="{00000000-0005-0000-0000-0000BB040000}"/>
    <cellStyle name="T_form ton kho CK 2 tuan 8_Copy of Mau_bao_cao_XNT_NVTK_tai_NPP" xfId="840" xr:uid="{00000000-0005-0000-0000-0000BC040000}"/>
    <cellStyle name="T_form ton kho CK 2 tuan 8_Copy of Mau_bao_cao_XNT_NVTK_tai_NPP 2" xfId="2622" xr:uid="{00000000-0005-0000-0000-0000BD040000}"/>
    <cellStyle name="T_form ton kho CK 2 tuan 8_Copy of Mau_bao_cao_XNT_NVTK_tai_NPP_PIT092008" xfId="841" xr:uid="{00000000-0005-0000-0000-0000BE040000}"/>
    <cellStyle name="T_form ton kho CK 2 tuan 8_Copy of Mau_bao_cao_XNT_NVTK_tai_NPP_PIT092008 2" xfId="2623" xr:uid="{00000000-0005-0000-0000-0000BF040000}"/>
    <cellStyle name="T_form ton kho CK 2 tuan 8_ĐƠN ĐẶT HÀNG VNM" xfId="842" xr:uid="{00000000-0005-0000-0000-0000C0040000}"/>
    <cellStyle name="T_form ton kho CK 2 tuan 8_ĐƠN ĐẶT HÀNG VNM 2" xfId="2624" xr:uid="{00000000-0005-0000-0000-0000C1040000}"/>
    <cellStyle name="T_form ton kho CK 2 tuan 8_ĐƠN ĐẶT HÀNG VNM_PIT092008" xfId="843" xr:uid="{00000000-0005-0000-0000-0000C2040000}"/>
    <cellStyle name="T_form ton kho CK 2 tuan 8_ĐƠN ĐẶT HÀNG VNM_PIT092008 2" xfId="2625" xr:uid="{00000000-0005-0000-0000-0000C3040000}"/>
    <cellStyle name="T_form ton kho CK 2 tuan 8_F4_5_6__Bao_cao_tai_NPP BICH TIEN" xfId="844" xr:uid="{00000000-0005-0000-0000-0000C4040000}"/>
    <cellStyle name="T_form ton kho CK 2 tuan 8_F4_5_6__Bao_cao_tai_NPP BICH TIEN 2" xfId="2626" xr:uid="{00000000-0005-0000-0000-0000C5040000}"/>
    <cellStyle name="T_form ton kho CK 2 tuan 8_F4_5_6__Bao_cao_tai_NPP BICH TIEN_PIT092008" xfId="845" xr:uid="{00000000-0005-0000-0000-0000C6040000}"/>
    <cellStyle name="T_form ton kho CK 2 tuan 8_F4_5_6__Bao_cao_tai_NPP BICH TIEN_PIT092008 2" xfId="2627" xr:uid="{00000000-0005-0000-0000-0000C7040000}"/>
    <cellStyle name="T_form ton kho CK 2 tuan 8_form__moi__bao_cao_ngay_NEW_AGAIN" xfId="846" xr:uid="{00000000-0005-0000-0000-0000C8040000}"/>
    <cellStyle name="T_form ton kho CK 2 tuan 8_form__moi__bao_cao_ngay_NEW_AGAIN 2" xfId="2628" xr:uid="{00000000-0005-0000-0000-0000C9040000}"/>
    <cellStyle name="T_form ton kho CK 2 tuan 8_form__moi__bao_cao_ngay_NEW_AGAIN_PIT092008" xfId="847" xr:uid="{00000000-0005-0000-0000-0000CA040000}"/>
    <cellStyle name="T_form ton kho CK 2 tuan 8_form__moi__bao_cao_ngay_NEW_AGAIN_PIT092008 2" xfId="2629" xr:uid="{00000000-0005-0000-0000-0000CB040000}"/>
    <cellStyle name="T_form ton kho CK 2 tuan 8_Mau -bao_cao_XNT_NVTK_tai_NPP 19.7" xfId="848" xr:uid="{00000000-0005-0000-0000-0000CC040000}"/>
    <cellStyle name="T_form ton kho CK 2 tuan 8_Mau -bao_cao_XNT_NVTK_tai_NPP 19.7 2" xfId="2630" xr:uid="{00000000-0005-0000-0000-0000CD040000}"/>
    <cellStyle name="T_form ton kho CK 2 tuan 8_Mau -bao_cao_XNT_NVTK_tai_NPP 19.7_PIT092008" xfId="849" xr:uid="{00000000-0005-0000-0000-0000CE040000}"/>
    <cellStyle name="T_form ton kho CK 2 tuan 8_Mau -bao_cao_XNT_NVTK_tai_NPP 19.7_PIT092008 2" xfId="2631" xr:uid="{00000000-0005-0000-0000-0000CF040000}"/>
    <cellStyle name="T_form ton kho CK 2 tuan 8_Mau_bao_cao_XNT_NVTK_tai_NPP 21.7" xfId="850" xr:uid="{00000000-0005-0000-0000-0000D0040000}"/>
    <cellStyle name="T_form ton kho CK 2 tuan 8_Mau_bao_cao_XNT_NVTK_tai_NPP 21.7 2" xfId="2632" xr:uid="{00000000-0005-0000-0000-0000D1040000}"/>
    <cellStyle name="T_form ton kho CK 2 tuan 8_Mau_bao_cao_XNT_NVTK_tai_NPP 21.7_PIT092008" xfId="851" xr:uid="{00000000-0005-0000-0000-0000D2040000}"/>
    <cellStyle name="T_form ton kho CK 2 tuan 8_Mau_bao_cao_XNT_NVTK_tai_NPP 21.7_PIT092008 2" xfId="2633" xr:uid="{00000000-0005-0000-0000-0000D3040000}"/>
    <cellStyle name="T_form ton kho CK 2 tuan 8_Mau_bao_cao_XNT_NVTK_tai_NPP 3.7" xfId="852" xr:uid="{00000000-0005-0000-0000-0000D4040000}"/>
    <cellStyle name="T_form ton kho CK 2 tuan 8_Mau_bao_cao_XNT_NVTK_tai_NPP 3.7 2" xfId="2634" xr:uid="{00000000-0005-0000-0000-0000D5040000}"/>
    <cellStyle name="T_form ton kho CK 2 tuan 8_Mau_bao_cao_XNT_NVTK_tai_NPP 3.7_1" xfId="853" xr:uid="{00000000-0005-0000-0000-0000D6040000}"/>
    <cellStyle name="T_form ton kho CK 2 tuan 8_Mau_bao_cao_XNT_NVTK_tai_NPP 3.7_1 2" xfId="2635" xr:uid="{00000000-0005-0000-0000-0000D7040000}"/>
    <cellStyle name="T_form ton kho CK 2 tuan 8_Mau_bao_cao_XNT_NVTK_tai_NPP 3.7_1_PIT092008" xfId="854" xr:uid="{00000000-0005-0000-0000-0000D8040000}"/>
    <cellStyle name="T_form ton kho CK 2 tuan 8_Mau_bao_cao_XNT_NVTK_tai_NPP 3.7_1_PIT092008 2" xfId="2636" xr:uid="{00000000-0005-0000-0000-0000D9040000}"/>
    <cellStyle name="T_form ton kho CK 2 tuan 8_Mau_bao_cao_XNT_NVTK_tai_NPP 3.7_PIT092008" xfId="855" xr:uid="{00000000-0005-0000-0000-0000DA040000}"/>
    <cellStyle name="T_form ton kho CK 2 tuan 8_Mau_bao_cao_XNT_NVTK_tai_NPP 3.7_PIT092008 2" xfId="2637" xr:uid="{00000000-0005-0000-0000-0000DB040000}"/>
    <cellStyle name="T_form ton kho CK 2 tuan 8_PIT092008" xfId="856" xr:uid="{00000000-0005-0000-0000-0000DC040000}"/>
    <cellStyle name="T_form ton kho CK 2 tuan 8_PIT092008 2" xfId="2638" xr:uid="{00000000-0005-0000-0000-0000DD040000}"/>
    <cellStyle name="T_form__moi__bao_cao_ngay_NEW_AGAIN" xfId="857" xr:uid="{00000000-0005-0000-0000-0000DE040000}"/>
    <cellStyle name="T_form__moi__bao_cao_ngay_NEW_AGAIN 2" xfId="2639" xr:uid="{00000000-0005-0000-0000-0000DF040000}"/>
    <cellStyle name="T_form__moi__bao_cao_ngay_NEW_AGAIN_PIT092008" xfId="858" xr:uid="{00000000-0005-0000-0000-0000E0040000}"/>
    <cellStyle name="T_form__moi__bao_cao_ngay_NEW_AGAIN_PIT092008 2" xfId="2640" xr:uid="{00000000-0005-0000-0000-0000E1040000}"/>
    <cellStyle name="T_Form_thanh_toan_Ho_tro_CP_Ban_va_GT_SP_VNM" xfId="859" xr:uid="{00000000-0005-0000-0000-0000E2040000}"/>
    <cellStyle name="T_Form_thanh_toan_Ho_tro_CP_Ban_va_GT_SP_VNM 2" xfId="2641" xr:uid="{00000000-0005-0000-0000-0000E3040000}"/>
    <cellStyle name="T_Form_thanh_toan_Ho_tro_CP_Ban_va_GT_SP_VNM_PIT092008" xfId="860" xr:uid="{00000000-0005-0000-0000-0000E4040000}"/>
    <cellStyle name="T_Form_thanh_toan_Ho_tro_CP_Ban_va_GT_SP_VNM_PIT092008 2" xfId="2642" xr:uid="{00000000-0005-0000-0000-0000E5040000}"/>
    <cellStyle name="T_form_ton_kho_tu_ck_5" xfId="861" xr:uid="{00000000-0005-0000-0000-0000E6040000}"/>
    <cellStyle name="T_form_ton_kho_tu_ck_5 2" xfId="2643" xr:uid="{00000000-0005-0000-0000-0000E7040000}"/>
    <cellStyle name="T_form_ton_kho_tu_ck_5_PIT092008" xfId="862" xr:uid="{00000000-0005-0000-0000-0000E8040000}"/>
    <cellStyle name="T_form_ton_kho_tu_ck_5_PIT092008 2" xfId="2644" xr:uid="{00000000-0005-0000-0000-0000E9040000}"/>
    <cellStyle name="T_HAN SU DUNG" xfId="863" xr:uid="{00000000-0005-0000-0000-0000EA040000}"/>
    <cellStyle name="T_HAN SU DUNG 2" xfId="2645" xr:uid="{00000000-0005-0000-0000-0000EB040000}"/>
    <cellStyle name="T_HAN SU DUNG_PIT092008" xfId="864" xr:uid="{00000000-0005-0000-0000-0000EC040000}"/>
    <cellStyle name="T_HAN SU DUNG_PIT092008 2" xfId="2646" xr:uid="{00000000-0005-0000-0000-0000ED040000}"/>
    <cellStyle name="T_KD - Stock WPs - NTHH" xfId="865" xr:uid="{00000000-0005-0000-0000-0000EE040000}"/>
    <cellStyle name="T_KD - Stock WPs - NTHH 2" xfId="2647" xr:uid="{00000000-0005-0000-0000-0000EF040000}"/>
    <cellStyle name="T_KD - Stock WPs - NTHH_PIT092008" xfId="866" xr:uid="{00000000-0005-0000-0000-0000F0040000}"/>
    <cellStyle name="T_KD - Stock WPs - NTHH_PIT092008 2" xfId="2648" xr:uid="{00000000-0005-0000-0000-0000F1040000}"/>
    <cellStyle name="T_Mau -bao_cao_XNT_NVTK_tai_NPP 19.7" xfId="867" xr:uid="{00000000-0005-0000-0000-0000F2040000}"/>
    <cellStyle name="T_Mau -bao_cao_XNT_NVTK_tai_NPP 19.7 2" xfId="2649" xr:uid="{00000000-0005-0000-0000-0000F3040000}"/>
    <cellStyle name="T_Mau -bao_cao_XNT_NVTK_tai_NPP 19.7_PIT092008" xfId="868" xr:uid="{00000000-0005-0000-0000-0000F4040000}"/>
    <cellStyle name="T_Mau -bao_cao_XNT_NVTK_tai_NPP 19.7_PIT092008 2" xfId="2650" xr:uid="{00000000-0005-0000-0000-0000F5040000}"/>
    <cellStyle name="T_Mau_bao_cao_XNT_NVTK_tai_NPP 21.7" xfId="869" xr:uid="{00000000-0005-0000-0000-0000F6040000}"/>
    <cellStyle name="T_Mau_bao_cao_XNT_NVTK_tai_NPP 21.7 2" xfId="2651" xr:uid="{00000000-0005-0000-0000-0000F7040000}"/>
    <cellStyle name="T_Mau_bao_cao_XNT_NVTK_tai_NPP 21.7_PIT092008" xfId="870" xr:uid="{00000000-0005-0000-0000-0000F8040000}"/>
    <cellStyle name="T_Mau_bao_cao_XNT_NVTK_tai_NPP 21.7_PIT092008 2" xfId="2652" xr:uid="{00000000-0005-0000-0000-0000F9040000}"/>
    <cellStyle name="T_Mau_bao_cao_XNT_NVTK_tai_NPP 3.7" xfId="871" xr:uid="{00000000-0005-0000-0000-0000FA040000}"/>
    <cellStyle name="T_Mau_bao_cao_XNT_NVTK_tai_NPP 3.7 2" xfId="2653" xr:uid="{00000000-0005-0000-0000-0000FB040000}"/>
    <cellStyle name="T_Mau_bao_cao_XNT_NVTK_tai_NPP 3.7_1" xfId="872" xr:uid="{00000000-0005-0000-0000-0000FC040000}"/>
    <cellStyle name="T_Mau_bao_cao_XNT_NVTK_tai_NPP 3.7_1 2" xfId="2654" xr:uid="{00000000-0005-0000-0000-0000FD040000}"/>
    <cellStyle name="T_Mau_bao_cao_XNT_NVTK_tai_NPP 3.7_1_PIT092008" xfId="873" xr:uid="{00000000-0005-0000-0000-0000FE040000}"/>
    <cellStyle name="T_Mau_bao_cao_XNT_NVTK_tai_NPP 3.7_1_PIT092008 2" xfId="2655" xr:uid="{00000000-0005-0000-0000-0000FF040000}"/>
    <cellStyle name="T_Mau_bao_cao_XNT_NVTK_tai_NPP 3.7_PIT092008" xfId="874" xr:uid="{00000000-0005-0000-0000-000000050000}"/>
    <cellStyle name="T_Mau_bao_cao_XNT_NVTK_tai_NPP 3.7_PIT092008 2" xfId="2656" xr:uid="{00000000-0005-0000-0000-000001050000}"/>
    <cellStyle name="T_Mau_TONG_KET_chuong_trinh_be_milk" xfId="875" xr:uid="{00000000-0005-0000-0000-000002050000}"/>
    <cellStyle name="T_Mau_TONG_KET_chuong_trinh_be_milk 2" xfId="2657" xr:uid="{00000000-0005-0000-0000-000003050000}"/>
    <cellStyle name="T_Mau_TONG_KET_chuong_trinh_be_milk_PIT092008" xfId="876" xr:uid="{00000000-0005-0000-0000-000004050000}"/>
    <cellStyle name="T_Mau_TONG_KET_chuong_trinh_be_milk_PIT092008 2" xfId="2658" xr:uid="{00000000-0005-0000-0000-000005050000}"/>
    <cellStyle name="T_NPP Khanh Vinh Thai Nguyen - BC KTTB_CTrinh_TB__20_loc__Milk_Yomilk_CK1" xfId="877" xr:uid="{00000000-0005-0000-0000-000006050000}"/>
    <cellStyle name="T_NPP Khanh Vinh Thai Nguyen - BC KTTB_CTrinh_TB__20_loc__Milk_Yomilk_CK1 2" xfId="2659" xr:uid="{00000000-0005-0000-0000-000007050000}"/>
    <cellStyle name="T_NPP Khanh Vinh Thai Nguyen - BC KTTB_CTrinh_TB__20_loc__Milk_Yomilk_CK1_Book1" xfId="878" xr:uid="{00000000-0005-0000-0000-000008050000}"/>
    <cellStyle name="T_NPP Khanh Vinh Thai Nguyen - BC KTTB_CTrinh_TB__20_loc__Milk_Yomilk_CK1_Book1 2" xfId="2660" xr:uid="{00000000-0005-0000-0000-000009050000}"/>
    <cellStyle name="T_NPP Khanh Vinh Thai Nguyen - BC KTTB_CTrinh_TB__20_loc__Milk_Yomilk_CK1_Book1_F4_5_6__Bao_cao_tai_NPP BICH TIEN" xfId="879" xr:uid="{00000000-0005-0000-0000-00000A050000}"/>
    <cellStyle name="T_NPP Khanh Vinh Thai Nguyen - BC KTTB_CTrinh_TB__20_loc__Milk_Yomilk_CK1_Book1_F4_5_6__Bao_cao_tai_NPP BICH TIEN 2" xfId="2661" xr:uid="{00000000-0005-0000-0000-00000B050000}"/>
    <cellStyle name="T_NPP Khanh Vinh Thai Nguyen - BC KTTB_CTrinh_TB__20_loc__Milk_Yomilk_CK1_Book1_F4_5_6__Bao_cao_tai_NPP BICH TIEN_PIT092008" xfId="880" xr:uid="{00000000-0005-0000-0000-00000C050000}"/>
    <cellStyle name="T_NPP Khanh Vinh Thai Nguyen - BC KTTB_CTrinh_TB__20_loc__Milk_Yomilk_CK1_Book1_F4_5_6__Bao_cao_tai_NPP BICH TIEN_PIT092008 2" xfId="2662" xr:uid="{00000000-0005-0000-0000-00000D050000}"/>
    <cellStyle name="T_NPP Khanh Vinh Thai Nguyen - BC KTTB_CTrinh_TB__20_loc__Milk_Yomilk_CK1_Book1_Mau_bao_cao_XNT_NVTK_tai_NPP 21.7" xfId="881" xr:uid="{00000000-0005-0000-0000-00000E050000}"/>
    <cellStyle name="T_NPP Khanh Vinh Thai Nguyen - BC KTTB_CTrinh_TB__20_loc__Milk_Yomilk_CK1_Book1_Mau_bao_cao_XNT_NVTK_tai_NPP 21.7 2" xfId="2663" xr:uid="{00000000-0005-0000-0000-00000F050000}"/>
    <cellStyle name="T_NPP Khanh Vinh Thai Nguyen - BC KTTB_CTrinh_TB__20_loc__Milk_Yomilk_CK1_Book1_Mau_bao_cao_XNT_NVTK_tai_NPP 21.7_PIT092008" xfId="882" xr:uid="{00000000-0005-0000-0000-000010050000}"/>
    <cellStyle name="T_NPP Khanh Vinh Thai Nguyen - BC KTTB_CTrinh_TB__20_loc__Milk_Yomilk_CK1_Book1_Mau_bao_cao_XNT_NVTK_tai_NPP 21.7_PIT092008 2" xfId="2664" xr:uid="{00000000-0005-0000-0000-000011050000}"/>
    <cellStyle name="T_NPP Khanh Vinh Thai Nguyen - BC KTTB_CTrinh_TB__20_loc__Milk_Yomilk_CK1_Book1_PIT092008" xfId="883" xr:uid="{00000000-0005-0000-0000-000012050000}"/>
    <cellStyle name="T_NPP Khanh Vinh Thai Nguyen - BC KTTB_CTrinh_TB__20_loc__Milk_Yomilk_CK1_Book1_PIT092008 2" xfId="2665" xr:uid="{00000000-0005-0000-0000-000013050000}"/>
    <cellStyle name="T_NPP Khanh Vinh Thai Nguyen - BC KTTB_CTrinh_TB__20_loc__Milk_Yomilk_CK1_Copy of Mau_bao_cao_XNT_NVTK_tai_NPP" xfId="884" xr:uid="{00000000-0005-0000-0000-000014050000}"/>
    <cellStyle name="T_NPP Khanh Vinh Thai Nguyen - BC KTTB_CTrinh_TB__20_loc__Milk_Yomilk_CK1_Copy of Mau_bao_cao_XNT_NVTK_tai_NPP 2" xfId="2666" xr:uid="{00000000-0005-0000-0000-000015050000}"/>
    <cellStyle name="T_NPP Khanh Vinh Thai Nguyen - BC KTTB_CTrinh_TB__20_loc__Milk_Yomilk_CK1_Copy of Mau_bao_cao_XNT_NVTK_tai_NPP_PIT092008" xfId="885" xr:uid="{00000000-0005-0000-0000-000016050000}"/>
    <cellStyle name="T_NPP Khanh Vinh Thai Nguyen - BC KTTB_CTrinh_TB__20_loc__Milk_Yomilk_CK1_Copy of Mau_bao_cao_XNT_NVTK_tai_NPP_PIT092008 2" xfId="2667" xr:uid="{00000000-0005-0000-0000-000017050000}"/>
    <cellStyle name="T_NPP Khanh Vinh Thai Nguyen - BC KTTB_CTrinh_TB__20_loc__Milk_Yomilk_CK1_ĐƠN ĐẶT HÀNG VNM" xfId="886" xr:uid="{00000000-0005-0000-0000-000018050000}"/>
    <cellStyle name="T_NPP Khanh Vinh Thai Nguyen - BC KTTB_CTrinh_TB__20_loc__Milk_Yomilk_CK1_ĐƠN ĐẶT HÀNG VNM 2" xfId="2668" xr:uid="{00000000-0005-0000-0000-000019050000}"/>
    <cellStyle name="T_NPP Khanh Vinh Thai Nguyen - BC KTTB_CTrinh_TB__20_loc__Milk_Yomilk_CK1_ĐƠN ĐẶT HÀNG VNM_PIT092008" xfId="887" xr:uid="{00000000-0005-0000-0000-00001A050000}"/>
    <cellStyle name="T_NPP Khanh Vinh Thai Nguyen - BC KTTB_CTrinh_TB__20_loc__Milk_Yomilk_CK1_ĐƠN ĐẶT HÀNG VNM_PIT092008 2" xfId="2669" xr:uid="{00000000-0005-0000-0000-00001B050000}"/>
    <cellStyle name="T_NPP Khanh Vinh Thai Nguyen - BC KTTB_CTrinh_TB__20_loc__Milk_Yomilk_CK1_F4_5_6__Bao_cao_tai_NPP BICH TIEN" xfId="888" xr:uid="{00000000-0005-0000-0000-00001C050000}"/>
    <cellStyle name="T_NPP Khanh Vinh Thai Nguyen - BC KTTB_CTrinh_TB__20_loc__Milk_Yomilk_CK1_F4_5_6__Bao_cao_tai_NPP BICH TIEN 2" xfId="2670" xr:uid="{00000000-0005-0000-0000-00001D050000}"/>
    <cellStyle name="T_NPP Khanh Vinh Thai Nguyen - BC KTTB_CTrinh_TB__20_loc__Milk_Yomilk_CK1_F4_5_6__Bao_cao_tai_NPP BICH TIEN_PIT092008" xfId="889" xr:uid="{00000000-0005-0000-0000-00001E050000}"/>
    <cellStyle name="T_NPP Khanh Vinh Thai Nguyen - BC KTTB_CTrinh_TB__20_loc__Milk_Yomilk_CK1_F4_5_6__Bao_cao_tai_NPP BICH TIEN_PIT092008 2" xfId="2671" xr:uid="{00000000-0005-0000-0000-00001F050000}"/>
    <cellStyle name="T_NPP Khanh Vinh Thai Nguyen - BC KTTB_CTrinh_TB__20_loc__Milk_Yomilk_CK1_form__moi__bao_cao_ngay_NEW_AGAIN" xfId="890" xr:uid="{00000000-0005-0000-0000-000020050000}"/>
    <cellStyle name="T_NPP Khanh Vinh Thai Nguyen - BC KTTB_CTrinh_TB__20_loc__Milk_Yomilk_CK1_form__moi__bao_cao_ngay_NEW_AGAIN 2" xfId="2672" xr:uid="{00000000-0005-0000-0000-000021050000}"/>
    <cellStyle name="T_NPP Khanh Vinh Thai Nguyen - BC KTTB_CTrinh_TB__20_loc__Milk_Yomilk_CK1_form__moi__bao_cao_ngay_NEW_AGAIN_PIT092008" xfId="891" xr:uid="{00000000-0005-0000-0000-000022050000}"/>
    <cellStyle name="T_NPP Khanh Vinh Thai Nguyen - BC KTTB_CTrinh_TB__20_loc__Milk_Yomilk_CK1_form__moi__bao_cao_ngay_NEW_AGAIN_PIT092008 2" xfId="2673" xr:uid="{00000000-0005-0000-0000-000023050000}"/>
    <cellStyle name="T_NPP Khanh Vinh Thai Nguyen - BC KTTB_CTrinh_TB__20_loc__Milk_Yomilk_CK1_Mau -bao_cao_XNT_NVTK_tai_NPP 19.7" xfId="892" xr:uid="{00000000-0005-0000-0000-000024050000}"/>
    <cellStyle name="T_NPP Khanh Vinh Thai Nguyen - BC KTTB_CTrinh_TB__20_loc__Milk_Yomilk_CK1_Mau -bao_cao_XNT_NVTK_tai_NPP 19.7 2" xfId="2674" xr:uid="{00000000-0005-0000-0000-000025050000}"/>
    <cellStyle name="T_NPP Khanh Vinh Thai Nguyen - BC KTTB_CTrinh_TB__20_loc__Milk_Yomilk_CK1_Mau -bao_cao_XNT_NVTK_tai_NPP 19.7_PIT092008" xfId="893" xr:uid="{00000000-0005-0000-0000-000026050000}"/>
    <cellStyle name="T_NPP Khanh Vinh Thai Nguyen - BC KTTB_CTrinh_TB__20_loc__Milk_Yomilk_CK1_Mau -bao_cao_XNT_NVTK_tai_NPP 19.7_PIT092008 2" xfId="2675" xr:uid="{00000000-0005-0000-0000-000027050000}"/>
    <cellStyle name="T_NPP Khanh Vinh Thai Nguyen - BC KTTB_CTrinh_TB__20_loc__Milk_Yomilk_CK1_Mau_bao_cao_XNT_NVTK_tai_NPP 21.7" xfId="894" xr:uid="{00000000-0005-0000-0000-000028050000}"/>
    <cellStyle name="T_NPP Khanh Vinh Thai Nguyen - BC KTTB_CTrinh_TB__20_loc__Milk_Yomilk_CK1_Mau_bao_cao_XNT_NVTK_tai_NPP 21.7 2" xfId="2676" xr:uid="{00000000-0005-0000-0000-000029050000}"/>
    <cellStyle name="T_NPP Khanh Vinh Thai Nguyen - BC KTTB_CTrinh_TB__20_loc__Milk_Yomilk_CK1_Mau_bao_cao_XNT_NVTK_tai_NPP 21.7_PIT092008" xfId="895" xr:uid="{00000000-0005-0000-0000-00002A050000}"/>
    <cellStyle name="T_NPP Khanh Vinh Thai Nguyen - BC KTTB_CTrinh_TB__20_loc__Milk_Yomilk_CK1_Mau_bao_cao_XNT_NVTK_tai_NPP 21.7_PIT092008 2" xfId="2677" xr:uid="{00000000-0005-0000-0000-00002B050000}"/>
    <cellStyle name="T_NPP Khanh Vinh Thai Nguyen - BC KTTB_CTrinh_TB__20_loc__Milk_Yomilk_CK1_Mau_bao_cao_XNT_NVTK_tai_NPP 3.7" xfId="896" xr:uid="{00000000-0005-0000-0000-00002C050000}"/>
    <cellStyle name="T_NPP Khanh Vinh Thai Nguyen - BC KTTB_CTrinh_TB__20_loc__Milk_Yomilk_CK1_Mau_bao_cao_XNT_NVTK_tai_NPP 3.7 2" xfId="2678" xr:uid="{00000000-0005-0000-0000-00002D050000}"/>
    <cellStyle name="T_NPP Khanh Vinh Thai Nguyen - BC KTTB_CTrinh_TB__20_loc__Milk_Yomilk_CK1_Mau_bao_cao_XNT_NVTK_tai_NPP 3.7_1" xfId="897" xr:uid="{00000000-0005-0000-0000-00002E050000}"/>
    <cellStyle name="T_NPP Khanh Vinh Thai Nguyen - BC KTTB_CTrinh_TB__20_loc__Milk_Yomilk_CK1_Mau_bao_cao_XNT_NVTK_tai_NPP 3.7_1 2" xfId="2679" xr:uid="{00000000-0005-0000-0000-00002F050000}"/>
    <cellStyle name="T_NPP Khanh Vinh Thai Nguyen - BC KTTB_CTrinh_TB__20_loc__Milk_Yomilk_CK1_Mau_bao_cao_XNT_NVTK_tai_NPP 3.7_1_PIT092008" xfId="898" xr:uid="{00000000-0005-0000-0000-000030050000}"/>
    <cellStyle name="T_NPP Khanh Vinh Thai Nguyen - BC KTTB_CTrinh_TB__20_loc__Milk_Yomilk_CK1_Mau_bao_cao_XNT_NVTK_tai_NPP 3.7_1_PIT092008 2" xfId="2680" xr:uid="{00000000-0005-0000-0000-000031050000}"/>
    <cellStyle name="T_NPP Khanh Vinh Thai Nguyen - BC KTTB_CTrinh_TB__20_loc__Milk_Yomilk_CK1_Mau_bao_cao_XNT_NVTK_tai_NPP 3.7_PIT092008" xfId="899" xr:uid="{00000000-0005-0000-0000-000032050000}"/>
    <cellStyle name="T_NPP Khanh Vinh Thai Nguyen - BC KTTB_CTrinh_TB__20_loc__Milk_Yomilk_CK1_Mau_bao_cao_XNT_NVTK_tai_NPP 3.7_PIT092008 2" xfId="2681" xr:uid="{00000000-0005-0000-0000-000033050000}"/>
    <cellStyle name="T_NPP Khanh Vinh Thai Nguyen - BC KTTB_CTrinh_TB__20_loc__Milk_Yomilk_CK1_PIT092008" xfId="900" xr:uid="{00000000-0005-0000-0000-000034050000}"/>
    <cellStyle name="T_NPP Khanh Vinh Thai Nguyen - BC KTTB_CTrinh_TB__20_loc__Milk_Yomilk_CK1_PIT092008 2" xfId="2682" xr:uid="{00000000-0005-0000-0000-000035050000}"/>
    <cellStyle name="T_PIT092008" xfId="901" xr:uid="{00000000-0005-0000-0000-000036050000}"/>
    <cellStyle name="T_PIT092008 2" xfId="2683" xr:uid="{00000000-0005-0000-0000-000037050000}"/>
    <cellStyle name="T_Sheet1" xfId="902" xr:uid="{00000000-0005-0000-0000-000038050000}"/>
    <cellStyle name="T_Sheet1 2" xfId="2684" xr:uid="{00000000-0005-0000-0000-000039050000}"/>
    <cellStyle name="T_Sheet1_Book1" xfId="903" xr:uid="{00000000-0005-0000-0000-00003A050000}"/>
    <cellStyle name="T_Sheet1_Book1 2" xfId="2685" xr:uid="{00000000-0005-0000-0000-00003B050000}"/>
    <cellStyle name="T_Sheet1_Book1_F4_5_6__Bao_cao_tai_NPP BICH TIEN" xfId="904" xr:uid="{00000000-0005-0000-0000-00003C050000}"/>
    <cellStyle name="T_Sheet1_Book1_F4_5_6__Bao_cao_tai_NPP BICH TIEN 2" xfId="2686" xr:uid="{00000000-0005-0000-0000-00003D050000}"/>
    <cellStyle name="T_Sheet1_Book1_F4_5_6__Bao_cao_tai_NPP BICH TIEN_PIT092008" xfId="905" xr:uid="{00000000-0005-0000-0000-00003E050000}"/>
    <cellStyle name="T_Sheet1_Book1_F4_5_6__Bao_cao_tai_NPP BICH TIEN_PIT092008 2" xfId="2687" xr:uid="{00000000-0005-0000-0000-00003F050000}"/>
    <cellStyle name="T_Sheet1_Book1_Mau_bao_cao_XNT_NVTK_tai_NPP 21.7" xfId="906" xr:uid="{00000000-0005-0000-0000-000040050000}"/>
    <cellStyle name="T_Sheet1_Book1_Mau_bao_cao_XNT_NVTK_tai_NPP 21.7 2" xfId="2688" xr:uid="{00000000-0005-0000-0000-000041050000}"/>
    <cellStyle name="T_Sheet1_Book1_Mau_bao_cao_XNT_NVTK_tai_NPP 21.7_PIT092008" xfId="907" xr:uid="{00000000-0005-0000-0000-000042050000}"/>
    <cellStyle name="T_Sheet1_Book1_Mau_bao_cao_XNT_NVTK_tai_NPP 21.7_PIT092008 2" xfId="2689" xr:uid="{00000000-0005-0000-0000-000043050000}"/>
    <cellStyle name="T_Sheet1_Book1_PIT092008" xfId="908" xr:uid="{00000000-0005-0000-0000-000044050000}"/>
    <cellStyle name="T_Sheet1_Book1_PIT092008 2" xfId="2690" xr:uid="{00000000-0005-0000-0000-000045050000}"/>
    <cellStyle name="T_Sheet1_Copy of Mau_bao_cao_XNT_NVTK_tai_NPP" xfId="909" xr:uid="{00000000-0005-0000-0000-000046050000}"/>
    <cellStyle name="T_Sheet1_Copy of Mau_bao_cao_XNT_NVTK_tai_NPP 2" xfId="2691" xr:uid="{00000000-0005-0000-0000-000047050000}"/>
    <cellStyle name="T_Sheet1_Copy of Mau_bao_cao_XNT_NVTK_tai_NPP_PIT092008" xfId="910" xr:uid="{00000000-0005-0000-0000-000048050000}"/>
    <cellStyle name="T_Sheet1_Copy of Mau_bao_cao_XNT_NVTK_tai_NPP_PIT092008 2" xfId="2692" xr:uid="{00000000-0005-0000-0000-000049050000}"/>
    <cellStyle name="T_Sheet1_ĐƠN ĐẶT HÀNG VNM" xfId="911" xr:uid="{00000000-0005-0000-0000-00004A050000}"/>
    <cellStyle name="T_Sheet1_ĐƠN ĐẶT HÀNG VNM 2" xfId="2693" xr:uid="{00000000-0005-0000-0000-00004B050000}"/>
    <cellStyle name="T_Sheet1_ĐƠN ĐẶT HÀNG VNM_PIT092008" xfId="912" xr:uid="{00000000-0005-0000-0000-00004C050000}"/>
    <cellStyle name="T_Sheet1_ĐƠN ĐẶT HÀNG VNM_PIT092008 2" xfId="2694" xr:uid="{00000000-0005-0000-0000-00004D050000}"/>
    <cellStyle name="T_Sheet1_F4_5_6__Bao_cao_tai_NPP BICH TIEN" xfId="913" xr:uid="{00000000-0005-0000-0000-00004E050000}"/>
    <cellStyle name="T_Sheet1_F4_5_6__Bao_cao_tai_NPP BICH TIEN 2" xfId="2695" xr:uid="{00000000-0005-0000-0000-00004F050000}"/>
    <cellStyle name="T_Sheet1_F4_5_6__Bao_cao_tai_NPP BICH TIEN_PIT092008" xfId="914" xr:uid="{00000000-0005-0000-0000-000050050000}"/>
    <cellStyle name="T_Sheet1_F4_5_6__Bao_cao_tai_NPP BICH TIEN_PIT092008 2" xfId="2696" xr:uid="{00000000-0005-0000-0000-000051050000}"/>
    <cellStyle name="T_Sheet1_form__moi__bao_cao_ngay_NEW_AGAIN" xfId="915" xr:uid="{00000000-0005-0000-0000-000052050000}"/>
    <cellStyle name="T_Sheet1_form__moi__bao_cao_ngay_NEW_AGAIN 2" xfId="2697" xr:uid="{00000000-0005-0000-0000-000053050000}"/>
    <cellStyle name="T_Sheet1_form__moi__bao_cao_ngay_NEW_AGAIN_PIT092008" xfId="916" xr:uid="{00000000-0005-0000-0000-000054050000}"/>
    <cellStyle name="T_Sheet1_form__moi__bao_cao_ngay_NEW_AGAIN_PIT092008 2" xfId="2698" xr:uid="{00000000-0005-0000-0000-000055050000}"/>
    <cellStyle name="T_Sheet1_Mau -bao_cao_XNT_NVTK_tai_NPP 19.7" xfId="917" xr:uid="{00000000-0005-0000-0000-000056050000}"/>
    <cellStyle name="T_Sheet1_Mau -bao_cao_XNT_NVTK_tai_NPP 19.7 2" xfId="2699" xr:uid="{00000000-0005-0000-0000-000057050000}"/>
    <cellStyle name="T_Sheet1_Mau -bao_cao_XNT_NVTK_tai_NPP 19.7_PIT092008" xfId="918" xr:uid="{00000000-0005-0000-0000-000058050000}"/>
    <cellStyle name="T_Sheet1_Mau -bao_cao_XNT_NVTK_tai_NPP 19.7_PIT092008 2" xfId="2700" xr:uid="{00000000-0005-0000-0000-000059050000}"/>
    <cellStyle name="T_Sheet1_Mau_bao_cao_XNT_NVTK_tai_NPP 21.7" xfId="919" xr:uid="{00000000-0005-0000-0000-00005A050000}"/>
    <cellStyle name="T_Sheet1_Mau_bao_cao_XNT_NVTK_tai_NPP 21.7 2" xfId="2701" xr:uid="{00000000-0005-0000-0000-00005B050000}"/>
    <cellStyle name="T_Sheet1_Mau_bao_cao_XNT_NVTK_tai_NPP 21.7_PIT092008" xfId="920" xr:uid="{00000000-0005-0000-0000-00005C050000}"/>
    <cellStyle name="T_Sheet1_Mau_bao_cao_XNT_NVTK_tai_NPP 21.7_PIT092008 2" xfId="2702" xr:uid="{00000000-0005-0000-0000-00005D050000}"/>
    <cellStyle name="T_Sheet1_Mau_bao_cao_XNT_NVTK_tai_NPP 3.7" xfId="921" xr:uid="{00000000-0005-0000-0000-00005E050000}"/>
    <cellStyle name="T_Sheet1_Mau_bao_cao_XNT_NVTK_tai_NPP 3.7 2" xfId="2703" xr:uid="{00000000-0005-0000-0000-00005F050000}"/>
    <cellStyle name="T_Sheet1_Mau_bao_cao_XNT_NVTK_tai_NPP 3.7_1" xfId="922" xr:uid="{00000000-0005-0000-0000-000060050000}"/>
    <cellStyle name="T_Sheet1_Mau_bao_cao_XNT_NVTK_tai_NPP 3.7_1 2" xfId="2704" xr:uid="{00000000-0005-0000-0000-000061050000}"/>
    <cellStyle name="T_Sheet1_Mau_bao_cao_XNT_NVTK_tai_NPP 3.7_1_PIT092008" xfId="923" xr:uid="{00000000-0005-0000-0000-000062050000}"/>
    <cellStyle name="T_Sheet1_Mau_bao_cao_XNT_NVTK_tai_NPP 3.7_1_PIT092008 2" xfId="2705" xr:uid="{00000000-0005-0000-0000-000063050000}"/>
    <cellStyle name="T_Sheet1_Mau_bao_cao_XNT_NVTK_tai_NPP 3.7_PIT092008" xfId="924" xr:uid="{00000000-0005-0000-0000-000064050000}"/>
    <cellStyle name="T_Sheet1_Mau_bao_cao_XNT_NVTK_tai_NPP 3.7_PIT092008 2" xfId="2706" xr:uid="{00000000-0005-0000-0000-000065050000}"/>
    <cellStyle name="T_Sheet1_PIT092008" xfId="925" xr:uid="{00000000-0005-0000-0000-000066050000}"/>
    <cellStyle name="T_Sheet1_PIT092008 2" xfId="2707" xr:uid="{00000000-0005-0000-0000-000067050000}"/>
    <cellStyle name="T_sua chua cham trung bay  mien Bac" xfId="926" xr:uid="{00000000-0005-0000-0000-000068050000}"/>
    <cellStyle name="T_sua chua cham trung bay  mien Bac 2" xfId="2708" xr:uid="{00000000-0005-0000-0000-000069050000}"/>
    <cellStyle name="T_sua chua cham trung bay  mien Bac_Book1" xfId="927" xr:uid="{00000000-0005-0000-0000-00006A050000}"/>
    <cellStyle name="T_sua chua cham trung bay  mien Bac_Book1 2" xfId="2709" xr:uid="{00000000-0005-0000-0000-00006B050000}"/>
    <cellStyle name="T_sua chua cham trung bay  mien Bac_Book1_F4_5_6__Bao_cao_tai_NPP BICH TIEN" xfId="928" xr:uid="{00000000-0005-0000-0000-00006C050000}"/>
    <cellStyle name="T_sua chua cham trung bay  mien Bac_Book1_F4_5_6__Bao_cao_tai_NPP BICH TIEN 2" xfId="2710" xr:uid="{00000000-0005-0000-0000-00006D050000}"/>
    <cellStyle name="T_sua chua cham trung bay  mien Bac_Book1_F4_5_6__Bao_cao_tai_NPP BICH TIEN_PIT092008" xfId="929" xr:uid="{00000000-0005-0000-0000-00006E050000}"/>
    <cellStyle name="T_sua chua cham trung bay  mien Bac_Book1_F4_5_6__Bao_cao_tai_NPP BICH TIEN_PIT092008 2" xfId="2711" xr:uid="{00000000-0005-0000-0000-00006F050000}"/>
    <cellStyle name="T_sua chua cham trung bay  mien Bac_Book1_Mau_bao_cao_XNT_NVTK_tai_NPP 21.7" xfId="930" xr:uid="{00000000-0005-0000-0000-000070050000}"/>
    <cellStyle name="T_sua chua cham trung bay  mien Bac_Book1_Mau_bao_cao_XNT_NVTK_tai_NPP 21.7 2" xfId="2712" xr:uid="{00000000-0005-0000-0000-000071050000}"/>
    <cellStyle name="T_sua chua cham trung bay  mien Bac_Book1_Mau_bao_cao_XNT_NVTK_tai_NPP 21.7_PIT092008" xfId="931" xr:uid="{00000000-0005-0000-0000-000072050000}"/>
    <cellStyle name="T_sua chua cham trung bay  mien Bac_Book1_Mau_bao_cao_XNT_NVTK_tai_NPP 21.7_PIT092008 2" xfId="2713" xr:uid="{00000000-0005-0000-0000-000073050000}"/>
    <cellStyle name="T_sua chua cham trung bay  mien Bac_Book1_PIT092008" xfId="932" xr:uid="{00000000-0005-0000-0000-000074050000}"/>
    <cellStyle name="T_sua chua cham trung bay  mien Bac_Book1_PIT092008 2" xfId="2714" xr:uid="{00000000-0005-0000-0000-000075050000}"/>
    <cellStyle name="T_sua chua cham trung bay  mien Bac_Copy of Mau_bao_cao_XNT_NVTK_tai_NPP" xfId="933" xr:uid="{00000000-0005-0000-0000-000076050000}"/>
    <cellStyle name="T_sua chua cham trung bay  mien Bac_Copy of Mau_bao_cao_XNT_NVTK_tai_NPP 2" xfId="2715" xr:uid="{00000000-0005-0000-0000-000077050000}"/>
    <cellStyle name="T_sua chua cham trung bay  mien Bac_Copy of Mau_bao_cao_XNT_NVTK_tai_NPP_PIT092008" xfId="934" xr:uid="{00000000-0005-0000-0000-000078050000}"/>
    <cellStyle name="T_sua chua cham trung bay  mien Bac_Copy of Mau_bao_cao_XNT_NVTK_tai_NPP_PIT092008 2" xfId="2716" xr:uid="{00000000-0005-0000-0000-000079050000}"/>
    <cellStyle name="T_sua chua cham trung bay  mien Bac_ĐƠN ĐẶT HÀNG VNM" xfId="935" xr:uid="{00000000-0005-0000-0000-00007A050000}"/>
    <cellStyle name="T_sua chua cham trung bay  mien Bac_ĐƠN ĐẶT HÀNG VNM 2" xfId="2717" xr:uid="{00000000-0005-0000-0000-00007B050000}"/>
    <cellStyle name="T_sua chua cham trung bay  mien Bac_ĐƠN ĐẶT HÀNG VNM_PIT092008" xfId="936" xr:uid="{00000000-0005-0000-0000-00007C050000}"/>
    <cellStyle name="T_sua chua cham trung bay  mien Bac_ĐƠN ĐẶT HÀNG VNM_PIT092008 2" xfId="2718" xr:uid="{00000000-0005-0000-0000-00007D050000}"/>
    <cellStyle name="T_sua chua cham trung bay  mien Bac_F4_5_6__Bao_cao_tai_NPP BICH TIEN" xfId="937" xr:uid="{00000000-0005-0000-0000-00007E050000}"/>
    <cellStyle name="T_sua chua cham trung bay  mien Bac_F4_5_6__Bao_cao_tai_NPP BICH TIEN 2" xfId="2719" xr:uid="{00000000-0005-0000-0000-00007F050000}"/>
    <cellStyle name="T_sua chua cham trung bay  mien Bac_F4_5_6__Bao_cao_tai_NPP BICH TIEN_PIT092008" xfId="938" xr:uid="{00000000-0005-0000-0000-000080050000}"/>
    <cellStyle name="T_sua chua cham trung bay  mien Bac_F4_5_6__Bao_cao_tai_NPP BICH TIEN_PIT092008 2" xfId="2720" xr:uid="{00000000-0005-0000-0000-000081050000}"/>
    <cellStyle name="T_sua chua cham trung bay  mien Bac_form__moi__bao_cao_ngay_NEW_AGAIN" xfId="939" xr:uid="{00000000-0005-0000-0000-000082050000}"/>
    <cellStyle name="T_sua chua cham trung bay  mien Bac_form__moi__bao_cao_ngay_NEW_AGAIN 2" xfId="2721" xr:uid="{00000000-0005-0000-0000-000083050000}"/>
    <cellStyle name="T_sua chua cham trung bay  mien Bac_form__moi__bao_cao_ngay_NEW_AGAIN_PIT092008" xfId="940" xr:uid="{00000000-0005-0000-0000-000084050000}"/>
    <cellStyle name="T_sua chua cham trung bay  mien Bac_form__moi__bao_cao_ngay_NEW_AGAIN_PIT092008 2" xfId="2722" xr:uid="{00000000-0005-0000-0000-000085050000}"/>
    <cellStyle name="T_sua chua cham trung bay  mien Bac_Mau -bao_cao_XNT_NVTK_tai_NPP 19.7" xfId="941" xr:uid="{00000000-0005-0000-0000-000086050000}"/>
    <cellStyle name="T_sua chua cham trung bay  mien Bac_Mau -bao_cao_XNT_NVTK_tai_NPP 19.7 2" xfId="2723" xr:uid="{00000000-0005-0000-0000-000087050000}"/>
    <cellStyle name="T_sua chua cham trung bay  mien Bac_Mau -bao_cao_XNT_NVTK_tai_NPP 19.7_PIT092008" xfId="942" xr:uid="{00000000-0005-0000-0000-000088050000}"/>
    <cellStyle name="T_sua chua cham trung bay  mien Bac_Mau -bao_cao_XNT_NVTK_tai_NPP 19.7_PIT092008 2" xfId="2724" xr:uid="{00000000-0005-0000-0000-000089050000}"/>
    <cellStyle name="T_sua chua cham trung bay  mien Bac_Mau_bao_cao_XNT_NVTK_tai_NPP 21.7" xfId="943" xr:uid="{00000000-0005-0000-0000-00008A050000}"/>
    <cellStyle name="T_sua chua cham trung bay  mien Bac_Mau_bao_cao_XNT_NVTK_tai_NPP 21.7 2" xfId="2725" xr:uid="{00000000-0005-0000-0000-00008B050000}"/>
    <cellStyle name="T_sua chua cham trung bay  mien Bac_Mau_bao_cao_XNT_NVTK_tai_NPP 21.7_PIT092008" xfId="944" xr:uid="{00000000-0005-0000-0000-00008C050000}"/>
    <cellStyle name="T_sua chua cham trung bay  mien Bac_Mau_bao_cao_XNT_NVTK_tai_NPP 21.7_PIT092008 2" xfId="2726" xr:uid="{00000000-0005-0000-0000-00008D050000}"/>
    <cellStyle name="T_sua chua cham trung bay  mien Bac_Mau_bao_cao_XNT_NVTK_tai_NPP 3.7" xfId="945" xr:uid="{00000000-0005-0000-0000-00008E050000}"/>
    <cellStyle name="T_sua chua cham trung bay  mien Bac_Mau_bao_cao_XNT_NVTK_tai_NPP 3.7 2" xfId="2727" xr:uid="{00000000-0005-0000-0000-00008F050000}"/>
    <cellStyle name="T_sua chua cham trung bay  mien Bac_Mau_bao_cao_XNT_NVTK_tai_NPP 3.7_1" xfId="946" xr:uid="{00000000-0005-0000-0000-000090050000}"/>
    <cellStyle name="T_sua chua cham trung bay  mien Bac_Mau_bao_cao_XNT_NVTK_tai_NPP 3.7_1 2" xfId="2728" xr:uid="{00000000-0005-0000-0000-000091050000}"/>
    <cellStyle name="T_sua chua cham trung bay  mien Bac_Mau_bao_cao_XNT_NVTK_tai_NPP 3.7_1_PIT092008" xfId="947" xr:uid="{00000000-0005-0000-0000-000092050000}"/>
    <cellStyle name="T_sua chua cham trung bay  mien Bac_Mau_bao_cao_XNT_NVTK_tai_NPP 3.7_1_PIT092008 2" xfId="2729" xr:uid="{00000000-0005-0000-0000-000093050000}"/>
    <cellStyle name="T_sua chua cham trung bay  mien Bac_Mau_bao_cao_XNT_NVTK_tai_NPP 3.7_PIT092008" xfId="948" xr:uid="{00000000-0005-0000-0000-000094050000}"/>
    <cellStyle name="T_sua chua cham trung bay  mien Bac_Mau_bao_cao_XNT_NVTK_tai_NPP 3.7_PIT092008 2" xfId="2730" xr:uid="{00000000-0005-0000-0000-000095050000}"/>
    <cellStyle name="T_sua chua cham trung bay  mien Bac_PIT092008" xfId="949" xr:uid="{00000000-0005-0000-0000-000096050000}"/>
    <cellStyle name="T_sua chua cham trung bay  mien Bac_PIT092008 2" xfId="2731" xr:uid="{00000000-0005-0000-0000-000097050000}"/>
    <cellStyle name="T_tong kho 31.12.06" xfId="950" xr:uid="{00000000-0005-0000-0000-000098050000}"/>
    <cellStyle name="T_tong kho 31.12.06 2" xfId="2732" xr:uid="{00000000-0005-0000-0000-000099050000}"/>
    <cellStyle name="T_tong kho 31.12.06_PIT092008" xfId="951" xr:uid="{00000000-0005-0000-0000-00009A050000}"/>
    <cellStyle name="T_tong kho 31.12.06_PIT092008 2" xfId="2733" xr:uid="{00000000-0005-0000-0000-00009B050000}"/>
    <cellStyle name="T_Week21__Form_BCKM" xfId="952" xr:uid="{00000000-0005-0000-0000-00009C050000}"/>
    <cellStyle name="T_Week21__Form_BCKM 2" xfId="2734" xr:uid="{00000000-0005-0000-0000-00009D050000}"/>
    <cellStyle name="T_Week21__Form_BCKM_PIT092008" xfId="953" xr:uid="{00000000-0005-0000-0000-00009E050000}"/>
    <cellStyle name="T_Week21__Form_BCKM_PIT092008 2" xfId="2735" xr:uid="{00000000-0005-0000-0000-00009F050000}"/>
    <cellStyle name="Text" xfId="954" xr:uid="{00000000-0005-0000-0000-0000A0050000}"/>
    <cellStyle name="Text Indent A" xfId="955" xr:uid="{00000000-0005-0000-0000-0000A1050000}"/>
    <cellStyle name="Text Indent B" xfId="956" xr:uid="{00000000-0005-0000-0000-0000A2050000}"/>
    <cellStyle name="Text Indent C" xfId="957" xr:uid="{00000000-0005-0000-0000-0000A3050000}"/>
    <cellStyle name="th" xfId="958" xr:uid="{00000000-0005-0000-0000-0000A4050000}"/>
    <cellStyle name="þ_x001d_" xfId="959" xr:uid="{00000000-0005-0000-0000-0000A5050000}"/>
    <cellStyle name="th 2" xfId="2736" xr:uid="{00000000-0005-0000-0000-0000A6050000}"/>
    <cellStyle name="th_Book1" xfId="960" xr:uid="{00000000-0005-0000-0000-0000A7050000}"/>
    <cellStyle name="þ_x001d__Book1" xfId="961" xr:uid="{00000000-0005-0000-0000-0000A8050000}"/>
    <cellStyle name="th_Book1 2" xfId="2737" xr:uid="{00000000-0005-0000-0000-0000A9050000}"/>
    <cellStyle name="þ_Book1_1" xfId="962" xr:uid="{00000000-0005-0000-0000-0000AA050000}"/>
    <cellStyle name="þ_Book1_1_PIT092008" xfId="963" xr:uid="{00000000-0005-0000-0000-0000AB050000}"/>
    <cellStyle name="þ_Book1_bao cao ngay 26-10-2006_sb-sd" xfId="964" xr:uid="{00000000-0005-0000-0000-0000AC050000}"/>
    <cellStyle name="þ_Book1_bao cao ngay 26-10-2006_sb-sd_PIT092008" xfId="965" xr:uid="{00000000-0005-0000-0000-0000AD050000}"/>
    <cellStyle name="þ_Book1_BAO CAO TY LE THUC HIEN DEN NGAY 21-10" xfId="966" xr:uid="{00000000-0005-0000-0000-0000AE050000}"/>
    <cellStyle name="þ_Book1_BAO CAO TY LE THUC HIEN DEN NGAY 21-10_PIT092008" xfId="967" xr:uid="{00000000-0005-0000-0000-0000AF050000}"/>
    <cellStyle name="þ_Book1_BAO CAO TY LE THUC HIEN DEN NGAY 25-10" xfId="968" xr:uid="{00000000-0005-0000-0000-0000B0050000}"/>
    <cellStyle name="þ_Book1_BAO CAO TY LE THUC HIEN DEN NGAY 25-10_PIT092008" xfId="969" xr:uid="{00000000-0005-0000-0000-0000B1050000}"/>
    <cellStyle name="th_Book1_PIT092008" xfId="970" xr:uid="{00000000-0005-0000-0000-0000B2050000}"/>
    <cellStyle name="þ_x001d__Book1_PIT092008" xfId="971" xr:uid="{00000000-0005-0000-0000-0000B3050000}"/>
    <cellStyle name="th_Book1_PIT092008 2" xfId="2738" xr:uid="{00000000-0005-0000-0000-0000B4050000}"/>
    <cellStyle name="þ_Copy of Mau_bao_cao_XNT_NVTK_tai_NPP" xfId="972" xr:uid="{00000000-0005-0000-0000-0000B5050000}"/>
    <cellStyle name="th_Copy of Mau_bao_cao_XNT_NVTK_tai_NPP_1" xfId="973" xr:uid="{00000000-0005-0000-0000-0000B6050000}"/>
    <cellStyle name="þ_Copy of Mau_bao_cao_XNT_NVTK_tai_NPP_PIT092008" xfId="974" xr:uid="{00000000-0005-0000-0000-0000B7050000}"/>
    <cellStyle name="þ_DS Diem Le F6A 3-8" xfId="975" xr:uid="{00000000-0005-0000-0000-0000B8050000}"/>
    <cellStyle name="þ_DS Diem Le F6A 3-8_PIT092008" xfId="976" xr:uid="{00000000-0005-0000-0000-0000B9050000}"/>
    <cellStyle name="þ_gui DuongNXT" xfId="977" xr:uid="{00000000-0005-0000-0000-0000BA050000}"/>
    <cellStyle name="þ_gui DuongNXT_PIT092008" xfId="978" xr:uid="{00000000-0005-0000-0000-0000BB050000}"/>
    <cellStyle name="þ_Mau_bao_cao_XNT_NVTK_tai_NPP" xfId="979" xr:uid="{00000000-0005-0000-0000-0000BC050000}"/>
    <cellStyle name="th_Mau_bao_cao_XNT_NVTK_tai_NPP 1.7" xfId="980" xr:uid="{00000000-0005-0000-0000-0000BD050000}"/>
    <cellStyle name="þ_Mau_bao_cao_XNT_NVTK_tai_NPP 21.7_1" xfId="981" xr:uid="{00000000-0005-0000-0000-0000BE050000}"/>
    <cellStyle name="þ_Mau_bao_cao_XNT_NVTK_tai_NPP 21.7_1_PIT092008" xfId="982" xr:uid="{00000000-0005-0000-0000-0000BF050000}"/>
    <cellStyle name="th_Mau_bao_cao_XNT_NVTK_tai_NPP 3.7" xfId="983" xr:uid="{00000000-0005-0000-0000-0000C0050000}"/>
    <cellStyle name="þ_Mau_bao_cao_XNT_NVTK_tai_NPP 3.7_1" xfId="984" xr:uid="{00000000-0005-0000-0000-0000C1050000}"/>
    <cellStyle name="þ_Mau_bao_cao_XNT_NVTK_tai_NPP 3.7_1_PIT092008" xfId="985" xr:uid="{00000000-0005-0000-0000-0000C2050000}"/>
    <cellStyle name="th_Mau_bao_cao_XNT_NVTK_tai_NPP 3.7_PIT092008" xfId="986" xr:uid="{00000000-0005-0000-0000-0000C3050000}"/>
    <cellStyle name="þ_Mau_bao_cao_XNT_NVTK_tai_NPP_PIT092008" xfId="987" xr:uid="{00000000-0005-0000-0000-0000C4050000}"/>
    <cellStyle name="th_PIT092008" xfId="988" xr:uid="{00000000-0005-0000-0000-0000C5050000}"/>
    <cellStyle name="þ_x001d__PIT092008" xfId="989" xr:uid="{00000000-0005-0000-0000-0000C6050000}"/>
    <cellStyle name="th_PIT092008 2" xfId="2739" xr:uid="{00000000-0005-0000-0000-0000C7050000}"/>
    <cellStyle name="Thanh" xfId="990" xr:uid="{00000000-0005-0000-0000-0000C8050000}"/>
    <cellStyle name="þ_x001d_ð" xfId="991" xr:uid="{00000000-0005-0000-0000-0000C9050000}"/>
    <cellStyle name="þ_x001d_ð¤" xfId="992" xr:uid="{00000000-0005-0000-0000-0000CA050000}"/>
    <cellStyle name="þ_x001d_ð¤_x000c_" xfId="993" xr:uid="{00000000-0005-0000-0000-0000CB050000}"/>
    <cellStyle name="þ_x001d_ð¤_x000c_¯" xfId="994" xr:uid="{00000000-0005-0000-0000-0000CC050000}"/>
    <cellStyle name="þ_x001d_ð¤_x000c_¯þ_x0014_" xfId="995" xr:uid="{00000000-0005-0000-0000-0000CD050000}"/>
    <cellStyle name="þ_x001d_ð¤_x000c_¯þ_x0014__x000d_" xfId="996" xr:uid="{00000000-0005-0000-0000-0000CE050000}"/>
    <cellStyle name="þ_x001d_ð¤_x000c_¯þ_x0014__x000d_¨" xfId="997" xr:uid="{00000000-0005-0000-0000-0000CF050000}"/>
    <cellStyle name="þ_x001d_ð¤_x000c_¯þ_x0014__x000d_¨þ" xfId="998" xr:uid="{00000000-0005-0000-0000-0000D0050000}"/>
    <cellStyle name="þ_x001d_ð¤_x000c_¯þ_x0014__x000d_¨þU" xfId="999" xr:uid="{00000000-0005-0000-0000-0000D1050000}"/>
    <cellStyle name="þ_x001d_ð¤_x000c_¯þ_x0014__x000d_¨þU_x0001_" xfId="1000" xr:uid="{00000000-0005-0000-0000-0000D2050000}"/>
    <cellStyle name="þ_x001d_ð¤_x000c_¯þ_x0014__x000d_¨þU_PIT092008" xfId="1001" xr:uid="{00000000-0005-0000-0000-0000D3050000}"/>
    <cellStyle name="þ_x001d_ð¤_x000c_¯þ_x0014__x000d_¨þU_x0001__PIT092008" xfId="1002" xr:uid="{00000000-0005-0000-0000-0000D4050000}"/>
    <cellStyle name="þ_x001d_ð¤_x000c_¯þ_x0014__x000d_¨þU_x0001_À" xfId="1003" xr:uid="{00000000-0005-0000-0000-0000D5050000}"/>
    <cellStyle name="þ_x001d_ð¤_x000c_¯þ_x0014__x000d_¨þU_x0001_À_x0004_ " xfId="1004" xr:uid="{00000000-0005-0000-0000-0000D6050000}"/>
    <cellStyle name="þ_x001d_ð¤_x000c_¯þ_x0014__x000d_¨þU_x0001_À_x0004_ _x0015_" xfId="1005" xr:uid="{00000000-0005-0000-0000-0000D7050000}"/>
    <cellStyle name="þ_x001d_ð¤_x000c_¯þ_x0014__x000d_¨þU_x0001_À_x0004_ _x0015__x000f_" xfId="1006" xr:uid="{00000000-0005-0000-0000-0000D8050000}"/>
    <cellStyle name="þ_x001d_ð¤_x000c_¯þ_x0014__x000d_¨þU_x0001_À_x0004_ _x0015__x000f__x0001_" xfId="1007" xr:uid="{00000000-0005-0000-0000-0000D9050000}"/>
    <cellStyle name="þ_x001d_ð¤_x000c_¯þ_x0014__x000d_¨þU_x0001_À_x0004_ _x0015__x000f__x0001__x0001_" xfId="1008" xr:uid="{00000000-0005-0000-0000-0000DA050000}"/>
    <cellStyle name="þ_x001d_ð¤_x000c_¯þ_x0014__x000d_¨þU_x0001_À_x0004_ _x0015__x000f__x0001__x0001_?_x0002_" xfId="1009" xr:uid="{00000000-0005-0000-0000-0000DB050000}"/>
    <cellStyle name="þ_x001d_ð¤_x000c_¯þ_x0014__x000d_¨þU_x0001_À_x0004_ _x0015__x000f__x0001__x0001_?_x0002_ 1" xfId="1010" xr:uid="{00000000-0005-0000-0000-0000DC050000}"/>
    <cellStyle name="þ_x001d_ð¤_x000c_¯þ_x0014__x000d_¨þU_x0001_À_x0004_ _x0015__x000f__x0001__x0001_?_bao cao ngay 11-9" xfId="1011" xr:uid="{00000000-0005-0000-0000-0000DD050000}"/>
    <cellStyle name="þ_x001d_ð¤_x000c_¯þ_x0014__x000d_¨þU_x0001_À_x0004_ _x0015__x000f__x0001__x0001_?_x0002_ÿ" xfId="1012" xr:uid="{00000000-0005-0000-0000-0000DE050000}"/>
    <cellStyle name="þ_x001d_ð¤_x000c_¯þ_x0014__x000d_¨þU_x0001_À_x0004_ _x0015__x000f__x0001__x0001_?_x0002_ÿ 1" xfId="1013" xr:uid="{00000000-0005-0000-0000-0000DF050000}"/>
    <cellStyle name="þ_x001d_ð¤_x000c_¯þ_x0014__x000d_¨þU_x0001_À_x0004_ _x0015__x000f__x0001__x0001_?_x0002_ÿÿ" xfId="1014" xr:uid="{00000000-0005-0000-0000-0000E0050000}"/>
    <cellStyle name="þ_x001d_ð¤_x000c_¯þ_x0014__x000d_¨þU_x0001_À_x0004_ _x0015__x000f__x0001__x0001_?_x0002_ÿÿ 1" xfId="1015" xr:uid="{00000000-0005-0000-0000-0000E1050000}"/>
    <cellStyle name="þ_x001d_ð¤_x000c_¯þ_x0014__x000d_¨þU_x0001_À_x0004_ _x0015__x000f__x0001__x0001_?_x0002_ÿÿÿ" xfId="1016" xr:uid="{00000000-0005-0000-0000-0000E2050000}"/>
    <cellStyle name="þ_x001d_ð¤_x000c_¯þ_x0014__x000d_¨þU_x0001_À_x0004_ _x0015__x000f__x0001__x0001_?_x0002_ÿÿÿ 1" xfId="1017" xr:uid="{00000000-0005-0000-0000-0000E3050000}"/>
    <cellStyle name="þ_x001d_ð¤_x000c_¯þ_x0014__x000d_¨þU_x0001_À_x0004_ _x0015__x000f__x0001__x0001_?_x0002_ÿÿÿÿÿ" xfId="1018" xr:uid="{00000000-0005-0000-0000-0000E4050000}"/>
    <cellStyle name="þ_x001d_ð¤_x000c_¯þ_x0014__x000d_¨þU_x0001_À_x0004_ _x0015__x000f__x0001__x0001_?_x0002_ÿÿÿÿÿ 1" xfId="1019" xr:uid="{00000000-0005-0000-0000-0000E5050000}"/>
    <cellStyle name="þ_x001d_ð¤_x000c_¯þ_x0014__x000d_¨þU_x0001_À_x0004_ _x0015__x000f__x0001__x0001_?_x0002_ÿÿÿÿÿÿÿÿÿ" xfId="1020" xr:uid="{00000000-0005-0000-0000-0000E6050000}"/>
    <cellStyle name="þ_x001d_ð¤_x000c_¯þ_x0014__x000d_¨þU_x0001_À_x0004_ _x0015__x000f__x0001__x0001_?_x0002_ÿÿÿÿÿÿÿÿÿ 1" xfId="1021" xr:uid="{00000000-0005-0000-0000-0000E7050000}"/>
    <cellStyle name="þ_x001d_ð¤_x000c_¯þ_x0014__x000d_¨þU_x0001_À_x0004_ _x0015__x000f__x0001__x0001_?_x0002_ÿÿÿÿÿÿÿÿÿÿÿÿ" xfId="1022" xr:uid="{00000000-0005-0000-0000-0000E8050000}"/>
    <cellStyle name="þ_x001d_ð¤_x000c_¯þ_x0014__x000d_¨þU_x0001_À_x0004_ _x0015__x000f__x0001__x0001_?_x0002_ÿÿÿÿÿÿÿÿÿÿÿÿ 1" xfId="1023" xr:uid="{00000000-0005-0000-0000-0000E9050000}"/>
    <cellStyle name="þ_x001d_ð¤_x000c_¯þ_x0014__x000d_¨þU_x0001_À_x0004_ _x0015__x000f__x0001__x0001_?_x0002_ÿÿÿÿÿÿÿÿÿÿÿÿÿ" xfId="1024" xr:uid="{00000000-0005-0000-0000-0000EA050000}"/>
    <cellStyle name="þ_x001d_ð¤_x000c_¯þ_x0014__x000d_¨þU_x0001_À_x0004_ _x0015__x000f__x0001__x0001_?_x0002_ÿÿÿÿÿÿÿÿÿÿÿÿÿ 1" xfId="1025" xr:uid="{00000000-0005-0000-0000-0000EB050000}"/>
    <cellStyle name="þ_x001d_ð¤_x000c_¯þ_x0014__x000d_¨þU_x0001_À_x0004_ _x0015__x000f__x0001__x0001_?_x0002_ÿÿÿÿÿÿÿÿÿÿÿÿÿÿ" xfId="1026" xr:uid="{00000000-0005-0000-0000-0000EC050000}"/>
    <cellStyle name="þ_x001d_ð¤_x000c_¯þ_x0014__x000d_¨þU_x0001_À_x0004_ _x0015__x000f__x0001__x0001_?_x0002_ÿÿÿÿÿÿÿÿÿÿÿÿÿÿ 1" xfId="1027" xr:uid="{00000000-0005-0000-0000-0000ED050000}"/>
    <cellStyle name="þ_x001d_ð¤_x000c_¯þ_x0014__x000d_¨þU_x0001_À_x0004_ _x0015__x000f__x0001__x0001_?_x0002_ÿÿÿÿÿÿÿÿÿÿÿÿÿÿÿ¯?" xfId="1028" xr:uid="{00000000-0005-0000-0000-0000EE050000}"/>
    <cellStyle name="þ_x001d_ð¤_x000c_¯þ_x0014__x000d_¨þU_x0001_À_x0004_ _x0015__x000f__x0001__x0001_?_x0002_ÿÿÿÿÿÿÿÿÿÿÿÿÿÿÿ¯? 1" xfId="1029" xr:uid="{00000000-0005-0000-0000-0000EF050000}"/>
    <cellStyle name="þ_x001d_ð¤_x000c_¯þ_x0014__x000d_¨þU_x0001_À_x0004_ _x0015__x000f__x0001__x0001_?_x0002_ÿÿÿÿÿÿÿÿÿÿÿÿÿÿÿ¯?(_x0002_" xfId="1030" xr:uid="{00000000-0005-0000-0000-0000F0050000}"/>
    <cellStyle name="þ_x001d_ð¤_x000c_¯þ_x0014__x000d_¨þU_x0001_À_x0004_ _x0015__x000f__x0001__x0001_?_x0002_ÿÿÿÿÿÿÿÿÿÿÿÿÿÿÿ¯?(_x0002__x001d_" xfId="1031" xr:uid="{00000000-0005-0000-0000-0000F1050000}"/>
    <cellStyle name="þ_x001d_ð¤_x000c_¯þ_x0014__x000d_¨þU_x0001_À_x0004_ _x0015__x000f__x0001__x0001_?_x0002_ÿÿÿÿÿÿÿÿÿÿÿÿÿÿÿ¯?(_x0002__x001d__x0017_ ?" xfId="1032" xr:uid="{00000000-0005-0000-0000-0000F2050000}"/>
    <cellStyle name="þ_x001d_ð¤_x000c_¯þ_x0014__x000d_¨þU_x0001_À_x0004_ _x0015__x000f__x0001__x0001_?_x0002_ÿÿÿÿÿÿÿÿÿÿÿÿÿÿÿ¯?(_x0002__x001d__x0017_ ? 1" xfId="1033" xr:uid="{00000000-0005-0000-0000-0000F3050000}"/>
    <cellStyle name="þ_x001d_ð¤_x000c_¯þ_x0014__x000d_¨þU_x0001_À_x0004_ _x0015__x000f__x0001__x0001_?_x0002_ÿÿÿÿÿÿÿÿÿÿÿÿÿÿÿ¯?(_x0002__x001d__x0017_ ???º%ÿÿÿ" xfId="1034" xr:uid="{00000000-0005-0000-0000-0000F4050000}"/>
    <cellStyle name="þ_x001d_ð¤_x000c_¯þ_x0014__x000d_¨þU_x0001_À_x0004_ _x0015__x000f__x0001__x0001_?_x0002_ÿÿÿÿÿÿÿÿÿÿÿÿÿÿÿ¯?(_x0002__x001d__x0017_ ???º%ÿÿÿ 1" xfId="1035" xr:uid="{00000000-0005-0000-0000-0000F5050000}"/>
    <cellStyle name="þ_x001d_ð¤_x000c_¯þ_x0014__x000d_¨þU_x0001_À_x0004_ _x0015__x000f__x0001__x0001_?_x0002_ÿÿÿÿÿÿÿÿÿÿÿÿÿÿÿ¯?(_x0002__x001d__x0017_ ???º%ÿÿÿÿ????_x0006__x0016_??????????????Í!Ë??????????           ?????           ?????????_x000d__x000d_U_x000d_H\D2_x000d_D2\DEMO.MSC_x000d_S;C:\DOS;C:\HANH\D3;C:\HANH\D2;C:\NC_x000d_????????????????????????????????????????????????????????????" xfId="1036" xr:uid="{00000000-0005-0000-0000-0000F6050000}"/>
    <cellStyle name="þ_x001d_ð¤_x000c_¯þ_x0014__x000d_¨þU_x0001_À_x0004_ _x0015__x000f__x0001__x0001_?_x0002_ÿÿÿÿÿÿÿÿÿÿÿÿÿÿÿ¯?(_x0002__x001d__x0017_ ???º%ÿÿÿÿ????_x0006__x0016_??????????????Í!Ë??????????           ?????           ?????????_x000d__x000d_U_x000d_H\D2_x000d_D2\DEMO.MSC_x000d_S;C:\DOS;C:\HANH\D3;C:\HANH\D2;C:\NC_x000d_???????????????????????????????????????????????????????????? 1" xfId="1037" xr:uid="{00000000-0005-0000-0000-0000F7050000}"/>
    <cellStyle name="þ_x001d_ð¤_x000c_¯þ_x0014__x000d_¨þU_x0001_À_x0004_ _x0015__x000f__x0001__x0001_?_x0002_ÿÿÿÿÿÿÿÿÿÿÿÿÿÿÿ¯?(_x0002__x001d__x0017_ ???º%ÿÿÿÿ????_x0006__x0016_??????????????Í!Ë??????????           ?????           ?????????_x000d__x000d_U_x000d_H\D2_x000d_D2\DEMO.MSC_x000d_S;C:\DOS;C:\HANH\D3;C:\HANH\D2;C:\NC_x000d_????????????????????????????????????????????????????????????_02-08" xfId="1038" xr:uid="{00000000-0005-0000-0000-0000F8050000}"/>
    <cellStyle name="þ_x001d_ð¤_x000c_¯þ_x0014__x000d_¨þU_x0001_À_x0004_ _x0015__x000f__x0001__x0001_?_x0002_ÿÿÿÿÿÿÿÿÿÿÿÿÿÿÿ¯?(_x0002_ 1" xfId="1039" xr:uid="{00000000-0005-0000-0000-0000F9050000}"/>
    <cellStyle name="þ_x001d_ð¤_x000c_¯þ_x0014__x000d_¨þU_x0001_À_x0004_ _x0015__x000f__x0001__x0001_?_x0002_ÿÿÿÿÿÿÿÿÿÿÿÿÿÿÿ¯?(_x0002__x001d_ 1" xfId="1040" xr:uid="{00000000-0005-0000-0000-0000FA050000}"/>
    <cellStyle name="þ_x001d_ð¤_x000c_¯þ_x0014__x000d_¨þU_x0001_À_x0004_ _x0015__x000f__x0001__x0001__Bao cao cua NVTK tai NPP" xfId="1041" xr:uid="{00000000-0005-0000-0000-0000FB050000}"/>
    <cellStyle name="þ_x001d_ð¤_x000c_¯þ_x0014__x000d_¨þU_x0001_À_x0004_ _bao cao ngay 26-10-2006_sb-sd" xfId="1042" xr:uid="{00000000-0005-0000-0000-0000FC050000}"/>
    <cellStyle name="þ_x001d_ð¤_x000c_¯þ_x0014__x000d_¨þU_x0001_À_x0004_ _x0015__bao cao ngay 26-10-2006_sb-sd" xfId="1043" xr:uid="{00000000-0005-0000-0000-0000FD050000}"/>
    <cellStyle name="þ_x001d_ð¤_x000c_¯þ_x0014__x000d_¨þU_x0001_À_x0004_ _bao cao ngay 26-10-2006_sb-sd_PIT092008" xfId="1044" xr:uid="{00000000-0005-0000-0000-0000FE050000}"/>
    <cellStyle name="þ_x001d_ð¤_x000c_¯þ_x0014__x000d_¨þU_x0001_À_x0004_ _x0015__bao cao ngay 26-10-2006_sb-sd_PIT092008" xfId="1045" xr:uid="{00000000-0005-0000-0000-0000FF050000}"/>
    <cellStyle name="þ_x001d_ð¤_x000c_¯þ_x0014__x000d_¨þU_x0001_À_x0004_ _x0015__x000f__x0001__x0001__bao cao ngay 28-9" xfId="1046" xr:uid="{00000000-0005-0000-0000-000000060000}"/>
    <cellStyle name="þ_x001d_ð¤_x000c_¯þ_x0014__x000d_¨þU_x0001_À_x0004_ _Bao cao NVTK NPP Vinh Tuyen ngay 21-09 (2)" xfId="1047" xr:uid="{00000000-0005-0000-0000-000001060000}"/>
    <cellStyle name="þ_x001d_ð¤_x000c_¯þ_x0014__x000d_¨þU_x0001_À_x0004_ _x0015__x000f__x0001__x0001__Bao cao NVTK NPP Vinh Tuyen ngay 21-09 (2)" xfId="1048" xr:uid="{00000000-0005-0000-0000-000002060000}"/>
    <cellStyle name="þ_x001d_ð¤_x000c_¯þ_x0014__x000d_¨þU_x0001_À_x0004_ _Bao cao NVTK NPP Vinh Tuyen ngay 21-09 (2)_PIT092008" xfId="1049" xr:uid="{00000000-0005-0000-0000-000003060000}"/>
    <cellStyle name="þ_x001d_ð¤_x000c_¯þ_x0014__x000d_¨þU_x0001_À_x0004_ _x0015__x000f__x0001__x0001__Bao cao NVTK NPP Vinh Tuyen ngay 21-09 (2)_PIT092008" xfId="1050" xr:uid="{00000000-0005-0000-0000-000004060000}"/>
    <cellStyle name="þ_x001d_ð¤_x000c_¯þ_x0014__x000d_¨þU_x0001_À_x0004_ _x0015__BAO CAO TONG HOP TINH HINH DAT HANG  NPP (1)" xfId="1051" xr:uid="{00000000-0005-0000-0000-000005060000}"/>
    <cellStyle name="þ_x001d_ð¤_x000c_¯þ_x0014__x000d_¨þU_x0001_À_x0004_ _BAO CAO TY LE THUC HIEN DEN NGAY 21-10" xfId="1052" xr:uid="{00000000-0005-0000-0000-000006060000}"/>
    <cellStyle name="þ_x001d_ð¤_x000c_¯þ_x0014__x000d_¨þU_x0001_À_x0004_ _x0015__BAO CAO TY LE THUC HIEN DEN NGAY 21-10" xfId="1053" xr:uid="{00000000-0005-0000-0000-000007060000}"/>
    <cellStyle name="þ_x001d_ð¤_x000c_¯þ_x0014__x000d_¨þU_x0001_À_x0004_ _BAO CAO TY LE THUC HIEN DEN NGAY 21-10_PIT092008" xfId="1054" xr:uid="{00000000-0005-0000-0000-000008060000}"/>
    <cellStyle name="þ_x001d_ð¤_x000c_¯þ_x0014__x000d_¨þU_x0001_À_x0004_ _x0015__BAO CAO TY LE THUC HIEN DEN NGAY 21-10_PIT092008" xfId="1055" xr:uid="{00000000-0005-0000-0000-000009060000}"/>
    <cellStyle name="þ_x001d_ð¤_x000c_¯þ_x0014__x000d_¨þU_x0001_À_x0004_ _BAO CAO TY LE THUC HIEN DEN NGAY 25-10" xfId="1056" xr:uid="{00000000-0005-0000-0000-00000A060000}"/>
    <cellStyle name="þ_x001d_ð¤_x000c_¯þ_x0014__x000d_¨þU_x0001_À_x0004_ _x0015__BAO CAO TY LE THUC HIEN DEN NGAY 25-10" xfId="1057" xr:uid="{00000000-0005-0000-0000-00000B060000}"/>
    <cellStyle name="þ_x001d_ð¤_x000c_¯þ_x0014__x000d_¨þU_x0001_À_x0004_ _BAO CAO TY LE THUC HIEN DEN NGAY 25-10_PIT092008" xfId="1058" xr:uid="{00000000-0005-0000-0000-00000C060000}"/>
    <cellStyle name="þ_x001d_ð¤_x000c_¯þ_x0014__x000d_¨þU_x0001_À_x0004_ _x0015__BAO CAO TY LE THUC HIEN DEN NGAY 25-10_PIT092008" xfId="1059" xr:uid="{00000000-0005-0000-0000-00000D060000}"/>
    <cellStyle name="þ_x001d_ð¤_x000c_¯þ_x0014__x000d_¨þU_x0001_À_x0004_ _x0015__x000f__Book1" xfId="1060" xr:uid="{00000000-0005-0000-0000-00000E060000}"/>
    <cellStyle name="þ_x001d_ð¤_x000c_¯þ_x0014__x000d_¨þU_x0001_À_x0004_ _PIT092008" xfId="1061" xr:uid="{00000000-0005-0000-0000-00000F060000}"/>
    <cellStyle name="þ_x001d_ð¤_x000c_¯þ_x0014__x000d_¨þU_x0001_À_x0004_ _x0015__PIT092008" xfId="1062" xr:uid="{00000000-0005-0000-0000-000010060000}"/>
    <cellStyle name="þ_x001d_ð¤_x000c_¯þ_x0014__x000d_¨þU_x0001_À_x0004_ _x0015__x000f__PIT092008" xfId="1063" xr:uid="{00000000-0005-0000-0000-000011060000}"/>
    <cellStyle name="þ_x001d_ð¤_x000c_¯þ_x0014__x000d_¨þU_x0001_À_x0004_ _x0015__x000f__x0001__PIT092008" xfId="1064" xr:uid="{00000000-0005-0000-0000-000012060000}"/>
    <cellStyle name="þ_x001d_ð¤_x000c_¯þ_x0014__x000d_¨þU_x0001_À_x0004_ _x0015__x000f__x0001__x0001__PIT092008" xfId="1065" xr:uid="{00000000-0005-0000-0000-000013060000}"/>
    <cellStyle name="þ_x001d_ð¤_x000c_¯þ_x0014__x000d_¨þU_x0001_À_Bao cao F1_don dat hang 03.09.06 NPP Q.1" xfId="1066" xr:uid="{00000000-0005-0000-0000-000014060000}"/>
    <cellStyle name="þ_x001d_ð¤_x000c_¯þ_x0014__bao cao ngay 26-10-2006_sb-sd" xfId="1067" xr:uid="{00000000-0005-0000-0000-000015060000}"/>
    <cellStyle name="þ_x001d_ð¤_BC- HOANG GIA F1- 2- 06.07.06" xfId="1068" xr:uid="{00000000-0005-0000-0000-000016060000}"/>
    <cellStyle name="þ_x001d_ðK_x000c_Fý_x001b__x000d_9ýU_x0001_Ð_x0008_¦)_x0007__x0001__x0001_?_x0002_ÿÿÿÿÿÿÿÿÿÿÿÿÿÿÿ¯?(_x0002_$- ???&amp;&lt;ÿÿÿÿ??Î_x0005__x0006__x0014_??????????????Í!Ë??????????           ?????           ?????????_x000d_._x000d__DELL2\VOL1:NET_CONF\MESSAGE2.TXT_x000d_AMAMOTO_x000d_\HYPERION\HYPPROGS_x000d_??????????????????????????????????????????????????????" xfId="1069" xr:uid="{00000000-0005-0000-0000-000017060000}"/>
    <cellStyle name="Title" xfId="1070" xr:uid="{00000000-0005-0000-0000-000018060000}"/>
    <cellStyle name="TitleCol" xfId="1071" xr:uid="{00000000-0005-0000-0000-000019060000}"/>
    <cellStyle name="TitleTme" xfId="1072" xr:uid="{00000000-0005-0000-0000-00001A060000}"/>
    <cellStyle name="Total" xfId="1073" xr:uid="{00000000-0005-0000-0000-00001B060000}"/>
    <cellStyle name="Total 2" xfId="1074" xr:uid="{00000000-0005-0000-0000-00001C060000}"/>
    <cellStyle name="Total 2 2" xfId="1075" xr:uid="{00000000-0005-0000-0000-00001D060000}"/>
    <cellStyle name="Total 2 2 2" xfId="2742" xr:uid="{00000000-0005-0000-0000-00001E060000}"/>
    <cellStyle name="Total 2 3" xfId="2741" xr:uid="{00000000-0005-0000-0000-00001F060000}"/>
    <cellStyle name="Total 3" xfId="1076" xr:uid="{00000000-0005-0000-0000-000020060000}"/>
    <cellStyle name="Total 3 2" xfId="1077" xr:uid="{00000000-0005-0000-0000-000021060000}"/>
    <cellStyle name="Total 3 2 2" xfId="2744" xr:uid="{00000000-0005-0000-0000-000022060000}"/>
    <cellStyle name="Total 3 3" xfId="2743" xr:uid="{00000000-0005-0000-0000-000023060000}"/>
    <cellStyle name="Total 4" xfId="1078" xr:uid="{00000000-0005-0000-0000-000024060000}"/>
    <cellStyle name="Total 4 2" xfId="2745" xr:uid="{00000000-0005-0000-0000-000025060000}"/>
    <cellStyle name="Total 5" xfId="1079" xr:uid="{00000000-0005-0000-0000-000026060000}"/>
    <cellStyle name="Total 5 2" xfId="2746" xr:uid="{00000000-0005-0000-0000-000027060000}"/>
    <cellStyle name="Total 6" xfId="1080" xr:uid="{00000000-0005-0000-0000-000028060000}"/>
    <cellStyle name="Total 6 2" xfId="2747" xr:uid="{00000000-0005-0000-0000-000029060000}"/>
    <cellStyle name="Total 7" xfId="2740" xr:uid="{00000000-0005-0000-0000-00002A060000}"/>
    <cellStyle name="ts" xfId="1081" xr:uid="{00000000-0005-0000-0000-00002B060000}"/>
    <cellStyle name="UNIDAGSCode" xfId="1082" xr:uid="{00000000-0005-0000-0000-00002C060000}"/>
    <cellStyle name="UNIDAGSCode2" xfId="1083" xr:uid="{00000000-0005-0000-0000-00002D060000}"/>
    <cellStyle name="UNIDAGSCurrency" xfId="1084" xr:uid="{00000000-0005-0000-0000-00002E060000}"/>
    <cellStyle name="UNIDAGSDate" xfId="1085" xr:uid="{00000000-0005-0000-0000-00002F060000}"/>
    <cellStyle name="UNIDAGSPercent" xfId="1086" xr:uid="{00000000-0005-0000-0000-000030060000}"/>
    <cellStyle name="UNIDAGSPercent2" xfId="1087" xr:uid="{00000000-0005-0000-0000-000031060000}"/>
    <cellStyle name="v" xfId="1088" xr:uid="{00000000-0005-0000-0000-000032060000}"/>
    <cellStyle name="v_PIT092008" xfId="1089" xr:uid="{00000000-0005-0000-0000-000033060000}"/>
    <cellStyle name="viet" xfId="1090" xr:uid="{00000000-0005-0000-0000-000034060000}"/>
    <cellStyle name="viet2" xfId="1091" xr:uid="{00000000-0005-0000-0000-000035060000}"/>
    <cellStyle name="viet2 2" xfId="2748" xr:uid="{00000000-0005-0000-0000-000036060000}"/>
    <cellStyle name="VN new romanNormal" xfId="1092" xr:uid="{00000000-0005-0000-0000-000037060000}"/>
    <cellStyle name="VN time new roman" xfId="1093" xr:uid="{00000000-0005-0000-0000-000038060000}"/>
    <cellStyle name="vnbo" xfId="1094" xr:uid="{00000000-0005-0000-0000-000039060000}"/>
    <cellStyle name="vnbo 2" xfId="2749" xr:uid="{00000000-0005-0000-0000-00003A060000}"/>
    <cellStyle name="vnhead1" xfId="1095" xr:uid="{00000000-0005-0000-0000-00003B060000}"/>
    <cellStyle name="vnhead1 2" xfId="2750" xr:uid="{00000000-0005-0000-0000-00003C060000}"/>
    <cellStyle name="vnhead2" xfId="1096" xr:uid="{00000000-0005-0000-0000-00003D060000}"/>
    <cellStyle name="vnhead2 2" xfId="2751" xr:uid="{00000000-0005-0000-0000-00003E060000}"/>
    <cellStyle name="vnhead3" xfId="1097" xr:uid="{00000000-0005-0000-0000-00003F060000}"/>
    <cellStyle name="vnhead3 2" xfId="2752" xr:uid="{00000000-0005-0000-0000-000040060000}"/>
    <cellStyle name="vnhead4" xfId="1098" xr:uid="{00000000-0005-0000-0000-000041060000}"/>
    <cellStyle name="vntxt1" xfId="1099" xr:uid="{00000000-0005-0000-0000-000042060000}"/>
    <cellStyle name="vntxt2" xfId="1100" xr:uid="{00000000-0005-0000-0000-000043060000}"/>
    <cellStyle name="Währung [0]_68574_Materialbedarfsliste" xfId="1101" xr:uid="{00000000-0005-0000-0000-000044060000}"/>
    <cellStyle name="Währung_68574_Materialbedarfsliste" xfId="1102" xr:uid="{00000000-0005-0000-0000-000045060000}"/>
    <cellStyle name="Warning Text" xfId="1103" xr:uid="{00000000-0005-0000-0000-000046060000}"/>
    <cellStyle name="xuan" xfId="1104" xr:uid="{00000000-0005-0000-0000-000047060000}"/>
    <cellStyle name="เครื่องหมายสกุลเงิน [0]_FTC_OFFER" xfId="1105" xr:uid="{00000000-0005-0000-0000-000048060000}"/>
    <cellStyle name="เครื่องหมายสกุลเงิน_FTC_OFFER" xfId="1106" xr:uid="{00000000-0005-0000-0000-000049060000}"/>
    <cellStyle name="ปกติ_FTC_OFFER" xfId="1107" xr:uid="{00000000-0005-0000-0000-00004A060000}"/>
    <cellStyle name=" [0.00]_ Att. 1- Cover" xfId="1108" xr:uid="{00000000-0005-0000-0000-00004B060000}"/>
    <cellStyle name="_ Att. 1- Cover" xfId="1109" xr:uid="{00000000-0005-0000-0000-00004C060000}"/>
    <cellStyle name="?_ Att. 1- Cover" xfId="1110" xr:uid="{00000000-0005-0000-0000-00004D060000}"/>
    <cellStyle name="강조색1 2" xfId="1111" xr:uid="{00000000-0005-0000-0000-00004E060000}"/>
    <cellStyle name="강조색1 3" xfId="1112" xr:uid="{00000000-0005-0000-0000-00004F060000}"/>
    <cellStyle name="강조색1 4" xfId="1113" xr:uid="{00000000-0005-0000-0000-000050060000}"/>
    <cellStyle name="강조색2 2" xfId="1114" xr:uid="{00000000-0005-0000-0000-000051060000}"/>
    <cellStyle name="강조색2 3" xfId="1115" xr:uid="{00000000-0005-0000-0000-000052060000}"/>
    <cellStyle name="강조색2 4" xfId="1116" xr:uid="{00000000-0005-0000-0000-000053060000}"/>
    <cellStyle name="강조색3 2" xfId="1117" xr:uid="{00000000-0005-0000-0000-000054060000}"/>
    <cellStyle name="강조색3 3" xfId="1118" xr:uid="{00000000-0005-0000-0000-000055060000}"/>
    <cellStyle name="강조색3 4" xfId="1119" xr:uid="{00000000-0005-0000-0000-000056060000}"/>
    <cellStyle name="강조색4 2" xfId="1120" xr:uid="{00000000-0005-0000-0000-000057060000}"/>
    <cellStyle name="강조색4 3" xfId="1121" xr:uid="{00000000-0005-0000-0000-000058060000}"/>
    <cellStyle name="강조색4 4" xfId="1122" xr:uid="{00000000-0005-0000-0000-000059060000}"/>
    <cellStyle name="강조색5 2" xfId="1123" xr:uid="{00000000-0005-0000-0000-00005A060000}"/>
    <cellStyle name="강조색5 3" xfId="1124" xr:uid="{00000000-0005-0000-0000-00005B060000}"/>
    <cellStyle name="강조색5 4" xfId="1125" xr:uid="{00000000-0005-0000-0000-00005C060000}"/>
    <cellStyle name="강조색6 2" xfId="1126" xr:uid="{00000000-0005-0000-0000-00005D060000}"/>
    <cellStyle name="강조색6 3" xfId="1127" xr:uid="{00000000-0005-0000-0000-00005E060000}"/>
    <cellStyle name="강조색6 4" xfId="1128" xr:uid="{00000000-0005-0000-0000-00005F060000}"/>
    <cellStyle name="경고문 2" xfId="1129" xr:uid="{00000000-0005-0000-0000-000060060000}"/>
    <cellStyle name="경고문 3" xfId="1130" xr:uid="{00000000-0005-0000-0000-000061060000}"/>
    <cellStyle name="경고문 4" xfId="1131" xr:uid="{00000000-0005-0000-0000-000062060000}"/>
    <cellStyle name="계산 2" xfId="1132" xr:uid="{00000000-0005-0000-0000-000063060000}"/>
    <cellStyle name="계산 2 2" xfId="1133" xr:uid="{00000000-0005-0000-0000-000064060000}"/>
    <cellStyle name="계산 2 2 2" xfId="1134" xr:uid="{00000000-0005-0000-0000-000065060000}"/>
    <cellStyle name="계산 2 2 2 2" xfId="1135" xr:uid="{00000000-0005-0000-0000-000066060000}"/>
    <cellStyle name="계산 2 2 2 2 2" xfId="2756" xr:uid="{00000000-0005-0000-0000-000067060000}"/>
    <cellStyle name="계산 2 2 2 3" xfId="2755" xr:uid="{00000000-0005-0000-0000-000068060000}"/>
    <cellStyle name="계산 2 2 3" xfId="1136" xr:uid="{00000000-0005-0000-0000-000069060000}"/>
    <cellStyle name="계산 2 2 3 2" xfId="1137" xr:uid="{00000000-0005-0000-0000-00006A060000}"/>
    <cellStyle name="계산 2 2 3 2 2" xfId="2758" xr:uid="{00000000-0005-0000-0000-00006B060000}"/>
    <cellStyle name="계산 2 2 3 3" xfId="2757" xr:uid="{00000000-0005-0000-0000-00006C060000}"/>
    <cellStyle name="계산 2 2 4" xfId="1138" xr:uid="{00000000-0005-0000-0000-00006D060000}"/>
    <cellStyle name="계산 2 2 4 2" xfId="2759" xr:uid="{00000000-0005-0000-0000-00006E060000}"/>
    <cellStyle name="계산 2 2 5" xfId="1139" xr:uid="{00000000-0005-0000-0000-00006F060000}"/>
    <cellStyle name="계산 2 2 5 2" xfId="2760" xr:uid="{00000000-0005-0000-0000-000070060000}"/>
    <cellStyle name="계산 2 2 6" xfId="1140" xr:uid="{00000000-0005-0000-0000-000071060000}"/>
    <cellStyle name="계산 2 2 6 2" xfId="2761" xr:uid="{00000000-0005-0000-0000-000072060000}"/>
    <cellStyle name="계산 2 2 7" xfId="2754" xr:uid="{00000000-0005-0000-0000-000073060000}"/>
    <cellStyle name="계산 2 3" xfId="1141" xr:uid="{00000000-0005-0000-0000-000074060000}"/>
    <cellStyle name="계산 2 3 2" xfId="1142" xr:uid="{00000000-0005-0000-0000-000075060000}"/>
    <cellStyle name="계산 2 3 2 2" xfId="2763" xr:uid="{00000000-0005-0000-0000-000076060000}"/>
    <cellStyle name="계산 2 3 3" xfId="2762" xr:uid="{00000000-0005-0000-0000-000077060000}"/>
    <cellStyle name="계산 2 4" xfId="1143" xr:uid="{00000000-0005-0000-0000-000078060000}"/>
    <cellStyle name="계산 2 4 2" xfId="1144" xr:uid="{00000000-0005-0000-0000-000079060000}"/>
    <cellStyle name="계산 2 4 2 2" xfId="2765" xr:uid="{00000000-0005-0000-0000-00007A060000}"/>
    <cellStyle name="계산 2 4 3" xfId="2764" xr:uid="{00000000-0005-0000-0000-00007B060000}"/>
    <cellStyle name="계산 2 5" xfId="1145" xr:uid="{00000000-0005-0000-0000-00007C060000}"/>
    <cellStyle name="계산 2 5 2" xfId="2766" xr:uid="{00000000-0005-0000-0000-00007D060000}"/>
    <cellStyle name="계산 2 6" xfId="1146" xr:uid="{00000000-0005-0000-0000-00007E060000}"/>
    <cellStyle name="계산 2 6 2" xfId="2767" xr:uid="{00000000-0005-0000-0000-00007F060000}"/>
    <cellStyle name="계산 2 7" xfId="1147" xr:uid="{00000000-0005-0000-0000-000080060000}"/>
    <cellStyle name="계산 2 7 2" xfId="2768" xr:uid="{00000000-0005-0000-0000-000081060000}"/>
    <cellStyle name="계산 2 8" xfId="2753" xr:uid="{00000000-0005-0000-0000-000082060000}"/>
    <cellStyle name="계산 3" xfId="1148" xr:uid="{00000000-0005-0000-0000-000083060000}"/>
    <cellStyle name="계산 3 2" xfId="1149" xr:uid="{00000000-0005-0000-0000-000084060000}"/>
    <cellStyle name="계산 3 2 2" xfId="2770" xr:uid="{00000000-0005-0000-0000-000085060000}"/>
    <cellStyle name="계산 3 3" xfId="2769" xr:uid="{00000000-0005-0000-0000-000086060000}"/>
    <cellStyle name="계산 4" xfId="1150" xr:uid="{00000000-0005-0000-0000-000087060000}"/>
    <cellStyle name="계산 4 2" xfId="1151" xr:uid="{00000000-0005-0000-0000-000088060000}"/>
    <cellStyle name="계산 4 2 2" xfId="2772" xr:uid="{00000000-0005-0000-0000-000089060000}"/>
    <cellStyle name="계산 4 3" xfId="2771" xr:uid="{00000000-0005-0000-0000-00008A060000}"/>
    <cellStyle name="계산 5" xfId="1152" xr:uid="{00000000-0005-0000-0000-00008B060000}"/>
    <cellStyle name="계산 5 2" xfId="1153" xr:uid="{00000000-0005-0000-0000-00008C060000}"/>
    <cellStyle name="계산 5 2 2" xfId="2774" xr:uid="{00000000-0005-0000-0000-00008D060000}"/>
    <cellStyle name="계산 5 3" xfId="2773" xr:uid="{00000000-0005-0000-0000-00008E060000}"/>
    <cellStyle name="계산 6" xfId="1154" xr:uid="{00000000-0005-0000-0000-00008F060000}"/>
    <cellStyle name="계산 6 2" xfId="1155" xr:uid="{00000000-0005-0000-0000-000090060000}"/>
    <cellStyle name="계산 6 2 2" xfId="2776" xr:uid="{00000000-0005-0000-0000-000091060000}"/>
    <cellStyle name="계산 6 3" xfId="2775" xr:uid="{00000000-0005-0000-0000-000092060000}"/>
    <cellStyle name="계산 7" xfId="1156" xr:uid="{00000000-0005-0000-0000-000093060000}"/>
    <cellStyle name="계산 7 2" xfId="2777" xr:uid="{00000000-0005-0000-0000-000094060000}"/>
    <cellStyle name="계산 8" xfId="1157" xr:uid="{00000000-0005-0000-0000-000095060000}"/>
    <cellStyle name="계산 8 2" xfId="2778" xr:uid="{00000000-0005-0000-0000-000096060000}"/>
    <cellStyle name="계산 9" xfId="1158" xr:uid="{00000000-0005-0000-0000-000097060000}"/>
    <cellStyle name="계산 9 2" xfId="2779" xr:uid="{00000000-0005-0000-0000-000098060000}"/>
    <cellStyle name="고정소숫점" xfId="1159" xr:uid="{00000000-0005-0000-0000-000099060000}"/>
    <cellStyle name="고정출력1" xfId="1160" xr:uid="{00000000-0005-0000-0000-00009A060000}"/>
    <cellStyle name="고정출력2" xfId="1161" xr:uid="{00000000-0005-0000-0000-00009B060000}"/>
    <cellStyle name="나쁨 2" xfId="1162" xr:uid="{00000000-0005-0000-0000-00009C060000}"/>
    <cellStyle name="나쁨 3" xfId="1163" xr:uid="{00000000-0005-0000-0000-00009D060000}"/>
    <cellStyle name="나쁨 4" xfId="1164" xr:uid="{00000000-0005-0000-0000-00009E060000}"/>
    <cellStyle name="날짜" xfId="1165" xr:uid="{00000000-0005-0000-0000-00009F060000}"/>
    <cellStyle name="달러" xfId="1166" xr:uid="{00000000-0005-0000-0000-0000A0060000}"/>
    <cellStyle name="똿뗦먛귟 [0.00]_PRODUCT DETAIL Q1" xfId="1167" xr:uid="{00000000-0005-0000-0000-0000A1060000}"/>
    <cellStyle name="똿뗦먛귟_PRODUCT DETAIL Q1" xfId="1168" xr:uid="{00000000-0005-0000-0000-0000A2060000}"/>
    <cellStyle name="메모 2" xfId="1169" xr:uid="{00000000-0005-0000-0000-0000A3060000}"/>
    <cellStyle name="메모 2 2" xfId="1170" xr:uid="{00000000-0005-0000-0000-0000A4060000}"/>
    <cellStyle name="메모 2 2 2" xfId="1171" xr:uid="{00000000-0005-0000-0000-0000A5060000}"/>
    <cellStyle name="메모 2 2 2 2" xfId="1172" xr:uid="{00000000-0005-0000-0000-0000A6060000}"/>
    <cellStyle name="메모 2 2 2 2 2" xfId="2783" xr:uid="{00000000-0005-0000-0000-0000A7060000}"/>
    <cellStyle name="메모 2 2 2 3" xfId="2782" xr:uid="{00000000-0005-0000-0000-0000A8060000}"/>
    <cellStyle name="메모 2 2 3" xfId="1173" xr:uid="{00000000-0005-0000-0000-0000A9060000}"/>
    <cellStyle name="메모 2 2 3 2" xfId="1174" xr:uid="{00000000-0005-0000-0000-0000AA060000}"/>
    <cellStyle name="메모 2 2 3 2 2" xfId="2785" xr:uid="{00000000-0005-0000-0000-0000AB060000}"/>
    <cellStyle name="메모 2 2 3 3" xfId="2784" xr:uid="{00000000-0005-0000-0000-0000AC060000}"/>
    <cellStyle name="메모 2 2 4" xfId="1175" xr:uid="{00000000-0005-0000-0000-0000AD060000}"/>
    <cellStyle name="메모 2 2 4 2" xfId="2786" xr:uid="{00000000-0005-0000-0000-0000AE060000}"/>
    <cellStyle name="메모 2 2 5" xfId="1176" xr:uid="{00000000-0005-0000-0000-0000AF060000}"/>
    <cellStyle name="메모 2 2 5 2" xfId="2787" xr:uid="{00000000-0005-0000-0000-0000B0060000}"/>
    <cellStyle name="메모 2 2 6" xfId="1177" xr:uid="{00000000-0005-0000-0000-0000B1060000}"/>
    <cellStyle name="메모 2 2 6 2" xfId="2788" xr:uid="{00000000-0005-0000-0000-0000B2060000}"/>
    <cellStyle name="메모 2 2 7" xfId="2781" xr:uid="{00000000-0005-0000-0000-0000B3060000}"/>
    <cellStyle name="메모 2 3" xfId="1178" xr:uid="{00000000-0005-0000-0000-0000B4060000}"/>
    <cellStyle name="메모 2 3 2" xfId="1179" xr:uid="{00000000-0005-0000-0000-0000B5060000}"/>
    <cellStyle name="메모 2 3 2 2" xfId="2790" xr:uid="{00000000-0005-0000-0000-0000B6060000}"/>
    <cellStyle name="메모 2 3 3" xfId="2789" xr:uid="{00000000-0005-0000-0000-0000B7060000}"/>
    <cellStyle name="메모 2 4" xfId="1180" xr:uid="{00000000-0005-0000-0000-0000B8060000}"/>
    <cellStyle name="메모 2 4 2" xfId="1181" xr:uid="{00000000-0005-0000-0000-0000B9060000}"/>
    <cellStyle name="메모 2 4 2 2" xfId="2792" xr:uid="{00000000-0005-0000-0000-0000BA060000}"/>
    <cellStyle name="메모 2 4 3" xfId="2791" xr:uid="{00000000-0005-0000-0000-0000BB060000}"/>
    <cellStyle name="메모 2 5" xfId="1182" xr:uid="{00000000-0005-0000-0000-0000BC060000}"/>
    <cellStyle name="메모 2 5 2" xfId="2793" xr:uid="{00000000-0005-0000-0000-0000BD060000}"/>
    <cellStyle name="메모 2 6" xfId="1183" xr:uid="{00000000-0005-0000-0000-0000BE060000}"/>
    <cellStyle name="메모 2 6 2" xfId="2794" xr:uid="{00000000-0005-0000-0000-0000BF060000}"/>
    <cellStyle name="메모 2 7" xfId="1184" xr:uid="{00000000-0005-0000-0000-0000C0060000}"/>
    <cellStyle name="메모 2 7 2" xfId="2795" xr:uid="{00000000-0005-0000-0000-0000C1060000}"/>
    <cellStyle name="메모 2 8" xfId="2780" xr:uid="{00000000-0005-0000-0000-0000C2060000}"/>
    <cellStyle name="메모 3" xfId="1185" xr:uid="{00000000-0005-0000-0000-0000C3060000}"/>
    <cellStyle name="메모 3 2" xfId="1186" xr:uid="{00000000-0005-0000-0000-0000C4060000}"/>
    <cellStyle name="메모 3 2 2" xfId="2797" xr:uid="{00000000-0005-0000-0000-0000C5060000}"/>
    <cellStyle name="메모 3 3" xfId="2796" xr:uid="{00000000-0005-0000-0000-0000C6060000}"/>
    <cellStyle name="메모 4" xfId="1187" xr:uid="{00000000-0005-0000-0000-0000C7060000}"/>
    <cellStyle name="메모 4 2" xfId="1188" xr:uid="{00000000-0005-0000-0000-0000C8060000}"/>
    <cellStyle name="메모 4 2 2" xfId="2799" xr:uid="{00000000-0005-0000-0000-0000C9060000}"/>
    <cellStyle name="메모 4 3" xfId="2798" xr:uid="{00000000-0005-0000-0000-0000CA060000}"/>
    <cellStyle name="메모 5" xfId="1189" xr:uid="{00000000-0005-0000-0000-0000CB060000}"/>
    <cellStyle name="메모 5 2" xfId="1190" xr:uid="{00000000-0005-0000-0000-0000CC060000}"/>
    <cellStyle name="메모 5 2 2" xfId="2801" xr:uid="{00000000-0005-0000-0000-0000CD060000}"/>
    <cellStyle name="메모 5 3" xfId="2800" xr:uid="{00000000-0005-0000-0000-0000CE060000}"/>
    <cellStyle name="메모 6" xfId="1191" xr:uid="{00000000-0005-0000-0000-0000CF060000}"/>
    <cellStyle name="메모 6 2" xfId="1192" xr:uid="{00000000-0005-0000-0000-0000D0060000}"/>
    <cellStyle name="메모 6 2 2" xfId="2803" xr:uid="{00000000-0005-0000-0000-0000D1060000}"/>
    <cellStyle name="메모 6 3" xfId="2802" xr:uid="{00000000-0005-0000-0000-0000D2060000}"/>
    <cellStyle name="메모 7" xfId="1193" xr:uid="{00000000-0005-0000-0000-0000D3060000}"/>
    <cellStyle name="메모 7 2" xfId="2804" xr:uid="{00000000-0005-0000-0000-0000D4060000}"/>
    <cellStyle name="메모 8" xfId="1194" xr:uid="{00000000-0005-0000-0000-0000D5060000}"/>
    <cellStyle name="메모 8 2" xfId="2805" xr:uid="{00000000-0005-0000-0000-0000D6060000}"/>
    <cellStyle name="메모 9" xfId="1195" xr:uid="{00000000-0005-0000-0000-0000D7060000}"/>
    <cellStyle name="메모 9 2" xfId="2806" xr:uid="{00000000-0005-0000-0000-0000D8060000}"/>
    <cellStyle name="믅됞 [0.00]_PRODUCT DETAIL Q1" xfId="1196" xr:uid="{00000000-0005-0000-0000-0000D9060000}"/>
    <cellStyle name="믅됞_PRODUCT DETAIL Q1" xfId="1197" xr:uid="{00000000-0005-0000-0000-0000DA060000}"/>
    <cellStyle name="백분율" xfId="1" builtinId="5"/>
    <cellStyle name="백분율 10" xfId="1198" xr:uid="{00000000-0005-0000-0000-0000DC060000}"/>
    <cellStyle name="백분율 11" xfId="1199" xr:uid="{00000000-0005-0000-0000-0000DD060000}"/>
    <cellStyle name="백분율 11 2" xfId="1200" xr:uid="{00000000-0005-0000-0000-0000DE060000}"/>
    <cellStyle name="백분율 12" xfId="1201" xr:uid="{00000000-0005-0000-0000-0000DF060000}"/>
    <cellStyle name="백분율 13" xfId="1202" xr:uid="{00000000-0005-0000-0000-0000E0060000}"/>
    <cellStyle name="백분율 14" xfId="1203" xr:uid="{00000000-0005-0000-0000-0000E1060000}"/>
    <cellStyle name="백분율 15" xfId="1204" xr:uid="{00000000-0005-0000-0000-0000E2060000}"/>
    <cellStyle name="백분율 2" xfId="1205" xr:uid="{00000000-0005-0000-0000-0000E3060000}"/>
    <cellStyle name="백분율 2 2" xfId="1206" xr:uid="{00000000-0005-0000-0000-0000E4060000}"/>
    <cellStyle name="백분율 2 2 2" xfId="1207" xr:uid="{00000000-0005-0000-0000-0000E5060000}"/>
    <cellStyle name="백분율 2 2 3" xfId="1208" xr:uid="{00000000-0005-0000-0000-0000E6060000}"/>
    <cellStyle name="백분율 2 2 3 2" xfId="1209" xr:uid="{00000000-0005-0000-0000-0000E7060000}"/>
    <cellStyle name="백분율 2 2 3 2 2" xfId="1210" xr:uid="{00000000-0005-0000-0000-0000E8060000}"/>
    <cellStyle name="백분율 2 2 3 3" xfId="1211" xr:uid="{00000000-0005-0000-0000-0000E9060000}"/>
    <cellStyle name="백분율 2 2 4" xfId="1212" xr:uid="{00000000-0005-0000-0000-0000EA060000}"/>
    <cellStyle name="백분율 2 2 4 2" xfId="1213" xr:uid="{00000000-0005-0000-0000-0000EB060000}"/>
    <cellStyle name="백분율 2 2 5" xfId="1214" xr:uid="{00000000-0005-0000-0000-0000EC060000}"/>
    <cellStyle name="백분율 2 2 6" xfId="1215" xr:uid="{00000000-0005-0000-0000-0000ED060000}"/>
    <cellStyle name="백분율 2 3" xfId="1216" xr:uid="{00000000-0005-0000-0000-0000EE060000}"/>
    <cellStyle name="백분율 2 3 2" xfId="1217" xr:uid="{00000000-0005-0000-0000-0000EF060000}"/>
    <cellStyle name="백분율 2 4" xfId="1218" xr:uid="{00000000-0005-0000-0000-0000F0060000}"/>
    <cellStyle name="백분율 3" xfId="1219" xr:uid="{00000000-0005-0000-0000-0000F1060000}"/>
    <cellStyle name="백분율 3 2" xfId="1220" xr:uid="{00000000-0005-0000-0000-0000F2060000}"/>
    <cellStyle name="백분율 4" xfId="1221" xr:uid="{00000000-0005-0000-0000-0000F3060000}"/>
    <cellStyle name="백분율 4 2" xfId="1222" xr:uid="{00000000-0005-0000-0000-0000F4060000}"/>
    <cellStyle name="백분율 4 2 2" xfId="1223" xr:uid="{00000000-0005-0000-0000-0000F5060000}"/>
    <cellStyle name="백분율 4 2 2 2" xfId="1224" xr:uid="{00000000-0005-0000-0000-0000F6060000}"/>
    <cellStyle name="백분율 4 2 2 3" xfId="1225" xr:uid="{00000000-0005-0000-0000-0000F7060000}"/>
    <cellStyle name="백분율 4 2 2 3 2" xfId="1226" xr:uid="{00000000-0005-0000-0000-0000F8060000}"/>
    <cellStyle name="백분율 4 2 2 3 2 2" xfId="1227" xr:uid="{00000000-0005-0000-0000-0000F9060000}"/>
    <cellStyle name="백분율 4 2 2 3 3" xfId="1228" xr:uid="{00000000-0005-0000-0000-0000FA060000}"/>
    <cellStyle name="백분율 4 2 2 4" xfId="1229" xr:uid="{00000000-0005-0000-0000-0000FB060000}"/>
    <cellStyle name="백분율 4 2 2 4 2" xfId="1230" xr:uid="{00000000-0005-0000-0000-0000FC060000}"/>
    <cellStyle name="백분율 4 2 2 5" xfId="1231" xr:uid="{00000000-0005-0000-0000-0000FD060000}"/>
    <cellStyle name="백분율 4 2 2 6" xfId="1232" xr:uid="{00000000-0005-0000-0000-0000FE060000}"/>
    <cellStyle name="백분율 4 2 3" xfId="1233" xr:uid="{00000000-0005-0000-0000-0000FF060000}"/>
    <cellStyle name="백분율 4 2 4" xfId="1234" xr:uid="{00000000-0005-0000-0000-000000070000}"/>
    <cellStyle name="백분율 4 2 4 2" xfId="1235" xr:uid="{00000000-0005-0000-0000-000001070000}"/>
    <cellStyle name="백분율 4 2 4 2 2" xfId="1236" xr:uid="{00000000-0005-0000-0000-000002070000}"/>
    <cellStyle name="백분율 4 2 4 3" xfId="1237" xr:uid="{00000000-0005-0000-0000-000003070000}"/>
    <cellStyle name="백분율 4 2 5" xfId="1238" xr:uid="{00000000-0005-0000-0000-000004070000}"/>
    <cellStyle name="백분율 4 2 5 2" xfId="1239" xr:uid="{00000000-0005-0000-0000-000005070000}"/>
    <cellStyle name="백분율 4 2 6" xfId="1240" xr:uid="{00000000-0005-0000-0000-000006070000}"/>
    <cellStyle name="백분율 4 2 7" xfId="1241" xr:uid="{00000000-0005-0000-0000-000007070000}"/>
    <cellStyle name="백분율 4 3" xfId="1242" xr:uid="{00000000-0005-0000-0000-000008070000}"/>
    <cellStyle name="백분율 4 3 2" xfId="1243" xr:uid="{00000000-0005-0000-0000-000009070000}"/>
    <cellStyle name="백분율 4 3 3" xfId="1244" xr:uid="{00000000-0005-0000-0000-00000A070000}"/>
    <cellStyle name="백분율 4 3 3 2" xfId="1245" xr:uid="{00000000-0005-0000-0000-00000B070000}"/>
    <cellStyle name="백분율 4 3 3 2 2" xfId="1246" xr:uid="{00000000-0005-0000-0000-00000C070000}"/>
    <cellStyle name="백분율 4 3 3 3" xfId="1247" xr:uid="{00000000-0005-0000-0000-00000D070000}"/>
    <cellStyle name="백분율 4 3 4" xfId="1248" xr:uid="{00000000-0005-0000-0000-00000E070000}"/>
    <cellStyle name="백분율 4 3 4 2" xfId="1249" xr:uid="{00000000-0005-0000-0000-00000F070000}"/>
    <cellStyle name="백분율 4 3 5" xfId="1250" xr:uid="{00000000-0005-0000-0000-000010070000}"/>
    <cellStyle name="백분율 4 3 6" xfId="1251" xr:uid="{00000000-0005-0000-0000-000011070000}"/>
    <cellStyle name="백분율 4 4" xfId="1252" xr:uid="{00000000-0005-0000-0000-000012070000}"/>
    <cellStyle name="백분율 4 5" xfId="1253" xr:uid="{00000000-0005-0000-0000-000013070000}"/>
    <cellStyle name="백분율 4 5 2" xfId="1254" xr:uid="{00000000-0005-0000-0000-000014070000}"/>
    <cellStyle name="백분율 4 5 2 2" xfId="1255" xr:uid="{00000000-0005-0000-0000-000015070000}"/>
    <cellStyle name="백분율 4 5 3" xfId="1256" xr:uid="{00000000-0005-0000-0000-000016070000}"/>
    <cellStyle name="백분율 4 6" xfId="1257" xr:uid="{00000000-0005-0000-0000-000017070000}"/>
    <cellStyle name="백분율 4 6 2" xfId="1258" xr:uid="{00000000-0005-0000-0000-000018070000}"/>
    <cellStyle name="백분율 4 7" xfId="1259" xr:uid="{00000000-0005-0000-0000-000019070000}"/>
    <cellStyle name="백분율 4 8" xfId="1260" xr:uid="{00000000-0005-0000-0000-00001A070000}"/>
    <cellStyle name="백분율 5" xfId="1261" xr:uid="{00000000-0005-0000-0000-00001B070000}"/>
    <cellStyle name="백분율 6" xfId="1262" xr:uid="{00000000-0005-0000-0000-00001C070000}"/>
    <cellStyle name="백분율 7" xfId="1263" xr:uid="{00000000-0005-0000-0000-00001D070000}"/>
    <cellStyle name="백분율 7 2" xfId="1264" xr:uid="{00000000-0005-0000-0000-00001E070000}"/>
    <cellStyle name="백분율 7 2 2" xfId="1265" xr:uid="{00000000-0005-0000-0000-00001F070000}"/>
    <cellStyle name="백분율 7 2 2 2" xfId="1266" xr:uid="{00000000-0005-0000-0000-000020070000}"/>
    <cellStyle name="백분율 7 2 2 2 2" xfId="1267" xr:uid="{00000000-0005-0000-0000-000021070000}"/>
    <cellStyle name="백분율 7 2 2 2 3" xfId="1268" xr:uid="{00000000-0005-0000-0000-000022070000}"/>
    <cellStyle name="백분율 7 2 2 2 3 2" xfId="1269" xr:uid="{00000000-0005-0000-0000-000023070000}"/>
    <cellStyle name="백분율 7 2 2 2 3 2 2" xfId="1270" xr:uid="{00000000-0005-0000-0000-000024070000}"/>
    <cellStyle name="백분율 7 2 2 2 3 3" xfId="1271" xr:uid="{00000000-0005-0000-0000-000025070000}"/>
    <cellStyle name="백분율 7 2 2 2 4" xfId="1272" xr:uid="{00000000-0005-0000-0000-000026070000}"/>
    <cellStyle name="백분율 7 2 2 2 4 2" xfId="1273" xr:uid="{00000000-0005-0000-0000-000027070000}"/>
    <cellStyle name="백분율 7 2 2 2 5" xfId="1274" xr:uid="{00000000-0005-0000-0000-000028070000}"/>
    <cellStyle name="백분율 7 2 2 2 6" xfId="1275" xr:uid="{00000000-0005-0000-0000-000029070000}"/>
    <cellStyle name="백분율 7 2 2 3" xfId="1276" xr:uid="{00000000-0005-0000-0000-00002A070000}"/>
    <cellStyle name="백분율 7 2 2 3 2" xfId="1277" xr:uid="{00000000-0005-0000-0000-00002B070000}"/>
    <cellStyle name="백분율 7 2 2 3 2 2" xfId="1278" xr:uid="{00000000-0005-0000-0000-00002C070000}"/>
    <cellStyle name="백분율 7 2 2 3 2 3" xfId="1279" xr:uid="{00000000-0005-0000-0000-00002D070000}"/>
    <cellStyle name="백분율 7 2 2 3 2 3 2" xfId="1280" xr:uid="{00000000-0005-0000-0000-00002E070000}"/>
    <cellStyle name="백분율 7 2 2 3 2 3 2 2" xfId="1281" xr:uid="{00000000-0005-0000-0000-00002F070000}"/>
    <cellStyle name="백분율 7 2 2 3 2 3 3" xfId="1282" xr:uid="{00000000-0005-0000-0000-000030070000}"/>
    <cellStyle name="백분율 7 2 2 3 2 4" xfId="1283" xr:uid="{00000000-0005-0000-0000-000031070000}"/>
    <cellStyle name="백분율 7 2 2 3 2 4 2" xfId="1284" xr:uid="{00000000-0005-0000-0000-000032070000}"/>
    <cellStyle name="백분율 7 2 2 3 2 5" xfId="1285" xr:uid="{00000000-0005-0000-0000-000033070000}"/>
    <cellStyle name="백분율 7 2 2 3 2 6" xfId="1286" xr:uid="{00000000-0005-0000-0000-000034070000}"/>
    <cellStyle name="백분율 7 2 2 3 3" xfId="1287" xr:uid="{00000000-0005-0000-0000-000035070000}"/>
    <cellStyle name="백분율 7 2 2 3 3 2" xfId="1288" xr:uid="{00000000-0005-0000-0000-000036070000}"/>
    <cellStyle name="백분율 7 2 2 3 3 2 2" xfId="1289" xr:uid="{00000000-0005-0000-0000-000037070000}"/>
    <cellStyle name="백분율 7 2 2 3 3 2 2 2" xfId="1290" xr:uid="{00000000-0005-0000-0000-000038070000}"/>
    <cellStyle name="백분율 7 2 2 3 3 2 2 2 2" xfId="1291" xr:uid="{00000000-0005-0000-0000-000039070000}"/>
    <cellStyle name="백분율 7 2 2 3 3 2 2 2 2 2" xfId="1292" xr:uid="{00000000-0005-0000-0000-00003A070000}"/>
    <cellStyle name="백분율 7 2 2 3 3 2 2 2 2 2 2" xfId="1293" xr:uid="{00000000-0005-0000-0000-00003B070000}"/>
    <cellStyle name="백분율 7 2 2 3 3 2 2 2 2 2 2 2" xfId="1294" xr:uid="{00000000-0005-0000-0000-00003C070000}"/>
    <cellStyle name="백분율 7 2 2 3 3 2 2 2 2 2 2 2 2" xfId="1295" xr:uid="{00000000-0005-0000-0000-00003D070000}"/>
    <cellStyle name="백분율 7 2 2 3 3 2 2 2 2 2 2 2 2 2" xfId="1296" xr:uid="{00000000-0005-0000-0000-00003E070000}"/>
    <cellStyle name="백분율 7 2 2 3 3 2 2 2 2 2 2 2 2 2 2" xfId="1297" xr:uid="{00000000-0005-0000-0000-00003F070000}"/>
    <cellStyle name="백분율 7 2 2 3 3 2 2 2 2 2 2 2 2 2 2 2" xfId="1298" xr:uid="{00000000-0005-0000-0000-000040070000}"/>
    <cellStyle name="백분율 7 2 2 3 3 2 2 2 2 2 2 2 2 2 2 2 2" xfId="1299" xr:uid="{00000000-0005-0000-0000-000041070000}"/>
    <cellStyle name="백분율 7 2 2 3 3 2 2 2 2 2 2 2 2 2 2 2 2 2" xfId="1300" xr:uid="{00000000-0005-0000-0000-000042070000}"/>
    <cellStyle name="백분율 7 2 2 3 3 2 2 2 2 2 2 2 2 2 2 2 2 2 2" xfId="1301" xr:uid="{00000000-0005-0000-0000-000043070000}"/>
    <cellStyle name="백분율 7 2 2 3 3 2 2 2 2 2 2 2 2 2 2 2 2 2 2 2" xfId="1302" xr:uid="{00000000-0005-0000-0000-000044070000}"/>
    <cellStyle name="백분율 7 2 2 3 3 2 2 2 2 2 2 2 2 2 2 2 2 2 2 2 2" xfId="1303" xr:uid="{00000000-0005-0000-0000-000045070000}"/>
    <cellStyle name="백분율 7 2 2 3 3 2 2 2 2 2 2 2 2 2 2 2 2 2 2 2 2 2" xfId="1304" xr:uid="{00000000-0005-0000-0000-000046070000}"/>
    <cellStyle name="백분율 7 2 2 3 3 2 2 2 2 2 2 2 2 2 2 2 2 2 2 2 3" xfId="1305" xr:uid="{00000000-0005-0000-0000-000047070000}"/>
    <cellStyle name="백분율 7 2 2 3 3 2 2 2 2 2 2 2 2 2 2 2 2 2 2 2 3 2" xfId="1306" xr:uid="{00000000-0005-0000-0000-000048070000}"/>
    <cellStyle name="백분율 7 2 2 3 3 2 2 2 2 2 2 2 2 2 2 2 2 2 2 2 3 2 2" xfId="1307" xr:uid="{00000000-0005-0000-0000-000049070000}"/>
    <cellStyle name="백분율 7 2 2 3 3 2 2 2 2 2 2 2 2 2 2 2 2 2 2 2 3 2 2 2" xfId="1308" xr:uid="{00000000-0005-0000-0000-00004A070000}"/>
    <cellStyle name="백분율 7 2 2 3 3 2 2 2 2 2 2 2 2 2 2 2 2 2 2 2 3 2 2 2 2" xfId="1309" xr:uid="{00000000-0005-0000-0000-00004B070000}"/>
    <cellStyle name="백분율 7 2 2 3 3 2 2 2 2 2 2 2 2 2 2 2 2 2 2 2 3 2 2 3" xfId="1310" xr:uid="{00000000-0005-0000-0000-00004C070000}"/>
    <cellStyle name="백분율 7 2 2 3 3 2 2 2 2 2 2 2 2 2 2 2 2 2 2 2 3 2 3" xfId="1311" xr:uid="{00000000-0005-0000-0000-00004D070000}"/>
    <cellStyle name="백분율 7 2 2 3 3 2 2 2 2 2 2 2 2 2 2 2 2 2 2 2 3 3" xfId="1312" xr:uid="{00000000-0005-0000-0000-00004E070000}"/>
    <cellStyle name="백분율 7 2 2 3 3 2 2 2 2 2 2 2 2 2 2 2 2 2 2 2 4" xfId="1313" xr:uid="{00000000-0005-0000-0000-00004F070000}"/>
    <cellStyle name="백분율 7 2 2 3 3 2 2 2 2 2 2 2 2 2 2 2 2 2 2 3" xfId="1314" xr:uid="{00000000-0005-0000-0000-000050070000}"/>
    <cellStyle name="백분율 7 2 2 3 3 2 2 2 2 2 2 2 2 2 2 2 2 2 2 3 2" xfId="1315" xr:uid="{00000000-0005-0000-0000-000051070000}"/>
    <cellStyle name="백분율 7 2 2 3 3 2 2 2 2 2 2 2 2 2 2 2 2 2 2 4" xfId="1316" xr:uid="{00000000-0005-0000-0000-000052070000}"/>
    <cellStyle name="백분율 7 2 2 3 3 2 2 2 2 2 2 2 2 2 2 2 2 2 3" xfId="1317" xr:uid="{00000000-0005-0000-0000-000053070000}"/>
    <cellStyle name="백분율 7 2 2 3 3 2 2 2 2 2 2 2 2 2 2 2 2 2 3 2" xfId="1318" xr:uid="{00000000-0005-0000-0000-000054070000}"/>
    <cellStyle name="백분율 7 2 2 3 3 2 2 2 2 2 2 2 2 2 2 2 2 2 3 2 2" xfId="1319" xr:uid="{00000000-0005-0000-0000-000055070000}"/>
    <cellStyle name="백분율 7 2 2 3 3 2 2 2 2 2 2 2 2 2 2 2 2 2 3 3" xfId="1320" xr:uid="{00000000-0005-0000-0000-000056070000}"/>
    <cellStyle name="백분율 7 2 2 3 3 2 2 2 2 2 2 2 2 2 2 2 2 2 4" xfId="1321" xr:uid="{00000000-0005-0000-0000-000057070000}"/>
    <cellStyle name="백분율 7 2 2 3 3 2 2 2 2 2 2 2 2 2 2 2 2 2 4 2" xfId="1322" xr:uid="{00000000-0005-0000-0000-000058070000}"/>
    <cellStyle name="백분율 7 2 2 3 3 2 2 2 2 2 2 2 2 2 2 2 2 2 5" xfId="1323" xr:uid="{00000000-0005-0000-0000-000059070000}"/>
    <cellStyle name="백분율 7 2 2 3 3 2 2 2 2 2 2 2 2 2 2 2 2 3" xfId="1324" xr:uid="{00000000-0005-0000-0000-00005A070000}"/>
    <cellStyle name="백분율 7 2 2 3 3 2 2 2 2 2 2 2 2 2 2 2 2 3 2" xfId="1325" xr:uid="{00000000-0005-0000-0000-00005B070000}"/>
    <cellStyle name="백분율 7 2 2 3 3 2 2 2 2 2 2 2 2 2 2 2 2 3 2 2" xfId="1326" xr:uid="{00000000-0005-0000-0000-00005C070000}"/>
    <cellStyle name="백분율 7 2 2 3 3 2 2 2 2 2 2 2 2 2 2 2 2 3 3" xfId="1327" xr:uid="{00000000-0005-0000-0000-00005D070000}"/>
    <cellStyle name="백분율 7 2 2 3 3 2 2 2 2 2 2 2 2 2 2 2 2 4" xfId="1328" xr:uid="{00000000-0005-0000-0000-00005E070000}"/>
    <cellStyle name="백분율 7 2 2 3 3 2 2 2 2 2 2 2 2 2 2 2 2 4 2" xfId="1329" xr:uid="{00000000-0005-0000-0000-00005F070000}"/>
    <cellStyle name="백분율 7 2 2 3 3 2 2 2 2 2 2 2 2 2 2 2 2 5" xfId="1330" xr:uid="{00000000-0005-0000-0000-000060070000}"/>
    <cellStyle name="백분율 7 2 2 3 3 2 2 2 2 2 2 2 2 2 2 2 3" xfId="1331" xr:uid="{00000000-0005-0000-0000-000061070000}"/>
    <cellStyle name="백분율 7 2 2 3 3 2 2 2 2 2 2 2 2 2 2 2 4" xfId="1332" xr:uid="{00000000-0005-0000-0000-000062070000}"/>
    <cellStyle name="백분율 7 2 2 3 3 2 2 2 2 2 2 2 2 2 2 2 4 2" xfId="1333" xr:uid="{00000000-0005-0000-0000-000063070000}"/>
    <cellStyle name="백분율 7 2 2 3 3 2 2 2 2 2 2 2 2 2 2 2 4 2 2" xfId="1334" xr:uid="{00000000-0005-0000-0000-000064070000}"/>
    <cellStyle name="백분율 7 2 2 3 3 2 2 2 2 2 2 2 2 2 2 2 4 3" xfId="1335" xr:uid="{00000000-0005-0000-0000-000065070000}"/>
    <cellStyle name="백분율 7 2 2 3 3 2 2 2 2 2 2 2 2 2 2 2 5" xfId="1336" xr:uid="{00000000-0005-0000-0000-000066070000}"/>
    <cellStyle name="백분율 7 2 2 3 3 2 2 2 2 2 2 2 2 2 2 2 5 2" xfId="1337" xr:uid="{00000000-0005-0000-0000-000067070000}"/>
    <cellStyle name="백분율 7 2 2 3 3 2 2 2 2 2 2 2 2 2 2 2 6" xfId="1338" xr:uid="{00000000-0005-0000-0000-000068070000}"/>
    <cellStyle name="백분율 7 2 2 3 3 2 2 2 2 2 2 2 2 2 2 3" xfId="1339" xr:uid="{00000000-0005-0000-0000-000069070000}"/>
    <cellStyle name="백분율 7 2 2 3 3 2 2 2 2 2 2 2 2 2 2 4" xfId="1340" xr:uid="{00000000-0005-0000-0000-00006A070000}"/>
    <cellStyle name="백분율 7 2 2 3 3 2 2 2 2 2 2 2 2 2 2 4 2" xfId="1341" xr:uid="{00000000-0005-0000-0000-00006B070000}"/>
    <cellStyle name="백분율 7 2 2 3 3 2 2 2 2 2 2 2 2 2 2 4 2 2" xfId="1342" xr:uid="{00000000-0005-0000-0000-00006C070000}"/>
    <cellStyle name="백분율 7 2 2 3 3 2 2 2 2 2 2 2 2 2 2 4 3" xfId="1343" xr:uid="{00000000-0005-0000-0000-00006D070000}"/>
    <cellStyle name="백분율 7 2 2 3 3 2 2 2 2 2 2 2 2 2 2 5" xfId="1344" xr:uid="{00000000-0005-0000-0000-00006E070000}"/>
    <cellStyle name="백분율 7 2 2 3 3 2 2 2 2 2 2 2 2 2 2 5 2" xfId="1345" xr:uid="{00000000-0005-0000-0000-00006F070000}"/>
    <cellStyle name="백분율 7 2 2 3 3 2 2 2 2 2 2 2 2 2 2 6" xfId="1346" xr:uid="{00000000-0005-0000-0000-000070070000}"/>
    <cellStyle name="백분율 7 2 2 3 3 2 2 2 2 2 2 2 2 2 2 7" xfId="1347" xr:uid="{00000000-0005-0000-0000-000071070000}"/>
    <cellStyle name="백분율 7 2 2 3 3 2 2 2 2 2 2 2 2 2 3" xfId="1348" xr:uid="{00000000-0005-0000-0000-000072070000}"/>
    <cellStyle name="백분율 7 2 2 3 3 2 2 2 2 2 2 2 2 2 4" xfId="1349" xr:uid="{00000000-0005-0000-0000-000073070000}"/>
    <cellStyle name="백분율 7 2 2 3 3 2 2 2 2 2 2 2 2 2 4 2" xfId="1350" xr:uid="{00000000-0005-0000-0000-000074070000}"/>
    <cellStyle name="백분율 7 2 2 3 3 2 2 2 2 2 2 2 2 2 4 2 2" xfId="1351" xr:uid="{00000000-0005-0000-0000-000075070000}"/>
    <cellStyle name="백분율 7 2 2 3 3 2 2 2 2 2 2 2 2 2 4 3" xfId="1352" xr:uid="{00000000-0005-0000-0000-000076070000}"/>
    <cellStyle name="백분율 7 2 2 3 3 2 2 2 2 2 2 2 2 2 5" xfId="1353" xr:uid="{00000000-0005-0000-0000-000077070000}"/>
    <cellStyle name="백분율 7 2 2 3 3 2 2 2 2 2 2 2 2 2 5 2" xfId="1354" xr:uid="{00000000-0005-0000-0000-000078070000}"/>
    <cellStyle name="백분율 7 2 2 3 3 2 2 2 2 2 2 2 2 2 6" xfId="1355" xr:uid="{00000000-0005-0000-0000-000079070000}"/>
    <cellStyle name="백분율 7 2 2 3 3 2 2 2 2 2 2 2 2 2 7" xfId="1356" xr:uid="{00000000-0005-0000-0000-00007A070000}"/>
    <cellStyle name="백분율 7 2 2 3 3 2 2 2 2 2 2 2 2 3" xfId="1357" xr:uid="{00000000-0005-0000-0000-00007B070000}"/>
    <cellStyle name="백분율 7 2 2 3 3 2 2 2 2 2 2 2 2 4" xfId="1358" xr:uid="{00000000-0005-0000-0000-00007C070000}"/>
    <cellStyle name="백분율 7 2 2 3 3 2 2 2 2 2 2 2 2 4 2" xfId="1359" xr:uid="{00000000-0005-0000-0000-00007D070000}"/>
    <cellStyle name="백분율 7 2 2 3 3 2 2 2 2 2 2 2 2 4 2 2" xfId="1360" xr:uid="{00000000-0005-0000-0000-00007E070000}"/>
    <cellStyle name="백분율 7 2 2 3 3 2 2 2 2 2 2 2 2 4 3" xfId="1361" xr:uid="{00000000-0005-0000-0000-00007F070000}"/>
    <cellStyle name="백분율 7 2 2 3 3 2 2 2 2 2 2 2 2 5" xfId="1362" xr:uid="{00000000-0005-0000-0000-000080070000}"/>
    <cellStyle name="백분율 7 2 2 3 3 2 2 2 2 2 2 2 2 5 2" xfId="1363" xr:uid="{00000000-0005-0000-0000-000081070000}"/>
    <cellStyle name="백분율 7 2 2 3 3 2 2 2 2 2 2 2 2 6" xfId="1364" xr:uid="{00000000-0005-0000-0000-000082070000}"/>
    <cellStyle name="백분율 7 2 2 3 3 2 2 2 2 2 2 2 2 7" xfId="1365" xr:uid="{00000000-0005-0000-0000-000083070000}"/>
    <cellStyle name="백분율 7 2 2 3 3 2 2 2 2 2 2 2 3" xfId="1366" xr:uid="{00000000-0005-0000-0000-000084070000}"/>
    <cellStyle name="백분율 7 2 2 3 3 2 2 2 2 2 2 2 4" xfId="1367" xr:uid="{00000000-0005-0000-0000-000085070000}"/>
    <cellStyle name="백분율 7 2 2 3 3 2 2 2 2 2 2 2 4 2" xfId="1368" xr:uid="{00000000-0005-0000-0000-000086070000}"/>
    <cellStyle name="백분율 7 2 2 3 3 2 2 2 2 2 2 2 4 2 2" xfId="1369" xr:uid="{00000000-0005-0000-0000-000087070000}"/>
    <cellStyle name="백분율 7 2 2 3 3 2 2 2 2 2 2 2 4 3" xfId="1370" xr:uid="{00000000-0005-0000-0000-000088070000}"/>
    <cellStyle name="백분율 7 2 2 3 3 2 2 2 2 2 2 2 5" xfId="1371" xr:uid="{00000000-0005-0000-0000-000089070000}"/>
    <cellStyle name="백분율 7 2 2 3 3 2 2 2 2 2 2 2 5 2" xfId="1372" xr:uid="{00000000-0005-0000-0000-00008A070000}"/>
    <cellStyle name="백분율 7 2 2 3 3 2 2 2 2 2 2 2 6" xfId="1373" xr:uid="{00000000-0005-0000-0000-00008B070000}"/>
    <cellStyle name="백분율 7 2 2 3 3 2 2 2 2 2 2 2 7" xfId="1374" xr:uid="{00000000-0005-0000-0000-00008C070000}"/>
    <cellStyle name="백분율 7 2 2 3 3 2 2 2 2 2 2 3" xfId="1375" xr:uid="{00000000-0005-0000-0000-00008D070000}"/>
    <cellStyle name="백분율 7 2 2 3 3 2 2 2 2 2 2 4" xfId="1376" xr:uid="{00000000-0005-0000-0000-00008E070000}"/>
    <cellStyle name="백분율 7 2 2 3 3 2 2 2 2 2 2 4 2" xfId="1377" xr:uid="{00000000-0005-0000-0000-00008F070000}"/>
    <cellStyle name="백분율 7 2 2 3 3 2 2 2 2 2 2 4 2 2" xfId="1378" xr:uid="{00000000-0005-0000-0000-000090070000}"/>
    <cellStyle name="백분율 7 2 2 3 3 2 2 2 2 2 2 4 3" xfId="1379" xr:uid="{00000000-0005-0000-0000-000091070000}"/>
    <cellStyle name="백분율 7 2 2 3 3 2 2 2 2 2 2 5" xfId="1380" xr:uid="{00000000-0005-0000-0000-000092070000}"/>
    <cellStyle name="백분율 7 2 2 3 3 2 2 2 2 2 2 5 2" xfId="1381" xr:uid="{00000000-0005-0000-0000-000093070000}"/>
    <cellStyle name="백분율 7 2 2 3 3 2 2 2 2 2 2 6" xfId="1382" xr:uid="{00000000-0005-0000-0000-000094070000}"/>
    <cellStyle name="백분율 7 2 2 3 3 2 2 2 2 2 2 7" xfId="1383" xr:uid="{00000000-0005-0000-0000-000095070000}"/>
    <cellStyle name="백분율 7 2 2 3 3 2 2 2 2 2 3" xfId="1384" xr:uid="{00000000-0005-0000-0000-000096070000}"/>
    <cellStyle name="백분율 7 2 2 3 3 2 2 2 2 2 4" xfId="1385" xr:uid="{00000000-0005-0000-0000-000097070000}"/>
    <cellStyle name="백분율 7 2 2 3 3 2 2 2 2 2 4 2" xfId="1386" xr:uid="{00000000-0005-0000-0000-000098070000}"/>
    <cellStyle name="백분율 7 2 2 3 3 2 2 2 2 2 4 2 2" xfId="1387" xr:uid="{00000000-0005-0000-0000-000099070000}"/>
    <cellStyle name="백분율 7 2 2 3 3 2 2 2 2 2 4 3" xfId="1388" xr:uid="{00000000-0005-0000-0000-00009A070000}"/>
    <cellStyle name="백분율 7 2 2 3 3 2 2 2 2 2 5" xfId="1389" xr:uid="{00000000-0005-0000-0000-00009B070000}"/>
    <cellStyle name="백분율 7 2 2 3 3 2 2 2 2 2 5 2" xfId="1390" xr:uid="{00000000-0005-0000-0000-00009C070000}"/>
    <cellStyle name="백분율 7 2 2 3 3 2 2 2 2 2 6" xfId="1391" xr:uid="{00000000-0005-0000-0000-00009D070000}"/>
    <cellStyle name="백분율 7 2 2 3 3 2 2 2 2 2 7" xfId="1392" xr:uid="{00000000-0005-0000-0000-00009E070000}"/>
    <cellStyle name="백분율 7 2 2 3 3 2 2 2 2 3" xfId="1393" xr:uid="{00000000-0005-0000-0000-00009F070000}"/>
    <cellStyle name="백분율 7 2 2 3 3 2 2 2 2 4" xfId="1394" xr:uid="{00000000-0005-0000-0000-0000A0070000}"/>
    <cellStyle name="백분율 7 2 2 3 3 2 2 2 2 4 2" xfId="1395" xr:uid="{00000000-0005-0000-0000-0000A1070000}"/>
    <cellStyle name="백분율 7 2 2 3 3 2 2 2 2 4 2 2" xfId="1396" xr:uid="{00000000-0005-0000-0000-0000A2070000}"/>
    <cellStyle name="백분율 7 2 2 3 3 2 2 2 2 4 3" xfId="1397" xr:uid="{00000000-0005-0000-0000-0000A3070000}"/>
    <cellStyle name="백분율 7 2 2 3 3 2 2 2 2 5" xfId="1398" xr:uid="{00000000-0005-0000-0000-0000A4070000}"/>
    <cellStyle name="백분율 7 2 2 3 3 2 2 2 2 5 2" xfId="1399" xr:uid="{00000000-0005-0000-0000-0000A5070000}"/>
    <cellStyle name="백분율 7 2 2 3 3 2 2 2 2 6" xfId="1400" xr:uid="{00000000-0005-0000-0000-0000A6070000}"/>
    <cellStyle name="백분율 7 2 2 3 3 2 2 2 2 7" xfId="1401" xr:uid="{00000000-0005-0000-0000-0000A7070000}"/>
    <cellStyle name="백분율 7 2 2 3 3 2 2 2 3" xfId="1402" xr:uid="{00000000-0005-0000-0000-0000A8070000}"/>
    <cellStyle name="백분율 7 2 2 3 3 2 2 2 4" xfId="1403" xr:uid="{00000000-0005-0000-0000-0000A9070000}"/>
    <cellStyle name="백분율 7 2 2 3 3 2 2 2 4 2" xfId="1404" xr:uid="{00000000-0005-0000-0000-0000AA070000}"/>
    <cellStyle name="백분율 7 2 2 3 3 2 2 2 4 2 2" xfId="1405" xr:uid="{00000000-0005-0000-0000-0000AB070000}"/>
    <cellStyle name="백분율 7 2 2 3 3 2 2 2 4 3" xfId="1406" xr:uid="{00000000-0005-0000-0000-0000AC070000}"/>
    <cellStyle name="백분율 7 2 2 3 3 2 2 2 5" xfId="1407" xr:uid="{00000000-0005-0000-0000-0000AD070000}"/>
    <cellStyle name="백분율 7 2 2 3 3 2 2 2 5 2" xfId="1408" xr:uid="{00000000-0005-0000-0000-0000AE070000}"/>
    <cellStyle name="백분율 7 2 2 3 3 2 2 2 6" xfId="1409" xr:uid="{00000000-0005-0000-0000-0000AF070000}"/>
    <cellStyle name="백분율 7 2 2 3 3 2 2 2 7" xfId="1410" xr:uid="{00000000-0005-0000-0000-0000B0070000}"/>
    <cellStyle name="백분율 7 2 2 3 3 2 2 3" xfId="1411" xr:uid="{00000000-0005-0000-0000-0000B1070000}"/>
    <cellStyle name="백분율 7 2 2 3 3 2 2 4" xfId="1412" xr:uid="{00000000-0005-0000-0000-0000B2070000}"/>
    <cellStyle name="백분율 7 2 2 3 3 2 2 4 2" xfId="1413" xr:uid="{00000000-0005-0000-0000-0000B3070000}"/>
    <cellStyle name="백분율 7 2 2 3 3 2 2 4 2 2" xfId="1414" xr:uid="{00000000-0005-0000-0000-0000B4070000}"/>
    <cellStyle name="백분율 7 2 2 3 3 2 2 4 3" xfId="1415" xr:uid="{00000000-0005-0000-0000-0000B5070000}"/>
    <cellStyle name="백분율 7 2 2 3 3 2 2 5" xfId="1416" xr:uid="{00000000-0005-0000-0000-0000B6070000}"/>
    <cellStyle name="백분율 7 2 2 3 3 2 2 5 2" xfId="1417" xr:uid="{00000000-0005-0000-0000-0000B7070000}"/>
    <cellStyle name="백분율 7 2 2 3 3 2 2 6" xfId="1418" xr:uid="{00000000-0005-0000-0000-0000B8070000}"/>
    <cellStyle name="백분율 7 2 2 3 3 2 2 7" xfId="1419" xr:uid="{00000000-0005-0000-0000-0000B9070000}"/>
    <cellStyle name="백분율 7 2 2 3 3 2 3" xfId="1420" xr:uid="{00000000-0005-0000-0000-0000BA070000}"/>
    <cellStyle name="백분율 7 2 2 3 3 2 4" xfId="1421" xr:uid="{00000000-0005-0000-0000-0000BB070000}"/>
    <cellStyle name="백분율 7 2 2 3 3 2 4 2" xfId="1422" xr:uid="{00000000-0005-0000-0000-0000BC070000}"/>
    <cellStyle name="백분율 7 2 2 3 3 2 4 2 2" xfId="1423" xr:uid="{00000000-0005-0000-0000-0000BD070000}"/>
    <cellStyle name="백분율 7 2 2 3 3 2 4 3" xfId="1424" xr:uid="{00000000-0005-0000-0000-0000BE070000}"/>
    <cellStyle name="백분율 7 2 2 3 3 2 5" xfId="1425" xr:uid="{00000000-0005-0000-0000-0000BF070000}"/>
    <cellStyle name="백분율 7 2 2 3 3 2 5 2" xfId="1426" xr:uid="{00000000-0005-0000-0000-0000C0070000}"/>
    <cellStyle name="백분율 7 2 2 3 3 2 6" xfId="1427" xr:uid="{00000000-0005-0000-0000-0000C1070000}"/>
    <cellStyle name="백분율 7 2 2 3 3 2 7" xfId="1428" xr:uid="{00000000-0005-0000-0000-0000C2070000}"/>
    <cellStyle name="백분율 7 2 2 3 3 3" xfId="1429" xr:uid="{00000000-0005-0000-0000-0000C3070000}"/>
    <cellStyle name="백분율 7 2 2 3 3 4" xfId="1430" xr:uid="{00000000-0005-0000-0000-0000C4070000}"/>
    <cellStyle name="백분율 7 2 2 3 3 4 2" xfId="1431" xr:uid="{00000000-0005-0000-0000-0000C5070000}"/>
    <cellStyle name="백분율 7 2 2 3 3 4 2 2" xfId="1432" xr:uid="{00000000-0005-0000-0000-0000C6070000}"/>
    <cellStyle name="백분율 7 2 2 3 3 4 3" xfId="1433" xr:uid="{00000000-0005-0000-0000-0000C7070000}"/>
    <cellStyle name="백분율 7 2 2 3 3 5" xfId="1434" xr:uid="{00000000-0005-0000-0000-0000C8070000}"/>
    <cellStyle name="백분율 7 2 2 3 3 5 2" xfId="1435" xr:uid="{00000000-0005-0000-0000-0000C9070000}"/>
    <cellStyle name="백분율 7 2 2 3 3 6" xfId="1436" xr:uid="{00000000-0005-0000-0000-0000CA070000}"/>
    <cellStyle name="백분율 7 2 2 3 3 7" xfId="1437" xr:uid="{00000000-0005-0000-0000-0000CB070000}"/>
    <cellStyle name="백분율 7 2 2 3 4" xfId="1438" xr:uid="{00000000-0005-0000-0000-0000CC070000}"/>
    <cellStyle name="백분율 7 2 2 3 5" xfId="1439" xr:uid="{00000000-0005-0000-0000-0000CD070000}"/>
    <cellStyle name="백분율 7 2 2 3 5 2" xfId="1440" xr:uid="{00000000-0005-0000-0000-0000CE070000}"/>
    <cellStyle name="백분율 7 2 2 3 5 2 2" xfId="1441" xr:uid="{00000000-0005-0000-0000-0000CF070000}"/>
    <cellStyle name="백분율 7 2 2 3 5 3" xfId="1442" xr:uid="{00000000-0005-0000-0000-0000D0070000}"/>
    <cellStyle name="백분율 7 2 2 3 6" xfId="1443" xr:uid="{00000000-0005-0000-0000-0000D1070000}"/>
    <cellStyle name="백분율 7 2 2 3 6 2" xfId="1444" xr:uid="{00000000-0005-0000-0000-0000D2070000}"/>
    <cellStyle name="백분율 7 2 2 3 7" xfId="1445" xr:uid="{00000000-0005-0000-0000-0000D3070000}"/>
    <cellStyle name="백분율 7 2 2 3 8" xfId="1446" xr:uid="{00000000-0005-0000-0000-0000D4070000}"/>
    <cellStyle name="백분율 7 2 2 4" xfId="1447" xr:uid="{00000000-0005-0000-0000-0000D5070000}"/>
    <cellStyle name="백분율 7 2 2 5" xfId="1448" xr:uid="{00000000-0005-0000-0000-0000D6070000}"/>
    <cellStyle name="백분율 7 2 2 5 2" xfId="1449" xr:uid="{00000000-0005-0000-0000-0000D7070000}"/>
    <cellStyle name="백분율 7 2 2 5 2 2" xfId="1450" xr:uid="{00000000-0005-0000-0000-0000D8070000}"/>
    <cellStyle name="백분율 7 2 2 5 3" xfId="1451" xr:uid="{00000000-0005-0000-0000-0000D9070000}"/>
    <cellStyle name="백분율 7 2 2 6" xfId="1452" xr:uid="{00000000-0005-0000-0000-0000DA070000}"/>
    <cellStyle name="백분율 7 2 2 6 2" xfId="1453" xr:uid="{00000000-0005-0000-0000-0000DB070000}"/>
    <cellStyle name="백분율 7 2 2 7" xfId="1454" xr:uid="{00000000-0005-0000-0000-0000DC070000}"/>
    <cellStyle name="백분율 7 2 2 8" xfId="1455" xr:uid="{00000000-0005-0000-0000-0000DD070000}"/>
    <cellStyle name="백분율 7 2 3" xfId="1456" xr:uid="{00000000-0005-0000-0000-0000DE070000}"/>
    <cellStyle name="백분율 7 2 4" xfId="1457" xr:uid="{00000000-0005-0000-0000-0000DF070000}"/>
    <cellStyle name="백분율 7 2 4 2" xfId="1458" xr:uid="{00000000-0005-0000-0000-0000E0070000}"/>
    <cellStyle name="백분율 7 2 4 2 2" xfId="1459" xr:uid="{00000000-0005-0000-0000-0000E1070000}"/>
    <cellStyle name="백분율 7 2 4 3" xfId="1460" xr:uid="{00000000-0005-0000-0000-0000E2070000}"/>
    <cellStyle name="백분율 7 2 5" xfId="1461" xr:uid="{00000000-0005-0000-0000-0000E3070000}"/>
    <cellStyle name="백분율 7 2 5 2" xfId="1462" xr:uid="{00000000-0005-0000-0000-0000E4070000}"/>
    <cellStyle name="백분율 7 2 6" xfId="1463" xr:uid="{00000000-0005-0000-0000-0000E5070000}"/>
    <cellStyle name="백분율 7 2 6 2" xfId="1464" xr:uid="{00000000-0005-0000-0000-0000E6070000}"/>
    <cellStyle name="백분율 7 2 6 3" xfId="1465" xr:uid="{00000000-0005-0000-0000-0000E7070000}"/>
    <cellStyle name="백분율 7 2 7" xfId="1466" xr:uid="{00000000-0005-0000-0000-0000E8070000}"/>
    <cellStyle name="백분율 7 2 8" xfId="1467" xr:uid="{00000000-0005-0000-0000-0000E9070000}"/>
    <cellStyle name="백분율 7 3" xfId="1468" xr:uid="{00000000-0005-0000-0000-0000EA070000}"/>
    <cellStyle name="백분율 7 4" xfId="1469" xr:uid="{00000000-0005-0000-0000-0000EB070000}"/>
    <cellStyle name="백분율 7 4 2" xfId="1470" xr:uid="{00000000-0005-0000-0000-0000EC070000}"/>
    <cellStyle name="백분율 7 4 2 2" xfId="1471" xr:uid="{00000000-0005-0000-0000-0000ED070000}"/>
    <cellStyle name="백분율 7 4 3" xfId="1472" xr:uid="{00000000-0005-0000-0000-0000EE070000}"/>
    <cellStyle name="백분율 7 5" xfId="1473" xr:uid="{00000000-0005-0000-0000-0000EF070000}"/>
    <cellStyle name="백분율 7 5 2" xfId="1474" xr:uid="{00000000-0005-0000-0000-0000F0070000}"/>
    <cellStyle name="백분율 7 6" xfId="1475" xr:uid="{00000000-0005-0000-0000-0000F1070000}"/>
    <cellStyle name="백분율 7 7" xfId="1476" xr:uid="{00000000-0005-0000-0000-0000F2070000}"/>
    <cellStyle name="백분율 8" xfId="1477" xr:uid="{00000000-0005-0000-0000-0000F3070000}"/>
    <cellStyle name="백분율 8 2" xfId="1478" xr:uid="{00000000-0005-0000-0000-0000F4070000}"/>
    <cellStyle name="백분율 8 2 2" xfId="1479" xr:uid="{00000000-0005-0000-0000-0000F5070000}"/>
    <cellStyle name="백분율 9" xfId="1480" xr:uid="{00000000-0005-0000-0000-0000F6070000}"/>
    <cellStyle name="보통 2" xfId="1481" xr:uid="{00000000-0005-0000-0000-0000F7070000}"/>
    <cellStyle name="보통 3" xfId="1482" xr:uid="{00000000-0005-0000-0000-0000F8070000}"/>
    <cellStyle name="보통 4" xfId="1483" xr:uid="{00000000-0005-0000-0000-0000F9070000}"/>
    <cellStyle name="뷭?_BOOKSHIP" xfId="1484" xr:uid="{00000000-0005-0000-0000-0000FA070000}"/>
    <cellStyle name="常规 2" xfId="1485" xr:uid="{00000000-0005-0000-0000-0000FB070000}"/>
    <cellStyle name="常规 2 2" xfId="1486" xr:uid="{00000000-0005-0000-0000-0000FC070000}"/>
    <cellStyle name="常规_업무협조전(제품재고)" xfId="1487" xr:uid="{00000000-0005-0000-0000-0000FD070000}"/>
    <cellStyle name="설명 텍스트 2" xfId="1488" xr:uid="{00000000-0005-0000-0000-0000FE070000}"/>
    <cellStyle name="설명 텍스트 3" xfId="1489" xr:uid="{00000000-0005-0000-0000-0000FF070000}"/>
    <cellStyle name="설명 텍스트 4" xfId="1490" xr:uid="{00000000-0005-0000-0000-000000080000}"/>
    <cellStyle name="셀 확인 2" xfId="1491" xr:uid="{00000000-0005-0000-0000-000001080000}"/>
    <cellStyle name="셀 확인 3" xfId="1492" xr:uid="{00000000-0005-0000-0000-000002080000}"/>
    <cellStyle name="셀 확인 4" xfId="1493" xr:uid="{00000000-0005-0000-0000-000003080000}"/>
    <cellStyle name="隨後的超連結_Book1" xfId="1494" xr:uid="{00000000-0005-0000-0000-000004080000}"/>
    <cellStyle name="쉼표 [0]" xfId="2" builtinId="6"/>
    <cellStyle name="쉼표 [0] 10" xfId="1495" xr:uid="{00000000-0005-0000-0000-000006080000}"/>
    <cellStyle name="쉼표 [0] 10 2" xfId="1496" xr:uid="{00000000-0005-0000-0000-000007080000}"/>
    <cellStyle name="쉼표 [0] 10 2 2" xfId="1497" xr:uid="{00000000-0005-0000-0000-000008080000}"/>
    <cellStyle name="쉼표 [0] 10 2 2 2" xfId="1498" xr:uid="{00000000-0005-0000-0000-000009080000}"/>
    <cellStyle name="쉼표 [0] 10 2 3" xfId="1499" xr:uid="{00000000-0005-0000-0000-00000A080000}"/>
    <cellStyle name="쉼표 [0] 10 3" xfId="1500" xr:uid="{00000000-0005-0000-0000-00000B080000}"/>
    <cellStyle name="쉼표 [0] 10 3 2" xfId="1501" xr:uid="{00000000-0005-0000-0000-00000C080000}"/>
    <cellStyle name="쉼표 [0] 10 4" xfId="1502" xr:uid="{00000000-0005-0000-0000-00000D080000}"/>
    <cellStyle name="쉼표 [0] 11" xfId="1503" xr:uid="{00000000-0005-0000-0000-00000E080000}"/>
    <cellStyle name="쉼표 [0] 12" xfId="1504" xr:uid="{00000000-0005-0000-0000-00000F080000}"/>
    <cellStyle name="쉼표 [0] 12 2" xfId="1505" xr:uid="{00000000-0005-0000-0000-000010080000}"/>
    <cellStyle name="쉼표 [0] 12 2 2" xfId="1506" xr:uid="{00000000-0005-0000-0000-000011080000}"/>
    <cellStyle name="쉼표 [0] 12 3" xfId="1507" xr:uid="{00000000-0005-0000-0000-000012080000}"/>
    <cellStyle name="쉼표 [0] 13" xfId="1508" xr:uid="{00000000-0005-0000-0000-000013080000}"/>
    <cellStyle name="쉼표 [0] 14" xfId="1509" xr:uid="{00000000-0005-0000-0000-000014080000}"/>
    <cellStyle name="쉼표 [0] 14 2" xfId="1510" xr:uid="{00000000-0005-0000-0000-000015080000}"/>
    <cellStyle name="쉼표 [0] 15" xfId="1511" xr:uid="{00000000-0005-0000-0000-000016080000}"/>
    <cellStyle name="쉼표 [0] 16" xfId="1512" xr:uid="{00000000-0005-0000-0000-000017080000}"/>
    <cellStyle name="쉼표 [0] 17" xfId="1513" xr:uid="{00000000-0005-0000-0000-000018080000}"/>
    <cellStyle name="쉼표 [0] 18" xfId="1514" xr:uid="{00000000-0005-0000-0000-000019080000}"/>
    <cellStyle name="쉼표 [0] 2" xfId="1515" xr:uid="{00000000-0005-0000-0000-00001A080000}"/>
    <cellStyle name="쉼표 [0] 2 2" xfId="1516" xr:uid="{00000000-0005-0000-0000-00001B080000}"/>
    <cellStyle name="쉼표 [0] 2 2 2" xfId="1517" xr:uid="{00000000-0005-0000-0000-00001C080000}"/>
    <cellStyle name="쉼표 [0] 2 3" xfId="1518" xr:uid="{00000000-0005-0000-0000-00001D080000}"/>
    <cellStyle name="쉼표 [0] 3" xfId="1519" xr:uid="{00000000-0005-0000-0000-00001E080000}"/>
    <cellStyle name="쉼표 [0] 3 2" xfId="1520" xr:uid="{00000000-0005-0000-0000-00001F080000}"/>
    <cellStyle name="쉼표 [0] 4" xfId="1521" xr:uid="{00000000-0005-0000-0000-000020080000}"/>
    <cellStyle name="쉼표 [0] 5" xfId="1522" xr:uid="{00000000-0005-0000-0000-000021080000}"/>
    <cellStyle name="쉼표 [0] 5 2" xfId="1523" xr:uid="{00000000-0005-0000-0000-000022080000}"/>
    <cellStyle name="쉼표 [0] 5 2 2" xfId="1524" xr:uid="{00000000-0005-0000-0000-000023080000}"/>
    <cellStyle name="쉼표 [0] 5 2 2 2" xfId="1525" xr:uid="{00000000-0005-0000-0000-000024080000}"/>
    <cellStyle name="쉼표 [0] 6" xfId="1526" xr:uid="{00000000-0005-0000-0000-000025080000}"/>
    <cellStyle name="쉼표 [0] 6 2" xfId="1527" xr:uid="{00000000-0005-0000-0000-000026080000}"/>
    <cellStyle name="쉼표 [0] 6 2 2" xfId="1528" xr:uid="{00000000-0005-0000-0000-000027080000}"/>
    <cellStyle name="쉼표 [0] 6 2 2 2" xfId="1529" xr:uid="{00000000-0005-0000-0000-000028080000}"/>
    <cellStyle name="쉼표 [0] 6 2 2 2 2" xfId="1530" xr:uid="{00000000-0005-0000-0000-000029080000}"/>
    <cellStyle name="쉼표 [0] 6 2 2 2 3" xfId="1531" xr:uid="{00000000-0005-0000-0000-00002A080000}"/>
    <cellStyle name="쉼표 [0] 6 2 2 2 3 2" xfId="1532" xr:uid="{00000000-0005-0000-0000-00002B080000}"/>
    <cellStyle name="쉼표 [0] 6 2 2 2 3 2 2" xfId="1533" xr:uid="{00000000-0005-0000-0000-00002C080000}"/>
    <cellStyle name="쉼표 [0] 6 2 2 2 3 3" xfId="1534" xr:uid="{00000000-0005-0000-0000-00002D080000}"/>
    <cellStyle name="쉼표 [0] 6 2 2 2 4" xfId="1535" xr:uid="{00000000-0005-0000-0000-00002E080000}"/>
    <cellStyle name="쉼표 [0] 6 2 2 2 4 2" xfId="1536" xr:uid="{00000000-0005-0000-0000-00002F080000}"/>
    <cellStyle name="쉼표 [0] 6 2 2 2 5" xfId="1537" xr:uid="{00000000-0005-0000-0000-000030080000}"/>
    <cellStyle name="쉼표 [0] 6 2 2 2 6" xfId="1538" xr:uid="{00000000-0005-0000-0000-000031080000}"/>
    <cellStyle name="쉼표 [0] 6 2 2 3" xfId="1539" xr:uid="{00000000-0005-0000-0000-000032080000}"/>
    <cellStyle name="쉼표 [0] 6 2 2 3 2" xfId="1540" xr:uid="{00000000-0005-0000-0000-000033080000}"/>
    <cellStyle name="쉼표 [0] 6 2 2 3 2 2" xfId="1541" xr:uid="{00000000-0005-0000-0000-000034080000}"/>
    <cellStyle name="쉼표 [0] 6 2 2 3 2 3" xfId="1542" xr:uid="{00000000-0005-0000-0000-000035080000}"/>
    <cellStyle name="쉼표 [0] 6 2 2 3 2 3 2" xfId="1543" xr:uid="{00000000-0005-0000-0000-000036080000}"/>
    <cellStyle name="쉼표 [0] 6 2 2 3 2 3 2 2" xfId="1544" xr:uid="{00000000-0005-0000-0000-000037080000}"/>
    <cellStyle name="쉼표 [0] 6 2 2 3 2 3 3" xfId="1545" xr:uid="{00000000-0005-0000-0000-000038080000}"/>
    <cellStyle name="쉼표 [0] 6 2 2 3 2 4" xfId="1546" xr:uid="{00000000-0005-0000-0000-000039080000}"/>
    <cellStyle name="쉼표 [0] 6 2 2 3 2 4 2" xfId="1547" xr:uid="{00000000-0005-0000-0000-00003A080000}"/>
    <cellStyle name="쉼표 [0] 6 2 2 3 2 5" xfId="1548" xr:uid="{00000000-0005-0000-0000-00003B080000}"/>
    <cellStyle name="쉼표 [0] 6 2 2 3 2 6" xfId="1549" xr:uid="{00000000-0005-0000-0000-00003C080000}"/>
    <cellStyle name="쉼표 [0] 6 2 2 3 3" xfId="1550" xr:uid="{00000000-0005-0000-0000-00003D080000}"/>
    <cellStyle name="쉼표 [0] 6 2 2 3 3 2" xfId="1551" xr:uid="{00000000-0005-0000-0000-00003E080000}"/>
    <cellStyle name="쉼표 [0] 6 2 2 3 3 2 2" xfId="1552" xr:uid="{00000000-0005-0000-0000-00003F080000}"/>
    <cellStyle name="쉼표 [0] 6 2 2 3 3 2 2 2" xfId="1553" xr:uid="{00000000-0005-0000-0000-000040080000}"/>
    <cellStyle name="쉼표 [0] 6 2 2 3 3 2 2 2 2" xfId="1554" xr:uid="{00000000-0005-0000-0000-000041080000}"/>
    <cellStyle name="쉼표 [0] 6 2 2 3 3 2 2 2 2 2" xfId="1555" xr:uid="{00000000-0005-0000-0000-000042080000}"/>
    <cellStyle name="쉼표 [0] 6 2 2 3 3 2 2 2 2 2 2" xfId="1556" xr:uid="{00000000-0005-0000-0000-000043080000}"/>
    <cellStyle name="쉼표 [0] 6 2 2 3 3 2 2 2 2 2 2 2" xfId="1557" xr:uid="{00000000-0005-0000-0000-000044080000}"/>
    <cellStyle name="쉼표 [0] 6 2 2 3 3 2 2 2 2 2 2 2 2" xfId="1558" xr:uid="{00000000-0005-0000-0000-000045080000}"/>
    <cellStyle name="쉼표 [0] 6 2 2 3 3 2 2 2 2 2 2 2 2 2" xfId="1559" xr:uid="{00000000-0005-0000-0000-000046080000}"/>
    <cellStyle name="쉼표 [0] 6 2 2 3 3 2 2 2 2 2 2 2 2 2 2" xfId="1560" xr:uid="{00000000-0005-0000-0000-000047080000}"/>
    <cellStyle name="쉼표 [0] 6 2 2 3 3 2 2 2 2 2 2 2 2 2 2 2" xfId="1561" xr:uid="{00000000-0005-0000-0000-000048080000}"/>
    <cellStyle name="쉼표 [0] 6 2 2 3 3 2 2 2 2 2 2 2 2 2 2 2 2" xfId="1562" xr:uid="{00000000-0005-0000-0000-000049080000}"/>
    <cellStyle name="쉼표 [0] 6 2 2 3 3 2 2 2 2 2 2 2 2 2 2 2 2 2" xfId="1563" xr:uid="{00000000-0005-0000-0000-00004A080000}"/>
    <cellStyle name="쉼표 [0] 6 2 2 3 3 2 2 2 2 2 2 2 2 2 2 2 2 2 2" xfId="1564" xr:uid="{00000000-0005-0000-0000-00004B080000}"/>
    <cellStyle name="쉼표 [0] 6 2 2 3 3 2 2 2 2 2 2 2 2 2 2 2 2 2 2 2" xfId="1565" xr:uid="{00000000-0005-0000-0000-00004C080000}"/>
    <cellStyle name="쉼표 [0] 6 2 2 3 3 2 2 2 2 2 2 2 2 2 2 2 2 2 2 2 2" xfId="1566" xr:uid="{00000000-0005-0000-0000-00004D080000}"/>
    <cellStyle name="쉼표 [0] 6 2 2 3 3 2 2 2 2 2 2 2 2 2 2 2 2 2 2 2 2 2" xfId="1567" xr:uid="{00000000-0005-0000-0000-00004E080000}"/>
    <cellStyle name="쉼표 [0] 6 2 2 3 3 2 2 2 2 2 2 2 2 2 2 2 2 2 2 2 3" xfId="1568" xr:uid="{00000000-0005-0000-0000-00004F080000}"/>
    <cellStyle name="쉼표 [0] 6 2 2 3 3 2 2 2 2 2 2 2 2 2 2 2 2 2 2 2 3 2" xfId="1569" xr:uid="{00000000-0005-0000-0000-000050080000}"/>
    <cellStyle name="쉼표 [0] 6 2 2 3 3 2 2 2 2 2 2 2 2 2 2 2 2 2 2 2 3 2 2" xfId="1570" xr:uid="{00000000-0005-0000-0000-000051080000}"/>
    <cellStyle name="쉼표 [0] 6 2 2 3 3 2 2 2 2 2 2 2 2 2 2 2 2 2 2 2 3 2 2 2" xfId="1571" xr:uid="{00000000-0005-0000-0000-000052080000}"/>
    <cellStyle name="쉼표 [0] 6 2 2 3 3 2 2 2 2 2 2 2 2 2 2 2 2 2 2 2 3 2 2 2 2" xfId="1572" xr:uid="{00000000-0005-0000-0000-000053080000}"/>
    <cellStyle name="쉼표 [0] 6 2 2 3 3 2 2 2 2 2 2 2 2 2 2 2 2 2 2 2 3 2 2 3" xfId="1573" xr:uid="{00000000-0005-0000-0000-000054080000}"/>
    <cellStyle name="쉼표 [0] 6 2 2 3 3 2 2 2 2 2 2 2 2 2 2 2 2 2 2 2 3 2 3" xfId="1574" xr:uid="{00000000-0005-0000-0000-000055080000}"/>
    <cellStyle name="쉼표 [0] 6 2 2 3 3 2 2 2 2 2 2 2 2 2 2 2 2 2 2 2 3 3" xfId="1575" xr:uid="{00000000-0005-0000-0000-000056080000}"/>
    <cellStyle name="쉼표 [0] 6 2 2 3 3 2 2 2 2 2 2 2 2 2 2 2 2 2 2 2 4" xfId="1576" xr:uid="{00000000-0005-0000-0000-000057080000}"/>
    <cellStyle name="쉼표 [0] 6 2 2 3 3 2 2 2 2 2 2 2 2 2 2 2 2 2 2 3" xfId="1577" xr:uid="{00000000-0005-0000-0000-000058080000}"/>
    <cellStyle name="쉼표 [0] 6 2 2 3 3 2 2 2 2 2 2 2 2 2 2 2 2 2 2 3 2" xfId="1578" xr:uid="{00000000-0005-0000-0000-000059080000}"/>
    <cellStyle name="쉼표 [0] 6 2 2 3 3 2 2 2 2 2 2 2 2 2 2 2 2 2 2 4" xfId="1579" xr:uid="{00000000-0005-0000-0000-00005A080000}"/>
    <cellStyle name="쉼표 [0] 6 2 2 3 3 2 2 2 2 2 2 2 2 2 2 2 2 2 3" xfId="1580" xr:uid="{00000000-0005-0000-0000-00005B080000}"/>
    <cellStyle name="쉼표 [0] 6 2 2 3 3 2 2 2 2 2 2 2 2 2 2 2 2 2 3 2" xfId="1581" xr:uid="{00000000-0005-0000-0000-00005C080000}"/>
    <cellStyle name="쉼표 [0] 6 2 2 3 3 2 2 2 2 2 2 2 2 2 2 2 2 2 3 2 2" xfId="1582" xr:uid="{00000000-0005-0000-0000-00005D080000}"/>
    <cellStyle name="쉼표 [0] 6 2 2 3 3 2 2 2 2 2 2 2 2 2 2 2 2 2 3 3" xfId="1583" xr:uid="{00000000-0005-0000-0000-00005E080000}"/>
    <cellStyle name="쉼표 [0] 6 2 2 3 3 2 2 2 2 2 2 2 2 2 2 2 2 2 4" xfId="1584" xr:uid="{00000000-0005-0000-0000-00005F080000}"/>
    <cellStyle name="쉼표 [0] 6 2 2 3 3 2 2 2 2 2 2 2 2 2 2 2 2 2 4 2" xfId="1585" xr:uid="{00000000-0005-0000-0000-000060080000}"/>
    <cellStyle name="쉼표 [0] 6 2 2 3 3 2 2 2 2 2 2 2 2 2 2 2 2 2 5" xfId="1586" xr:uid="{00000000-0005-0000-0000-000061080000}"/>
    <cellStyle name="쉼표 [0] 6 2 2 3 3 2 2 2 2 2 2 2 2 2 2 2 2 3" xfId="1587" xr:uid="{00000000-0005-0000-0000-000062080000}"/>
    <cellStyle name="쉼표 [0] 6 2 2 3 3 2 2 2 2 2 2 2 2 2 2 2 2 3 2" xfId="1588" xr:uid="{00000000-0005-0000-0000-000063080000}"/>
    <cellStyle name="쉼표 [0] 6 2 2 3 3 2 2 2 2 2 2 2 2 2 2 2 2 3 2 2" xfId="1589" xr:uid="{00000000-0005-0000-0000-000064080000}"/>
    <cellStyle name="쉼표 [0] 6 2 2 3 3 2 2 2 2 2 2 2 2 2 2 2 2 3 3" xfId="1590" xr:uid="{00000000-0005-0000-0000-000065080000}"/>
    <cellStyle name="쉼표 [0] 6 2 2 3 3 2 2 2 2 2 2 2 2 2 2 2 2 4" xfId="1591" xr:uid="{00000000-0005-0000-0000-000066080000}"/>
    <cellStyle name="쉼표 [0] 6 2 2 3 3 2 2 2 2 2 2 2 2 2 2 2 2 4 2" xfId="1592" xr:uid="{00000000-0005-0000-0000-000067080000}"/>
    <cellStyle name="쉼표 [0] 6 2 2 3 3 2 2 2 2 2 2 2 2 2 2 2 2 5" xfId="1593" xr:uid="{00000000-0005-0000-0000-000068080000}"/>
    <cellStyle name="쉼표 [0] 6 2 2 3 3 2 2 2 2 2 2 2 2 2 2 2 3" xfId="1594" xr:uid="{00000000-0005-0000-0000-000069080000}"/>
    <cellStyle name="쉼표 [0] 6 2 2 3 3 2 2 2 2 2 2 2 2 2 2 2 4" xfId="1595" xr:uid="{00000000-0005-0000-0000-00006A080000}"/>
    <cellStyle name="쉼표 [0] 6 2 2 3 3 2 2 2 2 2 2 2 2 2 2 2 4 2" xfId="1596" xr:uid="{00000000-0005-0000-0000-00006B080000}"/>
    <cellStyle name="쉼표 [0] 6 2 2 3 3 2 2 2 2 2 2 2 2 2 2 2 4 2 2" xfId="1597" xr:uid="{00000000-0005-0000-0000-00006C080000}"/>
    <cellStyle name="쉼표 [0] 6 2 2 3 3 2 2 2 2 2 2 2 2 2 2 2 4 3" xfId="1598" xr:uid="{00000000-0005-0000-0000-00006D080000}"/>
    <cellStyle name="쉼표 [0] 6 2 2 3 3 2 2 2 2 2 2 2 2 2 2 2 5" xfId="1599" xr:uid="{00000000-0005-0000-0000-00006E080000}"/>
    <cellStyle name="쉼표 [0] 6 2 2 3 3 2 2 2 2 2 2 2 2 2 2 2 5 2" xfId="1600" xr:uid="{00000000-0005-0000-0000-00006F080000}"/>
    <cellStyle name="쉼표 [0] 6 2 2 3 3 2 2 2 2 2 2 2 2 2 2 2 6" xfId="1601" xr:uid="{00000000-0005-0000-0000-000070080000}"/>
    <cellStyle name="쉼표 [0] 6 2 2 3 3 2 2 2 2 2 2 2 2 2 2 3" xfId="1602" xr:uid="{00000000-0005-0000-0000-000071080000}"/>
    <cellStyle name="쉼표 [0] 6 2 2 3 3 2 2 2 2 2 2 2 2 2 2 4" xfId="1603" xr:uid="{00000000-0005-0000-0000-000072080000}"/>
    <cellStyle name="쉼표 [0] 6 2 2 3 3 2 2 2 2 2 2 2 2 2 2 4 2" xfId="1604" xr:uid="{00000000-0005-0000-0000-000073080000}"/>
    <cellStyle name="쉼표 [0] 6 2 2 3 3 2 2 2 2 2 2 2 2 2 2 4 2 2" xfId="1605" xr:uid="{00000000-0005-0000-0000-000074080000}"/>
    <cellStyle name="쉼표 [0] 6 2 2 3 3 2 2 2 2 2 2 2 2 2 2 4 3" xfId="1606" xr:uid="{00000000-0005-0000-0000-000075080000}"/>
    <cellStyle name="쉼표 [0] 6 2 2 3 3 2 2 2 2 2 2 2 2 2 2 5" xfId="1607" xr:uid="{00000000-0005-0000-0000-000076080000}"/>
    <cellStyle name="쉼표 [0] 6 2 2 3 3 2 2 2 2 2 2 2 2 2 2 5 2" xfId="1608" xr:uid="{00000000-0005-0000-0000-000077080000}"/>
    <cellStyle name="쉼표 [0] 6 2 2 3 3 2 2 2 2 2 2 2 2 2 2 6" xfId="1609" xr:uid="{00000000-0005-0000-0000-000078080000}"/>
    <cellStyle name="쉼표 [0] 6 2 2 3 3 2 2 2 2 2 2 2 2 2 2 7" xfId="1610" xr:uid="{00000000-0005-0000-0000-000079080000}"/>
    <cellStyle name="쉼표 [0] 6 2 2 3 3 2 2 2 2 2 2 2 2 2 3" xfId="1611" xr:uid="{00000000-0005-0000-0000-00007A080000}"/>
    <cellStyle name="쉼표 [0] 6 2 2 3 3 2 2 2 2 2 2 2 2 2 4" xfId="1612" xr:uid="{00000000-0005-0000-0000-00007B080000}"/>
    <cellStyle name="쉼표 [0] 6 2 2 3 3 2 2 2 2 2 2 2 2 2 4 2" xfId="1613" xr:uid="{00000000-0005-0000-0000-00007C080000}"/>
    <cellStyle name="쉼표 [0] 6 2 2 3 3 2 2 2 2 2 2 2 2 2 4 2 2" xfId="1614" xr:uid="{00000000-0005-0000-0000-00007D080000}"/>
    <cellStyle name="쉼표 [0] 6 2 2 3 3 2 2 2 2 2 2 2 2 2 4 3" xfId="1615" xr:uid="{00000000-0005-0000-0000-00007E080000}"/>
    <cellStyle name="쉼표 [0] 6 2 2 3 3 2 2 2 2 2 2 2 2 2 5" xfId="1616" xr:uid="{00000000-0005-0000-0000-00007F080000}"/>
    <cellStyle name="쉼표 [0] 6 2 2 3 3 2 2 2 2 2 2 2 2 2 5 2" xfId="1617" xr:uid="{00000000-0005-0000-0000-000080080000}"/>
    <cellStyle name="쉼표 [0] 6 2 2 3 3 2 2 2 2 2 2 2 2 2 6" xfId="1618" xr:uid="{00000000-0005-0000-0000-000081080000}"/>
    <cellStyle name="쉼표 [0] 6 2 2 3 3 2 2 2 2 2 2 2 2 2 7" xfId="1619" xr:uid="{00000000-0005-0000-0000-000082080000}"/>
    <cellStyle name="쉼표 [0] 6 2 2 3 3 2 2 2 2 2 2 2 2 3" xfId="1620" xr:uid="{00000000-0005-0000-0000-000083080000}"/>
    <cellStyle name="쉼표 [0] 6 2 2 3 3 2 2 2 2 2 2 2 2 4" xfId="1621" xr:uid="{00000000-0005-0000-0000-000084080000}"/>
    <cellStyle name="쉼표 [0] 6 2 2 3 3 2 2 2 2 2 2 2 2 4 2" xfId="1622" xr:uid="{00000000-0005-0000-0000-000085080000}"/>
    <cellStyle name="쉼표 [0] 6 2 2 3 3 2 2 2 2 2 2 2 2 4 2 2" xfId="1623" xr:uid="{00000000-0005-0000-0000-000086080000}"/>
    <cellStyle name="쉼표 [0] 6 2 2 3 3 2 2 2 2 2 2 2 2 4 3" xfId="1624" xr:uid="{00000000-0005-0000-0000-000087080000}"/>
    <cellStyle name="쉼표 [0] 6 2 2 3 3 2 2 2 2 2 2 2 2 5" xfId="1625" xr:uid="{00000000-0005-0000-0000-000088080000}"/>
    <cellStyle name="쉼표 [0] 6 2 2 3 3 2 2 2 2 2 2 2 2 5 2" xfId="1626" xr:uid="{00000000-0005-0000-0000-000089080000}"/>
    <cellStyle name="쉼표 [0] 6 2 2 3 3 2 2 2 2 2 2 2 2 6" xfId="1627" xr:uid="{00000000-0005-0000-0000-00008A080000}"/>
    <cellStyle name="쉼표 [0] 6 2 2 3 3 2 2 2 2 2 2 2 2 7" xfId="1628" xr:uid="{00000000-0005-0000-0000-00008B080000}"/>
    <cellStyle name="쉼표 [0] 6 2 2 3 3 2 2 2 2 2 2 2 3" xfId="1629" xr:uid="{00000000-0005-0000-0000-00008C080000}"/>
    <cellStyle name="쉼표 [0] 6 2 2 3 3 2 2 2 2 2 2 2 4" xfId="1630" xr:uid="{00000000-0005-0000-0000-00008D080000}"/>
    <cellStyle name="쉼표 [0] 6 2 2 3 3 2 2 2 2 2 2 2 4 2" xfId="1631" xr:uid="{00000000-0005-0000-0000-00008E080000}"/>
    <cellStyle name="쉼표 [0] 6 2 2 3 3 2 2 2 2 2 2 2 4 2 2" xfId="1632" xr:uid="{00000000-0005-0000-0000-00008F080000}"/>
    <cellStyle name="쉼표 [0] 6 2 2 3 3 2 2 2 2 2 2 2 4 3" xfId="1633" xr:uid="{00000000-0005-0000-0000-000090080000}"/>
    <cellStyle name="쉼표 [0] 6 2 2 3 3 2 2 2 2 2 2 2 5" xfId="1634" xr:uid="{00000000-0005-0000-0000-000091080000}"/>
    <cellStyle name="쉼표 [0] 6 2 2 3 3 2 2 2 2 2 2 2 5 2" xfId="1635" xr:uid="{00000000-0005-0000-0000-000092080000}"/>
    <cellStyle name="쉼표 [0] 6 2 2 3 3 2 2 2 2 2 2 2 6" xfId="1636" xr:uid="{00000000-0005-0000-0000-000093080000}"/>
    <cellStyle name="쉼표 [0] 6 2 2 3 3 2 2 2 2 2 2 2 7" xfId="1637" xr:uid="{00000000-0005-0000-0000-000094080000}"/>
    <cellStyle name="쉼표 [0] 6 2 2 3 3 2 2 2 2 2 2 3" xfId="1638" xr:uid="{00000000-0005-0000-0000-000095080000}"/>
    <cellStyle name="쉼표 [0] 6 2 2 3 3 2 2 2 2 2 2 4" xfId="1639" xr:uid="{00000000-0005-0000-0000-000096080000}"/>
    <cellStyle name="쉼표 [0] 6 2 2 3 3 2 2 2 2 2 2 4 2" xfId="1640" xr:uid="{00000000-0005-0000-0000-000097080000}"/>
    <cellStyle name="쉼표 [0] 6 2 2 3 3 2 2 2 2 2 2 4 2 2" xfId="1641" xr:uid="{00000000-0005-0000-0000-000098080000}"/>
    <cellStyle name="쉼표 [0] 6 2 2 3 3 2 2 2 2 2 2 4 3" xfId="1642" xr:uid="{00000000-0005-0000-0000-000099080000}"/>
    <cellStyle name="쉼표 [0] 6 2 2 3 3 2 2 2 2 2 2 5" xfId="1643" xr:uid="{00000000-0005-0000-0000-00009A080000}"/>
    <cellStyle name="쉼표 [0] 6 2 2 3 3 2 2 2 2 2 2 5 2" xfId="1644" xr:uid="{00000000-0005-0000-0000-00009B080000}"/>
    <cellStyle name="쉼표 [0] 6 2 2 3 3 2 2 2 2 2 2 6" xfId="1645" xr:uid="{00000000-0005-0000-0000-00009C080000}"/>
    <cellStyle name="쉼표 [0] 6 2 2 3 3 2 2 2 2 2 2 7" xfId="1646" xr:uid="{00000000-0005-0000-0000-00009D080000}"/>
    <cellStyle name="쉼표 [0] 6 2 2 3 3 2 2 2 2 2 3" xfId="1647" xr:uid="{00000000-0005-0000-0000-00009E080000}"/>
    <cellStyle name="쉼표 [0] 6 2 2 3 3 2 2 2 2 2 4" xfId="1648" xr:uid="{00000000-0005-0000-0000-00009F080000}"/>
    <cellStyle name="쉼표 [0] 6 2 2 3 3 2 2 2 2 2 4 2" xfId="1649" xr:uid="{00000000-0005-0000-0000-0000A0080000}"/>
    <cellStyle name="쉼표 [0] 6 2 2 3 3 2 2 2 2 2 4 2 2" xfId="1650" xr:uid="{00000000-0005-0000-0000-0000A1080000}"/>
    <cellStyle name="쉼표 [0] 6 2 2 3 3 2 2 2 2 2 4 3" xfId="1651" xr:uid="{00000000-0005-0000-0000-0000A2080000}"/>
    <cellStyle name="쉼표 [0] 6 2 2 3 3 2 2 2 2 2 5" xfId="1652" xr:uid="{00000000-0005-0000-0000-0000A3080000}"/>
    <cellStyle name="쉼표 [0] 6 2 2 3 3 2 2 2 2 2 5 2" xfId="1653" xr:uid="{00000000-0005-0000-0000-0000A4080000}"/>
    <cellStyle name="쉼표 [0] 6 2 2 3 3 2 2 2 2 2 6" xfId="1654" xr:uid="{00000000-0005-0000-0000-0000A5080000}"/>
    <cellStyle name="쉼표 [0] 6 2 2 3 3 2 2 2 2 2 7" xfId="1655" xr:uid="{00000000-0005-0000-0000-0000A6080000}"/>
    <cellStyle name="쉼표 [0] 6 2 2 3 3 2 2 2 2 3" xfId="1656" xr:uid="{00000000-0005-0000-0000-0000A7080000}"/>
    <cellStyle name="쉼표 [0] 6 2 2 3 3 2 2 2 2 4" xfId="1657" xr:uid="{00000000-0005-0000-0000-0000A8080000}"/>
    <cellStyle name="쉼표 [0] 6 2 2 3 3 2 2 2 2 4 2" xfId="1658" xr:uid="{00000000-0005-0000-0000-0000A9080000}"/>
    <cellStyle name="쉼표 [0] 6 2 2 3 3 2 2 2 2 4 2 2" xfId="1659" xr:uid="{00000000-0005-0000-0000-0000AA080000}"/>
    <cellStyle name="쉼표 [0] 6 2 2 3 3 2 2 2 2 4 3" xfId="1660" xr:uid="{00000000-0005-0000-0000-0000AB080000}"/>
    <cellStyle name="쉼표 [0] 6 2 2 3 3 2 2 2 2 5" xfId="1661" xr:uid="{00000000-0005-0000-0000-0000AC080000}"/>
    <cellStyle name="쉼표 [0] 6 2 2 3 3 2 2 2 2 5 2" xfId="1662" xr:uid="{00000000-0005-0000-0000-0000AD080000}"/>
    <cellStyle name="쉼표 [0] 6 2 2 3 3 2 2 2 2 6" xfId="1663" xr:uid="{00000000-0005-0000-0000-0000AE080000}"/>
    <cellStyle name="쉼표 [0] 6 2 2 3 3 2 2 2 2 7" xfId="1664" xr:uid="{00000000-0005-0000-0000-0000AF080000}"/>
    <cellStyle name="쉼표 [0] 6 2 2 3 3 2 2 2 3" xfId="1665" xr:uid="{00000000-0005-0000-0000-0000B0080000}"/>
    <cellStyle name="쉼표 [0] 6 2 2 3 3 2 2 2 4" xfId="1666" xr:uid="{00000000-0005-0000-0000-0000B1080000}"/>
    <cellStyle name="쉼표 [0] 6 2 2 3 3 2 2 2 4 2" xfId="1667" xr:uid="{00000000-0005-0000-0000-0000B2080000}"/>
    <cellStyle name="쉼표 [0] 6 2 2 3 3 2 2 2 4 2 2" xfId="1668" xr:uid="{00000000-0005-0000-0000-0000B3080000}"/>
    <cellStyle name="쉼표 [0] 6 2 2 3 3 2 2 2 4 3" xfId="1669" xr:uid="{00000000-0005-0000-0000-0000B4080000}"/>
    <cellStyle name="쉼표 [0] 6 2 2 3 3 2 2 2 5" xfId="1670" xr:uid="{00000000-0005-0000-0000-0000B5080000}"/>
    <cellStyle name="쉼표 [0] 6 2 2 3 3 2 2 2 5 2" xfId="1671" xr:uid="{00000000-0005-0000-0000-0000B6080000}"/>
    <cellStyle name="쉼표 [0] 6 2 2 3 3 2 2 2 6" xfId="1672" xr:uid="{00000000-0005-0000-0000-0000B7080000}"/>
    <cellStyle name="쉼표 [0] 6 2 2 3 3 2 2 2 7" xfId="1673" xr:uid="{00000000-0005-0000-0000-0000B8080000}"/>
    <cellStyle name="쉼표 [0] 6 2 2 3 3 2 2 3" xfId="1674" xr:uid="{00000000-0005-0000-0000-0000B9080000}"/>
    <cellStyle name="쉼표 [0] 6 2 2 3 3 2 2 4" xfId="1675" xr:uid="{00000000-0005-0000-0000-0000BA080000}"/>
    <cellStyle name="쉼표 [0] 6 2 2 3 3 2 2 4 2" xfId="1676" xr:uid="{00000000-0005-0000-0000-0000BB080000}"/>
    <cellStyle name="쉼표 [0] 6 2 2 3 3 2 2 4 2 2" xfId="1677" xr:uid="{00000000-0005-0000-0000-0000BC080000}"/>
    <cellStyle name="쉼표 [0] 6 2 2 3 3 2 2 4 3" xfId="1678" xr:uid="{00000000-0005-0000-0000-0000BD080000}"/>
    <cellStyle name="쉼표 [0] 6 2 2 3 3 2 2 5" xfId="1679" xr:uid="{00000000-0005-0000-0000-0000BE080000}"/>
    <cellStyle name="쉼표 [0] 6 2 2 3 3 2 2 5 2" xfId="1680" xr:uid="{00000000-0005-0000-0000-0000BF080000}"/>
    <cellStyle name="쉼표 [0] 6 2 2 3 3 2 2 6" xfId="1681" xr:uid="{00000000-0005-0000-0000-0000C0080000}"/>
    <cellStyle name="쉼표 [0] 6 2 2 3 3 2 2 7" xfId="1682" xr:uid="{00000000-0005-0000-0000-0000C1080000}"/>
    <cellStyle name="쉼표 [0] 6 2 2 3 3 2 3" xfId="1683" xr:uid="{00000000-0005-0000-0000-0000C2080000}"/>
    <cellStyle name="쉼표 [0] 6 2 2 3 3 2 4" xfId="1684" xr:uid="{00000000-0005-0000-0000-0000C3080000}"/>
    <cellStyle name="쉼표 [0] 6 2 2 3 3 2 4 2" xfId="1685" xr:uid="{00000000-0005-0000-0000-0000C4080000}"/>
    <cellStyle name="쉼표 [0] 6 2 2 3 3 2 4 2 2" xfId="1686" xr:uid="{00000000-0005-0000-0000-0000C5080000}"/>
    <cellStyle name="쉼표 [0] 6 2 2 3 3 2 4 3" xfId="1687" xr:uid="{00000000-0005-0000-0000-0000C6080000}"/>
    <cellStyle name="쉼표 [0] 6 2 2 3 3 2 5" xfId="1688" xr:uid="{00000000-0005-0000-0000-0000C7080000}"/>
    <cellStyle name="쉼표 [0] 6 2 2 3 3 2 5 2" xfId="1689" xr:uid="{00000000-0005-0000-0000-0000C8080000}"/>
    <cellStyle name="쉼표 [0] 6 2 2 3 3 2 6" xfId="1690" xr:uid="{00000000-0005-0000-0000-0000C9080000}"/>
    <cellStyle name="쉼표 [0] 6 2 2 3 3 2 7" xfId="1691" xr:uid="{00000000-0005-0000-0000-0000CA080000}"/>
    <cellStyle name="쉼표 [0] 6 2 2 3 3 3" xfId="1692" xr:uid="{00000000-0005-0000-0000-0000CB080000}"/>
    <cellStyle name="쉼표 [0] 6 2 2 3 3 4" xfId="1693" xr:uid="{00000000-0005-0000-0000-0000CC080000}"/>
    <cellStyle name="쉼표 [0] 6 2 2 3 3 4 2" xfId="1694" xr:uid="{00000000-0005-0000-0000-0000CD080000}"/>
    <cellStyle name="쉼표 [0] 6 2 2 3 3 4 2 2" xfId="1695" xr:uid="{00000000-0005-0000-0000-0000CE080000}"/>
    <cellStyle name="쉼표 [0] 6 2 2 3 3 4 3" xfId="1696" xr:uid="{00000000-0005-0000-0000-0000CF080000}"/>
    <cellStyle name="쉼표 [0] 6 2 2 3 3 5" xfId="1697" xr:uid="{00000000-0005-0000-0000-0000D0080000}"/>
    <cellStyle name="쉼표 [0] 6 2 2 3 3 5 2" xfId="1698" xr:uid="{00000000-0005-0000-0000-0000D1080000}"/>
    <cellStyle name="쉼표 [0] 6 2 2 3 3 6" xfId="1699" xr:uid="{00000000-0005-0000-0000-0000D2080000}"/>
    <cellStyle name="쉼표 [0] 6 2 2 3 3 7" xfId="1700" xr:uid="{00000000-0005-0000-0000-0000D3080000}"/>
    <cellStyle name="쉼표 [0] 6 2 2 3 4" xfId="1701" xr:uid="{00000000-0005-0000-0000-0000D4080000}"/>
    <cellStyle name="쉼표 [0] 6 2 2 3 5" xfId="1702" xr:uid="{00000000-0005-0000-0000-0000D5080000}"/>
    <cellStyle name="쉼표 [0] 6 2 2 3 5 2" xfId="1703" xr:uid="{00000000-0005-0000-0000-0000D6080000}"/>
    <cellStyle name="쉼표 [0] 6 2 2 3 5 2 2" xfId="1704" xr:uid="{00000000-0005-0000-0000-0000D7080000}"/>
    <cellStyle name="쉼표 [0] 6 2 2 3 5 3" xfId="1705" xr:uid="{00000000-0005-0000-0000-0000D8080000}"/>
    <cellStyle name="쉼표 [0] 6 2 2 3 6" xfId="1706" xr:uid="{00000000-0005-0000-0000-0000D9080000}"/>
    <cellStyle name="쉼표 [0] 6 2 2 3 6 2" xfId="1707" xr:uid="{00000000-0005-0000-0000-0000DA080000}"/>
    <cellStyle name="쉼표 [0] 6 2 2 3 7" xfId="1708" xr:uid="{00000000-0005-0000-0000-0000DB080000}"/>
    <cellStyle name="쉼표 [0] 6 2 2 3 8" xfId="1709" xr:uid="{00000000-0005-0000-0000-0000DC080000}"/>
    <cellStyle name="쉼표 [0] 6 2 2 4" xfId="1710" xr:uid="{00000000-0005-0000-0000-0000DD080000}"/>
    <cellStyle name="쉼표 [0] 6 2 2 5" xfId="1711" xr:uid="{00000000-0005-0000-0000-0000DE080000}"/>
    <cellStyle name="쉼표 [0] 6 2 2 5 2" xfId="1712" xr:uid="{00000000-0005-0000-0000-0000DF080000}"/>
    <cellStyle name="쉼표 [0] 6 2 2 5 2 2" xfId="1713" xr:uid="{00000000-0005-0000-0000-0000E0080000}"/>
    <cellStyle name="쉼표 [0] 6 2 2 5 3" xfId="1714" xr:uid="{00000000-0005-0000-0000-0000E1080000}"/>
    <cellStyle name="쉼표 [0] 6 2 2 6" xfId="1715" xr:uid="{00000000-0005-0000-0000-0000E2080000}"/>
    <cellStyle name="쉼표 [0] 6 2 2 6 2" xfId="1716" xr:uid="{00000000-0005-0000-0000-0000E3080000}"/>
    <cellStyle name="쉼표 [0] 6 2 2 7" xfId="1717" xr:uid="{00000000-0005-0000-0000-0000E4080000}"/>
    <cellStyle name="쉼표 [0] 6 2 2 8" xfId="1718" xr:uid="{00000000-0005-0000-0000-0000E5080000}"/>
    <cellStyle name="쉼표 [0] 6 2 3" xfId="1719" xr:uid="{00000000-0005-0000-0000-0000E6080000}"/>
    <cellStyle name="쉼표 [0] 6 2 4" xfId="1720" xr:uid="{00000000-0005-0000-0000-0000E7080000}"/>
    <cellStyle name="쉼표 [0] 6 2 4 2" xfId="1721" xr:uid="{00000000-0005-0000-0000-0000E8080000}"/>
    <cellStyle name="쉼표 [0] 6 2 4 2 2" xfId="1722" xr:uid="{00000000-0005-0000-0000-0000E9080000}"/>
    <cellStyle name="쉼표 [0] 6 2 4 3" xfId="1723" xr:uid="{00000000-0005-0000-0000-0000EA080000}"/>
    <cellStyle name="쉼표 [0] 6 2 5" xfId="1724" xr:uid="{00000000-0005-0000-0000-0000EB080000}"/>
    <cellStyle name="쉼표 [0] 6 2 5 2" xfId="1725" xr:uid="{00000000-0005-0000-0000-0000EC080000}"/>
    <cellStyle name="쉼표 [0] 6 2 6" xfId="1726" xr:uid="{00000000-0005-0000-0000-0000ED080000}"/>
    <cellStyle name="쉼표 [0] 6 2 6 2" xfId="1727" xr:uid="{00000000-0005-0000-0000-0000EE080000}"/>
    <cellStyle name="쉼표 [0] 6 2 6 3" xfId="1728" xr:uid="{00000000-0005-0000-0000-0000EF080000}"/>
    <cellStyle name="쉼표 [0] 6 2 7" xfId="1729" xr:uid="{00000000-0005-0000-0000-0000F0080000}"/>
    <cellStyle name="쉼표 [0] 6 2 8" xfId="1730" xr:uid="{00000000-0005-0000-0000-0000F1080000}"/>
    <cellStyle name="쉼표 [0] 6 3" xfId="1731" xr:uid="{00000000-0005-0000-0000-0000F2080000}"/>
    <cellStyle name="쉼표 [0] 6 4" xfId="1732" xr:uid="{00000000-0005-0000-0000-0000F3080000}"/>
    <cellStyle name="쉼표 [0] 6 4 2" xfId="1733" xr:uid="{00000000-0005-0000-0000-0000F4080000}"/>
    <cellStyle name="쉼표 [0] 6 4 2 2" xfId="1734" xr:uid="{00000000-0005-0000-0000-0000F5080000}"/>
    <cellStyle name="쉼표 [0] 6 4 3" xfId="1735" xr:uid="{00000000-0005-0000-0000-0000F6080000}"/>
    <cellStyle name="쉼표 [0] 6 5" xfId="1736" xr:uid="{00000000-0005-0000-0000-0000F7080000}"/>
    <cellStyle name="쉼표 [0] 6 5 2" xfId="1737" xr:uid="{00000000-0005-0000-0000-0000F8080000}"/>
    <cellStyle name="쉼표 [0] 6 6" xfId="1738" xr:uid="{00000000-0005-0000-0000-0000F9080000}"/>
    <cellStyle name="쉼표 [0] 6 7" xfId="1739" xr:uid="{00000000-0005-0000-0000-0000FA080000}"/>
    <cellStyle name="쉼표 [0] 7" xfId="1740" xr:uid="{00000000-0005-0000-0000-0000FB080000}"/>
    <cellStyle name="쉼표 [0] 7 2" xfId="1741" xr:uid="{00000000-0005-0000-0000-0000FC080000}"/>
    <cellStyle name="쉼표 [0] 8" xfId="1742" xr:uid="{00000000-0005-0000-0000-0000FD080000}"/>
    <cellStyle name="쉼표 [0] 8 2" xfId="1743" xr:uid="{00000000-0005-0000-0000-0000FE080000}"/>
    <cellStyle name="쉼표 [0] 8 3" xfId="1744" xr:uid="{00000000-0005-0000-0000-0000FF080000}"/>
    <cellStyle name="쉼표 [0] 8 3 2" xfId="1745" xr:uid="{00000000-0005-0000-0000-000000090000}"/>
    <cellStyle name="쉼표 [0] 8 3 2 2" xfId="1746" xr:uid="{00000000-0005-0000-0000-000001090000}"/>
    <cellStyle name="쉼표 [0] 8 3 3" xfId="1747" xr:uid="{00000000-0005-0000-0000-000002090000}"/>
    <cellStyle name="쉼표 [0] 8 4" xfId="1748" xr:uid="{00000000-0005-0000-0000-000003090000}"/>
    <cellStyle name="쉼표 [0] 8 4 2" xfId="1749" xr:uid="{00000000-0005-0000-0000-000004090000}"/>
    <cellStyle name="쉼표 [0] 8 5" xfId="1750" xr:uid="{00000000-0005-0000-0000-000005090000}"/>
    <cellStyle name="쉼표 [0] 8 6" xfId="1751" xr:uid="{00000000-0005-0000-0000-000006090000}"/>
    <cellStyle name="쉼표 [0] 9" xfId="1752" xr:uid="{00000000-0005-0000-0000-000007090000}"/>
    <cellStyle name="쉼표 2" xfId="1753" xr:uid="{00000000-0005-0000-0000-000008090000}"/>
    <cellStyle name="쉼표 3" xfId="1754" xr:uid="{00000000-0005-0000-0000-000009090000}"/>
    <cellStyle name="쉼표 4" xfId="1755" xr:uid="{00000000-0005-0000-0000-00000A090000}"/>
    <cellStyle name="쉼표 4 2" xfId="1756" xr:uid="{00000000-0005-0000-0000-00000B090000}"/>
    <cellStyle name="연결된 셀 2" xfId="1757" xr:uid="{00000000-0005-0000-0000-00000C090000}"/>
    <cellStyle name="연결된 셀 3" xfId="1758" xr:uid="{00000000-0005-0000-0000-00000D090000}"/>
    <cellStyle name="연결된 셀 4" xfId="1759" xr:uid="{00000000-0005-0000-0000-00000E090000}"/>
    <cellStyle name="요약 2" xfId="1760" xr:uid="{00000000-0005-0000-0000-00000F090000}"/>
    <cellStyle name="요약 2 2" xfId="1761" xr:uid="{00000000-0005-0000-0000-000010090000}"/>
    <cellStyle name="요약 2 2 2" xfId="1762" xr:uid="{00000000-0005-0000-0000-000011090000}"/>
    <cellStyle name="요약 2 2 2 2" xfId="1763" xr:uid="{00000000-0005-0000-0000-000012090000}"/>
    <cellStyle name="요약 2 2 2 2 2" xfId="2810" xr:uid="{00000000-0005-0000-0000-000013090000}"/>
    <cellStyle name="요약 2 2 2 3" xfId="2809" xr:uid="{00000000-0005-0000-0000-000014090000}"/>
    <cellStyle name="요약 2 2 3" xfId="1764" xr:uid="{00000000-0005-0000-0000-000015090000}"/>
    <cellStyle name="요약 2 2 3 2" xfId="1765" xr:uid="{00000000-0005-0000-0000-000016090000}"/>
    <cellStyle name="요약 2 2 3 2 2" xfId="2812" xr:uid="{00000000-0005-0000-0000-000017090000}"/>
    <cellStyle name="요약 2 2 3 3" xfId="2811" xr:uid="{00000000-0005-0000-0000-000018090000}"/>
    <cellStyle name="요약 2 2 4" xfId="1766" xr:uid="{00000000-0005-0000-0000-000019090000}"/>
    <cellStyle name="요약 2 2 4 2" xfId="2813" xr:uid="{00000000-0005-0000-0000-00001A090000}"/>
    <cellStyle name="요약 2 2 5" xfId="1767" xr:uid="{00000000-0005-0000-0000-00001B090000}"/>
    <cellStyle name="요약 2 2 5 2" xfId="2814" xr:uid="{00000000-0005-0000-0000-00001C090000}"/>
    <cellStyle name="요약 2 2 6" xfId="1768" xr:uid="{00000000-0005-0000-0000-00001D090000}"/>
    <cellStyle name="요약 2 2 6 2" xfId="2815" xr:uid="{00000000-0005-0000-0000-00001E090000}"/>
    <cellStyle name="요약 2 2 7" xfId="2808" xr:uid="{00000000-0005-0000-0000-00001F090000}"/>
    <cellStyle name="요약 2 3" xfId="1769" xr:uid="{00000000-0005-0000-0000-000020090000}"/>
    <cellStyle name="요약 2 3 2" xfId="1770" xr:uid="{00000000-0005-0000-0000-000021090000}"/>
    <cellStyle name="요약 2 3 2 2" xfId="2817" xr:uid="{00000000-0005-0000-0000-000022090000}"/>
    <cellStyle name="요약 2 3 3" xfId="2816" xr:uid="{00000000-0005-0000-0000-000023090000}"/>
    <cellStyle name="요약 2 4" xfId="1771" xr:uid="{00000000-0005-0000-0000-000024090000}"/>
    <cellStyle name="요약 2 4 2" xfId="1772" xr:uid="{00000000-0005-0000-0000-000025090000}"/>
    <cellStyle name="요약 2 4 2 2" xfId="2819" xr:uid="{00000000-0005-0000-0000-000026090000}"/>
    <cellStyle name="요약 2 4 3" xfId="2818" xr:uid="{00000000-0005-0000-0000-000027090000}"/>
    <cellStyle name="요약 2 5" xfId="1773" xr:uid="{00000000-0005-0000-0000-000028090000}"/>
    <cellStyle name="요약 2 5 2" xfId="2820" xr:uid="{00000000-0005-0000-0000-000029090000}"/>
    <cellStyle name="요약 2 6" xfId="1774" xr:uid="{00000000-0005-0000-0000-00002A090000}"/>
    <cellStyle name="요약 2 6 2" xfId="2821" xr:uid="{00000000-0005-0000-0000-00002B090000}"/>
    <cellStyle name="요약 2 7" xfId="1775" xr:uid="{00000000-0005-0000-0000-00002C090000}"/>
    <cellStyle name="요약 2 7 2" xfId="2822" xr:uid="{00000000-0005-0000-0000-00002D090000}"/>
    <cellStyle name="요약 2 8" xfId="2807" xr:uid="{00000000-0005-0000-0000-00002E090000}"/>
    <cellStyle name="요약 3" xfId="1776" xr:uid="{00000000-0005-0000-0000-00002F090000}"/>
    <cellStyle name="요약 3 2" xfId="1777" xr:uid="{00000000-0005-0000-0000-000030090000}"/>
    <cellStyle name="요약 3 2 2" xfId="2824" xr:uid="{00000000-0005-0000-0000-000031090000}"/>
    <cellStyle name="요약 3 3" xfId="2823" xr:uid="{00000000-0005-0000-0000-000032090000}"/>
    <cellStyle name="요약 4" xfId="1778" xr:uid="{00000000-0005-0000-0000-000033090000}"/>
    <cellStyle name="요약 4 2" xfId="1779" xr:uid="{00000000-0005-0000-0000-000034090000}"/>
    <cellStyle name="요약 4 2 2" xfId="2826" xr:uid="{00000000-0005-0000-0000-000035090000}"/>
    <cellStyle name="요약 4 3" xfId="2825" xr:uid="{00000000-0005-0000-0000-000036090000}"/>
    <cellStyle name="요약 5" xfId="1780" xr:uid="{00000000-0005-0000-0000-000037090000}"/>
    <cellStyle name="요약 5 2" xfId="1781" xr:uid="{00000000-0005-0000-0000-000038090000}"/>
    <cellStyle name="요약 5 2 2" xfId="2828" xr:uid="{00000000-0005-0000-0000-000039090000}"/>
    <cellStyle name="요약 5 3" xfId="2827" xr:uid="{00000000-0005-0000-0000-00003A090000}"/>
    <cellStyle name="요약 6" xfId="1782" xr:uid="{00000000-0005-0000-0000-00003B090000}"/>
    <cellStyle name="요약 6 2" xfId="1783" xr:uid="{00000000-0005-0000-0000-00003C090000}"/>
    <cellStyle name="요약 6 2 2" xfId="2830" xr:uid="{00000000-0005-0000-0000-00003D090000}"/>
    <cellStyle name="요약 6 3" xfId="2829" xr:uid="{00000000-0005-0000-0000-00003E090000}"/>
    <cellStyle name="요약 7" xfId="1784" xr:uid="{00000000-0005-0000-0000-00003F090000}"/>
    <cellStyle name="요약 7 2" xfId="2831" xr:uid="{00000000-0005-0000-0000-000040090000}"/>
    <cellStyle name="요약 8" xfId="1785" xr:uid="{00000000-0005-0000-0000-000041090000}"/>
    <cellStyle name="요약 8 2" xfId="2832" xr:uid="{00000000-0005-0000-0000-000042090000}"/>
    <cellStyle name="요약 9" xfId="1786" xr:uid="{00000000-0005-0000-0000-000043090000}"/>
    <cellStyle name="요약 9 2" xfId="2833" xr:uid="{00000000-0005-0000-0000-000044090000}"/>
    <cellStyle name="一般_00Q3902REV.1" xfId="1787" xr:uid="{00000000-0005-0000-0000-000045090000}"/>
    <cellStyle name="입력 2" xfId="1788" xr:uid="{00000000-0005-0000-0000-000046090000}"/>
    <cellStyle name="입력 2 2" xfId="1789" xr:uid="{00000000-0005-0000-0000-000047090000}"/>
    <cellStyle name="입력 2 2 2" xfId="1790" xr:uid="{00000000-0005-0000-0000-000048090000}"/>
    <cellStyle name="입력 2 2 2 2" xfId="1791" xr:uid="{00000000-0005-0000-0000-000049090000}"/>
    <cellStyle name="입력 2 2 2 2 2" xfId="2837" xr:uid="{00000000-0005-0000-0000-00004A090000}"/>
    <cellStyle name="입력 2 2 2 3" xfId="2836" xr:uid="{00000000-0005-0000-0000-00004B090000}"/>
    <cellStyle name="입력 2 2 3" xfId="1792" xr:uid="{00000000-0005-0000-0000-00004C090000}"/>
    <cellStyle name="입력 2 2 3 2" xfId="1793" xr:uid="{00000000-0005-0000-0000-00004D090000}"/>
    <cellStyle name="입력 2 2 3 2 2" xfId="2839" xr:uid="{00000000-0005-0000-0000-00004E090000}"/>
    <cellStyle name="입력 2 2 3 3" xfId="2838" xr:uid="{00000000-0005-0000-0000-00004F090000}"/>
    <cellStyle name="입력 2 2 4" xfId="1794" xr:uid="{00000000-0005-0000-0000-000050090000}"/>
    <cellStyle name="입력 2 2 4 2" xfId="2840" xr:uid="{00000000-0005-0000-0000-000051090000}"/>
    <cellStyle name="입력 2 2 5" xfId="1795" xr:uid="{00000000-0005-0000-0000-000052090000}"/>
    <cellStyle name="입력 2 2 5 2" xfId="2841" xr:uid="{00000000-0005-0000-0000-000053090000}"/>
    <cellStyle name="입력 2 2 6" xfId="1796" xr:uid="{00000000-0005-0000-0000-000054090000}"/>
    <cellStyle name="입력 2 2 6 2" xfId="2842" xr:uid="{00000000-0005-0000-0000-000055090000}"/>
    <cellStyle name="입력 2 2 7" xfId="2835" xr:uid="{00000000-0005-0000-0000-000056090000}"/>
    <cellStyle name="입력 2 3" xfId="1797" xr:uid="{00000000-0005-0000-0000-000057090000}"/>
    <cellStyle name="입력 2 3 2" xfId="1798" xr:uid="{00000000-0005-0000-0000-000058090000}"/>
    <cellStyle name="입력 2 3 2 2" xfId="2844" xr:uid="{00000000-0005-0000-0000-000059090000}"/>
    <cellStyle name="입력 2 3 3" xfId="2843" xr:uid="{00000000-0005-0000-0000-00005A090000}"/>
    <cellStyle name="입력 2 4" xfId="1799" xr:uid="{00000000-0005-0000-0000-00005B090000}"/>
    <cellStyle name="입력 2 4 2" xfId="1800" xr:uid="{00000000-0005-0000-0000-00005C090000}"/>
    <cellStyle name="입력 2 4 2 2" xfId="2846" xr:uid="{00000000-0005-0000-0000-00005D090000}"/>
    <cellStyle name="입력 2 4 3" xfId="2845" xr:uid="{00000000-0005-0000-0000-00005E090000}"/>
    <cellStyle name="입력 2 5" xfId="1801" xr:uid="{00000000-0005-0000-0000-00005F090000}"/>
    <cellStyle name="입력 2 5 2" xfId="2847" xr:uid="{00000000-0005-0000-0000-000060090000}"/>
    <cellStyle name="입력 2 6" xfId="1802" xr:uid="{00000000-0005-0000-0000-000061090000}"/>
    <cellStyle name="입력 2 6 2" xfId="2848" xr:uid="{00000000-0005-0000-0000-000062090000}"/>
    <cellStyle name="입력 2 7" xfId="1803" xr:uid="{00000000-0005-0000-0000-000063090000}"/>
    <cellStyle name="입력 2 7 2" xfId="2849" xr:uid="{00000000-0005-0000-0000-000064090000}"/>
    <cellStyle name="입력 2 8" xfId="2834" xr:uid="{00000000-0005-0000-0000-000065090000}"/>
    <cellStyle name="입력 3" xfId="1804" xr:uid="{00000000-0005-0000-0000-000066090000}"/>
    <cellStyle name="입력 3 2" xfId="1805" xr:uid="{00000000-0005-0000-0000-000067090000}"/>
    <cellStyle name="입력 3 2 2" xfId="2851" xr:uid="{00000000-0005-0000-0000-000068090000}"/>
    <cellStyle name="입력 3 3" xfId="2850" xr:uid="{00000000-0005-0000-0000-000069090000}"/>
    <cellStyle name="입력 4" xfId="1806" xr:uid="{00000000-0005-0000-0000-00006A090000}"/>
    <cellStyle name="입력 4 2" xfId="1807" xr:uid="{00000000-0005-0000-0000-00006B090000}"/>
    <cellStyle name="입력 4 2 2" xfId="2853" xr:uid="{00000000-0005-0000-0000-00006C090000}"/>
    <cellStyle name="입력 4 3" xfId="2852" xr:uid="{00000000-0005-0000-0000-00006D090000}"/>
    <cellStyle name="입력 5" xfId="1808" xr:uid="{00000000-0005-0000-0000-00006E090000}"/>
    <cellStyle name="입력 5 2" xfId="1809" xr:uid="{00000000-0005-0000-0000-00006F090000}"/>
    <cellStyle name="입력 5 2 2" xfId="2855" xr:uid="{00000000-0005-0000-0000-000070090000}"/>
    <cellStyle name="입력 5 3" xfId="2854" xr:uid="{00000000-0005-0000-0000-000071090000}"/>
    <cellStyle name="입력 6" xfId="1810" xr:uid="{00000000-0005-0000-0000-000072090000}"/>
    <cellStyle name="입력 6 2" xfId="1811" xr:uid="{00000000-0005-0000-0000-000073090000}"/>
    <cellStyle name="입력 6 2 2" xfId="2857" xr:uid="{00000000-0005-0000-0000-000074090000}"/>
    <cellStyle name="입력 6 3" xfId="2856" xr:uid="{00000000-0005-0000-0000-000075090000}"/>
    <cellStyle name="입력 7" xfId="1812" xr:uid="{00000000-0005-0000-0000-000076090000}"/>
    <cellStyle name="입력 7 2" xfId="2858" xr:uid="{00000000-0005-0000-0000-000077090000}"/>
    <cellStyle name="입력 8" xfId="1813" xr:uid="{00000000-0005-0000-0000-000078090000}"/>
    <cellStyle name="입력 8 2" xfId="2859" xr:uid="{00000000-0005-0000-0000-000079090000}"/>
    <cellStyle name="입력 9" xfId="1814" xr:uid="{00000000-0005-0000-0000-00007A090000}"/>
    <cellStyle name="입력 9 2" xfId="2860" xr:uid="{00000000-0005-0000-0000-00007B090000}"/>
    <cellStyle name="자리수" xfId="1815" xr:uid="{00000000-0005-0000-0000-00007C090000}"/>
    <cellStyle name="자리수0" xfId="1816" xr:uid="{00000000-0005-0000-0000-00007D090000}"/>
    <cellStyle name="제목 1 2" xfId="1817" xr:uid="{00000000-0005-0000-0000-00007E090000}"/>
    <cellStyle name="제목 1 3" xfId="1818" xr:uid="{00000000-0005-0000-0000-00007F090000}"/>
    <cellStyle name="제목 1 4" xfId="1819" xr:uid="{00000000-0005-0000-0000-000080090000}"/>
    <cellStyle name="제목 2 2" xfId="1820" xr:uid="{00000000-0005-0000-0000-000081090000}"/>
    <cellStyle name="제목 2 3" xfId="1821" xr:uid="{00000000-0005-0000-0000-000082090000}"/>
    <cellStyle name="제목 2 4" xfId="1822" xr:uid="{00000000-0005-0000-0000-000083090000}"/>
    <cellStyle name="제목 3 2" xfId="1823" xr:uid="{00000000-0005-0000-0000-000084090000}"/>
    <cellStyle name="제목 3 2 2" xfId="1824" xr:uid="{00000000-0005-0000-0000-000085090000}"/>
    <cellStyle name="제목 3 2 2 2" xfId="1825" xr:uid="{00000000-0005-0000-0000-000086090000}"/>
    <cellStyle name="제목 3 2 3" xfId="1826" xr:uid="{00000000-0005-0000-0000-000087090000}"/>
    <cellStyle name="제목 3 3" xfId="1827" xr:uid="{00000000-0005-0000-0000-000088090000}"/>
    <cellStyle name="제목 3 3 2" xfId="1828" xr:uid="{00000000-0005-0000-0000-000089090000}"/>
    <cellStyle name="제목 3 4" xfId="1829" xr:uid="{00000000-0005-0000-0000-00008A090000}"/>
    <cellStyle name="제목 3 4 2" xfId="1830" xr:uid="{00000000-0005-0000-0000-00008B090000}"/>
    <cellStyle name="제목 3 5" xfId="1831" xr:uid="{00000000-0005-0000-0000-00008C090000}"/>
    <cellStyle name="제목 3 5 2" xfId="1832" xr:uid="{00000000-0005-0000-0000-00008D090000}"/>
    <cellStyle name="제목 3 6" xfId="1833" xr:uid="{00000000-0005-0000-0000-00008E090000}"/>
    <cellStyle name="제목 4 2" xfId="1834" xr:uid="{00000000-0005-0000-0000-00008F090000}"/>
    <cellStyle name="제목 4 3" xfId="1835" xr:uid="{00000000-0005-0000-0000-000090090000}"/>
    <cellStyle name="제목 4 4" xfId="1836" xr:uid="{00000000-0005-0000-0000-000091090000}"/>
    <cellStyle name="제목 5" xfId="1837" xr:uid="{00000000-0005-0000-0000-000092090000}"/>
    <cellStyle name="제목 6" xfId="1838" xr:uid="{00000000-0005-0000-0000-000093090000}"/>
    <cellStyle name="제목 7" xfId="1839" xr:uid="{00000000-0005-0000-0000-000094090000}"/>
    <cellStyle name="좋음 2" xfId="1840" xr:uid="{00000000-0005-0000-0000-000095090000}"/>
    <cellStyle name="좋음 3" xfId="1841" xr:uid="{00000000-0005-0000-0000-000096090000}"/>
    <cellStyle name="좋음 4" xfId="1842" xr:uid="{00000000-0005-0000-0000-000097090000}"/>
    <cellStyle name="지정되지 않음" xfId="1843" xr:uid="{00000000-0005-0000-0000-000098090000}"/>
    <cellStyle name="千分位[0]_00Q3902REV.1" xfId="1844" xr:uid="{00000000-0005-0000-0000-000099090000}"/>
    <cellStyle name="千分位_00Q3902REV.1" xfId="1845" xr:uid="{00000000-0005-0000-0000-00009A090000}"/>
    <cellStyle name="千位分隔[0] 2" xfId="1846" xr:uid="{00000000-0005-0000-0000-00009B090000}"/>
    <cellStyle name="千位分隔[0] 2 2" xfId="1847" xr:uid="{00000000-0005-0000-0000-00009C090000}"/>
    <cellStyle name="超連結_Book1" xfId="1848" xr:uid="{00000000-0005-0000-0000-00009D090000}"/>
    <cellStyle name="출력 2" xfId="1849" xr:uid="{00000000-0005-0000-0000-00009E090000}"/>
    <cellStyle name="출력 2 2" xfId="1850" xr:uid="{00000000-0005-0000-0000-00009F090000}"/>
    <cellStyle name="출력 2 2 2" xfId="1851" xr:uid="{00000000-0005-0000-0000-0000A0090000}"/>
    <cellStyle name="출력 2 2 2 2" xfId="1852" xr:uid="{00000000-0005-0000-0000-0000A1090000}"/>
    <cellStyle name="출력 2 2 2 2 2" xfId="2864" xr:uid="{00000000-0005-0000-0000-0000A2090000}"/>
    <cellStyle name="출력 2 2 2 3" xfId="2863" xr:uid="{00000000-0005-0000-0000-0000A3090000}"/>
    <cellStyle name="출력 2 2 3" xfId="1853" xr:uid="{00000000-0005-0000-0000-0000A4090000}"/>
    <cellStyle name="출력 2 2 3 2" xfId="1854" xr:uid="{00000000-0005-0000-0000-0000A5090000}"/>
    <cellStyle name="출력 2 2 3 2 2" xfId="2866" xr:uid="{00000000-0005-0000-0000-0000A6090000}"/>
    <cellStyle name="출력 2 2 3 3" xfId="2865" xr:uid="{00000000-0005-0000-0000-0000A7090000}"/>
    <cellStyle name="출력 2 2 4" xfId="1855" xr:uid="{00000000-0005-0000-0000-0000A8090000}"/>
    <cellStyle name="출력 2 2 4 2" xfId="2867" xr:uid="{00000000-0005-0000-0000-0000A9090000}"/>
    <cellStyle name="출력 2 2 5" xfId="1856" xr:uid="{00000000-0005-0000-0000-0000AA090000}"/>
    <cellStyle name="출력 2 2 5 2" xfId="2868" xr:uid="{00000000-0005-0000-0000-0000AB090000}"/>
    <cellStyle name="출력 2 2 6" xfId="1857" xr:uid="{00000000-0005-0000-0000-0000AC090000}"/>
    <cellStyle name="출력 2 2 6 2" xfId="2869" xr:uid="{00000000-0005-0000-0000-0000AD090000}"/>
    <cellStyle name="출력 2 2 7" xfId="2862" xr:uid="{00000000-0005-0000-0000-0000AE090000}"/>
    <cellStyle name="출력 2 3" xfId="1858" xr:uid="{00000000-0005-0000-0000-0000AF090000}"/>
    <cellStyle name="출력 2 3 2" xfId="1859" xr:uid="{00000000-0005-0000-0000-0000B0090000}"/>
    <cellStyle name="출력 2 3 2 2" xfId="2871" xr:uid="{00000000-0005-0000-0000-0000B1090000}"/>
    <cellStyle name="출력 2 3 3" xfId="2870" xr:uid="{00000000-0005-0000-0000-0000B2090000}"/>
    <cellStyle name="출력 2 4" xfId="1860" xr:uid="{00000000-0005-0000-0000-0000B3090000}"/>
    <cellStyle name="출력 2 4 2" xfId="1861" xr:uid="{00000000-0005-0000-0000-0000B4090000}"/>
    <cellStyle name="출력 2 4 2 2" xfId="2873" xr:uid="{00000000-0005-0000-0000-0000B5090000}"/>
    <cellStyle name="출력 2 4 3" xfId="2872" xr:uid="{00000000-0005-0000-0000-0000B6090000}"/>
    <cellStyle name="출력 2 5" xfId="1862" xr:uid="{00000000-0005-0000-0000-0000B7090000}"/>
    <cellStyle name="출력 2 5 2" xfId="2874" xr:uid="{00000000-0005-0000-0000-0000B8090000}"/>
    <cellStyle name="출력 2 6" xfId="1863" xr:uid="{00000000-0005-0000-0000-0000B9090000}"/>
    <cellStyle name="출력 2 6 2" xfId="2875" xr:uid="{00000000-0005-0000-0000-0000BA090000}"/>
    <cellStyle name="출력 2 7" xfId="1864" xr:uid="{00000000-0005-0000-0000-0000BB090000}"/>
    <cellStyle name="출력 2 7 2" xfId="2876" xr:uid="{00000000-0005-0000-0000-0000BC090000}"/>
    <cellStyle name="출력 2 8" xfId="2861" xr:uid="{00000000-0005-0000-0000-0000BD090000}"/>
    <cellStyle name="출력 3" xfId="1865" xr:uid="{00000000-0005-0000-0000-0000BE090000}"/>
    <cellStyle name="출력 3 2" xfId="1866" xr:uid="{00000000-0005-0000-0000-0000BF090000}"/>
    <cellStyle name="출력 3 2 2" xfId="2878" xr:uid="{00000000-0005-0000-0000-0000C0090000}"/>
    <cellStyle name="출력 3 3" xfId="2877" xr:uid="{00000000-0005-0000-0000-0000C1090000}"/>
    <cellStyle name="출력 4" xfId="1867" xr:uid="{00000000-0005-0000-0000-0000C2090000}"/>
    <cellStyle name="출력 4 2" xfId="1868" xr:uid="{00000000-0005-0000-0000-0000C3090000}"/>
    <cellStyle name="출력 4 2 2" xfId="2880" xr:uid="{00000000-0005-0000-0000-0000C4090000}"/>
    <cellStyle name="출력 4 3" xfId="2879" xr:uid="{00000000-0005-0000-0000-0000C5090000}"/>
    <cellStyle name="출력 5" xfId="1869" xr:uid="{00000000-0005-0000-0000-0000C6090000}"/>
    <cellStyle name="출력 5 2" xfId="1870" xr:uid="{00000000-0005-0000-0000-0000C7090000}"/>
    <cellStyle name="출력 5 2 2" xfId="2882" xr:uid="{00000000-0005-0000-0000-0000C8090000}"/>
    <cellStyle name="출력 5 3" xfId="2881" xr:uid="{00000000-0005-0000-0000-0000C9090000}"/>
    <cellStyle name="출력 6" xfId="1871" xr:uid="{00000000-0005-0000-0000-0000CA090000}"/>
    <cellStyle name="출력 6 2" xfId="1872" xr:uid="{00000000-0005-0000-0000-0000CB090000}"/>
    <cellStyle name="출력 6 2 2" xfId="2884" xr:uid="{00000000-0005-0000-0000-0000CC090000}"/>
    <cellStyle name="출력 6 3" xfId="2883" xr:uid="{00000000-0005-0000-0000-0000CD090000}"/>
    <cellStyle name="출력 7" xfId="1873" xr:uid="{00000000-0005-0000-0000-0000CE090000}"/>
    <cellStyle name="출력 7 2" xfId="2885" xr:uid="{00000000-0005-0000-0000-0000CF090000}"/>
    <cellStyle name="출력 8" xfId="1874" xr:uid="{00000000-0005-0000-0000-0000D0090000}"/>
    <cellStyle name="출력 8 2" xfId="2886" xr:uid="{00000000-0005-0000-0000-0000D1090000}"/>
    <cellStyle name="출력 9" xfId="1875" xr:uid="{00000000-0005-0000-0000-0000D2090000}"/>
    <cellStyle name="출력 9 2" xfId="2887" xr:uid="{00000000-0005-0000-0000-0000D3090000}"/>
    <cellStyle name="콤마 [ - 유형1" xfId="1876" xr:uid="{00000000-0005-0000-0000-0000D4090000}"/>
    <cellStyle name="콤마 [ - 유형2" xfId="1877" xr:uid="{00000000-0005-0000-0000-0000D5090000}"/>
    <cellStyle name="콤마 [ - 유형3" xfId="1878" xr:uid="{00000000-0005-0000-0000-0000D6090000}"/>
    <cellStyle name="콤마 [ - 유형4" xfId="1879" xr:uid="{00000000-0005-0000-0000-0000D7090000}"/>
    <cellStyle name="콤마 [ - 유형5" xfId="1880" xr:uid="{00000000-0005-0000-0000-0000D8090000}"/>
    <cellStyle name="콤마 [ - 유형6" xfId="1881" xr:uid="{00000000-0005-0000-0000-0000D9090000}"/>
    <cellStyle name="콤마 [ - 유형7" xfId="1882" xr:uid="{00000000-0005-0000-0000-0000DA090000}"/>
    <cellStyle name="콤마 [ - 유형8" xfId="1883" xr:uid="{00000000-0005-0000-0000-0000DB090000}"/>
    <cellStyle name="콤마 [0]_ 비목별 월별기술 " xfId="1884" xr:uid="{00000000-0005-0000-0000-0000DC090000}"/>
    <cellStyle name="콤마_ 비목별 월별기술 " xfId="1885" xr:uid="{00000000-0005-0000-0000-0000DD090000}"/>
    <cellStyle name="通貨 [0.00]_List-dwgwg" xfId="1886" xr:uid="{00000000-0005-0000-0000-0000DE090000}"/>
    <cellStyle name="통화 [0] 4 2" xfId="1887" xr:uid="{00000000-0005-0000-0000-0000DF090000}"/>
    <cellStyle name="通貨_List-dwgis" xfId="1888" xr:uid="{00000000-0005-0000-0000-0000E0090000}"/>
    <cellStyle name="퍼센트" xfId="1889" xr:uid="{00000000-0005-0000-0000-0000E1090000}"/>
    <cellStyle name="표준" xfId="0" builtinId="0"/>
    <cellStyle name="표준 10" xfId="1890" xr:uid="{00000000-0005-0000-0000-0000E3090000}"/>
    <cellStyle name="표준 10 2" xfId="1891" xr:uid="{00000000-0005-0000-0000-0000E4090000}"/>
    <cellStyle name="표준 10 2 2" xfId="1892" xr:uid="{00000000-0005-0000-0000-0000E5090000}"/>
    <cellStyle name="표준 10 2 2 2" xfId="1893" xr:uid="{00000000-0005-0000-0000-0000E6090000}"/>
    <cellStyle name="표준 10 2 3" xfId="1894" xr:uid="{00000000-0005-0000-0000-0000E7090000}"/>
    <cellStyle name="표준 10 3" xfId="1895" xr:uid="{00000000-0005-0000-0000-0000E8090000}"/>
    <cellStyle name="표준 10 3 2" xfId="1896" xr:uid="{00000000-0005-0000-0000-0000E9090000}"/>
    <cellStyle name="표준 10 4" xfId="1897" xr:uid="{00000000-0005-0000-0000-0000EA090000}"/>
    <cellStyle name="표준 10 5" xfId="1898" xr:uid="{00000000-0005-0000-0000-0000EB090000}"/>
    <cellStyle name="표준 11" xfId="1899" xr:uid="{00000000-0005-0000-0000-0000EC090000}"/>
    <cellStyle name="표준 11 2" xfId="1900" xr:uid="{00000000-0005-0000-0000-0000ED090000}"/>
    <cellStyle name="표준 12" xfId="1901" xr:uid="{00000000-0005-0000-0000-0000EE090000}"/>
    <cellStyle name="표준 12 2" xfId="1902" xr:uid="{00000000-0005-0000-0000-0000EF090000}"/>
    <cellStyle name="표준 12 2 2" xfId="1903" xr:uid="{00000000-0005-0000-0000-0000F0090000}"/>
    <cellStyle name="표준 12 3" xfId="1904" xr:uid="{00000000-0005-0000-0000-0000F1090000}"/>
    <cellStyle name="표준 12 4" xfId="1905" xr:uid="{00000000-0005-0000-0000-0000F2090000}"/>
    <cellStyle name="표준 13" xfId="1906" xr:uid="{00000000-0005-0000-0000-0000F3090000}"/>
    <cellStyle name="표준 13 2" xfId="1907" xr:uid="{00000000-0005-0000-0000-0000F4090000}"/>
    <cellStyle name="표준 14" xfId="1908" xr:uid="{00000000-0005-0000-0000-0000F5090000}"/>
    <cellStyle name="표준 14 2" xfId="1909" xr:uid="{00000000-0005-0000-0000-0000F6090000}"/>
    <cellStyle name="표준 14 3" xfId="1910" xr:uid="{00000000-0005-0000-0000-0000F7090000}"/>
    <cellStyle name="표준 15" xfId="1911" xr:uid="{00000000-0005-0000-0000-0000F8090000}"/>
    <cellStyle name="표준 15 2" xfId="1912" xr:uid="{00000000-0005-0000-0000-0000F9090000}"/>
    <cellStyle name="표준 16" xfId="1913" xr:uid="{00000000-0005-0000-0000-0000FA090000}"/>
    <cellStyle name="표준 16 2" xfId="1914" xr:uid="{00000000-0005-0000-0000-0000FB090000}"/>
    <cellStyle name="표준 16 3" xfId="1915" xr:uid="{00000000-0005-0000-0000-0000FC090000}"/>
    <cellStyle name="표준 17" xfId="1916" xr:uid="{00000000-0005-0000-0000-0000FD090000}"/>
    <cellStyle name="표준 18" xfId="1917" xr:uid="{00000000-0005-0000-0000-0000FE090000}"/>
    <cellStyle name="표준 19" xfId="1918" xr:uid="{00000000-0005-0000-0000-0000FF090000}"/>
    <cellStyle name="표준 2" xfId="1919" xr:uid="{00000000-0005-0000-0000-0000000A0000}"/>
    <cellStyle name="표준 2 2" xfId="1920" xr:uid="{00000000-0005-0000-0000-0000010A0000}"/>
    <cellStyle name="표준 2 2 2" xfId="1921" xr:uid="{00000000-0005-0000-0000-0000020A0000}"/>
    <cellStyle name="표준 2 2 2 2" xfId="1922" xr:uid="{00000000-0005-0000-0000-0000030A0000}"/>
    <cellStyle name="표준 2 2 3" xfId="1923" xr:uid="{00000000-0005-0000-0000-0000040A0000}"/>
    <cellStyle name="표준 2 3" xfId="1924" xr:uid="{00000000-0005-0000-0000-0000050A0000}"/>
    <cellStyle name="표준 2 3 2" xfId="1925" xr:uid="{00000000-0005-0000-0000-0000060A0000}"/>
    <cellStyle name="표준 2 3_A.TION HONDURAS 2009년도 사업 계획 (3)" xfId="1926" xr:uid="{00000000-0005-0000-0000-0000070A0000}"/>
    <cellStyle name="표준 2 4" xfId="1927" xr:uid="{00000000-0005-0000-0000-0000080A0000}"/>
    <cellStyle name="표준 2 4 2" xfId="1928" xr:uid="{00000000-0005-0000-0000-0000090A0000}"/>
    <cellStyle name="표준 2 5" xfId="1929" xr:uid="{00000000-0005-0000-0000-00000A0A0000}"/>
    <cellStyle name="표준 2 5 2" xfId="1930" xr:uid="{00000000-0005-0000-0000-00000B0A0000}"/>
    <cellStyle name="표준 2_2009년 사업계획(에이션)-수정" xfId="1931" xr:uid="{00000000-0005-0000-0000-00000C0A0000}"/>
    <cellStyle name="표준 20" xfId="1932" xr:uid="{00000000-0005-0000-0000-00000D0A0000}"/>
    <cellStyle name="표준 21" xfId="1933" xr:uid="{00000000-0005-0000-0000-00000E0A0000}"/>
    <cellStyle name="표준 22" xfId="1934" xr:uid="{00000000-0005-0000-0000-00000F0A0000}"/>
    <cellStyle name="표준 23" xfId="1935" xr:uid="{00000000-0005-0000-0000-0000100A0000}"/>
    <cellStyle name="표준 24" xfId="1936" xr:uid="{00000000-0005-0000-0000-0000110A0000}"/>
    <cellStyle name="표준 25" xfId="1937" xr:uid="{00000000-0005-0000-0000-0000120A0000}"/>
    <cellStyle name="표준 26" xfId="1938" xr:uid="{00000000-0005-0000-0000-0000130A0000}"/>
    <cellStyle name="표준 27" xfId="1939" xr:uid="{00000000-0005-0000-0000-0000140A0000}"/>
    <cellStyle name="표준 28" xfId="1940" xr:uid="{00000000-0005-0000-0000-0000150A0000}"/>
    <cellStyle name="표준 29" xfId="1941" xr:uid="{00000000-0005-0000-0000-0000160A0000}"/>
    <cellStyle name="표준 3" xfId="1942" xr:uid="{00000000-0005-0000-0000-0000170A0000}"/>
    <cellStyle name="표준 3 2" xfId="1943" xr:uid="{00000000-0005-0000-0000-0000180A0000}"/>
    <cellStyle name="표준 30" xfId="2241" xr:uid="{00000000-0005-0000-0000-0000190A0000}"/>
    <cellStyle name="표준 31" xfId="2242" xr:uid="{00000000-0005-0000-0000-00001A0A0000}"/>
    <cellStyle name="표준 32" xfId="2243" xr:uid="{00000000-0005-0000-0000-00001B0A0000}"/>
    <cellStyle name="표준 33" xfId="2244" xr:uid="{00000000-0005-0000-0000-00001C0A0000}"/>
    <cellStyle name="표준 34" xfId="2245" xr:uid="{00000000-0005-0000-0000-00001D0A0000}"/>
    <cellStyle name="표준 35" xfId="2246" xr:uid="{00000000-0005-0000-0000-00001E0A0000}"/>
    <cellStyle name="표준 4" xfId="1944" xr:uid="{00000000-0005-0000-0000-00001F0A0000}"/>
    <cellStyle name="표준 4 2" xfId="1945" xr:uid="{00000000-0005-0000-0000-0000200A0000}"/>
    <cellStyle name="표준 4 2 2" xfId="1946" xr:uid="{00000000-0005-0000-0000-0000210A0000}"/>
    <cellStyle name="표준 4 2 2 2" xfId="1947" xr:uid="{00000000-0005-0000-0000-0000220A0000}"/>
    <cellStyle name="표준 4 2 2 3" xfId="1948" xr:uid="{00000000-0005-0000-0000-0000230A0000}"/>
    <cellStyle name="표준 4 2 2 3 2" xfId="1949" xr:uid="{00000000-0005-0000-0000-0000240A0000}"/>
    <cellStyle name="표준 4 2 2 3 2 2" xfId="1950" xr:uid="{00000000-0005-0000-0000-0000250A0000}"/>
    <cellStyle name="표준 4 2 2 3 3" xfId="1951" xr:uid="{00000000-0005-0000-0000-0000260A0000}"/>
    <cellStyle name="표준 4 2 2 4" xfId="1952" xr:uid="{00000000-0005-0000-0000-0000270A0000}"/>
    <cellStyle name="표준 4 2 2 4 2" xfId="1953" xr:uid="{00000000-0005-0000-0000-0000280A0000}"/>
    <cellStyle name="표준 4 2 2 5" xfId="1954" xr:uid="{00000000-0005-0000-0000-0000290A0000}"/>
    <cellStyle name="표준 4 2 2 6" xfId="1955" xr:uid="{00000000-0005-0000-0000-00002A0A0000}"/>
    <cellStyle name="표준 4 2 3" xfId="1956" xr:uid="{00000000-0005-0000-0000-00002B0A0000}"/>
    <cellStyle name="표준 4 2 4" xfId="1957" xr:uid="{00000000-0005-0000-0000-00002C0A0000}"/>
    <cellStyle name="표준 4 2 4 2" xfId="1958" xr:uid="{00000000-0005-0000-0000-00002D0A0000}"/>
    <cellStyle name="표준 4 2 4 2 2" xfId="1959" xr:uid="{00000000-0005-0000-0000-00002E0A0000}"/>
    <cellStyle name="표준 4 2 4 3" xfId="1960" xr:uid="{00000000-0005-0000-0000-00002F0A0000}"/>
    <cellStyle name="표준 4 2 5" xfId="1961" xr:uid="{00000000-0005-0000-0000-0000300A0000}"/>
    <cellStyle name="표준 4 2 5 2" xfId="1962" xr:uid="{00000000-0005-0000-0000-0000310A0000}"/>
    <cellStyle name="표준 4 2 6" xfId="1963" xr:uid="{00000000-0005-0000-0000-0000320A0000}"/>
    <cellStyle name="표준 4 2 7" xfId="1964" xr:uid="{00000000-0005-0000-0000-0000330A0000}"/>
    <cellStyle name="표준 4 3" xfId="1965" xr:uid="{00000000-0005-0000-0000-0000340A0000}"/>
    <cellStyle name="표준 4 4" xfId="1966" xr:uid="{00000000-0005-0000-0000-0000350A0000}"/>
    <cellStyle name="표준 4 4 2" xfId="1967" xr:uid="{00000000-0005-0000-0000-0000360A0000}"/>
    <cellStyle name="표준 4 4 2 2" xfId="1968" xr:uid="{00000000-0005-0000-0000-0000370A0000}"/>
    <cellStyle name="표준 4 4 3" xfId="1969" xr:uid="{00000000-0005-0000-0000-0000380A0000}"/>
    <cellStyle name="표준 4 5" xfId="1970" xr:uid="{00000000-0005-0000-0000-0000390A0000}"/>
    <cellStyle name="표준 4 5 2" xfId="1971" xr:uid="{00000000-0005-0000-0000-00003A0A0000}"/>
    <cellStyle name="표준 4 6" xfId="1972" xr:uid="{00000000-0005-0000-0000-00003B0A0000}"/>
    <cellStyle name="표준 4 7" xfId="1973" xr:uid="{00000000-0005-0000-0000-00003C0A0000}"/>
    <cellStyle name="표준 4 8" xfId="1974" xr:uid="{00000000-0005-0000-0000-00003D0A0000}"/>
    <cellStyle name="표준 5" xfId="1975" xr:uid="{00000000-0005-0000-0000-00003E0A0000}"/>
    <cellStyle name="표준 5 2" xfId="1976" xr:uid="{00000000-0005-0000-0000-00003F0A0000}"/>
    <cellStyle name="표준 5 2 2" xfId="1977" xr:uid="{00000000-0005-0000-0000-0000400A0000}"/>
    <cellStyle name="표준 5 3" xfId="1978" xr:uid="{00000000-0005-0000-0000-0000410A0000}"/>
    <cellStyle name="표준 6" xfId="1979" xr:uid="{00000000-0005-0000-0000-0000420A0000}"/>
    <cellStyle name="표준 6 2" xfId="1980" xr:uid="{00000000-0005-0000-0000-0000430A0000}"/>
    <cellStyle name="표준 6 3" xfId="1981" xr:uid="{00000000-0005-0000-0000-0000440A0000}"/>
    <cellStyle name="표준 7" xfId="1982" xr:uid="{00000000-0005-0000-0000-0000450A0000}"/>
    <cellStyle name="표준 7 2" xfId="1983" xr:uid="{00000000-0005-0000-0000-0000460A0000}"/>
    <cellStyle name="표준 7 2 2" xfId="1984" xr:uid="{00000000-0005-0000-0000-0000470A0000}"/>
    <cellStyle name="표준 7 2 2 2" xfId="1985" xr:uid="{00000000-0005-0000-0000-0000480A0000}"/>
    <cellStyle name="표준 7 2 2 2 2" xfId="1986" xr:uid="{00000000-0005-0000-0000-0000490A0000}"/>
    <cellStyle name="표준 7 2 2 2 3" xfId="1987" xr:uid="{00000000-0005-0000-0000-00004A0A0000}"/>
    <cellStyle name="표준 7 2 2 2 3 2" xfId="1988" xr:uid="{00000000-0005-0000-0000-00004B0A0000}"/>
    <cellStyle name="표준 7 2 2 2 3 2 2" xfId="1989" xr:uid="{00000000-0005-0000-0000-00004C0A0000}"/>
    <cellStyle name="표준 7 2 2 2 3 3" xfId="1990" xr:uid="{00000000-0005-0000-0000-00004D0A0000}"/>
    <cellStyle name="표준 7 2 2 2 4" xfId="1991" xr:uid="{00000000-0005-0000-0000-00004E0A0000}"/>
    <cellStyle name="표준 7 2 2 2 4 2" xfId="1992" xr:uid="{00000000-0005-0000-0000-00004F0A0000}"/>
    <cellStyle name="표준 7 2 2 2 5" xfId="1993" xr:uid="{00000000-0005-0000-0000-0000500A0000}"/>
    <cellStyle name="표준 7 2 2 2 6" xfId="1994" xr:uid="{00000000-0005-0000-0000-0000510A0000}"/>
    <cellStyle name="표준 7 2 2 3" xfId="1995" xr:uid="{00000000-0005-0000-0000-0000520A0000}"/>
    <cellStyle name="표준 7 2 2 3 2" xfId="1996" xr:uid="{00000000-0005-0000-0000-0000530A0000}"/>
    <cellStyle name="표준 7 2 2 3 2 2" xfId="1997" xr:uid="{00000000-0005-0000-0000-0000540A0000}"/>
    <cellStyle name="표준 7 2 2 3 2 3" xfId="1998" xr:uid="{00000000-0005-0000-0000-0000550A0000}"/>
    <cellStyle name="표준 7 2 2 3 2 3 2" xfId="1999" xr:uid="{00000000-0005-0000-0000-0000560A0000}"/>
    <cellStyle name="표준 7 2 2 3 2 3 2 2" xfId="2000" xr:uid="{00000000-0005-0000-0000-0000570A0000}"/>
    <cellStyle name="표준 7 2 2 3 2 3 3" xfId="2001" xr:uid="{00000000-0005-0000-0000-0000580A0000}"/>
    <cellStyle name="표준 7 2 2 3 2 4" xfId="2002" xr:uid="{00000000-0005-0000-0000-0000590A0000}"/>
    <cellStyle name="표준 7 2 2 3 2 4 2" xfId="2003" xr:uid="{00000000-0005-0000-0000-00005A0A0000}"/>
    <cellStyle name="표준 7 2 2 3 2 5" xfId="2004" xr:uid="{00000000-0005-0000-0000-00005B0A0000}"/>
    <cellStyle name="표준 7 2 2 3 2 6" xfId="2005" xr:uid="{00000000-0005-0000-0000-00005C0A0000}"/>
    <cellStyle name="표준 7 2 2 3 3" xfId="2006" xr:uid="{00000000-0005-0000-0000-00005D0A0000}"/>
    <cellStyle name="표준 7 2 2 3 3 2" xfId="2007" xr:uid="{00000000-0005-0000-0000-00005E0A0000}"/>
    <cellStyle name="표준 7 2 2 3 3 2 2" xfId="2008" xr:uid="{00000000-0005-0000-0000-00005F0A0000}"/>
    <cellStyle name="표준 7 2 2 3 3 2 2 2" xfId="2009" xr:uid="{00000000-0005-0000-0000-0000600A0000}"/>
    <cellStyle name="표준 7 2 2 3 3 2 2 2 2" xfId="2010" xr:uid="{00000000-0005-0000-0000-0000610A0000}"/>
    <cellStyle name="표준 7 2 2 3 3 2 2 2 2 2" xfId="2011" xr:uid="{00000000-0005-0000-0000-0000620A0000}"/>
    <cellStyle name="표준 7 2 2 3 3 2 2 2 2 2 2" xfId="2012" xr:uid="{00000000-0005-0000-0000-0000630A0000}"/>
    <cellStyle name="표준 7 2 2 3 3 2 2 2 2 2 2 2" xfId="2013" xr:uid="{00000000-0005-0000-0000-0000640A0000}"/>
    <cellStyle name="표준 7 2 2 3 3 2 2 2 2 2 2 2 2" xfId="2014" xr:uid="{00000000-0005-0000-0000-0000650A0000}"/>
    <cellStyle name="표준 7 2 2 3 3 2 2 2 2 2 2 2 2 2" xfId="2015" xr:uid="{00000000-0005-0000-0000-0000660A0000}"/>
    <cellStyle name="표준 7 2 2 3 3 2 2 2 2 2 2 2 2 2 2" xfId="2016" xr:uid="{00000000-0005-0000-0000-0000670A0000}"/>
    <cellStyle name="표준 7 2 2 3 3 2 2 2 2 2 2 2 2 2 2 2" xfId="2017" xr:uid="{00000000-0005-0000-0000-0000680A0000}"/>
    <cellStyle name="표준 7 2 2 3 3 2 2 2 2 2 2 2 2 2 2 2 2" xfId="2018" xr:uid="{00000000-0005-0000-0000-0000690A0000}"/>
    <cellStyle name="표준 7 2 2 3 3 2 2 2 2 2 2 2 2 2 2 2 2 2" xfId="2019" xr:uid="{00000000-0005-0000-0000-00006A0A0000}"/>
    <cellStyle name="표준 7 2 2 3 3 2 2 2 2 2 2 2 2 2 2 2 2 2 2" xfId="2020" xr:uid="{00000000-0005-0000-0000-00006B0A0000}"/>
    <cellStyle name="표준 7 2 2 3 3 2 2 2 2 2 2 2 2 2 2 2 2 2 2 2" xfId="2021" xr:uid="{00000000-0005-0000-0000-00006C0A0000}"/>
    <cellStyle name="표준 7 2 2 3 3 2 2 2 2 2 2 2 2 2 2 2 2 2 2 2 2" xfId="2022" xr:uid="{00000000-0005-0000-0000-00006D0A0000}"/>
    <cellStyle name="표준 7 2 2 3 3 2 2 2 2 2 2 2 2 2 2 2 2 2 2 2 2 2" xfId="2023" xr:uid="{00000000-0005-0000-0000-00006E0A0000}"/>
    <cellStyle name="표준 7 2 2 3 3 2 2 2 2 2 2 2 2 2 2 2 2 2 2 2 3" xfId="2024" xr:uid="{00000000-0005-0000-0000-00006F0A0000}"/>
    <cellStyle name="표준 7 2 2 3 3 2 2 2 2 2 2 2 2 2 2 2 2 2 2 2 3 2" xfId="2025" xr:uid="{00000000-0005-0000-0000-0000700A0000}"/>
    <cellStyle name="표준 7 2 2 3 3 2 2 2 2 2 2 2 2 2 2 2 2 2 2 2 3 2 2" xfId="2026" xr:uid="{00000000-0005-0000-0000-0000710A0000}"/>
    <cellStyle name="표준 7 2 2 3 3 2 2 2 2 2 2 2 2 2 2 2 2 2 2 2 3 2 2 2" xfId="2027" xr:uid="{00000000-0005-0000-0000-0000720A0000}"/>
    <cellStyle name="표준 7 2 2 3 3 2 2 2 2 2 2 2 2 2 2 2 2 2 2 2 3 2 2 2 2" xfId="2028" xr:uid="{00000000-0005-0000-0000-0000730A0000}"/>
    <cellStyle name="표준 7 2 2 3 3 2 2 2 2 2 2 2 2 2 2 2 2 2 2 2 3 2 2 3" xfId="2029" xr:uid="{00000000-0005-0000-0000-0000740A0000}"/>
    <cellStyle name="표준 7 2 2 3 3 2 2 2 2 2 2 2 2 2 2 2 2 2 2 2 3 2 3" xfId="2030" xr:uid="{00000000-0005-0000-0000-0000750A0000}"/>
    <cellStyle name="표준 7 2 2 3 3 2 2 2 2 2 2 2 2 2 2 2 2 2 2 2 3 3" xfId="2031" xr:uid="{00000000-0005-0000-0000-0000760A0000}"/>
    <cellStyle name="표준 7 2 2 3 3 2 2 2 2 2 2 2 2 2 2 2 2 2 2 2 4" xfId="2032" xr:uid="{00000000-0005-0000-0000-0000770A0000}"/>
    <cellStyle name="표준 7 2 2 3 3 2 2 2 2 2 2 2 2 2 2 2 2 2 2 2 4 2" xfId="2033" xr:uid="{00000000-0005-0000-0000-0000780A0000}"/>
    <cellStyle name="표준 7 2 2 3 3 2 2 2 2 2 2 2 2 2 2 2 2 2 2 2 5" xfId="2034" xr:uid="{00000000-0005-0000-0000-0000790A0000}"/>
    <cellStyle name="표준 7 2 2 3 3 2 2 2 2 2 2 2 2 2 2 2 2 2 2 3" xfId="2035" xr:uid="{00000000-0005-0000-0000-00007A0A0000}"/>
    <cellStyle name="표준 7 2 2 3 3 2 2 2 2 2 2 2 2 2 2 2 2 2 2 3 2" xfId="2036" xr:uid="{00000000-0005-0000-0000-00007B0A0000}"/>
    <cellStyle name="표준 7 2 2 3 3 2 2 2 2 2 2 2 2 2 2 2 2 2 2 4" xfId="2037" xr:uid="{00000000-0005-0000-0000-00007C0A0000}"/>
    <cellStyle name="표준 7 2 2 3 3 2 2 2 2 2 2 2 2 2 2 2 2 2 3" xfId="2038" xr:uid="{00000000-0005-0000-0000-00007D0A0000}"/>
    <cellStyle name="표준 7 2 2 3 3 2 2 2 2 2 2 2 2 2 2 2 2 2 3 2" xfId="2039" xr:uid="{00000000-0005-0000-0000-00007E0A0000}"/>
    <cellStyle name="표준 7 2 2 3 3 2 2 2 2 2 2 2 2 2 2 2 2 2 3 2 2" xfId="2040" xr:uid="{00000000-0005-0000-0000-00007F0A0000}"/>
    <cellStyle name="표준 7 2 2 3 3 2 2 2 2 2 2 2 2 2 2 2 2 2 3 3" xfId="2041" xr:uid="{00000000-0005-0000-0000-0000800A0000}"/>
    <cellStyle name="표준 7 2 2 3 3 2 2 2 2 2 2 2 2 2 2 2 2 2 4" xfId="2042" xr:uid="{00000000-0005-0000-0000-0000810A0000}"/>
    <cellStyle name="표준 7 2 2 3 3 2 2 2 2 2 2 2 2 2 2 2 2 2 4 2" xfId="2043" xr:uid="{00000000-0005-0000-0000-0000820A0000}"/>
    <cellStyle name="표준 7 2 2 3 3 2 2 2 2 2 2 2 2 2 2 2 2 2 5" xfId="2044" xr:uid="{00000000-0005-0000-0000-0000830A0000}"/>
    <cellStyle name="표준 7 2 2 3 3 2 2 2 2 2 2 2 2 2 2 2 2 3" xfId="2045" xr:uid="{00000000-0005-0000-0000-0000840A0000}"/>
    <cellStyle name="표준 7 2 2 3 3 2 2 2 2 2 2 2 2 2 2 2 2 3 2" xfId="2046" xr:uid="{00000000-0005-0000-0000-0000850A0000}"/>
    <cellStyle name="표준 7 2 2 3 3 2 2 2 2 2 2 2 2 2 2 2 2 3 2 2" xfId="2047" xr:uid="{00000000-0005-0000-0000-0000860A0000}"/>
    <cellStyle name="표준 7 2 2 3 3 2 2 2 2 2 2 2 2 2 2 2 2 3 2 2 2" xfId="2048" xr:uid="{00000000-0005-0000-0000-0000870A0000}"/>
    <cellStyle name="표준 7 2 2 3 3 2 2 2 2 2 2 2 2 2 2 2 2 3 2 3" xfId="2049" xr:uid="{00000000-0005-0000-0000-0000880A0000}"/>
    <cellStyle name="표준 7 2 2 3 3 2 2 2 2 2 2 2 2 2 2 2 2 3 2 3 2" xfId="2050" xr:uid="{00000000-0005-0000-0000-0000890A0000}"/>
    <cellStyle name="표준 7 2 2 3 3 2 2 2 2 2 2 2 2 2 2 2 2 3 2 3 2 2" xfId="2051" xr:uid="{00000000-0005-0000-0000-00008A0A0000}"/>
    <cellStyle name="표준 7 2 2 3 3 2 2 2 2 2 2 2 2 2 2 2 2 3 2 3 2 2 2" xfId="2052" xr:uid="{00000000-0005-0000-0000-00008B0A0000}"/>
    <cellStyle name="표준 7 2 2 3 3 2 2 2 2 2 2 2 2 2 2 2 2 3 2 3 2 2 2 2" xfId="2053" xr:uid="{00000000-0005-0000-0000-00008C0A0000}"/>
    <cellStyle name="표준 7 2 2 3 3 2 2 2 2 2 2 2 2 2 2 2 2 3 2 3 2 2 2 2 2" xfId="2054" xr:uid="{00000000-0005-0000-0000-00008D0A0000}"/>
    <cellStyle name="표준 7 2 2 3 3 2 2 2 2 2 2 2 2 2 2 2 2 3 2 3 2 2 2 3" xfId="2055" xr:uid="{00000000-0005-0000-0000-00008E0A0000}"/>
    <cellStyle name="표준 7 2 2 3 3 2 2 2 2 2 2 2 2 2 2 2 2 3 2 3 2 2 3" xfId="2056" xr:uid="{00000000-0005-0000-0000-00008F0A0000}"/>
    <cellStyle name="표준 7 2 2 3 3 2 2 2 2 2 2 2 2 2 2 2 2 3 2 3 2 3" xfId="2057" xr:uid="{00000000-0005-0000-0000-0000900A0000}"/>
    <cellStyle name="표준 7 2 2 3 3 2 2 2 2 2 2 2 2 2 2 2 2 3 2 3 3" xfId="2058" xr:uid="{00000000-0005-0000-0000-0000910A0000}"/>
    <cellStyle name="표준 7 2 2 3 3 2 2 2 2 2 2 2 2 2 2 2 2 3 2 3 4" xfId="2059" xr:uid="{00000000-0005-0000-0000-0000920A0000}"/>
    <cellStyle name="표준 7 2 2 3 3 2 2 2 2 2 2 2 2 2 2 2 2 3 2 4" xfId="2060" xr:uid="{00000000-0005-0000-0000-0000930A0000}"/>
    <cellStyle name="표준 7 2 2 3 3 2 2 2 2 2 2 2 2 2 2 2 2 3 2 4 2" xfId="2061" xr:uid="{00000000-0005-0000-0000-0000940A0000}"/>
    <cellStyle name="표준 7 2 2 3 3 2 2 2 2 2 2 2 2 2 2 2 2 3 2 5" xfId="2062" xr:uid="{00000000-0005-0000-0000-0000950A0000}"/>
    <cellStyle name="표준 7 2 2 3 3 2 2 2 2 2 2 2 2 2 2 2 2 3 3" xfId="2063" xr:uid="{00000000-0005-0000-0000-0000960A0000}"/>
    <cellStyle name="표준 7 2 2 3 3 2 2 2 2 2 2 2 2 2 2 2 2 3 3 2" xfId="2064" xr:uid="{00000000-0005-0000-0000-0000970A0000}"/>
    <cellStyle name="표준 7 2 2 3 3 2 2 2 2 2 2 2 2 2 2 2 2 3 4" xfId="2065" xr:uid="{00000000-0005-0000-0000-0000980A0000}"/>
    <cellStyle name="표준 7 2 2 3 3 2 2 2 2 2 2 2 2 2 2 2 2 4" xfId="2066" xr:uid="{00000000-0005-0000-0000-0000990A0000}"/>
    <cellStyle name="표준 7 2 2 3 3 2 2 2 2 2 2 2 2 2 2 2 2 4 2" xfId="2067" xr:uid="{00000000-0005-0000-0000-00009A0A0000}"/>
    <cellStyle name="표준 7 2 2 3 3 2 2 2 2 2 2 2 2 2 2 2 2 4 2 2" xfId="2068" xr:uid="{00000000-0005-0000-0000-00009B0A0000}"/>
    <cellStyle name="표준 7 2 2 3 3 2 2 2 2 2 2 2 2 2 2 2 2 4 3" xfId="2069" xr:uid="{00000000-0005-0000-0000-00009C0A0000}"/>
    <cellStyle name="표준 7 2 2 3 3 2 2 2 2 2 2 2 2 2 2 2 2 5" xfId="2070" xr:uid="{00000000-0005-0000-0000-00009D0A0000}"/>
    <cellStyle name="표준 7 2 2 3 3 2 2 2 2 2 2 2 2 2 2 2 2 5 2" xfId="2071" xr:uid="{00000000-0005-0000-0000-00009E0A0000}"/>
    <cellStyle name="표준 7 2 2 3 3 2 2 2 2 2 2 2 2 2 2 2 2 6" xfId="2072" xr:uid="{00000000-0005-0000-0000-00009F0A0000}"/>
    <cellStyle name="표준 7 2 2 3 3 2 2 2 2 2 2 2 2 2 2 2 3" xfId="2073" xr:uid="{00000000-0005-0000-0000-0000A00A0000}"/>
    <cellStyle name="표준 7 2 2 3 3 2 2 2 2 2 2 2 2 2 2 2 4" xfId="2074" xr:uid="{00000000-0005-0000-0000-0000A10A0000}"/>
    <cellStyle name="표준 7 2 2 3 3 2 2 2 2 2 2 2 2 2 2 2 4 2" xfId="2075" xr:uid="{00000000-0005-0000-0000-0000A20A0000}"/>
    <cellStyle name="표준 7 2 2 3 3 2 2 2 2 2 2 2 2 2 2 2 4 2 2" xfId="2076" xr:uid="{00000000-0005-0000-0000-0000A30A0000}"/>
    <cellStyle name="표준 7 2 2 3 3 2 2 2 2 2 2 2 2 2 2 2 4 3" xfId="2077" xr:uid="{00000000-0005-0000-0000-0000A40A0000}"/>
    <cellStyle name="표준 7 2 2 3 3 2 2 2 2 2 2 2 2 2 2 2 5" xfId="2078" xr:uid="{00000000-0005-0000-0000-0000A50A0000}"/>
    <cellStyle name="표준 7 2 2 3 3 2 2 2 2 2 2 2 2 2 2 2 5 2" xfId="2079" xr:uid="{00000000-0005-0000-0000-0000A60A0000}"/>
    <cellStyle name="표준 7 2 2 3 3 2 2 2 2 2 2 2 2 2 2 2 6" xfId="2080" xr:uid="{00000000-0005-0000-0000-0000A70A0000}"/>
    <cellStyle name="표준 7 2 2 3 3 2 2 2 2 2 2 2 2 2 2 3" xfId="2081" xr:uid="{00000000-0005-0000-0000-0000A80A0000}"/>
    <cellStyle name="표준 7 2 2 3 3 2 2 2 2 2 2 2 2 2 2 4" xfId="2082" xr:uid="{00000000-0005-0000-0000-0000A90A0000}"/>
    <cellStyle name="표준 7 2 2 3 3 2 2 2 2 2 2 2 2 2 2 4 2" xfId="2083" xr:uid="{00000000-0005-0000-0000-0000AA0A0000}"/>
    <cellStyle name="표준 7 2 2 3 3 2 2 2 2 2 2 2 2 2 2 4 2 2" xfId="2084" xr:uid="{00000000-0005-0000-0000-0000AB0A0000}"/>
    <cellStyle name="표준 7 2 2 3 3 2 2 2 2 2 2 2 2 2 2 4 3" xfId="2085" xr:uid="{00000000-0005-0000-0000-0000AC0A0000}"/>
    <cellStyle name="표준 7 2 2 3 3 2 2 2 2 2 2 2 2 2 2 5" xfId="2086" xr:uid="{00000000-0005-0000-0000-0000AD0A0000}"/>
    <cellStyle name="표준 7 2 2 3 3 2 2 2 2 2 2 2 2 2 2 5 2" xfId="2087" xr:uid="{00000000-0005-0000-0000-0000AE0A0000}"/>
    <cellStyle name="표준 7 2 2 3 3 2 2 2 2 2 2 2 2 2 2 6" xfId="2088" xr:uid="{00000000-0005-0000-0000-0000AF0A0000}"/>
    <cellStyle name="표준 7 2 2 3 3 2 2 2 2 2 2 2 2 2 2 7" xfId="2089" xr:uid="{00000000-0005-0000-0000-0000B00A0000}"/>
    <cellStyle name="표준 7 2 2 3 3 2 2 2 2 2 2 2 2 2 3" xfId="2090" xr:uid="{00000000-0005-0000-0000-0000B10A0000}"/>
    <cellStyle name="표준 7 2 2 3 3 2 2 2 2 2 2 2 2 2 4" xfId="2091" xr:uid="{00000000-0005-0000-0000-0000B20A0000}"/>
    <cellStyle name="표준 7 2 2 3 3 2 2 2 2 2 2 2 2 2 4 2" xfId="2092" xr:uid="{00000000-0005-0000-0000-0000B30A0000}"/>
    <cellStyle name="표준 7 2 2 3 3 2 2 2 2 2 2 2 2 2 4 2 2" xfId="2093" xr:uid="{00000000-0005-0000-0000-0000B40A0000}"/>
    <cellStyle name="표준 7 2 2 3 3 2 2 2 2 2 2 2 2 2 4 3" xfId="2094" xr:uid="{00000000-0005-0000-0000-0000B50A0000}"/>
    <cellStyle name="표준 7 2 2 3 3 2 2 2 2 2 2 2 2 2 5" xfId="2095" xr:uid="{00000000-0005-0000-0000-0000B60A0000}"/>
    <cellStyle name="표준 7 2 2 3 3 2 2 2 2 2 2 2 2 2 5 2" xfId="2096" xr:uid="{00000000-0005-0000-0000-0000B70A0000}"/>
    <cellStyle name="표준 7 2 2 3 3 2 2 2 2 2 2 2 2 2 6" xfId="2097" xr:uid="{00000000-0005-0000-0000-0000B80A0000}"/>
    <cellStyle name="표준 7 2 2 3 3 2 2 2 2 2 2 2 2 2 6 2" xfId="2098" xr:uid="{00000000-0005-0000-0000-0000B90A0000}"/>
    <cellStyle name="표준 7 2 2 3 3 2 2 2 2 2 2 2 2 2 7" xfId="2099" xr:uid="{00000000-0005-0000-0000-0000BA0A0000}"/>
    <cellStyle name="표준 7 2 2 3 3 2 2 2 2 2 2 2 2 2 8" xfId="2100" xr:uid="{00000000-0005-0000-0000-0000BB0A0000}"/>
    <cellStyle name="표준 7 2 2 3 3 2 2 2 2 2 2 2 2 3" xfId="2101" xr:uid="{00000000-0005-0000-0000-0000BC0A0000}"/>
    <cellStyle name="표준 7 2 2 3 3 2 2 2 2 2 2 2 2 4" xfId="2102" xr:uid="{00000000-0005-0000-0000-0000BD0A0000}"/>
    <cellStyle name="표준 7 2 2 3 3 2 2 2 2 2 2 2 2 4 2" xfId="2103" xr:uid="{00000000-0005-0000-0000-0000BE0A0000}"/>
    <cellStyle name="표준 7 2 2 3 3 2 2 2 2 2 2 2 2 4 2 2" xfId="2104" xr:uid="{00000000-0005-0000-0000-0000BF0A0000}"/>
    <cellStyle name="표준 7 2 2 3 3 2 2 2 2 2 2 2 2 4 3" xfId="2105" xr:uid="{00000000-0005-0000-0000-0000C00A0000}"/>
    <cellStyle name="표준 7 2 2 3 3 2 2 2 2 2 2 2 2 5" xfId="2106" xr:uid="{00000000-0005-0000-0000-0000C10A0000}"/>
    <cellStyle name="표준 7 2 2 3 3 2 2 2 2 2 2 2 2 5 2" xfId="2107" xr:uid="{00000000-0005-0000-0000-0000C20A0000}"/>
    <cellStyle name="표준 7 2 2 3 3 2 2 2 2 2 2 2 2 6" xfId="2108" xr:uid="{00000000-0005-0000-0000-0000C30A0000}"/>
    <cellStyle name="표준 7 2 2 3 3 2 2 2 2 2 2 2 2 7" xfId="2109" xr:uid="{00000000-0005-0000-0000-0000C40A0000}"/>
    <cellStyle name="표준 7 2 2 3 3 2 2 2 2 2 2 2 3" xfId="2110" xr:uid="{00000000-0005-0000-0000-0000C50A0000}"/>
    <cellStyle name="표준 7 2 2 3 3 2 2 2 2 2 2 2 4" xfId="2111" xr:uid="{00000000-0005-0000-0000-0000C60A0000}"/>
    <cellStyle name="표준 7 2 2 3 3 2 2 2 2 2 2 2 4 2" xfId="2112" xr:uid="{00000000-0005-0000-0000-0000C70A0000}"/>
    <cellStyle name="표준 7 2 2 3 3 2 2 2 2 2 2 2 4 2 2" xfId="2113" xr:uid="{00000000-0005-0000-0000-0000C80A0000}"/>
    <cellStyle name="표준 7 2 2 3 3 2 2 2 2 2 2 2 4 3" xfId="2114" xr:uid="{00000000-0005-0000-0000-0000C90A0000}"/>
    <cellStyle name="표준 7 2 2 3 3 2 2 2 2 2 2 2 5" xfId="2115" xr:uid="{00000000-0005-0000-0000-0000CA0A0000}"/>
    <cellStyle name="표준 7 2 2 3 3 2 2 2 2 2 2 2 5 2" xfId="2116" xr:uid="{00000000-0005-0000-0000-0000CB0A0000}"/>
    <cellStyle name="표준 7 2 2 3 3 2 2 2 2 2 2 2 6" xfId="2117" xr:uid="{00000000-0005-0000-0000-0000CC0A0000}"/>
    <cellStyle name="표준 7 2 2 3 3 2 2 2 2 2 2 2 7" xfId="2118" xr:uid="{00000000-0005-0000-0000-0000CD0A0000}"/>
    <cellStyle name="표준 7 2 2 3 3 2 2 2 2 2 2 3" xfId="2119" xr:uid="{00000000-0005-0000-0000-0000CE0A0000}"/>
    <cellStyle name="표준 7 2 2 3 3 2 2 2 2 2 2 4" xfId="2120" xr:uid="{00000000-0005-0000-0000-0000CF0A0000}"/>
    <cellStyle name="표준 7 2 2 3 3 2 2 2 2 2 2 4 2" xfId="2121" xr:uid="{00000000-0005-0000-0000-0000D00A0000}"/>
    <cellStyle name="표준 7 2 2 3 3 2 2 2 2 2 2 4 2 2" xfId="2122" xr:uid="{00000000-0005-0000-0000-0000D10A0000}"/>
    <cellStyle name="표준 7 2 2 3 3 2 2 2 2 2 2 4 3" xfId="2123" xr:uid="{00000000-0005-0000-0000-0000D20A0000}"/>
    <cellStyle name="표준 7 2 2 3 3 2 2 2 2 2 2 5" xfId="2124" xr:uid="{00000000-0005-0000-0000-0000D30A0000}"/>
    <cellStyle name="표준 7 2 2 3 3 2 2 2 2 2 2 5 2" xfId="2125" xr:uid="{00000000-0005-0000-0000-0000D40A0000}"/>
    <cellStyle name="표준 7 2 2 3 3 2 2 2 2 2 2 6" xfId="2126" xr:uid="{00000000-0005-0000-0000-0000D50A0000}"/>
    <cellStyle name="표준 7 2 2 3 3 2 2 2 2 2 2 7" xfId="2127" xr:uid="{00000000-0005-0000-0000-0000D60A0000}"/>
    <cellStyle name="표준 7 2 2 3 3 2 2 2 2 2 3" xfId="2128" xr:uid="{00000000-0005-0000-0000-0000D70A0000}"/>
    <cellStyle name="표준 7 2 2 3 3 2 2 2 2 2 4" xfId="2129" xr:uid="{00000000-0005-0000-0000-0000D80A0000}"/>
    <cellStyle name="표준 7 2 2 3 3 2 2 2 2 2 4 2" xfId="2130" xr:uid="{00000000-0005-0000-0000-0000D90A0000}"/>
    <cellStyle name="표준 7 2 2 3 3 2 2 2 2 2 4 2 2" xfId="2131" xr:uid="{00000000-0005-0000-0000-0000DA0A0000}"/>
    <cellStyle name="표준 7 2 2 3 3 2 2 2 2 2 4 3" xfId="2132" xr:uid="{00000000-0005-0000-0000-0000DB0A0000}"/>
    <cellStyle name="표준 7 2 2 3 3 2 2 2 2 2 5" xfId="2133" xr:uid="{00000000-0005-0000-0000-0000DC0A0000}"/>
    <cellStyle name="표준 7 2 2 3 3 2 2 2 2 2 5 2" xfId="2134" xr:uid="{00000000-0005-0000-0000-0000DD0A0000}"/>
    <cellStyle name="표준 7 2 2 3 3 2 2 2 2 2 6" xfId="2135" xr:uid="{00000000-0005-0000-0000-0000DE0A0000}"/>
    <cellStyle name="표준 7 2 2 3 3 2 2 2 2 2 7" xfId="2136" xr:uid="{00000000-0005-0000-0000-0000DF0A0000}"/>
    <cellStyle name="표준 7 2 2 3 3 2 2 2 2 3" xfId="2137" xr:uid="{00000000-0005-0000-0000-0000E00A0000}"/>
    <cellStyle name="표준 7 2 2 3 3 2 2 2 2 4" xfId="2138" xr:uid="{00000000-0005-0000-0000-0000E10A0000}"/>
    <cellStyle name="표준 7 2 2 3 3 2 2 2 2 4 2" xfId="2139" xr:uid="{00000000-0005-0000-0000-0000E20A0000}"/>
    <cellStyle name="표준 7 2 2 3 3 2 2 2 2 4 2 2" xfId="2140" xr:uid="{00000000-0005-0000-0000-0000E30A0000}"/>
    <cellStyle name="표준 7 2 2 3 3 2 2 2 2 4 3" xfId="2141" xr:uid="{00000000-0005-0000-0000-0000E40A0000}"/>
    <cellStyle name="표준 7 2 2 3 3 2 2 2 2 5" xfId="2142" xr:uid="{00000000-0005-0000-0000-0000E50A0000}"/>
    <cellStyle name="표준 7 2 2 3 3 2 2 2 2 5 2" xfId="2143" xr:uid="{00000000-0005-0000-0000-0000E60A0000}"/>
    <cellStyle name="표준 7 2 2 3 3 2 2 2 2 6" xfId="2144" xr:uid="{00000000-0005-0000-0000-0000E70A0000}"/>
    <cellStyle name="표준 7 2 2 3 3 2 2 2 2 7" xfId="2145" xr:uid="{00000000-0005-0000-0000-0000E80A0000}"/>
    <cellStyle name="표준 7 2 2 3 3 2 2 2 3" xfId="2146" xr:uid="{00000000-0005-0000-0000-0000E90A0000}"/>
    <cellStyle name="표준 7 2 2 3 3 2 2 2 4" xfId="2147" xr:uid="{00000000-0005-0000-0000-0000EA0A0000}"/>
    <cellStyle name="표준 7 2 2 3 3 2 2 2 4 2" xfId="2148" xr:uid="{00000000-0005-0000-0000-0000EB0A0000}"/>
    <cellStyle name="표준 7 2 2 3 3 2 2 2 4 2 2" xfId="2149" xr:uid="{00000000-0005-0000-0000-0000EC0A0000}"/>
    <cellStyle name="표준 7 2 2 3 3 2 2 2 4 3" xfId="2150" xr:uid="{00000000-0005-0000-0000-0000ED0A0000}"/>
    <cellStyle name="표준 7 2 2 3 3 2 2 2 5" xfId="2151" xr:uid="{00000000-0005-0000-0000-0000EE0A0000}"/>
    <cellStyle name="표준 7 2 2 3 3 2 2 2 5 2" xfId="2152" xr:uid="{00000000-0005-0000-0000-0000EF0A0000}"/>
    <cellStyle name="표준 7 2 2 3 3 2 2 2 6" xfId="2153" xr:uid="{00000000-0005-0000-0000-0000F00A0000}"/>
    <cellStyle name="표준 7 2 2 3 3 2 2 2 7" xfId="2154" xr:uid="{00000000-0005-0000-0000-0000F10A0000}"/>
    <cellStyle name="표준 7 2 2 3 3 2 2 3" xfId="2155" xr:uid="{00000000-0005-0000-0000-0000F20A0000}"/>
    <cellStyle name="표준 7 2 2 3 3 2 2 4" xfId="2156" xr:uid="{00000000-0005-0000-0000-0000F30A0000}"/>
    <cellStyle name="표준 7 2 2 3 3 2 2 4 2" xfId="2157" xr:uid="{00000000-0005-0000-0000-0000F40A0000}"/>
    <cellStyle name="표준 7 2 2 3 3 2 2 4 2 2" xfId="2158" xr:uid="{00000000-0005-0000-0000-0000F50A0000}"/>
    <cellStyle name="표준 7 2 2 3 3 2 2 4 3" xfId="2159" xr:uid="{00000000-0005-0000-0000-0000F60A0000}"/>
    <cellStyle name="표준 7 2 2 3 3 2 2 5" xfId="2160" xr:uid="{00000000-0005-0000-0000-0000F70A0000}"/>
    <cellStyle name="표준 7 2 2 3 3 2 2 5 2" xfId="2161" xr:uid="{00000000-0005-0000-0000-0000F80A0000}"/>
    <cellStyle name="표준 7 2 2 3 3 2 2 6" xfId="2162" xr:uid="{00000000-0005-0000-0000-0000F90A0000}"/>
    <cellStyle name="표준 7 2 2 3 3 2 2 7" xfId="2163" xr:uid="{00000000-0005-0000-0000-0000FA0A0000}"/>
    <cellStyle name="표준 7 2 2 3 3 2 3" xfId="2164" xr:uid="{00000000-0005-0000-0000-0000FB0A0000}"/>
    <cellStyle name="표준 7 2 2 3 3 2 4" xfId="2165" xr:uid="{00000000-0005-0000-0000-0000FC0A0000}"/>
    <cellStyle name="표준 7 2 2 3 3 2 4 2" xfId="2166" xr:uid="{00000000-0005-0000-0000-0000FD0A0000}"/>
    <cellStyle name="표준 7 2 2 3 3 2 4 2 2" xfId="2167" xr:uid="{00000000-0005-0000-0000-0000FE0A0000}"/>
    <cellStyle name="표준 7 2 2 3 3 2 4 3" xfId="2168" xr:uid="{00000000-0005-0000-0000-0000FF0A0000}"/>
    <cellStyle name="표준 7 2 2 3 3 2 5" xfId="2169" xr:uid="{00000000-0005-0000-0000-0000000B0000}"/>
    <cellStyle name="표준 7 2 2 3 3 2 5 2" xfId="2170" xr:uid="{00000000-0005-0000-0000-0000010B0000}"/>
    <cellStyle name="표준 7 2 2 3 3 2 6" xfId="2171" xr:uid="{00000000-0005-0000-0000-0000020B0000}"/>
    <cellStyle name="표준 7 2 2 3 3 2 7" xfId="2172" xr:uid="{00000000-0005-0000-0000-0000030B0000}"/>
    <cellStyle name="표준 7 2 2 3 3 3" xfId="2173" xr:uid="{00000000-0005-0000-0000-0000040B0000}"/>
    <cellStyle name="표준 7 2 2 3 3 4" xfId="2174" xr:uid="{00000000-0005-0000-0000-0000050B0000}"/>
    <cellStyle name="표준 7 2 2 3 3 4 2" xfId="2175" xr:uid="{00000000-0005-0000-0000-0000060B0000}"/>
    <cellStyle name="표준 7 2 2 3 3 4 2 2" xfId="2176" xr:uid="{00000000-0005-0000-0000-0000070B0000}"/>
    <cellStyle name="표준 7 2 2 3 3 4 3" xfId="2177" xr:uid="{00000000-0005-0000-0000-0000080B0000}"/>
    <cellStyle name="표준 7 2 2 3 3 5" xfId="2178" xr:uid="{00000000-0005-0000-0000-0000090B0000}"/>
    <cellStyle name="표준 7 2 2 3 3 5 2" xfId="2179" xr:uid="{00000000-0005-0000-0000-00000A0B0000}"/>
    <cellStyle name="표준 7 2 2 3 3 6" xfId="2180" xr:uid="{00000000-0005-0000-0000-00000B0B0000}"/>
    <cellStyle name="표준 7 2 2 3 3 7" xfId="2181" xr:uid="{00000000-0005-0000-0000-00000C0B0000}"/>
    <cellStyle name="표준 7 2 2 3 4" xfId="2182" xr:uid="{00000000-0005-0000-0000-00000D0B0000}"/>
    <cellStyle name="표준 7 2 2 3 5" xfId="2183" xr:uid="{00000000-0005-0000-0000-00000E0B0000}"/>
    <cellStyle name="표준 7 2 2 3 5 2" xfId="2184" xr:uid="{00000000-0005-0000-0000-00000F0B0000}"/>
    <cellStyle name="표준 7 2 2 3 5 2 2" xfId="2185" xr:uid="{00000000-0005-0000-0000-0000100B0000}"/>
    <cellStyle name="표준 7 2 2 3 5 3" xfId="2186" xr:uid="{00000000-0005-0000-0000-0000110B0000}"/>
    <cellStyle name="표준 7 2 2 3 6" xfId="2187" xr:uid="{00000000-0005-0000-0000-0000120B0000}"/>
    <cellStyle name="표준 7 2 2 3 6 2" xfId="2188" xr:uid="{00000000-0005-0000-0000-0000130B0000}"/>
    <cellStyle name="표준 7 2 2 3 7" xfId="2189" xr:uid="{00000000-0005-0000-0000-0000140B0000}"/>
    <cellStyle name="표준 7 2 2 3 8" xfId="2190" xr:uid="{00000000-0005-0000-0000-0000150B0000}"/>
    <cellStyle name="표준 7 2 2 4" xfId="2191" xr:uid="{00000000-0005-0000-0000-0000160B0000}"/>
    <cellStyle name="표준 7 2 2 5" xfId="2192" xr:uid="{00000000-0005-0000-0000-0000170B0000}"/>
    <cellStyle name="표준 7 2 2 5 2" xfId="2193" xr:uid="{00000000-0005-0000-0000-0000180B0000}"/>
    <cellStyle name="표준 7 2 2 5 2 2" xfId="2194" xr:uid="{00000000-0005-0000-0000-0000190B0000}"/>
    <cellStyle name="표준 7 2 2 5 3" xfId="2195" xr:uid="{00000000-0005-0000-0000-00001A0B0000}"/>
    <cellStyle name="표준 7 2 2 6" xfId="2196" xr:uid="{00000000-0005-0000-0000-00001B0B0000}"/>
    <cellStyle name="표준 7 2 2 6 2" xfId="2197" xr:uid="{00000000-0005-0000-0000-00001C0B0000}"/>
    <cellStyle name="표준 7 2 2 7" xfId="2198" xr:uid="{00000000-0005-0000-0000-00001D0B0000}"/>
    <cellStyle name="표준 7 2 2 8" xfId="2199" xr:uid="{00000000-0005-0000-0000-00001E0B0000}"/>
    <cellStyle name="표준 7 2 3" xfId="2200" xr:uid="{00000000-0005-0000-0000-00001F0B0000}"/>
    <cellStyle name="표준 7 2 4" xfId="2201" xr:uid="{00000000-0005-0000-0000-0000200B0000}"/>
    <cellStyle name="표준 7 2 4 2" xfId="2202" xr:uid="{00000000-0005-0000-0000-0000210B0000}"/>
    <cellStyle name="표준 7 2 4 2 2" xfId="2203" xr:uid="{00000000-0005-0000-0000-0000220B0000}"/>
    <cellStyle name="표준 7 2 4 3" xfId="2204" xr:uid="{00000000-0005-0000-0000-0000230B0000}"/>
    <cellStyle name="표준 7 2 5" xfId="2205" xr:uid="{00000000-0005-0000-0000-0000240B0000}"/>
    <cellStyle name="표준 7 2 5 2" xfId="2206" xr:uid="{00000000-0005-0000-0000-0000250B0000}"/>
    <cellStyle name="표준 7 2 6" xfId="2207" xr:uid="{00000000-0005-0000-0000-0000260B0000}"/>
    <cellStyle name="표준 7 2 6 2" xfId="2208" xr:uid="{00000000-0005-0000-0000-0000270B0000}"/>
    <cellStyle name="표준 7 2 6 3" xfId="2209" xr:uid="{00000000-0005-0000-0000-0000280B0000}"/>
    <cellStyle name="표준 7 2 7" xfId="2210" xr:uid="{00000000-0005-0000-0000-0000290B0000}"/>
    <cellStyle name="표준 7 2 8" xfId="2211" xr:uid="{00000000-0005-0000-0000-00002A0B0000}"/>
    <cellStyle name="표준 7 3" xfId="2212" xr:uid="{00000000-0005-0000-0000-00002B0B0000}"/>
    <cellStyle name="표준 7 4" xfId="2213" xr:uid="{00000000-0005-0000-0000-00002C0B0000}"/>
    <cellStyle name="표준 7 4 2" xfId="2214" xr:uid="{00000000-0005-0000-0000-00002D0B0000}"/>
    <cellStyle name="표준 7 4 2 2" xfId="2215" xr:uid="{00000000-0005-0000-0000-00002E0B0000}"/>
    <cellStyle name="표준 7 4 3" xfId="2216" xr:uid="{00000000-0005-0000-0000-00002F0B0000}"/>
    <cellStyle name="표준 7 5" xfId="2217" xr:uid="{00000000-0005-0000-0000-0000300B0000}"/>
    <cellStyle name="표준 7 5 2" xfId="2218" xr:uid="{00000000-0005-0000-0000-0000310B0000}"/>
    <cellStyle name="표준 7 6" xfId="2219" xr:uid="{00000000-0005-0000-0000-0000320B0000}"/>
    <cellStyle name="표준 7 6 2" xfId="2220" xr:uid="{00000000-0005-0000-0000-0000330B0000}"/>
    <cellStyle name="표준 7 6 3" xfId="2221" xr:uid="{00000000-0005-0000-0000-0000340B0000}"/>
    <cellStyle name="표준 7 7" xfId="2222" xr:uid="{00000000-0005-0000-0000-0000350B0000}"/>
    <cellStyle name="표준 7 8" xfId="2223" xr:uid="{00000000-0005-0000-0000-0000360B0000}"/>
    <cellStyle name="표준 7 9" xfId="2224" xr:uid="{00000000-0005-0000-0000-0000370B0000}"/>
    <cellStyle name="표준 8" xfId="2225" xr:uid="{00000000-0005-0000-0000-0000380B0000}"/>
    <cellStyle name="표준 8 2" xfId="2226" xr:uid="{00000000-0005-0000-0000-0000390B0000}"/>
    <cellStyle name="표준 8 3" xfId="2227" xr:uid="{00000000-0005-0000-0000-00003A0B0000}"/>
    <cellStyle name="표준 9" xfId="2228" xr:uid="{00000000-0005-0000-0000-00003B0B0000}"/>
    <cellStyle name="표준 9 2" xfId="2229" xr:uid="{00000000-0005-0000-0000-00003C0B0000}"/>
    <cellStyle name="표준 9 2 2" xfId="2230" xr:uid="{00000000-0005-0000-0000-00003D0B0000}"/>
    <cellStyle name="표준 9 3" xfId="2231" xr:uid="{00000000-0005-0000-0000-00003E0B0000}"/>
    <cellStyle name="標準_0101全社計" xfId="2232" xr:uid="{00000000-0005-0000-0000-00003F0B0000}"/>
    <cellStyle name="합산" xfId="2233" xr:uid="{00000000-0005-0000-0000-0000400B0000}"/>
    <cellStyle name="桁区切り [0.00]_List-dwg瑩畳䵜楡" xfId="2234" xr:uid="{00000000-0005-0000-0000-0000410B0000}"/>
    <cellStyle name="桁区切り_List-dwgist-" xfId="2235" xr:uid="{00000000-0005-0000-0000-0000420B0000}"/>
    <cellStyle name="貨幣 [0]_00Q3902REV.1" xfId="2236" xr:uid="{00000000-0005-0000-0000-0000430B0000}"/>
    <cellStyle name="貨幣[0]_BRE" xfId="2237" xr:uid="{00000000-0005-0000-0000-0000440B0000}"/>
    <cellStyle name="貨幣_00Q3902REV.1" xfId="2238" xr:uid="{00000000-0005-0000-0000-0000450B0000}"/>
    <cellStyle name="화폐기호" xfId="2239" xr:uid="{00000000-0005-0000-0000-0000460B0000}"/>
    <cellStyle name="화폐기호0" xfId="2240" xr:uid="{00000000-0005-0000-0000-0000470B0000}"/>
  </cellStyles>
  <dxfs count="0"/>
  <tableStyles count="0" defaultTableStyle="TableStyleMedium2" defaultPivotStyle="PivotStyleLight16"/>
  <colors>
    <mruColors>
      <color rgb="FF0000FF"/>
      <color rgb="FFE1ED6D"/>
      <color rgb="FFFEFCFC"/>
      <color rgb="FFFFE7E7"/>
      <color rgb="FFFFD5D5"/>
      <color rgb="FFEEF3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5</xdr:col>
      <xdr:colOff>144000</xdr:colOff>
      <xdr:row>14</xdr:row>
      <xdr:rowOff>144000</xdr:rowOff>
    </xdr:to>
    <xdr:sp macro="" textlink="">
      <xdr:nvSpPr>
        <xdr:cNvPr id="2" name="순서도: 연결자 1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1847850" y="3209925"/>
          <a:ext cx="144000" cy="144000"/>
        </a:xfrm>
        <a:prstGeom prst="flowChartConnector">
          <a:avLst/>
        </a:prstGeom>
        <a:solidFill>
          <a:schemeClr val="bg1">
            <a:lumMod val="50000"/>
          </a:schemeClr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5</xdr:col>
      <xdr:colOff>144000</xdr:colOff>
      <xdr:row>14</xdr:row>
      <xdr:rowOff>72000</xdr:rowOff>
    </xdr:from>
    <xdr:to>
      <xdr:col>16</xdr:col>
      <xdr:colOff>190500</xdr:colOff>
      <xdr:row>14</xdr:row>
      <xdr:rowOff>72001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>
          <a:stCxn id="2" idx="6"/>
          <a:endCxn id="5" idx="2"/>
        </xdr:cNvCxnSpPr>
      </xdr:nvCxnSpPr>
      <xdr:spPr>
        <a:xfrm>
          <a:off x="1248900" y="3120000"/>
          <a:ext cx="2627775" cy="1"/>
        </a:xfrm>
        <a:prstGeom prst="line">
          <a:avLst/>
        </a:prstGeom>
        <a:ln w="15875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12</xdr:row>
      <xdr:rowOff>142875</xdr:rowOff>
    </xdr:from>
    <xdr:to>
      <xdr:col>7</xdr:col>
      <xdr:colOff>38100</xdr:colOff>
      <xdr:row>13</xdr:row>
      <xdr:rowOff>202567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847725" y="2400300"/>
          <a:ext cx="647700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소싱처</a:t>
          </a:r>
        </a:p>
      </xdr:txBody>
    </xdr:sp>
    <xdr:clientData/>
  </xdr:twoCellAnchor>
  <xdr:twoCellAnchor>
    <xdr:from>
      <xdr:col>16</xdr:col>
      <xdr:colOff>190500</xdr:colOff>
      <xdr:row>14</xdr:row>
      <xdr:rowOff>1</xdr:rowOff>
    </xdr:from>
    <xdr:to>
      <xdr:col>17</xdr:col>
      <xdr:colOff>86850</xdr:colOff>
      <xdr:row>14</xdr:row>
      <xdr:rowOff>144001</xdr:rowOff>
    </xdr:to>
    <xdr:sp macro="" textlink="">
      <xdr:nvSpPr>
        <xdr:cNvPr id="5" name="순서도: 연결자 4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3876675" y="3048001"/>
          <a:ext cx="144000" cy="144000"/>
        </a:xfrm>
        <a:prstGeom prst="flowChartConnector">
          <a:avLst/>
        </a:prstGeom>
        <a:solidFill>
          <a:schemeClr val="tx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14</xdr:col>
      <xdr:colOff>38099</xdr:colOff>
      <xdr:row>15</xdr:row>
      <xdr:rowOff>76200</xdr:rowOff>
    </xdr:from>
    <xdr:to>
      <xdr:col>20</xdr:col>
      <xdr:colOff>28575</xdr:colOff>
      <xdr:row>16</xdr:row>
      <xdr:rowOff>161925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4962524" y="3524250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제상품 생산</a:t>
          </a:r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/</a:t>
          </a:r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매입 현황</a:t>
          </a:r>
          <a:endParaRPr lang="ko-KR" altLang="en-US" sz="900" b="0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34</xdr:col>
      <xdr:colOff>238125</xdr:colOff>
      <xdr:row>14</xdr:row>
      <xdr:rowOff>1</xdr:rowOff>
    </xdr:from>
    <xdr:to>
      <xdr:col>35</xdr:col>
      <xdr:colOff>134475</xdr:colOff>
      <xdr:row>14</xdr:row>
      <xdr:rowOff>144001</xdr:rowOff>
    </xdr:to>
    <xdr:sp macro="" textlink="">
      <xdr:nvSpPr>
        <xdr:cNvPr id="9" name="순서도: 연결자 8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8382000" y="3048001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17</xdr:col>
      <xdr:colOff>86850</xdr:colOff>
      <xdr:row>14</xdr:row>
      <xdr:rowOff>72001</xdr:rowOff>
    </xdr:from>
    <xdr:to>
      <xdr:col>34</xdr:col>
      <xdr:colOff>238125</xdr:colOff>
      <xdr:row>14</xdr:row>
      <xdr:rowOff>72001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>
          <a:stCxn id="5" idx="6"/>
          <a:endCxn id="9" idx="2"/>
        </xdr:cNvCxnSpPr>
      </xdr:nvCxnSpPr>
      <xdr:spPr>
        <a:xfrm>
          <a:off x="4020675" y="3120001"/>
          <a:ext cx="4361325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144001</xdr:colOff>
      <xdr:row>14</xdr:row>
      <xdr:rowOff>72000</xdr:rowOff>
    </xdr:from>
    <xdr:to>
      <xdr:col>16</xdr:col>
      <xdr:colOff>190501</xdr:colOff>
      <xdr:row>25</xdr:row>
      <xdr:rowOff>5324</xdr:rowOff>
    </xdr:to>
    <xdr:cxnSp macro="">
      <xdr:nvCxnSpPr>
        <xdr:cNvPr id="55" name="꺾인 연결선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CxnSpPr>
          <a:stCxn id="5" idx="2"/>
          <a:endCxn id="104" idx="6"/>
        </xdr:cNvCxnSpPr>
      </xdr:nvCxnSpPr>
      <xdr:spPr>
        <a:xfrm rot="10800000" flipV="1">
          <a:off x="1248901" y="3120000"/>
          <a:ext cx="2627775" cy="2552699"/>
        </a:xfrm>
        <a:prstGeom prst="bentConnector3">
          <a:avLst>
            <a:gd name="adj1" fmla="val 71024"/>
          </a:avLst>
        </a:prstGeom>
        <a:ln w="15875">
          <a:solidFill>
            <a:schemeClr val="bg1">
              <a:lumMod val="50000"/>
            </a:schemeClr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219075</xdr:colOff>
      <xdr:row>14</xdr:row>
      <xdr:rowOff>161925</xdr:rowOff>
    </xdr:from>
    <xdr:to>
      <xdr:col>14</xdr:col>
      <xdr:colOff>11563</xdr:colOff>
      <xdr:row>15</xdr:row>
      <xdr:rowOff>221115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GrpSpPr/>
      </xdr:nvGrpSpPr>
      <xdr:grpSpPr>
        <a:xfrm>
          <a:off x="2419350" y="3686175"/>
          <a:ext cx="783088" cy="297315"/>
          <a:chOff x="3457575" y="3619500"/>
          <a:chExt cx="783088" cy="297315"/>
        </a:xfrm>
      </xdr:grpSpPr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3457575" y="3619500"/>
            <a:ext cx="704850" cy="266700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WMS I/F</a:t>
            </a:r>
            <a:endParaRPr lang="ko-KR" altLang="en-US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cxnSp macro="">
        <xdr:nvCxnSpPr>
          <xdr:cNvPr id="65" name="직선 화살표 연결선 64">
            <a:extLst>
              <a:ext uri="{FF2B5EF4-FFF2-40B4-BE49-F238E27FC236}">
                <a16:creationId xmlns:a16="http://schemas.microsoft.com/office/drawing/2014/main" id="{00000000-0008-0000-0400-000041000000}"/>
              </a:ext>
            </a:extLst>
          </xdr:cNvPr>
          <xdr:cNvCxnSpPr/>
        </xdr:nvCxnSpPr>
        <xdr:spPr>
          <a:xfrm flipH="1" flipV="1">
            <a:off x="4038600" y="3810000"/>
            <a:ext cx="202063" cy="106815"/>
          </a:xfrm>
          <a:prstGeom prst="straightConnector1">
            <a:avLst/>
          </a:prstGeom>
          <a:ln w="12700">
            <a:solidFill>
              <a:srgbClr val="FF0000"/>
            </a:solidFill>
            <a:prstDash val="sysDash"/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123825</xdr:colOff>
      <xdr:row>17</xdr:row>
      <xdr:rowOff>104775</xdr:rowOff>
    </xdr:from>
    <xdr:to>
      <xdr:col>27</xdr:col>
      <xdr:colOff>171450</xdr:colOff>
      <xdr:row>18</xdr:row>
      <xdr:rowOff>200025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7029450" y="4029075"/>
          <a:ext cx="1285875" cy="333375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제상품 대체 현황</a:t>
          </a:r>
        </a:p>
      </xdr:txBody>
    </xdr:sp>
    <xdr:clientData/>
  </xdr:twoCellAnchor>
  <xdr:twoCellAnchor>
    <xdr:from>
      <xdr:col>25</xdr:col>
      <xdr:colOff>23813</xdr:colOff>
      <xdr:row>14</xdr:row>
      <xdr:rowOff>76200</xdr:rowOff>
    </xdr:from>
    <xdr:to>
      <xdr:col>25</xdr:col>
      <xdr:colOff>23813</xdr:colOff>
      <xdr:row>17</xdr:row>
      <xdr:rowOff>104775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>
          <a:endCxn id="74" idx="0"/>
        </xdr:cNvCxnSpPr>
      </xdr:nvCxnSpPr>
      <xdr:spPr>
        <a:xfrm>
          <a:off x="7672388" y="3286125"/>
          <a:ext cx="0" cy="74295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12</xdr:row>
      <xdr:rowOff>142875</xdr:rowOff>
    </xdr:from>
    <xdr:to>
      <xdr:col>18</xdr:col>
      <xdr:colOff>28576</xdr:colOff>
      <xdr:row>13</xdr:row>
      <xdr:rowOff>228600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705225" y="2714625"/>
          <a:ext cx="504826" cy="32385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입고</a:t>
          </a:r>
        </a:p>
      </xdr:txBody>
    </xdr:sp>
    <xdr:clientData/>
  </xdr:twoCellAnchor>
  <xdr:twoCellAnchor>
    <xdr:from>
      <xdr:col>14</xdr:col>
      <xdr:colOff>38099</xdr:colOff>
      <xdr:row>17</xdr:row>
      <xdr:rowOff>66675</xdr:rowOff>
    </xdr:from>
    <xdr:to>
      <xdr:col>20</xdr:col>
      <xdr:colOff>28575</xdr:colOff>
      <xdr:row>18</xdr:row>
      <xdr:rowOff>152400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4962524" y="3990975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제상품 생산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/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매입 등록</a:t>
          </a:r>
        </a:p>
      </xdr:txBody>
    </xdr:sp>
    <xdr:clientData/>
  </xdr:twoCellAnchor>
  <xdr:twoCellAnchor>
    <xdr:from>
      <xdr:col>5</xdr:col>
      <xdr:colOff>0</xdr:colOff>
      <xdr:row>24</xdr:row>
      <xdr:rowOff>171450</xdr:rowOff>
    </xdr:from>
    <xdr:to>
      <xdr:col>5</xdr:col>
      <xdr:colOff>144000</xdr:colOff>
      <xdr:row>25</xdr:row>
      <xdr:rowOff>77325</xdr:rowOff>
    </xdr:to>
    <xdr:sp macro="" textlink="">
      <xdr:nvSpPr>
        <xdr:cNvPr id="104" name="순서도: 연결자 103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2695575" y="5762625"/>
          <a:ext cx="144000" cy="144000"/>
        </a:xfrm>
        <a:prstGeom prst="flowChartConnector">
          <a:avLst/>
        </a:prstGeom>
        <a:solidFill>
          <a:schemeClr val="accent3">
            <a:lumMod val="60000"/>
            <a:lumOff val="40000"/>
          </a:schemeClr>
        </a:solidFill>
        <a:ln w="25400"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3</xdr:col>
      <xdr:colOff>200025</xdr:colOff>
      <xdr:row>23</xdr:row>
      <xdr:rowOff>9525</xdr:rowOff>
    </xdr:from>
    <xdr:to>
      <xdr:col>7</xdr:col>
      <xdr:colOff>114300</xdr:colOff>
      <xdr:row>24</xdr:row>
      <xdr:rowOff>142875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809625" y="4886325"/>
          <a:ext cx="762000" cy="371475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In-Transit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10</xdr:col>
      <xdr:colOff>219075</xdr:colOff>
      <xdr:row>26</xdr:row>
      <xdr:rowOff>142875</xdr:rowOff>
    </xdr:from>
    <xdr:to>
      <xdr:col>14</xdr:col>
      <xdr:colOff>11563</xdr:colOff>
      <xdr:row>27</xdr:row>
      <xdr:rowOff>202065</xdr:rowOff>
    </xdr:to>
    <xdr:grpSp>
      <xdr:nvGrpSpPr>
        <xdr:cNvPr id="108" name="그룹 107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GrpSpPr/>
      </xdr:nvGrpSpPr>
      <xdr:grpSpPr>
        <a:xfrm>
          <a:off x="2419350" y="6524625"/>
          <a:ext cx="783088" cy="297315"/>
          <a:chOff x="3457575" y="3619500"/>
          <a:chExt cx="783088" cy="297315"/>
        </a:xfrm>
      </xdr:grpSpPr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3457575" y="3619500"/>
            <a:ext cx="704850" cy="266700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WMS I/F</a:t>
            </a:r>
            <a:endParaRPr lang="ko-KR" altLang="en-US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cxnSp macro="">
        <xdr:nvCxnSpPr>
          <xdr:cNvPr id="110" name="직선 화살표 연결선 109">
            <a:extLst>
              <a:ext uri="{FF2B5EF4-FFF2-40B4-BE49-F238E27FC236}">
                <a16:creationId xmlns:a16="http://schemas.microsoft.com/office/drawing/2014/main" id="{00000000-0008-0000-0400-00006E000000}"/>
              </a:ext>
            </a:extLst>
          </xdr:cNvPr>
          <xdr:cNvCxnSpPr/>
        </xdr:nvCxnSpPr>
        <xdr:spPr>
          <a:xfrm flipH="1" flipV="1">
            <a:off x="4038600" y="3810000"/>
            <a:ext cx="202063" cy="106815"/>
          </a:xfrm>
          <a:prstGeom prst="straightConnector1">
            <a:avLst/>
          </a:prstGeom>
          <a:ln w="12700">
            <a:solidFill>
              <a:srgbClr val="FF0000"/>
            </a:solidFill>
            <a:prstDash val="sysDash"/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38099</xdr:colOff>
      <xdr:row>27</xdr:row>
      <xdr:rowOff>66675</xdr:rowOff>
    </xdr:from>
    <xdr:to>
      <xdr:col>20</xdr:col>
      <xdr:colOff>28575</xdr:colOff>
      <xdr:row>28</xdr:row>
      <xdr:rowOff>152400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228974" y="6134100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On</a:t>
          </a:r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반품 입고 현황</a:t>
          </a:r>
        </a:p>
      </xdr:txBody>
    </xdr:sp>
    <xdr:clientData/>
  </xdr:twoCellAnchor>
  <xdr:twoCellAnchor>
    <xdr:from>
      <xdr:col>10</xdr:col>
      <xdr:colOff>19050</xdr:colOff>
      <xdr:row>20</xdr:row>
      <xdr:rowOff>209549</xdr:rowOff>
    </xdr:from>
    <xdr:to>
      <xdr:col>13</xdr:col>
      <xdr:colOff>133350</xdr:colOff>
      <xdr:row>22</xdr:row>
      <xdr:rowOff>56324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952875" y="4848224"/>
          <a:ext cx="857250" cy="323025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[ 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재고이동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 ]</a:t>
          </a:r>
          <a:endParaRPr lang="ko-KR" altLang="en-US" sz="900" b="0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10</xdr:col>
      <xdr:colOff>19050</xdr:colOff>
      <xdr:row>16</xdr:row>
      <xdr:rowOff>76199</xdr:rowOff>
    </xdr:from>
    <xdr:to>
      <xdr:col>13</xdr:col>
      <xdr:colOff>133350</xdr:colOff>
      <xdr:row>17</xdr:row>
      <xdr:rowOff>161099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952875" y="3762374"/>
          <a:ext cx="857250" cy="323025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[ 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순입고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 ]</a:t>
          </a:r>
          <a:endParaRPr lang="ko-KR" altLang="en-US" sz="900" b="0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10</xdr:col>
      <xdr:colOff>219075</xdr:colOff>
      <xdr:row>22</xdr:row>
      <xdr:rowOff>152400</xdr:rowOff>
    </xdr:from>
    <xdr:to>
      <xdr:col>14</xdr:col>
      <xdr:colOff>11563</xdr:colOff>
      <xdr:row>23</xdr:row>
      <xdr:rowOff>211590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GrpSpPr/>
      </xdr:nvGrpSpPr>
      <xdr:grpSpPr>
        <a:xfrm>
          <a:off x="2419350" y="5581650"/>
          <a:ext cx="783088" cy="297315"/>
          <a:chOff x="3457575" y="3619500"/>
          <a:chExt cx="783088" cy="297315"/>
        </a:xfrm>
      </xdr:grpSpPr>
      <xdr:sp macro="" textlink="">
        <xdr:nvSpPr>
          <xdr:cNvPr id="120" name="직사각형 119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3457575" y="3619500"/>
            <a:ext cx="704850" cy="266700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WMS I/F</a:t>
            </a:r>
            <a:endParaRPr lang="ko-KR" altLang="en-US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cxnSp macro="">
        <xdr:nvCxnSpPr>
          <xdr:cNvPr id="121" name="직선 화살표 연결선 120">
            <a:extLst>
              <a:ext uri="{FF2B5EF4-FFF2-40B4-BE49-F238E27FC236}">
                <a16:creationId xmlns:a16="http://schemas.microsoft.com/office/drawing/2014/main" id="{00000000-0008-0000-0400-000079000000}"/>
              </a:ext>
            </a:extLst>
          </xdr:cNvPr>
          <xdr:cNvCxnSpPr/>
        </xdr:nvCxnSpPr>
        <xdr:spPr>
          <a:xfrm flipH="1" flipV="1">
            <a:off x="4038600" y="3810000"/>
            <a:ext cx="202063" cy="106815"/>
          </a:xfrm>
          <a:prstGeom prst="straightConnector1">
            <a:avLst/>
          </a:prstGeom>
          <a:ln w="12700">
            <a:solidFill>
              <a:srgbClr val="FF0000"/>
            </a:solidFill>
            <a:prstDash val="sysDash"/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38099</xdr:colOff>
      <xdr:row>23</xdr:row>
      <xdr:rowOff>76200</xdr:rowOff>
    </xdr:from>
    <xdr:to>
      <xdr:col>20</xdr:col>
      <xdr:colOff>28575</xdr:colOff>
      <xdr:row>24</xdr:row>
      <xdr:rowOff>161925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4962524" y="5429250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센터간 제상품 입고 현황</a:t>
          </a:r>
        </a:p>
      </xdr:txBody>
    </xdr:sp>
    <xdr:clientData/>
  </xdr:twoCellAnchor>
  <xdr:twoCellAnchor>
    <xdr:from>
      <xdr:col>10</xdr:col>
      <xdr:colOff>219075</xdr:colOff>
      <xdr:row>24</xdr:row>
      <xdr:rowOff>161925</xdr:rowOff>
    </xdr:from>
    <xdr:to>
      <xdr:col>14</xdr:col>
      <xdr:colOff>11563</xdr:colOff>
      <xdr:row>25</xdr:row>
      <xdr:rowOff>221115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GrpSpPr/>
      </xdr:nvGrpSpPr>
      <xdr:grpSpPr>
        <a:xfrm>
          <a:off x="2419350" y="6067425"/>
          <a:ext cx="783088" cy="297315"/>
          <a:chOff x="3457575" y="3619500"/>
          <a:chExt cx="783088" cy="297315"/>
        </a:xfrm>
      </xdr:grpSpPr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3457575" y="3619500"/>
            <a:ext cx="704850" cy="266700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WMS I/F</a:t>
            </a:r>
            <a:endParaRPr lang="ko-KR" altLang="en-US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cxnSp macro="">
        <xdr:nvCxnSpPr>
          <xdr:cNvPr id="125" name="직선 화살표 연결선 124">
            <a:extLst>
              <a:ext uri="{FF2B5EF4-FFF2-40B4-BE49-F238E27FC236}">
                <a16:creationId xmlns:a16="http://schemas.microsoft.com/office/drawing/2014/main" id="{00000000-0008-0000-0400-00007D000000}"/>
              </a:ext>
            </a:extLst>
          </xdr:cNvPr>
          <xdr:cNvCxnSpPr/>
        </xdr:nvCxnSpPr>
        <xdr:spPr>
          <a:xfrm flipH="1" flipV="1">
            <a:off x="4038600" y="3810000"/>
            <a:ext cx="202063" cy="106815"/>
          </a:xfrm>
          <a:prstGeom prst="straightConnector1">
            <a:avLst/>
          </a:prstGeom>
          <a:ln w="12700">
            <a:solidFill>
              <a:srgbClr val="FF0000"/>
            </a:solidFill>
            <a:prstDash val="sysDash"/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38099</xdr:colOff>
      <xdr:row>25</xdr:row>
      <xdr:rowOff>85725</xdr:rowOff>
    </xdr:from>
    <xdr:to>
      <xdr:col>20</xdr:col>
      <xdr:colOff>28575</xdr:colOff>
      <xdr:row>26</xdr:row>
      <xdr:rowOff>171450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4962524" y="5915025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Off</a:t>
          </a:r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반품 입고 현황</a:t>
          </a:r>
        </a:p>
      </xdr:txBody>
    </xdr:sp>
    <xdr:clientData/>
  </xdr:twoCellAnchor>
  <xdr:twoCellAnchor>
    <xdr:from>
      <xdr:col>21</xdr:col>
      <xdr:colOff>47625</xdr:colOff>
      <xdr:row>16</xdr:row>
      <xdr:rowOff>28575</xdr:rowOff>
    </xdr:from>
    <xdr:to>
      <xdr:col>24</xdr:col>
      <xdr:colOff>87763</xdr:colOff>
      <xdr:row>17</xdr:row>
      <xdr:rowOff>87765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GrpSpPr/>
      </xdr:nvGrpSpPr>
      <xdr:grpSpPr>
        <a:xfrm>
          <a:off x="4972050" y="4029075"/>
          <a:ext cx="783088" cy="297315"/>
          <a:chOff x="3457575" y="3619500"/>
          <a:chExt cx="783088" cy="297315"/>
        </a:xfrm>
      </xdr:grpSpPr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3457575" y="3619500"/>
            <a:ext cx="704850" cy="266700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WMS I/F</a:t>
            </a:r>
            <a:endParaRPr lang="ko-KR" altLang="en-US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cxnSp macro="">
        <xdr:nvCxnSpPr>
          <xdr:cNvPr id="136" name="직선 화살표 연결선 135">
            <a:extLst>
              <a:ext uri="{FF2B5EF4-FFF2-40B4-BE49-F238E27FC236}">
                <a16:creationId xmlns:a16="http://schemas.microsoft.com/office/drawing/2014/main" id="{00000000-0008-0000-0400-000088000000}"/>
              </a:ext>
            </a:extLst>
          </xdr:cNvPr>
          <xdr:cNvCxnSpPr/>
        </xdr:nvCxnSpPr>
        <xdr:spPr>
          <a:xfrm flipH="1" flipV="1">
            <a:off x="4038600" y="3810000"/>
            <a:ext cx="202063" cy="106815"/>
          </a:xfrm>
          <a:prstGeom prst="straightConnector1">
            <a:avLst/>
          </a:prstGeom>
          <a:ln w="12700">
            <a:solidFill>
              <a:srgbClr val="FF0000"/>
            </a:solidFill>
            <a:prstDash val="sysDash"/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47625</xdr:colOff>
      <xdr:row>12</xdr:row>
      <xdr:rowOff>142875</xdr:rowOff>
    </xdr:from>
    <xdr:to>
      <xdr:col>46</xdr:col>
      <xdr:colOff>57151</xdr:colOff>
      <xdr:row>13</xdr:row>
      <xdr:rowOff>228600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0915650" y="2714625"/>
          <a:ext cx="504826" cy="32385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출고</a:t>
          </a:r>
        </a:p>
      </xdr:txBody>
    </xdr:sp>
    <xdr:clientData/>
  </xdr:twoCellAnchor>
  <xdr:twoCellAnchor>
    <xdr:from>
      <xdr:col>44</xdr:col>
      <xdr:colOff>209550</xdr:colOff>
      <xdr:row>14</xdr:row>
      <xdr:rowOff>1</xdr:rowOff>
    </xdr:from>
    <xdr:to>
      <xdr:col>45</xdr:col>
      <xdr:colOff>105900</xdr:colOff>
      <xdr:row>14</xdr:row>
      <xdr:rowOff>144001</xdr:rowOff>
    </xdr:to>
    <xdr:sp macro="" textlink="">
      <xdr:nvSpPr>
        <xdr:cNvPr id="151" name="순서도: 연결자 150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11077575" y="3048001"/>
          <a:ext cx="144000" cy="144000"/>
        </a:xfrm>
        <a:prstGeom prst="flowChartConnector">
          <a:avLst/>
        </a:prstGeom>
        <a:solidFill>
          <a:schemeClr val="tx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33</xdr:col>
      <xdr:colOff>57149</xdr:colOff>
      <xdr:row>12</xdr:row>
      <xdr:rowOff>142875</xdr:rowOff>
    </xdr:from>
    <xdr:to>
      <xdr:col>37</xdr:col>
      <xdr:colOff>66674</xdr:colOff>
      <xdr:row>13</xdr:row>
      <xdr:rowOff>228600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7953374" y="2714625"/>
          <a:ext cx="1000125" cy="32385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출고요청</a:t>
          </a:r>
        </a:p>
      </xdr:txBody>
    </xdr:sp>
    <xdr:clientData/>
  </xdr:twoCellAnchor>
  <xdr:twoCellAnchor>
    <xdr:from>
      <xdr:col>35</xdr:col>
      <xdr:colOff>134475</xdr:colOff>
      <xdr:row>14</xdr:row>
      <xdr:rowOff>72001</xdr:rowOff>
    </xdr:from>
    <xdr:to>
      <xdr:col>44</xdr:col>
      <xdr:colOff>209550</xdr:colOff>
      <xdr:row>14</xdr:row>
      <xdr:rowOff>72001</xdr:rowOff>
    </xdr:to>
    <xdr:cxnSp macro="">
      <xdr:nvCxnSpPr>
        <xdr:cNvPr id="153" name="직선 연결선 152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>
          <a:stCxn id="9" idx="6"/>
          <a:endCxn id="151" idx="2"/>
        </xdr:cNvCxnSpPr>
      </xdr:nvCxnSpPr>
      <xdr:spPr>
        <a:xfrm>
          <a:off x="8526000" y="3120001"/>
          <a:ext cx="2551575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95249</xdr:colOff>
      <xdr:row>15</xdr:row>
      <xdr:rowOff>85725</xdr:rowOff>
    </xdr:from>
    <xdr:to>
      <xdr:col>38</xdr:col>
      <xdr:colOff>85725</xdr:colOff>
      <xdr:row>16</xdr:row>
      <xdr:rowOff>171450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9477374" y="3533775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제상품 초도 출고 요청</a:t>
          </a:r>
        </a:p>
      </xdr:txBody>
    </xdr:sp>
    <xdr:clientData/>
  </xdr:twoCellAnchor>
  <xdr:twoCellAnchor>
    <xdr:from>
      <xdr:col>32</xdr:col>
      <xdr:colOff>95249</xdr:colOff>
      <xdr:row>17</xdr:row>
      <xdr:rowOff>95250</xdr:rowOff>
    </xdr:from>
    <xdr:to>
      <xdr:col>38</xdr:col>
      <xdr:colOff>85725</xdr:colOff>
      <xdr:row>18</xdr:row>
      <xdr:rowOff>180975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9477374" y="4019550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제상품 반응 출고 요청</a:t>
          </a:r>
        </a:p>
      </xdr:txBody>
    </xdr:sp>
    <xdr:clientData/>
  </xdr:twoCellAnchor>
  <xdr:twoCellAnchor>
    <xdr:from>
      <xdr:col>32</xdr:col>
      <xdr:colOff>95249</xdr:colOff>
      <xdr:row>28</xdr:row>
      <xdr:rowOff>95250</xdr:rowOff>
    </xdr:from>
    <xdr:to>
      <xdr:col>38</xdr:col>
      <xdr:colOff>85725</xdr:colOff>
      <xdr:row>29</xdr:row>
      <xdr:rowOff>180975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7743824" y="6477000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자가소모창고 출고 요청</a:t>
          </a:r>
        </a:p>
      </xdr:txBody>
    </xdr:sp>
    <xdr:clientData/>
  </xdr:twoCellAnchor>
  <xdr:twoCellAnchor>
    <xdr:from>
      <xdr:col>32</xdr:col>
      <xdr:colOff>95249</xdr:colOff>
      <xdr:row>30</xdr:row>
      <xdr:rowOff>95250</xdr:rowOff>
    </xdr:from>
    <xdr:to>
      <xdr:col>38</xdr:col>
      <xdr:colOff>85725</xdr:colOff>
      <xdr:row>31</xdr:row>
      <xdr:rowOff>180975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7743824" y="6953250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센터간 제상품 출고 요청</a:t>
          </a:r>
        </a:p>
      </xdr:txBody>
    </xdr:sp>
    <xdr:clientData/>
  </xdr:twoCellAnchor>
  <xdr:twoCellAnchor>
    <xdr:from>
      <xdr:col>32</xdr:col>
      <xdr:colOff>95249</xdr:colOff>
      <xdr:row>19</xdr:row>
      <xdr:rowOff>85725</xdr:rowOff>
    </xdr:from>
    <xdr:to>
      <xdr:col>38</xdr:col>
      <xdr:colOff>85725</xdr:colOff>
      <xdr:row>20</xdr:row>
      <xdr:rowOff>171450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9477374" y="4486275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FF0000"/>
              </a:solidFill>
              <a:latin typeface="+mn-ea"/>
              <a:ea typeface="+mn-ea"/>
              <a:cs typeface="JBold" pitchFamily="18" charset="-127"/>
            </a:rPr>
            <a:t>온라인 주문 출고 요청</a:t>
          </a:r>
        </a:p>
      </xdr:txBody>
    </xdr:sp>
    <xdr:clientData/>
  </xdr:twoCellAnchor>
  <xdr:twoCellAnchor>
    <xdr:from>
      <xdr:col>29</xdr:col>
      <xdr:colOff>57150</xdr:colOff>
      <xdr:row>18</xdr:row>
      <xdr:rowOff>190500</xdr:rowOff>
    </xdr:from>
    <xdr:to>
      <xdr:col>32</xdr:col>
      <xdr:colOff>97288</xdr:colOff>
      <xdr:row>20</xdr:row>
      <xdr:rowOff>11565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GrpSpPr/>
      </xdr:nvGrpSpPr>
      <xdr:grpSpPr>
        <a:xfrm>
          <a:off x="6962775" y="4667250"/>
          <a:ext cx="783088" cy="297315"/>
          <a:chOff x="3457575" y="3619500"/>
          <a:chExt cx="783088" cy="297315"/>
        </a:xfrm>
      </xdr:grpSpPr>
      <xdr:sp macro="" textlink="">
        <xdr:nvSpPr>
          <xdr:cNvPr id="165" name="직사각형 164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3457575" y="3619500"/>
            <a:ext cx="704850" cy="266700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WMS I/F</a:t>
            </a:r>
            <a:endParaRPr lang="ko-KR" altLang="en-US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cxnSp macro="">
        <xdr:nvCxnSpPr>
          <xdr:cNvPr id="166" name="직선 화살표 연결선 165">
            <a:extLst>
              <a:ext uri="{FF2B5EF4-FFF2-40B4-BE49-F238E27FC236}">
                <a16:creationId xmlns:a16="http://schemas.microsoft.com/office/drawing/2014/main" id="{00000000-0008-0000-0400-0000A6000000}"/>
              </a:ext>
            </a:extLst>
          </xdr:cNvPr>
          <xdr:cNvCxnSpPr/>
        </xdr:nvCxnSpPr>
        <xdr:spPr>
          <a:xfrm flipH="1" flipV="1">
            <a:off x="4038600" y="3810000"/>
            <a:ext cx="202063" cy="106815"/>
          </a:xfrm>
          <a:prstGeom prst="straightConnector1">
            <a:avLst/>
          </a:prstGeom>
          <a:ln w="12700">
            <a:solidFill>
              <a:srgbClr val="FF0000"/>
            </a:solidFill>
            <a:prstDash val="sysDash"/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190500</xdr:colOff>
      <xdr:row>17</xdr:row>
      <xdr:rowOff>85724</xdr:rowOff>
    </xdr:from>
    <xdr:to>
      <xdr:col>32</xdr:col>
      <xdr:colOff>57150</xdr:colOff>
      <xdr:row>18</xdr:row>
      <xdr:rowOff>170624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8582025" y="4010024"/>
          <a:ext cx="857250" cy="323025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[ 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매장출고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 ]</a:t>
          </a:r>
          <a:endParaRPr lang="ko-KR" altLang="en-US" sz="900" b="0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28</xdr:col>
      <xdr:colOff>190500</xdr:colOff>
      <xdr:row>29</xdr:row>
      <xdr:rowOff>104774</xdr:rowOff>
    </xdr:from>
    <xdr:to>
      <xdr:col>32</xdr:col>
      <xdr:colOff>57150</xdr:colOff>
      <xdr:row>30</xdr:row>
      <xdr:rowOff>189674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6848475" y="6724649"/>
          <a:ext cx="857250" cy="323025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[ 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재고이동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 ]</a:t>
          </a:r>
          <a:endParaRPr lang="ko-KR" altLang="en-US" sz="900" b="0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32</xdr:col>
      <xdr:colOff>95249</xdr:colOff>
      <xdr:row>23</xdr:row>
      <xdr:rowOff>76200</xdr:rowOff>
    </xdr:from>
    <xdr:to>
      <xdr:col>38</xdr:col>
      <xdr:colOff>85725</xdr:colOff>
      <xdr:row>24</xdr:row>
      <xdr:rowOff>161925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7743824" y="5743575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판부자재 출고 요청</a:t>
          </a:r>
        </a:p>
      </xdr:txBody>
    </xdr:sp>
    <xdr:clientData/>
  </xdr:twoCellAnchor>
  <xdr:twoCellAnchor>
    <xdr:from>
      <xdr:col>41</xdr:col>
      <xdr:colOff>247649</xdr:colOff>
      <xdr:row>21</xdr:row>
      <xdr:rowOff>76200</xdr:rowOff>
    </xdr:from>
    <xdr:to>
      <xdr:col>48</xdr:col>
      <xdr:colOff>104775</xdr:colOff>
      <xdr:row>22</xdr:row>
      <xdr:rowOff>161925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0125074" y="4791075"/>
          <a:ext cx="1590676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매장별 제상품 출고 현황</a:t>
          </a:r>
          <a:endParaRPr lang="ko-KR" altLang="en-US" sz="900" b="0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41</xdr:col>
      <xdr:colOff>247649</xdr:colOff>
      <xdr:row>27</xdr:row>
      <xdr:rowOff>85725</xdr:rowOff>
    </xdr:from>
    <xdr:to>
      <xdr:col>48</xdr:col>
      <xdr:colOff>104775</xdr:colOff>
      <xdr:row>28</xdr:row>
      <xdr:rowOff>171450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0125074" y="6229350"/>
          <a:ext cx="159067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판부자재 출고 등록</a:t>
          </a:r>
        </a:p>
      </xdr:txBody>
    </xdr:sp>
    <xdr:clientData/>
  </xdr:twoCellAnchor>
  <xdr:twoCellAnchor>
    <xdr:from>
      <xdr:col>41</xdr:col>
      <xdr:colOff>247649</xdr:colOff>
      <xdr:row>25</xdr:row>
      <xdr:rowOff>95250</xdr:rowOff>
    </xdr:from>
    <xdr:to>
      <xdr:col>48</xdr:col>
      <xdr:colOff>104775</xdr:colOff>
      <xdr:row>26</xdr:row>
      <xdr:rowOff>180975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0125074" y="5762625"/>
          <a:ext cx="1590676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온라인 주문 출고 현황</a:t>
          </a:r>
          <a:endParaRPr lang="ko-KR" altLang="en-US" sz="900" b="0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41</xdr:col>
      <xdr:colOff>247649</xdr:colOff>
      <xdr:row>23</xdr:row>
      <xdr:rowOff>85725</xdr:rowOff>
    </xdr:from>
    <xdr:to>
      <xdr:col>48</xdr:col>
      <xdr:colOff>104775</xdr:colOff>
      <xdr:row>24</xdr:row>
      <xdr:rowOff>171450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0125074" y="5276850"/>
          <a:ext cx="1590676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센터간 재상품 출고 현황</a:t>
          </a:r>
          <a:endParaRPr lang="ko-KR" altLang="en-US" sz="900" b="0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52</xdr:col>
      <xdr:colOff>95250</xdr:colOff>
      <xdr:row>21</xdr:row>
      <xdr:rowOff>19050</xdr:rowOff>
    </xdr:from>
    <xdr:to>
      <xdr:col>52</xdr:col>
      <xdr:colOff>239250</xdr:colOff>
      <xdr:row>21</xdr:row>
      <xdr:rowOff>163050</xdr:rowOff>
    </xdr:to>
    <xdr:sp macro="" textlink="">
      <xdr:nvSpPr>
        <xdr:cNvPr id="180" name="순서도: 연결자 179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12944475" y="4733925"/>
          <a:ext cx="14400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39</xdr:col>
      <xdr:colOff>0</xdr:colOff>
      <xdr:row>20</xdr:row>
      <xdr:rowOff>133350</xdr:rowOff>
    </xdr:from>
    <xdr:to>
      <xdr:col>41</xdr:col>
      <xdr:colOff>230638</xdr:colOff>
      <xdr:row>21</xdr:row>
      <xdr:rowOff>192540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GrpSpPr/>
      </xdr:nvGrpSpPr>
      <xdr:grpSpPr>
        <a:xfrm>
          <a:off x="9382125" y="5086350"/>
          <a:ext cx="725938" cy="297315"/>
          <a:chOff x="3457575" y="3619500"/>
          <a:chExt cx="783088" cy="297315"/>
        </a:xfrm>
      </xdr:grpSpPr>
      <xdr:sp macro="" textlink="">
        <xdr:nvSpPr>
          <xdr:cNvPr id="183" name="직사각형 182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3457575" y="3619500"/>
            <a:ext cx="704850" cy="266700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WMS I/F</a:t>
            </a:r>
            <a:endParaRPr lang="ko-KR" altLang="en-US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cxnSp macro="">
        <xdr:nvCxnSpPr>
          <xdr:cNvPr id="184" name="직선 화살표 연결선 183">
            <a:extLst>
              <a:ext uri="{FF2B5EF4-FFF2-40B4-BE49-F238E27FC236}">
                <a16:creationId xmlns:a16="http://schemas.microsoft.com/office/drawing/2014/main" id="{00000000-0008-0000-0400-0000B8000000}"/>
              </a:ext>
            </a:extLst>
          </xdr:cNvPr>
          <xdr:cNvCxnSpPr/>
        </xdr:nvCxnSpPr>
        <xdr:spPr>
          <a:xfrm flipH="1" flipV="1">
            <a:off x="4038600" y="3810000"/>
            <a:ext cx="202063" cy="106815"/>
          </a:xfrm>
          <a:prstGeom prst="straightConnector1">
            <a:avLst/>
          </a:prstGeom>
          <a:ln w="12700">
            <a:solidFill>
              <a:srgbClr val="FF0000"/>
            </a:solidFill>
            <a:prstDash val="sysDash"/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0</xdr:colOff>
      <xdr:row>24</xdr:row>
      <xdr:rowOff>171450</xdr:rowOff>
    </xdr:from>
    <xdr:to>
      <xdr:col>41</xdr:col>
      <xdr:colOff>230638</xdr:colOff>
      <xdr:row>25</xdr:row>
      <xdr:rowOff>230640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GrpSpPr/>
      </xdr:nvGrpSpPr>
      <xdr:grpSpPr>
        <a:xfrm>
          <a:off x="9382125" y="6076950"/>
          <a:ext cx="725938" cy="297315"/>
          <a:chOff x="3457575" y="3619500"/>
          <a:chExt cx="783088" cy="297315"/>
        </a:xfrm>
      </xdr:grpSpPr>
      <xdr:sp macro="" textlink="">
        <xdr:nvSpPr>
          <xdr:cNvPr id="189" name="직사각형 188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3457575" y="3619500"/>
            <a:ext cx="704850" cy="266700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WMS I/F</a:t>
            </a:r>
            <a:endParaRPr lang="ko-KR" altLang="en-US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cxnSp macro="">
        <xdr:nvCxnSpPr>
          <xdr:cNvPr id="190" name="직선 화살표 연결선 189">
            <a:extLst>
              <a:ext uri="{FF2B5EF4-FFF2-40B4-BE49-F238E27FC236}">
                <a16:creationId xmlns:a16="http://schemas.microsoft.com/office/drawing/2014/main" id="{00000000-0008-0000-0400-0000BE000000}"/>
              </a:ext>
            </a:extLst>
          </xdr:cNvPr>
          <xdr:cNvCxnSpPr/>
        </xdr:nvCxnSpPr>
        <xdr:spPr>
          <a:xfrm flipH="1" flipV="1">
            <a:off x="4038600" y="3810000"/>
            <a:ext cx="202063" cy="106815"/>
          </a:xfrm>
          <a:prstGeom prst="straightConnector1">
            <a:avLst/>
          </a:prstGeom>
          <a:ln w="12700">
            <a:solidFill>
              <a:srgbClr val="FF0000"/>
            </a:solidFill>
            <a:prstDash val="sysDash"/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0</xdr:colOff>
      <xdr:row>22</xdr:row>
      <xdr:rowOff>200025</xdr:rowOff>
    </xdr:from>
    <xdr:to>
      <xdr:col>41</xdr:col>
      <xdr:colOff>230638</xdr:colOff>
      <xdr:row>24</xdr:row>
      <xdr:rowOff>21090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GrpSpPr/>
      </xdr:nvGrpSpPr>
      <xdr:grpSpPr>
        <a:xfrm>
          <a:off x="9382125" y="5629275"/>
          <a:ext cx="725938" cy="297315"/>
          <a:chOff x="3457575" y="3619500"/>
          <a:chExt cx="783088" cy="297315"/>
        </a:xfrm>
      </xdr:grpSpPr>
      <xdr:sp macro="" textlink="">
        <xdr:nvSpPr>
          <xdr:cNvPr id="192" name="직사각형 191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3457575" y="3619500"/>
            <a:ext cx="704850" cy="266700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WMS I/F</a:t>
            </a:r>
            <a:endParaRPr lang="ko-KR" altLang="en-US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cxnSp macro="">
        <xdr:nvCxnSpPr>
          <xdr:cNvPr id="193" name="직선 화살표 연결선 192">
            <a:extLst>
              <a:ext uri="{FF2B5EF4-FFF2-40B4-BE49-F238E27FC236}">
                <a16:creationId xmlns:a16="http://schemas.microsoft.com/office/drawing/2014/main" id="{00000000-0008-0000-0400-0000C1000000}"/>
              </a:ext>
            </a:extLst>
          </xdr:cNvPr>
          <xdr:cNvCxnSpPr/>
        </xdr:nvCxnSpPr>
        <xdr:spPr>
          <a:xfrm flipH="1" flipV="1">
            <a:off x="4038600" y="3810000"/>
            <a:ext cx="202063" cy="106815"/>
          </a:xfrm>
          <a:prstGeom prst="straightConnector1">
            <a:avLst/>
          </a:prstGeom>
          <a:ln w="12700">
            <a:solidFill>
              <a:srgbClr val="FF0000"/>
            </a:solidFill>
            <a:prstDash val="sysDash"/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22</xdr:row>
      <xdr:rowOff>133350</xdr:rowOff>
    </xdr:from>
    <xdr:to>
      <xdr:col>45</xdr:col>
      <xdr:colOff>114300</xdr:colOff>
      <xdr:row>23</xdr:row>
      <xdr:rowOff>104775</xdr:rowOff>
    </xdr:to>
    <xdr:sp macro="" textlink="">
      <xdr:nvSpPr>
        <xdr:cNvPr id="195" name="위쪽/아래쪽 화살표 194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/>
      </xdr:nvSpPr>
      <xdr:spPr>
        <a:xfrm>
          <a:off x="10868025" y="5086350"/>
          <a:ext cx="114300" cy="209550"/>
        </a:xfrm>
        <a:prstGeom prst="up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0</xdr:colOff>
      <xdr:row>24</xdr:row>
      <xdr:rowOff>142875</xdr:rowOff>
    </xdr:from>
    <xdr:to>
      <xdr:col>45</xdr:col>
      <xdr:colOff>114300</xdr:colOff>
      <xdr:row>25</xdr:row>
      <xdr:rowOff>114300</xdr:rowOff>
    </xdr:to>
    <xdr:sp macro="" textlink="">
      <xdr:nvSpPr>
        <xdr:cNvPr id="196" name="위쪽/아래쪽 화살표 195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SpPr/>
      </xdr:nvSpPr>
      <xdr:spPr>
        <a:xfrm>
          <a:off x="10868025" y="5572125"/>
          <a:ext cx="114300" cy="209550"/>
        </a:xfrm>
        <a:prstGeom prst="up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133350</xdr:colOff>
      <xdr:row>19</xdr:row>
      <xdr:rowOff>152400</xdr:rowOff>
    </xdr:from>
    <xdr:to>
      <xdr:col>54</xdr:col>
      <xdr:colOff>190500</xdr:colOff>
      <xdr:row>20</xdr:row>
      <xdr:rowOff>212092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2487275" y="4391025"/>
          <a:ext cx="1047750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자가소모창고</a:t>
          </a:r>
        </a:p>
      </xdr:txBody>
    </xdr:sp>
    <xdr:clientData/>
  </xdr:twoCellAnchor>
  <xdr:twoCellAnchor>
    <xdr:from>
      <xdr:col>45</xdr:col>
      <xdr:colOff>105900</xdr:colOff>
      <xdr:row>14</xdr:row>
      <xdr:rowOff>72000</xdr:rowOff>
    </xdr:from>
    <xdr:to>
      <xdr:col>52</xdr:col>
      <xdr:colOff>152400</xdr:colOff>
      <xdr:row>14</xdr:row>
      <xdr:rowOff>72001</xdr:rowOff>
    </xdr:to>
    <xdr:cxnSp macro="">
      <xdr:nvCxnSpPr>
        <xdr:cNvPr id="198" name="직선 연결선 197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>
          <a:stCxn id="151" idx="6"/>
          <a:endCxn id="279" idx="2"/>
        </xdr:cNvCxnSpPr>
      </xdr:nvCxnSpPr>
      <xdr:spPr>
        <a:xfrm flipV="1">
          <a:off x="11221575" y="3120000"/>
          <a:ext cx="1780050" cy="1"/>
        </a:xfrm>
        <a:prstGeom prst="line">
          <a:avLst/>
        </a:prstGeom>
        <a:ln w="15875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105900</xdr:colOff>
      <xdr:row>14</xdr:row>
      <xdr:rowOff>72001</xdr:rowOff>
    </xdr:from>
    <xdr:to>
      <xdr:col>52</xdr:col>
      <xdr:colOff>95250</xdr:colOff>
      <xdr:row>21</xdr:row>
      <xdr:rowOff>91050</xdr:rowOff>
    </xdr:to>
    <xdr:cxnSp macro="">
      <xdr:nvCxnSpPr>
        <xdr:cNvPr id="202" name="꺾인 연결선 201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CxnSpPr>
          <a:stCxn id="180" idx="2"/>
          <a:endCxn id="151" idx="6"/>
        </xdr:cNvCxnSpPr>
      </xdr:nvCxnSpPr>
      <xdr:spPr>
        <a:xfrm rot="10800000">
          <a:off x="11221575" y="3120001"/>
          <a:ext cx="1722900" cy="1685924"/>
        </a:xfrm>
        <a:prstGeom prst="bentConnector3">
          <a:avLst>
            <a:gd name="adj1" fmla="val 28439"/>
          </a:avLst>
        </a:prstGeom>
        <a:ln w="15875">
          <a:solidFill>
            <a:schemeClr val="bg1">
              <a:lumMod val="50000"/>
            </a:schemeClr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200025</xdr:colOff>
      <xdr:row>24</xdr:row>
      <xdr:rowOff>142875</xdr:rowOff>
    </xdr:from>
    <xdr:to>
      <xdr:col>17</xdr:col>
      <xdr:colOff>66675</xdr:colOff>
      <xdr:row>25</xdr:row>
      <xdr:rowOff>114300</xdr:rowOff>
    </xdr:to>
    <xdr:sp macro="" textlink="">
      <xdr:nvSpPr>
        <xdr:cNvPr id="81" name="위쪽/아래쪽 화살표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3886200" y="5019675"/>
          <a:ext cx="114300" cy="209550"/>
        </a:xfrm>
        <a:prstGeom prst="up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38099</xdr:colOff>
      <xdr:row>19</xdr:row>
      <xdr:rowOff>38100</xdr:rowOff>
    </xdr:from>
    <xdr:to>
      <xdr:col>20</xdr:col>
      <xdr:colOff>28575</xdr:colOff>
      <xdr:row>20</xdr:row>
      <xdr:rowOff>123825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228974" y="3724275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판부자재 입고 등록</a:t>
          </a:r>
        </a:p>
      </xdr:txBody>
    </xdr:sp>
    <xdr:clientData/>
  </xdr:twoCellAnchor>
  <xdr:twoCellAnchor>
    <xdr:from>
      <xdr:col>7</xdr:col>
      <xdr:colOff>95250</xdr:colOff>
      <xdr:row>28</xdr:row>
      <xdr:rowOff>133350</xdr:rowOff>
    </xdr:from>
    <xdr:to>
      <xdr:col>7</xdr:col>
      <xdr:colOff>239250</xdr:colOff>
      <xdr:row>29</xdr:row>
      <xdr:rowOff>39225</xdr:rowOff>
    </xdr:to>
    <xdr:sp macro="" textlink="">
      <xdr:nvSpPr>
        <xdr:cNvPr id="87" name="순서도: 연결자 86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1552575" y="5962650"/>
          <a:ext cx="14400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5</xdr:col>
      <xdr:colOff>57149</xdr:colOff>
      <xdr:row>27</xdr:row>
      <xdr:rowOff>57150</xdr:rowOff>
    </xdr:from>
    <xdr:to>
      <xdr:col>9</xdr:col>
      <xdr:colOff>133349</xdr:colOff>
      <xdr:row>28</xdr:row>
      <xdr:rowOff>116842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162049" y="5648325"/>
          <a:ext cx="923925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9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물리</a:t>
          </a:r>
          <a:r>
            <a:rPr lang="en-US" altLang="ko-KR" sz="9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)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Center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7</xdr:col>
      <xdr:colOff>95250</xdr:colOff>
      <xdr:row>30</xdr:row>
      <xdr:rowOff>228600</xdr:rowOff>
    </xdr:from>
    <xdr:to>
      <xdr:col>7</xdr:col>
      <xdr:colOff>239250</xdr:colOff>
      <xdr:row>31</xdr:row>
      <xdr:rowOff>134475</xdr:rowOff>
    </xdr:to>
    <xdr:sp macro="" textlink="">
      <xdr:nvSpPr>
        <xdr:cNvPr id="89" name="순서도: 연결자 88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1552575" y="6534150"/>
          <a:ext cx="14400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5</xdr:col>
      <xdr:colOff>57150</xdr:colOff>
      <xdr:row>29</xdr:row>
      <xdr:rowOff>152400</xdr:rowOff>
    </xdr:from>
    <xdr:to>
      <xdr:col>9</xdr:col>
      <xdr:colOff>152401</xdr:colOff>
      <xdr:row>30</xdr:row>
      <xdr:rowOff>212092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162050" y="6772275"/>
          <a:ext cx="942976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Off-Store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5</xdr:col>
      <xdr:colOff>72001</xdr:colOff>
      <xdr:row>25</xdr:row>
      <xdr:rowOff>77325</xdr:rowOff>
    </xdr:from>
    <xdr:to>
      <xdr:col>7</xdr:col>
      <xdr:colOff>95251</xdr:colOff>
      <xdr:row>28</xdr:row>
      <xdr:rowOff>205350</xdr:rowOff>
    </xdr:to>
    <xdr:cxnSp macro="">
      <xdr:nvCxnSpPr>
        <xdr:cNvPr id="93" name="꺾인 연결선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CxnSpPr>
          <a:stCxn id="87" idx="2"/>
          <a:endCxn id="104" idx="4"/>
        </xdr:cNvCxnSpPr>
      </xdr:nvCxnSpPr>
      <xdr:spPr>
        <a:xfrm rot="10800000">
          <a:off x="1176901" y="5192250"/>
          <a:ext cx="375675" cy="842400"/>
        </a:xfrm>
        <a:prstGeom prst="bentConnector2">
          <a:avLst/>
        </a:prstGeom>
        <a:ln w="15875">
          <a:solidFill>
            <a:schemeClr val="bg1">
              <a:lumMod val="50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25</xdr:row>
      <xdr:rowOff>5325</xdr:rowOff>
    </xdr:from>
    <xdr:to>
      <xdr:col>7</xdr:col>
      <xdr:colOff>95251</xdr:colOff>
      <xdr:row>31</xdr:row>
      <xdr:rowOff>62475</xdr:rowOff>
    </xdr:to>
    <xdr:cxnSp macro="">
      <xdr:nvCxnSpPr>
        <xdr:cNvPr id="96" name="꺾인 연결선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CxnSpPr>
          <a:stCxn id="89" idx="2"/>
          <a:endCxn id="104" idx="2"/>
        </xdr:cNvCxnSpPr>
      </xdr:nvCxnSpPr>
      <xdr:spPr>
        <a:xfrm rot="10800000">
          <a:off x="1104901" y="5120250"/>
          <a:ext cx="447675" cy="1485900"/>
        </a:xfrm>
        <a:prstGeom prst="bentConnector3">
          <a:avLst>
            <a:gd name="adj1" fmla="val 151064"/>
          </a:avLst>
        </a:prstGeom>
        <a:ln w="15875">
          <a:solidFill>
            <a:schemeClr val="bg1">
              <a:lumMod val="50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239250</xdr:colOff>
      <xdr:row>14</xdr:row>
      <xdr:rowOff>72000</xdr:rowOff>
    </xdr:from>
    <xdr:to>
      <xdr:col>94</xdr:col>
      <xdr:colOff>0</xdr:colOff>
      <xdr:row>14</xdr:row>
      <xdr:rowOff>72001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>
          <a:stCxn id="251" idx="6"/>
          <a:endCxn id="112" idx="2"/>
        </xdr:cNvCxnSpPr>
      </xdr:nvCxnSpPr>
      <xdr:spPr>
        <a:xfrm>
          <a:off x="21756225" y="3120000"/>
          <a:ext cx="3475500" cy="1"/>
        </a:xfrm>
        <a:prstGeom prst="line">
          <a:avLst/>
        </a:prstGeom>
        <a:ln w="15875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0</xdr:colOff>
      <xdr:row>14</xdr:row>
      <xdr:rowOff>1</xdr:rowOff>
    </xdr:from>
    <xdr:to>
      <xdr:col>94</xdr:col>
      <xdr:colOff>144000</xdr:colOff>
      <xdr:row>14</xdr:row>
      <xdr:rowOff>144001</xdr:rowOff>
    </xdr:to>
    <xdr:sp macro="" textlink="">
      <xdr:nvSpPr>
        <xdr:cNvPr id="112" name="순서도: 연결자 111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25231725" y="3048001"/>
          <a:ext cx="144000" cy="144000"/>
        </a:xfrm>
        <a:prstGeom prst="flowChartConnector">
          <a:avLst/>
        </a:prstGeom>
        <a:solidFill>
          <a:schemeClr val="tx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110</xdr:col>
      <xdr:colOff>114300</xdr:colOff>
      <xdr:row>14</xdr:row>
      <xdr:rowOff>1</xdr:rowOff>
    </xdr:from>
    <xdr:to>
      <xdr:col>111</xdr:col>
      <xdr:colOff>10650</xdr:colOff>
      <xdr:row>14</xdr:row>
      <xdr:rowOff>144001</xdr:rowOff>
    </xdr:to>
    <xdr:sp macro="" textlink="">
      <xdr:nvSpPr>
        <xdr:cNvPr id="113" name="순서도: 연결자 112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30299025" y="3048001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94</xdr:col>
      <xdr:colOff>144000</xdr:colOff>
      <xdr:row>14</xdr:row>
      <xdr:rowOff>72001</xdr:rowOff>
    </xdr:from>
    <xdr:to>
      <xdr:col>110</xdr:col>
      <xdr:colOff>114300</xdr:colOff>
      <xdr:row>14</xdr:row>
      <xdr:rowOff>72001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>
          <a:stCxn id="112" idx="6"/>
          <a:endCxn id="113" idx="2"/>
        </xdr:cNvCxnSpPr>
      </xdr:nvCxnSpPr>
      <xdr:spPr>
        <a:xfrm>
          <a:off x="25375725" y="3120001"/>
          <a:ext cx="4923300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76200</xdr:colOff>
      <xdr:row>12</xdr:row>
      <xdr:rowOff>142875</xdr:rowOff>
    </xdr:from>
    <xdr:to>
      <xdr:col>95</xdr:col>
      <xdr:colOff>85726</xdr:colOff>
      <xdr:row>13</xdr:row>
      <xdr:rowOff>228600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5060275" y="2714625"/>
          <a:ext cx="504826" cy="32385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입고</a:t>
          </a:r>
        </a:p>
      </xdr:txBody>
    </xdr:sp>
    <xdr:clientData/>
  </xdr:twoCellAnchor>
  <xdr:twoCellAnchor>
    <xdr:from>
      <xdr:col>120</xdr:col>
      <xdr:colOff>95250</xdr:colOff>
      <xdr:row>12</xdr:row>
      <xdr:rowOff>142875</xdr:rowOff>
    </xdr:from>
    <xdr:to>
      <xdr:col>122</xdr:col>
      <xdr:colOff>104776</xdr:colOff>
      <xdr:row>13</xdr:row>
      <xdr:rowOff>228600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3004125" y="2714625"/>
          <a:ext cx="504826" cy="32385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출고</a:t>
          </a:r>
        </a:p>
      </xdr:txBody>
    </xdr:sp>
    <xdr:clientData/>
  </xdr:twoCellAnchor>
  <xdr:twoCellAnchor>
    <xdr:from>
      <xdr:col>121</xdr:col>
      <xdr:colOff>9525</xdr:colOff>
      <xdr:row>14</xdr:row>
      <xdr:rowOff>1</xdr:rowOff>
    </xdr:from>
    <xdr:to>
      <xdr:col>121</xdr:col>
      <xdr:colOff>153525</xdr:colOff>
      <xdr:row>14</xdr:row>
      <xdr:rowOff>144001</xdr:rowOff>
    </xdr:to>
    <xdr:sp macro="" textlink="">
      <xdr:nvSpPr>
        <xdr:cNvPr id="127" name="순서도: 연결자 126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33166050" y="3048001"/>
          <a:ext cx="144000" cy="144000"/>
        </a:xfrm>
        <a:prstGeom prst="flowChartConnector">
          <a:avLst/>
        </a:prstGeom>
        <a:solidFill>
          <a:schemeClr val="tx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108</xdr:col>
      <xdr:colOff>180974</xdr:colOff>
      <xdr:row>12</xdr:row>
      <xdr:rowOff>142875</xdr:rowOff>
    </xdr:from>
    <xdr:to>
      <xdr:col>112</xdr:col>
      <xdr:colOff>190499</xdr:colOff>
      <xdr:row>13</xdr:row>
      <xdr:rowOff>228600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9870399" y="2714625"/>
          <a:ext cx="1000125" cy="32385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출고요청</a:t>
          </a:r>
        </a:p>
      </xdr:txBody>
    </xdr:sp>
    <xdr:clientData/>
  </xdr:twoCellAnchor>
  <xdr:twoCellAnchor>
    <xdr:from>
      <xdr:col>111</xdr:col>
      <xdr:colOff>10650</xdr:colOff>
      <xdr:row>14</xdr:row>
      <xdr:rowOff>72001</xdr:rowOff>
    </xdr:from>
    <xdr:to>
      <xdr:col>121</xdr:col>
      <xdr:colOff>9525</xdr:colOff>
      <xdr:row>14</xdr:row>
      <xdr:rowOff>72001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>
          <a:stCxn id="113" idx="6"/>
          <a:endCxn id="127" idx="2"/>
        </xdr:cNvCxnSpPr>
      </xdr:nvCxnSpPr>
      <xdr:spPr>
        <a:xfrm>
          <a:off x="30443025" y="3120001"/>
          <a:ext cx="2723025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153525</xdr:colOff>
      <xdr:row>14</xdr:row>
      <xdr:rowOff>72000</xdr:rowOff>
    </xdr:from>
    <xdr:to>
      <xdr:col>127</xdr:col>
      <xdr:colOff>161925</xdr:colOff>
      <xdr:row>14</xdr:row>
      <xdr:rowOff>72001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>
          <a:stCxn id="127" idx="6"/>
          <a:endCxn id="261" idx="2"/>
        </xdr:cNvCxnSpPr>
      </xdr:nvCxnSpPr>
      <xdr:spPr>
        <a:xfrm flipV="1">
          <a:off x="30090600" y="3120000"/>
          <a:ext cx="1494300" cy="1"/>
        </a:xfrm>
        <a:prstGeom prst="line">
          <a:avLst/>
        </a:prstGeom>
        <a:ln w="15875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104775</xdr:colOff>
      <xdr:row>14</xdr:row>
      <xdr:rowOff>0</xdr:rowOff>
    </xdr:from>
    <xdr:to>
      <xdr:col>132</xdr:col>
      <xdr:colOff>1125</xdr:colOff>
      <xdr:row>14</xdr:row>
      <xdr:rowOff>144000</xdr:rowOff>
    </xdr:to>
    <xdr:sp macro="" textlink="">
      <xdr:nvSpPr>
        <xdr:cNvPr id="140" name="순서도: 연결자 139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32518350" y="3048000"/>
          <a:ext cx="14400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129</xdr:col>
      <xdr:colOff>209549</xdr:colOff>
      <xdr:row>12</xdr:row>
      <xdr:rowOff>161925</xdr:rowOff>
    </xdr:from>
    <xdr:to>
      <xdr:col>133</xdr:col>
      <xdr:colOff>103393</xdr:colOff>
      <xdr:row>13</xdr:row>
      <xdr:rowOff>221617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2127824" y="2733675"/>
          <a:ext cx="884444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9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물리</a:t>
          </a:r>
          <a:r>
            <a:rPr lang="en-US" altLang="ko-KR" sz="9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)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Center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128</xdr:col>
      <xdr:colOff>58275</xdr:colOff>
      <xdr:row>14</xdr:row>
      <xdr:rowOff>72000</xdr:rowOff>
    </xdr:from>
    <xdr:to>
      <xdr:col>131</xdr:col>
      <xdr:colOff>104775</xdr:colOff>
      <xdr:row>14</xdr:row>
      <xdr:rowOff>72000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>
          <a:stCxn id="261" idx="6"/>
          <a:endCxn id="140" idx="2"/>
        </xdr:cNvCxnSpPr>
      </xdr:nvCxnSpPr>
      <xdr:spPr>
        <a:xfrm>
          <a:off x="31728900" y="3120000"/>
          <a:ext cx="789450" cy="0"/>
        </a:xfrm>
        <a:prstGeom prst="line">
          <a:avLst/>
        </a:prstGeom>
        <a:ln w="15875">
          <a:solidFill>
            <a:schemeClr val="bg1">
              <a:lumMod val="50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34</xdr:row>
      <xdr:rowOff>219076</xdr:rowOff>
    </xdr:from>
    <xdr:to>
      <xdr:col>121</xdr:col>
      <xdr:colOff>144000</xdr:colOff>
      <xdr:row>35</xdr:row>
      <xdr:rowOff>124951</xdr:rowOff>
    </xdr:to>
    <xdr:sp macro="" textlink="">
      <xdr:nvSpPr>
        <xdr:cNvPr id="143" name="순서도: 연결자 142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29689425" y="8505826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119</xdr:col>
      <xdr:colOff>66674</xdr:colOff>
      <xdr:row>33</xdr:row>
      <xdr:rowOff>123825</xdr:rowOff>
    </xdr:from>
    <xdr:to>
      <xdr:col>123</xdr:col>
      <xdr:colOff>76199</xdr:colOff>
      <xdr:row>34</xdr:row>
      <xdr:rowOff>209550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9260799" y="8172450"/>
          <a:ext cx="1000125" cy="32385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판매</a:t>
          </a:r>
        </a:p>
      </xdr:txBody>
    </xdr:sp>
    <xdr:clientData/>
  </xdr:twoCellAnchor>
  <xdr:twoCellAnchor>
    <xdr:from>
      <xdr:col>91</xdr:col>
      <xdr:colOff>95249</xdr:colOff>
      <xdr:row>15</xdr:row>
      <xdr:rowOff>85725</xdr:rowOff>
    </xdr:from>
    <xdr:to>
      <xdr:col>97</xdr:col>
      <xdr:colOff>85725</xdr:colOff>
      <xdr:row>16</xdr:row>
      <xdr:rowOff>171450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4584024" y="3371850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제상품 매장 입고 승인</a:t>
          </a:r>
        </a:p>
      </xdr:txBody>
    </xdr:sp>
    <xdr:clientData/>
  </xdr:twoCellAnchor>
  <xdr:twoCellAnchor>
    <xdr:from>
      <xdr:col>91</xdr:col>
      <xdr:colOff>95249</xdr:colOff>
      <xdr:row>19</xdr:row>
      <xdr:rowOff>66675</xdr:rowOff>
    </xdr:from>
    <xdr:to>
      <xdr:col>97</xdr:col>
      <xdr:colOff>85725</xdr:colOff>
      <xdr:row>20</xdr:row>
      <xdr:rowOff>152400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4584024" y="4305300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제상품 매장 입고 현황</a:t>
          </a:r>
        </a:p>
      </xdr:txBody>
    </xdr:sp>
    <xdr:clientData/>
  </xdr:twoCellAnchor>
  <xdr:twoCellAnchor>
    <xdr:from>
      <xdr:col>91</xdr:col>
      <xdr:colOff>95249</xdr:colOff>
      <xdr:row>21</xdr:row>
      <xdr:rowOff>76200</xdr:rowOff>
    </xdr:from>
    <xdr:to>
      <xdr:col>97</xdr:col>
      <xdr:colOff>85725</xdr:colOff>
      <xdr:row>22</xdr:row>
      <xdr:rowOff>161925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4584024" y="4791075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거점간 제상품 입고 현황</a:t>
          </a:r>
        </a:p>
      </xdr:txBody>
    </xdr:sp>
    <xdr:clientData/>
  </xdr:twoCellAnchor>
  <xdr:twoCellAnchor>
    <xdr:from>
      <xdr:col>99</xdr:col>
      <xdr:colOff>38100</xdr:colOff>
      <xdr:row>17</xdr:row>
      <xdr:rowOff>66675</xdr:rowOff>
    </xdr:from>
    <xdr:to>
      <xdr:col>104</xdr:col>
      <xdr:colOff>85725</xdr:colOff>
      <xdr:row>18</xdr:row>
      <xdr:rowOff>161925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7003375" y="3829050"/>
          <a:ext cx="1285875" cy="33337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제상품 대체 등록</a:t>
          </a:r>
        </a:p>
      </xdr:txBody>
    </xdr:sp>
    <xdr:clientData/>
  </xdr:twoCellAnchor>
  <xdr:twoCellAnchor>
    <xdr:from>
      <xdr:col>101</xdr:col>
      <xdr:colOff>185738</xdr:colOff>
      <xdr:row>14</xdr:row>
      <xdr:rowOff>95250</xdr:rowOff>
    </xdr:from>
    <xdr:to>
      <xdr:col>101</xdr:col>
      <xdr:colOff>185738</xdr:colOff>
      <xdr:row>17</xdr:row>
      <xdr:rowOff>64875</xdr:rowOff>
    </xdr:to>
    <xdr:cxnSp macro="">
      <xdr:nvCxnSpPr>
        <xdr:cNvPr id="154" name="직선 화살표 연결선 153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CxnSpPr/>
      </xdr:nvCxnSpPr>
      <xdr:spPr>
        <a:xfrm>
          <a:off x="27646313" y="3143250"/>
          <a:ext cx="0" cy="684000"/>
        </a:xfrm>
        <a:prstGeom prst="straightConnector1">
          <a:avLst/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38100</xdr:colOff>
      <xdr:row>19</xdr:row>
      <xdr:rowOff>57150</xdr:rowOff>
    </xdr:from>
    <xdr:to>
      <xdr:col>104</xdr:col>
      <xdr:colOff>85725</xdr:colOff>
      <xdr:row>20</xdr:row>
      <xdr:rowOff>152400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7003375" y="4295775"/>
          <a:ext cx="1285875" cy="333375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제상품 대체 현황</a:t>
          </a:r>
        </a:p>
      </xdr:txBody>
    </xdr:sp>
    <xdr:clientData/>
  </xdr:twoCellAnchor>
  <xdr:twoCellAnchor>
    <xdr:from>
      <xdr:col>94</xdr:col>
      <xdr:colOff>144000</xdr:colOff>
      <xdr:row>14</xdr:row>
      <xdr:rowOff>72002</xdr:rowOff>
    </xdr:from>
    <xdr:to>
      <xdr:col>121</xdr:col>
      <xdr:colOff>0</xdr:colOff>
      <xdr:row>35</xdr:row>
      <xdr:rowOff>52952</xdr:rowOff>
    </xdr:to>
    <xdr:cxnSp macro="">
      <xdr:nvCxnSpPr>
        <xdr:cNvPr id="156" name="꺾인 연결선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143" idx="2"/>
          <a:endCxn id="112" idx="6"/>
        </xdr:cNvCxnSpPr>
      </xdr:nvCxnSpPr>
      <xdr:spPr>
        <a:xfrm rot="10800000">
          <a:off x="23146875" y="3596252"/>
          <a:ext cx="6542550" cy="4981575"/>
        </a:xfrm>
        <a:prstGeom prst="bentConnector3">
          <a:avLst>
            <a:gd name="adj1" fmla="val 56697"/>
          </a:avLst>
        </a:prstGeom>
        <a:ln w="15875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104774</xdr:colOff>
      <xdr:row>36</xdr:row>
      <xdr:rowOff>76200</xdr:rowOff>
    </xdr:from>
    <xdr:to>
      <xdr:col>124</xdr:col>
      <xdr:colOff>95250</xdr:colOff>
      <xdr:row>37</xdr:row>
      <xdr:rowOff>161925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9051249" y="8839200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 baseline="0">
              <a:solidFill>
                <a:srgbClr val="FF0000"/>
              </a:solidFill>
              <a:latin typeface="+mn-ea"/>
              <a:ea typeface="+mn-ea"/>
              <a:cs typeface="JBold" pitchFamily="18" charset="-127"/>
            </a:rPr>
            <a:t>POS </a:t>
          </a:r>
          <a:r>
            <a:rPr lang="ko-KR" altLang="en-US" sz="900" b="1" baseline="0">
              <a:solidFill>
                <a:srgbClr val="FF0000"/>
              </a:solidFill>
              <a:latin typeface="+mn-ea"/>
              <a:ea typeface="+mn-ea"/>
              <a:cs typeface="JBold" pitchFamily="18" charset="-127"/>
            </a:rPr>
            <a:t>판매등록</a:t>
          </a:r>
        </a:p>
      </xdr:txBody>
    </xdr:sp>
    <xdr:clientData/>
  </xdr:twoCellAnchor>
  <xdr:twoCellAnchor>
    <xdr:from>
      <xdr:col>131</xdr:col>
      <xdr:colOff>123825</xdr:colOff>
      <xdr:row>21</xdr:row>
      <xdr:rowOff>180975</xdr:rowOff>
    </xdr:from>
    <xdr:to>
      <xdr:col>132</xdr:col>
      <xdr:colOff>9525</xdr:colOff>
      <xdr:row>22</xdr:row>
      <xdr:rowOff>86850</xdr:rowOff>
    </xdr:to>
    <xdr:sp macro="" textlink="">
      <xdr:nvSpPr>
        <xdr:cNvPr id="158" name="순서도: 연결자 15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32537400" y="4895850"/>
          <a:ext cx="13335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129</xdr:col>
      <xdr:colOff>161924</xdr:colOff>
      <xdr:row>20</xdr:row>
      <xdr:rowOff>76200</xdr:rowOff>
    </xdr:from>
    <xdr:to>
      <xdr:col>133</xdr:col>
      <xdr:colOff>133349</xdr:colOff>
      <xdr:row>21</xdr:row>
      <xdr:rowOff>135892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2080199" y="4552950"/>
          <a:ext cx="962025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자가소모창고</a:t>
          </a:r>
        </a:p>
      </xdr:txBody>
    </xdr:sp>
    <xdr:clientData/>
  </xdr:twoCellAnchor>
  <xdr:twoCellAnchor>
    <xdr:from>
      <xdr:col>131</xdr:col>
      <xdr:colOff>104775</xdr:colOff>
      <xdr:row>16</xdr:row>
      <xdr:rowOff>104775</xdr:rowOff>
    </xdr:from>
    <xdr:to>
      <xdr:col>132</xdr:col>
      <xdr:colOff>1125</xdr:colOff>
      <xdr:row>17</xdr:row>
      <xdr:rowOff>10650</xdr:rowOff>
    </xdr:to>
    <xdr:sp macro="" textlink="">
      <xdr:nvSpPr>
        <xdr:cNvPr id="175" name="순서도: 연결자 174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32518350" y="3629025"/>
          <a:ext cx="14400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129</xdr:col>
      <xdr:colOff>209549</xdr:colOff>
      <xdr:row>15</xdr:row>
      <xdr:rowOff>28575</xdr:rowOff>
    </xdr:from>
    <xdr:to>
      <xdr:col>133</xdr:col>
      <xdr:colOff>103393</xdr:colOff>
      <xdr:row>16</xdr:row>
      <xdr:rowOff>88267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2127824" y="3314700"/>
          <a:ext cx="884444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Off-Store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128</xdr:col>
      <xdr:colOff>58275</xdr:colOff>
      <xdr:row>14</xdr:row>
      <xdr:rowOff>72000</xdr:rowOff>
    </xdr:from>
    <xdr:to>
      <xdr:col>131</xdr:col>
      <xdr:colOff>104775</xdr:colOff>
      <xdr:row>16</xdr:row>
      <xdr:rowOff>176775</xdr:rowOff>
    </xdr:to>
    <xdr:cxnSp macro="">
      <xdr:nvCxnSpPr>
        <xdr:cNvPr id="177" name="꺾인 연결선 176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CxnSpPr>
          <a:stCxn id="261" idx="6"/>
          <a:endCxn id="175" idx="2"/>
        </xdr:cNvCxnSpPr>
      </xdr:nvCxnSpPr>
      <xdr:spPr>
        <a:xfrm>
          <a:off x="31728900" y="3120000"/>
          <a:ext cx="789450" cy="581025"/>
        </a:xfrm>
        <a:prstGeom prst="bentConnector3">
          <a:avLst>
            <a:gd name="adj1" fmla="val 50000"/>
          </a:avLst>
        </a:prstGeom>
        <a:ln w="15875">
          <a:solidFill>
            <a:schemeClr val="bg1">
              <a:lumMod val="50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153525</xdr:colOff>
      <xdr:row>14</xdr:row>
      <xdr:rowOff>72002</xdr:rowOff>
    </xdr:from>
    <xdr:to>
      <xdr:col>131</xdr:col>
      <xdr:colOff>123825</xdr:colOff>
      <xdr:row>22</xdr:row>
      <xdr:rowOff>14851</xdr:rowOff>
    </xdr:to>
    <xdr:cxnSp macro="">
      <xdr:nvCxnSpPr>
        <xdr:cNvPr id="181" name="꺾인 연결선 180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CxnSpPr>
          <a:stCxn id="158" idx="2"/>
          <a:endCxn id="127" idx="6"/>
        </xdr:cNvCxnSpPr>
      </xdr:nvCxnSpPr>
      <xdr:spPr>
        <a:xfrm rot="10800000">
          <a:off x="30090600" y="3120002"/>
          <a:ext cx="2446800" cy="1847849"/>
        </a:xfrm>
        <a:prstGeom prst="bentConnector3">
          <a:avLst>
            <a:gd name="adj1" fmla="val 60511"/>
          </a:avLst>
        </a:prstGeom>
        <a:ln w="15875">
          <a:solidFill>
            <a:schemeClr val="bg1">
              <a:lumMod val="50000"/>
            </a:schemeClr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142873</xdr:colOff>
      <xdr:row>28</xdr:row>
      <xdr:rowOff>66675</xdr:rowOff>
    </xdr:from>
    <xdr:to>
      <xdr:col>114</xdr:col>
      <xdr:colOff>66674</xdr:colOff>
      <xdr:row>29</xdr:row>
      <xdr:rowOff>152400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6365198" y="6924675"/>
          <a:ext cx="1657351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온라인 주문 출고 요청 현황</a:t>
          </a:r>
        </a:p>
      </xdr:txBody>
    </xdr:sp>
    <xdr:clientData/>
  </xdr:twoCellAnchor>
  <xdr:twoCellAnchor>
    <xdr:from>
      <xdr:col>118</xdr:col>
      <xdr:colOff>9524</xdr:colOff>
      <xdr:row>23</xdr:row>
      <xdr:rowOff>76200</xdr:rowOff>
    </xdr:from>
    <xdr:to>
      <xdr:col>124</xdr:col>
      <xdr:colOff>123826</xdr:colOff>
      <xdr:row>24</xdr:row>
      <xdr:rowOff>161925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8955999" y="5743575"/>
          <a:ext cx="1600202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제상품 매장 출고 현황</a:t>
          </a:r>
        </a:p>
      </xdr:txBody>
    </xdr:sp>
    <xdr:clientData/>
  </xdr:twoCellAnchor>
  <xdr:twoCellAnchor>
    <xdr:from>
      <xdr:col>118</xdr:col>
      <xdr:colOff>9524</xdr:colOff>
      <xdr:row>25</xdr:row>
      <xdr:rowOff>66675</xdr:rowOff>
    </xdr:from>
    <xdr:to>
      <xdr:col>124</xdr:col>
      <xdr:colOff>123826</xdr:colOff>
      <xdr:row>26</xdr:row>
      <xdr:rowOff>152400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8955999" y="6210300"/>
          <a:ext cx="1600202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거점간 제상품 출고 현황</a:t>
          </a:r>
        </a:p>
      </xdr:txBody>
    </xdr:sp>
    <xdr:clientData/>
  </xdr:twoCellAnchor>
  <xdr:twoCellAnchor>
    <xdr:from>
      <xdr:col>118</xdr:col>
      <xdr:colOff>9524</xdr:colOff>
      <xdr:row>27</xdr:row>
      <xdr:rowOff>76200</xdr:rowOff>
    </xdr:from>
    <xdr:to>
      <xdr:col>124</xdr:col>
      <xdr:colOff>123826</xdr:colOff>
      <xdr:row>28</xdr:row>
      <xdr:rowOff>161925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8955999" y="6696075"/>
          <a:ext cx="1600202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온라인 주문 출고 현황</a:t>
          </a:r>
        </a:p>
      </xdr:txBody>
    </xdr:sp>
    <xdr:clientData/>
  </xdr:twoCellAnchor>
  <xdr:twoCellAnchor>
    <xdr:from>
      <xdr:col>107</xdr:col>
      <xdr:colOff>114298</xdr:colOff>
      <xdr:row>15</xdr:row>
      <xdr:rowOff>76200</xdr:rowOff>
    </xdr:from>
    <xdr:to>
      <xdr:col>114</xdr:col>
      <xdr:colOff>38099</xdr:colOff>
      <xdr:row>16</xdr:row>
      <xdr:rowOff>161925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6336623" y="3838575"/>
          <a:ext cx="1657351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Off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반품 등록 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&amp;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 요청</a:t>
          </a:r>
        </a:p>
      </xdr:txBody>
    </xdr:sp>
    <xdr:clientData/>
  </xdr:twoCellAnchor>
  <xdr:twoCellAnchor>
    <xdr:from>
      <xdr:col>41</xdr:col>
      <xdr:colOff>247649</xdr:colOff>
      <xdr:row>18</xdr:row>
      <xdr:rowOff>76200</xdr:rowOff>
    </xdr:from>
    <xdr:to>
      <xdr:col>48</xdr:col>
      <xdr:colOff>104775</xdr:colOff>
      <xdr:row>19</xdr:row>
      <xdr:rowOff>161925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0372724" y="4076700"/>
          <a:ext cx="159067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판부자재 출고 등록</a:t>
          </a:r>
        </a:p>
      </xdr:txBody>
    </xdr:sp>
    <xdr:clientData/>
  </xdr:twoCellAnchor>
  <xdr:twoCellAnchor>
    <xdr:from>
      <xdr:col>41</xdr:col>
      <xdr:colOff>247649</xdr:colOff>
      <xdr:row>27</xdr:row>
      <xdr:rowOff>85725</xdr:rowOff>
    </xdr:from>
    <xdr:to>
      <xdr:col>48</xdr:col>
      <xdr:colOff>104775</xdr:colOff>
      <xdr:row>28</xdr:row>
      <xdr:rowOff>171450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0125074" y="6229350"/>
          <a:ext cx="1590676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자가소모창고 출고 현황</a:t>
          </a:r>
          <a:endParaRPr lang="ko-KR" altLang="en-US" sz="900" b="0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45</xdr:col>
      <xdr:colOff>0</xdr:colOff>
      <xdr:row>26</xdr:row>
      <xdr:rowOff>161925</xdr:rowOff>
    </xdr:from>
    <xdr:to>
      <xdr:col>45</xdr:col>
      <xdr:colOff>114300</xdr:colOff>
      <xdr:row>27</xdr:row>
      <xdr:rowOff>133350</xdr:rowOff>
    </xdr:to>
    <xdr:sp macro="" textlink="">
      <xdr:nvSpPr>
        <xdr:cNvPr id="204" name="위쪽/아래쪽 화살표 203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/>
      </xdr:nvSpPr>
      <xdr:spPr>
        <a:xfrm>
          <a:off x="10868025" y="6067425"/>
          <a:ext cx="114300" cy="209550"/>
        </a:xfrm>
        <a:prstGeom prst="up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118</xdr:col>
      <xdr:colOff>9524</xdr:colOff>
      <xdr:row>29</xdr:row>
      <xdr:rowOff>66675</xdr:rowOff>
    </xdr:from>
    <xdr:to>
      <xdr:col>124</xdr:col>
      <xdr:colOff>123826</xdr:colOff>
      <xdr:row>30</xdr:row>
      <xdr:rowOff>152400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8955999" y="7162800"/>
          <a:ext cx="1600202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온라인 반품 출고 현황</a:t>
          </a:r>
        </a:p>
      </xdr:txBody>
    </xdr:sp>
    <xdr:clientData/>
  </xdr:twoCellAnchor>
  <xdr:twoCellAnchor>
    <xdr:from>
      <xdr:col>121</xdr:col>
      <xdr:colOff>0</xdr:colOff>
      <xdr:row>24</xdr:row>
      <xdr:rowOff>142875</xdr:rowOff>
    </xdr:from>
    <xdr:to>
      <xdr:col>121</xdr:col>
      <xdr:colOff>114300</xdr:colOff>
      <xdr:row>25</xdr:row>
      <xdr:rowOff>114300</xdr:rowOff>
    </xdr:to>
    <xdr:sp macro="" textlink="">
      <xdr:nvSpPr>
        <xdr:cNvPr id="206" name="위쪽/아래쪽 화살표 205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/>
      </xdr:nvSpPr>
      <xdr:spPr>
        <a:xfrm>
          <a:off x="29689425" y="6048375"/>
          <a:ext cx="114300" cy="209550"/>
        </a:xfrm>
        <a:prstGeom prst="up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121</xdr:col>
      <xdr:colOff>0</xdr:colOff>
      <xdr:row>26</xdr:row>
      <xdr:rowOff>152400</xdr:rowOff>
    </xdr:from>
    <xdr:to>
      <xdr:col>121</xdr:col>
      <xdr:colOff>114300</xdr:colOff>
      <xdr:row>27</xdr:row>
      <xdr:rowOff>123825</xdr:rowOff>
    </xdr:to>
    <xdr:sp macro="" textlink="">
      <xdr:nvSpPr>
        <xdr:cNvPr id="211" name="위쪽/아래쪽 화살표 210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SpPr/>
      </xdr:nvSpPr>
      <xdr:spPr>
        <a:xfrm>
          <a:off x="29689425" y="6534150"/>
          <a:ext cx="114300" cy="209550"/>
        </a:xfrm>
        <a:prstGeom prst="up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121</xdr:col>
      <xdr:colOff>0</xdr:colOff>
      <xdr:row>28</xdr:row>
      <xdr:rowOff>142875</xdr:rowOff>
    </xdr:from>
    <xdr:to>
      <xdr:col>121</xdr:col>
      <xdr:colOff>114300</xdr:colOff>
      <xdr:row>29</xdr:row>
      <xdr:rowOff>114300</xdr:rowOff>
    </xdr:to>
    <xdr:sp macro="" textlink="">
      <xdr:nvSpPr>
        <xdr:cNvPr id="212" name="위쪽/아래쪽 화살표 211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SpPr/>
      </xdr:nvSpPr>
      <xdr:spPr>
        <a:xfrm>
          <a:off x="29689425" y="7000875"/>
          <a:ext cx="114300" cy="209550"/>
        </a:xfrm>
        <a:prstGeom prst="up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118</xdr:col>
      <xdr:colOff>9524</xdr:colOff>
      <xdr:row>31</xdr:row>
      <xdr:rowOff>76200</xdr:rowOff>
    </xdr:from>
    <xdr:to>
      <xdr:col>124</xdr:col>
      <xdr:colOff>123826</xdr:colOff>
      <xdr:row>32</xdr:row>
      <xdr:rowOff>161925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8955999" y="7648575"/>
          <a:ext cx="1600202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자가소모창고 출고 현황</a:t>
          </a:r>
        </a:p>
      </xdr:txBody>
    </xdr:sp>
    <xdr:clientData/>
  </xdr:twoCellAnchor>
  <xdr:twoCellAnchor>
    <xdr:from>
      <xdr:col>121</xdr:col>
      <xdr:colOff>0</xdr:colOff>
      <xdr:row>30</xdr:row>
      <xdr:rowOff>123825</xdr:rowOff>
    </xdr:from>
    <xdr:to>
      <xdr:col>121</xdr:col>
      <xdr:colOff>114300</xdr:colOff>
      <xdr:row>31</xdr:row>
      <xdr:rowOff>95250</xdr:rowOff>
    </xdr:to>
    <xdr:sp macro="" textlink="">
      <xdr:nvSpPr>
        <xdr:cNvPr id="218" name="위쪽/아래쪽 화살표 217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SpPr/>
      </xdr:nvSpPr>
      <xdr:spPr>
        <a:xfrm>
          <a:off x="29689425" y="7458075"/>
          <a:ext cx="114300" cy="209550"/>
        </a:xfrm>
        <a:prstGeom prst="up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200025</xdr:colOff>
      <xdr:row>26</xdr:row>
      <xdr:rowOff>123825</xdr:rowOff>
    </xdr:from>
    <xdr:to>
      <xdr:col>17</xdr:col>
      <xdr:colOff>66675</xdr:colOff>
      <xdr:row>27</xdr:row>
      <xdr:rowOff>95250</xdr:rowOff>
    </xdr:to>
    <xdr:sp macro="" textlink="">
      <xdr:nvSpPr>
        <xdr:cNvPr id="220" name="위쪽/아래쪽 화살표 219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/>
      </xdr:nvSpPr>
      <xdr:spPr>
        <a:xfrm>
          <a:off x="3886200" y="5953125"/>
          <a:ext cx="114300" cy="209550"/>
        </a:xfrm>
        <a:prstGeom prst="up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91</xdr:col>
      <xdr:colOff>104774</xdr:colOff>
      <xdr:row>23</xdr:row>
      <xdr:rowOff>66675</xdr:rowOff>
    </xdr:from>
    <xdr:to>
      <xdr:col>97</xdr:col>
      <xdr:colOff>85725</xdr:colOff>
      <xdr:row>24</xdr:row>
      <xdr:rowOff>152400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4593549" y="5257800"/>
          <a:ext cx="1466851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온라인 주문 입고 현황</a:t>
          </a:r>
        </a:p>
      </xdr:txBody>
    </xdr:sp>
    <xdr:clientData/>
  </xdr:twoCellAnchor>
  <xdr:twoCellAnchor>
    <xdr:from>
      <xdr:col>94</xdr:col>
      <xdr:colOff>9525</xdr:colOff>
      <xdr:row>20</xdr:row>
      <xdr:rowOff>142875</xdr:rowOff>
    </xdr:from>
    <xdr:to>
      <xdr:col>94</xdr:col>
      <xdr:colOff>123825</xdr:colOff>
      <xdr:row>21</xdr:row>
      <xdr:rowOff>114300</xdr:rowOff>
    </xdr:to>
    <xdr:sp macro="" textlink="">
      <xdr:nvSpPr>
        <xdr:cNvPr id="222" name="위쪽/아래쪽 화살표 221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SpPr/>
      </xdr:nvSpPr>
      <xdr:spPr>
        <a:xfrm>
          <a:off x="25241250" y="4619625"/>
          <a:ext cx="114300" cy="209550"/>
        </a:xfrm>
        <a:prstGeom prst="up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9525</xdr:colOff>
      <xdr:row>22</xdr:row>
      <xdr:rowOff>123825</xdr:rowOff>
    </xdr:from>
    <xdr:to>
      <xdr:col>94</xdr:col>
      <xdr:colOff>123825</xdr:colOff>
      <xdr:row>23</xdr:row>
      <xdr:rowOff>95250</xdr:rowOff>
    </xdr:to>
    <xdr:sp macro="" textlink="">
      <xdr:nvSpPr>
        <xdr:cNvPr id="223" name="위쪽/아래쪽 화살표 222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/>
      </xdr:nvSpPr>
      <xdr:spPr>
        <a:xfrm>
          <a:off x="25241250" y="5076825"/>
          <a:ext cx="114300" cy="209550"/>
        </a:xfrm>
        <a:prstGeom prst="up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117</xdr:col>
      <xdr:colOff>247649</xdr:colOff>
      <xdr:row>17</xdr:row>
      <xdr:rowOff>57150</xdr:rowOff>
    </xdr:from>
    <xdr:to>
      <xdr:col>124</xdr:col>
      <xdr:colOff>123825</xdr:colOff>
      <xdr:row>18</xdr:row>
      <xdr:rowOff>142875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2413574" y="3819525"/>
          <a:ext cx="160972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자가소모 출고 정산</a:t>
          </a:r>
        </a:p>
      </xdr:txBody>
    </xdr:sp>
    <xdr:clientData/>
  </xdr:twoCellAnchor>
  <xdr:twoCellAnchor>
    <xdr:from>
      <xdr:col>118</xdr:col>
      <xdr:colOff>85726</xdr:colOff>
      <xdr:row>18</xdr:row>
      <xdr:rowOff>95250</xdr:rowOff>
    </xdr:from>
    <xdr:to>
      <xdr:col>124</xdr:col>
      <xdr:colOff>66676</xdr:colOff>
      <xdr:row>19</xdr:row>
      <xdr:rowOff>154942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2499301" y="4095750"/>
          <a:ext cx="1466850" cy="297817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권한 제한 필요</a:t>
          </a:r>
          <a:r>
            <a:rPr lang="en-US" altLang="ko-KR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800" b="0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107</xdr:col>
      <xdr:colOff>114298</xdr:colOff>
      <xdr:row>17</xdr:row>
      <xdr:rowOff>76200</xdr:rowOff>
    </xdr:from>
    <xdr:to>
      <xdr:col>114</xdr:col>
      <xdr:colOff>38099</xdr:colOff>
      <xdr:row>18</xdr:row>
      <xdr:rowOff>161925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6336623" y="4314825"/>
          <a:ext cx="1657351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부서반품 등록 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&amp; 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요청</a:t>
          </a:r>
        </a:p>
      </xdr:txBody>
    </xdr:sp>
    <xdr:clientData/>
  </xdr:twoCellAnchor>
  <xdr:twoCellAnchor>
    <xdr:from>
      <xdr:col>107</xdr:col>
      <xdr:colOff>114298</xdr:colOff>
      <xdr:row>19</xdr:row>
      <xdr:rowOff>66675</xdr:rowOff>
    </xdr:from>
    <xdr:to>
      <xdr:col>114</xdr:col>
      <xdr:colOff>38099</xdr:colOff>
      <xdr:row>20</xdr:row>
      <xdr:rowOff>152400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6336623" y="4781550"/>
          <a:ext cx="1657351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매장간 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RT 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요청 등록</a:t>
          </a:r>
        </a:p>
      </xdr:txBody>
    </xdr:sp>
    <xdr:clientData/>
  </xdr:twoCellAnchor>
  <xdr:twoCellAnchor>
    <xdr:from>
      <xdr:col>91</xdr:col>
      <xdr:colOff>95249</xdr:colOff>
      <xdr:row>17</xdr:row>
      <xdr:rowOff>66675</xdr:rowOff>
    </xdr:from>
    <xdr:to>
      <xdr:col>97</xdr:col>
      <xdr:colOff>85725</xdr:colOff>
      <xdr:row>18</xdr:row>
      <xdr:rowOff>152400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4584024" y="3829050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매장간 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RT 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입고 승인</a:t>
          </a:r>
        </a:p>
      </xdr:txBody>
    </xdr:sp>
    <xdr:clientData/>
  </xdr:twoCellAnchor>
  <xdr:twoCellAnchor>
    <xdr:from>
      <xdr:col>94</xdr:col>
      <xdr:colOff>9525</xdr:colOff>
      <xdr:row>16</xdr:row>
      <xdr:rowOff>133350</xdr:rowOff>
    </xdr:from>
    <xdr:to>
      <xdr:col>94</xdr:col>
      <xdr:colOff>123825</xdr:colOff>
      <xdr:row>17</xdr:row>
      <xdr:rowOff>104775</xdr:rowOff>
    </xdr:to>
    <xdr:sp macro="" textlink="">
      <xdr:nvSpPr>
        <xdr:cNvPr id="231" name="위쪽/아래쪽 화살표 230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SpPr/>
      </xdr:nvSpPr>
      <xdr:spPr>
        <a:xfrm>
          <a:off x="25241250" y="3657600"/>
          <a:ext cx="114300" cy="209550"/>
        </a:xfrm>
        <a:prstGeom prst="up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110</xdr:col>
      <xdr:colOff>133350</xdr:colOff>
      <xdr:row>16</xdr:row>
      <xdr:rowOff>133350</xdr:rowOff>
    </xdr:from>
    <xdr:to>
      <xdr:col>111</xdr:col>
      <xdr:colOff>0</xdr:colOff>
      <xdr:row>17</xdr:row>
      <xdr:rowOff>104775</xdr:rowOff>
    </xdr:to>
    <xdr:sp macro="" textlink="">
      <xdr:nvSpPr>
        <xdr:cNvPr id="232" name="위쪽/아래쪽 화살표 231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SpPr/>
      </xdr:nvSpPr>
      <xdr:spPr>
        <a:xfrm>
          <a:off x="27098625" y="4133850"/>
          <a:ext cx="114300" cy="209550"/>
        </a:xfrm>
        <a:prstGeom prst="up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118</xdr:col>
      <xdr:colOff>9523</xdr:colOff>
      <xdr:row>15</xdr:row>
      <xdr:rowOff>85725</xdr:rowOff>
    </xdr:from>
    <xdr:to>
      <xdr:col>124</xdr:col>
      <xdr:colOff>123824</xdr:colOff>
      <xdr:row>16</xdr:row>
      <xdr:rowOff>171450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2423098" y="3371850"/>
          <a:ext cx="1600201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매장간 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RT 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출고 등록</a:t>
          </a:r>
        </a:p>
      </xdr:txBody>
    </xdr:sp>
    <xdr:clientData/>
  </xdr:twoCellAnchor>
  <xdr:twoCellAnchor>
    <xdr:from>
      <xdr:col>63</xdr:col>
      <xdr:colOff>161925</xdr:colOff>
      <xdr:row>14</xdr:row>
      <xdr:rowOff>1</xdr:rowOff>
    </xdr:from>
    <xdr:to>
      <xdr:col>64</xdr:col>
      <xdr:colOff>58275</xdr:colOff>
      <xdr:row>14</xdr:row>
      <xdr:rowOff>144001</xdr:rowOff>
    </xdr:to>
    <xdr:sp macro="" textlink="">
      <xdr:nvSpPr>
        <xdr:cNvPr id="240" name="순서도: 연결자 239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15982950" y="3048001"/>
          <a:ext cx="144000" cy="144000"/>
        </a:xfrm>
        <a:prstGeom prst="flowChartConnector">
          <a:avLst/>
        </a:prstGeom>
        <a:solidFill>
          <a:schemeClr val="tx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71</xdr:col>
      <xdr:colOff>0</xdr:colOff>
      <xdr:row>14</xdr:row>
      <xdr:rowOff>1</xdr:rowOff>
    </xdr:from>
    <xdr:to>
      <xdr:col>71</xdr:col>
      <xdr:colOff>144000</xdr:colOff>
      <xdr:row>14</xdr:row>
      <xdr:rowOff>144001</xdr:rowOff>
    </xdr:to>
    <xdr:sp macro="" textlink="">
      <xdr:nvSpPr>
        <xdr:cNvPr id="241" name="순서도: 연결자 240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5915025" y="16535401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64</xdr:col>
      <xdr:colOff>58275</xdr:colOff>
      <xdr:row>14</xdr:row>
      <xdr:rowOff>72001</xdr:rowOff>
    </xdr:from>
    <xdr:to>
      <xdr:col>71</xdr:col>
      <xdr:colOff>0</xdr:colOff>
      <xdr:row>14</xdr:row>
      <xdr:rowOff>72001</xdr:rowOff>
    </xdr:to>
    <xdr:cxnSp macro="">
      <xdr:nvCxnSpPr>
        <xdr:cNvPr id="242" name="직선 연결선 24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>
          <a:stCxn id="240" idx="6"/>
          <a:endCxn id="241" idx="2"/>
        </xdr:cNvCxnSpPr>
      </xdr:nvCxnSpPr>
      <xdr:spPr>
        <a:xfrm>
          <a:off x="16126950" y="3120001"/>
          <a:ext cx="2665875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238125</xdr:colOff>
      <xdr:row>12</xdr:row>
      <xdr:rowOff>142875</xdr:rowOff>
    </xdr:from>
    <xdr:to>
      <xdr:col>65</xdr:col>
      <xdr:colOff>1</xdr:colOff>
      <xdr:row>13</xdr:row>
      <xdr:rowOff>228600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5811500" y="2714625"/>
          <a:ext cx="504826" cy="32385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입고</a:t>
          </a:r>
        </a:p>
      </xdr:txBody>
    </xdr:sp>
    <xdr:clientData/>
  </xdr:twoCellAnchor>
  <xdr:twoCellAnchor>
    <xdr:from>
      <xdr:col>79</xdr:col>
      <xdr:colOff>171450</xdr:colOff>
      <xdr:row>12</xdr:row>
      <xdr:rowOff>142875</xdr:rowOff>
    </xdr:from>
    <xdr:to>
      <xdr:col>81</xdr:col>
      <xdr:colOff>180976</xdr:colOff>
      <xdr:row>13</xdr:row>
      <xdr:rowOff>228600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8067675" y="16202025"/>
          <a:ext cx="504826" cy="32385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출고</a:t>
          </a:r>
        </a:p>
      </xdr:txBody>
    </xdr:sp>
    <xdr:clientData/>
  </xdr:twoCellAnchor>
  <xdr:twoCellAnchor>
    <xdr:from>
      <xdr:col>80</xdr:col>
      <xdr:colOff>85725</xdr:colOff>
      <xdr:row>14</xdr:row>
      <xdr:rowOff>1</xdr:rowOff>
    </xdr:from>
    <xdr:to>
      <xdr:col>80</xdr:col>
      <xdr:colOff>229725</xdr:colOff>
      <xdr:row>14</xdr:row>
      <xdr:rowOff>144001</xdr:rowOff>
    </xdr:to>
    <xdr:sp macro="" textlink="">
      <xdr:nvSpPr>
        <xdr:cNvPr id="245" name="순서도: 연결자 244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8229600" y="16535401"/>
          <a:ext cx="144000" cy="144000"/>
        </a:xfrm>
        <a:prstGeom prst="flowChartConnector">
          <a:avLst/>
        </a:prstGeom>
        <a:solidFill>
          <a:schemeClr val="tx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69</xdr:col>
      <xdr:colOff>66674</xdr:colOff>
      <xdr:row>12</xdr:row>
      <xdr:rowOff>142875</xdr:rowOff>
    </xdr:from>
    <xdr:to>
      <xdr:col>73</xdr:col>
      <xdr:colOff>76199</xdr:colOff>
      <xdr:row>13</xdr:row>
      <xdr:rowOff>228600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5486399" y="16202025"/>
          <a:ext cx="1000125" cy="32385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출고요청</a:t>
          </a:r>
        </a:p>
      </xdr:txBody>
    </xdr:sp>
    <xdr:clientData/>
  </xdr:twoCellAnchor>
  <xdr:twoCellAnchor>
    <xdr:from>
      <xdr:col>71</xdr:col>
      <xdr:colOff>144000</xdr:colOff>
      <xdr:row>14</xdr:row>
      <xdr:rowOff>72001</xdr:rowOff>
    </xdr:from>
    <xdr:to>
      <xdr:col>80</xdr:col>
      <xdr:colOff>85725</xdr:colOff>
      <xdr:row>14</xdr:row>
      <xdr:rowOff>72001</xdr:rowOff>
    </xdr:to>
    <xdr:cxnSp macro="">
      <xdr:nvCxnSpPr>
        <xdr:cNvPr id="247" name="직선 연결선 246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>
          <a:stCxn id="241" idx="6"/>
          <a:endCxn id="245" idx="2"/>
        </xdr:cNvCxnSpPr>
      </xdr:nvCxnSpPr>
      <xdr:spPr>
        <a:xfrm>
          <a:off x="6059025" y="16607401"/>
          <a:ext cx="2170575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95250</xdr:colOff>
      <xdr:row>14</xdr:row>
      <xdr:rowOff>0</xdr:rowOff>
    </xdr:from>
    <xdr:to>
      <xdr:col>86</xdr:col>
      <xdr:colOff>239250</xdr:colOff>
      <xdr:row>14</xdr:row>
      <xdr:rowOff>144000</xdr:rowOff>
    </xdr:to>
    <xdr:sp macro="" textlink="">
      <xdr:nvSpPr>
        <xdr:cNvPr id="251" name="순서도: 연결자 250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13935075" y="15344775"/>
          <a:ext cx="14400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84</xdr:col>
      <xdr:colOff>200024</xdr:colOff>
      <xdr:row>15</xdr:row>
      <xdr:rowOff>38100</xdr:rowOff>
    </xdr:from>
    <xdr:to>
      <xdr:col>88</xdr:col>
      <xdr:colOff>133349</xdr:colOff>
      <xdr:row>16</xdr:row>
      <xdr:rowOff>97792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2707599" y="3324225"/>
          <a:ext cx="923925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9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물리</a:t>
          </a:r>
          <a:r>
            <a:rPr lang="en-US" altLang="ko-KR" sz="9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)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Center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86</xdr:col>
      <xdr:colOff>95250</xdr:colOff>
      <xdr:row>16</xdr:row>
      <xdr:rowOff>104775</xdr:rowOff>
    </xdr:from>
    <xdr:to>
      <xdr:col>86</xdr:col>
      <xdr:colOff>239250</xdr:colOff>
      <xdr:row>17</xdr:row>
      <xdr:rowOff>10650</xdr:rowOff>
    </xdr:to>
    <xdr:sp macro="" textlink="">
      <xdr:nvSpPr>
        <xdr:cNvPr id="254" name="순서도: 연결자 253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13935075" y="15925800"/>
          <a:ext cx="14400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84</xdr:col>
      <xdr:colOff>200024</xdr:colOff>
      <xdr:row>12</xdr:row>
      <xdr:rowOff>142875</xdr:rowOff>
    </xdr:from>
    <xdr:to>
      <xdr:col>88</xdr:col>
      <xdr:colOff>133349</xdr:colOff>
      <xdr:row>13</xdr:row>
      <xdr:rowOff>202567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2707599" y="2714625"/>
          <a:ext cx="923925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Off-Store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80</xdr:col>
      <xdr:colOff>229725</xdr:colOff>
      <xdr:row>14</xdr:row>
      <xdr:rowOff>72001</xdr:rowOff>
    </xdr:from>
    <xdr:to>
      <xdr:col>86</xdr:col>
      <xdr:colOff>95250</xdr:colOff>
      <xdr:row>16</xdr:row>
      <xdr:rowOff>176775</xdr:rowOff>
    </xdr:to>
    <xdr:cxnSp macro="">
      <xdr:nvCxnSpPr>
        <xdr:cNvPr id="256" name="꺾인 연결선 255"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CxnSpPr>
          <a:stCxn id="245" idx="6"/>
          <a:endCxn id="254" idx="2"/>
        </xdr:cNvCxnSpPr>
      </xdr:nvCxnSpPr>
      <xdr:spPr>
        <a:xfrm>
          <a:off x="20013150" y="3120001"/>
          <a:ext cx="1351425" cy="581024"/>
        </a:xfrm>
        <a:prstGeom prst="bentConnector3">
          <a:avLst>
            <a:gd name="adj1" fmla="val 59163"/>
          </a:avLst>
        </a:prstGeom>
        <a:ln w="15875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9523</xdr:colOff>
      <xdr:row>16</xdr:row>
      <xdr:rowOff>66675</xdr:rowOff>
    </xdr:from>
    <xdr:to>
      <xdr:col>83</xdr:col>
      <xdr:colOff>104774</xdr:colOff>
      <xdr:row>17</xdr:row>
      <xdr:rowOff>152400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0382248" y="15887700"/>
          <a:ext cx="1581151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자가소모 출고 정산</a:t>
          </a:r>
        </a:p>
      </xdr:txBody>
    </xdr:sp>
    <xdr:clientData/>
  </xdr:twoCellAnchor>
  <xdr:twoCellAnchor>
    <xdr:from>
      <xdr:col>60</xdr:col>
      <xdr:colOff>247649</xdr:colOff>
      <xdr:row>16</xdr:row>
      <xdr:rowOff>85725</xdr:rowOff>
    </xdr:from>
    <xdr:to>
      <xdr:col>66</xdr:col>
      <xdr:colOff>238125</xdr:colOff>
      <xdr:row>17</xdr:row>
      <xdr:rowOff>171450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5325724" y="3609975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거점간 제상품 입고 현황</a:t>
          </a:r>
        </a:p>
      </xdr:txBody>
    </xdr:sp>
    <xdr:clientData/>
  </xdr:twoCellAnchor>
  <xdr:twoCellAnchor>
    <xdr:from>
      <xdr:col>77</xdr:col>
      <xdr:colOff>9524</xdr:colOff>
      <xdr:row>20</xdr:row>
      <xdr:rowOff>66675</xdr:rowOff>
    </xdr:from>
    <xdr:to>
      <xdr:col>83</xdr:col>
      <xdr:colOff>123826</xdr:colOff>
      <xdr:row>21</xdr:row>
      <xdr:rowOff>152400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0382249" y="16840200"/>
          <a:ext cx="1600202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거점간 제상품 출고 현황</a:t>
          </a:r>
        </a:p>
      </xdr:txBody>
    </xdr:sp>
    <xdr:clientData/>
  </xdr:twoCellAnchor>
  <xdr:twoCellAnchor>
    <xdr:from>
      <xdr:col>57</xdr:col>
      <xdr:colOff>209551</xdr:colOff>
      <xdr:row>17</xdr:row>
      <xdr:rowOff>76200</xdr:rowOff>
    </xdr:from>
    <xdr:to>
      <xdr:col>61</xdr:col>
      <xdr:colOff>19051</xdr:colOff>
      <xdr:row>19</xdr:row>
      <xdr:rowOff>161924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GrpSpPr/>
      </xdr:nvGrpSpPr>
      <xdr:grpSpPr>
        <a:xfrm>
          <a:off x="14049376" y="4314825"/>
          <a:ext cx="800100" cy="561974"/>
          <a:chOff x="2447926" y="15573375"/>
          <a:chExt cx="800100" cy="561974"/>
        </a:xfrm>
      </xdr:grpSpPr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2447926" y="15592424"/>
            <a:ext cx="800100" cy="542925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WMS / ERP</a:t>
            </a:r>
          </a:p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 I/F</a:t>
            </a:r>
            <a:endParaRPr lang="ko-KR" altLang="en-US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cxnSp macro="">
        <xdr:nvCxnSpPr>
          <xdr:cNvPr id="263" name="직선 화살표 연결선 262">
            <a:extLst>
              <a:ext uri="{FF2B5EF4-FFF2-40B4-BE49-F238E27FC236}">
                <a16:creationId xmlns:a16="http://schemas.microsoft.com/office/drawing/2014/main" id="{00000000-0008-0000-0400-000007010000}"/>
              </a:ext>
            </a:extLst>
          </xdr:cNvPr>
          <xdr:cNvCxnSpPr/>
        </xdr:nvCxnSpPr>
        <xdr:spPr>
          <a:xfrm flipH="1">
            <a:off x="3019426" y="15573375"/>
            <a:ext cx="171449" cy="123826"/>
          </a:xfrm>
          <a:prstGeom prst="straightConnector1">
            <a:avLst/>
          </a:prstGeom>
          <a:ln w="12700">
            <a:solidFill>
              <a:srgbClr val="FF0000"/>
            </a:solidFill>
            <a:prstDash val="sysDash"/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70</xdr:col>
      <xdr:colOff>47626</xdr:colOff>
      <xdr:row>18</xdr:row>
      <xdr:rowOff>142875</xdr:rowOff>
    </xdr:from>
    <xdr:to>
      <xdr:col>76</xdr:col>
      <xdr:colOff>240164</xdr:colOff>
      <xdr:row>21</xdr:row>
      <xdr:rowOff>123825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GrpSpPr/>
      </xdr:nvGrpSpPr>
      <xdr:grpSpPr>
        <a:xfrm>
          <a:off x="17106901" y="4619625"/>
          <a:ext cx="1678438" cy="695325"/>
          <a:chOff x="8686801" y="15525750"/>
          <a:chExt cx="1678438" cy="695325"/>
        </a:xfrm>
      </xdr:grpSpPr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8686801" y="15525750"/>
            <a:ext cx="1676402" cy="695325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In-Transit</a:t>
            </a:r>
            <a:r>
              <a:rPr lang="en-US" altLang="ko-KR" sz="800" b="0" baseline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 </a:t>
            </a:r>
            <a:r>
              <a:rPr lang="ko-KR" altLang="en-US" sz="800" b="0" baseline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대상 출고</a:t>
            </a:r>
            <a:r>
              <a:rPr lang="en-US" altLang="ko-KR" sz="800" b="0" baseline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TR</a:t>
            </a:r>
            <a:endParaRPr lang="en-US" altLang="ko-KR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Target Depot </a:t>
            </a:r>
            <a:r>
              <a:rPr lang="ko-KR" altLang="en-US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입고승인 정보</a:t>
            </a:r>
            <a:endParaRPr lang="en-US" altLang="ko-KR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ERP I/F</a:t>
            </a:r>
            <a:endParaRPr lang="ko-KR" altLang="en-US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cxnSp macro="">
        <xdr:nvCxnSpPr>
          <xdr:cNvPr id="266" name="직선 화살표 연결선 265">
            <a:extLst>
              <a:ext uri="{FF2B5EF4-FFF2-40B4-BE49-F238E27FC236}">
                <a16:creationId xmlns:a16="http://schemas.microsoft.com/office/drawing/2014/main" id="{00000000-0008-0000-0400-00000A010000}"/>
              </a:ext>
            </a:extLst>
          </xdr:cNvPr>
          <xdr:cNvCxnSpPr/>
        </xdr:nvCxnSpPr>
        <xdr:spPr>
          <a:xfrm flipH="1" flipV="1">
            <a:off x="10210800" y="15963900"/>
            <a:ext cx="154439" cy="104866"/>
          </a:xfrm>
          <a:prstGeom prst="straightConnector1">
            <a:avLst/>
          </a:prstGeom>
          <a:ln w="12700">
            <a:solidFill>
              <a:srgbClr val="FF0000"/>
            </a:solidFill>
            <a:prstDash val="sysDash"/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77</xdr:col>
      <xdr:colOff>85726</xdr:colOff>
      <xdr:row>17</xdr:row>
      <xdr:rowOff>114300</xdr:rowOff>
    </xdr:from>
    <xdr:to>
      <xdr:col>83</xdr:col>
      <xdr:colOff>66676</xdr:colOff>
      <xdr:row>18</xdr:row>
      <xdr:rowOff>173992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0458451" y="16173450"/>
          <a:ext cx="1466850" cy="297817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권한 제한 필요</a:t>
          </a:r>
          <a:r>
            <a:rPr lang="en-US" altLang="ko-KR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800" b="0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41</xdr:col>
      <xdr:colOff>247649</xdr:colOff>
      <xdr:row>15</xdr:row>
      <xdr:rowOff>76200</xdr:rowOff>
    </xdr:from>
    <xdr:to>
      <xdr:col>48</xdr:col>
      <xdr:colOff>123825</xdr:colOff>
      <xdr:row>16</xdr:row>
      <xdr:rowOff>161925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0372724" y="3362325"/>
          <a:ext cx="160972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자가소모 출고 정산</a:t>
          </a:r>
        </a:p>
      </xdr:txBody>
    </xdr:sp>
    <xdr:clientData/>
  </xdr:twoCellAnchor>
  <xdr:twoCellAnchor>
    <xdr:from>
      <xdr:col>42</xdr:col>
      <xdr:colOff>85726</xdr:colOff>
      <xdr:row>16</xdr:row>
      <xdr:rowOff>114300</xdr:rowOff>
    </xdr:from>
    <xdr:to>
      <xdr:col>48</xdr:col>
      <xdr:colOff>66676</xdr:colOff>
      <xdr:row>17</xdr:row>
      <xdr:rowOff>173992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0458451" y="3638550"/>
          <a:ext cx="1466850" cy="297817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권한 제한 필요</a:t>
          </a:r>
          <a:r>
            <a:rPr lang="en-US" altLang="ko-KR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800" b="0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107</xdr:col>
      <xdr:colOff>123823</xdr:colOff>
      <xdr:row>23</xdr:row>
      <xdr:rowOff>85725</xdr:rowOff>
    </xdr:from>
    <xdr:to>
      <xdr:col>114</xdr:col>
      <xdr:colOff>47624</xdr:colOff>
      <xdr:row>24</xdr:row>
      <xdr:rowOff>171450</xdr:rowOff>
    </xdr:to>
    <xdr:sp macro="" textlink="">
      <xdr:nvSpPr>
        <xdr:cNvPr id="270" name="직사각형 26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6346148" y="5753100"/>
          <a:ext cx="1657351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자가소모창고 출고 요청</a:t>
          </a:r>
        </a:p>
      </xdr:txBody>
    </xdr:sp>
    <xdr:clientData/>
  </xdr:twoCellAnchor>
  <xdr:twoCellAnchor>
    <xdr:from>
      <xdr:col>108</xdr:col>
      <xdr:colOff>1</xdr:colOff>
      <xdr:row>24</xdr:row>
      <xdr:rowOff>142875</xdr:rowOff>
    </xdr:from>
    <xdr:to>
      <xdr:col>113</xdr:col>
      <xdr:colOff>228601</xdr:colOff>
      <xdr:row>25</xdr:row>
      <xdr:rowOff>202567</xdr:rowOff>
    </xdr:to>
    <xdr:sp macro="" textlink="">
      <xdr:nvSpPr>
        <xdr:cNvPr id="271" name="직사각형 270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6469976" y="6048375"/>
          <a:ext cx="1466850" cy="297817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권한 제한 필요</a:t>
          </a:r>
          <a:r>
            <a:rPr lang="en-US" altLang="ko-KR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800" b="0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118</xdr:col>
      <xdr:colOff>104774</xdr:colOff>
      <xdr:row>40</xdr:row>
      <xdr:rowOff>95250</xdr:rowOff>
    </xdr:from>
    <xdr:to>
      <xdr:col>124</xdr:col>
      <xdr:colOff>95250</xdr:colOff>
      <xdr:row>41</xdr:row>
      <xdr:rowOff>180975</xdr:rowOff>
    </xdr:to>
    <xdr:sp macro="" textlink="">
      <xdr:nvSpPr>
        <xdr:cNvPr id="272" name="직사각형 27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9051249" y="9810750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판매취소 등록</a:t>
          </a:r>
        </a:p>
      </xdr:txBody>
    </xdr:sp>
    <xdr:clientData/>
  </xdr:twoCellAnchor>
  <xdr:twoCellAnchor>
    <xdr:from>
      <xdr:col>118</xdr:col>
      <xdr:colOff>104774</xdr:colOff>
      <xdr:row>42</xdr:row>
      <xdr:rowOff>85725</xdr:rowOff>
    </xdr:from>
    <xdr:to>
      <xdr:col>124</xdr:col>
      <xdr:colOff>95250</xdr:colOff>
      <xdr:row>43</xdr:row>
      <xdr:rowOff>171450</xdr:rowOff>
    </xdr:to>
    <xdr:sp macro="" textlink="">
      <xdr:nvSpPr>
        <xdr:cNvPr id="274" name="직사각형 27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9051249" y="10277475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매장</a:t>
          </a:r>
          <a:r>
            <a:rPr lang="ko-KR" altLang="en-US" sz="900" b="1" baseline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 판매 현황</a:t>
          </a:r>
          <a:endParaRPr lang="ko-KR" altLang="en-US" sz="900" b="1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68</xdr:col>
      <xdr:colOff>95249</xdr:colOff>
      <xdr:row>16</xdr:row>
      <xdr:rowOff>57150</xdr:rowOff>
    </xdr:from>
    <xdr:to>
      <xdr:col>74</xdr:col>
      <xdr:colOff>85725</xdr:colOff>
      <xdr:row>17</xdr:row>
      <xdr:rowOff>142875</xdr:rowOff>
    </xdr:to>
    <xdr:sp macro="" textlink="">
      <xdr:nvSpPr>
        <xdr:cNvPr id="275" name="직사각형 274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7743824" y="17306925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자가소모창고 출고 요청</a:t>
          </a:r>
        </a:p>
      </xdr:txBody>
    </xdr:sp>
    <xdr:clientData/>
  </xdr:twoCellAnchor>
  <xdr:twoCellAnchor>
    <xdr:from>
      <xdr:col>68</xdr:col>
      <xdr:colOff>114301</xdr:colOff>
      <xdr:row>17</xdr:row>
      <xdr:rowOff>114300</xdr:rowOff>
    </xdr:from>
    <xdr:to>
      <xdr:col>74</xdr:col>
      <xdr:colOff>95251</xdr:colOff>
      <xdr:row>18</xdr:row>
      <xdr:rowOff>173992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7762876" y="17602200"/>
          <a:ext cx="1466850" cy="297817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권한 제한 필요</a:t>
          </a:r>
          <a:r>
            <a:rPr lang="en-US" altLang="ko-KR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800" b="0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77</xdr:col>
      <xdr:colOff>9524</xdr:colOff>
      <xdr:row>22</xdr:row>
      <xdr:rowOff>85725</xdr:rowOff>
    </xdr:from>
    <xdr:to>
      <xdr:col>83</xdr:col>
      <xdr:colOff>123826</xdr:colOff>
      <xdr:row>23</xdr:row>
      <xdr:rowOff>171450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0382249" y="18764250"/>
          <a:ext cx="1600202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자가소모창고 출고 현황</a:t>
          </a:r>
        </a:p>
      </xdr:txBody>
    </xdr:sp>
    <xdr:clientData/>
  </xdr:twoCellAnchor>
  <xdr:twoCellAnchor>
    <xdr:from>
      <xdr:col>80</xdr:col>
      <xdr:colOff>0</xdr:colOff>
      <xdr:row>21</xdr:row>
      <xdr:rowOff>133350</xdr:rowOff>
    </xdr:from>
    <xdr:to>
      <xdr:col>80</xdr:col>
      <xdr:colOff>114300</xdr:colOff>
      <xdr:row>22</xdr:row>
      <xdr:rowOff>104775</xdr:rowOff>
    </xdr:to>
    <xdr:sp macro="" textlink="">
      <xdr:nvSpPr>
        <xdr:cNvPr id="278" name="위쪽/아래쪽 화살표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>
          <a:off x="11115675" y="18573750"/>
          <a:ext cx="114300" cy="209550"/>
        </a:xfrm>
        <a:prstGeom prst="up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52</xdr:col>
      <xdr:colOff>152400</xdr:colOff>
      <xdr:row>14</xdr:row>
      <xdr:rowOff>0</xdr:rowOff>
    </xdr:from>
    <xdr:to>
      <xdr:col>53</xdr:col>
      <xdr:colOff>48750</xdr:colOff>
      <xdr:row>14</xdr:row>
      <xdr:rowOff>144000</xdr:rowOff>
    </xdr:to>
    <xdr:sp macro="" textlink="">
      <xdr:nvSpPr>
        <xdr:cNvPr id="279" name="순서도: 연결자 278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13001625" y="3048000"/>
          <a:ext cx="14400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51</xdr:col>
      <xdr:colOff>9525</xdr:colOff>
      <xdr:row>15</xdr:row>
      <xdr:rowOff>19050</xdr:rowOff>
    </xdr:from>
    <xdr:to>
      <xdr:col>54</xdr:col>
      <xdr:colOff>209551</xdr:colOff>
      <xdr:row>16</xdr:row>
      <xdr:rowOff>78742</xdr:rowOff>
    </xdr:to>
    <xdr:sp macro="" textlink="">
      <xdr:nvSpPr>
        <xdr:cNvPr id="280" name="직사각형 27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2611100" y="3305175"/>
          <a:ext cx="942976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9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물리</a:t>
          </a:r>
          <a:r>
            <a:rPr lang="en-US" altLang="ko-KR" sz="9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)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Center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52</xdr:col>
      <xdr:colOff>152400</xdr:colOff>
      <xdr:row>16</xdr:row>
      <xdr:rowOff>104775</xdr:rowOff>
    </xdr:from>
    <xdr:to>
      <xdr:col>53</xdr:col>
      <xdr:colOff>48750</xdr:colOff>
      <xdr:row>17</xdr:row>
      <xdr:rowOff>10650</xdr:rowOff>
    </xdr:to>
    <xdr:sp macro="" textlink="">
      <xdr:nvSpPr>
        <xdr:cNvPr id="281" name="순서도: 연결자 280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13001625" y="3629025"/>
          <a:ext cx="14400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51</xdr:col>
      <xdr:colOff>38099</xdr:colOff>
      <xdr:row>12</xdr:row>
      <xdr:rowOff>142875</xdr:rowOff>
    </xdr:from>
    <xdr:to>
      <xdr:col>54</xdr:col>
      <xdr:colOff>171450</xdr:colOff>
      <xdr:row>13</xdr:row>
      <xdr:rowOff>202567</xdr:rowOff>
    </xdr:to>
    <xdr:sp macro="" textlink="">
      <xdr:nvSpPr>
        <xdr:cNvPr id="282" name="직사각형 28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2639674" y="2714625"/>
          <a:ext cx="876301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Off-Store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52</xdr:col>
      <xdr:colOff>85725</xdr:colOff>
      <xdr:row>18</xdr:row>
      <xdr:rowOff>180975</xdr:rowOff>
    </xdr:from>
    <xdr:to>
      <xdr:col>52</xdr:col>
      <xdr:colOff>229725</xdr:colOff>
      <xdr:row>19</xdr:row>
      <xdr:rowOff>86850</xdr:rowOff>
    </xdr:to>
    <xdr:sp macro="" textlink="">
      <xdr:nvSpPr>
        <xdr:cNvPr id="285" name="순서도: 연결자 284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12934950" y="4181475"/>
          <a:ext cx="14400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50</xdr:col>
      <xdr:colOff>104774</xdr:colOff>
      <xdr:row>17</xdr:row>
      <xdr:rowOff>104775</xdr:rowOff>
    </xdr:from>
    <xdr:to>
      <xdr:col>54</xdr:col>
      <xdr:colOff>228600</xdr:colOff>
      <xdr:row>18</xdr:row>
      <xdr:rowOff>164467</xdr:rowOff>
    </xdr:to>
    <xdr:sp macro="" textlink="">
      <xdr:nvSpPr>
        <xdr:cNvPr id="286" name="직사각형 285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2458699" y="3867150"/>
          <a:ext cx="1114426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Virtual Store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45</xdr:col>
      <xdr:colOff>105901</xdr:colOff>
      <xdr:row>14</xdr:row>
      <xdr:rowOff>72001</xdr:rowOff>
    </xdr:from>
    <xdr:to>
      <xdr:col>52</xdr:col>
      <xdr:colOff>85726</xdr:colOff>
      <xdr:row>19</xdr:row>
      <xdr:rowOff>14850</xdr:rowOff>
    </xdr:to>
    <xdr:cxnSp macro="">
      <xdr:nvCxnSpPr>
        <xdr:cNvPr id="287" name="꺾인 연결선 286">
          <a:extLst>
            <a:ext uri="{FF2B5EF4-FFF2-40B4-BE49-F238E27FC236}">
              <a16:creationId xmlns:a16="http://schemas.microsoft.com/office/drawing/2014/main" id="{00000000-0008-0000-0400-00001F010000}"/>
            </a:ext>
          </a:extLst>
        </xdr:cNvPr>
        <xdr:cNvCxnSpPr>
          <a:stCxn id="285" idx="2"/>
          <a:endCxn id="151" idx="6"/>
        </xdr:cNvCxnSpPr>
      </xdr:nvCxnSpPr>
      <xdr:spPr>
        <a:xfrm rot="10800000">
          <a:off x="11221576" y="3120001"/>
          <a:ext cx="1713375" cy="1133474"/>
        </a:xfrm>
        <a:prstGeom prst="bentConnector3">
          <a:avLst>
            <a:gd name="adj1" fmla="val 28319"/>
          </a:avLst>
        </a:prstGeom>
        <a:ln w="15875">
          <a:solidFill>
            <a:schemeClr val="bg1">
              <a:lumMod val="50000"/>
            </a:schemeClr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</xdr:row>
      <xdr:rowOff>219075</xdr:rowOff>
    </xdr:from>
    <xdr:to>
      <xdr:col>5</xdr:col>
      <xdr:colOff>144000</xdr:colOff>
      <xdr:row>21</xdr:row>
      <xdr:rowOff>124950</xdr:rowOff>
    </xdr:to>
    <xdr:sp macro="" textlink="">
      <xdr:nvSpPr>
        <xdr:cNvPr id="288" name="순서도: 연결자 28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1104900" y="4695825"/>
          <a:ext cx="14400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3</xdr:col>
      <xdr:colOff>104774</xdr:colOff>
      <xdr:row>19</xdr:row>
      <xdr:rowOff>142875</xdr:rowOff>
    </xdr:from>
    <xdr:to>
      <xdr:col>8</xdr:col>
      <xdr:colOff>123825</xdr:colOff>
      <xdr:row>20</xdr:row>
      <xdr:rowOff>202567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714374" y="4381500"/>
          <a:ext cx="1114426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Virtual Store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5</xdr:col>
      <xdr:colOff>144001</xdr:colOff>
      <xdr:row>14</xdr:row>
      <xdr:rowOff>72001</xdr:rowOff>
    </xdr:from>
    <xdr:to>
      <xdr:col>16</xdr:col>
      <xdr:colOff>190501</xdr:colOff>
      <xdr:row>21</xdr:row>
      <xdr:rowOff>52950</xdr:rowOff>
    </xdr:to>
    <xdr:cxnSp macro="">
      <xdr:nvCxnSpPr>
        <xdr:cNvPr id="290" name="꺾인 연결선 289"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CxnSpPr>
          <a:stCxn id="5" idx="2"/>
          <a:endCxn id="288" idx="6"/>
        </xdr:cNvCxnSpPr>
      </xdr:nvCxnSpPr>
      <xdr:spPr>
        <a:xfrm rot="10800000" flipV="1">
          <a:off x="1248901" y="3120001"/>
          <a:ext cx="2627775" cy="1647824"/>
        </a:xfrm>
        <a:prstGeom prst="bentConnector3">
          <a:avLst>
            <a:gd name="adj1" fmla="val 71386"/>
          </a:avLst>
        </a:prstGeom>
        <a:ln w="15875">
          <a:solidFill>
            <a:schemeClr val="bg1">
              <a:lumMod val="50000"/>
            </a:schemeClr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123825</xdr:colOff>
      <xdr:row>19</xdr:row>
      <xdr:rowOff>47625</xdr:rowOff>
    </xdr:from>
    <xdr:to>
      <xdr:col>132</xdr:col>
      <xdr:colOff>9525</xdr:colOff>
      <xdr:row>19</xdr:row>
      <xdr:rowOff>191625</xdr:rowOff>
    </xdr:to>
    <xdr:sp macro="" textlink="">
      <xdr:nvSpPr>
        <xdr:cNvPr id="291" name="순서도: 연결자 290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32537400" y="4286250"/>
          <a:ext cx="13335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129</xdr:col>
      <xdr:colOff>161924</xdr:colOff>
      <xdr:row>17</xdr:row>
      <xdr:rowOff>180975</xdr:rowOff>
    </xdr:from>
    <xdr:to>
      <xdr:col>133</xdr:col>
      <xdr:colOff>133349</xdr:colOff>
      <xdr:row>19</xdr:row>
      <xdr:rowOff>2542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2080199" y="3943350"/>
          <a:ext cx="962025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Virtual Store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121</xdr:col>
      <xdr:colOff>153525</xdr:colOff>
      <xdr:row>14</xdr:row>
      <xdr:rowOff>72002</xdr:rowOff>
    </xdr:from>
    <xdr:to>
      <xdr:col>131</xdr:col>
      <xdr:colOff>123825</xdr:colOff>
      <xdr:row>19</xdr:row>
      <xdr:rowOff>119626</xdr:rowOff>
    </xdr:to>
    <xdr:cxnSp macro="">
      <xdr:nvCxnSpPr>
        <xdr:cNvPr id="293" name="꺾인 연결선 292">
          <a:extLst>
            <a:ext uri="{FF2B5EF4-FFF2-40B4-BE49-F238E27FC236}">
              <a16:creationId xmlns:a16="http://schemas.microsoft.com/office/drawing/2014/main" id="{00000000-0008-0000-0400-000025010000}"/>
            </a:ext>
          </a:extLst>
        </xdr:cNvPr>
        <xdr:cNvCxnSpPr>
          <a:stCxn id="291" idx="2"/>
          <a:endCxn id="127" idx="6"/>
        </xdr:cNvCxnSpPr>
      </xdr:nvCxnSpPr>
      <xdr:spPr>
        <a:xfrm rot="10800000">
          <a:off x="30090600" y="3120002"/>
          <a:ext cx="2446800" cy="1238249"/>
        </a:xfrm>
        <a:prstGeom prst="bentConnector3">
          <a:avLst>
            <a:gd name="adj1" fmla="val 60511"/>
          </a:avLst>
        </a:prstGeom>
        <a:ln w="15875">
          <a:solidFill>
            <a:schemeClr val="bg1">
              <a:lumMod val="50000"/>
            </a:schemeClr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105900</xdr:colOff>
      <xdr:row>14</xdr:row>
      <xdr:rowOff>72001</xdr:rowOff>
    </xdr:from>
    <xdr:to>
      <xdr:col>52</xdr:col>
      <xdr:colOff>152400</xdr:colOff>
      <xdr:row>16</xdr:row>
      <xdr:rowOff>176775</xdr:rowOff>
    </xdr:to>
    <xdr:cxnSp macro="">
      <xdr:nvCxnSpPr>
        <xdr:cNvPr id="225" name="꺾인 연결선 224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CxnSpPr>
          <a:stCxn id="281" idx="2"/>
          <a:endCxn id="151" idx="6"/>
        </xdr:cNvCxnSpPr>
      </xdr:nvCxnSpPr>
      <xdr:spPr>
        <a:xfrm rot="10800000">
          <a:off x="11221575" y="3120001"/>
          <a:ext cx="1780050" cy="581024"/>
        </a:xfrm>
        <a:prstGeom prst="bentConnector3">
          <a:avLst>
            <a:gd name="adj1" fmla="val 30736"/>
          </a:avLst>
        </a:prstGeom>
        <a:ln w="15875">
          <a:solidFill>
            <a:schemeClr val="bg1">
              <a:lumMod val="50000"/>
            </a:schemeClr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48750</xdr:colOff>
      <xdr:row>14</xdr:row>
      <xdr:rowOff>72000</xdr:rowOff>
    </xdr:from>
    <xdr:to>
      <xdr:col>63</xdr:col>
      <xdr:colOff>161925</xdr:colOff>
      <xdr:row>14</xdr:row>
      <xdr:rowOff>72001</xdr:rowOff>
    </xdr:to>
    <xdr:cxnSp macro="">
      <xdr:nvCxnSpPr>
        <xdr:cNvPr id="226" name="직선 연결선 225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>
          <a:stCxn id="279" idx="6"/>
          <a:endCxn id="240" idx="2"/>
        </xdr:cNvCxnSpPr>
      </xdr:nvCxnSpPr>
      <xdr:spPr>
        <a:xfrm>
          <a:off x="13145625" y="3120000"/>
          <a:ext cx="2589675" cy="1"/>
        </a:xfrm>
        <a:prstGeom prst="line">
          <a:avLst/>
        </a:prstGeom>
        <a:ln w="15875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48751</xdr:colOff>
      <xdr:row>14</xdr:row>
      <xdr:rowOff>72001</xdr:rowOff>
    </xdr:from>
    <xdr:to>
      <xdr:col>63</xdr:col>
      <xdr:colOff>161926</xdr:colOff>
      <xdr:row>16</xdr:row>
      <xdr:rowOff>176775</xdr:rowOff>
    </xdr:to>
    <xdr:cxnSp macro="">
      <xdr:nvCxnSpPr>
        <xdr:cNvPr id="234" name="꺾인 연결선 233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CxnSpPr>
          <a:stCxn id="240" idx="2"/>
          <a:endCxn id="281" idx="6"/>
        </xdr:cNvCxnSpPr>
      </xdr:nvCxnSpPr>
      <xdr:spPr>
        <a:xfrm rot="10800000" flipV="1">
          <a:off x="13145626" y="3120001"/>
          <a:ext cx="2589675" cy="581024"/>
        </a:xfrm>
        <a:prstGeom prst="bentConnector3">
          <a:avLst>
            <a:gd name="adj1" fmla="val 50000"/>
          </a:avLst>
        </a:prstGeom>
        <a:ln w="15875">
          <a:solidFill>
            <a:schemeClr val="bg1">
              <a:lumMod val="50000"/>
            </a:schemeClr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229725</xdr:colOff>
      <xdr:row>14</xdr:row>
      <xdr:rowOff>72000</xdr:rowOff>
    </xdr:from>
    <xdr:to>
      <xdr:col>86</xdr:col>
      <xdr:colOff>95250</xdr:colOff>
      <xdr:row>14</xdr:row>
      <xdr:rowOff>72001</xdr:rowOff>
    </xdr:to>
    <xdr:cxnSp macro="">
      <xdr:nvCxnSpPr>
        <xdr:cNvPr id="235" name="직선 연결선 234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>
          <a:stCxn id="245" idx="6"/>
          <a:endCxn id="251" idx="2"/>
        </xdr:cNvCxnSpPr>
      </xdr:nvCxnSpPr>
      <xdr:spPr>
        <a:xfrm flipV="1">
          <a:off x="20013150" y="3120000"/>
          <a:ext cx="1599075" cy="1"/>
        </a:xfrm>
        <a:prstGeom prst="line">
          <a:avLst/>
        </a:prstGeom>
        <a:ln w="15875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85725</xdr:colOff>
      <xdr:row>19</xdr:row>
      <xdr:rowOff>28575</xdr:rowOff>
    </xdr:from>
    <xdr:to>
      <xdr:col>86</xdr:col>
      <xdr:colOff>229725</xdr:colOff>
      <xdr:row>19</xdr:row>
      <xdr:rowOff>172575</xdr:rowOff>
    </xdr:to>
    <xdr:sp macro="" textlink="">
      <xdr:nvSpPr>
        <xdr:cNvPr id="238" name="순서도: 연결자 23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21355050" y="4267200"/>
          <a:ext cx="14400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84</xdr:col>
      <xdr:colOff>123825</xdr:colOff>
      <xdr:row>17</xdr:row>
      <xdr:rowOff>161925</xdr:rowOff>
    </xdr:from>
    <xdr:to>
      <xdr:col>88</xdr:col>
      <xdr:colOff>180975</xdr:colOff>
      <xdr:row>18</xdr:row>
      <xdr:rowOff>221617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0897850" y="3924300"/>
          <a:ext cx="1047750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자가소모창고</a:t>
          </a:r>
        </a:p>
      </xdr:txBody>
    </xdr:sp>
    <xdr:clientData/>
  </xdr:twoCellAnchor>
  <xdr:twoCellAnchor>
    <xdr:from>
      <xdr:col>80</xdr:col>
      <xdr:colOff>229725</xdr:colOff>
      <xdr:row>14</xdr:row>
      <xdr:rowOff>72001</xdr:rowOff>
    </xdr:from>
    <xdr:to>
      <xdr:col>86</xdr:col>
      <xdr:colOff>85725</xdr:colOff>
      <xdr:row>19</xdr:row>
      <xdr:rowOff>100575</xdr:rowOff>
    </xdr:to>
    <xdr:cxnSp macro="">
      <xdr:nvCxnSpPr>
        <xdr:cNvPr id="248" name="꺾인 연결선 247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CxnSpPr>
          <a:stCxn id="245" idx="6"/>
          <a:endCxn id="238" idx="2"/>
        </xdr:cNvCxnSpPr>
      </xdr:nvCxnSpPr>
      <xdr:spPr>
        <a:xfrm>
          <a:off x="20013150" y="3120001"/>
          <a:ext cx="1341900" cy="1219199"/>
        </a:xfrm>
        <a:prstGeom prst="bentConnector3">
          <a:avLst>
            <a:gd name="adj1" fmla="val 59937"/>
          </a:avLst>
        </a:prstGeom>
        <a:ln w="15875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161925</xdr:colOff>
      <xdr:row>14</xdr:row>
      <xdr:rowOff>0</xdr:rowOff>
    </xdr:from>
    <xdr:to>
      <xdr:col>128</xdr:col>
      <xdr:colOff>58275</xdr:colOff>
      <xdr:row>14</xdr:row>
      <xdr:rowOff>144000</xdr:rowOff>
    </xdr:to>
    <xdr:sp macro="" textlink="">
      <xdr:nvSpPr>
        <xdr:cNvPr id="261" name="순서도: 연결자 260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31584900" y="3048000"/>
          <a:ext cx="144000" cy="144000"/>
        </a:xfrm>
        <a:prstGeom prst="flowChartConnector">
          <a:avLst/>
        </a:prstGeom>
        <a:solidFill>
          <a:schemeClr val="accent3">
            <a:lumMod val="60000"/>
            <a:lumOff val="40000"/>
          </a:schemeClr>
        </a:solidFill>
        <a:ln w="25400"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126</xdr:col>
      <xdr:colOff>114300</xdr:colOff>
      <xdr:row>12</xdr:row>
      <xdr:rowOff>76200</xdr:rowOff>
    </xdr:from>
    <xdr:to>
      <xdr:col>129</xdr:col>
      <xdr:colOff>133350</xdr:colOff>
      <xdr:row>13</xdr:row>
      <xdr:rowOff>209550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1289625" y="2647950"/>
          <a:ext cx="762000" cy="371475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In-Transit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145</xdr:col>
      <xdr:colOff>0</xdr:colOff>
      <xdr:row>14</xdr:row>
      <xdr:rowOff>1</xdr:rowOff>
    </xdr:from>
    <xdr:to>
      <xdr:col>145</xdr:col>
      <xdr:colOff>144000</xdr:colOff>
      <xdr:row>14</xdr:row>
      <xdr:rowOff>144001</xdr:rowOff>
    </xdr:to>
    <xdr:sp macro="" textlink="">
      <xdr:nvSpPr>
        <xdr:cNvPr id="273" name="순서도: 연결자 272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23002875" y="3048001"/>
          <a:ext cx="144000" cy="144000"/>
        </a:xfrm>
        <a:prstGeom prst="flowChartConnector">
          <a:avLst/>
        </a:prstGeom>
        <a:solidFill>
          <a:schemeClr val="tx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145</xdr:col>
      <xdr:colOff>144000</xdr:colOff>
      <xdr:row>14</xdr:row>
      <xdr:rowOff>72001</xdr:rowOff>
    </xdr:from>
    <xdr:to>
      <xdr:col>153</xdr:col>
      <xdr:colOff>66675</xdr:colOff>
      <xdr:row>14</xdr:row>
      <xdr:rowOff>72001</xdr:rowOff>
    </xdr:to>
    <xdr:cxnSp macro="">
      <xdr:nvCxnSpPr>
        <xdr:cNvPr id="301" name="직선 연결선 30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CxnSpPr>
          <a:stCxn id="273" idx="6"/>
          <a:endCxn id="304" idx="2"/>
        </xdr:cNvCxnSpPr>
      </xdr:nvCxnSpPr>
      <xdr:spPr>
        <a:xfrm>
          <a:off x="34043475" y="3120001"/>
          <a:ext cx="1656225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144</xdr:col>
      <xdr:colOff>76200</xdr:colOff>
      <xdr:row>12</xdr:row>
      <xdr:rowOff>142875</xdr:rowOff>
    </xdr:from>
    <xdr:to>
      <xdr:col>146</xdr:col>
      <xdr:colOff>85726</xdr:colOff>
      <xdr:row>13</xdr:row>
      <xdr:rowOff>228600</xdr:rowOff>
    </xdr:to>
    <xdr:sp macro="" textlink="">
      <xdr:nvSpPr>
        <xdr:cNvPr id="302" name="직사각형 30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2831425" y="2714625"/>
          <a:ext cx="504826" cy="32385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입고</a:t>
          </a:r>
        </a:p>
      </xdr:txBody>
    </xdr:sp>
    <xdr:clientData/>
  </xdr:twoCellAnchor>
  <xdr:twoCellAnchor>
    <xdr:from>
      <xdr:col>152</xdr:col>
      <xdr:colOff>152400</xdr:colOff>
      <xdr:row>12</xdr:row>
      <xdr:rowOff>142875</xdr:rowOff>
    </xdr:from>
    <xdr:to>
      <xdr:col>154</xdr:col>
      <xdr:colOff>161926</xdr:colOff>
      <xdr:row>13</xdr:row>
      <xdr:rowOff>228600</xdr:rowOff>
    </xdr:to>
    <xdr:sp macro="" textlink="">
      <xdr:nvSpPr>
        <xdr:cNvPr id="303" name="직사각형 302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5537775" y="2714625"/>
          <a:ext cx="504826" cy="32385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출고</a:t>
          </a:r>
        </a:p>
      </xdr:txBody>
    </xdr:sp>
    <xdr:clientData/>
  </xdr:twoCellAnchor>
  <xdr:twoCellAnchor>
    <xdr:from>
      <xdr:col>153</xdr:col>
      <xdr:colOff>66675</xdr:colOff>
      <xdr:row>14</xdr:row>
      <xdr:rowOff>1</xdr:rowOff>
    </xdr:from>
    <xdr:to>
      <xdr:col>153</xdr:col>
      <xdr:colOff>210675</xdr:colOff>
      <xdr:row>14</xdr:row>
      <xdr:rowOff>144001</xdr:rowOff>
    </xdr:to>
    <xdr:sp macro="" textlink="">
      <xdr:nvSpPr>
        <xdr:cNvPr id="304" name="순서도: 연결자 303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35699700" y="3048001"/>
          <a:ext cx="144000" cy="144000"/>
        </a:xfrm>
        <a:prstGeom prst="flowChartConnector">
          <a:avLst/>
        </a:prstGeom>
        <a:solidFill>
          <a:schemeClr val="tx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132</xdr:col>
      <xdr:colOff>9526</xdr:colOff>
      <xdr:row>14</xdr:row>
      <xdr:rowOff>72000</xdr:rowOff>
    </xdr:from>
    <xdr:to>
      <xdr:col>145</xdr:col>
      <xdr:colOff>1</xdr:colOff>
      <xdr:row>22</xdr:row>
      <xdr:rowOff>14849</xdr:rowOff>
    </xdr:to>
    <xdr:cxnSp macro="">
      <xdr:nvCxnSpPr>
        <xdr:cNvPr id="307" name="꺾인 연결선 306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CxnSpPr>
          <a:stCxn id="273" idx="2"/>
          <a:endCxn id="158" idx="6"/>
        </xdr:cNvCxnSpPr>
      </xdr:nvCxnSpPr>
      <xdr:spPr>
        <a:xfrm rot="10800000" flipV="1">
          <a:off x="32423101" y="3120000"/>
          <a:ext cx="1476375" cy="1847849"/>
        </a:xfrm>
        <a:prstGeom prst="bentConnector3">
          <a:avLst>
            <a:gd name="adj1" fmla="val 60744"/>
          </a:avLst>
        </a:prstGeom>
        <a:ln w="15875">
          <a:solidFill>
            <a:schemeClr val="bg1">
              <a:lumMod val="50000"/>
            </a:schemeClr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66674</xdr:colOff>
      <xdr:row>15</xdr:row>
      <xdr:rowOff>85725</xdr:rowOff>
    </xdr:from>
    <xdr:to>
      <xdr:col>156</xdr:col>
      <xdr:colOff>190500</xdr:colOff>
      <xdr:row>16</xdr:row>
      <xdr:rowOff>171450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4956749" y="3371850"/>
          <a:ext cx="160972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자가소모 출고 정산</a:t>
          </a:r>
        </a:p>
      </xdr:txBody>
    </xdr:sp>
    <xdr:clientData/>
  </xdr:twoCellAnchor>
  <xdr:twoCellAnchor>
    <xdr:from>
      <xdr:col>150</xdr:col>
      <xdr:colOff>152401</xdr:colOff>
      <xdr:row>16</xdr:row>
      <xdr:rowOff>123825</xdr:rowOff>
    </xdr:from>
    <xdr:to>
      <xdr:col>156</xdr:col>
      <xdr:colOff>133351</xdr:colOff>
      <xdr:row>17</xdr:row>
      <xdr:rowOff>183517</xdr:rowOff>
    </xdr:to>
    <xdr:sp macro="" textlink="">
      <xdr:nvSpPr>
        <xdr:cNvPr id="309" name="직사각형 30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5042476" y="3648075"/>
          <a:ext cx="1466850" cy="297817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권한 제한 필요</a:t>
          </a:r>
          <a:r>
            <a:rPr lang="en-US" altLang="ko-KR" sz="8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800" b="0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150</xdr:col>
      <xdr:colOff>57149</xdr:colOff>
      <xdr:row>18</xdr:row>
      <xdr:rowOff>76200</xdr:rowOff>
    </xdr:from>
    <xdr:to>
      <xdr:col>156</xdr:col>
      <xdr:colOff>171451</xdr:colOff>
      <xdr:row>19</xdr:row>
      <xdr:rowOff>161925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4947224" y="4076700"/>
          <a:ext cx="1600202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자가소모 출고 현황</a:t>
          </a:r>
        </a:p>
      </xdr:txBody>
    </xdr:sp>
    <xdr:clientData/>
  </xdr:twoCellAnchor>
  <xdr:twoCellAnchor>
    <xdr:from>
      <xdr:col>142</xdr:col>
      <xdr:colOff>38099</xdr:colOff>
      <xdr:row>15</xdr:row>
      <xdr:rowOff>85725</xdr:rowOff>
    </xdr:from>
    <xdr:to>
      <xdr:col>148</xdr:col>
      <xdr:colOff>152401</xdr:colOff>
      <xdr:row>16</xdr:row>
      <xdr:rowOff>171450</xdr:rowOff>
    </xdr:to>
    <xdr:sp macro="" textlink="">
      <xdr:nvSpPr>
        <xdr:cNvPr id="311" name="직사각형 310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3442274" y="3371850"/>
          <a:ext cx="1600202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자가소모 입고 현황</a:t>
          </a:r>
        </a:p>
      </xdr:txBody>
    </xdr:sp>
    <xdr:clientData/>
  </xdr:twoCellAnchor>
  <xdr:twoCellAnchor>
    <xdr:from>
      <xdr:col>139</xdr:col>
      <xdr:colOff>209551</xdr:colOff>
      <xdr:row>24</xdr:row>
      <xdr:rowOff>200025</xdr:rowOff>
    </xdr:from>
    <xdr:to>
      <xdr:col>140</xdr:col>
      <xdr:colOff>105901</xdr:colOff>
      <xdr:row>25</xdr:row>
      <xdr:rowOff>105900</xdr:rowOff>
    </xdr:to>
    <xdr:sp macro="" textlink="">
      <xdr:nvSpPr>
        <xdr:cNvPr id="312" name="순서도: 연결자 311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34604326" y="5629275"/>
          <a:ext cx="14400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138</xdr:col>
      <xdr:colOff>66675</xdr:colOff>
      <xdr:row>20</xdr:row>
      <xdr:rowOff>104775</xdr:rowOff>
    </xdr:from>
    <xdr:to>
      <xdr:col>142</xdr:col>
      <xdr:colOff>0</xdr:colOff>
      <xdr:row>21</xdr:row>
      <xdr:rowOff>164467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4213800" y="4581525"/>
          <a:ext cx="923925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9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물리</a:t>
          </a:r>
          <a:r>
            <a:rPr lang="en-US" altLang="ko-KR" sz="900" b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)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Center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139</xdr:col>
      <xdr:colOff>209551</xdr:colOff>
      <xdr:row>22</xdr:row>
      <xdr:rowOff>19050</xdr:rowOff>
    </xdr:from>
    <xdr:to>
      <xdr:col>140</xdr:col>
      <xdr:colOff>105901</xdr:colOff>
      <xdr:row>22</xdr:row>
      <xdr:rowOff>163050</xdr:rowOff>
    </xdr:to>
    <xdr:sp macro="" textlink="">
      <xdr:nvSpPr>
        <xdr:cNvPr id="314" name="순서도: 연결자 313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34604326" y="4972050"/>
          <a:ext cx="144000" cy="144000"/>
        </a:xfrm>
        <a:prstGeom prst="flowChartConnector">
          <a:avLst/>
        </a:prstGeom>
        <a:solidFill>
          <a:schemeClr val="bg1"/>
        </a:solidFill>
        <a:ln w="222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137</xdr:col>
      <xdr:colOff>219075</xdr:colOff>
      <xdr:row>23</xdr:row>
      <xdr:rowOff>104775</xdr:rowOff>
    </xdr:from>
    <xdr:to>
      <xdr:col>142</xdr:col>
      <xdr:colOff>95251</xdr:colOff>
      <xdr:row>24</xdr:row>
      <xdr:rowOff>164467</xdr:rowOff>
    </xdr:to>
    <xdr:sp macro="" textlink="">
      <xdr:nvSpPr>
        <xdr:cNvPr id="315" name="직사각형 314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4118550" y="5295900"/>
          <a:ext cx="1114426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Virtual Store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139</xdr:col>
      <xdr:colOff>209552</xdr:colOff>
      <xdr:row>14</xdr:row>
      <xdr:rowOff>72000</xdr:rowOff>
    </xdr:from>
    <xdr:to>
      <xdr:col>145</xdr:col>
      <xdr:colOff>1</xdr:colOff>
      <xdr:row>22</xdr:row>
      <xdr:rowOff>91049</xdr:rowOff>
    </xdr:to>
    <xdr:cxnSp macro="">
      <xdr:nvCxnSpPr>
        <xdr:cNvPr id="316" name="꺾인 연결선 315">
          <a:extLst>
            <a:ext uri="{FF2B5EF4-FFF2-40B4-BE49-F238E27FC236}">
              <a16:creationId xmlns:a16="http://schemas.microsoft.com/office/drawing/2014/main" id="{00000000-0008-0000-0400-00003C010000}"/>
            </a:ext>
          </a:extLst>
        </xdr:cNvPr>
        <xdr:cNvCxnSpPr>
          <a:stCxn id="273" idx="2"/>
          <a:endCxn id="314" idx="2"/>
        </xdr:cNvCxnSpPr>
      </xdr:nvCxnSpPr>
      <xdr:spPr>
        <a:xfrm rot="10800000" flipV="1">
          <a:off x="34604327" y="3120000"/>
          <a:ext cx="1276349" cy="1924049"/>
        </a:xfrm>
        <a:prstGeom prst="bentConnector3">
          <a:avLst>
            <a:gd name="adj1" fmla="val 164179"/>
          </a:avLst>
        </a:prstGeom>
        <a:ln w="15875">
          <a:solidFill>
            <a:schemeClr val="bg1">
              <a:lumMod val="50000"/>
            </a:schemeClr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209552</xdr:colOff>
      <xdr:row>14</xdr:row>
      <xdr:rowOff>72001</xdr:rowOff>
    </xdr:from>
    <xdr:to>
      <xdr:col>145</xdr:col>
      <xdr:colOff>1</xdr:colOff>
      <xdr:row>25</xdr:row>
      <xdr:rowOff>33900</xdr:rowOff>
    </xdr:to>
    <xdr:cxnSp macro="">
      <xdr:nvCxnSpPr>
        <xdr:cNvPr id="317" name="꺾인 연결선 316">
          <a:extLst>
            <a:ext uri="{FF2B5EF4-FFF2-40B4-BE49-F238E27FC236}">
              <a16:creationId xmlns:a16="http://schemas.microsoft.com/office/drawing/2014/main" id="{00000000-0008-0000-0400-00003D010000}"/>
            </a:ext>
          </a:extLst>
        </xdr:cNvPr>
        <xdr:cNvCxnSpPr>
          <a:stCxn id="273" idx="2"/>
          <a:endCxn id="312" idx="2"/>
        </xdr:cNvCxnSpPr>
      </xdr:nvCxnSpPr>
      <xdr:spPr>
        <a:xfrm rot="10800000" flipV="1">
          <a:off x="34604327" y="3120001"/>
          <a:ext cx="1276349" cy="2581274"/>
        </a:xfrm>
        <a:prstGeom prst="bentConnector3">
          <a:avLst>
            <a:gd name="adj1" fmla="val 164179"/>
          </a:avLst>
        </a:prstGeom>
        <a:ln w="15875">
          <a:solidFill>
            <a:schemeClr val="bg1">
              <a:lumMod val="50000"/>
            </a:schemeClr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219075</xdr:colOff>
      <xdr:row>19</xdr:row>
      <xdr:rowOff>66675</xdr:rowOff>
    </xdr:from>
    <xdr:to>
      <xdr:col>140</xdr:col>
      <xdr:colOff>115425</xdr:colOff>
      <xdr:row>19</xdr:row>
      <xdr:rowOff>210675</xdr:rowOff>
    </xdr:to>
    <xdr:sp macro="" textlink="">
      <xdr:nvSpPr>
        <xdr:cNvPr id="318" name="순서도: 연결자 31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34613850" y="4305300"/>
          <a:ext cx="144000" cy="144000"/>
        </a:xfrm>
        <a:prstGeom prst="flowChartConnector">
          <a:avLst/>
        </a:prstGeom>
        <a:solidFill>
          <a:schemeClr val="accent3">
            <a:lumMod val="60000"/>
            <a:lumOff val="40000"/>
          </a:schemeClr>
        </a:solidFill>
        <a:ln w="25400"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138</xdr:col>
      <xdr:colOff>171450</xdr:colOff>
      <xdr:row>17</xdr:row>
      <xdr:rowOff>142875</xdr:rowOff>
    </xdr:from>
    <xdr:to>
      <xdr:col>141</xdr:col>
      <xdr:colOff>190500</xdr:colOff>
      <xdr:row>19</xdr:row>
      <xdr:rowOff>38100</xdr:rowOff>
    </xdr:to>
    <xdr:sp macro="" textlink="">
      <xdr:nvSpPr>
        <xdr:cNvPr id="319" name="직사각형 31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4318575" y="3905250"/>
          <a:ext cx="762000" cy="371475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In-Transit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139</xdr:col>
      <xdr:colOff>219076</xdr:colOff>
      <xdr:row>14</xdr:row>
      <xdr:rowOff>72000</xdr:rowOff>
    </xdr:from>
    <xdr:to>
      <xdr:col>145</xdr:col>
      <xdr:colOff>1</xdr:colOff>
      <xdr:row>19</xdr:row>
      <xdr:rowOff>138674</xdr:rowOff>
    </xdr:to>
    <xdr:cxnSp macro="">
      <xdr:nvCxnSpPr>
        <xdr:cNvPr id="320" name="꺾인 연결선 319">
          <a:extLst>
            <a:ext uri="{FF2B5EF4-FFF2-40B4-BE49-F238E27FC236}">
              <a16:creationId xmlns:a16="http://schemas.microsoft.com/office/drawing/2014/main" id="{00000000-0008-0000-0400-000040010000}"/>
            </a:ext>
          </a:extLst>
        </xdr:cNvPr>
        <xdr:cNvCxnSpPr>
          <a:stCxn id="273" idx="2"/>
          <a:endCxn id="318" idx="2"/>
        </xdr:cNvCxnSpPr>
      </xdr:nvCxnSpPr>
      <xdr:spPr>
        <a:xfrm rot="10800000" flipV="1">
          <a:off x="34613851" y="3120000"/>
          <a:ext cx="1266825" cy="1257299"/>
        </a:xfrm>
        <a:prstGeom prst="bentConnector3">
          <a:avLst>
            <a:gd name="adj1" fmla="val 166165"/>
          </a:avLst>
        </a:prstGeom>
        <a:ln w="15875">
          <a:solidFill>
            <a:schemeClr val="bg1">
              <a:lumMod val="50000"/>
            </a:schemeClr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145</xdr:col>
      <xdr:colOff>247648</xdr:colOff>
      <xdr:row>21</xdr:row>
      <xdr:rowOff>85725</xdr:rowOff>
    </xdr:from>
    <xdr:to>
      <xdr:col>152</xdr:col>
      <xdr:colOff>247649</xdr:colOff>
      <xdr:row>22</xdr:row>
      <xdr:rowOff>171450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6128323" y="4800600"/>
          <a:ext cx="1733551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자가소모 창고 재고수불 현황</a:t>
          </a:r>
        </a:p>
      </xdr:txBody>
    </xdr:sp>
    <xdr:clientData/>
  </xdr:twoCellAnchor>
  <xdr:twoCellAnchor>
    <xdr:from>
      <xdr:col>25</xdr:col>
      <xdr:colOff>57148</xdr:colOff>
      <xdr:row>35</xdr:row>
      <xdr:rowOff>123825</xdr:rowOff>
    </xdr:from>
    <xdr:to>
      <xdr:col>32</xdr:col>
      <xdr:colOff>152400</xdr:colOff>
      <xdr:row>36</xdr:row>
      <xdr:rowOff>209550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5972173" y="8172450"/>
          <a:ext cx="1828802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거점별 제상품 재고수불 현황</a:t>
          </a:r>
        </a:p>
      </xdr:txBody>
    </xdr:sp>
    <xdr:clientData/>
  </xdr:twoCellAnchor>
  <xdr:twoCellAnchor>
    <xdr:from>
      <xdr:col>41</xdr:col>
      <xdr:colOff>247649</xdr:colOff>
      <xdr:row>29</xdr:row>
      <xdr:rowOff>76200</xdr:rowOff>
    </xdr:from>
    <xdr:to>
      <xdr:col>48</xdr:col>
      <xdr:colOff>104775</xdr:colOff>
      <xdr:row>30</xdr:row>
      <xdr:rowOff>161925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0125074" y="7172325"/>
          <a:ext cx="1590676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기타 업체 출고 현황</a:t>
          </a:r>
          <a:endParaRPr lang="ko-KR" altLang="en-US" sz="900" b="0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32</xdr:col>
      <xdr:colOff>95249</xdr:colOff>
      <xdr:row>21</xdr:row>
      <xdr:rowOff>85725</xdr:rowOff>
    </xdr:from>
    <xdr:to>
      <xdr:col>38</xdr:col>
      <xdr:colOff>85725</xdr:colOff>
      <xdr:row>22</xdr:row>
      <xdr:rowOff>171450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7743824" y="5276850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기타 업체 출고 요청</a:t>
          </a:r>
        </a:p>
      </xdr:txBody>
    </xdr:sp>
    <xdr:clientData/>
  </xdr:twoCellAnchor>
  <xdr:twoCellAnchor>
    <xdr:from>
      <xdr:col>39</xdr:col>
      <xdr:colOff>0</xdr:colOff>
      <xdr:row>28</xdr:row>
      <xdr:rowOff>171450</xdr:rowOff>
    </xdr:from>
    <xdr:to>
      <xdr:col>41</xdr:col>
      <xdr:colOff>230638</xdr:colOff>
      <xdr:row>29</xdr:row>
      <xdr:rowOff>230640</xdr:rowOff>
    </xdr:to>
    <xdr:grpSp>
      <xdr:nvGrpSpPr>
        <xdr:cNvPr id="250" name="그룹 249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GrpSpPr/>
      </xdr:nvGrpSpPr>
      <xdr:grpSpPr>
        <a:xfrm>
          <a:off x="9382125" y="7029450"/>
          <a:ext cx="725938" cy="297315"/>
          <a:chOff x="3457575" y="3619500"/>
          <a:chExt cx="783088" cy="297315"/>
        </a:xfrm>
      </xdr:grpSpPr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3457575" y="3619500"/>
            <a:ext cx="704850" cy="266700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WMS I/F</a:t>
            </a:r>
            <a:endParaRPr lang="ko-KR" altLang="en-US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cxnSp macro="">
        <xdr:nvCxnSpPr>
          <xdr:cNvPr id="258" name="직선 화살표 연결선 257">
            <a:extLst>
              <a:ext uri="{FF2B5EF4-FFF2-40B4-BE49-F238E27FC236}">
                <a16:creationId xmlns:a16="http://schemas.microsoft.com/office/drawing/2014/main" id="{00000000-0008-0000-0400-000002010000}"/>
              </a:ext>
            </a:extLst>
          </xdr:cNvPr>
          <xdr:cNvCxnSpPr/>
        </xdr:nvCxnSpPr>
        <xdr:spPr>
          <a:xfrm flipH="1" flipV="1">
            <a:off x="4038600" y="3810000"/>
            <a:ext cx="202063" cy="106815"/>
          </a:xfrm>
          <a:prstGeom prst="straightConnector1">
            <a:avLst/>
          </a:prstGeom>
          <a:ln w="12700">
            <a:solidFill>
              <a:srgbClr val="FF0000"/>
            </a:solidFill>
            <a:prstDash val="sysDash"/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28</xdr:row>
      <xdr:rowOff>133350</xdr:rowOff>
    </xdr:from>
    <xdr:to>
      <xdr:col>45</xdr:col>
      <xdr:colOff>114300</xdr:colOff>
      <xdr:row>29</xdr:row>
      <xdr:rowOff>104775</xdr:rowOff>
    </xdr:to>
    <xdr:sp macro="" textlink="">
      <xdr:nvSpPr>
        <xdr:cNvPr id="283" name="위쪽/아래쪽 화살표 282">
          <a:extLst>
            <a:ext uri="{FF2B5EF4-FFF2-40B4-BE49-F238E27FC236}">
              <a16:creationId xmlns:a16="http://schemas.microsoft.com/office/drawing/2014/main" id="{00000000-0008-0000-0400-00001B010000}"/>
            </a:ext>
          </a:extLst>
        </xdr:cNvPr>
        <xdr:cNvSpPr/>
      </xdr:nvSpPr>
      <xdr:spPr>
        <a:xfrm>
          <a:off x="10868025" y="6991350"/>
          <a:ext cx="114300" cy="209550"/>
        </a:xfrm>
        <a:prstGeom prst="up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118</xdr:col>
      <xdr:colOff>104774</xdr:colOff>
      <xdr:row>38</xdr:row>
      <xdr:rowOff>85725</xdr:rowOff>
    </xdr:from>
    <xdr:to>
      <xdr:col>124</xdr:col>
      <xdr:colOff>95250</xdr:colOff>
      <xdr:row>39</xdr:row>
      <xdr:rowOff>171450</xdr:rowOff>
    </xdr:to>
    <xdr:sp macro="" textlink="">
      <xdr:nvSpPr>
        <xdr:cNvPr id="284" name="직사각형 28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9051249" y="9324975"/>
          <a:ext cx="1476376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판매 등록</a:t>
          </a:r>
        </a:p>
      </xdr:txBody>
    </xdr:sp>
    <xdr:clientData/>
  </xdr:twoCellAnchor>
  <xdr:twoCellAnchor>
    <xdr:from>
      <xdr:col>118</xdr:col>
      <xdr:colOff>9523</xdr:colOff>
      <xdr:row>20</xdr:row>
      <xdr:rowOff>76200</xdr:rowOff>
    </xdr:from>
    <xdr:to>
      <xdr:col>124</xdr:col>
      <xdr:colOff>123824</xdr:colOff>
      <xdr:row>21</xdr:row>
      <xdr:rowOff>161925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8955998" y="5029200"/>
          <a:ext cx="1600201" cy="3238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온라인 주문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 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출고 등록</a:t>
          </a:r>
        </a:p>
      </xdr:txBody>
    </xdr:sp>
    <xdr:clientData/>
  </xdr:twoCellAnchor>
  <xdr:twoCellAnchor>
    <xdr:from>
      <xdr:col>114</xdr:col>
      <xdr:colOff>66674</xdr:colOff>
      <xdr:row>21</xdr:row>
      <xdr:rowOff>0</xdr:rowOff>
    </xdr:from>
    <xdr:to>
      <xdr:col>118</xdr:col>
      <xdr:colOff>9523</xdr:colOff>
      <xdr:row>28</xdr:row>
      <xdr:rowOff>228600</xdr:rowOff>
    </xdr:to>
    <xdr:cxnSp macro="">
      <xdr:nvCxnSpPr>
        <xdr:cNvPr id="14" name="구부러진 연결선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185" idx="3"/>
          <a:endCxn id="294" idx="1"/>
        </xdr:cNvCxnSpPr>
      </xdr:nvCxnSpPr>
      <xdr:spPr>
        <a:xfrm flipV="1">
          <a:off x="28022549" y="5191125"/>
          <a:ext cx="933449" cy="1895475"/>
        </a:xfrm>
        <a:prstGeom prst="curvedConnector3">
          <a:avLst/>
        </a:prstGeom>
        <a:ln>
          <a:solidFill>
            <a:srgbClr val="0000FF"/>
          </a:solidFill>
          <a:prstDash val="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114298</xdr:colOff>
      <xdr:row>21</xdr:row>
      <xdr:rowOff>85725</xdr:rowOff>
    </xdr:from>
    <xdr:to>
      <xdr:col>114</xdr:col>
      <xdr:colOff>38099</xdr:colOff>
      <xdr:row>22</xdr:row>
      <xdr:rowOff>171450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6336623" y="5276850"/>
          <a:ext cx="1657351" cy="323850"/>
        </a:xfrm>
        <a:prstGeom prst="rect">
          <a:avLst/>
        </a:prstGeom>
        <a:solidFill>
          <a:schemeClr val="bg1"/>
        </a:solidFill>
        <a:ln w="127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매장간 </a:t>
          </a:r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RT </a:t>
          </a:r>
          <a:r>
            <a:rPr lang="ko-KR" altLang="en-US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요청 현황</a:t>
          </a:r>
        </a:p>
      </xdr:txBody>
    </xdr:sp>
    <xdr:clientData/>
  </xdr:twoCellAnchor>
  <xdr:twoCellAnchor>
    <xdr:from>
      <xdr:col>114</xdr:col>
      <xdr:colOff>38099</xdr:colOff>
      <xdr:row>16</xdr:row>
      <xdr:rowOff>9525</xdr:rowOff>
    </xdr:from>
    <xdr:to>
      <xdr:col>118</xdr:col>
      <xdr:colOff>9523</xdr:colOff>
      <xdr:row>22</xdr:row>
      <xdr:rowOff>9525</xdr:rowOff>
    </xdr:to>
    <xdr:cxnSp macro="">
      <xdr:nvCxnSpPr>
        <xdr:cNvPr id="296" name="구부러진 연결선 295"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CxnSpPr>
          <a:stCxn id="295" idx="3"/>
          <a:endCxn id="233" idx="1"/>
        </xdr:cNvCxnSpPr>
      </xdr:nvCxnSpPr>
      <xdr:spPr>
        <a:xfrm flipV="1">
          <a:off x="27993974" y="4010025"/>
          <a:ext cx="962024" cy="1428750"/>
        </a:xfrm>
        <a:prstGeom prst="curvedConnector3">
          <a:avLst>
            <a:gd name="adj1" fmla="val 50000"/>
          </a:avLst>
        </a:prstGeom>
        <a:ln>
          <a:solidFill>
            <a:srgbClr val="0000FF"/>
          </a:solidFill>
          <a:prstDash val="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180975</xdr:colOff>
      <xdr:row>27</xdr:row>
      <xdr:rowOff>161925</xdr:rowOff>
    </xdr:from>
    <xdr:to>
      <xdr:col>107</xdr:col>
      <xdr:colOff>116338</xdr:colOff>
      <xdr:row>28</xdr:row>
      <xdr:rowOff>221115</xdr:rowOff>
    </xdr:to>
    <xdr:grpSp>
      <xdr:nvGrpSpPr>
        <xdr:cNvPr id="214" name="그룹 213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GrpSpPr/>
      </xdr:nvGrpSpPr>
      <xdr:grpSpPr>
        <a:xfrm>
          <a:off x="25412700" y="6781800"/>
          <a:ext cx="925963" cy="297315"/>
          <a:chOff x="3457575" y="3619500"/>
          <a:chExt cx="783088" cy="297315"/>
        </a:xfrm>
      </xdr:grpSpPr>
      <xdr:sp macro="" textlink="">
        <xdr:nvSpPr>
          <xdr:cNvPr id="215" name="직사각형 214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3457575" y="3619500"/>
            <a:ext cx="704850" cy="266700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OMS I/F</a:t>
            </a:r>
            <a:endParaRPr lang="ko-KR" altLang="en-US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cxnSp macro="">
        <xdr:nvCxnSpPr>
          <xdr:cNvPr id="216" name="직선 화살표 연결선 215">
            <a:extLst>
              <a:ext uri="{FF2B5EF4-FFF2-40B4-BE49-F238E27FC236}">
                <a16:creationId xmlns:a16="http://schemas.microsoft.com/office/drawing/2014/main" id="{00000000-0008-0000-0400-0000D8000000}"/>
              </a:ext>
            </a:extLst>
          </xdr:cNvPr>
          <xdr:cNvCxnSpPr/>
        </xdr:nvCxnSpPr>
        <xdr:spPr>
          <a:xfrm flipH="1" flipV="1">
            <a:off x="4038600" y="3810000"/>
            <a:ext cx="202063" cy="106815"/>
          </a:xfrm>
          <a:prstGeom prst="straightConnector1">
            <a:avLst/>
          </a:prstGeom>
          <a:ln w="12700">
            <a:solidFill>
              <a:srgbClr val="FF0000"/>
            </a:solidFill>
            <a:prstDash val="sysDash"/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103</xdr:col>
      <xdr:colOff>180975</xdr:colOff>
      <xdr:row>20</xdr:row>
      <xdr:rowOff>200025</xdr:rowOff>
    </xdr:from>
    <xdr:to>
      <xdr:col>107</xdr:col>
      <xdr:colOff>116338</xdr:colOff>
      <xdr:row>22</xdr:row>
      <xdr:rowOff>21090</xdr:rowOff>
    </xdr:to>
    <xdr:grpSp>
      <xdr:nvGrpSpPr>
        <xdr:cNvPr id="298" name="그룹 297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GrpSpPr/>
      </xdr:nvGrpSpPr>
      <xdr:grpSpPr>
        <a:xfrm>
          <a:off x="25412700" y="5153025"/>
          <a:ext cx="925963" cy="297315"/>
          <a:chOff x="3457575" y="3619500"/>
          <a:chExt cx="783088" cy="297315"/>
        </a:xfrm>
      </xdr:grpSpPr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3457575" y="3619500"/>
            <a:ext cx="704850" cy="266700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r>
              <a:rPr lang="en-US" altLang="ko-KR" sz="800" b="0">
                <a:solidFill>
                  <a:srgbClr val="FF0000"/>
                </a:solidFill>
                <a:latin typeface="+mn-ea"/>
                <a:ea typeface="+mn-ea"/>
                <a:cs typeface="JBold" pitchFamily="18" charset="-127"/>
              </a:rPr>
              <a:t>ERP I/F</a:t>
            </a:r>
            <a:endParaRPr lang="ko-KR" altLang="en-US" sz="8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cxnSp macro="">
        <xdr:nvCxnSpPr>
          <xdr:cNvPr id="300" name="직선 화살표 연결선 299">
            <a:extLst>
              <a:ext uri="{FF2B5EF4-FFF2-40B4-BE49-F238E27FC236}">
                <a16:creationId xmlns:a16="http://schemas.microsoft.com/office/drawing/2014/main" id="{00000000-0008-0000-0400-00002C010000}"/>
              </a:ext>
            </a:extLst>
          </xdr:cNvPr>
          <xdr:cNvCxnSpPr/>
        </xdr:nvCxnSpPr>
        <xdr:spPr>
          <a:xfrm flipH="1" flipV="1">
            <a:off x="4038600" y="3810000"/>
            <a:ext cx="202063" cy="106815"/>
          </a:xfrm>
          <a:prstGeom prst="straightConnector1">
            <a:avLst/>
          </a:prstGeom>
          <a:ln w="12700">
            <a:solidFill>
              <a:srgbClr val="FF0000"/>
            </a:solidFill>
            <a:prstDash val="sysDash"/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106</xdr:col>
      <xdr:colOff>228600</xdr:colOff>
      <xdr:row>26</xdr:row>
      <xdr:rowOff>171449</xdr:rowOff>
    </xdr:from>
    <xdr:to>
      <xdr:col>112</xdr:col>
      <xdr:colOff>76200</xdr:colOff>
      <xdr:row>28</xdr:row>
      <xdr:rowOff>18224</xdr:rowOff>
    </xdr:to>
    <xdr:sp macro="" textlink="">
      <xdr:nvSpPr>
        <xdr:cNvPr id="305" name="직사각형 304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6203275" y="6553199"/>
          <a:ext cx="1333500" cy="323025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[ </a:t>
          </a:r>
          <a:r>
            <a:rPr lang="ko-KR" altLang="en-US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온라인 거점매장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 ]</a:t>
          </a:r>
          <a:endParaRPr lang="ko-KR" altLang="en-US" sz="900" b="0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114</xdr:col>
      <xdr:colOff>180975</xdr:colOff>
      <xdr:row>17</xdr:row>
      <xdr:rowOff>228600</xdr:rowOff>
    </xdr:from>
    <xdr:to>
      <xdr:col>117</xdr:col>
      <xdr:colOff>123825</xdr:colOff>
      <xdr:row>19</xdr:row>
      <xdr:rowOff>19050</xdr:rowOff>
    </xdr:to>
    <xdr:sp macro="" textlink="">
      <xdr:nvSpPr>
        <xdr:cNvPr id="306" name="직사각형 305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8136850" y="4467225"/>
          <a:ext cx="685800" cy="2667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800" b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800" b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메뉴연동</a:t>
          </a:r>
          <a:r>
            <a:rPr lang="en-US" altLang="ko-KR" sz="800" b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800" b="0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114</xdr:col>
      <xdr:colOff>180975</xdr:colOff>
      <xdr:row>24</xdr:row>
      <xdr:rowOff>114300</xdr:rowOff>
    </xdr:from>
    <xdr:to>
      <xdr:col>117</xdr:col>
      <xdr:colOff>123825</xdr:colOff>
      <xdr:row>25</xdr:row>
      <xdr:rowOff>142875</xdr:rowOff>
    </xdr:to>
    <xdr:sp macro="" textlink="">
      <xdr:nvSpPr>
        <xdr:cNvPr id="321" name="직사각형 320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8136850" y="6019800"/>
          <a:ext cx="685800" cy="2667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800" b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800" b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메뉴연동</a:t>
          </a:r>
          <a:r>
            <a:rPr lang="en-US" altLang="ko-KR" sz="800" b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800" b="0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97</xdr:col>
      <xdr:colOff>85725</xdr:colOff>
      <xdr:row>17</xdr:row>
      <xdr:rowOff>228600</xdr:rowOff>
    </xdr:from>
    <xdr:to>
      <xdr:col>107</xdr:col>
      <xdr:colOff>114300</xdr:colOff>
      <xdr:row>26</xdr:row>
      <xdr:rowOff>6500</xdr:rowOff>
    </xdr:to>
    <xdr:sp macro="" textlink="">
      <xdr:nvSpPr>
        <xdr:cNvPr id="33" name="자유형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23831550" y="4467225"/>
          <a:ext cx="2505075" cy="1921025"/>
        </a:xfrm>
        <a:custGeom>
          <a:avLst/>
          <a:gdLst>
            <a:gd name="connsiteX0" fmla="*/ 0 w 2505075"/>
            <a:gd name="connsiteY0" fmla="*/ 0 h 1921025"/>
            <a:gd name="connsiteX1" fmla="*/ 771525 w 2505075"/>
            <a:gd name="connsiteY1" fmla="*/ 1914525 h 1921025"/>
            <a:gd name="connsiteX2" fmla="*/ 2505075 w 2505075"/>
            <a:gd name="connsiteY2" fmla="*/ 504825 h 19210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505075" h="1921025">
              <a:moveTo>
                <a:pt x="0" y="0"/>
              </a:moveTo>
              <a:cubicBezTo>
                <a:pt x="177006" y="915194"/>
                <a:pt x="354013" y="1830388"/>
                <a:pt x="771525" y="1914525"/>
              </a:cubicBezTo>
              <a:cubicBezTo>
                <a:pt x="1189038" y="1998663"/>
                <a:pt x="1847056" y="1251744"/>
                <a:pt x="2505075" y="504825"/>
              </a:cubicBezTo>
            </a:path>
          </a:pathLst>
        </a:custGeom>
        <a:ln>
          <a:solidFill>
            <a:srgbClr val="0000FF"/>
          </a:solidFill>
          <a:prstDash val="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99</xdr:col>
      <xdr:colOff>152400</xdr:colOff>
      <xdr:row>24</xdr:row>
      <xdr:rowOff>190500</xdr:rowOff>
    </xdr:from>
    <xdr:to>
      <xdr:col>102</xdr:col>
      <xdr:colOff>95250</xdr:colOff>
      <xdr:row>25</xdr:row>
      <xdr:rowOff>219075</xdr:rowOff>
    </xdr:to>
    <xdr:sp macro="" textlink="">
      <xdr:nvSpPr>
        <xdr:cNvPr id="322" name="직사각형 32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4393525" y="6096000"/>
          <a:ext cx="685800" cy="2667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800" b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800" b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메뉴연동</a:t>
          </a:r>
          <a:r>
            <a:rPr lang="en-US" altLang="ko-KR" sz="800" b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800" b="0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110</xdr:col>
      <xdr:colOff>200024</xdr:colOff>
      <xdr:row>20</xdr:row>
      <xdr:rowOff>152400</xdr:rowOff>
    </xdr:from>
    <xdr:to>
      <xdr:col>110</xdr:col>
      <xdr:colOff>200024</xdr:colOff>
      <xdr:row>21</xdr:row>
      <xdr:rowOff>85725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229" idx="2"/>
          <a:endCxn id="295" idx="0"/>
        </xdr:cNvCxnSpPr>
      </xdr:nvCxnSpPr>
      <xdr:spPr>
        <a:xfrm>
          <a:off x="27165299" y="5105400"/>
          <a:ext cx="0" cy="171450"/>
        </a:xfrm>
        <a:prstGeom prst="straightConnector1">
          <a:avLst/>
        </a:prstGeom>
        <a:ln>
          <a:solidFill>
            <a:srgbClr val="0000FF"/>
          </a:solidFill>
          <a:prstDash val="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20</xdr:row>
      <xdr:rowOff>19050</xdr:rowOff>
    </xdr:from>
    <xdr:to>
      <xdr:col>6</xdr:col>
      <xdr:colOff>333375</xdr:colOff>
      <xdr:row>23</xdr:row>
      <xdr:rowOff>114300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pSpPr/>
      </xdr:nvGrpSpPr>
      <xdr:grpSpPr>
        <a:xfrm>
          <a:off x="3743325" y="4743450"/>
          <a:ext cx="247650" cy="714375"/>
          <a:chOff x="3743325" y="4743450"/>
          <a:chExt cx="247650" cy="714375"/>
        </a:xfrm>
      </xdr:grpSpPr>
      <xdr:cxnSp macro="">
        <xdr:nvCxnSpPr>
          <xdr:cNvPr id="3" name="직선 연결선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CxnSpPr/>
        </xdr:nvCxnSpPr>
        <xdr:spPr>
          <a:xfrm>
            <a:off x="3743325" y="4743450"/>
            <a:ext cx="0" cy="714375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화살표 연결선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CxnSpPr/>
        </xdr:nvCxnSpPr>
        <xdr:spPr>
          <a:xfrm>
            <a:off x="3743325" y="5448300"/>
            <a:ext cx="247650" cy="0"/>
          </a:xfrm>
          <a:prstGeom prst="straightConnector1">
            <a:avLst/>
          </a:prstGeom>
          <a:ln w="15875">
            <a:solidFill>
              <a:schemeClr val="tx1"/>
            </a:solidFill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26</xdr:row>
      <xdr:rowOff>0</xdr:rowOff>
    </xdr:from>
    <xdr:to>
      <xdr:col>18</xdr:col>
      <xdr:colOff>28575</xdr:colOff>
      <xdr:row>51</xdr:row>
      <xdr:rowOff>28575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pSpPr/>
      </xdr:nvGrpSpPr>
      <xdr:grpSpPr>
        <a:xfrm>
          <a:off x="1838325" y="6096000"/>
          <a:ext cx="13373100" cy="5981700"/>
          <a:chOff x="1838325" y="6096000"/>
          <a:chExt cx="13373100" cy="5981700"/>
        </a:xfrm>
      </xdr:grpSpPr>
      <xdr:sp macro="" textlink="">
        <xdr:nvSpPr>
          <xdr:cNvPr id="2" name="직사각형 1">
            <a:extLst>
              <a:ext uri="{FF2B5EF4-FFF2-40B4-BE49-F238E27FC236}">
                <a16:creationId xmlns:a16="http://schemas.microsoft.com/office/drawing/2014/main" id="{00000000-0008-0000-0B00-000002000000}"/>
              </a:ext>
            </a:extLst>
          </xdr:cNvPr>
          <xdr:cNvSpPr/>
        </xdr:nvSpPr>
        <xdr:spPr>
          <a:xfrm>
            <a:off x="6038850" y="6343650"/>
            <a:ext cx="1819275" cy="1895475"/>
          </a:xfrm>
          <a:prstGeom prst="rect">
            <a:avLst/>
          </a:prstGeom>
          <a:noFill/>
          <a:ln w="34925">
            <a:solidFill>
              <a:srgbClr val="00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SpPr/>
        </xdr:nvSpPr>
        <xdr:spPr>
          <a:xfrm>
            <a:off x="11525250" y="6096000"/>
            <a:ext cx="3648075" cy="2143125"/>
          </a:xfrm>
          <a:prstGeom prst="rect">
            <a:avLst/>
          </a:prstGeom>
          <a:noFill/>
          <a:ln w="34925">
            <a:solidFill>
              <a:srgbClr val="00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>
            <a:off x="1838325" y="9410701"/>
            <a:ext cx="13373100" cy="742950"/>
          </a:xfrm>
          <a:prstGeom prst="rect">
            <a:avLst/>
          </a:prstGeom>
          <a:noFill/>
          <a:ln w="34925">
            <a:solidFill>
              <a:srgbClr val="00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SpPr/>
        </xdr:nvSpPr>
        <xdr:spPr>
          <a:xfrm>
            <a:off x="1838325" y="11563351"/>
            <a:ext cx="7867650" cy="514349"/>
          </a:xfrm>
          <a:prstGeom prst="rect">
            <a:avLst/>
          </a:prstGeom>
          <a:noFill/>
          <a:ln w="34925">
            <a:solidFill>
              <a:srgbClr val="00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26</xdr:row>
      <xdr:rowOff>9525</xdr:rowOff>
    </xdr:from>
    <xdr:to>
      <xdr:col>18</xdr:col>
      <xdr:colOff>19050</xdr:colOff>
      <xdr:row>51</xdr:row>
      <xdr:rowOff>38100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1828800" y="6105525"/>
          <a:ext cx="13373100" cy="5981700"/>
          <a:chOff x="1838325" y="6096000"/>
          <a:chExt cx="13373100" cy="598170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SpPr/>
        </xdr:nvSpPr>
        <xdr:spPr>
          <a:xfrm>
            <a:off x="6038850" y="6343650"/>
            <a:ext cx="1819275" cy="1895475"/>
          </a:xfrm>
          <a:prstGeom prst="rect">
            <a:avLst/>
          </a:prstGeom>
          <a:noFill/>
          <a:ln w="34925">
            <a:solidFill>
              <a:srgbClr val="00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11525250" y="6096000"/>
            <a:ext cx="3648075" cy="2143125"/>
          </a:xfrm>
          <a:prstGeom prst="rect">
            <a:avLst/>
          </a:prstGeom>
          <a:noFill/>
          <a:ln w="34925">
            <a:solidFill>
              <a:srgbClr val="00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>
          <a:xfrm>
            <a:off x="1838325" y="9410701"/>
            <a:ext cx="13373100" cy="742950"/>
          </a:xfrm>
          <a:prstGeom prst="rect">
            <a:avLst/>
          </a:prstGeom>
          <a:noFill/>
          <a:ln w="34925">
            <a:solidFill>
              <a:srgbClr val="00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/>
        </xdr:nvSpPr>
        <xdr:spPr>
          <a:xfrm>
            <a:off x="1838325" y="11563351"/>
            <a:ext cx="7867650" cy="514349"/>
          </a:xfrm>
          <a:prstGeom prst="rect">
            <a:avLst/>
          </a:prstGeom>
          <a:noFill/>
          <a:ln w="34925">
            <a:solidFill>
              <a:srgbClr val="00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238125</xdr:colOff>
      <xdr:row>320</xdr:row>
      <xdr:rowOff>9525</xdr:rowOff>
    </xdr:from>
    <xdr:to>
      <xdr:col>52</xdr:col>
      <xdr:colOff>0</xdr:colOff>
      <xdr:row>322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8905875" y="69008625"/>
          <a:ext cx="3971925" cy="466725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209551</xdr:colOff>
      <xdr:row>108</xdr:row>
      <xdr:rowOff>114301</xdr:rowOff>
    </xdr:from>
    <xdr:to>
      <xdr:col>18</xdr:col>
      <xdr:colOff>38101</xdr:colOff>
      <xdr:row>110</xdr:row>
      <xdr:rowOff>19051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181351" y="24250651"/>
          <a:ext cx="32385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rgbClr val="0000FF"/>
              </a:solidFill>
            </a:rPr>
            <a:t>V</a:t>
          </a:r>
          <a:endParaRPr lang="ko-KR" alt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20</xdr:col>
      <xdr:colOff>209551</xdr:colOff>
      <xdr:row>108</xdr:row>
      <xdr:rowOff>114301</xdr:rowOff>
    </xdr:from>
    <xdr:to>
      <xdr:col>22</xdr:col>
      <xdr:colOff>38101</xdr:colOff>
      <xdr:row>110</xdr:row>
      <xdr:rowOff>19051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3181351" y="24250651"/>
          <a:ext cx="32385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rgbClr val="0000FF"/>
              </a:solidFill>
            </a:rPr>
            <a:t>V</a:t>
          </a:r>
          <a:endParaRPr lang="ko-KR" altLang="en-US" sz="1100" b="1">
            <a:solidFill>
              <a:srgbClr val="0000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30" customHeight="1"/>
  <cols>
    <col min="1" max="7" width="9.140625" style="79"/>
    <col min="8" max="8" width="17.5703125" style="79" customWidth="1"/>
    <col min="9" max="13" width="15.140625" style="79" customWidth="1"/>
    <col min="14" max="16384" width="9.140625" style="79"/>
  </cols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H4:K46"/>
  <sheetViews>
    <sheetView topLeftCell="A11" workbookViewId="0"/>
  </sheetViews>
  <sheetFormatPr defaultRowHeight="24.95" customHeight="1"/>
  <cols>
    <col min="1" max="7" width="9.140625" style="330"/>
    <col min="8" max="8" width="9.140625" style="331"/>
    <col min="9" max="16384" width="9.140625" style="330"/>
  </cols>
  <sheetData>
    <row r="4" spans="8:11" ht="24.95" customHeight="1">
      <c r="H4" s="331" t="s">
        <v>336</v>
      </c>
      <c r="K4" s="330" t="s">
        <v>333</v>
      </c>
    </row>
    <row r="5" spans="8:11" ht="24.95" customHeight="1">
      <c r="K5" s="330" t="s">
        <v>334</v>
      </c>
    </row>
    <row r="6" spans="8:11" ht="24.95" customHeight="1">
      <c r="K6" s="330" t="s">
        <v>335</v>
      </c>
    </row>
    <row r="9" spans="8:11" ht="24.95" customHeight="1">
      <c r="I9" s="331" t="s">
        <v>338</v>
      </c>
    </row>
    <row r="10" spans="8:11" ht="24.95" customHeight="1">
      <c r="I10" s="331" t="s">
        <v>341</v>
      </c>
    </row>
    <row r="11" spans="8:11" ht="24.95" customHeight="1">
      <c r="I11" s="331" t="s">
        <v>337</v>
      </c>
    </row>
    <row r="12" spans="8:11" ht="24.95" customHeight="1">
      <c r="I12" s="331" t="s">
        <v>339</v>
      </c>
    </row>
    <row r="13" spans="8:11" ht="24.95" customHeight="1">
      <c r="I13" s="331" t="s">
        <v>340</v>
      </c>
    </row>
    <row r="16" spans="8:11" ht="24.95" customHeight="1">
      <c r="H16" s="331" t="s">
        <v>342</v>
      </c>
    </row>
    <row r="18" spans="8:9" ht="24.95" customHeight="1">
      <c r="H18" s="331" t="s">
        <v>344</v>
      </c>
    </row>
    <row r="19" spans="8:9" ht="24.95" customHeight="1">
      <c r="H19" s="331" t="s">
        <v>343</v>
      </c>
    </row>
    <row r="21" spans="8:9" ht="24.95" customHeight="1">
      <c r="H21" s="331" t="s">
        <v>345</v>
      </c>
    </row>
    <row r="22" spans="8:9" ht="24.95" customHeight="1">
      <c r="H22" s="331" t="s">
        <v>347</v>
      </c>
    </row>
    <row r="23" spans="8:9" ht="24.95" customHeight="1">
      <c r="H23" s="331" t="s">
        <v>346</v>
      </c>
    </row>
    <row r="25" spans="8:9" ht="24.95" customHeight="1">
      <c r="H25" s="331" t="s">
        <v>348</v>
      </c>
    </row>
    <row r="27" spans="8:9" ht="24.95" customHeight="1">
      <c r="H27" s="331" t="s">
        <v>384</v>
      </c>
    </row>
    <row r="28" spans="8:9" ht="24.95" customHeight="1">
      <c r="I28" s="330" t="s">
        <v>385</v>
      </c>
    </row>
    <row r="29" spans="8:9" ht="24.95" customHeight="1">
      <c r="I29" s="330" t="s">
        <v>386</v>
      </c>
    </row>
    <row r="31" spans="8:9" ht="24.95" customHeight="1">
      <c r="H31" s="331" t="s">
        <v>387</v>
      </c>
    </row>
    <row r="32" spans="8:9" ht="24.95" customHeight="1">
      <c r="I32" s="330" t="s">
        <v>388</v>
      </c>
    </row>
    <row r="34" spans="8:8" ht="24.95" customHeight="1">
      <c r="H34" s="331" t="s">
        <v>425</v>
      </c>
    </row>
    <row r="36" spans="8:8" ht="24.95" customHeight="1">
      <c r="H36" s="331" t="s">
        <v>443</v>
      </c>
    </row>
    <row r="37" spans="8:8" ht="24.95" customHeight="1">
      <c r="H37" s="331" t="s">
        <v>445</v>
      </c>
    </row>
    <row r="39" spans="8:8" ht="24.95" customHeight="1">
      <c r="H39" s="331" t="s">
        <v>446</v>
      </c>
    </row>
    <row r="40" spans="8:8" ht="24.95" customHeight="1">
      <c r="H40" s="331" t="s">
        <v>447</v>
      </c>
    </row>
    <row r="41" spans="8:8" ht="24.95" customHeight="1">
      <c r="H41" s="331" t="s">
        <v>448</v>
      </c>
    </row>
    <row r="42" spans="8:8" ht="24.95" customHeight="1">
      <c r="H42" s="331" t="s">
        <v>449</v>
      </c>
    </row>
    <row r="44" spans="8:8" ht="24.95" customHeight="1">
      <c r="H44" s="331" t="s">
        <v>450</v>
      </c>
    </row>
    <row r="46" spans="8:8" ht="24.95" customHeight="1">
      <c r="H46" s="331" t="s">
        <v>590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E2:AT24"/>
  <sheetViews>
    <sheetView showGridLines="0" tabSelected="1" workbookViewId="0">
      <selection activeCell="AO9" sqref="AO9"/>
    </sheetView>
  </sheetViews>
  <sheetFormatPr defaultColWidth="3.85546875" defaultRowHeight="20.100000000000001" customHeight="1"/>
  <sheetData>
    <row r="2" spans="5:46" ht="20.100000000000001" customHeight="1" thickBot="1"/>
    <row r="3" spans="5:46" ht="19.5" customHeight="1">
      <c r="E3" s="339"/>
      <c r="F3" s="340"/>
      <c r="G3" s="340"/>
      <c r="H3" s="340"/>
      <c r="I3" s="340"/>
      <c r="J3" s="340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1"/>
      <c r="AB3" s="341"/>
      <c r="AC3" s="341"/>
      <c r="AD3" s="341"/>
      <c r="AE3" s="341"/>
      <c r="AF3" s="341"/>
      <c r="AG3" s="341"/>
      <c r="AH3" s="341"/>
      <c r="AI3" s="341"/>
      <c r="AJ3" s="341"/>
      <c r="AK3" s="341"/>
      <c r="AL3" s="341"/>
      <c r="AM3" s="341"/>
      <c r="AN3" s="341"/>
      <c r="AO3" s="341"/>
      <c r="AP3" s="341"/>
      <c r="AQ3" s="341"/>
      <c r="AR3" s="341"/>
      <c r="AS3" s="341"/>
      <c r="AT3" s="341"/>
    </row>
    <row r="4" spans="5:46" ht="20.100000000000001" customHeight="1">
      <c r="E4" s="342"/>
      <c r="F4" s="343"/>
      <c r="G4" s="343"/>
      <c r="H4" s="343"/>
      <c r="I4" s="343"/>
      <c r="J4" s="343"/>
      <c r="K4" s="344"/>
      <c r="L4" s="344"/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/>
      <c r="AI4" s="344"/>
      <c r="AJ4" s="344"/>
      <c r="AK4" s="344"/>
      <c r="AL4" s="344"/>
      <c r="AM4" s="344"/>
      <c r="AN4" s="344"/>
      <c r="AO4" s="344"/>
      <c r="AP4" s="344"/>
      <c r="AQ4" s="344"/>
      <c r="AR4" s="344"/>
      <c r="AS4" s="344"/>
      <c r="AT4" s="344"/>
    </row>
    <row r="5" spans="5:46" ht="20.100000000000001" customHeight="1">
      <c r="E5" s="345"/>
      <c r="F5" s="346"/>
      <c r="G5" s="346"/>
      <c r="H5" s="346"/>
      <c r="I5" s="346"/>
      <c r="J5" s="346"/>
      <c r="K5" s="344"/>
      <c r="L5" s="344"/>
      <c r="M5" s="344"/>
      <c r="N5" s="344"/>
      <c r="O5" s="344"/>
      <c r="P5" s="344"/>
      <c r="Q5" s="344"/>
      <c r="R5" s="344"/>
      <c r="S5" s="344"/>
      <c r="T5" s="344"/>
      <c r="U5" s="344"/>
      <c r="V5" s="344"/>
      <c r="W5" s="344"/>
      <c r="X5" s="344"/>
      <c r="Y5" s="344"/>
      <c r="Z5" s="344"/>
      <c r="AA5" s="344"/>
      <c r="AB5" s="344"/>
      <c r="AC5" s="344"/>
      <c r="AD5" s="344"/>
      <c r="AE5" s="344"/>
      <c r="AF5" s="344"/>
      <c r="AG5" s="344"/>
      <c r="AH5" s="344"/>
      <c r="AI5" s="344"/>
      <c r="AJ5" s="344"/>
      <c r="AK5" s="344"/>
      <c r="AL5" s="344"/>
      <c r="AM5" s="344"/>
      <c r="AN5" s="344"/>
      <c r="AO5" s="344"/>
      <c r="AP5" s="347"/>
      <c r="AQ5" s="344"/>
      <c r="AR5" s="344"/>
      <c r="AS5" s="344"/>
      <c r="AT5" s="344"/>
    </row>
    <row r="6" spans="5:46" ht="20.100000000000001" customHeight="1">
      <c r="E6" s="344"/>
      <c r="F6" s="344"/>
      <c r="G6" s="344"/>
      <c r="H6" s="344"/>
      <c r="I6" s="344"/>
      <c r="J6" s="344"/>
      <c r="K6" s="344"/>
      <c r="L6" s="344"/>
      <c r="M6" s="344"/>
      <c r="N6" s="344"/>
      <c r="O6" s="344"/>
      <c r="P6" s="344"/>
      <c r="Q6" s="344"/>
      <c r="R6" s="344"/>
      <c r="S6" s="344"/>
      <c r="T6" s="344"/>
      <c r="U6" s="344"/>
      <c r="V6" s="344"/>
      <c r="W6" s="344"/>
      <c r="X6" s="344"/>
      <c r="Y6" s="344"/>
      <c r="Z6" s="344"/>
      <c r="AA6" s="344"/>
      <c r="AB6" s="344"/>
      <c r="AC6" s="344"/>
      <c r="AD6" s="344"/>
      <c r="AE6" s="344"/>
      <c r="AF6" s="344"/>
      <c r="AG6" s="344"/>
      <c r="AH6" s="344"/>
      <c r="AI6" s="344"/>
      <c r="AJ6" s="344"/>
      <c r="AK6" s="344"/>
      <c r="AL6" s="344"/>
      <c r="AM6" s="344"/>
      <c r="AN6" s="344"/>
      <c r="AO6" s="344"/>
      <c r="AP6" s="344"/>
      <c r="AQ6" s="344"/>
      <c r="AR6" s="344"/>
      <c r="AS6" s="344"/>
      <c r="AT6" s="344"/>
    </row>
    <row r="7" spans="5:46" ht="20.100000000000001" customHeight="1"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4"/>
      <c r="Q7" s="344"/>
      <c r="R7" s="344"/>
      <c r="S7" s="344"/>
      <c r="T7" s="344"/>
      <c r="U7" s="344"/>
      <c r="V7" s="344"/>
      <c r="W7" s="344"/>
      <c r="X7" s="344"/>
      <c r="Y7" s="344"/>
      <c r="Z7" s="344"/>
      <c r="AA7" s="344"/>
      <c r="AB7" s="344"/>
      <c r="AC7" s="344"/>
      <c r="AD7" s="344"/>
      <c r="AE7" s="344"/>
      <c r="AF7" s="344"/>
      <c r="AG7" s="344"/>
      <c r="AH7" s="344"/>
      <c r="AI7" s="344"/>
      <c r="AJ7" s="344"/>
      <c r="AK7" s="344"/>
      <c r="AL7" s="344"/>
      <c r="AM7" s="344"/>
      <c r="AN7" s="344"/>
      <c r="AO7" s="344"/>
      <c r="AP7" s="344"/>
      <c r="AQ7" s="344"/>
      <c r="AR7" s="344"/>
      <c r="AS7" s="344"/>
      <c r="AT7" s="344"/>
    </row>
    <row r="8" spans="5:46" ht="20.100000000000001" customHeight="1">
      <c r="E8" s="344"/>
      <c r="F8" s="344"/>
      <c r="G8" s="344"/>
      <c r="H8" s="344"/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  <c r="Y8" s="344"/>
      <c r="Z8" s="344"/>
      <c r="AA8" s="344"/>
      <c r="AB8" s="344"/>
      <c r="AC8" s="344"/>
      <c r="AD8" s="344"/>
      <c r="AE8" s="344"/>
      <c r="AF8" s="344"/>
      <c r="AG8" s="344"/>
      <c r="AH8" s="344"/>
      <c r="AI8" s="344"/>
      <c r="AJ8" s="344"/>
      <c r="AK8" s="344"/>
      <c r="AL8" s="344"/>
      <c r="AM8" s="344"/>
      <c r="AN8" s="344"/>
      <c r="AO8" s="344"/>
      <c r="AP8" s="344"/>
      <c r="AQ8" s="344"/>
      <c r="AR8" s="344"/>
      <c r="AS8" s="344"/>
      <c r="AT8" s="344"/>
    </row>
    <row r="9" spans="5:46" ht="52.5" customHeight="1">
      <c r="E9" s="344"/>
      <c r="F9" s="344"/>
      <c r="G9" s="344"/>
      <c r="H9" s="344"/>
      <c r="I9" s="344"/>
      <c r="J9" s="344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W9" s="344"/>
      <c r="X9" s="344"/>
      <c r="Y9" s="344"/>
      <c r="Z9" s="344"/>
      <c r="AA9" s="344"/>
      <c r="AB9" s="344"/>
      <c r="AC9" s="344"/>
      <c r="AD9" s="344"/>
      <c r="AE9" s="344"/>
      <c r="AF9" s="344"/>
      <c r="AG9" s="344"/>
      <c r="AH9" s="344"/>
      <c r="AI9" s="344"/>
      <c r="AJ9" s="344"/>
      <c r="AK9" s="344"/>
      <c r="AL9" s="344"/>
      <c r="AM9" s="344"/>
      <c r="AN9" s="344"/>
      <c r="AO9" s="344"/>
      <c r="AP9" s="348" t="s">
        <v>612</v>
      </c>
      <c r="AQ9" s="344"/>
      <c r="AR9" s="344"/>
      <c r="AS9" s="344"/>
      <c r="AT9" s="344"/>
    </row>
    <row r="10" spans="5:46" ht="12" customHeight="1">
      <c r="E10" s="344"/>
      <c r="F10" s="344"/>
      <c r="G10" s="344"/>
      <c r="H10" s="344"/>
      <c r="I10" s="344"/>
      <c r="J10" s="344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W10" s="344"/>
      <c r="X10" s="344"/>
      <c r="Y10" s="344"/>
      <c r="Z10" s="344"/>
      <c r="AA10" s="344"/>
      <c r="AB10" s="344"/>
      <c r="AC10" s="344"/>
      <c r="AD10" s="344"/>
      <c r="AE10" s="344"/>
      <c r="AF10" s="344"/>
      <c r="AG10" s="344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  <c r="AR10" s="344"/>
      <c r="AS10" s="344"/>
      <c r="AT10" s="344"/>
    </row>
    <row r="11" spans="5:46" ht="39.950000000000003" customHeight="1">
      <c r="E11" s="344"/>
      <c r="F11" s="344"/>
      <c r="G11" s="344"/>
      <c r="H11" s="344"/>
      <c r="I11" s="344"/>
      <c r="J11" s="344"/>
      <c r="K11" s="344"/>
      <c r="L11" s="344"/>
      <c r="M11" s="344"/>
      <c r="N11" s="344"/>
      <c r="O11" s="344"/>
      <c r="P11" s="344"/>
      <c r="Q11" s="344"/>
      <c r="R11" s="344"/>
      <c r="S11" s="344"/>
      <c r="T11" s="344"/>
      <c r="U11" s="344"/>
      <c r="V11" s="344"/>
      <c r="W11" s="344"/>
      <c r="X11" s="344"/>
      <c r="Y11" s="344"/>
      <c r="Z11" s="344"/>
      <c r="AA11" s="344"/>
      <c r="AB11" s="344"/>
      <c r="AC11" s="344"/>
      <c r="AD11" s="344"/>
      <c r="AE11" s="344"/>
      <c r="AF11" s="344"/>
      <c r="AG11" s="344"/>
      <c r="AH11" s="344"/>
      <c r="AI11" s="344"/>
      <c r="AJ11" s="344"/>
      <c r="AK11" s="344"/>
      <c r="AL11" s="344"/>
      <c r="AM11" s="344"/>
      <c r="AN11" s="344"/>
      <c r="AO11" s="344"/>
      <c r="AP11" s="349"/>
      <c r="AQ11" s="344"/>
      <c r="AR11" s="344"/>
      <c r="AS11" s="344"/>
      <c r="AT11" s="344"/>
    </row>
    <row r="12" spans="5:46" ht="20.100000000000001" customHeight="1">
      <c r="E12" s="344"/>
      <c r="F12" s="344"/>
      <c r="G12" s="344"/>
      <c r="H12" s="344"/>
      <c r="I12" s="344"/>
      <c r="J12" s="344"/>
      <c r="K12" s="344"/>
      <c r="L12" s="344"/>
      <c r="M12" s="344"/>
      <c r="N12" s="344"/>
      <c r="O12" s="344"/>
      <c r="P12" s="344"/>
      <c r="Q12" s="344"/>
      <c r="R12" s="344"/>
      <c r="S12" s="344"/>
      <c r="T12" s="344"/>
      <c r="U12" s="344"/>
      <c r="V12" s="344"/>
      <c r="W12" s="344"/>
      <c r="X12" s="344"/>
      <c r="Y12" s="344"/>
      <c r="Z12" s="344"/>
      <c r="AA12" s="344"/>
      <c r="AB12" s="344"/>
      <c r="AC12" s="344"/>
      <c r="AD12" s="344"/>
      <c r="AE12" s="344"/>
      <c r="AF12" s="344"/>
      <c r="AG12" s="344"/>
      <c r="AH12" s="344"/>
      <c r="AI12" s="344"/>
      <c r="AJ12" s="344"/>
      <c r="AK12" s="344"/>
      <c r="AL12" s="344"/>
      <c r="AM12" s="344"/>
      <c r="AN12" s="344"/>
      <c r="AO12" s="344"/>
      <c r="AP12" s="350" t="s">
        <v>434</v>
      </c>
      <c r="AQ12" s="344"/>
      <c r="AR12" s="344"/>
      <c r="AS12" s="344"/>
      <c r="AT12" s="344"/>
    </row>
    <row r="13" spans="5:46" ht="20.100000000000001" customHeight="1">
      <c r="E13" s="344"/>
      <c r="F13" s="344"/>
      <c r="G13" s="344"/>
      <c r="H13" s="344"/>
      <c r="I13" s="344"/>
      <c r="J13" s="344"/>
      <c r="K13" s="344"/>
      <c r="L13" s="344"/>
      <c r="M13" s="344"/>
      <c r="N13" s="344"/>
      <c r="O13" s="344"/>
      <c r="P13" s="344"/>
      <c r="Q13" s="344"/>
      <c r="R13" s="344"/>
      <c r="S13" s="344"/>
      <c r="T13" s="344"/>
      <c r="U13" s="344"/>
      <c r="V13" s="344"/>
      <c r="W13" s="344"/>
      <c r="X13" s="344"/>
      <c r="Y13" s="344"/>
      <c r="Z13" s="344"/>
      <c r="AA13" s="344"/>
      <c r="AB13" s="344"/>
      <c r="AC13" s="344"/>
      <c r="AD13" s="344"/>
      <c r="AE13" s="344"/>
      <c r="AF13" s="344"/>
      <c r="AG13" s="344"/>
      <c r="AH13" s="344"/>
      <c r="AI13" s="344"/>
      <c r="AJ13" s="344"/>
      <c r="AK13" s="344"/>
      <c r="AL13" s="344"/>
      <c r="AM13" s="344"/>
      <c r="AN13" s="344"/>
      <c r="AO13" s="344"/>
      <c r="AP13" s="344"/>
      <c r="AQ13" s="344"/>
      <c r="AR13" s="344"/>
      <c r="AS13" s="344"/>
      <c r="AT13" s="344"/>
    </row>
    <row r="14" spans="5:46" ht="30" customHeight="1">
      <c r="E14" s="344"/>
      <c r="F14" s="344"/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AA14" s="344"/>
      <c r="AB14" s="344"/>
      <c r="AD14" s="344"/>
      <c r="AE14" s="344"/>
      <c r="AF14" s="344"/>
      <c r="AG14" s="344"/>
      <c r="AH14" s="344"/>
      <c r="AI14" s="344"/>
      <c r="AM14" s="344"/>
      <c r="AN14" s="344"/>
      <c r="AO14" s="344"/>
      <c r="AQ14" s="344"/>
      <c r="AR14" s="344"/>
      <c r="AS14" s="344"/>
      <c r="AT14" s="344"/>
    </row>
    <row r="15" spans="5:46" ht="20.100000000000001" customHeight="1">
      <c r="E15" s="344"/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  <c r="Y15" s="344"/>
      <c r="Z15" s="344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344"/>
      <c r="AN15" s="344"/>
      <c r="AO15" s="344"/>
      <c r="AP15" s="344"/>
      <c r="AQ15" s="344"/>
      <c r="AR15" s="344"/>
      <c r="AS15" s="344"/>
      <c r="AT15" s="344"/>
    </row>
    <row r="16" spans="5:46" ht="20.100000000000001" customHeight="1">
      <c r="E16" s="344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  <c r="AA16" s="344"/>
      <c r="AB16" s="344"/>
      <c r="AC16" s="344"/>
      <c r="AD16" s="344"/>
      <c r="AE16" s="344"/>
      <c r="AF16" s="344"/>
      <c r="AG16" s="344"/>
      <c r="AH16" s="344"/>
      <c r="AI16" s="344"/>
      <c r="AJ16" s="344"/>
      <c r="AK16" s="344"/>
      <c r="AL16" s="344"/>
      <c r="AM16" s="344"/>
      <c r="AN16" s="344"/>
      <c r="AO16" s="344"/>
      <c r="AQ16" s="344"/>
      <c r="AR16" s="344"/>
      <c r="AS16" s="344"/>
      <c r="AT16" s="344"/>
    </row>
    <row r="17" spans="5:46" ht="20.100000000000001" customHeight="1">
      <c r="E17" s="344"/>
      <c r="F17" s="344"/>
      <c r="G17" s="344"/>
      <c r="H17" s="344"/>
      <c r="I17" s="344"/>
      <c r="J17" s="344"/>
      <c r="K17" s="344"/>
      <c r="L17" s="344"/>
      <c r="M17" s="344"/>
      <c r="N17" s="344"/>
      <c r="O17" s="344"/>
      <c r="P17" s="344"/>
      <c r="Q17" s="344"/>
      <c r="R17" s="344"/>
      <c r="S17" s="344"/>
      <c r="T17" s="344"/>
      <c r="U17" s="344"/>
      <c r="V17" s="344"/>
      <c r="W17" s="344"/>
      <c r="X17" s="344"/>
      <c r="Y17" s="344"/>
      <c r="Z17" s="344"/>
      <c r="AA17" s="344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  <c r="AM17" s="344"/>
      <c r="AN17" s="344"/>
      <c r="AO17" s="344"/>
      <c r="AP17" s="344"/>
      <c r="AQ17" s="344"/>
      <c r="AR17" s="344"/>
      <c r="AS17" s="344"/>
      <c r="AT17" s="344"/>
    </row>
    <row r="18" spans="5:46" ht="20.100000000000001" customHeight="1">
      <c r="E18" s="344"/>
      <c r="F18" s="344"/>
      <c r="G18" s="344"/>
      <c r="H18" s="344"/>
      <c r="I18" s="344"/>
      <c r="J18" s="344"/>
      <c r="K18" s="344"/>
      <c r="L18" s="344"/>
      <c r="M18" s="344"/>
      <c r="N18" s="344"/>
      <c r="O18" s="344"/>
      <c r="P18" s="344"/>
      <c r="Q18" s="344"/>
      <c r="R18" s="344"/>
      <c r="S18" s="344"/>
      <c r="T18" s="344"/>
      <c r="U18" s="344"/>
      <c r="V18" s="344"/>
      <c r="W18" s="344"/>
      <c r="X18" s="344"/>
      <c r="Y18" s="344"/>
      <c r="Z18" s="344"/>
      <c r="AA18" s="344"/>
      <c r="AB18" s="344"/>
      <c r="AC18" s="344"/>
      <c r="AD18" s="344"/>
      <c r="AE18" s="344"/>
      <c r="AF18" s="344"/>
      <c r="AG18" s="344"/>
      <c r="AH18" s="344"/>
      <c r="AI18" s="344"/>
      <c r="AJ18" s="344"/>
      <c r="AK18" s="344"/>
      <c r="AL18" s="344"/>
      <c r="AM18" s="344"/>
      <c r="AN18" s="344"/>
      <c r="AO18" s="344"/>
      <c r="AP18" s="344"/>
      <c r="AQ18" s="344"/>
      <c r="AR18" s="344"/>
      <c r="AS18" s="344"/>
      <c r="AT18" s="344"/>
    </row>
    <row r="19" spans="5:46" ht="20.100000000000001" customHeight="1">
      <c r="E19" s="344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344"/>
      <c r="AB19" s="344"/>
      <c r="AC19" s="344"/>
      <c r="AD19" s="344"/>
      <c r="AE19" s="344"/>
      <c r="AF19" s="344"/>
      <c r="AG19" s="344"/>
      <c r="AH19" s="344"/>
      <c r="AI19" s="344"/>
      <c r="AJ19" s="344"/>
      <c r="AK19" s="344"/>
      <c r="AL19" s="344"/>
      <c r="AM19" s="344"/>
      <c r="AN19" s="344"/>
      <c r="AO19" s="344"/>
      <c r="AQ19" s="344"/>
      <c r="AR19" s="344"/>
      <c r="AS19" s="344"/>
      <c r="AT19" s="344"/>
    </row>
    <row r="20" spans="5:46" ht="20.100000000000001" customHeight="1">
      <c r="E20" s="344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344"/>
      <c r="AB20" s="344"/>
      <c r="AC20" s="344"/>
      <c r="AD20" s="344"/>
      <c r="AE20" s="344"/>
      <c r="AF20" s="344"/>
      <c r="AG20" s="344"/>
      <c r="AH20" s="344"/>
      <c r="AI20" s="344"/>
      <c r="AJ20" s="344"/>
      <c r="AK20" s="344"/>
      <c r="AL20" s="344"/>
      <c r="AM20" s="344"/>
      <c r="AN20" s="344"/>
      <c r="AO20" s="344"/>
      <c r="AP20" s="351" t="s">
        <v>433</v>
      </c>
      <c r="AQ20" s="344"/>
      <c r="AR20" s="344"/>
      <c r="AS20" s="344"/>
      <c r="AT20" s="344"/>
    </row>
    <row r="21" spans="5:46" ht="20.100000000000001" customHeight="1">
      <c r="E21" s="344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344"/>
      <c r="AN21" s="344"/>
      <c r="AO21" s="344"/>
      <c r="AQ21" s="344"/>
      <c r="AR21" s="344"/>
      <c r="AS21" s="344"/>
      <c r="AT21" s="344"/>
    </row>
    <row r="22" spans="5:46" ht="20.100000000000001" customHeight="1">
      <c r="E22" s="344"/>
      <c r="F22" s="344"/>
      <c r="G22" s="344"/>
      <c r="H22" s="344"/>
      <c r="I22" s="344"/>
      <c r="J22" s="344"/>
      <c r="K22" s="344"/>
      <c r="L22" s="344"/>
      <c r="M22" s="344"/>
      <c r="N22" s="344"/>
      <c r="O22" s="344"/>
      <c r="P22" s="344"/>
      <c r="Q22" s="344"/>
      <c r="R22" s="344"/>
      <c r="S22" s="344"/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344"/>
      <c r="AN22" s="344"/>
      <c r="AO22" s="344"/>
      <c r="AP22" s="351" t="s">
        <v>435</v>
      </c>
      <c r="AQ22" s="344"/>
      <c r="AR22" s="344"/>
      <c r="AS22" s="344"/>
      <c r="AT22" s="344"/>
    </row>
    <row r="23" spans="5:46" ht="20.100000000000001" customHeight="1"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  <c r="R23" s="344"/>
      <c r="S23" s="344"/>
      <c r="T23" s="344"/>
      <c r="U23" s="344"/>
      <c r="V23" s="344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4"/>
      <c r="AM23" s="344"/>
      <c r="AN23" s="344"/>
      <c r="AO23" s="344"/>
      <c r="AQ23" s="344"/>
      <c r="AR23" s="344"/>
      <c r="AS23" s="344"/>
      <c r="AT23" s="344"/>
    </row>
    <row r="24" spans="5:46" ht="20.100000000000001" customHeight="1">
      <c r="E24" s="344"/>
      <c r="F24" s="344"/>
      <c r="G24" s="344"/>
      <c r="H24" s="344"/>
      <c r="I24" s="344"/>
      <c r="J24" s="344"/>
      <c r="K24" s="344"/>
      <c r="L24" s="344"/>
      <c r="M24" s="344"/>
      <c r="N24" s="344"/>
      <c r="O24" s="344"/>
      <c r="P24" s="344"/>
      <c r="Q24" s="344"/>
      <c r="R24" s="344"/>
      <c r="S24" s="344"/>
      <c r="T24" s="344"/>
      <c r="U24" s="344"/>
      <c r="V24" s="344"/>
      <c r="W24" s="344"/>
      <c r="X24" s="344"/>
      <c r="Y24" s="344"/>
      <c r="Z24" s="344"/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4"/>
      <c r="AN24" s="344"/>
      <c r="AO24" s="352"/>
      <c r="AQ24" s="344"/>
      <c r="AR24" s="344"/>
      <c r="AS24" s="344"/>
      <c r="AT24" s="344"/>
    </row>
  </sheetData>
  <phoneticPr fontId="2" type="noConversion"/>
  <printOptions horizontalCentered="1" verticalCentered="1"/>
  <pageMargins left="0.15748031496062992" right="0.15748031496062992" top="0.19685039370078741" bottom="0.19685039370078741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D4:R175"/>
  <sheetViews>
    <sheetView topLeftCell="D116" workbookViewId="0">
      <selection activeCell="L141" sqref="L141"/>
    </sheetView>
  </sheetViews>
  <sheetFormatPr defaultRowHeight="20.100000000000001" customHeight="1"/>
  <cols>
    <col min="1" max="3" width="9.140625" style="78"/>
    <col min="4" max="5" width="14" style="78" customWidth="1"/>
    <col min="6" max="6" width="27.140625" style="78" customWidth="1"/>
    <col min="7" max="7" width="27.42578125" style="78" customWidth="1"/>
    <col min="8" max="8" width="11.140625" style="78" customWidth="1"/>
    <col min="9" max="9" width="3.140625" style="78" customWidth="1"/>
    <col min="10" max="10" width="41.7109375" style="78" customWidth="1"/>
    <col min="11" max="11" width="3.140625" style="78" customWidth="1"/>
    <col min="12" max="12" width="56.42578125" style="78" customWidth="1"/>
    <col min="13" max="16384" width="9.140625" style="78"/>
  </cols>
  <sheetData>
    <row r="4" spans="4:12" ht="26.25" customHeight="1">
      <c r="D4" s="119" t="s">
        <v>132</v>
      </c>
      <c r="E4" s="119"/>
    </row>
    <row r="5" spans="4:12" ht="20.100000000000001" customHeight="1" thickBot="1"/>
    <row r="6" spans="4:12" s="82" customFormat="1" ht="20.100000000000001" customHeight="1" thickBot="1">
      <c r="D6" s="178" t="s">
        <v>136</v>
      </c>
      <c r="E6" s="178" t="s">
        <v>148</v>
      </c>
      <c r="F6" s="178" t="s">
        <v>133</v>
      </c>
      <c r="G6" s="178" t="s">
        <v>134</v>
      </c>
      <c r="H6" s="188" t="s">
        <v>146</v>
      </c>
      <c r="I6" s="182" t="s">
        <v>138</v>
      </c>
      <c r="J6" s="183"/>
      <c r="K6" s="179" t="s">
        <v>139</v>
      </c>
      <c r="L6" s="179"/>
    </row>
    <row r="7" spans="4:12" ht="20.100000000000001" customHeight="1">
      <c r="D7" s="190" t="s">
        <v>155</v>
      </c>
      <c r="E7" s="190" t="s">
        <v>156</v>
      </c>
      <c r="F7" s="153" t="s">
        <v>159</v>
      </c>
      <c r="G7" s="153"/>
      <c r="H7" s="191"/>
      <c r="I7" s="184" t="s">
        <v>140</v>
      </c>
      <c r="J7" s="185"/>
      <c r="K7" s="181" t="s">
        <v>144</v>
      </c>
      <c r="L7" s="180"/>
    </row>
    <row r="8" spans="4:12" ht="20.100000000000001" customHeight="1">
      <c r="D8" s="81"/>
      <c r="E8" s="81"/>
      <c r="F8" s="81"/>
      <c r="G8" s="81"/>
      <c r="H8" s="189"/>
      <c r="I8" s="186" t="s">
        <v>140</v>
      </c>
      <c r="J8" s="157"/>
    </row>
    <row r="9" spans="4:12" ht="20.100000000000001" customHeight="1">
      <c r="E9" s="81"/>
      <c r="F9" s="81"/>
      <c r="G9" s="81"/>
      <c r="H9" s="189"/>
      <c r="I9" s="187"/>
      <c r="J9" s="157"/>
    </row>
    <row r="10" spans="4:12" ht="20.100000000000001" customHeight="1" thickBot="1">
      <c r="E10" s="192"/>
      <c r="F10" s="192"/>
      <c r="G10" s="192"/>
      <c r="H10" s="193"/>
      <c r="I10" s="194"/>
      <c r="J10" s="195"/>
      <c r="K10" s="159"/>
      <c r="L10" s="159"/>
    </row>
    <row r="11" spans="4:12" ht="20.100000000000001" customHeight="1">
      <c r="E11" s="190" t="s">
        <v>156</v>
      </c>
      <c r="F11" s="153" t="s">
        <v>160</v>
      </c>
      <c r="G11" s="153"/>
      <c r="H11" s="191"/>
      <c r="I11" s="184" t="s">
        <v>140</v>
      </c>
      <c r="J11" s="185"/>
      <c r="K11" s="181" t="s">
        <v>144</v>
      </c>
      <c r="L11" s="180"/>
    </row>
    <row r="12" spans="4:12" ht="20.100000000000001" customHeight="1">
      <c r="E12" s="81"/>
      <c r="F12" s="81"/>
      <c r="G12" s="81"/>
      <c r="H12" s="189"/>
      <c r="I12" s="186" t="s">
        <v>140</v>
      </c>
      <c r="J12" s="157"/>
    </row>
    <row r="13" spans="4:12" ht="20.100000000000001" customHeight="1">
      <c r="D13" s="81"/>
      <c r="E13" s="81"/>
      <c r="F13" s="81"/>
      <c r="G13" s="81"/>
      <c r="H13" s="189"/>
      <c r="I13" s="187"/>
      <c r="J13" s="157"/>
    </row>
    <row r="14" spans="4:12" ht="20.100000000000001" customHeight="1" thickBot="1">
      <c r="D14" s="192"/>
      <c r="E14" s="192"/>
      <c r="F14" s="192"/>
      <c r="G14" s="192"/>
      <c r="H14" s="193"/>
      <c r="I14" s="194"/>
      <c r="J14" s="195"/>
      <c r="K14" s="159"/>
      <c r="L14" s="159"/>
    </row>
    <row r="15" spans="4:12" ht="20.100000000000001" customHeight="1">
      <c r="D15" s="190" t="s">
        <v>150</v>
      </c>
      <c r="E15" s="190" t="s">
        <v>157</v>
      </c>
      <c r="F15" s="153" t="s">
        <v>152</v>
      </c>
      <c r="G15" s="153" t="s">
        <v>437</v>
      </c>
      <c r="H15" s="191"/>
      <c r="I15" s="184" t="s">
        <v>140</v>
      </c>
      <c r="J15" s="185"/>
      <c r="K15" s="181" t="s">
        <v>144</v>
      </c>
      <c r="L15" s="180"/>
    </row>
    <row r="16" spans="4:12" ht="20.100000000000001" customHeight="1">
      <c r="D16" s="81"/>
      <c r="E16" s="81"/>
      <c r="F16" s="81"/>
      <c r="G16" s="81"/>
      <c r="H16" s="189"/>
      <c r="I16" s="186" t="s">
        <v>140</v>
      </c>
      <c r="J16" s="157"/>
    </row>
    <row r="17" spans="4:18" ht="20.100000000000001" customHeight="1">
      <c r="D17" s="81"/>
      <c r="E17" s="81"/>
      <c r="F17" s="81"/>
      <c r="G17" s="81"/>
      <c r="H17" s="189"/>
      <c r="I17" s="187"/>
      <c r="J17" s="157"/>
    </row>
    <row r="18" spans="4:18" ht="20.100000000000001" customHeight="1" thickBot="1">
      <c r="D18" s="81"/>
      <c r="E18" s="192"/>
      <c r="F18" s="192"/>
      <c r="G18" s="192"/>
      <c r="H18" s="193"/>
      <c r="I18" s="194"/>
      <c r="J18" s="195"/>
      <c r="K18" s="159"/>
      <c r="L18" s="159"/>
    </row>
    <row r="19" spans="4:18" ht="20.100000000000001" customHeight="1">
      <c r="D19" s="81"/>
      <c r="E19" s="190" t="s">
        <v>157</v>
      </c>
      <c r="F19" s="153" t="s">
        <v>151</v>
      </c>
      <c r="G19" s="153"/>
      <c r="H19" s="191"/>
      <c r="I19" s="184" t="s">
        <v>140</v>
      </c>
      <c r="J19" s="185"/>
      <c r="K19" s="181" t="s">
        <v>144</v>
      </c>
      <c r="L19" s="180"/>
    </row>
    <row r="20" spans="4:18" ht="20.100000000000001" customHeight="1">
      <c r="D20" s="81"/>
      <c r="E20" s="81"/>
      <c r="F20" s="81"/>
      <c r="G20" s="81"/>
      <c r="H20" s="189"/>
      <c r="I20" s="186" t="s">
        <v>140</v>
      </c>
      <c r="J20" s="157"/>
    </row>
    <row r="21" spans="4:18" ht="20.100000000000001" customHeight="1">
      <c r="D21" s="81"/>
      <c r="E21" s="81"/>
      <c r="F21" s="81"/>
      <c r="G21" s="81"/>
      <c r="H21" s="189"/>
      <c r="I21" s="187"/>
      <c r="J21" s="157"/>
    </row>
    <row r="22" spans="4:18" ht="20.100000000000001" customHeight="1" thickBot="1">
      <c r="D22" s="81"/>
      <c r="E22" s="192"/>
      <c r="F22" s="192"/>
      <c r="G22" s="192"/>
      <c r="H22" s="193"/>
      <c r="I22" s="194"/>
      <c r="J22" s="195"/>
      <c r="K22" s="159"/>
      <c r="L22" s="159"/>
    </row>
    <row r="23" spans="4:18" ht="20.100000000000001" customHeight="1">
      <c r="D23" s="81"/>
      <c r="E23" s="190" t="s">
        <v>158</v>
      </c>
      <c r="F23" s="153" t="s">
        <v>153</v>
      </c>
      <c r="G23" s="153" t="s">
        <v>154</v>
      </c>
      <c r="H23" s="191"/>
      <c r="I23" s="184" t="s">
        <v>140</v>
      </c>
      <c r="J23" s="185"/>
      <c r="K23" s="181" t="s">
        <v>144</v>
      </c>
      <c r="L23" s="180"/>
    </row>
    <row r="24" spans="4:18" ht="20.100000000000001" customHeight="1">
      <c r="D24" s="81"/>
      <c r="E24" s="81"/>
      <c r="F24" s="81"/>
      <c r="G24" s="81"/>
      <c r="H24" s="189"/>
      <c r="I24" s="186" t="s">
        <v>140</v>
      </c>
      <c r="J24" s="157"/>
    </row>
    <row r="25" spans="4:18" ht="20.100000000000001" customHeight="1">
      <c r="D25" s="81"/>
      <c r="E25" s="81"/>
      <c r="F25" s="81"/>
      <c r="G25" s="81"/>
      <c r="H25" s="189"/>
      <c r="I25" s="187"/>
      <c r="J25" s="157"/>
    </row>
    <row r="26" spans="4:18" ht="20.100000000000001" customHeight="1" thickBot="1">
      <c r="D26" s="192"/>
      <c r="E26" s="192"/>
      <c r="F26" s="192"/>
      <c r="G26" s="192"/>
      <c r="H26" s="193"/>
      <c r="I26" s="194"/>
      <c r="J26" s="195"/>
      <c r="K26" s="159"/>
      <c r="L26" s="159"/>
    </row>
    <row r="27" spans="4:18" ht="20.100000000000001" customHeight="1">
      <c r="D27" s="190" t="s">
        <v>137</v>
      </c>
      <c r="E27" s="471"/>
      <c r="F27" s="153" t="s">
        <v>135</v>
      </c>
      <c r="G27" s="198" t="s">
        <v>314</v>
      </c>
      <c r="H27" s="1162" t="s">
        <v>309</v>
      </c>
      <c r="I27" s="184" t="s">
        <v>140</v>
      </c>
      <c r="J27" s="185" t="s">
        <v>141</v>
      </c>
      <c r="K27" s="181" t="s">
        <v>144</v>
      </c>
      <c r="L27" s="180" t="s">
        <v>145</v>
      </c>
      <c r="M27" s="78" t="s">
        <v>410</v>
      </c>
      <c r="N27" s="78" t="s">
        <v>304</v>
      </c>
      <c r="R27" s="78" t="s">
        <v>307</v>
      </c>
    </row>
    <row r="28" spans="4:18" ht="20.100000000000001" customHeight="1">
      <c r="D28" s="81"/>
      <c r="E28" s="91"/>
      <c r="F28" s="81"/>
      <c r="G28" s="81"/>
      <c r="H28" s="1163"/>
      <c r="I28" s="186" t="s">
        <v>140</v>
      </c>
      <c r="J28" s="157" t="s">
        <v>142</v>
      </c>
      <c r="L28" s="329" t="s">
        <v>147</v>
      </c>
    </row>
    <row r="29" spans="4:18" ht="20.100000000000001" customHeight="1">
      <c r="D29" s="81"/>
      <c r="E29" s="91"/>
      <c r="F29" s="81"/>
      <c r="G29" s="81"/>
      <c r="H29" s="1163"/>
      <c r="I29" s="187"/>
      <c r="J29" s="157" t="s">
        <v>143</v>
      </c>
    </row>
    <row r="30" spans="4:18" ht="20.100000000000001" customHeight="1" thickBot="1">
      <c r="D30" s="81"/>
      <c r="E30" s="91"/>
      <c r="F30" s="81"/>
      <c r="G30" s="81"/>
      <c r="H30" s="1163"/>
      <c r="I30" s="187"/>
      <c r="J30" s="157"/>
    </row>
    <row r="31" spans="4:18" ht="20.100000000000001" customHeight="1">
      <c r="D31" s="81"/>
      <c r="E31" s="471"/>
      <c r="F31" s="153" t="s">
        <v>181</v>
      </c>
      <c r="G31" s="198" t="s">
        <v>315</v>
      </c>
      <c r="H31" s="1163"/>
      <c r="I31" s="184" t="s">
        <v>140</v>
      </c>
      <c r="J31" s="185"/>
      <c r="K31" s="181" t="s">
        <v>144</v>
      </c>
      <c r="L31" s="197" t="s">
        <v>182</v>
      </c>
      <c r="M31" s="78" t="s">
        <v>409</v>
      </c>
      <c r="N31" s="78" t="s">
        <v>304</v>
      </c>
      <c r="O31" s="78" t="s">
        <v>305</v>
      </c>
      <c r="R31" s="78" t="s">
        <v>308</v>
      </c>
    </row>
    <row r="32" spans="4:18" ht="20.100000000000001" customHeight="1">
      <c r="D32" s="81"/>
      <c r="E32" s="91"/>
      <c r="F32" s="81"/>
      <c r="G32" s="81"/>
      <c r="H32" s="1163"/>
      <c r="I32" s="186" t="s">
        <v>140</v>
      </c>
      <c r="J32" s="157"/>
      <c r="O32" s="78" t="s">
        <v>306</v>
      </c>
    </row>
    <row r="33" spans="4:18" ht="20.100000000000001" customHeight="1">
      <c r="D33" s="81"/>
      <c r="E33" s="91"/>
      <c r="F33" s="81"/>
      <c r="G33" s="81"/>
      <c r="H33" s="1163"/>
      <c r="I33" s="187"/>
      <c r="J33" s="157"/>
    </row>
    <row r="34" spans="4:18" ht="20.100000000000001" customHeight="1" thickBot="1">
      <c r="D34" s="81"/>
      <c r="E34" s="472"/>
      <c r="F34" s="192"/>
      <c r="G34" s="192"/>
      <c r="H34" s="1164"/>
      <c r="I34" s="194"/>
      <c r="J34" s="195"/>
      <c r="K34" s="159"/>
      <c r="L34" s="159"/>
    </row>
    <row r="35" spans="4:18" ht="20.100000000000001" customHeight="1">
      <c r="D35" s="81"/>
      <c r="E35" s="471"/>
      <c r="F35" s="153" t="s">
        <v>149</v>
      </c>
      <c r="G35" s="153" t="s">
        <v>313</v>
      </c>
      <c r="H35" s="191"/>
      <c r="I35" s="184" t="s">
        <v>140</v>
      </c>
      <c r="J35" s="185"/>
      <c r="K35" s="181" t="s">
        <v>144</v>
      </c>
      <c r="L35" s="180"/>
      <c r="M35" s="78" t="s">
        <v>409</v>
      </c>
      <c r="N35" s="78" t="s">
        <v>304</v>
      </c>
      <c r="O35" s="78" t="s">
        <v>310</v>
      </c>
      <c r="R35" s="78" t="s">
        <v>312</v>
      </c>
    </row>
    <row r="36" spans="4:18" ht="20.100000000000001" customHeight="1">
      <c r="D36" s="81"/>
      <c r="E36" s="91"/>
      <c r="F36" s="81"/>
      <c r="G36" s="81"/>
      <c r="H36" s="189"/>
      <c r="I36" s="186" t="s">
        <v>140</v>
      </c>
      <c r="J36" s="157"/>
      <c r="O36" s="78" t="s">
        <v>311</v>
      </c>
    </row>
    <row r="37" spans="4:18" ht="20.100000000000001" customHeight="1">
      <c r="D37" s="81"/>
      <c r="E37" s="91"/>
      <c r="F37" s="81"/>
      <c r="G37" s="81"/>
      <c r="H37" s="189"/>
      <c r="I37" s="187"/>
      <c r="J37" s="157"/>
    </row>
    <row r="38" spans="4:18" ht="20.100000000000001" customHeight="1" thickBot="1">
      <c r="D38" s="81"/>
      <c r="E38" s="472"/>
      <c r="F38" s="192"/>
      <c r="G38" s="192"/>
      <c r="H38" s="193"/>
      <c r="I38" s="194"/>
      <c r="J38" s="195"/>
      <c r="K38" s="159"/>
      <c r="L38" s="159"/>
    </row>
    <row r="39" spans="4:18" ht="20.100000000000001" customHeight="1">
      <c r="D39" s="81"/>
      <c r="E39" s="471"/>
      <c r="F39" s="153" t="s">
        <v>163</v>
      </c>
      <c r="G39" s="153" t="s">
        <v>164</v>
      </c>
      <c r="H39" s="191"/>
      <c r="I39" s="184" t="s">
        <v>140</v>
      </c>
      <c r="J39" s="185" t="s">
        <v>174</v>
      </c>
      <c r="K39" s="181" t="s">
        <v>144</v>
      </c>
      <c r="L39" s="180" t="s">
        <v>173</v>
      </c>
      <c r="M39" s="78" t="s">
        <v>410</v>
      </c>
      <c r="N39" s="78" t="s">
        <v>316</v>
      </c>
      <c r="O39" s="78" t="s">
        <v>317</v>
      </c>
    </row>
    <row r="40" spans="4:18" ht="20.100000000000001" customHeight="1">
      <c r="D40" s="81"/>
      <c r="E40" s="91"/>
      <c r="F40" s="81"/>
      <c r="G40" s="81"/>
      <c r="H40" s="189"/>
      <c r="I40" s="186"/>
      <c r="J40" s="157"/>
      <c r="O40" s="78" t="s">
        <v>318</v>
      </c>
    </row>
    <row r="41" spans="4:18" ht="20.100000000000001" customHeight="1">
      <c r="D41" s="81"/>
      <c r="E41" s="91"/>
      <c r="F41" s="81"/>
      <c r="G41" s="81"/>
      <c r="H41" s="189"/>
      <c r="I41" s="187"/>
      <c r="J41" s="157"/>
      <c r="O41" s="78" t="s">
        <v>319</v>
      </c>
    </row>
    <row r="42" spans="4:18" ht="20.100000000000001" customHeight="1" thickBot="1">
      <c r="D42" s="81"/>
      <c r="E42" s="472"/>
      <c r="F42" s="192"/>
      <c r="G42" s="192"/>
      <c r="H42" s="193"/>
      <c r="I42" s="194"/>
      <c r="J42" s="195"/>
      <c r="K42" s="159"/>
      <c r="L42" s="159"/>
    </row>
    <row r="43" spans="4:18" ht="20.100000000000001" customHeight="1">
      <c r="D43" s="81"/>
      <c r="E43" s="471"/>
      <c r="F43" s="153" t="s">
        <v>161</v>
      </c>
      <c r="G43" s="153" t="s">
        <v>162</v>
      </c>
      <c r="H43" s="196" t="s">
        <v>322</v>
      </c>
      <c r="I43" s="184" t="s">
        <v>140</v>
      </c>
      <c r="J43" s="185" t="s">
        <v>169</v>
      </c>
      <c r="K43" s="181" t="s">
        <v>144</v>
      </c>
      <c r="L43" s="180" t="s">
        <v>172</v>
      </c>
      <c r="M43" s="78" t="s">
        <v>409</v>
      </c>
      <c r="N43" s="78" t="s">
        <v>320</v>
      </c>
    </row>
    <row r="44" spans="4:18" ht="20.100000000000001" customHeight="1">
      <c r="D44" s="81"/>
      <c r="E44" s="91"/>
      <c r="F44" s="81"/>
      <c r="G44" s="81"/>
      <c r="H44" s="189"/>
      <c r="I44" s="186" t="s">
        <v>140</v>
      </c>
      <c r="J44" s="157" t="s">
        <v>170</v>
      </c>
      <c r="L44" s="78" t="s">
        <v>171</v>
      </c>
      <c r="N44" s="78" t="s">
        <v>321</v>
      </c>
    </row>
    <row r="45" spans="4:18" ht="20.100000000000001" customHeight="1">
      <c r="D45" s="81"/>
      <c r="E45" s="91"/>
      <c r="F45" s="81"/>
      <c r="G45" s="81"/>
      <c r="H45" s="189"/>
      <c r="I45" s="187"/>
      <c r="J45" s="157"/>
      <c r="N45" s="78" t="s">
        <v>323</v>
      </c>
    </row>
    <row r="46" spans="4:18" ht="20.100000000000001" customHeight="1" thickBot="1">
      <c r="D46" s="81"/>
      <c r="E46" s="472"/>
      <c r="F46" s="192"/>
      <c r="G46" s="192"/>
      <c r="H46" s="193"/>
      <c r="I46" s="194"/>
      <c r="J46" s="195"/>
      <c r="K46" s="159"/>
      <c r="L46" s="159"/>
    </row>
    <row r="47" spans="4:18" ht="20.100000000000001" customHeight="1">
      <c r="D47" s="81"/>
      <c r="E47" s="471"/>
      <c r="F47" s="153" t="s">
        <v>166</v>
      </c>
      <c r="G47" s="153" t="s">
        <v>328</v>
      </c>
      <c r="H47" s="1162" t="s">
        <v>309</v>
      </c>
      <c r="I47" s="184" t="s">
        <v>140</v>
      </c>
      <c r="J47" s="185" t="s">
        <v>168</v>
      </c>
      <c r="K47" s="181" t="s">
        <v>144</v>
      </c>
      <c r="L47" s="197" t="s">
        <v>185</v>
      </c>
      <c r="M47" s="78" t="s">
        <v>409</v>
      </c>
      <c r="N47" s="78" t="s">
        <v>304</v>
      </c>
      <c r="O47" s="78" t="s">
        <v>324</v>
      </c>
    </row>
    <row r="48" spans="4:18" ht="20.100000000000001" customHeight="1">
      <c r="D48" s="81"/>
      <c r="E48" s="91"/>
      <c r="F48" s="81"/>
      <c r="G48" s="81"/>
      <c r="H48" s="1163"/>
      <c r="I48" s="186" t="s">
        <v>140</v>
      </c>
      <c r="J48" s="157"/>
    </row>
    <row r="49" spans="4:15" ht="20.100000000000001" customHeight="1">
      <c r="D49" s="81"/>
      <c r="E49" s="91"/>
      <c r="F49" s="81"/>
      <c r="G49" s="81"/>
      <c r="H49" s="1163"/>
      <c r="I49" s="187"/>
      <c r="J49" s="157" t="s">
        <v>693</v>
      </c>
    </row>
    <row r="50" spans="4:15" ht="20.100000000000001" customHeight="1" thickBot="1">
      <c r="D50" s="81"/>
      <c r="E50" s="472"/>
      <c r="F50" s="192"/>
      <c r="G50" s="192"/>
      <c r="H50" s="1163"/>
      <c r="I50" s="194"/>
      <c r="J50" s="195"/>
      <c r="K50" s="159"/>
      <c r="L50" s="159"/>
    </row>
    <row r="51" spans="4:15" ht="20.100000000000001" customHeight="1">
      <c r="D51" s="81"/>
      <c r="E51" s="471"/>
      <c r="F51" s="153" t="s">
        <v>165</v>
      </c>
      <c r="G51" s="153" t="s">
        <v>328</v>
      </c>
      <c r="H51" s="1163"/>
      <c r="I51" s="184" t="s">
        <v>140</v>
      </c>
      <c r="J51" s="185" t="s">
        <v>168</v>
      </c>
      <c r="K51" s="181" t="s">
        <v>144</v>
      </c>
      <c r="L51" s="197" t="s">
        <v>185</v>
      </c>
      <c r="M51" s="78" t="s">
        <v>409</v>
      </c>
      <c r="N51" s="78" t="s">
        <v>304</v>
      </c>
      <c r="O51" s="78" t="s">
        <v>325</v>
      </c>
    </row>
    <row r="52" spans="4:15" ht="20.100000000000001" customHeight="1">
      <c r="D52" s="81"/>
      <c r="E52" s="91"/>
      <c r="F52" s="81"/>
      <c r="G52" s="81"/>
      <c r="H52" s="1163"/>
      <c r="I52" s="186" t="s">
        <v>140</v>
      </c>
      <c r="J52" s="157"/>
    </row>
    <row r="53" spans="4:15" ht="20.100000000000001" customHeight="1">
      <c r="D53" s="81"/>
      <c r="E53" s="91"/>
      <c r="F53" s="81"/>
      <c r="G53" s="81"/>
      <c r="H53" s="1163"/>
      <c r="I53" s="187"/>
      <c r="J53" s="157"/>
    </row>
    <row r="54" spans="4:15" ht="20.100000000000001" customHeight="1" thickBot="1">
      <c r="D54" s="81"/>
      <c r="E54" s="472"/>
      <c r="F54" s="192"/>
      <c r="G54" s="192"/>
      <c r="H54" s="1164"/>
      <c r="I54" s="194"/>
      <c r="J54" s="195"/>
      <c r="K54" s="159"/>
      <c r="L54" s="159"/>
      <c r="N54" s="78" t="s">
        <v>326</v>
      </c>
    </row>
    <row r="55" spans="4:15" ht="20.100000000000001" customHeight="1">
      <c r="D55" s="81"/>
      <c r="E55" s="471"/>
      <c r="F55" s="153" t="s">
        <v>175</v>
      </c>
      <c r="G55" s="153" t="s">
        <v>167</v>
      </c>
      <c r="H55" s="1156" t="s">
        <v>327</v>
      </c>
      <c r="I55" s="184" t="s">
        <v>140</v>
      </c>
      <c r="J55" s="185"/>
      <c r="K55" s="181" t="s">
        <v>144</v>
      </c>
      <c r="L55" s="180"/>
      <c r="M55" s="78" t="s">
        <v>410</v>
      </c>
      <c r="N55" s="78" t="s">
        <v>349</v>
      </c>
    </row>
    <row r="56" spans="4:15" ht="20.100000000000001" customHeight="1">
      <c r="D56" s="81"/>
      <c r="E56" s="91"/>
      <c r="F56" s="81"/>
      <c r="G56" s="81"/>
      <c r="H56" s="1157"/>
      <c r="I56" s="186" t="s">
        <v>140</v>
      </c>
      <c r="J56" s="157"/>
    </row>
    <row r="57" spans="4:15" ht="20.100000000000001" customHeight="1">
      <c r="D57" s="81"/>
      <c r="E57" s="91"/>
      <c r="F57" s="81"/>
      <c r="G57" s="81"/>
      <c r="H57" s="1157"/>
      <c r="I57" s="187"/>
      <c r="J57" s="157"/>
    </row>
    <row r="58" spans="4:15" ht="20.100000000000001" customHeight="1" thickBot="1">
      <c r="D58" s="81"/>
      <c r="E58" s="472"/>
      <c r="F58" s="192"/>
      <c r="G58" s="192"/>
      <c r="H58" s="1158"/>
      <c r="I58" s="194"/>
      <c r="J58" s="195"/>
      <c r="K58" s="159"/>
      <c r="L58" s="159"/>
    </row>
    <row r="59" spans="4:15" ht="20.100000000000001" customHeight="1">
      <c r="D59" s="81"/>
      <c r="E59" s="190"/>
      <c r="F59" s="153" t="s">
        <v>176</v>
      </c>
      <c r="G59" s="153" t="s">
        <v>332</v>
      </c>
      <c r="H59" s="191"/>
      <c r="I59" s="184" t="s">
        <v>140</v>
      </c>
      <c r="J59" s="185" t="s">
        <v>168</v>
      </c>
      <c r="K59" s="181" t="s">
        <v>144</v>
      </c>
      <c r="L59" s="197" t="s">
        <v>177</v>
      </c>
      <c r="M59" s="78" t="s">
        <v>409</v>
      </c>
      <c r="N59" s="78" t="s">
        <v>329</v>
      </c>
    </row>
    <row r="60" spans="4:15" ht="20.100000000000001" customHeight="1">
      <c r="D60" s="81"/>
      <c r="E60" s="81"/>
      <c r="F60" s="81"/>
      <c r="G60" s="81"/>
      <c r="H60" s="189"/>
      <c r="I60" s="186" t="s">
        <v>140</v>
      </c>
      <c r="J60" s="157"/>
      <c r="K60" s="79" t="s">
        <v>178</v>
      </c>
      <c r="L60" s="94" t="s">
        <v>179</v>
      </c>
      <c r="N60" s="78" t="s">
        <v>330</v>
      </c>
    </row>
    <row r="61" spans="4:15" ht="20.100000000000001" customHeight="1">
      <c r="D61" s="81"/>
      <c r="E61" s="81"/>
      <c r="F61" s="81"/>
      <c r="G61" s="81"/>
      <c r="H61" s="189"/>
      <c r="I61" s="187"/>
      <c r="J61" s="157"/>
      <c r="K61" s="79" t="s">
        <v>178</v>
      </c>
      <c r="L61" s="94" t="s">
        <v>180</v>
      </c>
      <c r="N61" s="78" t="s">
        <v>331</v>
      </c>
    </row>
    <row r="62" spans="4:15" ht="20.100000000000001" customHeight="1" thickBot="1">
      <c r="D62" s="81"/>
      <c r="E62" s="192"/>
      <c r="F62" s="192"/>
      <c r="G62" s="192"/>
      <c r="H62" s="193"/>
      <c r="I62" s="194"/>
      <c r="J62" s="195"/>
      <c r="K62" s="159"/>
      <c r="L62" s="159"/>
    </row>
    <row r="63" spans="4:15" ht="20.100000000000001" customHeight="1">
      <c r="D63" s="81"/>
      <c r="E63" s="471"/>
      <c r="F63" s="332" t="s">
        <v>188</v>
      </c>
      <c r="G63" s="332" t="s">
        <v>167</v>
      </c>
      <c r="H63" s="1165" t="s">
        <v>350</v>
      </c>
      <c r="I63" s="184" t="s">
        <v>140</v>
      </c>
      <c r="J63" s="185"/>
      <c r="K63" s="181" t="s">
        <v>144</v>
      </c>
      <c r="L63" s="197"/>
    </row>
    <row r="64" spans="4:15" ht="20.100000000000001" customHeight="1">
      <c r="D64" s="81"/>
      <c r="E64" s="91"/>
      <c r="F64" s="225"/>
      <c r="G64" s="225"/>
      <c r="H64" s="1157"/>
      <c r="I64" s="186" t="s">
        <v>140</v>
      </c>
      <c r="J64" s="157"/>
    </row>
    <row r="65" spans="4:14" ht="20.100000000000001" customHeight="1">
      <c r="D65" s="81"/>
      <c r="E65" s="91"/>
      <c r="F65" s="225"/>
      <c r="G65" s="225"/>
      <c r="H65" s="1157"/>
      <c r="I65" s="187"/>
      <c r="J65" s="157"/>
    </row>
    <row r="66" spans="4:14" ht="20.100000000000001" customHeight="1" thickBot="1">
      <c r="E66" s="472"/>
      <c r="F66" s="333"/>
      <c r="G66" s="333"/>
      <c r="H66" s="1157"/>
      <c r="I66" s="194"/>
      <c r="J66" s="195"/>
      <c r="K66" s="159"/>
      <c r="L66" s="159"/>
    </row>
    <row r="67" spans="4:14" ht="20.100000000000001" customHeight="1">
      <c r="E67" s="471"/>
      <c r="F67" s="332" t="s">
        <v>192</v>
      </c>
      <c r="G67" s="332" t="s">
        <v>167</v>
      </c>
      <c r="H67" s="1157"/>
      <c r="I67" s="184" t="s">
        <v>140</v>
      </c>
      <c r="J67" s="185"/>
      <c r="K67" s="181" t="s">
        <v>144</v>
      </c>
      <c r="L67" s="197" t="s">
        <v>193</v>
      </c>
      <c r="N67" s="78" t="s">
        <v>351</v>
      </c>
    </row>
    <row r="68" spans="4:14" ht="20.100000000000001" customHeight="1">
      <c r="E68" s="91"/>
      <c r="F68" s="334"/>
      <c r="G68" s="225"/>
      <c r="H68" s="1157"/>
      <c r="I68" s="186" t="s">
        <v>140</v>
      </c>
      <c r="J68" s="157"/>
    </row>
    <row r="69" spans="4:14" ht="20.100000000000001" customHeight="1">
      <c r="E69" s="91"/>
      <c r="F69" s="334"/>
      <c r="G69" s="225"/>
      <c r="H69" s="1157"/>
      <c r="I69" s="187"/>
      <c r="J69" s="157"/>
    </row>
    <row r="70" spans="4:14" ht="20.100000000000001" customHeight="1" thickBot="1">
      <c r="E70" s="472"/>
      <c r="F70" s="335"/>
      <c r="G70" s="333"/>
      <c r="H70" s="1158"/>
      <c r="I70" s="194"/>
      <c r="J70" s="195"/>
      <c r="K70" s="159"/>
      <c r="L70" s="159"/>
    </row>
    <row r="71" spans="4:14" ht="20.100000000000001" customHeight="1">
      <c r="E71" s="471"/>
      <c r="F71" s="332" t="s">
        <v>189</v>
      </c>
      <c r="G71" s="332" t="s">
        <v>167</v>
      </c>
      <c r="H71" s="1156" t="s">
        <v>352</v>
      </c>
      <c r="I71" s="184" t="s">
        <v>140</v>
      </c>
      <c r="J71" s="185"/>
      <c r="K71" s="181" t="s">
        <v>144</v>
      </c>
      <c r="L71" s="197" t="s">
        <v>193</v>
      </c>
      <c r="M71" s="78" t="s">
        <v>410</v>
      </c>
      <c r="N71" s="78" t="s">
        <v>355</v>
      </c>
    </row>
    <row r="72" spans="4:14" ht="20.100000000000001" customHeight="1">
      <c r="E72" s="91"/>
      <c r="F72" s="334"/>
      <c r="G72" s="225"/>
      <c r="H72" s="1157"/>
      <c r="I72" s="186" t="s">
        <v>140</v>
      </c>
      <c r="J72" s="157"/>
      <c r="N72" s="78" t="s">
        <v>353</v>
      </c>
    </row>
    <row r="73" spans="4:14" ht="20.100000000000001" customHeight="1">
      <c r="E73" s="91"/>
      <c r="F73" s="334"/>
      <c r="G73" s="225"/>
      <c r="H73" s="1157"/>
      <c r="I73" s="186"/>
      <c r="J73" s="157"/>
      <c r="N73" s="78" t="s">
        <v>354</v>
      </c>
    </row>
    <row r="74" spans="4:14" ht="20.100000000000001" customHeight="1" thickBot="1">
      <c r="E74" s="472"/>
      <c r="F74" s="335"/>
      <c r="G74" s="333"/>
      <c r="H74" s="1158"/>
      <c r="I74" s="194"/>
      <c r="J74" s="195"/>
      <c r="K74" s="159"/>
      <c r="L74" s="159"/>
      <c r="N74" s="78" t="s">
        <v>356</v>
      </c>
    </row>
    <row r="75" spans="4:14" ht="20.100000000000001" customHeight="1">
      <c r="D75" s="81"/>
      <c r="E75" s="471"/>
      <c r="F75" s="332" t="s">
        <v>190</v>
      </c>
      <c r="G75" s="332" t="s">
        <v>167</v>
      </c>
      <c r="H75" s="1156" t="s">
        <v>352</v>
      </c>
      <c r="I75" s="184" t="s">
        <v>140</v>
      </c>
      <c r="J75" s="185"/>
      <c r="K75" s="181" t="s">
        <v>144</v>
      </c>
      <c r="L75" s="197" t="s">
        <v>193</v>
      </c>
      <c r="M75" s="78" t="s">
        <v>410</v>
      </c>
      <c r="N75" s="78" t="s">
        <v>357</v>
      </c>
    </row>
    <row r="76" spans="4:14" ht="20.100000000000001" customHeight="1">
      <c r="D76" s="81"/>
      <c r="E76" s="91"/>
      <c r="F76" s="334"/>
      <c r="G76" s="225"/>
      <c r="H76" s="1157"/>
      <c r="I76" s="186" t="s">
        <v>140</v>
      </c>
      <c r="J76" s="157"/>
      <c r="N76" s="78" t="s">
        <v>358</v>
      </c>
    </row>
    <row r="77" spans="4:14" ht="20.100000000000001" customHeight="1">
      <c r="D77" s="81"/>
      <c r="E77" s="91"/>
      <c r="F77" s="334"/>
      <c r="G77" s="225"/>
      <c r="H77" s="1157"/>
      <c r="I77" s="187"/>
      <c r="J77" s="157"/>
      <c r="N77" s="78" t="s">
        <v>359</v>
      </c>
    </row>
    <row r="78" spans="4:14" ht="20.100000000000001" customHeight="1">
      <c r="D78" s="81"/>
      <c r="E78" s="91"/>
      <c r="F78" s="334"/>
      <c r="G78" s="225"/>
      <c r="H78" s="1157"/>
      <c r="I78" s="187"/>
      <c r="J78" s="157"/>
      <c r="N78" s="78" t="s">
        <v>360</v>
      </c>
    </row>
    <row r="79" spans="4:14" ht="20.100000000000001" customHeight="1">
      <c r="D79" s="81"/>
      <c r="E79" s="91"/>
      <c r="F79" s="334"/>
      <c r="G79" s="225"/>
      <c r="H79" s="1157"/>
      <c r="I79" s="187"/>
      <c r="J79" s="157"/>
      <c r="N79" s="78" t="s">
        <v>361</v>
      </c>
    </row>
    <row r="80" spans="4:14" ht="20.100000000000001" customHeight="1">
      <c r="D80" s="81"/>
      <c r="E80" s="91"/>
      <c r="F80" s="334"/>
      <c r="G80" s="225"/>
      <c r="H80" s="1157"/>
      <c r="I80" s="187"/>
      <c r="J80" s="157"/>
      <c r="N80" s="78" t="s">
        <v>362</v>
      </c>
    </row>
    <row r="81" spans="4:15" ht="20.100000000000001" customHeight="1">
      <c r="D81" s="81"/>
      <c r="E81" s="91"/>
      <c r="F81" s="334"/>
      <c r="G81" s="225"/>
      <c r="H81" s="1157"/>
      <c r="I81" s="187"/>
      <c r="J81" s="157"/>
      <c r="N81" s="78" t="s">
        <v>363</v>
      </c>
    </row>
    <row r="82" spans="4:15" ht="20.100000000000001" customHeight="1" thickBot="1">
      <c r="E82" s="472"/>
      <c r="F82" s="335"/>
      <c r="G82" s="333"/>
      <c r="H82" s="1158"/>
      <c r="I82" s="194"/>
      <c r="J82" s="195"/>
      <c r="K82" s="159"/>
      <c r="L82" s="159"/>
      <c r="N82" s="78" t="s">
        <v>364</v>
      </c>
    </row>
    <row r="83" spans="4:15" ht="20.100000000000001" customHeight="1">
      <c r="E83" s="471"/>
      <c r="F83" s="332" t="s">
        <v>191</v>
      </c>
      <c r="G83" s="332" t="s">
        <v>167</v>
      </c>
      <c r="H83" s="1156" t="s">
        <v>352</v>
      </c>
      <c r="I83" s="184" t="s">
        <v>140</v>
      </c>
      <c r="J83" s="185"/>
      <c r="K83" s="181" t="s">
        <v>144</v>
      </c>
      <c r="L83" s="197" t="s">
        <v>193</v>
      </c>
      <c r="M83" s="78" t="s">
        <v>410</v>
      </c>
      <c r="N83" s="78" t="s">
        <v>366</v>
      </c>
    </row>
    <row r="84" spans="4:15" ht="20.100000000000001" customHeight="1">
      <c r="E84" s="91"/>
      <c r="F84" s="334"/>
      <c r="G84" s="225"/>
      <c r="H84" s="1157"/>
      <c r="I84" s="186" t="s">
        <v>140</v>
      </c>
      <c r="J84" s="157"/>
      <c r="N84" s="78" t="s">
        <v>365</v>
      </c>
    </row>
    <row r="85" spans="4:15" ht="20.100000000000001" customHeight="1">
      <c r="E85" s="91"/>
      <c r="F85" s="334"/>
      <c r="G85" s="225"/>
      <c r="H85" s="1157"/>
      <c r="I85" s="187"/>
      <c r="J85" s="157"/>
      <c r="N85" s="78" t="s">
        <v>367</v>
      </c>
    </row>
    <row r="86" spans="4:15" ht="20.100000000000001" customHeight="1" thickBot="1">
      <c r="E86" s="472"/>
      <c r="F86" s="335"/>
      <c r="G86" s="333"/>
      <c r="H86" s="1158"/>
      <c r="I86" s="194"/>
      <c r="J86" s="195"/>
      <c r="K86" s="159"/>
      <c r="L86" s="159"/>
    </row>
    <row r="87" spans="4:15" ht="20.100000000000001" customHeight="1">
      <c r="E87" s="471"/>
      <c r="F87" s="153" t="s">
        <v>186</v>
      </c>
      <c r="G87" s="153" t="s">
        <v>383</v>
      </c>
      <c r="H87" s="1165" t="s">
        <v>374</v>
      </c>
      <c r="I87" s="184" t="s">
        <v>140</v>
      </c>
      <c r="J87" s="185" t="s">
        <v>168</v>
      </c>
      <c r="K87" s="181" t="s">
        <v>144</v>
      </c>
      <c r="L87" s="197" t="s">
        <v>187</v>
      </c>
      <c r="M87" s="78" t="s">
        <v>409</v>
      </c>
      <c r="N87" s="78" t="s">
        <v>375</v>
      </c>
      <c r="O87" s="78" t="s">
        <v>694</v>
      </c>
    </row>
    <row r="88" spans="4:15" ht="20.100000000000001" customHeight="1">
      <c r="E88" s="91"/>
      <c r="F88" s="81"/>
      <c r="G88" s="81"/>
      <c r="H88" s="1166"/>
      <c r="I88" s="186" t="s">
        <v>140</v>
      </c>
      <c r="J88" s="157"/>
    </row>
    <row r="89" spans="4:15" ht="20.100000000000001" customHeight="1">
      <c r="E89" s="91"/>
      <c r="F89" s="81"/>
      <c r="G89" s="81"/>
      <c r="H89" s="1166"/>
      <c r="I89" s="187"/>
      <c r="J89" s="157"/>
    </row>
    <row r="90" spans="4:15" ht="20.100000000000001" customHeight="1" thickBot="1">
      <c r="E90" s="472"/>
      <c r="F90" s="192"/>
      <c r="G90" s="192"/>
      <c r="H90" s="1166"/>
      <c r="I90" s="194"/>
      <c r="J90" s="195"/>
      <c r="K90" s="159"/>
      <c r="L90" s="159"/>
    </row>
    <row r="91" spans="4:15" ht="20.100000000000001" customHeight="1">
      <c r="D91" s="81"/>
      <c r="E91" s="471"/>
      <c r="F91" s="153" t="s">
        <v>183</v>
      </c>
      <c r="G91" s="153" t="s">
        <v>382</v>
      </c>
      <c r="H91" s="1166"/>
      <c r="I91" s="184" t="s">
        <v>140</v>
      </c>
      <c r="J91" s="185" t="s">
        <v>168</v>
      </c>
      <c r="K91" s="181" t="s">
        <v>144</v>
      </c>
      <c r="L91" s="197" t="s">
        <v>184</v>
      </c>
      <c r="M91" s="78" t="s">
        <v>410</v>
      </c>
      <c r="N91" s="78" t="s">
        <v>368</v>
      </c>
    </row>
    <row r="92" spans="4:15" ht="20.100000000000001" customHeight="1">
      <c r="D92" s="81"/>
      <c r="E92" s="91"/>
      <c r="F92" s="81"/>
      <c r="G92" s="81"/>
      <c r="H92" s="1166"/>
      <c r="I92" s="186" t="s">
        <v>140</v>
      </c>
      <c r="J92" s="157"/>
      <c r="N92" s="78" t="s">
        <v>369</v>
      </c>
    </row>
    <row r="93" spans="4:15" ht="20.100000000000001" customHeight="1">
      <c r="D93" s="81"/>
      <c r="E93" s="91"/>
      <c r="F93" s="81"/>
      <c r="G93" s="81"/>
      <c r="H93" s="1166"/>
      <c r="I93" s="187"/>
      <c r="J93" s="157"/>
      <c r="N93" s="78" t="s">
        <v>370</v>
      </c>
    </row>
    <row r="94" spans="4:15" ht="20.100000000000001" customHeight="1" thickBot="1">
      <c r="E94" s="472"/>
      <c r="F94" s="192"/>
      <c r="G94" s="192"/>
      <c r="H94" s="1166"/>
      <c r="I94" s="194"/>
      <c r="J94" s="195"/>
      <c r="K94" s="159"/>
      <c r="L94" s="159"/>
      <c r="N94" s="78" t="s">
        <v>371</v>
      </c>
    </row>
    <row r="95" spans="4:15" ht="20.100000000000001" customHeight="1">
      <c r="E95" s="471"/>
      <c r="F95" s="153" t="s">
        <v>372</v>
      </c>
      <c r="G95" s="153" t="s">
        <v>381</v>
      </c>
      <c r="H95" s="1166"/>
      <c r="I95" s="184" t="s">
        <v>140</v>
      </c>
      <c r="J95" s="185" t="s">
        <v>168</v>
      </c>
      <c r="K95" s="181" t="s">
        <v>144</v>
      </c>
      <c r="L95" s="197" t="s">
        <v>187</v>
      </c>
      <c r="M95" s="78" t="s">
        <v>409</v>
      </c>
      <c r="N95" s="78" t="s">
        <v>373</v>
      </c>
    </row>
    <row r="96" spans="4:15" ht="20.100000000000001" customHeight="1">
      <c r="E96" s="91"/>
      <c r="F96" s="81"/>
      <c r="G96" s="81"/>
      <c r="H96" s="1166"/>
      <c r="I96" s="186" t="s">
        <v>140</v>
      </c>
      <c r="J96" s="157"/>
    </row>
    <row r="97" spans="4:14" ht="20.100000000000001" customHeight="1">
      <c r="E97" s="91"/>
      <c r="F97" s="81"/>
      <c r="G97" s="81"/>
      <c r="H97" s="1166"/>
      <c r="I97" s="187"/>
      <c r="J97" s="157"/>
    </row>
    <row r="98" spans="4:14" ht="20.100000000000001" customHeight="1" thickBot="1">
      <c r="E98" s="472"/>
      <c r="F98" s="192"/>
      <c r="G98" s="192"/>
      <c r="H98" s="1167"/>
      <c r="I98" s="194"/>
      <c r="J98" s="195"/>
      <c r="K98" s="159"/>
      <c r="L98" s="159"/>
    </row>
    <row r="99" spans="4:14" ht="20.100000000000001" customHeight="1">
      <c r="D99" s="81"/>
      <c r="E99" s="473"/>
      <c r="F99" s="153" t="s">
        <v>194</v>
      </c>
      <c r="G99" s="153" t="s">
        <v>167</v>
      </c>
      <c r="H99" s="1156" t="s">
        <v>352</v>
      </c>
      <c r="I99" s="184" t="s">
        <v>140</v>
      </c>
      <c r="J99" s="185"/>
      <c r="K99" s="181" t="s">
        <v>144</v>
      </c>
      <c r="L99" s="197" t="s">
        <v>196</v>
      </c>
      <c r="M99" s="78" t="s">
        <v>411</v>
      </c>
      <c r="N99" s="78" t="s">
        <v>376</v>
      </c>
    </row>
    <row r="100" spans="4:14" ht="20.100000000000001" customHeight="1">
      <c r="D100" s="81"/>
      <c r="E100" s="225"/>
      <c r="F100" s="81"/>
      <c r="G100" s="81"/>
      <c r="H100" s="1157"/>
      <c r="I100" s="186" t="s">
        <v>140</v>
      </c>
      <c r="J100" s="157"/>
      <c r="N100" s="78" t="s">
        <v>377</v>
      </c>
    </row>
    <row r="101" spans="4:14" ht="20.100000000000001" customHeight="1">
      <c r="D101" s="81"/>
      <c r="E101" s="225"/>
      <c r="F101" s="81"/>
      <c r="G101" s="81"/>
      <c r="H101" s="1157"/>
      <c r="I101" s="187"/>
      <c r="J101" s="157"/>
      <c r="N101" s="78" t="s">
        <v>378</v>
      </c>
    </row>
    <row r="102" spans="4:14" ht="20.100000000000001" customHeight="1" thickBot="1">
      <c r="E102" s="333"/>
      <c r="F102" s="192"/>
      <c r="G102" s="192"/>
      <c r="H102" s="1158"/>
      <c r="I102" s="194"/>
      <c r="J102" s="195"/>
      <c r="K102" s="159"/>
      <c r="L102" s="159"/>
      <c r="N102" s="78" t="s">
        <v>380</v>
      </c>
    </row>
    <row r="103" spans="4:14" ht="20.100000000000001" customHeight="1">
      <c r="E103" s="473"/>
      <c r="F103" s="153" t="s">
        <v>195</v>
      </c>
      <c r="G103" s="153" t="s">
        <v>167</v>
      </c>
      <c r="H103" s="1156" t="s">
        <v>352</v>
      </c>
      <c r="I103" s="184" t="s">
        <v>140</v>
      </c>
      <c r="J103" s="185"/>
      <c r="K103" s="181" t="s">
        <v>144</v>
      </c>
      <c r="L103" s="197" t="s">
        <v>196</v>
      </c>
      <c r="M103" s="78" t="s">
        <v>411</v>
      </c>
      <c r="N103" s="78" t="s">
        <v>379</v>
      </c>
    </row>
    <row r="104" spans="4:14" ht="20.100000000000001" customHeight="1">
      <c r="E104" s="225"/>
      <c r="F104" s="81"/>
      <c r="G104" s="81"/>
      <c r="H104" s="1157"/>
      <c r="I104" s="186" t="s">
        <v>140</v>
      </c>
      <c r="J104" s="157"/>
      <c r="N104" s="78" t="s">
        <v>377</v>
      </c>
    </row>
    <row r="105" spans="4:14" ht="20.100000000000001" customHeight="1">
      <c r="E105" s="225"/>
      <c r="F105" s="81"/>
      <c r="G105" s="81"/>
      <c r="H105" s="1157"/>
      <c r="I105" s="187"/>
      <c r="J105" s="157"/>
      <c r="N105" s="78" t="s">
        <v>378</v>
      </c>
    </row>
    <row r="106" spans="4:14" ht="20.100000000000001" customHeight="1" thickBot="1">
      <c r="E106" s="333"/>
      <c r="F106" s="192"/>
      <c r="G106" s="192"/>
      <c r="H106" s="1158"/>
      <c r="I106" s="194"/>
      <c r="J106" s="195"/>
      <c r="K106" s="159"/>
      <c r="L106" s="159"/>
      <c r="N106" s="78" t="s">
        <v>380</v>
      </c>
    </row>
    <row r="107" spans="4:14" ht="20.100000000000001" customHeight="1">
      <c r="E107" s="190"/>
      <c r="F107" s="337" t="s">
        <v>389</v>
      </c>
      <c r="G107" s="153" t="s">
        <v>167</v>
      </c>
      <c r="H107" s="336" t="s">
        <v>392</v>
      </c>
      <c r="I107" s="184" t="s">
        <v>140</v>
      </c>
      <c r="J107" s="185"/>
      <c r="K107" s="181" t="s">
        <v>144</v>
      </c>
      <c r="L107" s="197"/>
      <c r="N107" s="78" t="s">
        <v>390</v>
      </c>
    </row>
    <row r="108" spans="4:14" ht="20.100000000000001" customHeight="1">
      <c r="E108" s="81"/>
      <c r="F108" s="81"/>
      <c r="G108" s="81"/>
      <c r="H108" s="189"/>
      <c r="I108" s="186" t="s">
        <v>140</v>
      </c>
      <c r="J108" s="157"/>
      <c r="N108" s="78" t="s">
        <v>391</v>
      </c>
    </row>
    <row r="109" spans="4:14" ht="20.100000000000001" customHeight="1">
      <c r="E109" s="81"/>
      <c r="F109" s="81"/>
      <c r="G109" s="81"/>
      <c r="H109" s="189"/>
      <c r="I109" s="187"/>
      <c r="J109" s="157"/>
    </row>
    <row r="110" spans="4:14" ht="20.100000000000001" customHeight="1" thickBot="1">
      <c r="E110" s="192"/>
      <c r="F110" s="192"/>
      <c r="G110" s="192"/>
      <c r="H110" s="193"/>
      <c r="I110" s="194"/>
      <c r="J110" s="195"/>
      <c r="K110" s="159"/>
      <c r="L110" s="159"/>
    </row>
    <row r="111" spans="4:14" ht="20.100000000000001" customHeight="1">
      <c r="E111" s="190"/>
      <c r="F111" s="337" t="s">
        <v>393</v>
      </c>
      <c r="G111" s="153" t="s">
        <v>167</v>
      </c>
      <c r="H111" s="336" t="s">
        <v>392</v>
      </c>
      <c r="I111" s="184" t="s">
        <v>140</v>
      </c>
      <c r="J111" s="185"/>
      <c r="K111" s="181" t="s">
        <v>144</v>
      </c>
      <c r="L111" s="197"/>
      <c r="N111" s="78" t="s">
        <v>394</v>
      </c>
    </row>
    <row r="112" spans="4:14" ht="20.100000000000001" customHeight="1">
      <c r="E112" s="81"/>
      <c r="F112" s="81"/>
      <c r="G112" s="81"/>
      <c r="H112" s="189"/>
      <c r="I112" s="186" t="s">
        <v>140</v>
      </c>
      <c r="J112" s="157"/>
      <c r="N112" s="78" t="s">
        <v>391</v>
      </c>
    </row>
    <row r="113" spans="5:14" ht="20.100000000000001" customHeight="1">
      <c r="E113" s="81"/>
      <c r="F113" s="81"/>
      <c r="G113" s="81"/>
      <c r="H113" s="189"/>
      <c r="I113" s="187"/>
      <c r="J113" s="157"/>
    </row>
    <row r="114" spans="5:14" ht="20.100000000000001" customHeight="1" thickBot="1">
      <c r="E114" s="192"/>
      <c r="F114" s="192"/>
      <c r="G114" s="192"/>
      <c r="H114" s="193"/>
      <c r="I114" s="194"/>
      <c r="J114" s="195"/>
      <c r="K114" s="159"/>
      <c r="L114" s="159"/>
    </row>
    <row r="115" spans="5:14" ht="20.100000000000001" customHeight="1">
      <c r="E115" s="190"/>
      <c r="F115" s="153" t="s">
        <v>395</v>
      </c>
      <c r="G115" s="153" t="s">
        <v>167</v>
      </c>
      <c r="H115" s="338"/>
      <c r="I115" s="184" t="s">
        <v>140</v>
      </c>
      <c r="J115" s="185"/>
      <c r="K115" s="181" t="s">
        <v>144</v>
      </c>
      <c r="L115" s="197"/>
      <c r="M115" s="78" t="s">
        <v>409</v>
      </c>
      <c r="N115" s="78" t="s">
        <v>397</v>
      </c>
    </row>
    <row r="116" spans="5:14" ht="20.100000000000001" customHeight="1">
      <c r="E116" s="81"/>
      <c r="F116" s="81"/>
      <c r="G116" s="81"/>
      <c r="H116" s="189"/>
      <c r="I116" s="186" t="s">
        <v>140</v>
      </c>
      <c r="J116" s="157"/>
      <c r="N116" s="78" t="s">
        <v>396</v>
      </c>
    </row>
    <row r="117" spans="5:14" ht="20.100000000000001" customHeight="1">
      <c r="E117" s="81"/>
      <c r="F117" s="81"/>
      <c r="G117" s="81"/>
      <c r="H117" s="189"/>
      <c r="I117" s="187"/>
      <c r="J117" s="157"/>
    </row>
    <row r="118" spans="5:14" ht="20.100000000000001" customHeight="1" thickBot="1">
      <c r="E118" s="192"/>
      <c r="F118" s="192"/>
      <c r="G118" s="192"/>
      <c r="H118" s="193"/>
      <c r="I118" s="194"/>
      <c r="J118" s="195"/>
      <c r="K118" s="159"/>
      <c r="L118" s="159"/>
    </row>
    <row r="119" spans="5:14" ht="20.100000000000001" customHeight="1">
      <c r="E119" s="471"/>
      <c r="F119" s="153" t="s">
        <v>197</v>
      </c>
      <c r="G119" s="153" t="s">
        <v>167</v>
      </c>
      <c r="H119" s="1156" t="s">
        <v>327</v>
      </c>
      <c r="I119" s="184" t="s">
        <v>140</v>
      </c>
      <c r="J119" s="185"/>
      <c r="K119" s="181" t="s">
        <v>144</v>
      </c>
      <c r="L119" s="197" t="s">
        <v>198</v>
      </c>
      <c r="M119" s="78" t="s">
        <v>409</v>
      </c>
      <c r="N119" s="78" t="s">
        <v>398</v>
      </c>
    </row>
    <row r="120" spans="5:14" ht="20.100000000000001" customHeight="1">
      <c r="E120" s="91"/>
      <c r="F120" s="81"/>
      <c r="G120" s="81"/>
      <c r="H120" s="1157"/>
      <c r="I120" s="186" t="s">
        <v>140</v>
      </c>
      <c r="J120" s="157"/>
      <c r="N120" s="78" t="s">
        <v>399</v>
      </c>
    </row>
    <row r="121" spans="5:14" ht="20.100000000000001" customHeight="1">
      <c r="E121" s="91"/>
      <c r="F121" s="81"/>
      <c r="G121" s="81"/>
      <c r="H121" s="1157"/>
      <c r="I121" s="187"/>
      <c r="J121" s="157"/>
      <c r="N121" s="78" t="s">
        <v>400</v>
      </c>
    </row>
    <row r="122" spans="5:14" ht="20.100000000000001" customHeight="1" thickBot="1">
      <c r="E122" s="472"/>
      <c r="F122" s="192"/>
      <c r="G122" s="192"/>
      <c r="H122" s="1158"/>
      <c r="I122" s="194"/>
      <c r="J122" s="195"/>
      <c r="K122" s="159"/>
      <c r="L122" s="159"/>
      <c r="N122" s="78" t="s">
        <v>401</v>
      </c>
    </row>
    <row r="123" spans="5:14" ht="20.100000000000001" customHeight="1">
      <c r="E123" s="471"/>
      <c r="F123" s="153" t="s">
        <v>199</v>
      </c>
      <c r="G123" s="153" t="s">
        <v>167</v>
      </c>
      <c r="H123" s="1156" t="s">
        <v>327</v>
      </c>
      <c r="I123" s="184" t="s">
        <v>140</v>
      </c>
      <c r="J123" s="185" t="s">
        <v>168</v>
      </c>
      <c r="K123" s="181" t="s">
        <v>144</v>
      </c>
      <c r="L123" s="197"/>
      <c r="M123" s="78" t="s">
        <v>409</v>
      </c>
      <c r="N123" s="78" t="s">
        <v>412</v>
      </c>
    </row>
    <row r="124" spans="5:14" ht="20.100000000000001" customHeight="1">
      <c r="E124" s="91"/>
      <c r="F124" s="81"/>
      <c r="G124" s="81"/>
      <c r="H124" s="1157"/>
      <c r="I124" s="186" t="s">
        <v>140</v>
      </c>
      <c r="J124" s="157"/>
      <c r="N124" s="78" t="s">
        <v>414</v>
      </c>
    </row>
    <row r="125" spans="5:14" ht="20.100000000000001" customHeight="1">
      <c r="E125" s="91"/>
      <c r="F125" s="81"/>
      <c r="G125" s="81"/>
      <c r="H125" s="1157"/>
      <c r="I125" s="187"/>
      <c r="J125" s="157"/>
      <c r="N125" s="78" t="s">
        <v>413</v>
      </c>
    </row>
    <row r="126" spans="5:14" ht="20.100000000000001" customHeight="1">
      <c r="E126" s="91"/>
      <c r="F126" s="81"/>
      <c r="G126" s="81"/>
      <c r="H126" s="1157"/>
      <c r="I126" s="187"/>
      <c r="J126" s="157"/>
      <c r="N126" s="78" t="s">
        <v>415</v>
      </c>
    </row>
    <row r="127" spans="5:14" ht="20.100000000000001" customHeight="1">
      <c r="E127" s="91"/>
      <c r="F127" s="81"/>
      <c r="G127" s="81"/>
      <c r="H127" s="1157"/>
      <c r="I127" s="187"/>
      <c r="J127" s="157"/>
      <c r="N127" s="78" t="s">
        <v>416</v>
      </c>
    </row>
    <row r="128" spans="5:14" ht="20.100000000000001" customHeight="1">
      <c r="E128" s="91"/>
      <c r="F128" s="81"/>
      <c r="G128" s="81"/>
      <c r="H128" s="1157"/>
      <c r="I128" s="187"/>
      <c r="J128" s="157"/>
      <c r="N128" s="78" t="s">
        <v>417</v>
      </c>
    </row>
    <row r="129" spans="5:14" ht="20.100000000000001" customHeight="1">
      <c r="E129" s="91"/>
      <c r="F129" s="81"/>
      <c r="G129" s="81"/>
      <c r="H129" s="1157"/>
      <c r="I129" s="187"/>
      <c r="J129" s="157"/>
      <c r="N129" s="78" t="s">
        <v>418</v>
      </c>
    </row>
    <row r="130" spans="5:14" ht="20.100000000000001" customHeight="1">
      <c r="E130" s="91"/>
      <c r="F130" s="81"/>
      <c r="G130" s="81"/>
      <c r="H130" s="1157"/>
      <c r="I130" s="187"/>
      <c r="J130" s="157"/>
      <c r="N130" s="78" t="s">
        <v>419</v>
      </c>
    </row>
    <row r="131" spans="5:14" ht="20.100000000000001" customHeight="1">
      <c r="E131" s="91"/>
      <c r="F131" s="81"/>
      <c r="G131" s="81"/>
      <c r="H131" s="1157"/>
      <c r="I131" s="187"/>
      <c r="J131" s="157"/>
      <c r="N131" s="86" t="s">
        <v>420</v>
      </c>
    </row>
    <row r="132" spans="5:14" ht="20.100000000000001" customHeight="1" thickBot="1">
      <c r="E132" s="472"/>
      <c r="F132" s="192"/>
      <c r="G132" s="192"/>
      <c r="H132" s="1158"/>
      <c r="I132" s="194"/>
      <c r="J132" s="195"/>
      <c r="K132" s="159"/>
      <c r="L132" s="159"/>
      <c r="N132" s="86" t="s">
        <v>421</v>
      </c>
    </row>
    <row r="133" spans="5:14" ht="20.100000000000001" customHeight="1">
      <c r="E133" s="190"/>
      <c r="F133" s="153" t="s">
        <v>200</v>
      </c>
      <c r="G133" s="153" t="s">
        <v>167</v>
      </c>
      <c r="H133" s="336" t="s">
        <v>423</v>
      </c>
      <c r="I133" s="184" t="s">
        <v>140</v>
      </c>
      <c r="J133" s="185"/>
      <c r="K133" s="181" t="s">
        <v>144</v>
      </c>
      <c r="L133" s="197" t="s">
        <v>201</v>
      </c>
      <c r="N133" s="120" t="s">
        <v>422</v>
      </c>
    </row>
    <row r="134" spans="5:14" ht="20.100000000000001" customHeight="1">
      <c r="E134" s="81"/>
      <c r="F134" s="81"/>
      <c r="G134" s="81"/>
      <c r="H134" s="189"/>
      <c r="I134" s="186" t="s">
        <v>140</v>
      </c>
      <c r="J134" s="157"/>
      <c r="N134" s="120" t="s">
        <v>424</v>
      </c>
    </row>
    <row r="135" spans="5:14" ht="20.100000000000001" customHeight="1">
      <c r="E135" s="81"/>
      <c r="F135" s="81"/>
      <c r="G135" s="81"/>
      <c r="H135" s="189"/>
      <c r="I135" s="187"/>
      <c r="J135" s="157"/>
      <c r="N135" s="120" t="s">
        <v>426</v>
      </c>
    </row>
    <row r="136" spans="5:14" ht="20.100000000000001" customHeight="1" thickBot="1">
      <c r="E136" s="192"/>
      <c r="F136" s="192"/>
      <c r="G136" s="192"/>
      <c r="H136" s="193"/>
      <c r="I136" s="194"/>
      <c r="J136" s="195"/>
      <c r="K136" s="159"/>
      <c r="L136" s="159"/>
    </row>
    <row r="137" spans="5:14" ht="20.100000000000001" customHeight="1">
      <c r="E137" s="190"/>
      <c r="F137" s="153" t="s">
        <v>427</v>
      </c>
      <c r="G137" s="153" t="s">
        <v>167</v>
      </c>
      <c r="H137" s="336" t="s">
        <v>423</v>
      </c>
      <c r="I137" s="184" t="s">
        <v>140</v>
      </c>
      <c r="J137" s="185" t="s">
        <v>168</v>
      </c>
      <c r="K137" s="181" t="s">
        <v>144</v>
      </c>
      <c r="L137" s="197"/>
      <c r="N137" s="120" t="s">
        <v>428</v>
      </c>
    </row>
    <row r="138" spans="5:14" ht="20.100000000000001" customHeight="1">
      <c r="E138" s="81"/>
      <c r="F138" s="81"/>
      <c r="G138" s="81"/>
      <c r="H138" s="189"/>
      <c r="I138" s="186" t="s">
        <v>140</v>
      </c>
      <c r="J138" s="157"/>
    </row>
    <row r="139" spans="5:14" ht="20.100000000000001" customHeight="1">
      <c r="E139" s="81"/>
      <c r="F139" s="81"/>
      <c r="G139" s="81"/>
      <c r="H139" s="189"/>
      <c r="I139" s="187"/>
      <c r="J139" s="157"/>
    </row>
    <row r="140" spans="5:14" ht="20.100000000000001" customHeight="1" thickBot="1">
      <c r="E140" s="192"/>
      <c r="F140" s="192"/>
      <c r="G140" s="192"/>
      <c r="H140" s="193"/>
      <c r="I140" s="194"/>
      <c r="J140" s="195"/>
      <c r="K140" s="159"/>
      <c r="L140" s="159"/>
    </row>
    <row r="141" spans="5:14" ht="20.100000000000001" customHeight="1">
      <c r="E141" s="190"/>
      <c r="F141" s="153" t="s">
        <v>429</v>
      </c>
      <c r="G141" s="153" t="s">
        <v>167</v>
      </c>
      <c r="H141" s="336" t="s">
        <v>423</v>
      </c>
      <c r="I141" s="184" t="s">
        <v>140</v>
      </c>
      <c r="J141" s="185" t="s">
        <v>168</v>
      </c>
      <c r="K141" s="181" t="s">
        <v>144</v>
      </c>
      <c r="L141" s="197"/>
      <c r="N141" s="120" t="s">
        <v>428</v>
      </c>
    </row>
    <row r="142" spans="5:14" ht="20.100000000000001" customHeight="1">
      <c r="E142" s="81"/>
      <c r="F142" s="81"/>
      <c r="G142" s="81"/>
      <c r="H142" s="189"/>
      <c r="I142" s="186" t="s">
        <v>140</v>
      </c>
      <c r="J142" s="157"/>
    </row>
    <row r="143" spans="5:14" ht="20.100000000000001" customHeight="1">
      <c r="E143" s="81"/>
      <c r="F143" s="81"/>
      <c r="G143" s="81"/>
      <c r="H143" s="189"/>
      <c r="I143" s="187"/>
      <c r="J143" s="157"/>
    </row>
    <row r="144" spans="5:14" ht="20.100000000000001" customHeight="1" thickBot="1">
      <c r="E144" s="192"/>
      <c r="F144" s="192"/>
      <c r="G144" s="192"/>
      <c r="H144" s="193"/>
      <c r="I144" s="194"/>
      <c r="J144" s="195"/>
      <c r="K144" s="159"/>
      <c r="L144" s="159"/>
    </row>
    <row r="145" spans="5:14" ht="20.100000000000001" customHeight="1">
      <c r="E145" s="471"/>
      <c r="F145" s="153" t="s">
        <v>430</v>
      </c>
      <c r="G145" s="153" t="s">
        <v>167</v>
      </c>
      <c r="H145" s="1159" t="s">
        <v>431</v>
      </c>
      <c r="I145" s="184" t="s">
        <v>140</v>
      </c>
      <c r="J145" s="185" t="s">
        <v>168</v>
      </c>
      <c r="K145" s="181" t="s">
        <v>144</v>
      </c>
      <c r="L145" s="197"/>
      <c r="N145" s="81" t="s">
        <v>432</v>
      </c>
    </row>
    <row r="146" spans="5:14" ht="20.100000000000001" customHeight="1">
      <c r="E146" s="91"/>
      <c r="F146" s="81"/>
      <c r="G146" s="81"/>
      <c r="H146" s="1160"/>
      <c r="I146" s="186" t="s">
        <v>140</v>
      </c>
      <c r="J146" s="157"/>
      <c r="N146" s="89"/>
    </row>
    <row r="147" spans="5:14" ht="20.100000000000001" customHeight="1">
      <c r="E147" s="91"/>
      <c r="F147" s="81"/>
      <c r="G147" s="81"/>
      <c r="H147" s="1160"/>
      <c r="I147" s="187"/>
      <c r="J147" s="157"/>
    </row>
    <row r="148" spans="5:14" ht="20.100000000000001" customHeight="1" thickBot="1">
      <c r="E148" s="472"/>
      <c r="F148" s="192"/>
      <c r="G148" s="192"/>
      <c r="H148" s="1161"/>
      <c r="I148" s="194"/>
      <c r="J148" s="195"/>
      <c r="K148" s="159"/>
      <c r="L148" s="159"/>
    </row>
    <row r="149" spans="5:14" ht="20.100000000000001" customHeight="1">
      <c r="E149" s="471"/>
      <c r="F149" s="153" t="s">
        <v>202</v>
      </c>
      <c r="G149" s="153" t="s">
        <v>167</v>
      </c>
      <c r="H149" s="191"/>
      <c r="I149" s="184" t="s">
        <v>140</v>
      </c>
      <c r="J149" s="185" t="s">
        <v>168</v>
      </c>
      <c r="K149" s="181" t="s">
        <v>144</v>
      </c>
      <c r="L149" s="197"/>
      <c r="N149" s="81" t="s">
        <v>688</v>
      </c>
    </row>
    <row r="150" spans="5:14" ht="20.100000000000001" customHeight="1">
      <c r="E150" s="91"/>
      <c r="F150" s="81"/>
      <c r="G150" s="81"/>
      <c r="H150" s="189"/>
      <c r="I150" s="186" t="s">
        <v>140</v>
      </c>
      <c r="J150" s="157"/>
    </row>
    <row r="151" spans="5:14" ht="20.100000000000001" customHeight="1">
      <c r="E151" s="91"/>
      <c r="F151" s="81"/>
      <c r="G151" s="81"/>
      <c r="H151" s="189"/>
      <c r="I151" s="187"/>
      <c r="J151" s="157"/>
    </row>
    <row r="152" spans="5:14" ht="20.100000000000001" customHeight="1" thickBot="1">
      <c r="E152" s="472"/>
      <c r="F152" s="192"/>
      <c r="G152" s="192"/>
      <c r="H152" s="193"/>
      <c r="I152" s="194"/>
      <c r="J152" s="195"/>
      <c r="K152" s="159"/>
      <c r="L152" s="159"/>
    </row>
    <row r="153" spans="5:14" ht="20.100000000000001" customHeight="1">
      <c r="E153" s="471"/>
      <c r="F153" s="153" t="s">
        <v>203</v>
      </c>
      <c r="G153" s="153" t="s">
        <v>167</v>
      </c>
      <c r="H153" s="191"/>
      <c r="I153" s="184" t="s">
        <v>140</v>
      </c>
      <c r="J153" s="185" t="s">
        <v>168</v>
      </c>
      <c r="K153" s="181" t="s">
        <v>144</v>
      </c>
      <c r="L153" s="197"/>
      <c r="N153" s="81" t="s">
        <v>689</v>
      </c>
    </row>
    <row r="154" spans="5:14" ht="20.100000000000001" customHeight="1">
      <c r="E154" s="91"/>
      <c r="F154" s="81"/>
      <c r="G154" s="81"/>
      <c r="H154" s="189"/>
      <c r="I154" s="186" t="s">
        <v>140</v>
      </c>
      <c r="J154" s="157"/>
    </row>
    <row r="155" spans="5:14" ht="20.100000000000001" customHeight="1">
      <c r="E155" s="91"/>
      <c r="F155" s="81"/>
      <c r="G155" s="81"/>
      <c r="H155" s="189"/>
      <c r="I155" s="187"/>
      <c r="J155" s="157"/>
    </row>
    <row r="156" spans="5:14" ht="20.100000000000001" customHeight="1" thickBot="1">
      <c r="E156" s="472"/>
      <c r="F156" s="192"/>
      <c r="G156" s="192"/>
      <c r="H156" s="193"/>
      <c r="I156" s="194"/>
      <c r="J156" s="195"/>
      <c r="K156" s="159"/>
      <c r="L156" s="159"/>
    </row>
    <row r="157" spans="5:14" ht="20.100000000000001" customHeight="1">
      <c r="E157" s="471"/>
      <c r="F157" s="153" t="s">
        <v>205</v>
      </c>
      <c r="G157" s="153" t="s">
        <v>167</v>
      </c>
      <c r="H157" s="191"/>
      <c r="I157" s="184" t="s">
        <v>140</v>
      </c>
      <c r="J157" s="185" t="s">
        <v>168</v>
      </c>
      <c r="K157" s="181" t="s">
        <v>144</v>
      </c>
      <c r="L157" s="197"/>
      <c r="N157" s="81" t="s">
        <v>687</v>
      </c>
    </row>
    <row r="158" spans="5:14" ht="20.100000000000001" customHeight="1">
      <c r="E158" s="91"/>
      <c r="F158" s="81"/>
      <c r="G158" s="81"/>
      <c r="H158" s="189"/>
      <c r="I158" s="186" t="s">
        <v>140</v>
      </c>
      <c r="J158" s="157"/>
    </row>
    <row r="159" spans="5:14" ht="20.100000000000001" customHeight="1">
      <c r="E159" s="91"/>
      <c r="F159" s="81"/>
      <c r="G159" s="81"/>
      <c r="H159" s="189"/>
      <c r="I159" s="187"/>
      <c r="J159" s="157"/>
    </row>
    <row r="160" spans="5:14" ht="20.100000000000001" customHeight="1" thickBot="1">
      <c r="E160" s="472"/>
      <c r="F160" s="192"/>
      <c r="G160" s="192"/>
      <c r="H160" s="193"/>
      <c r="I160" s="194"/>
      <c r="J160" s="195"/>
      <c r="K160" s="159"/>
      <c r="L160" s="159"/>
    </row>
    <row r="161" spans="4:14" ht="20.100000000000001" customHeight="1">
      <c r="E161" s="471"/>
      <c r="F161" s="153" t="s">
        <v>206</v>
      </c>
      <c r="G161" s="153" t="s">
        <v>167</v>
      </c>
      <c r="H161" s="191"/>
      <c r="I161" s="184" t="s">
        <v>140</v>
      </c>
      <c r="J161" s="185" t="s">
        <v>168</v>
      </c>
      <c r="K161" s="181" t="s">
        <v>144</v>
      </c>
      <c r="L161" s="197"/>
      <c r="N161" s="81" t="s">
        <v>686</v>
      </c>
    </row>
    <row r="162" spans="4:14" ht="20.100000000000001" customHeight="1">
      <c r="E162" s="91"/>
      <c r="F162" s="81"/>
      <c r="G162" s="81"/>
      <c r="H162" s="189"/>
      <c r="I162" s="186" t="s">
        <v>140</v>
      </c>
      <c r="J162" s="157"/>
    </row>
    <row r="163" spans="4:14" ht="20.100000000000001" customHeight="1">
      <c r="E163" s="91"/>
      <c r="F163" s="81"/>
      <c r="G163" s="81"/>
      <c r="H163" s="189"/>
      <c r="I163" s="187"/>
      <c r="J163" s="157"/>
    </row>
    <row r="164" spans="4:14" ht="20.100000000000001" customHeight="1" thickBot="1">
      <c r="E164" s="472"/>
      <c r="F164" s="192"/>
      <c r="G164" s="192"/>
      <c r="H164" s="193"/>
      <c r="I164" s="194"/>
      <c r="J164" s="195"/>
      <c r="K164" s="159"/>
      <c r="L164" s="159"/>
    </row>
    <row r="167" spans="4:14" ht="20.100000000000001" customHeight="1">
      <c r="E167" s="78" t="s">
        <v>690</v>
      </c>
      <c r="F167" s="81" t="s">
        <v>691</v>
      </c>
      <c r="N167" s="78" t="s">
        <v>692</v>
      </c>
    </row>
    <row r="174" spans="4:14" ht="20.100000000000001" customHeight="1">
      <c r="D174" s="199" t="s">
        <v>204</v>
      </c>
    </row>
    <row r="175" spans="4:14" ht="20.100000000000001" customHeight="1">
      <c r="D175" s="199" t="s">
        <v>207</v>
      </c>
    </row>
  </sheetData>
  <mergeCells count="13">
    <mergeCell ref="H123:H132"/>
    <mergeCell ref="H145:H148"/>
    <mergeCell ref="H119:H122"/>
    <mergeCell ref="H27:H34"/>
    <mergeCell ref="H47:H54"/>
    <mergeCell ref="H55:H58"/>
    <mergeCell ref="H63:H70"/>
    <mergeCell ref="H99:H102"/>
    <mergeCell ref="H103:H106"/>
    <mergeCell ref="H71:H74"/>
    <mergeCell ref="H75:H82"/>
    <mergeCell ref="H83:H86"/>
    <mergeCell ref="H87:H98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C3:FB67"/>
  <sheetViews>
    <sheetView showGridLines="0" zoomScaleNormal="100" workbookViewId="0">
      <selection activeCell="AT10" sqref="AT10"/>
    </sheetView>
  </sheetViews>
  <sheetFormatPr defaultColWidth="3.7109375" defaultRowHeight="18.95" customHeight="1"/>
  <cols>
    <col min="3" max="3" width="1.7109375" customWidth="1"/>
    <col min="7" max="7" width="1.5703125" customWidth="1"/>
  </cols>
  <sheetData>
    <row r="3" spans="3:158" ht="27.75" customHeight="1">
      <c r="C3" s="353" t="s">
        <v>613</v>
      </c>
    </row>
    <row r="5" spans="3:158" ht="18.95" customHeight="1">
      <c r="D5" s="389" t="s">
        <v>584</v>
      </c>
    </row>
    <row r="6" spans="3:158" ht="18.95" customHeight="1">
      <c r="D6" s="385" t="s">
        <v>566</v>
      </c>
    </row>
    <row r="7" spans="3:158" ht="18.95" customHeight="1">
      <c r="D7" s="385" t="s">
        <v>567</v>
      </c>
    </row>
    <row r="8" spans="3:158" ht="18.95" customHeight="1">
      <c r="D8" s="385" t="s">
        <v>588</v>
      </c>
    </row>
    <row r="9" spans="3:158" ht="18.95" customHeight="1">
      <c r="D9" s="385" t="s">
        <v>589</v>
      </c>
    </row>
    <row r="11" spans="3:158" ht="24.95" customHeight="1">
      <c r="D11" s="390" t="s">
        <v>436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E11" s="395" t="s">
        <v>585</v>
      </c>
      <c r="BF11" s="396"/>
      <c r="BG11" s="396"/>
      <c r="BH11" s="396"/>
      <c r="BI11" s="396"/>
      <c r="BJ11" s="396"/>
      <c r="BK11" s="396"/>
      <c r="BL11" s="396"/>
      <c r="BM11" s="396"/>
      <c r="BN11" s="396"/>
      <c r="BO11" s="396"/>
      <c r="BP11" s="396"/>
      <c r="BQ11" s="396"/>
      <c r="BR11" s="396"/>
      <c r="BS11" s="396"/>
      <c r="BT11" s="396"/>
      <c r="BU11" s="396"/>
      <c r="BV11" s="396"/>
      <c r="BW11" s="396"/>
      <c r="BX11" s="396"/>
      <c r="BY11" s="396"/>
      <c r="BZ11" s="396"/>
      <c r="CA11" s="396"/>
      <c r="CB11" s="396"/>
      <c r="CC11" s="396"/>
      <c r="CD11" s="396"/>
      <c r="CE11" s="396"/>
      <c r="CF11" s="396"/>
      <c r="CG11" s="396"/>
      <c r="CH11" s="396"/>
      <c r="CI11" s="396"/>
      <c r="CJ11" s="396"/>
      <c r="CK11" s="396"/>
      <c r="CM11" s="390" t="s">
        <v>565</v>
      </c>
      <c r="CN11" s="101"/>
      <c r="CO11" s="101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1"/>
      <c r="DA11" s="101"/>
      <c r="DB11" s="101"/>
      <c r="DC11" s="101"/>
      <c r="DD11" s="101"/>
      <c r="DE11" s="101"/>
      <c r="DF11" s="101"/>
      <c r="DG11" s="101"/>
      <c r="DH11" s="101"/>
      <c r="DI11" s="101"/>
      <c r="DJ11" s="101"/>
      <c r="DK11" s="101"/>
      <c r="DL11" s="101"/>
      <c r="DM11" s="101"/>
      <c r="DN11" s="101"/>
      <c r="DO11" s="101"/>
      <c r="DP11" s="101"/>
      <c r="DQ11" s="101"/>
      <c r="DR11" s="101"/>
      <c r="DS11" s="101"/>
      <c r="DT11" s="101"/>
      <c r="DU11" s="101"/>
      <c r="DV11" s="101"/>
      <c r="DW11" s="101"/>
      <c r="DX11" s="101"/>
      <c r="DY11" s="101"/>
      <c r="DZ11" s="101"/>
      <c r="EA11" s="101"/>
      <c r="EB11" s="101"/>
      <c r="EC11" s="101"/>
      <c r="ED11" s="101"/>
      <c r="EE11" s="101"/>
      <c r="EG11" s="395" t="s">
        <v>586</v>
      </c>
      <c r="EH11" s="396"/>
      <c r="EI11" s="396"/>
      <c r="EJ11" s="396"/>
      <c r="EK11" s="396"/>
      <c r="EL11" s="396"/>
      <c r="EM11" s="396"/>
      <c r="EN11" s="396"/>
      <c r="EO11" s="396"/>
      <c r="EP11" s="396"/>
      <c r="EQ11" s="396"/>
      <c r="ER11" s="396"/>
      <c r="ES11" s="396"/>
      <c r="ET11" s="396"/>
      <c r="EU11" s="396"/>
      <c r="EV11" s="396"/>
      <c r="EW11" s="396"/>
      <c r="EX11" s="396"/>
      <c r="EY11" s="396"/>
      <c r="EZ11" s="396"/>
      <c r="FA11" s="396"/>
      <c r="FB11" s="396"/>
    </row>
    <row r="25" spans="58:84" ht="18.95" customHeight="1" thickBot="1"/>
    <row r="26" spans="58:84" ht="18.95" customHeight="1">
      <c r="BF26" s="397"/>
      <c r="BG26" s="398"/>
      <c r="BH26" s="398"/>
      <c r="BI26" s="398"/>
      <c r="BJ26" s="398"/>
      <c r="BK26" s="398"/>
      <c r="BL26" s="398"/>
      <c r="BM26" s="398"/>
      <c r="BN26" s="398"/>
      <c r="BO26" s="398"/>
      <c r="BP26" s="398"/>
      <c r="BQ26" s="398"/>
      <c r="BR26" s="398"/>
      <c r="BS26" s="398"/>
      <c r="BT26" s="398"/>
      <c r="BU26" s="398"/>
      <c r="BV26" s="398"/>
      <c r="BW26" s="398"/>
      <c r="BX26" s="398"/>
      <c r="BY26" s="398"/>
      <c r="BZ26" s="398"/>
      <c r="CA26" s="398"/>
      <c r="CB26" s="398"/>
      <c r="CC26" s="398"/>
      <c r="CD26" s="398"/>
      <c r="CE26" s="398"/>
      <c r="CF26" s="399"/>
    </row>
    <row r="27" spans="58:84" ht="18.95" customHeight="1">
      <c r="BF27" s="400"/>
      <c r="BG27" s="401" t="s">
        <v>576</v>
      </c>
      <c r="BH27" s="402"/>
      <c r="BI27" s="402"/>
      <c r="BJ27" s="402"/>
      <c r="BK27" s="402"/>
      <c r="BL27" s="402"/>
      <c r="BM27" s="402"/>
      <c r="BN27" s="402"/>
      <c r="BO27" s="402"/>
      <c r="BP27" s="402"/>
      <c r="BQ27" s="402"/>
      <c r="BR27" s="402"/>
      <c r="BS27" s="402"/>
      <c r="BT27" s="402"/>
      <c r="BU27" s="402"/>
      <c r="BV27" s="402"/>
      <c r="BW27" s="402"/>
      <c r="BX27" s="402"/>
      <c r="BY27" s="402"/>
      <c r="BZ27" s="402"/>
      <c r="CA27" s="402"/>
      <c r="CB27" s="402"/>
      <c r="CC27" s="402"/>
      <c r="CD27" s="402"/>
      <c r="CE27" s="402"/>
      <c r="CF27" s="403"/>
    </row>
    <row r="28" spans="58:84" ht="18.95" customHeight="1">
      <c r="BF28" s="400"/>
      <c r="BG28" s="404" t="s">
        <v>583</v>
      </c>
      <c r="BH28" s="402"/>
      <c r="BI28" s="402"/>
      <c r="BJ28" s="402"/>
      <c r="BK28" s="402"/>
      <c r="BL28" s="402"/>
      <c r="BM28" s="402"/>
      <c r="BN28" s="402"/>
      <c r="BO28" s="402"/>
      <c r="BP28" s="402"/>
      <c r="BQ28" s="402"/>
      <c r="BR28" s="402"/>
      <c r="BS28" s="402"/>
      <c r="BT28" s="402"/>
      <c r="BU28" s="402"/>
      <c r="BV28" s="402"/>
      <c r="BW28" s="402"/>
      <c r="BX28" s="402"/>
      <c r="BY28" s="402"/>
      <c r="BZ28" s="402"/>
      <c r="CA28" s="402"/>
      <c r="CB28" s="402"/>
      <c r="CC28" s="402"/>
      <c r="CD28" s="402"/>
      <c r="CE28" s="402"/>
      <c r="CF28" s="403"/>
    </row>
    <row r="29" spans="58:84" ht="18.95" customHeight="1">
      <c r="BF29" s="400"/>
      <c r="BG29" s="404" t="s">
        <v>581</v>
      </c>
      <c r="BH29" s="402"/>
      <c r="BI29" s="402"/>
      <c r="BJ29" s="402"/>
      <c r="BK29" s="402"/>
      <c r="BL29" s="402"/>
      <c r="BM29" s="402"/>
      <c r="BN29" s="402"/>
      <c r="BO29" s="402"/>
      <c r="BP29" s="402"/>
      <c r="BQ29" s="402"/>
      <c r="BR29" s="402"/>
      <c r="BS29" s="402"/>
      <c r="BT29" s="402"/>
      <c r="BU29" s="402"/>
      <c r="BV29" s="402"/>
      <c r="BW29" s="402"/>
      <c r="BX29" s="402"/>
      <c r="BY29" s="402"/>
      <c r="BZ29" s="402"/>
      <c r="CA29" s="402"/>
      <c r="CB29" s="402"/>
      <c r="CC29" s="402"/>
      <c r="CD29" s="402"/>
      <c r="CE29" s="402"/>
      <c r="CF29" s="403"/>
    </row>
    <row r="30" spans="58:84" ht="18.95" customHeight="1">
      <c r="BF30" s="400"/>
      <c r="BG30" s="404" t="s">
        <v>582</v>
      </c>
      <c r="BH30" s="402"/>
      <c r="BI30" s="402"/>
      <c r="BJ30" s="402"/>
      <c r="BK30" s="402"/>
      <c r="BL30" s="402"/>
      <c r="BM30" s="402"/>
      <c r="BN30" s="402"/>
      <c r="BO30" s="402"/>
      <c r="BP30" s="402"/>
      <c r="BQ30" s="402"/>
      <c r="BR30" s="402"/>
      <c r="BS30" s="402"/>
      <c r="BT30" s="402"/>
      <c r="BU30" s="402"/>
      <c r="BV30" s="402"/>
      <c r="BW30" s="402"/>
      <c r="BX30" s="402"/>
      <c r="BY30" s="402"/>
      <c r="BZ30" s="402"/>
      <c r="CA30" s="402"/>
      <c r="CB30" s="402"/>
      <c r="CC30" s="402"/>
      <c r="CD30" s="402"/>
      <c r="CE30" s="402"/>
      <c r="CF30" s="403"/>
    </row>
    <row r="31" spans="58:84" ht="18.95" customHeight="1" thickBot="1">
      <c r="BF31" s="405"/>
      <c r="BG31" s="406"/>
      <c r="BH31" s="406"/>
      <c r="BI31" s="406"/>
      <c r="BJ31" s="406"/>
      <c r="BK31" s="406"/>
      <c r="BL31" s="406"/>
      <c r="BM31" s="406"/>
      <c r="BN31" s="406"/>
      <c r="BO31" s="406"/>
      <c r="BP31" s="406"/>
      <c r="BQ31" s="406"/>
      <c r="BR31" s="406"/>
      <c r="BS31" s="406"/>
      <c r="BT31" s="406"/>
      <c r="BU31" s="406"/>
      <c r="BV31" s="406"/>
      <c r="BW31" s="406"/>
      <c r="BX31" s="406"/>
      <c r="BY31" s="406"/>
      <c r="BZ31" s="406"/>
      <c r="CA31" s="406"/>
      <c r="CB31" s="406"/>
      <c r="CC31" s="406"/>
      <c r="CD31" s="406"/>
      <c r="CE31" s="406"/>
      <c r="CF31" s="407"/>
    </row>
    <row r="37" spans="34:34" ht="18.95" customHeight="1">
      <c r="AH37" t="s">
        <v>587</v>
      </c>
    </row>
    <row r="67" ht="24.95" customHeight="1"/>
  </sheetData>
  <phoneticPr fontId="2" type="noConversion"/>
  <pageMargins left="0.7" right="0.7" top="0.75" bottom="0.75" header="0.3" footer="0.3"/>
  <pageSetup paperSize="9" scale="51" orientation="landscape" r:id="rId1"/>
  <colBreaks count="2" manualBreakCount="2">
    <brk id="56" min="2" max="43" man="1"/>
    <brk id="135" min="2" max="43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C4:Y87"/>
  <sheetViews>
    <sheetView showGridLines="0" workbookViewId="0">
      <selection activeCell="B34" sqref="B34"/>
    </sheetView>
  </sheetViews>
  <sheetFormatPr defaultRowHeight="20.100000000000001" customHeight="1"/>
  <cols>
    <col min="3" max="3" width="3.42578125" customWidth="1"/>
    <col min="4" max="4" width="4.7109375" customWidth="1"/>
    <col min="5" max="5" width="4.140625" customWidth="1"/>
    <col min="6" max="15" width="8.7109375" customWidth="1"/>
    <col min="16" max="21" width="7.7109375" customWidth="1"/>
    <col min="22" max="22" width="8.7109375" customWidth="1"/>
    <col min="23" max="42" width="7.7109375" customWidth="1"/>
  </cols>
  <sheetData>
    <row r="4" spans="3:25" ht="38.1" customHeight="1">
      <c r="C4" s="353" t="s">
        <v>683</v>
      </c>
    </row>
    <row r="6" spans="3:25" ht="20.100000000000001" customHeight="1">
      <c r="D6" s="148" t="s">
        <v>681</v>
      </c>
      <c r="E6" s="14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</row>
    <row r="7" spans="3:25" ht="20.100000000000001" customHeight="1">
      <c r="E7" s="145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</row>
    <row r="8" spans="3:25" ht="20.100000000000001" customHeight="1">
      <c r="E8" s="445" t="s">
        <v>645</v>
      </c>
      <c r="F8" s="250"/>
      <c r="G8" s="250"/>
      <c r="H8" s="250"/>
      <c r="I8" s="250"/>
      <c r="J8" s="250"/>
      <c r="K8" s="250"/>
      <c r="L8" s="250"/>
      <c r="M8" s="250"/>
      <c r="N8" s="250"/>
      <c r="P8" s="445" t="s">
        <v>663</v>
      </c>
      <c r="Q8" s="250"/>
      <c r="R8" s="250"/>
      <c r="S8" s="250"/>
      <c r="T8" s="250"/>
      <c r="U8" s="250"/>
      <c r="V8" s="250"/>
      <c r="W8" s="250"/>
      <c r="X8" s="250"/>
      <c r="Y8" s="250"/>
    </row>
    <row r="9" spans="3:25" ht="20.100000000000001" customHeight="1" thickBot="1"/>
    <row r="10" spans="3:25" ht="20.100000000000001" customHeight="1" thickBot="1">
      <c r="E10" s="441" t="s">
        <v>647</v>
      </c>
      <c r="F10" s="442"/>
      <c r="G10" s="175" t="s">
        <v>623</v>
      </c>
      <c r="H10" s="441" t="s">
        <v>648</v>
      </c>
      <c r="I10" s="442"/>
      <c r="J10" s="175" t="s">
        <v>623</v>
      </c>
      <c r="K10" s="411" t="s">
        <v>655</v>
      </c>
      <c r="L10" s="429"/>
      <c r="M10" s="411" t="s">
        <v>656</v>
      </c>
      <c r="N10" s="429"/>
      <c r="P10" s="443" t="s">
        <v>661</v>
      </c>
      <c r="Q10" s="444"/>
      <c r="R10" s="443" t="s">
        <v>647</v>
      </c>
      <c r="S10" s="444"/>
      <c r="T10" s="175" t="s">
        <v>623</v>
      </c>
      <c r="U10" s="411" t="s">
        <v>655</v>
      </c>
      <c r="V10" s="429"/>
      <c r="W10" s="411" t="s">
        <v>656</v>
      </c>
      <c r="X10" s="429"/>
      <c r="Y10" s="446" t="s">
        <v>670</v>
      </c>
    </row>
    <row r="11" spans="3:25" ht="20.100000000000001" customHeight="1" thickBot="1">
      <c r="E11" s="428" t="s">
        <v>646</v>
      </c>
      <c r="F11" s="430"/>
      <c r="H11" s="428" t="s">
        <v>649</v>
      </c>
      <c r="I11" s="430"/>
      <c r="K11" s="431" t="s">
        <v>650</v>
      </c>
      <c r="L11" s="432"/>
      <c r="M11" s="437" t="s">
        <v>657</v>
      </c>
      <c r="N11" s="438"/>
      <c r="P11" s="428" t="s">
        <v>662</v>
      </c>
      <c r="Q11" s="430"/>
      <c r="R11" s="428" t="s">
        <v>646</v>
      </c>
      <c r="S11" s="430"/>
      <c r="U11" s="431" t="s">
        <v>650</v>
      </c>
      <c r="V11" s="432"/>
      <c r="W11" s="437" t="s">
        <v>657</v>
      </c>
      <c r="X11" s="438"/>
      <c r="Y11" s="447" t="s">
        <v>672</v>
      </c>
    </row>
    <row r="12" spans="3:25" ht="20.100000000000001" customHeight="1">
      <c r="K12" s="433" t="s">
        <v>651</v>
      </c>
      <c r="L12" s="434"/>
      <c r="M12" s="439" t="s">
        <v>658</v>
      </c>
      <c r="N12" s="440"/>
      <c r="U12" s="433" t="s">
        <v>651</v>
      </c>
      <c r="V12" s="434"/>
      <c r="W12" s="439" t="s">
        <v>658</v>
      </c>
      <c r="X12" s="440"/>
      <c r="Y12" s="448" t="s">
        <v>671</v>
      </c>
    </row>
    <row r="13" spans="3:25" ht="20.100000000000001" customHeight="1">
      <c r="K13" s="433" t="s">
        <v>652</v>
      </c>
      <c r="L13" s="434"/>
      <c r="M13" s="439" t="s">
        <v>659</v>
      </c>
      <c r="N13" s="440"/>
      <c r="U13" s="433" t="s">
        <v>652</v>
      </c>
      <c r="V13" s="434"/>
      <c r="W13" s="439" t="s">
        <v>659</v>
      </c>
      <c r="X13" s="440"/>
      <c r="Y13" s="448" t="s">
        <v>671</v>
      </c>
    </row>
    <row r="14" spans="3:25" ht="20.100000000000001" customHeight="1">
      <c r="K14" s="433" t="s">
        <v>653</v>
      </c>
      <c r="L14" s="434"/>
      <c r="M14" s="439" t="s">
        <v>660</v>
      </c>
      <c r="N14" s="440"/>
      <c r="U14" s="450" t="s">
        <v>668</v>
      </c>
      <c r="V14" s="451"/>
      <c r="W14" s="452" t="s">
        <v>669</v>
      </c>
      <c r="X14" s="453"/>
      <c r="Y14" s="454" t="s">
        <v>673</v>
      </c>
    </row>
    <row r="15" spans="3:25" ht="20.100000000000001" customHeight="1" thickBot="1">
      <c r="K15" s="435" t="s">
        <v>654</v>
      </c>
      <c r="L15" s="436"/>
      <c r="M15" s="435" t="s">
        <v>654</v>
      </c>
      <c r="N15" s="436"/>
      <c r="U15" s="435" t="s">
        <v>654</v>
      </c>
      <c r="V15" s="436"/>
      <c r="W15" s="435" t="s">
        <v>654</v>
      </c>
      <c r="X15" s="436"/>
      <c r="Y15" s="449" t="s">
        <v>654</v>
      </c>
    </row>
    <row r="17" spans="5:20" ht="20.100000000000001" customHeight="1" thickBot="1"/>
    <row r="18" spans="5:20" ht="20.100000000000001" customHeight="1" thickTop="1">
      <c r="E18" s="462" t="s">
        <v>643</v>
      </c>
      <c r="F18" s="463" t="s">
        <v>664</v>
      </c>
      <c r="G18" s="464"/>
      <c r="H18" s="464"/>
      <c r="I18" s="464"/>
      <c r="J18" s="464"/>
      <c r="K18" s="464"/>
      <c r="L18" s="464"/>
      <c r="M18" s="464"/>
      <c r="N18" s="464"/>
      <c r="O18" s="464"/>
      <c r="P18" s="464"/>
      <c r="Q18" s="464"/>
      <c r="R18" s="464"/>
      <c r="S18" s="464"/>
      <c r="T18" s="465"/>
    </row>
    <row r="19" spans="5:20" ht="20.100000000000001" customHeight="1">
      <c r="E19" s="466"/>
      <c r="F19" s="455"/>
      <c r="G19" s="456"/>
      <c r="H19" s="456"/>
      <c r="I19" s="456"/>
      <c r="J19" s="456"/>
      <c r="K19" s="456"/>
      <c r="L19" s="456"/>
      <c r="M19" s="456"/>
      <c r="N19" s="456"/>
      <c r="O19" s="456"/>
      <c r="P19" s="456"/>
      <c r="Q19" s="456"/>
      <c r="R19" s="456"/>
      <c r="S19" s="456"/>
      <c r="T19" s="467"/>
    </row>
    <row r="20" spans="5:20" ht="20.100000000000001" customHeight="1">
      <c r="E20" s="466"/>
      <c r="F20" s="455" t="s">
        <v>680</v>
      </c>
      <c r="G20" s="456"/>
      <c r="H20" s="456"/>
      <c r="I20" s="456"/>
      <c r="J20" s="456"/>
      <c r="K20" s="456"/>
      <c r="L20" s="456"/>
      <c r="M20" s="456"/>
      <c r="N20" s="456"/>
      <c r="O20" s="456"/>
      <c r="P20" s="456"/>
      <c r="Q20" s="456"/>
      <c r="R20" s="456"/>
      <c r="S20" s="456"/>
      <c r="T20" s="467"/>
    </row>
    <row r="21" spans="5:20" ht="20.100000000000001" customHeight="1">
      <c r="E21" s="466"/>
      <c r="F21" s="457" t="s">
        <v>666</v>
      </c>
      <c r="G21" s="456"/>
      <c r="H21" s="456"/>
      <c r="I21" s="456"/>
      <c r="J21" s="456"/>
      <c r="K21" s="456"/>
      <c r="L21" s="456"/>
      <c r="M21" s="456"/>
      <c r="N21" s="456"/>
      <c r="O21" s="456"/>
      <c r="P21" s="456"/>
      <c r="Q21" s="456"/>
      <c r="R21" s="456"/>
      <c r="S21" s="456"/>
      <c r="T21" s="467"/>
    </row>
    <row r="22" spans="5:20" ht="20.100000000000001" customHeight="1">
      <c r="E22" s="466"/>
      <c r="F22" s="461" t="s">
        <v>682</v>
      </c>
      <c r="G22" s="456"/>
      <c r="H22" s="456"/>
      <c r="I22" s="456"/>
      <c r="J22" s="456"/>
      <c r="K22" s="456"/>
      <c r="L22" s="456"/>
      <c r="M22" s="456"/>
      <c r="N22" s="456"/>
      <c r="O22" s="456"/>
      <c r="P22" s="456"/>
      <c r="Q22" s="456"/>
      <c r="R22" s="456"/>
      <c r="S22" s="456"/>
      <c r="T22" s="467"/>
    </row>
    <row r="23" spans="5:20" ht="20.100000000000001" customHeight="1">
      <c r="E23" s="466"/>
      <c r="F23" s="457" t="s">
        <v>667</v>
      </c>
      <c r="G23" s="456"/>
      <c r="H23" s="456"/>
      <c r="I23" s="456"/>
      <c r="J23" s="456"/>
      <c r="K23" s="456"/>
      <c r="L23" s="456"/>
      <c r="M23" s="456"/>
      <c r="N23" s="456"/>
      <c r="O23" s="456"/>
      <c r="P23" s="456"/>
      <c r="Q23" s="456"/>
      <c r="R23" s="456"/>
      <c r="S23" s="456"/>
      <c r="T23" s="467"/>
    </row>
    <row r="24" spans="5:20" ht="20.100000000000001" customHeight="1">
      <c r="E24" s="466"/>
      <c r="F24" s="457" t="s">
        <v>675</v>
      </c>
      <c r="G24" s="456"/>
      <c r="H24" s="456"/>
      <c r="I24" s="456"/>
      <c r="J24" s="456"/>
      <c r="K24" s="456"/>
      <c r="L24" s="456"/>
      <c r="M24" s="456"/>
      <c r="N24" s="456"/>
      <c r="O24" s="456"/>
      <c r="P24" s="456"/>
      <c r="Q24" s="456"/>
      <c r="R24" s="456"/>
      <c r="S24" s="456"/>
      <c r="T24" s="467"/>
    </row>
    <row r="25" spans="5:20" ht="20.100000000000001" customHeight="1">
      <c r="E25" s="466"/>
      <c r="F25" s="458" t="s">
        <v>676</v>
      </c>
      <c r="G25" s="456"/>
      <c r="H25" s="456"/>
      <c r="I25" s="456"/>
      <c r="J25" s="456"/>
      <c r="K25" s="456"/>
      <c r="L25" s="456"/>
      <c r="M25" s="456"/>
      <c r="N25" s="456"/>
      <c r="O25" s="456"/>
      <c r="P25" s="456"/>
      <c r="Q25" s="456"/>
      <c r="R25" s="456"/>
      <c r="S25" s="456"/>
      <c r="T25" s="467"/>
    </row>
    <row r="26" spans="5:20" ht="20.100000000000001" customHeight="1">
      <c r="E26" s="466"/>
      <c r="F26" s="457" t="s">
        <v>677</v>
      </c>
      <c r="G26" s="456"/>
      <c r="H26" s="456"/>
      <c r="I26" s="456"/>
      <c r="J26" s="456"/>
      <c r="K26" s="456"/>
      <c r="L26" s="456"/>
      <c r="M26" s="456"/>
      <c r="N26" s="456"/>
      <c r="O26" s="456"/>
      <c r="P26" s="456"/>
      <c r="Q26" s="456"/>
      <c r="R26" s="456"/>
      <c r="S26" s="456"/>
      <c r="T26" s="467"/>
    </row>
    <row r="27" spans="5:20" ht="20.100000000000001" customHeight="1">
      <c r="E27" s="466"/>
      <c r="F27" s="455" t="s">
        <v>665</v>
      </c>
      <c r="G27" s="456"/>
      <c r="H27" s="456"/>
      <c r="I27" s="456"/>
      <c r="J27" s="456"/>
      <c r="K27" s="456"/>
      <c r="L27" s="456"/>
      <c r="M27" s="456"/>
      <c r="N27" s="456"/>
      <c r="O27" s="456"/>
      <c r="P27" s="456"/>
      <c r="Q27" s="456"/>
      <c r="R27" s="456"/>
      <c r="S27" s="456"/>
      <c r="T27" s="467"/>
    </row>
    <row r="28" spans="5:20" ht="20.100000000000001" customHeight="1">
      <c r="E28" s="466"/>
      <c r="F28" s="455" t="s">
        <v>674</v>
      </c>
      <c r="G28" s="456"/>
      <c r="H28" s="456"/>
      <c r="I28" s="456"/>
      <c r="J28" s="456"/>
      <c r="K28" s="456"/>
      <c r="L28" s="456"/>
      <c r="M28" s="456"/>
      <c r="N28" s="456"/>
      <c r="O28" s="456"/>
      <c r="P28" s="456"/>
      <c r="Q28" s="456"/>
      <c r="R28" s="456"/>
      <c r="S28" s="456"/>
      <c r="T28" s="467"/>
    </row>
    <row r="29" spans="5:20" ht="20.100000000000001" customHeight="1">
      <c r="E29" s="466"/>
      <c r="F29" s="460" t="s">
        <v>679</v>
      </c>
      <c r="G29" s="456"/>
      <c r="H29" s="456"/>
      <c r="I29" s="456"/>
      <c r="J29" s="456"/>
      <c r="K29" s="456"/>
      <c r="L29" s="456"/>
      <c r="M29" s="456"/>
      <c r="N29" s="456"/>
      <c r="O29" s="456"/>
      <c r="P29" s="456"/>
      <c r="Q29" s="456"/>
      <c r="R29" s="456"/>
      <c r="S29" s="456"/>
      <c r="T29" s="467"/>
    </row>
    <row r="30" spans="5:20" ht="20.100000000000001" customHeight="1" thickBot="1">
      <c r="E30" s="468"/>
      <c r="F30" s="469"/>
      <c r="G30" s="469"/>
      <c r="H30" s="469"/>
      <c r="I30" s="469"/>
      <c r="J30" s="469"/>
      <c r="K30" s="469"/>
      <c r="L30" s="469"/>
      <c r="M30" s="469"/>
      <c r="N30" s="469"/>
      <c r="O30" s="469"/>
      <c r="P30" s="469"/>
      <c r="Q30" s="469"/>
      <c r="R30" s="469"/>
      <c r="S30" s="469"/>
      <c r="T30" s="470"/>
    </row>
    <row r="31" spans="5:20" ht="20.100000000000001" customHeight="1" thickTop="1">
      <c r="E31" s="145"/>
      <c r="F31" s="78"/>
    </row>
    <row r="32" spans="5:20" ht="20.100000000000001" customHeight="1">
      <c r="E32" s="426" t="s">
        <v>643</v>
      </c>
      <c r="F32" s="427" t="s">
        <v>678</v>
      </c>
    </row>
    <row r="33" spans="4:25" ht="20.100000000000001" customHeight="1">
      <c r="G33" s="459"/>
      <c r="H33" s="459"/>
    </row>
    <row r="34" spans="4:25" ht="20.100000000000001" customHeight="1">
      <c r="E34" s="145"/>
      <c r="F34" s="78"/>
    </row>
    <row r="36" spans="4:25" ht="20.100000000000001" customHeight="1">
      <c r="D36" s="148" t="s">
        <v>684</v>
      </c>
      <c r="E36" s="148"/>
    </row>
    <row r="38" spans="4:25" ht="20.100000000000001" customHeight="1" thickBot="1"/>
    <row r="39" spans="4:25" ht="20.100000000000001" customHeight="1" thickBot="1">
      <c r="F39" s="411" t="s">
        <v>615</v>
      </c>
      <c r="G39" s="412"/>
      <c r="H39" s="416" t="s">
        <v>616</v>
      </c>
      <c r="I39" s="417" t="s">
        <v>617</v>
      </c>
      <c r="J39" s="418" t="s">
        <v>620</v>
      </c>
      <c r="K39" s="419" t="s">
        <v>621</v>
      </c>
      <c r="L39" s="420" t="s">
        <v>619</v>
      </c>
      <c r="M39" s="421" t="s">
        <v>640</v>
      </c>
      <c r="N39" s="413" t="s">
        <v>622</v>
      </c>
      <c r="O39" s="414"/>
      <c r="P39" s="175" t="s">
        <v>623</v>
      </c>
      <c r="Q39" s="415" t="s">
        <v>624</v>
      </c>
    </row>
    <row r="40" spans="4:25" s="145" customFormat="1" ht="20.100000000000001" customHeight="1" thickBot="1">
      <c r="F40" s="422" t="s">
        <v>685</v>
      </c>
      <c r="G40" s="423" t="s">
        <v>627</v>
      </c>
      <c r="H40" s="424" t="s">
        <v>618</v>
      </c>
      <c r="I40" s="424">
        <v>1</v>
      </c>
      <c r="J40" s="424" t="s">
        <v>625</v>
      </c>
      <c r="K40" s="424" t="s">
        <v>626</v>
      </c>
      <c r="L40" s="424">
        <v>1</v>
      </c>
      <c r="M40" s="424">
        <v>1</v>
      </c>
      <c r="N40" s="423">
        <v>0</v>
      </c>
      <c r="O40" s="425">
        <v>0</v>
      </c>
      <c r="Q40" s="424" t="s">
        <v>627</v>
      </c>
      <c r="R40"/>
      <c r="S40"/>
      <c r="T40"/>
      <c r="U40"/>
    </row>
    <row r="43" spans="4:25" ht="20.100000000000001" customHeight="1">
      <c r="E43" s="145" t="s">
        <v>628</v>
      </c>
      <c r="F43" s="78" t="s">
        <v>629</v>
      </c>
      <c r="G43" s="78"/>
      <c r="H43" s="86" t="s">
        <v>630</v>
      </c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</row>
    <row r="44" spans="4:25" ht="20.100000000000001" customHeight="1">
      <c r="E44" s="145" t="s">
        <v>628</v>
      </c>
      <c r="F44" s="78" t="s">
        <v>631</v>
      </c>
      <c r="G44" s="78"/>
      <c r="H44" s="142" t="s">
        <v>632</v>
      </c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</row>
    <row r="45" spans="4:25" ht="20.100000000000001" customHeight="1">
      <c r="E45" s="145" t="s">
        <v>628</v>
      </c>
      <c r="F45" s="78" t="s">
        <v>633</v>
      </c>
      <c r="G45" s="78"/>
      <c r="H45" s="142" t="s">
        <v>634</v>
      </c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</row>
    <row r="46" spans="4:25" ht="20.100000000000001" customHeight="1">
      <c r="E46" s="145" t="s">
        <v>628</v>
      </c>
      <c r="F46" s="78" t="s">
        <v>635</v>
      </c>
      <c r="G46" s="78"/>
      <c r="H46" s="142" t="s">
        <v>636</v>
      </c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</row>
    <row r="47" spans="4:25" ht="20.100000000000001" customHeight="1">
      <c r="E47" s="145" t="s">
        <v>628</v>
      </c>
      <c r="F47" s="78" t="s">
        <v>637</v>
      </c>
      <c r="G47" s="78"/>
      <c r="H47" s="142" t="s">
        <v>638</v>
      </c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</row>
    <row r="48" spans="4:25" ht="20.100000000000001" customHeight="1">
      <c r="E48" s="145" t="s">
        <v>628</v>
      </c>
      <c r="F48" s="78" t="s">
        <v>639</v>
      </c>
      <c r="G48" s="78"/>
      <c r="H48" s="142" t="s">
        <v>641</v>
      </c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</row>
    <row r="49" spans="5:25" ht="20.100000000000001" customHeight="1">
      <c r="E49" s="145" t="s">
        <v>628</v>
      </c>
      <c r="F49" s="78" t="s">
        <v>642</v>
      </c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</row>
    <row r="50" spans="5:25" ht="20.100000000000001" customHeight="1">
      <c r="E50" s="145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</row>
    <row r="51" spans="5:25" ht="20.100000000000001" customHeight="1">
      <c r="E51" s="426" t="s">
        <v>643</v>
      </c>
      <c r="F51" s="427" t="s">
        <v>644</v>
      </c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</row>
    <row r="52" spans="5:25" ht="20.100000000000001" customHeight="1">
      <c r="E52" s="145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</row>
    <row r="53" spans="5:25" ht="20.100000000000001" customHeight="1">
      <c r="E53" s="145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</row>
    <row r="54" spans="5:25" ht="20.100000000000001" customHeight="1">
      <c r="E54" s="145"/>
      <c r="F54" s="78"/>
    </row>
    <row r="55" spans="5:25" ht="20.100000000000001" customHeight="1">
      <c r="E55" s="145"/>
      <c r="F55" s="78"/>
    </row>
    <row r="56" spans="5:25" ht="20.100000000000001" customHeight="1">
      <c r="E56" s="145"/>
      <c r="F56" s="78"/>
    </row>
    <row r="57" spans="5:25" ht="20.100000000000001" customHeight="1">
      <c r="E57" s="145"/>
      <c r="F57" s="78"/>
    </row>
    <row r="58" spans="5:25" ht="20.100000000000001" customHeight="1">
      <c r="E58" s="145"/>
      <c r="F58" s="78"/>
    </row>
    <row r="59" spans="5:25" ht="20.100000000000001" customHeight="1">
      <c r="E59" s="145"/>
      <c r="F59" s="78"/>
    </row>
    <row r="60" spans="5:25" ht="20.100000000000001" customHeight="1">
      <c r="E60" s="145"/>
      <c r="F60" s="78"/>
    </row>
    <row r="61" spans="5:25" ht="20.100000000000001" customHeight="1">
      <c r="E61" s="145"/>
      <c r="F61" s="78"/>
    </row>
    <row r="62" spans="5:25" ht="20.100000000000001" customHeight="1">
      <c r="E62" s="145"/>
      <c r="F62" s="78"/>
    </row>
    <row r="63" spans="5:25" ht="20.100000000000001" customHeight="1">
      <c r="E63" s="145"/>
      <c r="F63" s="78"/>
    </row>
    <row r="64" spans="5:25" ht="20.100000000000001" customHeight="1">
      <c r="E64" s="145"/>
      <c r="F64" s="78"/>
    </row>
    <row r="65" spans="5:6" ht="20.100000000000001" customHeight="1">
      <c r="E65" s="145"/>
      <c r="F65" s="78"/>
    </row>
    <row r="66" spans="5:6" ht="20.100000000000001" customHeight="1">
      <c r="E66" s="145"/>
      <c r="F66" s="78"/>
    </row>
    <row r="67" spans="5:6" ht="20.100000000000001" customHeight="1">
      <c r="E67" s="145"/>
      <c r="F67" s="78"/>
    </row>
    <row r="68" spans="5:6" ht="20.100000000000001" customHeight="1">
      <c r="E68" s="145"/>
      <c r="F68" s="78"/>
    </row>
    <row r="69" spans="5:6" ht="20.100000000000001" customHeight="1">
      <c r="E69" s="145"/>
      <c r="F69" s="78"/>
    </row>
    <row r="70" spans="5:6" ht="20.100000000000001" customHeight="1">
      <c r="E70" s="145"/>
      <c r="F70" s="78"/>
    </row>
    <row r="71" spans="5:6" ht="20.100000000000001" customHeight="1">
      <c r="E71" s="145"/>
      <c r="F71" s="78"/>
    </row>
    <row r="72" spans="5:6" ht="20.100000000000001" customHeight="1">
      <c r="E72" s="145"/>
      <c r="F72" s="78"/>
    </row>
    <row r="73" spans="5:6" ht="20.100000000000001" customHeight="1">
      <c r="E73" s="145"/>
      <c r="F73" s="78"/>
    </row>
    <row r="74" spans="5:6" ht="20.100000000000001" customHeight="1">
      <c r="E74" s="145"/>
      <c r="F74" s="78"/>
    </row>
    <row r="75" spans="5:6" ht="20.100000000000001" customHeight="1">
      <c r="E75" s="145"/>
      <c r="F75" s="78"/>
    </row>
    <row r="76" spans="5:6" ht="20.100000000000001" customHeight="1">
      <c r="E76" s="145"/>
      <c r="F76" s="78"/>
    </row>
    <row r="77" spans="5:6" ht="20.100000000000001" customHeight="1">
      <c r="E77" s="145"/>
      <c r="F77" s="78"/>
    </row>
    <row r="78" spans="5:6" ht="20.100000000000001" customHeight="1">
      <c r="E78" s="145"/>
      <c r="F78" s="78"/>
    </row>
    <row r="79" spans="5:6" ht="20.100000000000001" customHeight="1">
      <c r="E79" s="145"/>
    </row>
    <row r="80" spans="5:6" ht="20.100000000000001" customHeight="1">
      <c r="E80" s="145"/>
    </row>
    <row r="81" spans="5:5" ht="20.100000000000001" customHeight="1">
      <c r="E81" s="145"/>
    </row>
    <row r="82" spans="5:5" ht="20.100000000000001" customHeight="1">
      <c r="E82" s="145"/>
    </row>
    <row r="83" spans="5:5" ht="20.100000000000001" customHeight="1">
      <c r="E83" s="145"/>
    </row>
    <row r="84" spans="5:5" ht="20.100000000000001" customHeight="1">
      <c r="E84" s="145"/>
    </row>
    <row r="85" spans="5:5" ht="20.100000000000001" customHeight="1">
      <c r="E85" s="145"/>
    </row>
    <row r="86" spans="5:5" ht="20.100000000000001" customHeight="1">
      <c r="E86" s="145"/>
    </row>
    <row r="87" spans="5:5" ht="20.100000000000001" customHeight="1">
      <c r="E87" s="145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C4:Y108"/>
  <sheetViews>
    <sheetView showGridLines="0" zoomScaleNormal="100" workbookViewId="0">
      <selection activeCell="AF20" sqref="AF20"/>
    </sheetView>
  </sheetViews>
  <sheetFormatPr defaultRowHeight="20.100000000000001" customHeight="1"/>
  <cols>
    <col min="3" max="4" width="3.5703125" customWidth="1"/>
    <col min="5" max="5" width="10" customWidth="1"/>
    <col min="6" max="6" width="1" customWidth="1"/>
    <col min="7" max="7" width="9.42578125" customWidth="1"/>
    <col min="8" max="8" width="1.28515625" customWidth="1"/>
    <col min="9" max="9" width="20" customWidth="1"/>
    <col min="10" max="10" width="1.7109375" customWidth="1"/>
    <col min="11" max="11" width="20" customWidth="1"/>
    <col min="12" max="12" width="1.7109375" customWidth="1"/>
    <col min="13" max="13" width="20" customWidth="1"/>
    <col min="14" max="14" width="1.7109375" customWidth="1"/>
    <col min="15" max="15" width="33.140625" customWidth="1"/>
    <col min="16" max="16" width="1.7109375" customWidth="1"/>
    <col min="17" max="17" width="26.140625" customWidth="1"/>
    <col min="18" max="18" width="1.7109375" customWidth="1"/>
  </cols>
  <sheetData>
    <row r="4" spans="3:18" ht="34.5" customHeight="1">
      <c r="C4" s="119" t="s">
        <v>100</v>
      </c>
      <c r="D4" s="119"/>
      <c r="E4" s="119"/>
      <c r="F4" s="119"/>
      <c r="G4" s="119"/>
      <c r="H4" s="119"/>
    </row>
    <row r="6" spans="3:18" ht="20.100000000000001" customHeight="1">
      <c r="D6" s="148" t="s">
        <v>114</v>
      </c>
      <c r="E6" s="144"/>
      <c r="F6" s="144"/>
      <c r="G6" s="144"/>
      <c r="H6" s="144"/>
    </row>
    <row r="7" spans="3:18" ht="9.9499999999999993" customHeight="1"/>
    <row r="8" spans="3:18" ht="20.100000000000001" customHeight="1">
      <c r="E8" s="149" t="s">
        <v>210</v>
      </c>
      <c r="I8" s="149"/>
    </row>
    <row r="9" spans="3:18" ht="20.100000000000001" customHeight="1">
      <c r="E9" s="149" t="s">
        <v>117</v>
      </c>
    </row>
    <row r="10" spans="3:18" ht="20.100000000000001" customHeight="1">
      <c r="E10" s="149" t="s">
        <v>118</v>
      </c>
    </row>
    <row r="12" spans="3:18" ht="9.9499999999999993" customHeight="1"/>
    <row r="13" spans="3:18" ht="20.100000000000001" customHeight="1">
      <c r="D13" s="148" t="s">
        <v>115</v>
      </c>
      <c r="E13" s="144"/>
      <c r="F13" s="144"/>
      <c r="G13" s="144"/>
      <c r="H13" s="144"/>
    </row>
    <row r="14" spans="3:18" ht="9.9499999999999993" customHeight="1"/>
    <row r="15" spans="3:18" ht="20.100000000000001" customHeight="1">
      <c r="I15" s="146" t="s">
        <v>104</v>
      </c>
      <c r="K15" s="146" t="s">
        <v>105</v>
      </c>
      <c r="M15" s="146" t="s">
        <v>106</v>
      </c>
      <c r="O15" s="270" t="s">
        <v>119</v>
      </c>
      <c r="P15" s="268"/>
      <c r="Q15" s="268"/>
      <c r="R15" s="268"/>
    </row>
    <row r="16" spans="3:18" ht="5.0999999999999996" customHeight="1"/>
    <row r="17" spans="5:25" s="78" customFormat="1" ht="20.100000000000001" customHeight="1">
      <c r="E17" s="1168" t="s">
        <v>112</v>
      </c>
      <c r="G17" s="1174" t="s">
        <v>110</v>
      </c>
      <c r="I17" s="391" t="s">
        <v>571</v>
      </c>
      <c r="K17" s="81" t="s">
        <v>577</v>
      </c>
      <c r="M17" s="150" t="s">
        <v>109</v>
      </c>
      <c r="O17" s="86" t="s">
        <v>120</v>
      </c>
      <c r="S17"/>
      <c r="T17"/>
      <c r="U17"/>
      <c r="V17"/>
      <c r="W17"/>
      <c r="X17"/>
      <c r="Y17"/>
    </row>
    <row r="18" spans="5:25" s="78" customFormat="1" ht="20.100000000000001" customHeight="1">
      <c r="E18" s="1169"/>
      <c r="G18" s="1175"/>
      <c r="I18" s="392"/>
      <c r="K18" s="81" t="s">
        <v>578</v>
      </c>
      <c r="M18" s="150" t="s">
        <v>109</v>
      </c>
      <c r="O18" s="142" t="s">
        <v>120</v>
      </c>
    </row>
    <row r="19" spans="5:25" s="78" customFormat="1" ht="6.95" customHeight="1">
      <c r="E19" s="1169"/>
      <c r="I19" s="392"/>
    </row>
    <row r="20" spans="5:25" s="78" customFormat="1" ht="20.100000000000001" customHeight="1">
      <c r="E20" s="1169"/>
      <c r="G20" s="1176" t="s">
        <v>111</v>
      </c>
      <c r="I20" s="391"/>
      <c r="K20" s="81" t="s">
        <v>579</v>
      </c>
      <c r="M20" s="151" t="s">
        <v>569</v>
      </c>
      <c r="O20" s="200" t="s">
        <v>929</v>
      </c>
      <c r="P20" s="484"/>
      <c r="Q20" s="484"/>
      <c r="R20" s="484"/>
      <c r="S20" s="484"/>
    </row>
    <row r="21" spans="5:25" s="78" customFormat="1" ht="6.95" customHeight="1">
      <c r="E21" s="1169"/>
      <c r="G21" s="1177"/>
    </row>
    <row r="22" spans="5:25" s="78" customFormat="1" ht="20.100000000000001" customHeight="1">
      <c r="E22" s="1169"/>
      <c r="G22" s="1177"/>
      <c r="I22" s="393" t="s">
        <v>570</v>
      </c>
      <c r="J22" s="81"/>
      <c r="K22" s="394" t="s">
        <v>469</v>
      </c>
      <c r="M22" s="151" t="s">
        <v>103</v>
      </c>
      <c r="O22" s="142" t="s">
        <v>506</v>
      </c>
    </row>
    <row r="23" spans="5:25" s="78" customFormat="1" ht="20.100000000000001" customHeight="1">
      <c r="E23" s="1169"/>
      <c r="G23" s="1177"/>
      <c r="I23" s="231"/>
      <c r="K23" s="394" t="s">
        <v>469</v>
      </c>
      <c r="M23" s="201" t="s">
        <v>568</v>
      </c>
      <c r="O23" s="142" t="s">
        <v>209</v>
      </c>
    </row>
    <row r="24" spans="5:25" s="78" customFormat="1" ht="6.95" customHeight="1">
      <c r="E24" s="1169"/>
      <c r="G24" s="1177"/>
    </row>
    <row r="25" spans="5:25" s="78" customFormat="1" ht="20.100000000000001" customHeight="1">
      <c r="E25" s="1169"/>
      <c r="G25" s="1177"/>
      <c r="I25" s="391" t="s">
        <v>572</v>
      </c>
      <c r="K25" s="81" t="s">
        <v>573</v>
      </c>
      <c r="M25" s="201" t="s">
        <v>575</v>
      </c>
      <c r="O25" s="78" t="s">
        <v>102</v>
      </c>
    </row>
    <row r="26" spans="5:25" s="78" customFormat="1" ht="6.95" customHeight="1">
      <c r="E26" s="1169"/>
      <c r="G26" s="1177"/>
      <c r="I26" s="391"/>
      <c r="K26" s="81"/>
    </row>
    <row r="27" spans="5:25" s="78" customFormat="1" ht="20.100000000000001" customHeight="1">
      <c r="E27" s="1169"/>
      <c r="G27" s="1177"/>
      <c r="I27" s="391"/>
      <c r="K27" s="81" t="s">
        <v>580</v>
      </c>
      <c r="M27" s="201" t="s">
        <v>574</v>
      </c>
      <c r="O27" s="78" t="s">
        <v>101</v>
      </c>
    </row>
    <row r="28" spans="5:25" s="78" customFormat="1" ht="20.100000000000001" customHeight="1">
      <c r="E28" s="1170"/>
      <c r="G28" s="1178"/>
      <c r="I28" s="392"/>
      <c r="K28" s="81"/>
      <c r="M28" s="152" t="s">
        <v>107</v>
      </c>
    </row>
    <row r="29" spans="5:25" s="78" customFormat="1" ht="6.95" customHeight="1"/>
    <row r="30" spans="5:25" s="78" customFormat="1" ht="20.100000000000001" customHeight="1">
      <c r="E30" s="86" t="s">
        <v>208</v>
      </c>
      <c r="K30" s="86" t="s">
        <v>836</v>
      </c>
    </row>
    <row r="31" spans="5:25" s="78" customFormat="1" ht="20.100000000000001" customHeight="1">
      <c r="E31" s="86" t="s">
        <v>113</v>
      </c>
    </row>
    <row r="32" spans="5:25" s="78" customFormat="1" ht="9.9499999999999993" customHeight="1"/>
    <row r="33" spans="3:23" ht="20.100000000000001" customHeight="1">
      <c r="D33" s="148" t="s">
        <v>116</v>
      </c>
      <c r="E33" s="144"/>
      <c r="F33" s="144"/>
      <c r="G33" s="147" t="s">
        <v>108</v>
      </c>
      <c r="H33" s="144"/>
      <c r="Q33" s="78"/>
      <c r="R33" s="78"/>
      <c r="S33" s="78"/>
    </row>
    <row r="34" spans="3:23" s="78" customFormat="1" ht="20.100000000000001" customHeight="1"/>
    <row r="35" spans="3:23" s="78" customFormat="1" ht="20.100000000000001" customHeight="1"/>
    <row r="36" spans="3:23" s="78" customFormat="1" ht="20.100000000000001" customHeight="1"/>
    <row r="37" spans="3:23" ht="34.5" customHeight="1">
      <c r="C37" s="119" t="s">
        <v>451</v>
      </c>
      <c r="D37" s="119"/>
      <c r="E37" s="119"/>
      <c r="F37" s="119"/>
      <c r="G37" s="119"/>
      <c r="H37" s="119"/>
    </row>
    <row r="38" spans="3:23" s="78" customFormat="1" ht="5.25" customHeight="1" thickBot="1">
      <c r="E38" s="79"/>
    </row>
    <row r="39" spans="3:23" s="79" customFormat="1" ht="20.100000000000001" customHeight="1">
      <c r="E39" s="175" t="s">
        <v>486</v>
      </c>
      <c r="F39" s="175"/>
      <c r="G39" s="175"/>
      <c r="I39" s="355" t="s">
        <v>454</v>
      </c>
      <c r="J39" s="145"/>
      <c r="K39" s="355" t="s">
        <v>455</v>
      </c>
      <c r="M39" s="375" t="s">
        <v>470</v>
      </c>
      <c r="N39" s="145"/>
      <c r="O39" s="355" t="s">
        <v>466</v>
      </c>
      <c r="P39" s="145"/>
      <c r="Q39" s="355" t="s">
        <v>502</v>
      </c>
      <c r="R39" s="145"/>
      <c r="S39" s="175" t="s">
        <v>119</v>
      </c>
      <c r="T39" s="175"/>
      <c r="U39" s="175"/>
      <c r="V39" s="175"/>
      <c r="W39" s="175"/>
    </row>
    <row r="40" spans="3:23" s="81" customFormat="1" ht="20.100000000000001" customHeight="1">
      <c r="E40" s="360"/>
      <c r="F40" s="360"/>
      <c r="G40" s="360"/>
      <c r="I40" s="376" t="s">
        <v>471</v>
      </c>
      <c r="J40" s="377"/>
      <c r="K40" s="376" t="s">
        <v>472</v>
      </c>
      <c r="L40" s="82"/>
      <c r="M40" s="378"/>
      <c r="N40" s="355"/>
      <c r="O40" s="146"/>
      <c r="P40" s="355"/>
      <c r="Q40" s="146"/>
      <c r="R40" s="355"/>
      <c r="S40" s="270"/>
      <c r="T40" s="270"/>
      <c r="U40" s="270"/>
      <c r="V40" s="270"/>
      <c r="W40" s="270"/>
    </row>
    <row r="41" spans="3:23" ht="5.0999999999999996" customHeight="1">
      <c r="M41" s="370"/>
    </row>
    <row r="42" spans="3:23" s="78" customFormat="1" ht="20.100000000000001" customHeight="1">
      <c r="E42" s="361" t="s">
        <v>453</v>
      </c>
      <c r="F42" s="361"/>
      <c r="G42" s="361"/>
      <c r="H42" s="81"/>
      <c r="I42" s="380" t="s">
        <v>452</v>
      </c>
      <c r="J42" s="79"/>
      <c r="K42" s="323" t="s">
        <v>469</v>
      </c>
      <c r="L42" s="80"/>
      <c r="M42" s="371" t="s">
        <v>461</v>
      </c>
      <c r="O42" s="359" t="s">
        <v>465</v>
      </c>
      <c r="Q42" s="78" t="s">
        <v>496</v>
      </c>
      <c r="S42" s="78" t="s">
        <v>459</v>
      </c>
    </row>
    <row r="43" spans="3:23" ht="5.0999999999999996" customHeight="1">
      <c r="E43" s="362"/>
      <c r="F43" s="363"/>
      <c r="G43" s="363"/>
      <c r="I43" s="145"/>
      <c r="J43" s="145"/>
      <c r="K43" s="145"/>
      <c r="M43" s="370"/>
    </row>
    <row r="44" spans="3:23" s="78" customFormat="1" ht="20.100000000000001" customHeight="1">
      <c r="E44" s="364"/>
      <c r="F44" s="365"/>
      <c r="G44" s="365"/>
      <c r="H44" s="81"/>
      <c r="I44" s="380" t="s">
        <v>473</v>
      </c>
      <c r="J44" s="79"/>
      <c r="K44" s="323" t="s">
        <v>469</v>
      </c>
      <c r="L44" s="80"/>
      <c r="M44" s="371" t="s">
        <v>474</v>
      </c>
      <c r="O44" s="357" t="s">
        <v>483</v>
      </c>
      <c r="Q44" s="78" t="s">
        <v>497</v>
      </c>
    </row>
    <row r="45" spans="3:23" ht="5.0999999999999996" customHeight="1">
      <c r="E45" s="362"/>
      <c r="F45" s="363"/>
      <c r="G45" s="363"/>
      <c r="I45" s="145"/>
      <c r="J45" s="145"/>
      <c r="K45" s="145"/>
      <c r="M45" s="370"/>
    </row>
    <row r="46" spans="3:23" s="78" customFormat="1" ht="20.100000000000001" customHeight="1">
      <c r="E46" s="364"/>
      <c r="F46" s="365"/>
      <c r="G46" s="365"/>
      <c r="H46" s="81"/>
      <c r="I46" s="1172" t="s">
        <v>460</v>
      </c>
      <c r="J46" s="79"/>
      <c r="K46" s="379" t="s">
        <v>456</v>
      </c>
      <c r="L46" s="80"/>
      <c r="M46" s="371" t="s">
        <v>591</v>
      </c>
      <c r="O46" s="356" t="s">
        <v>594</v>
      </c>
      <c r="Q46" s="78" t="s">
        <v>498</v>
      </c>
    </row>
    <row r="47" spans="3:23" s="78" customFormat="1" ht="20.100000000000001" customHeight="1">
      <c r="E47" s="364"/>
      <c r="F47" s="365"/>
      <c r="G47" s="365"/>
      <c r="H47" s="81"/>
      <c r="I47" s="1172"/>
      <c r="J47" s="79"/>
      <c r="K47" s="379"/>
      <c r="L47" s="80"/>
      <c r="M47" s="371" t="s">
        <v>592</v>
      </c>
      <c r="O47" s="356" t="s">
        <v>595</v>
      </c>
      <c r="Q47" s="78" t="s">
        <v>497</v>
      </c>
      <c r="S47" s="143" t="s">
        <v>614</v>
      </c>
    </row>
    <row r="48" spans="3:23" s="78" customFormat="1" ht="20.100000000000001" customHeight="1">
      <c r="E48" s="364"/>
      <c r="F48" s="365"/>
      <c r="G48" s="365"/>
      <c r="H48" s="81"/>
      <c r="I48" s="1172"/>
      <c r="J48" s="79"/>
      <c r="K48" s="379"/>
      <c r="L48" s="80"/>
      <c r="M48" s="371" t="s">
        <v>593</v>
      </c>
      <c r="O48" s="356" t="s">
        <v>596</v>
      </c>
      <c r="Q48" s="78" t="s">
        <v>597</v>
      </c>
      <c r="S48" s="143" t="s">
        <v>494</v>
      </c>
    </row>
    <row r="49" spans="5:19" ht="5.0999999999999996" customHeight="1">
      <c r="E49" s="362"/>
      <c r="F49" s="363"/>
      <c r="G49" s="363"/>
      <c r="I49" s="1172"/>
      <c r="J49" s="145"/>
      <c r="K49" s="145"/>
      <c r="M49" s="370"/>
    </row>
    <row r="50" spans="5:19" s="78" customFormat="1" ht="20.100000000000001" customHeight="1">
      <c r="E50" s="364"/>
      <c r="F50" s="365"/>
      <c r="G50" s="365"/>
      <c r="H50" s="81"/>
      <c r="I50" s="1172"/>
      <c r="J50" s="79"/>
      <c r="K50" s="379" t="s">
        <v>608</v>
      </c>
      <c r="L50" s="80"/>
      <c r="M50" s="371" t="s">
        <v>457</v>
      </c>
      <c r="O50" s="359" t="s">
        <v>465</v>
      </c>
      <c r="Q50" s="78" t="s">
        <v>499</v>
      </c>
    </row>
    <row r="51" spans="5:19" s="78" customFormat="1" ht="20.100000000000001" customHeight="1">
      <c r="E51" s="364"/>
      <c r="F51" s="365"/>
      <c r="G51" s="365"/>
      <c r="H51" s="81"/>
      <c r="I51" s="1172"/>
      <c r="J51" s="79"/>
      <c r="K51" s="379"/>
      <c r="L51" s="80"/>
      <c r="M51" s="371" t="s">
        <v>491</v>
      </c>
      <c r="O51" s="359" t="s">
        <v>465</v>
      </c>
      <c r="Q51" s="78" t="s">
        <v>496</v>
      </c>
    </row>
    <row r="52" spans="5:19" ht="5.0999999999999996" customHeight="1">
      <c r="E52" s="362"/>
      <c r="F52" s="363"/>
      <c r="G52" s="363"/>
      <c r="I52" s="1172"/>
      <c r="J52" s="145"/>
      <c r="K52" s="145"/>
      <c r="M52" s="370"/>
    </row>
    <row r="53" spans="5:19" s="78" customFormat="1" ht="20.100000000000001" customHeight="1">
      <c r="E53" s="364"/>
      <c r="F53" s="365"/>
      <c r="G53" s="365"/>
      <c r="H53" s="81"/>
      <c r="I53" s="1172"/>
      <c r="J53" s="79"/>
      <c r="K53" s="379" t="s">
        <v>610</v>
      </c>
      <c r="L53" s="80"/>
      <c r="M53" s="371" t="s">
        <v>458</v>
      </c>
      <c r="O53" s="356" t="s">
        <v>467</v>
      </c>
      <c r="Q53" s="78" t="s">
        <v>496</v>
      </c>
    </row>
    <row r="54" spans="5:19" ht="5.0999999999999996" customHeight="1">
      <c r="E54" s="362"/>
      <c r="F54" s="363"/>
      <c r="G54" s="363"/>
      <c r="I54" s="145"/>
      <c r="J54" s="145"/>
      <c r="K54" s="145"/>
      <c r="M54" s="370"/>
    </row>
    <row r="55" spans="5:19" s="78" customFormat="1" ht="20.100000000000001" customHeight="1">
      <c r="E55" s="364"/>
      <c r="F55" s="365"/>
      <c r="G55" s="365"/>
      <c r="H55" s="81"/>
      <c r="I55" s="1173" t="s">
        <v>462</v>
      </c>
      <c r="J55" s="82"/>
      <c r="K55" s="1171" t="s">
        <v>469</v>
      </c>
      <c r="L55" s="81"/>
      <c r="M55" s="372" t="s">
        <v>463</v>
      </c>
      <c r="O55" s="358" t="s">
        <v>465</v>
      </c>
      <c r="Q55" s="78" t="s">
        <v>496</v>
      </c>
      <c r="S55" s="78" t="s">
        <v>503</v>
      </c>
    </row>
    <row r="56" spans="5:19" s="78" customFormat="1" ht="20.100000000000001" customHeight="1">
      <c r="E56" s="364"/>
      <c r="F56" s="365"/>
      <c r="G56" s="365"/>
      <c r="H56" s="81"/>
      <c r="I56" s="1173"/>
      <c r="J56" s="82"/>
      <c r="K56" s="1171"/>
      <c r="L56" s="81"/>
      <c r="M56" s="372" t="s">
        <v>464</v>
      </c>
      <c r="O56" s="357" t="s">
        <v>475</v>
      </c>
      <c r="Q56" s="78" t="s">
        <v>497</v>
      </c>
    </row>
    <row r="57" spans="5:19" s="78" customFormat="1" ht="5.0999999999999996" customHeight="1">
      <c r="E57" s="82"/>
      <c r="F57" s="81"/>
      <c r="G57" s="81"/>
      <c r="H57" s="81"/>
      <c r="I57" s="82"/>
      <c r="J57" s="82"/>
      <c r="K57" s="82"/>
      <c r="L57" s="81"/>
      <c r="M57" s="372"/>
      <c r="O57" s="356"/>
      <c r="P57" s="356"/>
      <c r="Q57" s="356"/>
    </row>
    <row r="58" spans="5:19" s="78" customFormat="1" ht="5.0999999999999996" customHeight="1">
      <c r="E58" s="366"/>
      <c r="F58" s="367"/>
      <c r="G58" s="367"/>
      <c r="H58" s="367"/>
      <c r="I58" s="366"/>
      <c r="J58" s="366"/>
      <c r="K58" s="366"/>
      <c r="L58" s="367"/>
      <c r="M58" s="373"/>
      <c r="N58" s="368"/>
      <c r="O58" s="369"/>
      <c r="P58" s="369"/>
      <c r="Q58" s="369"/>
    </row>
    <row r="59" spans="5:19" s="78" customFormat="1" ht="20.100000000000001" customHeight="1">
      <c r="E59" s="361" t="s">
        <v>468</v>
      </c>
      <c r="F59" s="361"/>
      <c r="G59" s="361"/>
      <c r="H59" s="81"/>
      <c r="I59" s="380" t="s">
        <v>1628</v>
      </c>
      <c r="J59" s="82"/>
      <c r="K59" s="323" t="s">
        <v>469</v>
      </c>
      <c r="L59" s="81"/>
      <c r="M59" s="372" t="s">
        <v>482</v>
      </c>
      <c r="O59" s="86" t="s">
        <v>1629</v>
      </c>
      <c r="Q59" s="78" t="s">
        <v>497</v>
      </c>
    </row>
    <row r="60" spans="5:19" s="78" customFormat="1" ht="20.100000000000001" customHeight="1">
      <c r="E60" s="361"/>
      <c r="F60" s="361"/>
      <c r="G60" s="361"/>
      <c r="H60" s="81"/>
      <c r="I60" s="380"/>
      <c r="J60" s="82"/>
      <c r="K60" s="323"/>
      <c r="L60" s="81"/>
      <c r="M60" s="372" t="s">
        <v>1627</v>
      </c>
      <c r="O60" s="86" t="s">
        <v>1630</v>
      </c>
      <c r="Q60" s="78" t="s">
        <v>497</v>
      </c>
    </row>
    <row r="61" spans="5:19" ht="5.0999999999999996" customHeight="1">
      <c r="E61" s="362"/>
      <c r="F61" s="363"/>
      <c r="G61" s="363"/>
      <c r="I61" s="145"/>
      <c r="J61" s="145"/>
      <c r="K61" s="145"/>
      <c r="M61" s="370"/>
    </row>
    <row r="62" spans="5:19" s="78" customFormat="1" ht="20.100000000000001" customHeight="1">
      <c r="E62" s="365"/>
      <c r="F62" s="365"/>
      <c r="G62" s="365"/>
      <c r="H62" s="81"/>
      <c r="I62" s="380" t="s">
        <v>476</v>
      </c>
      <c r="J62" s="82"/>
      <c r="K62" s="323" t="s">
        <v>469</v>
      </c>
      <c r="L62" s="81"/>
      <c r="M62" s="372" t="s">
        <v>481</v>
      </c>
      <c r="O62" s="357" t="s">
        <v>483</v>
      </c>
      <c r="Q62" s="78" t="s">
        <v>497</v>
      </c>
    </row>
    <row r="63" spans="5:19" ht="5.0999999999999996" customHeight="1">
      <c r="E63" s="362"/>
      <c r="F63" s="363"/>
      <c r="G63" s="363"/>
      <c r="I63" s="145"/>
      <c r="J63" s="145"/>
      <c r="K63" s="145"/>
      <c r="M63" s="370"/>
    </row>
    <row r="64" spans="5:19" s="78" customFormat="1" ht="20.100000000000001" customHeight="1">
      <c r="E64" s="365"/>
      <c r="F64" s="365"/>
      <c r="G64" s="365"/>
      <c r="H64" s="81"/>
      <c r="I64" s="1172" t="s">
        <v>477</v>
      </c>
      <c r="J64" s="82"/>
      <c r="K64" s="1172" t="s">
        <v>487</v>
      </c>
      <c r="L64" s="81"/>
      <c r="M64" s="371" t="s">
        <v>598</v>
      </c>
      <c r="O64" s="356" t="s">
        <v>594</v>
      </c>
      <c r="Q64" s="78" t="s">
        <v>498</v>
      </c>
    </row>
    <row r="65" spans="5:19" s="78" customFormat="1" ht="20.100000000000001" customHeight="1">
      <c r="E65" s="365"/>
      <c r="F65" s="365"/>
      <c r="G65" s="365"/>
      <c r="H65" s="81"/>
      <c r="I65" s="1172"/>
      <c r="J65" s="82"/>
      <c r="K65" s="1172"/>
      <c r="L65" s="81"/>
      <c r="M65" s="371" t="s">
        <v>599</v>
      </c>
      <c r="O65" s="356" t="s">
        <v>595</v>
      </c>
      <c r="Q65" s="78" t="s">
        <v>497</v>
      </c>
      <c r="S65" s="143" t="s">
        <v>614</v>
      </c>
    </row>
    <row r="66" spans="5:19" s="78" customFormat="1" ht="20.100000000000001" customHeight="1">
      <c r="E66" s="92"/>
      <c r="F66" s="92"/>
      <c r="G66" s="92"/>
      <c r="I66" s="1172"/>
      <c r="J66" s="79"/>
      <c r="K66" s="1172"/>
      <c r="M66" s="371" t="s">
        <v>600</v>
      </c>
      <c r="O66" s="356" t="s">
        <v>596</v>
      </c>
      <c r="Q66" s="78" t="s">
        <v>597</v>
      </c>
      <c r="S66" s="143" t="s">
        <v>495</v>
      </c>
    </row>
    <row r="67" spans="5:19" ht="5.0999999999999996" customHeight="1">
      <c r="E67" s="362"/>
      <c r="F67" s="363"/>
      <c r="G67" s="363"/>
      <c r="I67" s="1172"/>
      <c r="J67" s="145"/>
      <c r="K67" s="145"/>
      <c r="M67" s="370"/>
    </row>
    <row r="68" spans="5:19" s="78" customFormat="1" ht="20.100000000000001" customHeight="1">
      <c r="E68" s="92"/>
      <c r="F68" s="92"/>
      <c r="G68" s="92"/>
      <c r="I68" s="1172"/>
      <c r="J68" s="79"/>
      <c r="K68" s="379" t="s">
        <v>607</v>
      </c>
      <c r="M68" s="371" t="s">
        <v>478</v>
      </c>
      <c r="O68" s="358" t="s">
        <v>465</v>
      </c>
      <c r="Q68" s="78" t="s">
        <v>505</v>
      </c>
    </row>
    <row r="69" spans="5:19" s="78" customFormat="1" ht="20.100000000000001" customHeight="1">
      <c r="E69" s="92"/>
      <c r="F69" s="92"/>
      <c r="G69" s="92"/>
      <c r="I69" s="1172"/>
      <c r="J69" s="79"/>
      <c r="K69" s="379"/>
      <c r="M69" s="371" t="s">
        <v>479</v>
      </c>
      <c r="O69" s="358" t="s">
        <v>465</v>
      </c>
      <c r="Q69" s="78" t="s">
        <v>499</v>
      </c>
    </row>
    <row r="70" spans="5:19" ht="5.0999999999999996" customHeight="1">
      <c r="E70" s="362"/>
      <c r="F70" s="363"/>
      <c r="G70" s="363"/>
      <c r="I70" s="1172"/>
      <c r="J70" s="145"/>
      <c r="K70" s="145"/>
      <c r="M70" s="370"/>
    </row>
    <row r="71" spans="5:19" s="78" customFormat="1" ht="20.100000000000001" customHeight="1">
      <c r="E71" s="92"/>
      <c r="F71" s="92"/>
      <c r="G71" s="92"/>
      <c r="I71" s="1172"/>
      <c r="J71" s="79"/>
      <c r="K71" s="379" t="s">
        <v>609</v>
      </c>
      <c r="M71" s="371" t="s">
        <v>480</v>
      </c>
      <c r="O71" s="356" t="s">
        <v>467</v>
      </c>
      <c r="Q71" s="78" t="s">
        <v>500</v>
      </c>
    </row>
    <row r="72" spans="5:19" ht="5.0999999999999996" customHeight="1">
      <c r="E72" s="362"/>
      <c r="F72" s="363"/>
      <c r="G72" s="363"/>
      <c r="I72" s="145"/>
      <c r="J72" s="145"/>
      <c r="K72" s="145"/>
      <c r="M72" s="370"/>
    </row>
    <row r="73" spans="5:19" s="78" customFormat="1" ht="20.100000000000001" customHeight="1" thickBot="1">
      <c r="E73" s="92"/>
      <c r="F73" s="92"/>
      <c r="G73" s="92"/>
      <c r="I73" s="380" t="s">
        <v>484</v>
      </c>
      <c r="J73" s="79"/>
      <c r="K73" s="323" t="s">
        <v>469</v>
      </c>
      <c r="M73" s="374" t="s">
        <v>488</v>
      </c>
      <c r="O73" s="78" t="s">
        <v>485</v>
      </c>
      <c r="Q73" s="78" t="s">
        <v>501</v>
      </c>
      <c r="S73" s="78" t="s">
        <v>490</v>
      </c>
    </row>
    <row r="74" spans="5:19" s="78" customFormat="1" ht="20.100000000000001" customHeight="1">
      <c r="E74" s="86" t="s">
        <v>492</v>
      </c>
    </row>
    <row r="75" spans="5:19" s="78" customFormat="1" ht="20.100000000000001" customHeight="1">
      <c r="E75" s="86" t="s">
        <v>489</v>
      </c>
    </row>
    <row r="76" spans="5:19" s="78" customFormat="1" ht="20.100000000000001" customHeight="1">
      <c r="E76" s="86" t="s">
        <v>493</v>
      </c>
    </row>
    <row r="77" spans="5:19" s="78" customFormat="1" ht="20.100000000000001" customHeight="1"/>
    <row r="78" spans="5:19" s="78" customFormat="1" ht="20.100000000000001" customHeight="1"/>
    <row r="79" spans="5:19" s="78" customFormat="1" ht="20.100000000000001" customHeight="1"/>
    <row r="80" spans="5:19" s="78" customFormat="1" ht="20.100000000000001" customHeight="1"/>
    <row r="81" s="78" customFormat="1" ht="20.100000000000001" customHeight="1"/>
    <row r="82" s="78" customFormat="1" ht="20.100000000000001" customHeight="1"/>
    <row r="83" s="78" customFormat="1" ht="20.100000000000001" customHeight="1"/>
    <row r="84" s="78" customFormat="1" ht="20.100000000000001" customHeight="1"/>
    <row r="85" s="78" customFormat="1" ht="20.100000000000001" customHeight="1"/>
    <row r="86" s="78" customFormat="1" ht="20.100000000000001" customHeight="1"/>
    <row r="87" s="78" customFormat="1" ht="20.100000000000001" customHeight="1"/>
    <row r="88" s="78" customFormat="1" ht="20.100000000000001" customHeight="1"/>
    <row r="89" s="78" customFormat="1" ht="20.100000000000001" customHeight="1"/>
    <row r="90" s="78" customFormat="1" ht="20.100000000000001" customHeight="1"/>
    <row r="91" s="78" customFormat="1" ht="20.100000000000001" customHeight="1"/>
    <row r="92" s="78" customFormat="1" ht="20.100000000000001" customHeight="1"/>
    <row r="93" s="78" customFormat="1" ht="20.100000000000001" customHeight="1"/>
    <row r="94" s="78" customFormat="1" ht="20.100000000000001" customHeight="1"/>
    <row r="95" s="78" customFormat="1" ht="20.100000000000001" customHeight="1"/>
    <row r="96" s="78" customFormat="1" ht="20.100000000000001" customHeight="1"/>
    <row r="97" s="78" customFormat="1" ht="20.100000000000001" customHeight="1"/>
    <row r="98" s="78" customFormat="1" ht="20.100000000000001" customHeight="1"/>
    <row r="99" s="78" customFormat="1" ht="20.100000000000001" customHeight="1"/>
    <row r="100" s="78" customFormat="1" ht="20.100000000000001" customHeight="1"/>
    <row r="101" s="78" customFormat="1" ht="20.100000000000001" customHeight="1"/>
    <row r="102" s="78" customFormat="1" ht="20.100000000000001" customHeight="1"/>
    <row r="103" s="78" customFormat="1" ht="20.100000000000001" customHeight="1"/>
    <row r="104" s="78" customFormat="1" ht="20.100000000000001" customHeight="1"/>
    <row r="105" s="78" customFormat="1" ht="20.100000000000001" customHeight="1"/>
    <row r="106" s="78" customFormat="1" ht="20.100000000000001" customHeight="1"/>
    <row r="107" s="78" customFormat="1" ht="20.100000000000001" customHeight="1"/>
    <row r="108" s="78" customFormat="1" ht="20.100000000000001" customHeight="1"/>
  </sheetData>
  <mergeCells count="8">
    <mergeCell ref="E17:E28"/>
    <mergeCell ref="K55:K56"/>
    <mergeCell ref="K64:K66"/>
    <mergeCell ref="I64:I71"/>
    <mergeCell ref="I55:I56"/>
    <mergeCell ref="I46:I53"/>
    <mergeCell ref="G17:G18"/>
    <mergeCell ref="G20:G28"/>
  </mergeCells>
  <phoneticPr fontId="2" type="noConversion"/>
  <printOptions horizontalCentered="1" verticalCentered="1"/>
  <pageMargins left="0.39370078740157483" right="0.39370078740157483" top="0.39370078740157483" bottom="0.39370078740157483" header="0" footer="0"/>
  <pageSetup paperSize="9" scale="78" orientation="landscape" r:id="rId1"/>
  <rowBreaks count="1" manualBreakCount="1">
    <brk id="36" min="2" max="2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C3:V75"/>
  <sheetViews>
    <sheetView showGridLines="0" zoomScaleNormal="100" workbookViewId="0">
      <selection activeCell="K61" sqref="K61"/>
    </sheetView>
  </sheetViews>
  <sheetFormatPr defaultRowHeight="20.100000000000001" customHeight="1"/>
  <cols>
    <col min="3" max="4" width="3.5703125" customWidth="1"/>
    <col min="5" max="5" width="19.7109375" customWidth="1"/>
    <col min="6" max="6" width="1" customWidth="1"/>
    <col min="7" max="7" width="19.7109375" customWidth="1"/>
    <col min="8" max="8" width="1.28515625" customWidth="1"/>
    <col min="9" max="9" width="19.7109375" customWidth="1"/>
    <col min="10" max="10" width="1.7109375" customWidth="1"/>
    <col min="11" max="11" width="19.7109375" customWidth="1"/>
    <col min="12" max="12" width="1.7109375" customWidth="1"/>
    <col min="13" max="13" width="7" customWidth="1"/>
    <col min="14" max="14" width="3.5703125" customWidth="1"/>
    <col min="15" max="15" width="19.7109375" customWidth="1"/>
    <col min="16" max="16" width="1" customWidth="1"/>
    <col min="17" max="17" width="19.7109375" customWidth="1"/>
    <col min="18" max="18" width="1.28515625" customWidth="1"/>
    <col min="19" max="19" width="19.7109375" customWidth="1"/>
    <col min="20" max="20" width="1.7109375" customWidth="1"/>
    <col min="21" max="21" width="19.7109375" customWidth="1"/>
    <col min="22" max="22" width="1.7109375" customWidth="1"/>
  </cols>
  <sheetData>
    <row r="3" spans="3:21" ht="34.5" customHeight="1">
      <c r="C3" s="119" t="s">
        <v>504</v>
      </c>
      <c r="D3" s="119"/>
      <c r="E3" s="119"/>
      <c r="F3" s="119"/>
      <c r="G3" s="119"/>
      <c r="H3" s="119"/>
      <c r="N3" s="119"/>
      <c r="O3" s="119"/>
      <c r="P3" s="119"/>
      <c r="Q3" s="119"/>
      <c r="R3" s="119"/>
    </row>
    <row r="4" spans="3:21" ht="20.100000000000001" customHeight="1">
      <c r="D4" s="385" t="s">
        <v>562</v>
      </c>
    </row>
    <row r="6" spans="3:21" ht="20.100000000000001" customHeight="1">
      <c r="D6" s="381" t="s">
        <v>546</v>
      </c>
      <c r="N6" s="381" t="s">
        <v>547</v>
      </c>
    </row>
    <row r="7" spans="3:21" ht="9.9499999999999993" customHeight="1"/>
    <row r="8" spans="3:21" s="78" customFormat="1" ht="20.100000000000001" customHeight="1">
      <c r="E8" s="270" t="s">
        <v>486</v>
      </c>
      <c r="F8" s="175" t="s">
        <v>512</v>
      </c>
      <c r="G8" s="270" t="s">
        <v>514</v>
      </c>
      <c r="I8" s="270" t="s">
        <v>516</v>
      </c>
      <c r="K8" s="270" t="s">
        <v>519</v>
      </c>
      <c r="O8" s="270" t="s">
        <v>486</v>
      </c>
      <c r="P8" s="175" t="s">
        <v>512</v>
      </c>
      <c r="Q8" s="270" t="s">
        <v>514</v>
      </c>
      <c r="S8" s="270" t="s">
        <v>516</v>
      </c>
      <c r="U8" s="270" t="s">
        <v>519</v>
      </c>
    </row>
    <row r="9" spans="3:21" s="78" customFormat="1" ht="5.0999999999999996" customHeight="1">
      <c r="E9"/>
      <c r="F9" s="175" t="s">
        <v>512</v>
      </c>
      <c r="G9"/>
      <c r="I9"/>
      <c r="K9"/>
      <c r="O9"/>
      <c r="P9" s="175" t="s">
        <v>512</v>
      </c>
      <c r="Q9"/>
      <c r="S9"/>
      <c r="U9"/>
    </row>
    <row r="10" spans="3:21" s="78" customFormat="1" ht="20.100000000000001" customHeight="1">
      <c r="E10" s="364" t="s">
        <v>513</v>
      </c>
      <c r="F10" s="175" t="s">
        <v>512</v>
      </c>
      <c r="G10" s="379" t="s">
        <v>517</v>
      </c>
      <c r="I10" s="379" t="s">
        <v>518</v>
      </c>
      <c r="K10" s="379" t="s">
        <v>520</v>
      </c>
      <c r="O10" s="364" t="s">
        <v>537</v>
      </c>
      <c r="Q10" s="379" t="s">
        <v>559</v>
      </c>
      <c r="S10" s="379" t="s">
        <v>538</v>
      </c>
      <c r="U10" s="323" t="s">
        <v>469</v>
      </c>
    </row>
    <row r="11" spans="3:21" s="78" customFormat="1" ht="5.0999999999999996" customHeight="1">
      <c r="E11" s="364"/>
      <c r="F11" s="175" t="s">
        <v>512</v>
      </c>
      <c r="G11" s="379"/>
      <c r="I11" s="379"/>
      <c r="K11"/>
      <c r="O11" s="364"/>
      <c r="Q11" s="379"/>
    </row>
    <row r="12" spans="3:21" s="78" customFormat="1" ht="20.100000000000001" customHeight="1">
      <c r="E12" s="364"/>
      <c r="G12" s="379"/>
      <c r="I12" s="379"/>
      <c r="K12" s="379" t="s">
        <v>521</v>
      </c>
      <c r="O12" s="364"/>
      <c r="Q12" s="379"/>
      <c r="S12" s="379" t="s">
        <v>539</v>
      </c>
      <c r="U12" s="323" t="s">
        <v>469</v>
      </c>
    </row>
    <row r="13" spans="3:21" s="78" customFormat="1" ht="5.0999999999999996" customHeight="1">
      <c r="E13" s="364"/>
      <c r="F13" s="175" t="s">
        <v>512</v>
      </c>
      <c r="G13" s="379"/>
      <c r="I13" s="379"/>
      <c r="K13"/>
      <c r="N13"/>
      <c r="O13" s="364"/>
      <c r="P13"/>
      <c r="Q13"/>
      <c r="R13"/>
      <c r="S13"/>
      <c r="T13"/>
      <c r="U13"/>
    </row>
    <row r="14" spans="3:21" s="78" customFormat="1" ht="20.100000000000001" customHeight="1">
      <c r="E14" s="364"/>
      <c r="G14" s="379"/>
      <c r="I14" s="379"/>
      <c r="K14" s="379" t="s">
        <v>522</v>
      </c>
      <c r="N14"/>
      <c r="O14" s="364"/>
      <c r="P14"/>
      <c r="Q14" s="379" t="s">
        <v>540</v>
      </c>
      <c r="R14"/>
      <c r="S14" s="379" t="s">
        <v>540</v>
      </c>
      <c r="T14"/>
      <c r="U14" s="323" t="s">
        <v>469</v>
      </c>
    </row>
    <row r="15" spans="3:21" s="78" customFormat="1" ht="5.0999999999999996" customHeight="1">
      <c r="E15" s="364"/>
      <c r="F15" s="175" t="s">
        <v>512</v>
      </c>
      <c r="G15" s="379"/>
      <c r="I15" s="379"/>
      <c r="K15"/>
      <c r="N15"/>
      <c r="O15" s="364"/>
      <c r="P15"/>
      <c r="Q15"/>
      <c r="R15"/>
      <c r="S15"/>
      <c r="T15"/>
      <c r="U15"/>
    </row>
    <row r="16" spans="3:21" s="78" customFormat="1" ht="20.100000000000001" customHeight="1">
      <c r="E16" s="364"/>
      <c r="G16" s="379"/>
      <c r="I16" s="379"/>
      <c r="K16" s="379" t="s">
        <v>523</v>
      </c>
      <c r="N16"/>
      <c r="O16" s="364"/>
      <c r="P16"/>
      <c r="Q16" s="379" t="s">
        <v>541</v>
      </c>
      <c r="R16"/>
      <c r="S16" s="379" t="s">
        <v>541</v>
      </c>
      <c r="T16"/>
      <c r="U16" s="323" t="s">
        <v>469</v>
      </c>
    </row>
    <row r="17" spans="5:21" s="78" customFormat="1" ht="5.0999999999999996" customHeight="1">
      <c r="E17" s="364"/>
      <c r="G17" s="379"/>
      <c r="N17"/>
      <c r="O17" s="364"/>
      <c r="P17"/>
      <c r="Q17"/>
      <c r="R17"/>
      <c r="S17"/>
      <c r="T17"/>
      <c r="U17"/>
    </row>
    <row r="18" spans="5:21" s="78" customFormat="1" ht="20.100000000000001" customHeight="1">
      <c r="E18" s="364"/>
      <c r="G18" s="379"/>
      <c r="I18" s="379" t="s">
        <v>524</v>
      </c>
      <c r="K18" s="379" t="s">
        <v>520</v>
      </c>
      <c r="N18"/>
      <c r="O18" s="364"/>
      <c r="P18"/>
      <c r="Q18" s="379" t="s">
        <v>542</v>
      </c>
      <c r="R18"/>
      <c r="S18" s="379" t="s">
        <v>543</v>
      </c>
      <c r="T18"/>
      <c r="U18" s="323" t="s">
        <v>469</v>
      </c>
    </row>
    <row r="19" spans="5:21" s="78" customFormat="1" ht="5.0999999999999996" customHeight="1">
      <c r="E19" s="364"/>
      <c r="G19" s="379"/>
      <c r="I19" s="379"/>
      <c r="K19"/>
      <c r="N19"/>
      <c r="O19" s="364"/>
      <c r="P19"/>
      <c r="Q19" s="379"/>
      <c r="R19"/>
      <c r="S19"/>
      <c r="T19"/>
      <c r="U19"/>
    </row>
    <row r="20" spans="5:21" s="78" customFormat="1" ht="20.100000000000001" customHeight="1">
      <c r="E20" s="364"/>
      <c r="G20" s="379"/>
      <c r="I20" s="379"/>
      <c r="K20" s="379" t="s">
        <v>521</v>
      </c>
      <c r="N20"/>
      <c r="O20" s="364"/>
      <c r="P20"/>
      <c r="Q20" s="379"/>
      <c r="R20"/>
      <c r="S20" s="379" t="s">
        <v>544</v>
      </c>
      <c r="T20"/>
      <c r="U20" s="323" t="s">
        <v>469</v>
      </c>
    </row>
    <row r="21" spans="5:21" s="78" customFormat="1" ht="5.0999999999999996" customHeight="1">
      <c r="E21" s="364"/>
      <c r="G21" s="379"/>
      <c r="I21" s="379"/>
      <c r="K21"/>
      <c r="N21"/>
      <c r="O21"/>
      <c r="P21"/>
      <c r="Q21"/>
      <c r="R21"/>
      <c r="S21"/>
      <c r="T21"/>
      <c r="U21"/>
    </row>
    <row r="22" spans="5:21" s="78" customFormat="1" ht="20.100000000000001" customHeight="1">
      <c r="E22" s="364"/>
      <c r="G22" s="379"/>
      <c r="I22" s="379"/>
      <c r="K22" s="379" t="s">
        <v>523</v>
      </c>
      <c r="Q22"/>
      <c r="R22"/>
      <c r="S22"/>
    </row>
    <row r="23" spans="5:21" s="78" customFormat="1" ht="5.0999999999999996" customHeight="1">
      <c r="E23" s="364"/>
      <c r="G23" s="379"/>
      <c r="Q23"/>
      <c r="R23"/>
      <c r="S23"/>
    </row>
    <row r="24" spans="5:21" s="78" customFormat="1" ht="20.100000000000001" customHeight="1">
      <c r="E24" s="364"/>
      <c r="G24" s="379"/>
      <c r="I24" s="379" t="s">
        <v>525</v>
      </c>
      <c r="K24" s="379" t="s">
        <v>526</v>
      </c>
      <c r="N24" s="381" t="s">
        <v>557</v>
      </c>
      <c r="O24"/>
      <c r="Q24"/>
      <c r="R24"/>
      <c r="S24"/>
    </row>
    <row r="25" spans="5:21" s="78" customFormat="1" ht="5.0999999999999996" customHeight="1">
      <c r="E25" s="364"/>
      <c r="G25" s="379"/>
      <c r="I25" s="379"/>
      <c r="K25"/>
      <c r="N25"/>
      <c r="O25"/>
      <c r="Q25"/>
      <c r="R25"/>
      <c r="S25"/>
    </row>
    <row r="26" spans="5:21" s="78" customFormat="1" ht="20.100000000000001" customHeight="1">
      <c r="E26" s="364"/>
      <c r="G26" s="379"/>
      <c r="I26" s="379"/>
      <c r="K26" s="379" t="s">
        <v>527</v>
      </c>
      <c r="N26"/>
      <c r="O26" s="383" t="s">
        <v>558</v>
      </c>
      <c r="P26"/>
      <c r="Q26"/>
      <c r="R26"/>
      <c r="S26"/>
    </row>
    <row r="27" spans="5:21" s="78" customFormat="1" ht="5.0999999999999996" customHeight="1">
      <c r="E27" s="364"/>
      <c r="G27" s="379"/>
      <c r="I27" s="379"/>
      <c r="P27"/>
      <c r="Q27"/>
      <c r="R27"/>
      <c r="S27"/>
    </row>
    <row r="28" spans="5:21" s="78" customFormat="1" ht="20.100000000000001" customHeight="1">
      <c r="E28" s="364"/>
      <c r="G28" s="379"/>
      <c r="I28" s="379"/>
      <c r="K28" s="379" t="s">
        <v>523</v>
      </c>
      <c r="P28"/>
      <c r="Q28"/>
      <c r="R28"/>
      <c r="S28"/>
      <c r="U28" s="78" t="s">
        <v>1171</v>
      </c>
    </row>
    <row r="29" spans="5:21" s="78" customFormat="1" ht="5.0999999999999996" customHeight="1">
      <c r="E29" s="364"/>
      <c r="G29" s="379"/>
    </row>
    <row r="30" spans="5:21" s="78" customFormat="1" ht="20.100000000000001" customHeight="1">
      <c r="E30" s="364"/>
      <c r="G30" s="379"/>
      <c r="I30" s="379" t="s">
        <v>528</v>
      </c>
      <c r="K30" s="379" t="s">
        <v>529</v>
      </c>
    </row>
    <row r="31" spans="5:21" s="78" customFormat="1" ht="5.0999999999999996" customHeight="1">
      <c r="E31" s="364"/>
      <c r="G31" s="379"/>
      <c r="I31" s="379"/>
      <c r="K31"/>
    </row>
    <row r="32" spans="5:21" s="78" customFormat="1" ht="20.100000000000001" customHeight="1">
      <c r="E32" s="364"/>
      <c r="G32" s="379"/>
      <c r="I32" s="379"/>
      <c r="K32" s="379" t="s">
        <v>530</v>
      </c>
    </row>
    <row r="33" spans="5:21" s="78" customFormat="1" ht="5.0999999999999996" customHeight="1">
      <c r="E33" s="364"/>
      <c r="G33" s="379"/>
      <c r="I33" s="379"/>
      <c r="K33"/>
    </row>
    <row r="34" spans="5:21" s="78" customFormat="1" ht="20.100000000000001" customHeight="1">
      <c r="E34" s="364"/>
      <c r="G34" s="379"/>
      <c r="I34" s="379"/>
      <c r="K34" s="379" t="s">
        <v>523</v>
      </c>
      <c r="N34" s="381" t="s">
        <v>611</v>
      </c>
      <c r="O34"/>
    </row>
    <row r="35" spans="5:21" s="78" customFormat="1" ht="5.0999999999999996" customHeight="1">
      <c r="E35" s="364"/>
      <c r="G35" s="379"/>
      <c r="N35"/>
      <c r="O35"/>
    </row>
    <row r="36" spans="5:21" s="78" customFormat="1" ht="20.100000000000001" customHeight="1">
      <c r="E36" s="364"/>
      <c r="G36" s="379"/>
      <c r="I36" s="379" t="s">
        <v>531</v>
      </c>
      <c r="K36" s="323" t="s">
        <v>469</v>
      </c>
      <c r="N36"/>
      <c r="O36" t="s">
        <v>560</v>
      </c>
      <c r="P36"/>
      <c r="Q36"/>
      <c r="R36"/>
      <c r="S36"/>
      <c r="T36"/>
      <c r="U36"/>
    </row>
    <row r="37" spans="5:21" s="78" customFormat="1" ht="5.0999999999999996" customHeight="1">
      <c r="E37" s="364"/>
      <c r="G37" s="379"/>
      <c r="P37"/>
      <c r="Q37"/>
      <c r="R37"/>
      <c r="S37"/>
      <c r="T37"/>
      <c r="U37"/>
    </row>
    <row r="38" spans="5:21" s="78" customFormat="1" ht="20.100000000000001" customHeight="1">
      <c r="E38" s="364"/>
      <c r="G38" s="379"/>
      <c r="I38" s="379" t="s">
        <v>532</v>
      </c>
      <c r="K38" s="379" t="s">
        <v>533</v>
      </c>
      <c r="N38" s="382" t="s">
        <v>553</v>
      </c>
      <c r="O38"/>
      <c r="T38"/>
      <c r="U38"/>
    </row>
    <row r="39" spans="5:21" s="78" customFormat="1" ht="5.0999999999999996" customHeight="1">
      <c r="E39" s="364"/>
      <c r="G39" s="379"/>
      <c r="I39" s="379"/>
      <c r="N39"/>
      <c r="O39"/>
      <c r="T39"/>
      <c r="U39"/>
    </row>
    <row r="40" spans="5:21" s="78" customFormat="1" ht="20.100000000000001" customHeight="1">
      <c r="E40" s="364"/>
      <c r="G40" s="379"/>
      <c r="I40" s="379"/>
      <c r="K40" s="379" t="s">
        <v>534</v>
      </c>
      <c r="N40" s="382" t="s">
        <v>554</v>
      </c>
      <c r="O40"/>
      <c r="T40"/>
      <c r="U40"/>
    </row>
    <row r="41" spans="5:21" s="78" customFormat="1" ht="5.0999999999999996" customHeight="1">
      <c r="E41" s="364"/>
      <c r="G41" s="379"/>
      <c r="I41" s="379"/>
      <c r="T41"/>
      <c r="U41"/>
    </row>
    <row r="42" spans="5:21" s="78" customFormat="1" ht="20.100000000000001" customHeight="1">
      <c r="E42" s="364"/>
      <c r="G42" s="379"/>
      <c r="I42" s="379"/>
      <c r="K42" s="379" t="s">
        <v>523</v>
      </c>
      <c r="T42"/>
      <c r="U42"/>
    </row>
    <row r="43" spans="5:21" s="78" customFormat="1" ht="5.0999999999999996" customHeight="1">
      <c r="E43" s="364"/>
      <c r="G43" s="379"/>
      <c r="T43"/>
      <c r="U43"/>
    </row>
    <row r="44" spans="5:21" s="78" customFormat="1" ht="20.100000000000001" customHeight="1">
      <c r="E44" s="364"/>
      <c r="G44" s="379"/>
      <c r="I44" s="379" t="s">
        <v>545</v>
      </c>
      <c r="K44" s="323" t="s">
        <v>469</v>
      </c>
      <c r="T44"/>
      <c r="U44"/>
    </row>
    <row r="45" spans="5:21" s="78" customFormat="1" ht="5.0999999999999996" customHeight="1">
      <c r="E45" s="364"/>
      <c r="T45"/>
      <c r="U45"/>
    </row>
    <row r="46" spans="5:21" s="78" customFormat="1" ht="20.100000000000001" customHeight="1">
      <c r="E46" s="364"/>
      <c r="G46" s="379" t="s">
        <v>515</v>
      </c>
      <c r="I46" s="379" t="s">
        <v>535</v>
      </c>
      <c r="K46" s="410" t="s">
        <v>469</v>
      </c>
      <c r="T46"/>
      <c r="U46"/>
    </row>
    <row r="47" spans="5:21" s="78" customFormat="1" ht="5.0999999999999996" customHeight="1">
      <c r="E47" s="364"/>
      <c r="G47" s="379"/>
      <c r="N47"/>
      <c r="O47"/>
      <c r="P47"/>
      <c r="Q47"/>
      <c r="R47"/>
      <c r="S47"/>
      <c r="T47"/>
      <c r="U47"/>
    </row>
    <row r="48" spans="5:21" s="78" customFormat="1" ht="20.100000000000001" customHeight="1">
      <c r="E48" s="364"/>
      <c r="G48" s="379"/>
      <c r="I48" s="379" t="s">
        <v>536</v>
      </c>
      <c r="K48" s="323" t="s">
        <v>469</v>
      </c>
      <c r="N48"/>
      <c r="O48"/>
      <c r="P48"/>
      <c r="Q48"/>
      <c r="R48"/>
      <c r="S48"/>
      <c r="T48"/>
      <c r="U48"/>
    </row>
    <row r="49" spans="5:22" s="78" customFormat="1" ht="5.0999999999999996" customHeight="1">
      <c r="E49" s="364"/>
      <c r="N49"/>
      <c r="O49"/>
      <c r="P49"/>
      <c r="Q49"/>
      <c r="R49"/>
      <c r="S49"/>
      <c r="T49"/>
      <c r="U49"/>
    </row>
    <row r="50" spans="5:22" ht="20.100000000000001" customHeight="1">
      <c r="E50" s="364"/>
      <c r="G50" s="384" t="s">
        <v>561</v>
      </c>
      <c r="I50" s="384" t="s">
        <v>563</v>
      </c>
      <c r="K50" s="323" t="s">
        <v>469</v>
      </c>
    </row>
    <row r="53" spans="5:22" ht="20.100000000000001" customHeight="1">
      <c r="N53" s="381"/>
    </row>
    <row r="58" spans="5:22" ht="20.100000000000001" customHeight="1">
      <c r="N58" s="386" t="s">
        <v>552</v>
      </c>
      <c r="O58" s="387"/>
      <c r="P58" s="387"/>
      <c r="Q58" s="387"/>
      <c r="R58" s="387"/>
      <c r="S58" s="387"/>
      <c r="T58" s="387"/>
      <c r="U58" s="387"/>
      <c r="V58" s="78" t="s">
        <v>564</v>
      </c>
    </row>
    <row r="59" spans="5:22" ht="20.100000000000001" customHeight="1">
      <c r="N59" s="387"/>
      <c r="O59" s="387"/>
      <c r="P59" s="387"/>
      <c r="Q59" s="387"/>
      <c r="R59" s="387"/>
      <c r="S59" s="387"/>
      <c r="T59" s="387"/>
      <c r="U59" s="387"/>
    </row>
    <row r="60" spans="5:22" ht="20.100000000000001" customHeight="1">
      <c r="N60" s="387"/>
      <c r="O60" s="387" t="s">
        <v>556</v>
      </c>
      <c r="P60" s="387"/>
      <c r="Q60" s="387"/>
      <c r="R60" s="387"/>
      <c r="S60" s="387"/>
      <c r="T60" s="387"/>
      <c r="U60" s="387"/>
    </row>
    <row r="61" spans="5:22" ht="20.100000000000001" customHeight="1">
      <c r="N61" s="387"/>
      <c r="O61" s="387"/>
      <c r="P61" s="387"/>
      <c r="Q61" s="387"/>
      <c r="R61" s="387"/>
      <c r="S61" s="387"/>
      <c r="T61" s="387"/>
      <c r="U61" s="387"/>
    </row>
    <row r="62" spans="5:22" ht="20.100000000000001" customHeight="1">
      <c r="N62" s="135"/>
      <c r="O62" s="388" t="s">
        <v>555</v>
      </c>
      <c r="P62" s="135"/>
      <c r="Q62" s="135"/>
      <c r="R62" s="135"/>
      <c r="S62" s="135"/>
      <c r="T62" s="135"/>
      <c r="U62" s="135"/>
    </row>
    <row r="63" spans="5:22" ht="20.100000000000001" customHeight="1">
      <c r="N63" s="78"/>
      <c r="O63" s="78"/>
      <c r="P63" s="78"/>
      <c r="Q63" s="78"/>
      <c r="R63" s="78"/>
      <c r="S63" s="78"/>
      <c r="T63" s="78"/>
      <c r="U63" s="78"/>
    </row>
    <row r="64" spans="5:22" ht="20.100000000000001" customHeight="1">
      <c r="N64" s="78"/>
      <c r="O64" s="78"/>
      <c r="P64" s="78"/>
    </row>
    <row r="65" spans="14:21" ht="20.100000000000001" customHeight="1">
      <c r="N65" s="78"/>
      <c r="O65" s="78"/>
      <c r="P65" s="78"/>
    </row>
    <row r="66" spans="14:21" ht="20.100000000000001" customHeight="1">
      <c r="N66" s="386" t="s">
        <v>549</v>
      </c>
      <c r="O66" s="387"/>
      <c r="P66" s="387"/>
      <c r="Q66" s="387"/>
      <c r="R66" s="387"/>
      <c r="S66" s="387"/>
      <c r="T66" s="387"/>
      <c r="U66" s="387"/>
    </row>
    <row r="67" spans="14:21" ht="20.100000000000001" customHeight="1">
      <c r="N67" s="387"/>
      <c r="O67" s="387"/>
      <c r="P67" s="387"/>
      <c r="Q67" s="387"/>
      <c r="R67" s="387"/>
      <c r="S67" s="387"/>
      <c r="T67" s="387"/>
      <c r="U67" s="387"/>
    </row>
    <row r="68" spans="14:21" ht="20.100000000000001" customHeight="1">
      <c r="N68" s="387"/>
      <c r="O68" s="387" t="s">
        <v>548</v>
      </c>
      <c r="P68" s="387"/>
      <c r="Q68" s="135"/>
      <c r="R68" s="135"/>
      <c r="S68" s="135"/>
      <c r="T68" s="135"/>
      <c r="U68" s="135"/>
    </row>
    <row r="69" spans="14:21" ht="20.100000000000001" customHeight="1">
      <c r="N69" s="387"/>
      <c r="O69" s="387"/>
      <c r="P69" s="387"/>
      <c r="Q69" s="135"/>
      <c r="R69" s="135"/>
      <c r="S69" s="135"/>
      <c r="T69" s="135"/>
      <c r="U69" s="135"/>
    </row>
    <row r="70" spans="14:21" ht="20.100000000000001" customHeight="1">
      <c r="N70" s="135"/>
      <c r="O70" s="135"/>
      <c r="P70" s="135"/>
      <c r="Q70" s="387"/>
      <c r="R70" s="387"/>
      <c r="S70" s="387"/>
      <c r="T70" s="387"/>
      <c r="U70" s="387"/>
    </row>
    <row r="71" spans="14:21" ht="20.100000000000001" customHeight="1">
      <c r="N71" s="78"/>
      <c r="O71" s="78"/>
      <c r="P71" s="78"/>
    </row>
    <row r="72" spans="14:21" ht="20.100000000000001" customHeight="1">
      <c r="N72" s="386" t="s">
        <v>550</v>
      </c>
      <c r="O72" s="387"/>
      <c r="P72" s="387"/>
      <c r="Q72" s="387"/>
      <c r="R72" s="387"/>
      <c r="S72" s="387"/>
      <c r="T72" s="387"/>
      <c r="U72" s="387"/>
    </row>
    <row r="73" spans="14:21" ht="20.100000000000001" customHeight="1">
      <c r="N73" s="387"/>
      <c r="O73" s="387"/>
      <c r="P73" s="387"/>
      <c r="Q73" s="387"/>
      <c r="R73" s="387"/>
      <c r="S73" s="387"/>
      <c r="T73" s="387"/>
      <c r="U73" s="387"/>
    </row>
    <row r="74" spans="14:21" ht="20.100000000000001" customHeight="1">
      <c r="N74" s="387"/>
      <c r="O74" s="387" t="s">
        <v>551</v>
      </c>
      <c r="P74" s="387"/>
      <c r="Q74" s="387"/>
      <c r="R74" s="387"/>
      <c r="S74" s="387"/>
      <c r="T74" s="387"/>
      <c r="U74" s="387"/>
    </row>
    <row r="75" spans="14:21" ht="20.100000000000001" customHeight="1">
      <c r="N75" s="387"/>
      <c r="O75" s="387"/>
      <c r="P75" s="387"/>
      <c r="Q75" s="387"/>
      <c r="R75" s="387"/>
      <c r="S75" s="387"/>
      <c r="T75" s="387"/>
      <c r="U75" s="387"/>
    </row>
  </sheetData>
  <phoneticPr fontId="2" type="noConversion"/>
  <printOptions horizontalCentered="1" verticalCentered="1"/>
  <pageMargins left="0.39370078740157483" right="0.39370078740157483" top="0.39370078740157483" bottom="0.39370078740157483" header="0" footer="0"/>
  <pageSetup paperSize="9" scale="7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C2:AO447"/>
  <sheetViews>
    <sheetView showGridLines="0" zoomScaleNormal="100" workbookViewId="0">
      <selection activeCell="I25" sqref="I24:I25"/>
    </sheetView>
  </sheetViews>
  <sheetFormatPr defaultRowHeight="20.100000000000001" customHeight="1" outlineLevelRow="1" outlineLevelCol="1"/>
  <cols>
    <col min="3" max="3" width="45.140625" customWidth="1"/>
    <col min="4" max="4" width="18.42578125" customWidth="1"/>
    <col min="5" max="7" width="12" customWidth="1"/>
    <col min="8" max="14" width="12" customWidth="1" outlineLevel="1"/>
    <col min="15" max="22" width="12" customWidth="1"/>
    <col min="23" max="29" width="12" customWidth="1" outlineLevel="1"/>
    <col min="30" max="39" width="12" customWidth="1"/>
    <col min="40" max="40" width="11.140625" bestFit="1" customWidth="1"/>
  </cols>
  <sheetData>
    <row r="2" spans="3:41" ht="34.5" customHeight="1">
      <c r="C2" s="119" t="s">
        <v>84</v>
      </c>
    </row>
    <row r="4" spans="3:41" ht="20.100000000000001" customHeight="1">
      <c r="C4" s="86" t="s">
        <v>55</v>
      </c>
    </row>
    <row r="5" spans="3:41" ht="20.100000000000001" customHeight="1">
      <c r="C5" s="86" t="s">
        <v>215</v>
      </c>
    </row>
    <row r="6" spans="3:41" ht="20.100000000000001" customHeight="1">
      <c r="C6" s="86" t="s">
        <v>403</v>
      </c>
    </row>
    <row r="7" spans="3:41" ht="20.100000000000001" customHeight="1">
      <c r="C7" s="86" t="s">
        <v>302</v>
      </c>
    </row>
    <row r="8" spans="3:41" ht="20.100000000000001" customHeight="1">
      <c r="C8" s="86" t="s">
        <v>404</v>
      </c>
    </row>
    <row r="9" spans="3:41" ht="20.100000000000001" customHeight="1">
      <c r="C9" s="86"/>
    </row>
    <row r="11" spans="3:41" s="79" customFormat="1" ht="20.100000000000001" customHeight="1">
      <c r="C11" s="96"/>
      <c r="D11" s="96"/>
      <c r="E11" s="106"/>
      <c r="F11" s="108" t="s">
        <v>5</v>
      </c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9"/>
      <c r="S11" s="208" t="s">
        <v>10</v>
      </c>
      <c r="T11" s="101"/>
      <c r="U11" s="100"/>
      <c r="V11" s="100"/>
      <c r="W11" s="100"/>
      <c r="X11" s="100"/>
      <c r="Y11" s="100"/>
      <c r="Z11" s="101"/>
      <c r="AA11" s="100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9"/>
      <c r="AM11" s="106"/>
      <c r="AO11"/>
    </row>
    <row r="12" spans="3:41" s="79" customFormat="1" ht="20.100000000000001" customHeight="1">
      <c r="C12" s="100" t="s">
        <v>57</v>
      </c>
      <c r="D12" s="100" t="s">
        <v>58</v>
      </c>
      <c r="E12" s="106" t="s">
        <v>1</v>
      </c>
      <c r="F12" s="110" t="s">
        <v>43</v>
      </c>
      <c r="G12" s="118" t="s">
        <v>6</v>
      </c>
      <c r="H12" s="112" t="s">
        <v>438</v>
      </c>
      <c r="I12" s="112"/>
      <c r="J12" s="112"/>
      <c r="K12" s="116"/>
      <c r="L12" s="112"/>
      <c r="M12" s="112"/>
      <c r="N12" s="117"/>
      <c r="O12" s="112" t="s">
        <v>7</v>
      </c>
      <c r="P12" s="112"/>
      <c r="Q12" s="113"/>
      <c r="R12" s="1179" t="s">
        <v>13</v>
      </c>
      <c r="S12" s="112" t="s">
        <v>1628</v>
      </c>
      <c r="T12" s="112"/>
      <c r="U12" s="1154"/>
      <c r="V12" s="118" t="s">
        <v>12</v>
      </c>
      <c r="W12" s="112" t="s">
        <v>439</v>
      </c>
      <c r="X12" s="112"/>
      <c r="Y12" s="112"/>
      <c r="Z12" s="116"/>
      <c r="AA12" s="115"/>
      <c r="AB12" s="116"/>
      <c r="AC12" s="117"/>
      <c r="AD12" s="112" t="s">
        <v>21</v>
      </c>
      <c r="AE12" s="112"/>
      <c r="AF12" s="112"/>
      <c r="AG12" s="112"/>
      <c r="AH12" s="112"/>
      <c r="AI12" s="112"/>
      <c r="AJ12" s="112"/>
      <c r="AK12" s="113"/>
      <c r="AL12" s="1179" t="s">
        <v>14</v>
      </c>
      <c r="AM12" s="106" t="s">
        <v>16</v>
      </c>
      <c r="AO12"/>
    </row>
    <row r="13" spans="3:41" s="79" customFormat="1" ht="20.100000000000001" customHeight="1">
      <c r="C13" s="96"/>
      <c r="D13" s="96"/>
      <c r="E13" s="107"/>
      <c r="F13" s="111" t="s">
        <v>42</v>
      </c>
      <c r="G13" s="114" t="s">
        <v>41</v>
      </c>
      <c r="H13" s="102" t="s">
        <v>601</v>
      </c>
      <c r="I13" s="102" t="s">
        <v>603</v>
      </c>
      <c r="J13" s="102" t="s">
        <v>602</v>
      </c>
      <c r="K13" s="103" t="s">
        <v>46</v>
      </c>
      <c r="L13" s="102" t="s">
        <v>508</v>
      </c>
      <c r="M13" s="102" t="s">
        <v>509</v>
      </c>
      <c r="N13" s="114" t="s">
        <v>30</v>
      </c>
      <c r="O13" s="103" t="s">
        <v>402</v>
      </c>
      <c r="P13" s="102" t="s">
        <v>38</v>
      </c>
      <c r="Q13" s="114" t="s">
        <v>30</v>
      </c>
      <c r="R13" s="1179"/>
      <c r="S13" s="206" t="s">
        <v>11</v>
      </c>
      <c r="T13" s="102" t="s">
        <v>1627</v>
      </c>
      <c r="U13" s="1155" t="s">
        <v>30</v>
      </c>
      <c r="V13" s="114" t="s">
        <v>41</v>
      </c>
      <c r="W13" s="102" t="s">
        <v>604</v>
      </c>
      <c r="X13" s="102" t="s">
        <v>605</v>
      </c>
      <c r="Y13" s="102" t="s">
        <v>606</v>
      </c>
      <c r="Z13" s="102" t="s">
        <v>45</v>
      </c>
      <c r="AA13" s="102" t="s">
        <v>510</v>
      </c>
      <c r="AB13" s="102" t="s">
        <v>511</v>
      </c>
      <c r="AC13" s="114" t="s">
        <v>30</v>
      </c>
      <c r="AD13" s="408" t="s">
        <v>33</v>
      </c>
      <c r="AE13" s="409" t="s">
        <v>34</v>
      </c>
      <c r="AF13" s="409" t="s">
        <v>444</v>
      </c>
      <c r="AG13" s="409" t="s">
        <v>441</v>
      </c>
      <c r="AH13" s="409" t="s">
        <v>442</v>
      </c>
      <c r="AI13" s="409" t="s">
        <v>440</v>
      </c>
      <c r="AJ13" s="409" t="s">
        <v>36</v>
      </c>
      <c r="AK13" s="114" t="s">
        <v>30</v>
      </c>
      <c r="AL13" s="1179"/>
      <c r="AM13" s="107"/>
      <c r="AO13"/>
    </row>
    <row r="14" spans="3:41" s="354" customFormat="1" ht="20.100000000000001" customHeight="1"/>
    <row r="15" spans="3:41" s="78" customFormat="1" ht="20.100000000000001" hidden="1" customHeight="1" outlineLevel="1">
      <c r="N15" s="78">
        <f t="shared" ref="N15:N20" si="0">SUM(H15:M15)</f>
        <v>0</v>
      </c>
      <c r="Q15" s="78">
        <f t="shared" ref="Q15:Q20" si="1">SUM(O15:P15)</f>
        <v>0</v>
      </c>
      <c r="R15" s="78">
        <f t="shared" ref="R15:R20" si="2">F15+N15+G15+Q15</f>
        <v>0</v>
      </c>
      <c r="AC15" s="78">
        <f t="shared" ref="AC15:AC20" si="3">SUM(W15:AB15)</f>
        <v>0</v>
      </c>
      <c r="AK15" s="78">
        <f t="shared" ref="AK15:AK20" si="4">SUM(AD15:AJ15)</f>
        <v>0</v>
      </c>
      <c r="AL15" s="78">
        <f t="shared" ref="AL15:AL20" si="5">U15+AC15+V15+AK15</f>
        <v>0</v>
      </c>
      <c r="AM15" s="78">
        <f t="shared" ref="AM15:AM20" si="6">E15+R15-AL15</f>
        <v>0</v>
      </c>
    </row>
    <row r="16" spans="3:41" s="78" customFormat="1" ht="20.100000000000001" hidden="1" customHeight="1" outlineLevel="1">
      <c r="N16" s="78">
        <f t="shared" si="0"/>
        <v>0</v>
      </c>
      <c r="Q16" s="78">
        <f t="shared" si="1"/>
        <v>0</v>
      </c>
      <c r="R16" s="78">
        <f t="shared" si="2"/>
        <v>0</v>
      </c>
      <c r="AC16" s="78">
        <f t="shared" si="3"/>
        <v>0</v>
      </c>
      <c r="AK16" s="78">
        <f t="shared" si="4"/>
        <v>0</v>
      </c>
      <c r="AL16" s="78">
        <f t="shared" si="5"/>
        <v>0</v>
      </c>
      <c r="AM16" s="78">
        <f t="shared" si="6"/>
        <v>0</v>
      </c>
    </row>
    <row r="17" spans="3:39" s="78" customFormat="1" ht="20.100000000000001" hidden="1" customHeight="1" outlineLevel="1">
      <c r="N17" s="78">
        <f t="shared" si="0"/>
        <v>0</v>
      </c>
      <c r="Q17" s="78">
        <f t="shared" si="1"/>
        <v>0</v>
      </c>
      <c r="R17" s="78">
        <f t="shared" si="2"/>
        <v>0</v>
      </c>
      <c r="AC17" s="78">
        <f t="shared" si="3"/>
        <v>0</v>
      </c>
      <c r="AK17" s="78">
        <f t="shared" si="4"/>
        <v>0</v>
      </c>
      <c r="AL17" s="78">
        <f t="shared" si="5"/>
        <v>0</v>
      </c>
      <c r="AM17" s="78">
        <f t="shared" si="6"/>
        <v>0</v>
      </c>
    </row>
    <row r="18" spans="3:39" s="78" customFormat="1" ht="20.100000000000001" hidden="1" customHeight="1" outlineLevel="1">
      <c r="N18" s="78">
        <f t="shared" si="0"/>
        <v>0</v>
      </c>
      <c r="Q18" s="78">
        <f t="shared" si="1"/>
        <v>0</v>
      </c>
      <c r="R18" s="78">
        <f t="shared" si="2"/>
        <v>0</v>
      </c>
      <c r="AC18" s="78">
        <f t="shared" si="3"/>
        <v>0</v>
      </c>
      <c r="AK18" s="78">
        <f t="shared" si="4"/>
        <v>0</v>
      </c>
      <c r="AL18" s="78">
        <f t="shared" si="5"/>
        <v>0</v>
      </c>
      <c r="AM18" s="78">
        <f t="shared" si="6"/>
        <v>0</v>
      </c>
    </row>
    <row r="19" spans="3:39" s="78" customFormat="1" ht="20.100000000000001" hidden="1" customHeight="1" outlineLevel="1">
      <c r="N19" s="78">
        <f t="shared" si="0"/>
        <v>0</v>
      </c>
      <c r="Q19" s="78">
        <f t="shared" si="1"/>
        <v>0</v>
      </c>
      <c r="R19" s="78">
        <f t="shared" si="2"/>
        <v>0</v>
      </c>
      <c r="AC19" s="78">
        <f t="shared" si="3"/>
        <v>0</v>
      </c>
      <c r="AK19" s="78">
        <f t="shared" si="4"/>
        <v>0</v>
      </c>
      <c r="AL19" s="78">
        <f t="shared" si="5"/>
        <v>0</v>
      </c>
      <c r="AM19" s="78">
        <f t="shared" si="6"/>
        <v>0</v>
      </c>
    </row>
    <row r="20" spans="3:39" s="78" customFormat="1" ht="20.100000000000001" hidden="1" customHeight="1" outlineLevel="1">
      <c r="N20" s="78">
        <f t="shared" si="0"/>
        <v>0</v>
      </c>
      <c r="Q20" s="78">
        <f t="shared" si="1"/>
        <v>0</v>
      </c>
      <c r="R20" s="78">
        <f t="shared" si="2"/>
        <v>0</v>
      </c>
      <c r="AC20" s="78">
        <f t="shared" si="3"/>
        <v>0</v>
      </c>
      <c r="AK20" s="78">
        <f t="shared" si="4"/>
        <v>0</v>
      </c>
      <c r="AL20" s="78">
        <f t="shared" si="5"/>
        <v>0</v>
      </c>
      <c r="AM20" s="78">
        <f t="shared" si="6"/>
        <v>0</v>
      </c>
    </row>
    <row r="21" spans="3:39" s="78" customFormat="1" ht="20.100000000000001" customHeight="1" collapsed="1"/>
    <row r="22" spans="3:39" s="78" customFormat="1" ht="20.100000000000001" customHeight="1">
      <c r="C22" s="81" t="s">
        <v>71</v>
      </c>
      <c r="D22" s="104" t="s">
        <v>62</v>
      </c>
      <c r="E22" s="104">
        <f>AM15</f>
        <v>0</v>
      </c>
      <c r="F22" s="104"/>
      <c r="G22" s="104"/>
      <c r="H22" s="104"/>
      <c r="I22" s="104"/>
      <c r="J22" s="104"/>
      <c r="K22" s="104"/>
      <c r="L22" s="104"/>
      <c r="M22" s="104"/>
      <c r="N22" s="104">
        <f t="shared" ref="N22:N27" si="7">SUM(H22:M22)</f>
        <v>0</v>
      </c>
      <c r="O22" s="104"/>
      <c r="P22" s="104"/>
      <c r="Q22" s="104">
        <f t="shared" ref="Q22:Q27" si="8">SUM(O22:P22)</f>
        <v>0</v>
      </c>
      <c r="R22" s="104">
        <f t="shared" ref="R22:R27" si="9">F22+N22+G22+Q22</f>
        <v>0</v>
      </c>
      <c r="S22" s="104"/>
      <c r="T22" s="104"/>
      <c r="U22" s="104">
        <f>S22-T22</f>
        <v>0</v>
      </c>
      <c r="V22" s="104"/>
      <c r="W22" s="104"/>
      <c r="X22" s="104"/>
      <c r="Y22" s="104"/>
      <c r="Z22" s="104"/>
      <c r="AA22" s="104"/>
      <c r="AB22" s="104"/>
      <c r="AC22" s="104">
        <f t="shared" ref="AC22:AC27" si="10">SUM(W22:AB22)</f>
        <v>0</v>
      </c>
      <c r="AD22" s="104"/>
      <c r="AE22" s="104"/>
      <c r="AF22" s="104"/>
      <c r="AG22" s="104"/>
      <c r="AH22" s="104"/>
      <c r="AI22" s="104"/>
      <c r="AJ22" s="104"/>
      <c r="AK22" s="104">
        <f t="shared" ref="AK22:AK27" si="11">SUM(AD22:AJ22)</f>
        <v>0</v>
      </c>
      <c r="AL22" s="104">
        <f t="shared" ref="AL22:AL27" si="12">U22+AC22+V22+AK22</f>
        <v>0</v>
      </c>
      <c r="AM22" s="104">
        <f t="shared" ref="AM22:AM27" si="13">E22+R22-AL22</f>
        <v>0</v>
      </c>
    </row>
    <row r="23" spans="3:39" s="78" customFormat="1" ht="20.100000000000001" customHeight="1">
      <c r="D23" s="104" t="s">
        <v>63</v>
      </c>
      <c r="E23" s="104">
        <f t="shared" ref="E23:E27" si="14">AM16</f>
        <v>0</v>
      </c>
      <c r="F23" s="104"/>
      <c r="G23" s="104"/>
      <c r="H23" s="104"/>
      <c r="I23" s="104"/>
      <c r="J23" s="104"/>
      <c r="K23" s="104"/>
      <c r="L23" s="104"/>
      <c r="M23" s="104"/>
      <c r="N23" s="104">
        <f t="shared" si="7"/>
        <v>0</v>
      </c>
      <c r="O23" s="104"/>
      <c r="P23" s="104"/>
      <c r="Q23" s="104">
        <f t="shared" si="8"/>
        <v>0</v>
      </c>
      <c r="R23" s="104">
        <f t="shared" si="9"/>
        <v>0</v>
      </c>
      <c r="S23" s="104"/>
      <c r="T23" s="104"/>
      <c r="U23" s="104">
        <f t="shared" ref="U23:U27" si="15">S23-T23</f>
        <v>0</v>
      </c>
      <c r="V23" s="104"/>
      <c r="W23" s="104"/>
      <c r="X23" s="104"/>
      <c r="Y23" s="104"/>
      <c r="Z23" s="104"/>
      <c r="AA23" s="104"/>
      <c r="AB23" s="104"/>
      <c r="AC23" s="104">
        <f t="shared" si="10"/>
        <v>0</v>
      </c>
      <c r="AD23" s="104"/>
      <c r="AE23" s="104"/>
      <c r="AF23" s="104"/>
      <c r="AG23" s="104"/>
      <c r="AH23" s="104"/>
      <c r="AI23" s="104"/>
      <c r="AJ23" s="104"/>
      <c r="AK23" s="104">
        <f t="shared" si="11"/>
        <v>0</v>
      </c>
      <c r="AL23" s="104">
        <f t="shared" si="12"/>
        <v>0</v>
      </c>
      <c r="AM23" s="104">
        <f t="shared" si="13"/>
        <v>0</v>
      </c>
    </row>
    <row r="24" spans="3:39" s="78" customFormat="1" ht="20.100000000000001" customHeight="1">
      <c r="D24" s="104" t="s">
        <v>59</v>
      </c>
      <c r="E24" s="104">
        <f t="shared" si="14"/>
        <v>0</v>
      </c>
      <c r="F24" s="104"/>
      <c r="G24" s="104"/>
      <c r="H24" s="104"/>
      <c r="I24" s="104"/>
      <c r="J24" s="104"/>
      <c r="K24" s="104"/>
      <c r="L24" s="104"/>
      <c r="M24" s="104"/>
      <c r="N24" s="104">
        <f t="shared" si="7"/>
        <v>0</v>
      </c>
      <c r="O24" s="104"/>
      <c r="P24" s="104"/>
      <c r="Q24" s="104">
        <f t="shared" si="8"/>
        <v>0</v>
      </c>
      <c r="R24" s="104">
        <f t="shared" si="9"/>
        <v>0</v>
      </c>
      <c r="S24" s="104"/>
      <c r="T24" s="104"/>
      <c r="U24" s="104">
        <f t="shared" si="15"/>
        <v>0</v>
      </c>
      <c r="V24" s="104"/>
      <c r="W24" s="104"/>
      <c r="X24" s="104"/>
      <c r="Y24" s="104"/>
      <c r="Z24" s="104"/>
      <c r="AA24" s="104"/>
      <c r="AB24" s="104"/>
      <c r="AC24" s="104">
        <f t="shared" si="10"/>
        <v>0</v>
      </c>
      <c r="AD24" s="104"/>
      <c r="AE24" s="104"/>
      <c r="AF24" s="104"/>
      <c r="AG24" s="104"/>
      <c r="AH24" s="104"/>
      <c r="AI24" s="104"/>
      <c r="AJ24" s="104"/>
      <c r="AK24" s="104">
        <f t="shared" si="11"/>
        <v>0</v>
      </c>
      <c r="AL24" s="104">
        <f t="shared" si="12"/>
        <v>0</v>
      </c>
      <c r="AM24" s="104">
        <f t="shared" si="13"/>
        <v>0</v>
      </c>
    </row>
    <row r="25" spans="3:39" s="78" customFormat="1" ht="20.100000000000001" customHeight="1">
      <c r="D25" s="105" t="s">
        <v>66</v>
      </c>
      <c r="E25" s="105">
        <f t="shared" si="14"/>
        <v>0</v>
      </c>
      <c r="F25" s="105"/>
      <c r="G25" s="105"/>
      <c r="H25" s="105"/>
      <c r="I25" s="105"/>
      <c r="J25" s="105"/>
      <c r="K25" s="105"/>
      <c r="L25" s="105"/>
      <c r="M25" s="105"/>
      <c r="N25" s="105">
        <f t="shared" si="7"/>
        <v>0</v>
      </c>
      <c r="O25" s="105"/>
      <c r="P25" s="105"/>
      <c r="Q25" s="105">
        <f t="shared" si="8"/>
        <v>0</v>
      </c>
      <c r="R25" s="105">
        <f t="shared" si="9"/>
        <v>0</v>
      </c>
      <c r="S25" s="105"/>
      <c r="T25" s="105"/>
      <c r="U25" s="105">
        <f t="shared" si="15"/>
        <v>0</v>
      </c>
      <c r="V25" s="105"/>
      <c r="W25" s="105"/>
      <c r="X25" s="105"/>
      <c r="Y25" s="105"/>
      <c r="Z25" s="105"/>
      <c r="AA25" s="105"/>
      <c r="AB25" s="105"/>
      <c r="AC25" s="105">
        <f t="shared" si="10"/>
        <v>0</v>
      </c>
      <c r="AD25" s="105"/>
      <c r="AE25" s="105"/>
      <c r="AF25" s="105"/>
      <c r="AG25" s="105"/>
      <c r="AH25" s="105"/>
      <c r="AI25" s="105"/>
      <c r="AJ25" s="105"/>
      <c r="AK25" s="105">
        <f t="shared" si="11"/>
        <v>0</v>
      </c>
      <c r="AL25" s="105">
        <f t="shared" si="12"/>
        <v>0</v>
      </c>
      <c r="AM25" s="105">
        <f t="shared" si="13"/>
        <v>0</v>
      </c>
    </row>
    <row r="26" spans="3:39" s="78" customFormat="1" ht="20.100000000000001" customHeight="1">
      <c r="D26" s="105" t="s">
        <v>67</v>
      </c>
      <c r="E26" s="105">
        <f t="shared" si="14"/>
        <v>0</v>
      </c>
      <c r="F26" s="105"/>
      <c r="G26" s="105"/>
      <c r="H26" s="105"/>
      <c r="I26" s="105"/>
      <c r="J26" s="105"/>
      <c r="K26" s="105"/>
      <c r="L26" s="105"/>
      <c r="M26" s="105"/>
      <c r="N26" s="105">
        <f t="shared" si="7"/>
        <v>0</v>
      </c>
      <c r="O26" s="105"/>
      <c r="P26" s="105"/>
      <c r="Q26" s="105">
        <f t="shared" si="8"/>
        <v>0</v>
      </c>
      <c r="R26" s="105">
        <f t="shared" si="9"/>
        <v>0</v>
      </c>
      <c r="S26" s="105"/>
      <c r="T26" s="105"/>
      <c r="U26" s="105">
        <f t="shared" si="15"/>
        <v>0</v>
      </c>
      <c r="V26" s="105"/>
      <c r="W26" s="105"/>
      <c r="X26" s="105"/>
      <c r="Y26" s="105"/>
      <c r="Z26" s="105"/>
      <c r="AA26" s="105"/>
      <c r="AB26" s="105"/>
      <c r="AC26" s="105">
        <f t="shared" si="10"/>
        <v>0</v>
      </c>
      <c r="AD26" s="105"/>
      <c r="AE26" s="105"/>
      <c r="AF26" s="105"/>
      <c r="AG26" s="105"/>
      <c r="AH26" s="105"/>
      <c r="AI26" s="105"/>
      <c r="AJ26" s="105"/>
      <c r="AK26" s="105">
        <f t="shared" si="11"/>
        <v>0</v>
      </c>
      <c r="AL26" s="105">
        <f t="shared" si="12"/>
        <v>0</v>
      </c>
      <c r="AM26" s="105">
        <f t="shared" si="13"/>
        <v>0</v>
      </c>
    </row>
    <row r="27" spans="3:39" s="78" customFormat="1" ht="20.100000000000001" customHeight="1">
      <c r="D27" s="105" t="s">
        <v>60</v>
      </c>
      <c r="E27" s="105">
        <f t="shared" si="14"/>
        <v>0</v>
      </c>
      <c r="F27" s="105"/>
      <c r="G27" s="105"/>
      <c r="H27" s="105"/>
      <c r="I27" s="105"/>
      <c r="J27" s="105"/>
      <c r="K27" s="105"/>
      <c r="L27" s="105"/>
      <c r="M27" s="105"/>
      <c r="N27" s="105">
        <f t="shared" si="7"/>
        <v>0</v>
      </c>
      <c r="O27" s="105"/>
      <c r="P27" s="105"/>
      <c r="Q27" s="105">
        <f t="shared" si="8"/>
        <v>0</v>
      </c>
      <c r="R27" s="105">
        <f t="shared" si="9"/>
        <v>0</v>
      </c>
      <c r="S27" s="105"/>
      <c r="T27" s="105"/>
      <c r="U27" s="105">
        <f t="shared" si="15"/>
        <v>0</v>
      </c>
      <c r="V27" s="105"/>
      <c r="W27" s="105"/>
      <c r="X27" s="105"/>
      <c r="Y27" s="105"/>
      <c r="Z27" s="105"/>
      <c r="AA27" s="105"/>
      <c r="AB27" s="105"/>
      <c r="AC27" s="105">
        <f t="shared" si="10"/>
        <v>0</v>
      </c>
      <c r="AD27" s="105"/>
      <c r="AE27" s="105"/>
      <c r="AF27" s="105"/>
      <c r="AG27" s="105"/>
      <c r="AH27" s="105"/>
      <c r="AI27" s="105"/>
      <c r="AJ27" s="105"/>
      <c r="AK27" s="105">
        <f t="shared" si="11"/>
        <v>0</v>
      </c>
      <c r="AL27" s="105">
        <f t="shared" si="12"/>
        <v>0</v>
      </c>
      <c r="AM27" s="105">
        <f t="shared" si="13"/>
        <v>0</v>
      </c>
    </row>
    <row r="28" spans="3:39" s="78" customFormat="1" ht="20.100000000000001" customHeight="1"/>
    <row r="29" spans="3:39" s="78" customFormat="1" ht="20.100000000000001" customHeight="1">
      <c r="C29" s="81" t="s">
        <v>61</v>
      </c>
      <c r="D29" s="104" t="s">
        <v>62</v>
      </c>
      <c r="E29" s="104">
        <f>AM22</f>
        <v>0</v>
      </c>
      <c r="F29" s="104">
        <v>10000</v>
      </c>
      <c r="G29" s="104"/>
      <c r="H29" s="104"/>
      <c r="I29" s="104"/>
      <c r="J29" s="104"/>
      <c r="K29" s="104"/>
      <c r="L29" s="104"/>
      <c r="M29" s="104"/>
      <c r="N29" s="104">
        <f t="shared" ref="N29:N34" si="16">SUM(H29:M29)</f>
        <v>0</v>
      </c>
      <c r="O29" s="104"/>
      <c r="P29" s="104"/>
      <c r="Q29" s="104">
        <f t="shared" ref="Q29:Q34" si="17">SUM(O29:P29)</f>
        <v>0</v>
      </c>
      <c r="R29" s="104">
        <f t="shared" ref="R29:R34" si="18">F29+N29+G29+Q29</f>
        <v>10000</v>
      </c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>
        <f t="shared" ref="AC29:AC34" si="19">SUM(W29:AB29)</f>
        <v>0</v>
      </c>
      <c r="AD29" s="104"/>
      <c r="AE29" s="104"/>
      <c r="AF29" s="104"/>
      <c r="AG29" s="104"/>
      <c r="AH29" s="104"/>
      <c r="AI29" s="104"/>
      <c r="AJ29" s="104"/>
      <c r="AK29" s="104">
        <f t="shared" ref="AK29:AK34" si="20">SUM(AD29:AJ29)</f>
        <v>0</v>
      </c>
      <c r="AL29" s="104">
        <f t="shared" ref="AL29:AL34" si="21">U29+AC29+V29+AK29</f>
        <v>0</v>
      </c>
      <c r="AM29" s="104">
        <f t="shared" ref="AM29:AM34" si="22">E29+R29-AL29</f>
        <v>10000</v>
      </c>
    </row>
    <row r="30" spans="3:39" s="78" customFormat="1" ht="20.100000000000001" customHeight="1">
      <c r="D30" s="104" t="s">
        <v>63</v>
      </c>
      <c r="E30" s="104">
        <f t="shared" ref="E30:E34" si="23">AM23</f>
        <v>0</v>
      </c>
      <c r="F30" s="104"/>
      <c r="G30" s="104"/>
      <c r="H30" s="104"/>
      <c r="I30" s="104"/>
      <c r="J30" s="104"/>
      <c r="K30" s="104"/>
      <c r="L30" s="104"/>
      <c r="M30" s="104"/>
      <c r="N30" s="104">
        <f t="shared" si="16"/>
        <v>0</v>
      </c>
      <c r="O30" s="104"/>
      <c r="P30" s="104"/>
      <c r="Q30" s="104">
        <f t="shared" si="17"/>
        <v>0</v>
      </c>
      <c r="R30" s="104">
        <f t="shared" si="18"/>
        <v>0</v>
      </c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>
        <f t="shared" si="19"/>
        <v>0</v>
      </c>
      <c r="AD30" s="104"/>
      <c r="AE30" s="104"/>
      <c r="AF30" s="104"/>
      <c r="AG30" s="104"/>
      <c r="AH30" s="104"/>
      <c r="AI30" s="104"/>
      <c r="AJ30" s="104"/>
      <c r="AK30" s="104">
        <f t="shared" si="20"/>
        <v>0</v>
      </c>
      <c r="AL30" s="104">
        <f t="shared" si="21"/>
        <v>0</v>
      </c>
      <c r="AM30" s="104">
        <f t="shared" si="22"/>
        <v>0</v>
      </c>
    </row>
    <row r="31" spans="3:39" s="78" customFormat="1" ht="20.100000000000001" customHeight="1">
      <c r="D31" s="104" t="s">
        <v>59</v>
      </c>
      <c r="E31" s="104">
        <f t="shared" si="23"/>
        <v>0</v>
      </c>
      <c r="F31" s="104">
        <v>7000</v>
      </c>
      <c r="G31" s="104"/>
      <c r="H31" s="104"/>
      <c r="I31" s="104"/>
      <c r="J31" s="104"/>
      <c r="K31" s="104"/>
      <c r="L31" s="104"/>
      <c r="M31" s="104"/>
      <c r="N31" s="104">
        <f t="shared" si="16"/>
        <v>0</v>
      </c>
      <c r="O31" s="104"/>
      <c r="P31" s="104"/>
      <c r="Q31" s="104">
        <f t="shared" si="17"/>
        <v>0</v>
      </c>
      <c r="R31" s="104">
        <f t="shared" si="18"/>
        <v>7000</v>
      </c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>
        <f t="shared" si="19"/>
        <v>0</v>
      </c>
      <c r="AD31" s="104"/>
      <c r="AE31" s="104"/>
      <c r="AF31" s="104"/>
      <c r="AG31" s="104"/>
      <c r="AH31" s="104"/>
      <c r="AI31" s="104"/>
      <c r="AJ31" s="104"/>
      <c r="AK31" s="104">
        <f t="shared" si="20"/>
        <v>0</v>
      </c>
      <c r="AL31" s="104">
        <f t="shared" si="21"/>
        <v>0</v>
      </c>
      <c r="AM31" s="104">
        <f t="shared" si="22"/>
        <v>7000</v>
      </c>
    </row>
    <row r="32" spans="3:39" s="78" customFormat="1" ht="20.100000000000001" customHeight="1">
      <c r="D32" s="105" t="s">
        <v>66</v>
      </c>
      <c r="E32" s="105">
        <f t="shared" si="23"/>
        <v>0</v>
      </c>
      <c r="F32" s="105"/>
      <c r="G32" s="105"/>
      <c r="H32" s="105"/>
      <c r="I32" s="105"/>
      <c r="J32" s="105"/>
      <c r="K32" s="105"/>
      <c r="L32" s="105"/>
      <c r="M32" s="105"/>
      <c r="N32" s="105">
        <f t="shared" si="16"/>
        <v>0</v>
      </c>
      <c r="O32" s="105"/>
      <c r="P32" s="105"/>
      <c r="Q32" s="105">
        <f t="shared" si="17"/>
        <v>0</v>
      </c>
      <c r="R32" s="105">
        <f t="shared" si="18"/>
        <v>0</v>
      </c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>
        <f t="shared" si="19"/>
        <v>0</v>
      </c>
      <c r="AD32" s="105"/>
      <c r="AE32" s="105"/>
      <c r="AF32" s="105"/>
      <c r="AG32" s="105"/>
      <c r="AH32" s="105"/>
      <c r="AI32" s="105"/>
      <c r="AJ32" s="105"/>
      <c r="AK32" s="105">
        <f t="shared" si="20"/>
        <v>0</v>
      </c>
      <c r="AL32" s="105">
        <f t="shared" si="21"/>
        <v>0</v>
      </c>
      <c r="AM32" s="105">
        <f t="shared" si="22"/>
        <v>0</v>
      </c>
    </row>
    <row r="33" spans="3:39" s="78" customFormat="1" ht="20.100000000000001" customHeight="1">
      <c r="D33" s="105" t="s">
        <v>67</v>
      </c>
      <c r="E33" s="105">
        <f t="shared" si="23"/>
        <v>0</v>
      </c>
      <c r="F33" s="105"/>
      <c r="G33" s="105"/>
      <c r="H33" s="105"/>
      <c r="I33" s="105"/>
      <c r="J33" s="105"/>
      <c r="K33" s="105"/>
      <c r="L33" s="105"/>
      <c r="M33" s="105"/>
      <c r="N33" s="105">
        <f t="shared" si="16"/>
        <v>0</v>
      </c>
      <c r="O33" s="105"/>
      <c r="P33" s="105"/>
      <c r="Q33" s="105">
        <f t="shared" si="17"/>
        <v>0</v>
      </c>
      <c r="R33" s="105">
        <f t="shared" si="18"/>
        <v>0</v>
      </c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>
        <f t="shared" si="19"/>
        <v>0</v>
      </c>
      <c r="AD33" s="105"/>
      <c r="AE33" s="105"/>
      <c r="AF33" s="105"/>
      <c r="AG33" s="105"/>
      <c r="AH33" s="105"/>
      <c r="AI33" s="105"/>
      <c r="AJ33" s="105"/>
      <c r="AK33" s="105">
        <f t="shared" si="20"/>
        <v>0</v>
      </c>
      <c r="AL33" s="105">
        <f t="shared" si="21"/>
        <v>0</v>
      </c>
      <c r="AM33" s="105">
        <f t="shared" si="22"/>
        <v>0</v>
      </c>
    </row>
    <row r="34" spans="3:39" s="78" customFormat="1" ht="20.100000000000001" customHeight="1">
      <c r="D34" s="105" t="s">
        <v>60</v>
      </c>
      <c r="E34" s="105">
        <f t="shared" si="23"/>
        <v>0</v>
      </c>
      <c r="F34" s="105"/>
      <c r="G34" s="105"/>
      <c r="H34" s="105"/>
      <c r="I34" s="105"/>
      <c r="J34" s="105"/>
      <c r="K34" s="105"/>
      <c r="L34" s="105"/>
      <c r="M34" s="105"/>
      <c r="N34" s="105">
        <f t="shared" si="16"/>
        <v>0</v>
      </c>
      <c r="O34" s="105"/>
      <c r="P34" s="105"/>
      <c r="Q34" s="105">
        <f t="shared" si="17"/>
        <v>0</v>
      </c>
      <c r="R34" s="105">
        <f t="shared" si="18"/>
        <v>0</v>
      </c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>
        <f t="shared" si="19"/>
        <v>0</v>
      </c>
      <c r="AD34" s="105"/>
      <c r="AE34" s="105"/>
      <c r="AF34" s="105"/>
      <c r="AG34" s="105"/>
      <c r="AH34" s="105"/>
      <c r="AI34" s="105"/>
      <c r="AJ34" s="105"/>
      <c r="AK34" s="105">
        <f t="shared" si="20"/>
        <v>0</v>
      </c>
      <c r="AL34" s="105">
        <f t="shared" si="21"/>
        <v>0</v>
      </c>
      <c r="AM34" s="105">
        <f t="shared" si="22"/>
        <v>0</v>
      </c>
    </row>
    <row r="35" spans="3:39" s="78" customFormat="1" ht="20.100000000000001" customHeight="1"/>
    <row r="36" spans="3:39" s="78" customFormat="1" ht="20.100000000000001" customHeight="1">
      <c r="C36" s="81" t="s">
        <v>68</v>
      </c>
      <c r="D36" s="104" t="s">
        <v>62</v>
      </c>
      <c r="E36" s="104">
        <f>AM29</f>
        <v>10000</v>
      </c>
      <c r="F36" s="104"/>
      <c r="G36" s="104"/>
      <c r="H36" s="104"/>
      <c r="I36" s="104"/>
      <c r="J36" s="104"/>
      <c r="K36" s="104"/>
      <c r="L36" s="104"/>
      <c r="M36" s="104"/>
      <c r="N36" s="104">
        <f t="shared" ref="N36:N41" si="24">SUM(H36:M36)</f>
        <v>0</v>
      </c>
      <c r="O36" s="104"/>
      <c r="P36" s="104"/>
      <c r="Q36" s="104">
        <f t="shared" ref="Q36:Q41" si="25">SUM(O36:P36)</f>
        <v>0</v>
      </c>
      <c r="R36" s="104">
        <f t="shared" ref="R36:R41" si="26">F36+N36+G36+Q36</f>
        <v>0</v>
      </c>
      <c r="S36" s="104"/>
      <c r="T36" s="104"/>
      <c r="U36" s="104"/>
      <c r="V36" s="104"/>
      <c r="W36" s="104">
        <v>6000</v>
      </c>
      <c r="X36" s="104"/>
      <c r="Y36" s="104"/>
      <c r="Z36" s="104"/>
      <c r="AA36" s="104"/>
      <c r="AB36" s="104"/>
      <c r="AC36" s="104">
        <f t="shared" ref="AC36:AC41" si="27">SUM(W36:AB36)</f>
        <v>6000</v>
      </c>
      <c r="AD36" s="104"/>
      <c r="AE36" s="104"/>
      <c r="AF36" s="104"/>
      <c r="AG36" s="104"/>
      <c r="AH36" s="104"/>
      <c r="AI36" s="104"/>
      <c r="AJ36" s="104"/>
      <c r="AK36" s="104">
        <f t="shared" ref="AK36:AK41" si="28">SUM(AD36:AJ36)</f>
        <v>0</v>
      </c>
      <c r="AL36" s="104">
        <f t="shared" ref="AL36:AL41" si="29">U36+AC36+V36+AK36</f>
        <v>6000</v>
      </c>
      <c r="AM36" s="104">
        <f t="shared" ref="AM36:AM41" si="30">E36+R36-AL36</f>
        <v>4000</v>
      </c>
    </row>
    <row r="37" spans="3:39" s="78" customFormat="1" ht="20.100000000000001" customHeight="1">
      <c r="C37" s="81"/>
      <c r="D37" s="104" t="s">
        <v>63</v>
      </c>
      <c r="E37" s="104">
        <f t="shared" ref="E37:E41" si="31">AM30</f>
        <v>0</v>
      </c>
      <c r="F37" s="104"/>
      <c r="G37" s="104"/>
      <c r="H37" s="104">
        <f>W36</f>
        <v>6000</v>
      </c>
      <c r="I37" s="104"/>
      <c r="J37" s="104"/>
      <c r="K37" s="104"/>
      <c r="L37" s="104"/>
      <c r="M37" s="104"/>
      <c r="N37" s="104">
        <f t="shared" si="24"/>
        <v>6000</v>
      </c>
      <c r="O37" s="104"/>
      <c r="P37" s="104"/>
      <c r="Q37" s="104">
        <f t="shared" si="25"/>
        <v>0</v>
      </c>
      <c r="R37" s="104">
        <f t="shared" si="26"/>
        <v>6000</v>
      </c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>
        <f t="shared" si="27"/>
        <v>0</v>
      </c>
      <c r="AD37" s="104"/>
      <c r="AE37" s="104"/>
      <c r="AF37" s="104"/>
      <c r="AG37" s="104"/>
      <c r="AH37" s="104"/>
      <c r="AI37" s="104"/>
      <c r="AJ37" s="104"/>
      <c r="AK37" s="104">
        <f t="shared" si="28"/>
        <v>0</v>
      </c>
      <c r="AL37" s="104">
        <f t="shared" si="29"/>
        <v>0</v>
      </c>
      <c r="AM37" s="104">
        <f t="shared" si="30"/>
        <v>6000</v>
      </c>
    </row>
    <row r="38" spans="3:39" s="78" customFormat="1" ht="20.100000000000001" customHeight="1">
      <c r="D38" s="104" t="s">
        <v>59</v>
      </c>
      <c r="E38" s="104">
        <f t="shared" si="31"/>
        <v>7000</v>
      </c>
      <c r="F38" s="104"/>
      <c r="G38" s="104"/>
      <c r="H38" s="104"/>
      <c r="I38" s="104"/>
      <c r="J38" s="104"/>
      <c r="K38" s="104"/>
      <c r="L38" s="104"/>
      <c r="M38" s="104"/>
      <c r="N38" s="104">
        <f t="shared" si="24"/>
        <v>0</v>
      </c>
      <c r="O38" s="104"/>
      <c r="P38" s="104"/>
      <c r="Q38" s="104">
        <f t="shared" si="25"/>
        <v>0</v>
      </c>
      <c r="R38" s="104">
        <f t="shared" si="26"/>
        <v>0</v>
      </c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>
        <f t="shared" si="27"/>
        <v>0</v>
      </c>
      <c r="AD38" s="104"/>
      <c r="AE38" s="104"/>
      <c r="AF38" s="104"/>
      <c r="AG38" s="104"/>
      <c r="AH38" s="104"/>
      <c r="AI38" s="104"/>
      <c r="AJ38" s="104"/>
      <c r="AK38" s="104">
        <f t="shared" si="28"/>
        <v>0</v>
      </c>
      <c r="AL38" s="104">
        <f t="shared" si="29"/>
        <v>0</v>
      </c>
      <c r="AM38" s="104">
        <f t="shared" si="30"/>
        <v>7000</v>
      </c>
    </row>
    <row r="39" spans="3:39" s="78" customFormat="1" ht="20.100000000000001" customHeight="1">
      <c r="D39" s="105" t="s">
        <v>66</v>
      </c>
      <c r="E39" s="105">
        <f t="shared" si="31"/>
        <v>0</v>
      </c>
      <c r="F39" s="105"/>
      <c r="G39" s="105"/>
      <c r="H39" s="105"/>
      <c r="I39" s="105"/>
      <c r="J39" s="105"/>
      <c r="K39" s="105"/>
      <c r="L39" s="105"/>
      <c r="M39" s="105"/>
      <c r="N39" s="105">
        <f t="shared" si="24"/>
        <v>0</v>
      </c>
      <c r="O39" s="105"/>
      <c r="P39" s="105"/>
      <c r="Q39" s="105">
        <f t="shared" si="25"/>
        <v>0</v>
      </c>
      <c r="R39" s="105">
        <f t="shared" si="26"/>
        <v>0</v>
      </c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>
        <f t="shared" si="27"/>
        <v>0</v>
      </c>
      <c r="AD39" s="105"/>
      <c r="AE39" s="105"/>
      <c r="AF39" s="105"/>
      <c r="AG39" s="105"/>
      <c r="AH39" s="105"/>
      <c r="AI39" s="105"/>
      <c r="AJ39" s="105"/>
      <c r="AK39" s="105">
        <f t="shared" si="28"/>
        <v>0</v>
      </c>
      <c r="AL39" s="105">
        <f t="shared" si="29"/>
        <v>0</v>
      </c>
      <c r="AM39" s="105">
        <f t="shared" si="30"/>
        <v>0</v>
      </c>
    </row>
    <row r="40" spans="3:39" s="78" customFormat="1" ht="20.100000000000001" customHeight="1">
      <c r="D40" s="105" t="s">
        <v>67</v>
      </c>
      <c r="E40" s="105">
        <f t="shared" si="31"/>
        <v>0</v>
      </c>
      <c r="F40" s="105"/>
      <c r="G40" s="105"/>
      <c r="H40" s="105"/>
      <c r="I40" s="105"/>
      <c r="J40" s="105"/>
      <c r="K40" s="105"/>
      <c r="L40" s="105"/>
      <c r="M40" s="105"/>
      <c r="N40" s="105">
        <f t="shared" si="24"/>
        <v>0</v>
      </c>
      <c r="O40" s="105"/>
      <c r="P40" s="105"/>
      <c r="Q40" s="105">
        <f t="shared" si="25"/>
        <v>0</v>
      </c>
      <c r="R40" s="105">
        <f t="shared" si="26"/>
        <v>0</v>
      </c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>
        <f t="shared" si="27"/>
        <v>0</v>
      </c>
      <c r="AD40" s="105"/>
      <c r="AE40" s="105"/>
      <c r="AF40" s="105"/>
      <c r="AG40" s="105"/>
      <c r="AH40" s="105"/>
      <c r="AI40" s="105"/>
      <c r="AJ40" s="105"/>
      <c r="AK40" s="105">
        <f t="shared" si="28"/>
        <v>0</v>
      </c>
      <c r="AL40" s="105">
        <f t="shared" si="29"/>
        <v>0</v>
      </c>
      <c r="AM40" s="105">
        <f t="shared" si="30"/>
        <v>0</v>
      </c>
    </row>
    <row r="41" spans="3:39" s="78" customFormat="1" ht="20.100000000000001" customHeight="1">
      <c r="D41" s="105" t="s">
        <v>60</v>
      </c>
      <c r="E41" s="105">
        <f t="shared" si="31"/>
        <v>0</v>
      </c>
      <c r="F41" s="105"/>
      <c r="G41" s="105"/>
      <c r="H41" s="105"/>
      <c r="I41" s="105"/>
      <c r="J41" s="105"/>
      <c r="K41" s="105"/>
      <c r="L41" s="105"/>
      <c r="M41" s="105"/>
      <c r="N41" s="105">
        <f t="shared" si="24"/>
        <v>0</v>
      </c>
      <c r="O41" s="105"/>
      <c r="P41" s="105"/>
      <c r="Q41" s="105">
        <f t="shared" si="25"/>
        <v>0</v>
      </c>
      <c r="R41" s="105">
        <f t="shared" si="26"/>
        <v>0</v>
      </c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>
        <f t="shared" si="27"/>
        <v>0</v>
      </c>
      <c r="AD41" s="105"/>
      <c r="AE41" s="105"/>
      <c r="AF41" s="105"/>
      <c r="AG41" s="105"/>
      <c r="AH41" s="105"/>
      <c r="AI41" s="105"/>
      <c r="AJ41" s="105"/>
      <c r="AK41" s="105">
        <f t="shared" si="28"/>
        <v>0</v>
      </c>
      <c r="AL41" s="105">
        <f t="shared" si="29"/>
        <v>0</v>
      </c>
      <c r="AM41" s="105">
        <f t="shared" si="30"/>
        <v>0</v>
      </c>
    </row>
    <row r="42" spans="3:39" s="78" customFormat="1" ht="20.100000000000001" customHeight="1"/>
    <row r="43" spans="3:39" s="78" customFormat="1" ht="20.100000000000001" customHeight="1">
      <c r="C43" s="81" t="s">
        <v>69</v>
      </c>
      <c r="D43" s="104" t="s">
        <v>62</v>
      </c>
      <c r="E43" s="104">
        <f>AM36</f>
        <v>4000</v>
      </c>
      <c r="F43" s="104"/>
      <c r="G43" s="104"/>
      <c r="H43" s="104"/>
      <c r="I43" s="104"/>
      <c r="J43" s="104"/>
      <c r="K43" s="104"/>
      <c r="L43" s="104"/>
      <c r="M43" s="104"/>
      <c r="N43" s="104">
        <f>SUM(H43:M43)</f>
        <v>0</v>
      </c>
      <c r="O43" s="104"/>
      <c r="P43" s="104"/>
      <c r="Q43" s="104">
        <f t="shared" ref="Q43:Q48" si="32">SUM(O43:P43)</f>
        <v>0</v>
      </c>
      <c r="R43" s="104">
        <f t="shared" ref="R43:R48" si="33">F43+N43+G43+Q43</f>
        <v>0</v>
      </c>
      <c r="S43" s="104"/>
      <c r="T43" s="104"/>
      <c r="U43" s="104"/>
      <c r="V43" s="104"/>
      <c r="W43" s="104"/>
      <c r="X43" s="104">
        <v>3000</v>
      </c>
      <c r="Y43" s="104"/>
      <c r="Z43" s="104"/>
      <c r="AA43" s="104"/>
      <c r="AB43" s="104"/>
      <c r="AC43" s="104">
        <f>SUM(X43:AB43)</f>
        <v>3000</v>
      </c>
      <c r="AD43" s="104"/>
      <c r="AE43" s="104"/>
      <c r="AF43" s="104"/>
      <c r="AG43" s="104"/>
      <c r="AH43" s="104"/>
      <c r="AI43" s="104"/>
      <c r="AJ43" s="104"/>
      <c r="AK43" s="104">
        <f t="shared" ref="AK43:AK48" si="34">SUM(AD43:AJ43)</f>
        <v>0</v>
      </c>
      <c r="AL43" s="104">
        <f t="shared" ref="AL43:AL48" si="35">U43+AC43+V43+AK43</f>
        <v>3000</v>
      </c>
      <c r="AM43" s="104">
        <f t="shared" ref="AM43:AM48" si="36">E43+R43-AL43</f>
        <v>1000</v>
      </c>
    </row>
    <row r="44" spans="3:39" s="78" customFormat="1" ht="20.100000000000001" customHeight="1">
      <c r="D44" s="104" t="s">
        <v>63</v>
      </c>
      <c r="E44" s="104">
        <f t="shared" ref="E44:E48" si="37">AM37</f>
        <v>6000</v>
      </c>
      <c r="F44" s="104"/>
      <c r="G44" s="104"/>
      <c r="H44" s="104"/>
      <c r="I44" s="104"/>
      <c r="J44" s="104"/>
      <c r="K44" s="104"/>
      <c r="L44" s="104"/>
      <c r="M44" s="104"/>
      <c r="N44" s="104">
        <f t="shared" ref="N44:N48" si="38">SUM(H44:M44)</f>
        <v>0</v>
      </c>
      <c r="O44" s="104"/>
      <c r="P44" s="104"/>
      <c r="Q44" s="104">
        <f t="shared" si="32"/>
        <v>0</v>
      </c>
      <c r="R44" s="104">
        <f t="shared" si="33"/>
        <v>0</v>
      </c>
      <c r="S44" s="104"/>
      <c r="T44" s="104"/>
      <c r="U44" s="104"/>
      <c r="V44" s="104"/>
      <c r="W44" s="104"/>
      <c r="X44" s="104">
        <v>4000</v>
      </c>
      <c r="Y44" s="104"/>
      <c r="Z44" s="104"/>
      <c r="AA44" s="104"/>
      <c r="AB44" s="104"/>
      <c r="AC44" s="104">
        <f>SUM(X44:AB44)</f>
        <v>4000</v>
      </c>
      <c r="AD44" s="104"/>
      <c r="AE44" s="104"/>
      <c r="AF44" s="104"/>
      <c r="AG44" s="104"/>
      <c r="AH44" s="104"/>
      <c r="AI44" s="104"/>
      <c r="AJ44" s="104"/>
      <c r="AK44" s="104">
        <f t="shared" si="34"/>
        <v>0</v>
      </c>
      <c r="AL44" s="104">
        <f t="shared" si="35"/>
        <v>4000</v>
      </c>
      <c r="AM44" s="104">
        <f t="shared" si="36"/>
        <v>2000</v>
      </c>
    </row>
    <row r="45" spans="3:39" s="78" customFormat="1" ht="20.100000000000001" customHeight="1">
      <c r="D45" s="104" t="s">
        <v>59</v>
      </c>
      <c r="E45" s="104">
        <f t="shared" si="37"/>
        <v>7000</v>
      </c>
      <c r="F45" s="104"/>
      <c r="G45" s="104"/>
      <c r="H45" s="104"/>
      <c r="I45" s="104"/>
      <c r="J45" s="104"/>
      <c r="K45" s="104"/>
      <c r="L45" s="104"/>
      <c r="M45" s="104"/>
      <c r="N45" s="104">
        <f t="shared" si="38"/>
        <v>0</v>
      </c>
      <c r="O45" s="104"/>
      <c r="P45" s="104"/>
      <c r="Q45" s="104">
        <f t="shared" si="32"/>
        <v>0</v>
      </c>
      <c r="R45" s="104">
        <f t="shared" si="33"/>
        <v>0</v>
      </c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>
        <f>SUM(W45:AB45)</f>
        <v>0</v>
      </c>
      <c r="AD45" s="104"/>
      <c r="AE45" s="104"/>
      <c r="AF45" s="104"/>
      <c r="AG45" s="104"/>
      <c r="AH45" s="104"/>
      <c r="AI45" s="104"/>
      <c r="AJ45" s="104"/>
      <c r="AK45" s="104">
        <f t="shared" si="34"/>
        <v>0</v>
      </c>
      <c r="AL45" s="104">
        <f t="shared" si="35"/>
        <v>0</v>
      </c>
      <c r="AM45" s="104">
        <f t="shared" si="36"/>
        <v>7000</v>
      </c>
    </row>
    <row r="46" spans="3:39" s="78" customFormat="1" ht="20.100000000000001" customHeight="1">
      <c r="D46" s="105" t="s">
        <v>66</v>
      </c>
      <c r="E46" s="105">
        <f t="shared" si="37"/>
        <v>0</v>
      </c>
      <c r="F46" s="105"/>
      <c r="G46" s="105"/>
      <c r="H46" s="105"/>
      <c r="I46" s="105">
        <f>X43</f>
        <v>3000</v>
      </c>
      <c r="J46" s="105"/>
      <c r="K46" s="105"/>
      <c r="L46" s="105"/>
      <c r="M46" s="105"/>
      <c r="N46" s="105">
        <f t="shared" si="38"/>
        <v>3000</v>
      </c>
      <c r="O46" s="105"/>
      <c r="P46" s="105"/>
      <c r="Q46" s="105">
        <f t="shared" si="32"/>
        <v>0</v>
      </c>
      <c r="R46" s="105">
        <f t="shared" si="33"/>
        <v>3000</v>
      </c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>
        <f>SUM(W46:AB46)</f>
        <v>0</v>
      </c>
      <c r="AD46" s="105"/>
      <c r="AE46" s="105"/>
      <c r="AF46" s="105"/>
      <c r="AG46" s="105"/>
      <c r="AH46" s="105"/>
      <c r="AI46" s="105"/>
      <c r="AJ46" s="105"/>
      <c r="AK46" s="105">
        <f t="shared" si="34"/>
        <v>0</v>
      </c>
      <c r="AL46" s="105">
        <f t="shared" si="35"/>
        <v>0</v>
      </c>
      <c r="AM46" s="105">
        <f t="shared" si="36"/>
        <v>3000</v>
      </c>
    </row>
    <row r="47" spans="3:39" s="78" customFormat="1" ht="20.100000000000001" customHeight="1">
      <c r="D47" s="105" t="s">
        <v>67</v>
      </c>
      <c r="E47" s="105">
        <f t="shared" si="37"/>
        <v>0</v>
      </c>
      <c r="F47" s="105"/>
      <c r="G47" s="105"/>
      <c r="H47" s="105"/>
      <c r="I47" s="105">
        <f>X44</f>
        <v>4000</v>
      </c>
      <c r="J47" s="105"/>
      <c r="K47" s="105"/>
      <c r="L47" s="105"/>
      <c r="M47" s="105"/>
      <c r="N47" s="105">
        <f t="shared" si="38"/>
        <v>4000</v>
      </c>
      <c r="O47" s="105"/>
      <c r="P47" s="105"/>
      <c r="Q47" s="105">
        <f t="shared" si="32"/>
        <v>0</v>
      </c>
      <c r="R47" s="105">
        <f t="shared" si="33"/>
        <v>4000</v>
      </c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>
        <f>SUM(W47:AB47)</f>
        <v>0</v>
      </c>
      <c r="AD47" s="105"/>
      <c r="AE47" s="105"/>
      <c r="AF47" s="105"/>
      <c r="AG47" s="105"/>
      <c r="AH47" s="105"/>
      <c r="AI47" s="105"/>
      <c r="AJ47" s="105"/>
      <c r="AK47" s="105">
        <f t="shared" si="34"/>
        <v>0</v>
      </c>
      <c r="AL47" s="105">
        <f t="shared" si="35"/>
        <v>0</v>
      </c>
      <c r="AM47" s="105">
        <f t="shared" si="36"/>
        <v>4000</v>
      </c>
    </row>
    <row r="48" spans="3:39" s="78" customFormat="1" ht="20.100000000000001" customHeight="1">
      <c r="D48" s="105" t="s">
        <v>60</v>
      </c>
      <c r="E48" s="105">
        <f t="shared" si="37"/>
        <v>0</v>
      </c>
      <c r="F48" s="105"/>
      <c r="G48" s="105"/>
      <c r="H48" s="105"/>
      <c r="I48" s="105"/>
      <c r="J48" s="105"/>
      <c r="K48" s="105"/>
      <c r="L48" s="105"/>
      <c r="M48" s="105"/>
      <c r="N48" s="105">
        <f t="shared" si="38"/>
        <v>0</v>
      </c>
      <c r="O48" s="105"/>
      <c r="P48" s="105"/>
      <c r="Q48" s="105">
        <f t="shared" si="32"/>
        <v>0</v>
      </c>
      <c r="R48" s="105">
        <f t="shared" si="33"/>
        <v>0</v>
      </c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>
        <f>SUM(W48:AB48)</f>
        <v>0</v>
      </c>
      <c r="AD48" s="105"/>
      <c r="AE48" s="105"/>
      <c r="AF48" s="105"/>
      <c r="AG48" s="105"/>
      <c r="AH48" s="105"/>
      <c r="AI48" s="105"/>
      <c r="AJ48" s="105"/>
      <c r="AK48" s="105">
        <f t="shared" si="34"/>
        <v>0</v>
      </c>
      <c r="AL48" s="105">
        <f t="shared" si="35"/>
        <v>0</v>
      </c>
      <c r="AM48" s="105">
        <f t="shared" si="36"/>
        <v>0</v>
      </c>
    </row>
    <row r="49" spans="3:39" s="78" customFormat="1" ht="20.100000000000001" customHeight="1"/>
    <row r="50" spans="3:39" s="78" customFormat="1" ht="20.100000000000001" customHeight="1">
      <c r="C50" s="81" t="s">
        <v>70</v>
      </c>
      <c r="D50" s="104" t="s">
        <v>62</v>
      </c>
      <c r="E50" s="104">
        <f>AM43</f>
        <v>1000</v>
      </c>
      <c r="F50" s="104"/>
      <c r="G50" s="104"/>
      <c r="H50" s="104"/>
      <c r="I50" s="104"/>
      <c r="J50" s="104"/>
      <c r="K50" s="104"/>
      <c r="L50" s="104"/>
      <c r="M50" s="104"/>
      <c r="N50" s="104">
        <f t="shared" ref="N50:N55" si="39">SUM(H50:M50)</f>
        <v>0</v>
      </c>
      <c r="O50" s="104"/>
      <c r="P50" s="104"/>
      <c r="Q50" s="104">
        <f t="shared" ref="Q50:Q55" si="40">SUM(O50:P50)</f>
        <v>0</v>
      </c>
      <c r="R50" s="104">
        <f t="shared" ref="R50:R55" si="41">F50+N50+G50+Q50</f>
        <v>0</v>
      </c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>
        <f t="shared" ref="AC50:AC55" si="42">SUM(W50:AB50)</f>
        <v>0</v>
      </c>
      <c r="AD50" s="104"/>
      <c r="AE50" s="104"/>
      <c r="AF50" s="104"/>
      <c r="AG50" s="104"/>
      <c r="AH50" s="104"/>
      <c r="AI50" s="104"/>
      <c r="AJ50" s="104"/>
      <c r="AK50" s="104">
        <f t="shared" ref="AK50:AK55" si="43">SUM(AD50:AJ50)</f>
        <v>0</v>
      </c>
      <c r="AL50" s="104">
        <f t="shared" ref="AL50:AL55" si="44">U50+AC50+V50+AK50</f>
        <v>0</v>
      </c>
      <c r="AM50" s="104">
        <f t="shared" ref="AM50:AM55" si="45">E50+R50-AL50</f>
        <v>1000</v>
      </c>
    </row>
    <row r="51" spans="3:39" s="78" customFormat="1" ht="20.100000000000001" customHeight="1">
      <c r="D51" s="104" t="s">
        <v>63</v>
      </c>
      <c r="E51" s="104">
        <f t="shared" ref="E51:E55" si="46">AM44</f>
        <v>2000</v>
      </c>
      <c r="F51" s="104"/>
      <c r="G51" s="104"/>
      <c r="H51" s="104"/>
      <c r="I51" s="104"/>
      <c r="J51" s="104"/>
      <c r="K51" s="104"/>
      <c r="L51" s="104"/>
      <c r="M51" s="104"/>
      <c r="N51" s="104">
        <f t="shared" si="39"/>
        <v>0</v>
      </c>
      <c r="O51" s="104"/>
      <c r="P51" s="104"/>
      <c r="Q51" s="104">
        <f t="shared" si="40"/>
        <v>0</v>
      </c>
      <c r="R51" s="104">
        <f t="shared" si="41"/>
        <v>0</v>
      </c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>
        <f t="shared" si="42"/>
        <v>0</v>
      </c>
      <c r="AD51" s="104"/>
      <c r="AE51" s="104"/>
      <c r="AF51" s="104"/>
      <c r="AG51" s="104"/>
      <c r="AH51" s="104"/>
      <c r="AI51" s="104"/>
      <c r="AJ51" s="104"/>
      <c r="AK51" s="104">
        <f t="shared" si="43"/>
        <v>0</v>
      </c>
      <c r="AL51" s="104">
        <f t="shared" si="44"/>
        <v>0</v>
      </c>
      <c r="AM51" s="104">
        <f t="shared" si="45"/>
        <v>2000</v>
      </c>
    </row>
    <row r="52" spans="3:39" s="78" customFormat="1" ht="20.100000000000001" customHeight="1">
      <c r="D52" s="104" t="s">
        <v>59</v>
      </c>
      <c r="E52" s="104">
        <f t="shared" si="46"/>
        <v>7000</v>
      </c>
      <c r="F52" s="104"/>
      <c r="G52" s="104"/>
      <c r="H52" s="104"/>
      <c r="I52" s="104"/>
      <c r="J52" s="104"/>
      <c r="K52" s="104"/>
      <c r="L52" s="104"/>
      <c r="M52" s="104"/>
      <c r="N52" s="104">
        <f t="shared" si="39"/>
        <v>0</v>
      </c>
      <c r="O52" s="104"/>
      <c r="P52" s="104"/>
      <c r="Q52" s="104">
        <f t="shared" si="40"/>
        <v>0</v>
      </c>
      <c r="R52" s="104">
        <f t="shared" si="41"/>
        <v>0</v>
      </c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>
        <f t="shared" si="42"/>
        <v>0</v>
      </c>
      <c r="AD52" s="104"/>
      <c r="AE52" s="104"/>
      <c r="AF52" s="104"/>
      <c r="AG52" s="104"/>
      <c r="AH52" s="104"/>
      <c r="AI52" s="104"/>
      <c r="AJ52" s="104"/>
      <c r="AK52" s="104">
        <f t="shared" si="43"/>
        <v>0</v>
      </c>
      <c r="AL52" s="104">
        <f t="shared" si="44"/>
        <v>0</v>
      </c>
      <c r="AM52" s="104">
        <f t="shared" si="45"/>
        <v>7000</v>
      </c>
    </row>
    <row r="53" spans="3:39" s="78" customFormat="1" ht="20.100000000000001" customHeight="1">
      <c r="D53" s="105" t="s">
        <v>66</v>
      </c>
      <c r="E53" s="105">
        <f t="shared" si="46"/>
        <v>3000</v>
      </c>
      <c r="F53" s="105"/>
      <c r="G53" s="105"/>
      <c r="H53" s="105"/>
      <c r="I53" s="105"/>
      <c r="J53" s="105"/>
      <c r="K53" s="105"/>
      <c r="L53" s="105"/>
      <c r="M53" s="105"/>
      <c r="N53" s="105">
        <f t="shared" si="39"/>
        <v>0</v>
      </c>
      <c r="O53" s="105"/>
      <c r="P53" s="105"/>
      <c r="Q53" s="105">
        <f t="shared" si="40"/>
        <v>0</v>
      </c>
      <c r="R53" s="105">
        <f t="shared" si="41"/>
        <v>0</v>
      </c>
      <c r="S53" s="105">
        <f>U53</f>
        <v>2700</v>
      </c>
      <c r="T53" s="105"/>
      <c r="U53" s="105">
        <v>2700</v>
      </c>
      <c r="V53" s="105"/>
      <c r="W53" s="105"/>
      <c r="X53" s="105"/>
      <c r="Y53" s="105"/>
      <c r="Z53" s="105"/>
      <c r="AA53" s="105"/>
      <c r="AB53" s="105"/>
      <c r="AC53" s="105">
        <f t="shared" si="42"/>
        <v>0</v>
      </c>
      <c r="AD53" s="105"/>
      <c r="AE53" s="105"/>
      <c r="AF53" s="105"/>
      <c r="AG53" s="105"/>
      <c r="AH53" s="105"/>
      <c r="AI53" s="105"/>
      <c r="AJ53" s="105"/>
      <c r="AK53" s="105">
        <f t="shared" si="43"/>
        <v>0</v>
      </c>
      <c r="AL53" s="105">
        <f t="shared" si="44"/>
        <v>2700</v>
      </c>
      <c r="AM53" s="105">
        <f t="shared" si="45"/>
        <v>300</v>
      </c>
    </row>
    <row r="54" spans="3:39" s="78" customFormat="1" ht="20.100000000000001" customHeight="1">
      <c r="D54" s="105" t="s">
        <v>67</v>
      </c>
      <c r="E54" s="105">
        <f t="shared" si="46"/>
        <v>4000</v>
      </c>
      <c r="F54" s="105"/>
      <c r="G54" s="105"/>
      <c r="H54" s="105"/>
      <c r="I54" s="105"/>
      <c r="J54" s="105"/>
      <c r="K54" s="105"/>
      <c r="L54" s="105"/>
      <c r="M54" s="105"/>
      <c r="N54" s="105">
        <f t="shared" si="39"/>
        <v>0</v>
      </c>
      <c r="O54" s="105"/>
      <c r="P54" s="105"/>
      <c r="Q54" s="105">
        <f t="shared" si="40"/>
        <v>0</v>
      </c>
      <c r="R54" s="105">
        <f t="shared" si="41"/>
        <v>0</v>
      </c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>
        <f t="shared" si="42"/>
        <v>0</v>
      </c>
      <c r="AD54" s="105"/>
      <c r="AE54" s="105"/>
      <c r="AF54" s="105"/>
      <c r="AG54" s="105"/>
      <c r="AH54" s="105"/>
      <c r="AI54" s="105"/>
      <c r="AJ54" s="105"/>
      <c r="AK54" s="105">
        <f t="shared" si="43"/>
        <v>0</v>
      </c>
      <c r="AL54" s="105">
        <f t="shared" si="44"/>
        <v>0</v>
      </c>
      <c r="AM54" s="105">
        <f t="shared" si="45"/>
        <v>4000</v>
      </c>
    </row>
    <row r="55" spans="3:39" s="78" customFormat="1" ht="20.100000000000001" customHeight="1">
      <c r="D55" s="105" t="s">
        <v>60</v>
      </c>
      <c r="E55" s="105">
        <f t="shared" si="46"/>
        <v>0</v>
      </c>
      <c r="F55" s="105"/>
      <c r="G55" s="105"/>
      <c r="H55" s="105"/>
      <c r="I55" s="105"/>
      <c r="J55" s="105"/>
      <c r="K55" s="105"/>
      <c r="L55" s="105"/>
      <c r="M55" s="105"/>
      <c r="N55" s="105">
        <f t="shared" si="39"/>
        <v>0</v>
      </c>
      <c r="O55" s="105"/>
      <c r="P55" s="105"/>
      <c r="Q55" s="105">
        <f t="shared" si="40"/>
        <v>0</v>
      </c>
      <c r="R55" s="105">
        <f t="shared" si="41"/>
        <v>0</v>
      </c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>
        <f t="shared" si="42"/>
        <v>0</v>
      </c>
      <c r="AD55" s="105"/>
      <c r="AE55" s="105"/>
      <c r="AF55" s="105"/>
      <c r="AG55" s="105"/>
      <c r="AH55" s="105"/>
      <c r="AI55" s="105"/>
      <c r="AJ55" s="105"/>
      <c r="AK55" s="105">
        <f t="shared" si="43"/>
        <v>0</v>
      </c>
      <c r="AL55" s="105">
        <f t="shared" si="44"/>
        <v>0</v>
      </c>
      <c r="AM55" s="105">
        <f t="shared" si="45"/>
        <v>0</v>
      </c>
    </row>
    <row r="56" spans="3:39" s="78" customFormat="1" ht="20.100000000000001" customHeight="1"/>
    <row r="57" spans="3:39" s="78" customFormat="1" ht="20.100000000000001" customHeight="1">
      <c r="C57" s="81" t="s">
        <v>65</v>
      </c>
      <c r="D57" s="104" t="s">
        <v>62</v>
      </c>
      <c r="E57" s="104">
        <f>AM50</f>
        <v>1000</v>
      </c>
      <c r="F57" s="104"/>
      <c r="G57" s="104"/>
      <c r="H57" s="104"/>
      <c r="I57" s="104"/>
      <c r="J57" s="104"/>
      <c r="K57" s="104"/>
      <c r="L57" s="104"/>
      <c r="M57" s="104"/>
      <c r="N57" s="104">
        <f t="shared" ref="N57:N62" si="47">SUM(H57:M57)</f>
        <v>0</v>
      </c>
      <c r="O57" s="104"/>
      <c r="P57" s="104"/>
      <c r="Q57" s="104">
        <f t="shared" ref="Q57:Q62" si="48">SUM(O57:P57)</f>
        <v>0</v>
      </c>
      <c r="R57" s="104">
        <f t="shared" ref="R57:R62" si="49">F57+N57+G57+Q57</f>
        <v>0</v>
      </c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>
        <f t="shared" ref="AC57:AC62" si="50">SUM(W57:AB57)</f>
        <v>0</v>
      </c>
      <c r="AD57" s="104"/>
      <c r="AE57" s="104"/>
      <c r="AF57" s="104"/>
      <c r="AG57" s="104"/>
      <c r="AH57" s="104"/>
      <c r="AI57" s="104"/>
      <c r="AJ57" s="104"/>
      <c r="AK57" s="104">
        <f t="shared" ref="AK57:AK62" si="51">SUM(AD57:AJ57)</f>
        <v>0</v>
      </c>
      <c r="AL57" s="104">
        <f t="shared" ref="AL57:AL62" si="52">U57+AC57+V57+AK57</f>
        <v>0</v>
      </c>
      <c r="AM57" s="104">
        <f t="shared" ref="AM57:AM62" si="53">E57+R57-AL57</f>
        <v>1000</v>
      </c>
    </row>
    <row r="58" spans="3:39" s="78" customFormat="1" ht="20.100000000000001" customHeight="1">
      <c r="D58" s="104" t="s">
        <v>63</v>
      </c>
      <c r="E58" s="104">
        <f t="shared" ref="E58:E62" si="54">AM51</f>
        <v>2000</v>
      </c>
      <c r="F58" s="104"/>
      <c r="G58" s="104"/>
      <c r="H58" s="104"/>
      <c r="I58" s="104"/>
      <c r="J58" s="104"/>
      <c r="K58" s="104"/>
      <c r="L58" s="104"/>
      <c r="M58" s="104"/>
      <c r="N58" s="104">
        <f t="shared" si="47"/>
        <v>0</v>
      </c>
      <c r="O58" s="104"/>
      <c r="P58" s="104"/>
      <c r="Q58" s="104">
        <f t="shared" si="48"/>
        <v>0</v>
      </c>
      <c r="R58" s="104">
        <f t="shared" si="49"/>
        <v>0</v>
      </c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>
        <f t="shared" si="50"/>
        <v>0</v>
      </c>
      <c r="AD58" s="104"/>
      <c r="AE58" s="104"/>
      <c r="AF58" s="104"/>
      <c r="AG58" s="104"/>
      <c r="AH58" s="104"/>
      <c r="AI58" s="104"/>
      <c r="AJ58" s="104"/>
      <c r="AK58" s="104">
        <f t="shared" si="51"/>
        <v>0</v>
      </c>
      <c r="AL58" s="104">
        <f t="shared" si="52"/>
        <v>0</v>
      </c>
      <c r="AM58" s="104">
        <f t="shared" si="53"/>
        <v>2000</v>
      </c>
    </row>
    <row r="59" spans="3:39" s="78" customFormat="1" ht="20.100000000000001" customHeight="1">
      <c r="D59" s="104" t="s">
        <v>59</v>
      </c>
      <c r="E59" s="104">
        <f t="shared" si="54"/>
        <v>7000</v>
      </c>
      <c r="F59" s="104"/>
      <c r="G59" s="104"/>
      <c r="H59" s="104"/>
      <c r="I59" s="104"/>
      <c r="J59" s="104"/>
      <c r="K59" s="104"/>
      <c r="L59" s="104"/>
      <c r="M59" s="104"/>
      <c r="N59" s="104">
        <f t="shared" si="47"/>
        <v>0</v>
      </c>
      <c r="O59" s="104"/>
      <c r="P59" s="104"/>
      <c r="Q59" s="104">
        <f t="shared" si="48"/>
        <v>0</v>
      </c>
      <c r="R59" s="104">
        <f t="shared" si="49"/>
        <v>0</v>
      </c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>
        <f t="shared" si="50"/>
        <v>0</v>
      </c>
      <c r="AD59" s="104"/>
      <c r="AE59" s="104"/>
      <c r="AF59" s="104"/>
      <c r="AG59" s="104"/>
      <c r="AH59" s="104"/>
      <c r="AI59" s="104"/>
      <c r="AJ59" s="104"/>
      <c r="AK59" s="104">
        <f t="shared" si="51"/>
        <v>0</v>
      </c>
      <c r="AL59" s="104">
        <f t="shared" si="52"/>
        <v>0</v>
      </c>
      <c r="AM59" s="104">
        <f t="shared" si="53"/>
        <v>7000</v>
      </c>
    </row>
    <row r="60" spans="3:39" s="78" customFormat="1" ht="20.100000000000001" customHeight="1">
      <c r="D60" s="105" t="s">
        <v>66</v>
      </c>
      <c r="E60" s="105">
        <f t="shared" si="54"/>
        <v>300</v>
      </c>
      <c r="F60" s="105"/>
      <c r="G60" s="105"/>
      <c r="H60" s="105"/>
      <c r="I60" s="105"/>
      <c r="J60" s="105">
        <f>Y61</f>
        <v>2000</v>
      </c>
      <c r="K60" s="105"/>
      <c r="L60" s="105"/>
      <c r="M60" s="105"/>
      <c r="N60" s="105">
        <f t="shared" si="47"/>
        <v>2000</v>
      </c>
      <c r="O60" s="105"/>
      <c r="P60" s="105"/>
      <c r="Q60" s="105">
        <f t="shared" si="48"/>
        <v>0</v>
      </c>
      <c r="R60" s="105">
        <f t="shared" si="49"/>
        <v>2000</v>
      </c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>
        <f t="shared" si="50"/>
        <v>0</v>
      </c>
      <c r="AD60" s="105"/>
      <c r="AE60" s="105"/>
      <c r="AF60" s="105"/>
      <c r="AG60" s="105"/>
      <c r="AH60" s="105"/>
      <c r="AI60" s="105"/>
      <c r="AJ60" s="105"/>
      <c r="AK60" s="105">
        <f t="shared" si="51"/>
        <v>0</v>
      </c>
      <c r="AL60" s="105">
        <f t="shared" si="52"/>
        <v>0</v>
      </c>
      <c r="AM60" s="105">
        <f t="shared" si="53"/>
        <v>2300</v>
      </c>
    </row>
    <row r="61" spans="3:39" s="78" customFormat="1" ht="20.100000000000001" customHeight="1">
      <c r="D61" s="105" t="s">
        <v>67</v>
      </c>
      <c r="E61" s="105">
        <f t="shared" si="54"/>
        <v>4000</v>
      </c>
      <c r="F61" s="105"/>
      <c r="G61" s="105"/>
      <c r="H61" s="105"/>
      <c r="I61" s="105"/>
      <c r="J61" s="105"/>
      <c r="K61" s="105"/>
      <c r="L61" s="105"/>
      <c r="M61" s="105"/>
      <c r="N61" s="105">
        <f t="shared" si="47"/>
        <v>0</v>
      </c>
      <c r="O61" s="105"/>
      <c r="P61" s="105"/>
      <c r="Q61" s="105">
        <f t="shared" si="48"/>
        <v>0</v>
      </c>
      <c r="R61" s="105">
        <f t="shared" si="49"/>
        <v>0</v>
      </c>
      <c r="S61" s="105"/>
      <c r="T61" s="105"/>
      <c r="U61" s="105"/>
      <c r="V61" s="105"/>
      <c r="W61" s="105"/>
      <c r="X61" s="105"/>
      <c r="Y61" s="105">
        <v>2000</v>
      </c>
      <c r="Z61" s="105"/>
      <c r="AA61" s="105"/>
      <c r="AB61" s="105"/>
      <c r="AC61" s="105">
        <f t="shared" si="50"/>
        <v>2000</v>
      </c>
      <c r="AD61" s="105"/>
      <c r="AE61" s="105"/>
      <c r="AF61" s="105"/>
      <c r="AG61" s="105"/>
      <c r="AH61" s="105"/>
      <c r="AI61" s="105"/>
      <c r="AJ61" s="105"/>
      <c r="AK61" s="105">
        <f t="shared" si="51"/>
        <v>0</v>
      </c>
      <c r="AL61" s="105">
        <f t="shared" si="52"/>
        <v>2000</v>
      </c>
      <c r="AM61" s="105">
        <f t="shared" si="53"/>
        <v>2000</v>
      </c>
    </row>
    <row r="62" spans="3:39" s="78" customFormat="1" ht="20.100000000000001" customHeight="1">
      <c r="D62" s="105" t="s">
        <v>60</v>
      </c>
      <c r="E62" s="105">
        <f t="shared" si="54"/>
        <v>0</v>
      </c>
      <c r="F62" s="105"/>
      <c r="G62" s="105"/>
      <c r="H62" s="105"/>
      <c r="I62" s="105"/>
      <c r="J62" s="105"/>
      <c r="K62" s="105"/>
      <c r="L62" s="105"/>
      <c r="M62" s="105"/>
      <c r="N62" s="105">
        <f t="shared" si="47"/>
        <v>0</v>
      </c>
      <c r="O62" s="105"/>
      <c r="P62" s="105"/>
      <c r="Q62" s="105">
        <f t="shared" si="48"/>
        <v>0</v>
      </c>
      <c r="R62" s="105">
        <f t="shared" si="49"/>
        <v>0</v>
      </c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>
        <f t="shared" si="50"/>
        <v>0</v>
      </c>
      <c r="AD62" s="105"/>
      <c r="AE62" s="105"/>
      <c r="AF62" s="105"/>
      <c r="AG62" s="105"/>
      <c r="AH62" s="105"/>
      <c r="AI62" s="105"/>
      <c r="AJ62" s="105"/>
      <c r="AK62" s="105">
        <f t="shared" si="51"/>
        <v>0</v>
      </c>
      <c r="AL62" s="105">
        <f t="shared" si="52"/>
        <v>0</v>
      </c>
      <c r="AM62" s="105">
        <f t="shared" si="53"/>
        <v>0</v>
      </c>
    </row>
    <row r="63" spans="3:39" s="78" customFormat="1" ht="20.100000000000001" customHeight="1"/>
    <row r="64" spans="3:39" s="78" customFormat="1" ht="20.100000000000001" customHeight="1">
      <c r="C64" s="81" t="s">
        <v>74</v>
      </c>
      <c r="D64" s="104" t="s">
        <v>62</v>
      </c>
      <c r="E64" s="104">
        <f>AM57</f>
        <v>1000</v>
      </c>
      <c r="F64" s="104"/>
      <c r="G64" s="104"/>
      <c r="H64" s="104"/>
      <c r="I64" s="104"/>
      <c r="J64" s="104"/>
      <c r="K64" s="104"/>
      <c r="L64" s="104"/>
      <c r="M64" s="104">
        <f>AB67+AB68</f>
        <v>3500</v>
      </c>
      <c r="N64" s="104">
        <f>SUM(K64:M64)</f>
        <v>3500</v>
      </c>
      <c r="O64" s="104"/>
      <c r="P64" s="104"/>
      <c r="Q64" s="104">
        <f t="shared" ref="Q64:Q69" si="55">SUM(O64:P64)</f>
        <v>0</v>
      </c>
      <c r="R64" s="104">
        <f t="shared" ref="R64:R69" si="56">F64+N64+G64+Q64</f>
        <v>3500</v>
      </c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>
        <f t="shared" ref="AC64:AC69" si="57">SUM(W64:AB64)</f>
        <v>0</v>
      </c>
      <c r="AD64" s="104"/>
      <c r="AE64" s="104"/>
      <c r="AF64" s="104"/>
      <c r="AG64" s="104"/>
      <c r="AH64" s="104"/>
      <c r="AI64" s="104"/>
      <c r="AJ64" s="104"/>
      <c r="AK64" s="104">
        <f t="shared" ref="AK64:AK69" si="58">SUM(AD64:AJ64)</f>
        <v>0</v>
      </c>
      <c r="AL64" s="104">
        <f t="shared" ref="AL64:AL69" si="59">U64+AC64+V64+AK64</f>
        <v>0</v>
      </c>
      <c r="AM64" s="104">
        <f t="shared" ref="AM64:AM69" si="60">E64+R64-AL64</f>
        <v>4500</v>
      </c>
    </row>
    <row r="65" spans="3:39" s="78" customFormat="1" ht="20.100000000000001" customHeight="1">
      <c r="D65" s="104" t="s">
        <v>63</v>
      </c>
      <c r="E65" s="104">
        <f t="shared" ref="E65:E69" si="61">AM58</f>
        <v>2000</v>
      </c>
      <c r="F65" s="104"/>
      <c r="G65" s="104"/>
      <c r="H65" s="104"/>
      <c r="I65" s="104"/>
      <c r="J65" s="104"/>
      <c r="K65" s="104"/>
      <c r="L65" s="104"/>
      <c r="M65" s="104"/>
      <c r="N65" s="104">
        <f>SUM(H65:M65)</f>
        <v>0</v>
      </c>
      <c r="O65" s="104"/>
      <c r="P65" s="104"/>
      <c r="Q65" s="104">
        <f t="shared" si="55"/>
        <v>0</v>
      </c>
      <c r="R65" s="104">
        <f t="shared" si="56"/>
        <v>0</v>
      </c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>
        <f t="shared" si="57"/>
        <v>0</v>
      </c>
      <c r="AD65" s="104"/>
      <c r="AE65" s="104"/>
      <c r="AF65" s="104"/>
      <c r="AG65" s="104"/>
      <c r="AH65" s="104"/>
      <c r="AI65" s="104"/>
      <c r="AJ65" s="104"/>
      <c r="AK65" s="104">
        <f t="shared" si="58"/>
        <v>0</v>
      </c>
      <c r="AL65" s="104">
        <f t="shared" si="59"/>
        <v>0</v>
      </c>
      <c r="AM65" s="104">
        <f t="shared" si="60"/>
        <v>2000</v>
      </c>
    </row>
    <row r="66" spans="3:39" s="78" customFormat="1" ht="20.100000000000001" customHeight="1">
      <c r="D66" s="104" t="s">
        <v>59</v>
      </c>
      <c r="E66" s="104">
        <f t="shared" si="61"/>
        <v>7000</v>
      </c>
      <c r="F66" s="104"/>
      <c r="G66" s="104"/>
      <c r="H66" s="104"/>
      <c r="I66" s="104"/>
      <c r="J66" s="104"/>
      <c r="K66" s="104"/>
      <c r="L66" s="104"/>
      <c r="M66" s="104"/>
      <c r="N66" s="104">
        <f>SUM(H66:M66)</f>
        <v>0</v>
      </c>
      <c r="O66" s="104"/>
      <c r="P66" s="104"/>
      <c r="Q66" s="104">
        <f t="shared" si="55"/>
        <v>0</v>
      </c>
      <c r="R66" s="104">
        <f t="shared" si="56"/>
        <v>0</v>
      </c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>
        <f t="shared" si="57"/>
        <v>0</v>
      </c>
      <c r="AD66" s="104"/>
      <c r="AE66" s="104"/>
      <c r="AF66" s="104"/>
      <c r="AG66" s="104"/>
      <c r="AH66" s="104"/>
      <c r="AI66" s="104"/>
      <c r="AJ66" s="104"/>
      <c r="AK66" s="104">
        <f t="shared" si="58"/>
        <v>0</v>
      </c>
      <c r="AL66" s="104">
        <f t="shared" si="59"/>
        <v>0</v>
      </c>
      <c r="AM66" s="104">
        <f t="shared" si="60"/>
        <v>7000</v>
      </c>
    </row>
    <row r="67" spans="3:39" s="78" customFormat="1" ht="20.100000000000001" customHeight="1">
      <c r="D67" s="105" t="s">
        <v>66</v>
      </c>
      <c r="E67" s="105">
        <f t="shared" si="61"/>
        <v>2300</v>
      </c>
      <c r="F67" s="105"/>
      <c r="G67" s="105"/>
      <c r="H67" s="105"/>
      <c r="I67" s="105"/>
      <c r="J67" s="105"/>
      <c r="K67" s="105"/>
      <c r="L67" s="105"/>
      <c r="M67" s="105"/>
      <c r="N67" s="105">
        <f>SUM(H67:M67)</f>
        <v>0</v>
      </c>
      <c r="O67" s="105"/>
      <c r="P67" s="105"/>
      <c r="Q67" s="105">
        <f t="shared" si="55"/>
        <v>0</v>
      </c>
      <c r="R67" s="105">
        <f t="shared" si="56"/>
        <v>0</v>
      </c>
      <c r="S67" s="105"/>
      <c r="T67" s="105"/>
      <c r="U67" s="105"/>
      <c r="V67" s="105"/>
      <c r="W67" s="105"/>
      <c r="X67" s="105"/>
      <c r="Y67" s="105"/>
      <c r="Z67" s="105"/>
      <c r="AA67" s="105"/>
      <c r="AB67" s="105">
        <v>2000</v>
      </c>
      <c r="AC67" s="105">
        <f t="shared" si="57"/>
        <v>2000</v>
      </c>
      <c r="AD67" s="105"/>
      <c r="AE67" s="105"/>
      <c r="AF67" s="105"/>
      <c r="AG67" s="105"/>
      <c r="AH67" s="105"/>
      <c r="AI67" s="105"/>
      <c r="AJ67" s="105"/>
      <c r="AK67" s="105">
        <f t="shared" si="58"/>
        <v>0</v>
      </c>
      <c r="AL67" s="105">
        <f t="shared" si="59"/>
        <v>2000</v>
      </c>
      <c r="AM67" s="105">
        <f t="shared" si="60"/>
        <v>300</v>
      </c>
    </row>
    <row r="68" spans="3:39" s="78" customFormat="1" ht="20.100000000000001" customHeight="1">
      <c r="D68" s="105" t="s">
        <v>67</v>
      </c>
      <c r="E68" s="105">
        <f t="shared" si="61"/>
        <v>2000</v>
      </c>
      <c r="F68" s="105"/>
      <c r="G68" s="105"/>
      <c r="H68" s="105"/>
      <c r="I68" s="105"/>
      <c r="J68" s="105"/>
      <c r="K68" s="105"/>
      <c r="L68" s="105"/>
      <c r="M68" s="105"/>
      <c r="N68" s="105">
        <f>SUM(H68:M68)</f>
        <v>0</v>
      </c>
      <c r="O68" s="105"/>
      <c r="P68" s="105"/>
      <c r="Q68" s="105">
        <f t="shared" si="55"/>
        <v>0</v>
      </c>
      <c r="R68" s="105">
        <f t="shared" si="56"/>
        <v>0</v>
      </c>
      <c r="S68" s="105"/>
      <c r="T68" s="105"/>
      <c r="U68" s="105"/>
      <c r="V68" s="105"/>
      <c r="W68" s="105"/>
      <c r="X68" s="105"/>
      <c r="Y68" s="105"/>
      <c r="Z68" s="105"/>
      <c r="AA68" s="105"/>
      <c r="AB68" s="105">
        <v>1500</v>
      </c>
      <c r="AC68" s="105">
        <f t="shared" si="57"/>
        <v>1500</v>
      </c>
      <c r="AD68" s="105"/>
      <c r="AE68" s="105"/>
      <c r="AF68" s="105"/>
      <c r="AG68" s="105"/>
      <c r="AH68" s="105"/>
      <c r="AI68" s="105"/>
      <c r="AJ68" s="105"/>
      <c r="AK68" s="105">
        <f t="shared" si="58"/>
        <v>0</v>
      </c>
      <c r="AL68" s="105">
        <f t="shared" si="59"/>
        <v>1500</v>
      </c>
      <c r="AM68" s="105">
        <f t="shared" si="60"/>
        <v>500</v>
      </c>
    </row>
    <row r="69" spans="3:39" s="78" customFormat="1" ht="20.100000000000001" customHeight="1">
      <c r="D69" s="105" t="s">
        <v>60</v>
      </c>
      <c r="E69" s="105">
        <f t="shared" si="61"/>
        <v>0</v>
      </c>
      <c r="F69" s="105"/>
      <c r="G69" s="105"/>
      <c r="H69" s="105"/>
      <c r="I69" s="105"/>
      <c r="J69" s="105"/>
      <c r="K69" s="105"/>
      <c r="L69" s="105"/>
      <c r="M69" s="105"/>
      <c r="N69" s="105">
        <f>SUM(H69:M69)</f>
        <v>0</v>
      </c>
      <c r="O69" s="105"/>
      <c r="P69" s="105"/>
      <c r="Q69" s="105">
        <f t="shared" si="55"/>
        <v>0</v>
      </c>
      <c r="R69" s="105">
        <f t="shared" si="56"/>
        <v>0</v>
      </c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>
        <f t="shared" si="57"/>
        <v>0</v>
      </c>
      <c r="AD69" s="105"/>
      <c r="AE69" s="105"/>
      <c r="AF69" s="105"/>
      <c r="AG69" s="105"/>
      <c r="AH69" s="105"/>
      <c r="AI69" s="105"/>
      <c r="AJ69" s="105"/>
      <c r="AK69" s="105">
        <f t="shared" si="58"/>
        <v>0</v>
      </c>
      <c r="AL69" s="105">
        <f t="shared" si="59"/>
        <v>0</v>
      </c>
      <c r="AM69" s="105">
        <f t="shared" si="60"/>
        <v>0</v>
      </c>
    </row>
    <row r="70" spans="3:39" s="78" customFormat="1" ht="20.100000000000001" customHeight="1"/>
    <row r="71" spans="3:39" s="78" customFormat="1" ht="20.100000000000001" customHeight="1">
      <c r="C71" s="81" t="s">
        <v>75</v>
      </c>
      <c r="D71" s="104" t="s">
        <v>62</v>
      </c>
      <c r="E71" s="104">
        <f>AM64</f>
        <v>4500</v>
      </c>
      <c r="F71" s="104"/>
      <c r="G71" s="104"/>
      <c r="H71" s="104"/>
      <c r="I71" s="104"/>
      <c r="J71" s="104"/>
      <c r="K71" s="104"/>
      <c r="L71" s="104"/>
      <c r="M71" s="104"/>
      <c r="N71" s="104">
        <f t="shared" ref="N71:N76" si="62">SUM(H71:M71)</f>
        <v>0</v>
      </c>
      <c r="O71" s="104"/>
      <c r="P71" s="104"/>
      <c r="Q71" s="104">
        <f t="shared" ref="Q71:Q76" si="63">SUM(O71:P71)</f>
        <v>0</v>
      </c>
      <c r="R71" s="104">
        <f t="shared" ref="R71:R76" si="64">F71+N71+G71+Q71</f>
        <v>0</v>
      </c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>
        <f t="shared" ref="AC71:AC76" si="65">SUM(W71:AB71)</f>
        <v>0</v>
      </c>
      <c r="AD71" s="104"/>
      <c r="AE71" s="104"/>
      <c r="AF71" s="104"/>
      <c r="AG71" s="104"/>
      <c r="AH71" s="104"/>
      <c r="AI71" s="104"/>
      <c r="AJ71" s="104"/>
      <c r="AK71" s="104">
        <f t="shared" ref="AK71:AK76" si="66">SUM(AD71:AJ71)</f>
        <v>0</v>
      </c>
      <c r="AL71" s="104">
        <f t="shared" ref="AL71:AL76" si="67">U71+AC71+V71+AK71</f>
        <v>0</v>
      </c>
      <c r="AM71" s="104">
        <f t="shared" ref="AM71:AM76" si="68">E71+R71-AL71</f>
        <v>4500</v>
      </c>
    </row>
    <row r="72" spans="3:39" s="78" customFormat="1" ht="20.100000000000001" customHeight="1">
      <c r="D72" s="104" t="s">
        <v>63</v>
      </c>
      <c r="E72" s="104">
        <f t="shared" ref="E72:E76" si="69">AM65</f>
        <v>2000</v>
      </c>
      <c r="F72" s="104"/>
      <c r="G72" s="104"/>
      <c r="H72" s="104"/>
      <c r="I72" s="104"/>
      <c r="J72" s="104"/>
      <c r="K72" s="104"/>
      <c r="L72" s="104"/>
      <c r="M72" s="104"/>
      <c r="N72" s="104">
        <f t="shared" si="62"/>
        <v>0</v>
      </c>
      <c r="O72" s="104"/>
      <c r="P72" s="104"/>
      <c r="Q72" s="104">
        <f t="shared" si="63"/>
        <v>0</v>
      </c>
      <c r="R72" s="104">
        <f t="shared" si="64"/>
        <v>0</v>
      </c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>
        <f t="shared" si="65"/>
        <v>0</v>
      </c>
      <c r="AD72" s="104"/>
      <c r="AE72" s="104"/>
      <c r="AF72" s="104"/>
      <c r="AG72" s="104"/>
      <c r="AH72" s="104"/>
      <c r="AI72" s="104"/>
      <c r="AJ72" s="104"/>
      <c r="AK72" s="104">
        <f t="shared" si="66"/>
        <v>0</v>
      </c>
      <c r="AL72" s="104">
        <f t="shared" si="67"/>
        <v>0</v>
      </c>
      <c r="AM72" s="104">
        <f t="shared" si="68"/>
        <v>2000</v>
      </c>
    </row>
    <row r="73" spans="3:39" s="78" customFormat="1" ht="20.100000000000001" customHeight="1">
      <c r="D73" s="104" t="s">
        <v>59</v>
      </c>
      <c r="E73" s="104">
        <f t="shared" si="69"/>
        <v>7000</v>
      </c>
      <c r="F73" s="104"/>
      <c r="G73" s="104"/>
      <c r="H73" s="104"/>
      <c r="I73" s="104"/>
      <c r="J73" s="104"/>
      <c r="K73" s="104"/>
      <c r="L73" s="104"/>
      <c r="M73" s="104"/>
      <c r="N73" s="104">
        <f t="shared" si="62"/>
        <v>0</v>
      </c>
      <c r="O73" s="104"/>
      <c r="P73" s="104"/>
      <c r="Q73" s="104">
        <f t="shared" si="63"/>
        <v>0</v>
      </c>
      <c r="R73" s="104">
        <f t="shared" si="64"/>
        <v>0</v>
      </c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>
        <f t="shared" si="65"/>
        <v>0</v>
      </c>
      <c r="AD73" s="104"/>
      <c r="AE73" s="104"/>
      <c r="AF73" s="104"/>
      <c r="AG73" s="104"/>
      <c r="AH73" s="104"/>
      <c r="AI73" s="104"/>
      <c r="AJ73" s="104"/>
      <c r="AK73" s="104">
        <f t="shared" si="66"/>
        <v>0</v>
      </c>
      <c r="AL73" s="104">
        <f t="shared" si="67"/>
        <v>0</v>
      </c>
      <c r="AM73" s="104">
        <f t="shared" si="68"/>
        <v>7000</v>
      </c>
    </row>
    <row r="74" spans="3:39" s="78" customFormat="1" ht="20.100000000000001" customHeight="1">
      <c r="D74" s="105" t="s">
        <v>66</v>
      </c>
      <c r="E74" s="105">
        <f t="shared" si="69"/>
        <v>300</v>
      </c>
      <c r="F74" s="105"/>
      <c r="G74" s="105"/>
      <c r="H74" s="105"/>
      <c r="I74" s="105"/>
      <c r="J74" s="105"/>
      <c r="K74" s="105"/>
      <c r="L74" s="105"/>
      <c r="M74" s="105"/>
      <c r="N74" s="105">
        <f t="shared" si="62"/>
        <v>0</v>
      </c>
      <c r="O74" s="105"/>
      <c r="P74" s="105"/>
      <c r="Q74" s="105">
        <f t="shared" si="63"/>
        <v>0</v>
      </c>
      <c r="R74" s="105">
        <f t="shared" si="64"/>
        <v>0</v>
      </c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>
        <f t="shared" si="65"/>
        <v>0</v>
      </c>
      <c r="AD74" s="105"/>
      <c r="AE74" s="105"/>
      <c r="AF74" s="105"/>
      <c r="AG74" s="105"/>
      <c r="AH74" s="105"/>
      <c r="AI74" s="105"/>
      <c r="AJ74" s="105"/>
      <c r="AK74" s="105">
        <f t="shared" si="66"/>
        <v>0</v>
      </c>
      <c r="AL74" s="105">
        <f t="shared" si="67"/>
        <v>0</v>
      </c>
      <c r="AM74" s="105">
        <f t="shared" si="68"/>
        <v>300</v>
      </c>
    </row>
    <row r="75" spans="3:39" s="78" customFormat="1" ht="20.100000000000001" customHeight="1">
      <c r="D75" s="105" t="s">
        <v>67</v>
      </c>
      <c r="E75" s="105">
        <f t="shared" si="69"/>
        <v>500</v>
      </c>
      <c r="F75" s="105"/>
      <c r="G75" s="105"/>
      <c r="H75" s="105"/>
      <c r="I75" s="105"/>
      <c r="J75" s="105"/>
      <c r="K75" s="105"/>
      <c r="L75" s="105"/>
      <c r="M75" s="105"/>
      <c r="N75" s="105">
        <f t="shared" si="62"/>
        <v>0</v>
      </c>
      <c r="O75" s="105"/>
      <c r="P75" s="105"/>
      <c r="Q75" s="105">
        <f t="shared" si="63"/>
        <v>0</v>
      </c>
      <c r="R75" s="105">
        <f t="shared" si="64"/>
        <v>0</v>
      </c>
      <c r="S75" s="105"/>
      <c r="T75" s="105"/>
      <c r="U75" s="105"/>
      <c r="V75" s="105"/>
      <c r="W75" s="105"/>
      <c r="X75" s="105"/>
      <c r="Y75" s="105"/>
      <c r="Z75" s="105">
        <v>20</v>
      </c>
      <c r="AA75" s="105"/>
      <c r="AB75" s="105"/>
      <c r="AC75" s="105">
        <f t="shared" si="65"/>
        <v>20</v>
      </c>
      <c r="AD75" s="105"/>
      <c r="AE75" s="105"/>
      <c r="AF75" s="105"/>
      <c r="AG75" s="105"/>
      <c r="AH75" s="105"/>
      <c r="AI75" s="105"/>
      <c r="AJ75" s="105"/>
      <c r="AK75" s="105">
        <f t="shared" si="66"/>
        <v>0</v>
      </c>
      <c r="AL75" s="105">
        <f t="shared" si="67"/>
        <v>20</v>
      </c>
      <c r="AM75" s="105">
        <f t="shared" si="68"/>
        <v>480</v>
      </c>
    </row>
    <row r="76" spans="3:39" s="78" customFormat="1" ht="20.100000000000001" customHeight="1">
      <c r="D76" s="105" t="s">
        <v>60</v>
      </c>
      <c r="E76" s="105">
        <f t="shared" si="69"/>
        <v>0</v>
      </c>
      <c r="F76" s="105"/>
      <c r="G76" s="105"/>
      <c r="H76" s="105"/>
      <c r="I76" s="105"/>
      <c r="J76" s="105"/>
      <c r="K76" s="105">
        <f>Z75</f>
        <v>20</v>
      </c>
      <c r="L76" s="105"/>
      <c r="M76" s="105"/>
      <c r="N76" s="105">
        <f t="shared" si="62"/>
        <v>20</v>
      </c>
      <c r="O76" s="105"/>
      <c r="P76" s="105"/>
      <c r="Q76" s="105">
        <f t="shared" si="63"/>
        <v>0</v>
      </c>
      <c r="R76" s="105">
        <f t="shared" si="64"/>
        <v>20</v>
      </c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>
        <f t="shared" si="65"/>
        <v>0</v>
      </c>
      <c r="AD76" s="105"/>
      <c r="AE76" s="105"/>
      <c r="AF76" s="105"/>
      <c r="AG76" s="105"/>
      <c r="AH76" s="105"/>
      <c r="AI76" s="105"/>
      <c r="AJ76" s="105"/>
      <c r="AK76" s="105">
        <f t="shared" si="66"/>
        <v>0</v>
      </c>
      <c r="AL76" s="105">
        <f t="shared" si="67"/>
        <v>0</v>
      </c>
      <c r="AM76" s="105">
        <f t="shared" si="68"/>
        <v>20</v>
      </c>
    </row>
    <row r="77" spans="3:39" s="78" customFormat="1" ht="20.100000000000001" customHeight="1"/>
    <row r="78" spans="3:39" s="78" customFormat="1" ht="20.100000000000001" customHeight="1">
      <c r="C78" s="81" t="s">
        <v>76</v>
      </c>
      <c r="D78" s="104" t="s">
        <v>62</v>
      </c>
      <c r="E78" s="104">
        <f>AM71</f>
        <v>4500</v>
      </c>
      <c r="F78" s="104"/>
      <c r="G78" s="104"/>
      <c r="H78" s="104"/>
      <c r="I78" s="104"/>
      <c r="J78" s="104"/>
      <c r="K78" s="104"/>
      <c r="L78" s="104"/>
      <c r="M78" s="104"/>
      <c r="N78" s="104">
        <f t="shared" ref="N78:N83" si="70">SUM(H78:M78)</f>
        <v>0</v>
      </c>
      <c r="O78" s="104"/>
      <c r="P78" s="104"/>
      <c r="Q78" s="104">
        <f t="shared" ref="Q78:Q83" si="71">SUM(O78:P78)</f>
        <v>0</v>
      </c>
      <c r="R78" s="104">
        <f t="shared" ref="R78:R83" si="72">F78+N78+G78+Q78</f>
        <v>0</v>
      </c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>
        <f t="shared" ref="AC78:AC83" si="73">SUM(W78:AB78)</f>
        <v>0</v>
      </c>
      <c r="AD78" s="104"/>
      <c r="AE78" s="104"/>
      <c r="AF78" s="104"/>
      <c r="AG78" s="104"/>
      <c r="AH78" s="104"/>
      <c r="AI78" s="104"/>
      <c r="AJ78" s="104"/>
      <c r="AK78" s="104">
        <f t="shared" ref="AK78:AK83" si="74">SUM(AD78:AJ78)</f>
        <v>0</v>
      </c>
      <c r="AL78" s="104">
        <f t="shared" ref="AL78:AL83" si="75">U78+AC78+V78+AK78</f>
        <v>0</v>
      </c>
      <c r="AM78" s="104">
        <f t="shared" ref="AM78:AM83" si="76">E78+R78-AL78</f>
        <v>4500</v>
      </c>
    </row>
    <row r="79" spans="3:39" s="78" customFormat="1" ht="20.100000000000001" customHeight="1">
      <c r="D79" s="104" t="s">
        <v>63</v>
      </c>
      <c r="E79" s="104">
        <f t="shared" ref="E79:E83" si="77">AM72</f>
        <v>2000</v>
      </c>
      <c r="F79" s="104"/>
      <c r="G79" s="104"/>
      <c r="H79" s="104"/>
      <c r="I79" s="104"/>
      <c r="J79" s="104"/>
      <c r="K79" s="104"/>
      <c r="L79" s="104"/>
      <c r="M79" s="104"/>
      <c r="N79" s="104">
        <f t="shared" si="70"/>
        <v>0</v>
      </c>
      <c r="O79" s="104"/>
      <c r="P79" s="104"/>
      <c r="Q79" s="104">
        <f t="shared" si="71"/>
        <v>0</v>
      </c>
      <c r="R79" s="104">
        <f t="shared" si="72"/>
        <v>0</v>
      </c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>
        <f t="shared" si="73"/>
        <v>0</v>
      </c>
      <c r="AD79" s="104"/>
      <c r="AE79" s="104"/>
      <c r="AF79" s="104"/>
      <c r="AG79" s="104"/>
      <c r="AH79" s="104"/>
      <c r="AI79" s="104"/>
      <c r="AJ79" s="104"/>
      <c r="AK79" s="104">
        <f t="shared" si="74"/>
        <v>0</v>
      </c>
      <c r="AL79" s="104">
        <f t="shared" si="75"/>
        <v>0</v>
      </c>
      <c r="AM79" s="104">
        <f t="shared" si="76"/>
        <v>2000</v>
      </c>
    </row>
    <row r="80" spans="3:39" s="78" customFormat="1" ht="20.100000000000001" customHeight="1">
      <c r="D80" s="104" t="s">
        <v>59</v>
      </c>
      <c r="E80" s="104">
        <f t="shared" si="77"/>
        <v>7000</v>
      </c>
      <c r="F80" s="104"/>
      <c r="G80" s="104"/>
      <c r="H80" s="104"/>
      <c r="I80" s="104"/>
      <c r="J80" s="104"/>
      <c r="K80" s="104"/>
      <c r="L80" s="104"/>
      <c r="M80" s="104"/>
      <c r="N80" s="104">
        <f t="shared" si="70"/>
        <v>0</v>
      </c>
      <c r="O80" s="104"/>
      <c r="P80" s="104"/>
      <c r="Q80" s="104">
        <f t="shared" si="71"/>
        <v>0</v>
      </c>
      <c r="R80" s="104">
        <f t="shared" si="72"/>
        <v>0</v>
      </c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>
        <f t="shared" si="73"/>
        <v>0</v>
      </c>
      <c r="AD80" s="104"/>
      <c r="AE80" s="104"/>
      <c r="AF80" s="104"/>
      <c r="AG80" s="104"/>
      <c r="AH80" s="104"/>
      <c r="AI80" s="104"/>
      <c r="AJ80" s="104"/>
      <c r="AK80" s="104">
        <f t="shared" si="74"/>
        <v>0</v>
      </c>
      <c r="AL80" s="104">
        <f t="shared" si="75"/>
        <v>0</v>
      </c>
      <c r="AM80" s="104">
        <f t="shared" si="76"/>
        <v>7000</v>
      </c>
    </row>
    <row r="81" spans="3:39" s="78" customFormat="1" ht="20.100000000000001" customHeight="1">
      <c r="D81" s="105" t="s">
        <v>66</v>
      </c>
      <c r="E81" s="105">
        <f t="shared" si="77"/>
        <v>300</v>
      </c>
      <c r="F81" s="105"/>
      <c r="G81" s="105"/>
      <c r="H81" s="105"/>
      <c r="I81" s="105"/>
      <c r="J81" s="105"/>
      <c r="K81" s="105"/>
      <c r="L81" s="105"/>
      <c r="M81" s="105"/>
      <c r="N81" s="105">
        <f t="shared" si="70"/>
        <v>0</v>
      </c>
      <c r="O81" s="105"/>
      <c r="P81" s="105"/>
      <c r="Q81" s="105">
        <f t="shared" si="71"/>
        <v>0</v>
      </c>
      <c r="R81" s="105">
        <f t="shared" si="72"/>
        <v>0</v>
      </c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>
        <f t="shared" si="73"/>
        <v>0</v>
      </c>
      <c r="AD81" s="105"/>
      <c r="AE81" s="105"/>
      <c r="AF81" s="105"/>
      <c r="AG81" s="105"/>
      <c r="AH81" s="105"/>
      <c r="AI81" s="105"/>
      <c r="AJ81" s="105"/>
      <c r="AK81" s="105">
        <f t="shared" si="74"/>
        <v>0</v>
      </c>
      <c r="AL81" s="105">
        <f t="shared" si="75"/>
        <v>0</v>
      </c>
      <c r="AM81" s="105">
        <f t="shared" si="76"/>
        <v>300</v>
      </c>
    </row>
    <row r="82" spans="3:39" s="78" customFormat="1" ht="20.100000000000001" customHeight="1">
      <c r="D82" s="105" t="s">
        <v>67</v>
      </c>
      <c r="E82" s="105">
        <f t="shared" si="77"/>
        <v>480</v>
      </c>
      <c r="F82" s="105"/>
      <c r="G82" s="105"/>
      <c r="H82" s="105"/>
      <c r="I82" s="105"/>
      <c r="J82" s="105"/>
      <c r="K82" s="105"/>
      <c r="L82" s="105"/>
      <c r="M82" s="105"/>
      <c r="N82" s="105">
        <f t="shared" si="70"/>
        <v>0</v>
      </c>
      <c r="O82" s="105"/>
      <c r="P82" s="105"/>
      <c r="Q82" s="105">
        <f t="shared" si="71"/>
        <v>0</v>
      </c>
      <c r="R82" s="105">
        <f t="shared" si="72"/>
        <v>0</v>
      </c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>
        <f t="shared" si="73"/>
        <v>0</v>
      </c>
      <c r="AD82" s="105"/>
      <c r="AE82" s="105"/>
      <c r="AF82" s="105"/>
      <c r="AG82" s="105"/>
      <c r="AH82" s="105"/>
      <c r="AI82" s="105"/>
      <c r="AJ82" s="105"/>
      <c r="AK82" s="105">
        <f t="shared" si="74"/>
        <v>0</v>
      </c>
      <c r="AL82" s="105">
        <f t="shared" si="75"/>
        <v>0</v>
      </c>
      <c r="AM82" s="105">
        <f t="shared" si="76"/>
        <v>480</v>
      </c>
    </row>
    <row r="83" spans="3:39" s="78" customFormat="1" ht="20.100000000000001" customHeight="1">
      <c r="D83" s="105" t="s">
        <v>60</v>
      </c>
      <c r="E83" s="105">
        <f t="shared" si="77"/>
        <v>20</v>
      </c>
      <c r="F83" s="105"/>
      <c r="G83" s="105"/>
      <c r="H83" s="105"/>
      <c r="I83" s="105"/>
      <c r="J83" s="105"/>
      <c r="K83" s="105"/>
      <c r="L83" s="105"/>
      <c r="M83" s="105"/>
      <c r="N83" s="105">
        <f t="shared" si="70"/>
        <v>0</v>
      </c>
      <c r="O83" s="105"/>
      <c r="P83" s="105"/>
      <c r="Q83" s="105">
        <f t="shared" si="71"/>
        <v>0</v>
      </c>
      <c r="R83" s="105">
        <f t="shared" si="72"/>
        <v>0</v>
      </c>
      <c r="S83" s="105">
        <f>U83</f>
        <v>20</v>
      </c>
      <c r="T83" s="105"/>
      <c r="U83" s="105">
        <v>20</v>
      </c>
      <c r="V83" s="105"/>
      <c r="W83" s="105"/>
      <c r="X83" s="105"/>
      <c r="Y83" s="105"/>
      <c r="Z83" s="105"/>
      <c r="AA83" s="105"/>
      <c r="AB83" s="105"/>
      <c r="AC83" s="105">
        <f t="shared" si="73"/>
        <v>0</v>
      </c>
      <c r="AD83" s="105"/>
      <c r="AE83" s="105"/>
      <c r="AF83" s="105"/>
      <c r="AG83" s="105"/>
      <c r="AH83" s="105"/>
      <c r="AI83" s="105"/>
      <c r="AJ83" s="105"/>
      <c r="AK83" s="105">
        <f t="shared" si="74"/>
        <v>0</v>
      </c>
      <c r="AL83" s="105">
        <f t="shared" si="75"/>
        <v>20</v>
      </c>
      <c r="AM83" s="105">
        <f t="shared" si="76"/>
        <v>0</v>
      </c>
    </row>
    <row r="84" spans="3:39" s="78" customFormat="1" ht="20.100000000000001" customHeight="1"/>
    <row r="85" spans="3:39" s="78" customFormat="1" ht="20.100000000000001" customHeight="1">
      <c r="C85" s="81" t="s">
        <v>77</v>
      </c>
      <c r="D85" s="104" t="s">
        <v>62</v>
      </c>
      <c r="E85" s="104">
        <f>AM78</f>
        <v>4500</v>
      </c>
      <c r="F85" s="104"/>
      <c r="G85" s="104"/>
      <c r="H85" s="104"/>
      <c r="I85" s="104"/>
      <c r="J85" s="104"/>
      <c r="K85" s="104"/>
      <c r="L85" s="104"/>
      <c r="M85" s="104"/>
      <c r="N85" s="104">
        <f t="shared" ref="N85:N90" si="78">SUM(H85:M85)</f>
        <v>0</v>
      </c>
      <c r="O85" s="104"/>
      <c r="P85" s="104"/>
      <c r="Q85" s="104">
        <f t="shared" ref="Q85:Q90" si="79">SUM(O85:P85)</f>
        <v>0</v>
      </c>
      <c r="R85" s="104">
        <f t="shared" ref="R85:R90" si="80">F85+N85+G85+Q85</f>
        <v>0</v>
      </c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>
        <f t="shared" ref="AC85:AC90" si="81">SUM(W85:AB85)</f>
        <v>0</v>
      </c>
      <c r="AD85" s="104"/>
      <c r="AE85" s="104"/>
      <c r="AF85" s="104"/>
      <c r="AG85" s="104"/>
      <c r="AH85" s="104"/>
      <c r="AI85" s="104"/>
      <c r="AJ85" s="104"/>
      <c r="AK85" s="104">
        <f t="shared" ref="AK85:AK90" si="82">SUM(AD85:AJ85)</f>
        <v>0</v>
      </c>
      <c r="AL85" s="104">
        <f t="shared" ref="AL85:AL90" si="83">U85+AC85+V85+AK85</f>
        <v>0</v>
      </c>
      <c r="AM85" s="104">
        <f t="shared" ref="AM85:AM90" si="84">E85+R85-AL85</f>
        <v>4500</v>
      </c>
    </row>
    <row r="86" spans="3:39" s="78" customFormat="1" ht="20.100000000000001" customHeight="1">
      <c r="D86" s="104" t="s">
        <v>63</v>
      </c>
      <c r="E86" s="104">
        <f t="shared" ref="E86:E90" si="85">AM79</f>
        <v>2000</v>
      </c>
      <c r="F86" s="104"/>
      <c r="G86" s="104"/>
      <c r="H86" s="104"/>
      <c r="I86" s="104"/>
      <c r="J86" s="104"/>
      <c r="K86" s="104"/>
      <c r="L86" s="104"/>
      <c r="M86" s="104"/>
      <c r="N86" s="104">
        <f t="shared" si="78"/>
        <v>0</v>
      </c>
      <c r="O86" s="104"/>
      <c r="P86" s="104"/>
      <c r="Q86" s="104">
        <f t="shared" si="79"/>
        <v>0</v>
      </c>
      <c r="R86" s="104">
        <f t="shared" si="80"/>
        <v>0</v>
      </c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>
        <f t="shared" si="81"/>
        <v>0</v>
      </c>
      <c r="AD86" s="104"/>
      <c r="AE86" s="104"/>
      <c r="AF86" s="104"/>
      <c r="AG86" s="104"/>
      <c r="AH86" s="104"/>
      <c r="AI86" s="104"/>
      <c r="AJ86" s="104"/>
      <c r="AK86" s="104">
        <f t="shared" si="82"/>
        <v>0</v>
      </c>
      <c r="AL86" s="104">
        <f t="shared" si="83"/>
        <v>0</v>
      </c>
      <c r="AM86" s="104">
        <f t="shared" si="84"/>
        <v>2000</v>
      </c>
    </row>
    <row r="87" spans="3:39" s="78" customFormat="1" ht="20.100000000000001" customHeight="1">
      <c r="D87" s="104" t="s">
        <v>59</v>
      </c>
      <c r="E87" s="104">
        <f t="shared" si="85"/>
        <v>7000</v>
      </c>
      <c r="F87" s="104"/>
      <c r="G87" s="104"/>
      <c r="H87" s="104"/>
      <c r="I87" s="104"/>
      <c r="J87" s="104"/>
      <c r="K87" s="104"/>
      <c r="L87" s="104"/>
      <c r="M87" s="104"/>
      <c r="N87" s="104">
        <f t="shared" si="78"/>
        <v>0</v>
      </c>
      <c r="O87" s="104"/>
      <c r="P87" s="104"/>
      <c r="Q87" s="104">
        <f t="shared" si="79"/>
        <v>0</v>
      </c>
      <c r="R87" s="104">
        <f t="shared" si="80"/>
        <v>0</v>
      </c>
      <c r="S87" s="104"/>
      <c r="T87" s="104"/>
      <c r="U87" s="104"/>
      <c r="V87" s="104"/>
      <c r="W87" s="104"/>
      <c r="X87" s="104"/>
      <c r="Y87" s="104"/>
      <c r="Z87" s="104">
        <v>1200</v>
      </c>
      <c r="AA87" s="104"/>
      <c r="AB87" s="104"/>
      <c r="AC87" s="104">
        <f t="shared" si="81"/>
        <v>1200</v>
      </c>
      <c r="AD87" s="104"/>
      <c r="AE87" s="104"/>
      <c r="AF87" s="104"/>
      <c r="AG87" s="104"/>
      <c r="AH87" s="104"/>
      <c r="AI87" s="104"/>
      <c r="AJ87" s="104"/>
      <c r="AK87" s="104">
        <f t="shared" si="82"/>
        <v>0</v>
      </c>
      <c r="AL87" s="104">
        <f t="shared" si="83"/>
        <v>1200</v>
      </c>
      <c r="AM87" s="104">
        <f t="shared" si="84"/>
        <v>5800</v>
      </c>
    </row>
    <row r="88" spans="3:39" s="78" customFormat="1" ht="20.100000000000001" customHeight="1">
      <c r="D88" s="105" t="s">
        <v>66</v>
      </c>
      <c r="E88" s="105">
        <f t="shared" si="85"/>
        <v>300</v>
      </c>
      <c r="F88" s="105"/>
      <c r="G88" s="105"/>
      <c r="H88" s="105"/>
      <c r="I88" s="105"/>
      <c r="J88" s="105"/>
      <c r="K88" s="105"/>
      <c r="L88" s="105"/>
      <c r="M88" s="105"/>
      <c r="N88" s="105">
        <f t="shared" si="78"/>
        <v>0</v>
      </c>
      <c r="O88" s="105"/>
      <c r="P88" s="105"/>
      <c r="Q88" s="105">
        <f t="shared" si="79"/>
        <v>0</v>
      </c>
      <c r="R88" s="105">
        <f t="shared" si="80"/>
        <v>0</v>
      </c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>
        <f t="shared" si="81"/>
        <v>0</v>
      </c>
      <c r="AD88" s="105"/>
      <c r="AE88" s="105"/>
      <c r="AF88" s="105"/>
      <c r="AG88" s="105"/>
      <c r="AH88" s="105"/>
      <c r="AI88" s="105"/>
      <c r="AJ88" s="105"/>
      <c r="AK88" s="105">
        <f t="shared" si="82"/>
        <v>0</v>
      </c>
      <c r="AL88" s="105">
        <f t="shared" si="83"/>
        <v>0</v>
      </c>
      <c r="AM88" s="105">
        <f t="shared" si="84"/>
        <v>300</v>
      </c>
    </row>
    <row r="89" spans="3:39" s="78" customFormat="1" ht="20.100000000000001" customHeight="1">
      <c r="D89" s="105" t="s">
        <v>67</v>
      </c>
      <c r="E89" s="105">
        <f t="shared" si="85"/>
        <v>480</v>
      </c>
      <c r="F89" s="105"/>
      <c r="G89" s="105"/>
      <c r="H89" s="105"/>
      <c r="I89" s="105"/>
      <c r="J89" s="105"/>
      <c r="K89" s="105"/>
      <c r="L89" s="105"/>
      <c r="M89" s="105"/>
      <c r="N89" s="105">
        <f t="shared" si="78"/>
        <v>0</v>
      </c>
      <c r="O89" s="105"/>
      <c r="P89" s="105"/>
      <c r="Q89" s="105">
        <f t="shared" si="79"/>
        <v>0</v>
      </c>
      <c r="R89" s="105">
        <f t="shared" si="80"/>
        <v>0</v>
      </c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>
        <f t="shared" si="81"/>
        <v>0</v>
      </c>
      <c r="AD89" s="105"/>
      <c r="AE89" s="105"/>
      <c r="AF89" s="105"/>
      <c r="AG89" s="105"/>
      <c r="AH89" s="105"/>
      <c r="AI89" s="105"/>
      <c r="AJ89" s="105"/>
      <c r="AK89" s="105">
        <f t="shared" si="82"/>
        <v>0</v>
      </c>
      <c r="AL89" s="105">
        <f t="shared" si="83"/>
        <v>0</v>
      </c>
      <c r="AM89" s="105">
        <f t="shared" si="84"/>
        <v>480</v>
      </c>
    </row>
    <row r="90" spans="3:39" s="78" customFormat="1" ht="20.100000000000001" customHeight="1">
      <c r="D90" s="105" t="s">
        <v>60</v>
      </c>
      <c r="E90" s="105">
        <f t="shared" si="85"/>
        <v>0</v>
      </c>
      <c r="F90" s="105"/>
      <c r="G90" s="105"/>
      <c r="H90" s="105"/>
      <c r="I90" s="105"/>
      <c r="J90" s="105"/>
      <c r="K90" s="105">
        <f>Z87</f>
        <v>1200</v>
      </c>
      <c r="L90" s="105"/>
      <c r="M90" s="105"/>
      <c r="N90" s="105">
        <f t="shared" si="78"/>
        <v>1200</v>
      </c>
      <c r="O90" s="105"/>
      <c r="P90" s="105"/>
      <c r="Q90" s="105">
        <f t="shared" si="79"/>
        <v>0</v>
      </c>
      <c r="R90" s="105">
        <f t="shared" si="80"/>
        <v>1200</v>
      </c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>
        <f t="shared" si="81"/>
        <v>0</v>
      </c>
      <c r="AD90" s="105"/>
      <c r="AE90" s="105"/>
      <c r="AF90" s="105"/>
      <c r="AG90" s="105"/>
      <c r="AH90" s="105"/>
      <c r="AI90" s="105"/>
      <c r="AJ90" s="105"/>
      <c r="AK90" s="105">
        <f t="shared" si="82"/>
        <v>0</v>
      </c>
      <c r="AL90" s="105">
        <f t="shared" si="83"/>
        <v>0</v>
      </c>
      <c r="AM90" s="105">
        <f t="shared" si="84"/>
        <v>1200</v>
      </c>
    </row>
    <row r="91" spans="3:39" s="78" customFormat="1" ht="20.100000000000001" customHeight="1"/>
    <row r="92" spans="3:39" s="78" customFormat="1" ht="20.100000000000001" customHeight="1">
      <c r="C92" s="81" t="s">
        <v>78</v>
      </c>
      <c r="D92" s="104" t="s">
        <v>62</v>
      </c>
      <c r="E92" s="104">
        <f>AM85</f>
        <v>4500</v>
      </c>
      <c r="F92" s="104"/>
      <c r="G92" s="104"/>
      <c r="H92" s="104"/>
      <c r="I92" s="104"/>
      <c r="J92" s="104"/>
      <c r="K92" s="104"/>
      <c r="L92" s="104"/>
      <c r="M92" s="104"/>
      <c r="N92" s="104">
        <f t="shared" ref="N92:N97" si="86">SUM(H92:M92)</f>
        <v>0</v>
      </c>
      <c r="O92" s="104"/>
      <c r="P92" s="104"/>
      <c r="Q92" s="104">
        <f t="shared" ref="Q92:Q97" si="87">SUM(O92:P92)</f>
        <v>0</v>
      </c>
      <c r="R92" s="104">
        <f t="shared" ref="R92:R97" si="88">F92+N92+G92+Q92</f>
        <v>0</v>
      </c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>
        <f t="shared" ref="AC92:AC97" si="89">SUM(W92:AB92)</f>
        <v>0</v>
      </c>
      <c r="AD92" s="104"/>
      <c r="AE92" s="104"/>
      <c r="AF92" s="104"/>
      <c r="AG92" s="104"/>
      <c r="AH92" s="104"/>
      <c r="AI92" s="104"/>
      <c r="AJ92" s="104"/>
      <c r="AK92" s="104">
        <f t="shared" ref="AK92:AK97" si="90">SUM(AD92:AJ92)</f>
        <v>0</v>
      </c>
      <c r="AL92" s="104">
        <f t="shared" ref="AL92:AL97" si="91">U92+AC92+V92+AK92</f>
        <v>0</v>
      </c>
      <c r="AM92" s="104">
        <f t="shared" ref="AM92:AM97" si="92">E92+R92-AL92</f>
        <v>4500</v>
      </c>
    </row>
    <row r="93" spans="3:39" s="78" customFormat="1" ht="20.100000000000001" customHeight="1">
      <c r="D93" s="104" t="s">
        <v>63</v>
      </c>
      <c r="E93" s="104">
        <f t="shared" ref="E93:E97" si="93">AM86</f>
        <v>2000</v>
      </c>
      <c r="F93" s="104"/>
      <c r="G93" s="104"/>
      <c r="H93" s="104"/>
      <c r="I93" s="104"/>
      <c r="J93" s="104"/>
      <c r="K93" s="104"/>
      <c r="L93" s="104"/>
      <c r="M93" s="104"/>
      <c r="N93" s="104">
        <f t="shared" si="86"/>
        <v>0</v>
      </c>
      <c r="O93" s="104"/>
      <c r="P93" s="104"/>
      <c r="Q93" s="104">
        <f t="shared" si="87"/>
        <v>0</v>
      </c>
      <c r="R93" s="104">
        <f t="shared" si="88"/>
        <v>0</v>
      </c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>
        <f t="shared" si="89"/>
        <v>0</v>
      </c>
      <c r="AD93" s="104"/>
      <c r="AE93" s="104"/>
      <c r="AF93" s="104"/>
      <c r="AG93" s="104"/>
      <c r="AH93" s="104"/>
      <c r="AI93" s="104"/>
      <c r="AJ93" s="104"/>
      <c r="AK93" s="104">
        <f t="shared" si="90"/>
        <v>0</v>
      </c>
      <c r="AL93" s="104">
        <f t="shared" si="91"/>
        <v>0</v>
      </c>
      <c r="AM93" s="104">
        <f t="shared" si="92"/>
        <v>2000</v>
      </c>
    </row>
    <row r="94" spans="3:39" s="78" customFormat="1" ht="20.100000000000001" customHeight="1">
      <c r="D94" s="104" t="s">
        <v>59</v>
      </c>
      <c r="E94" s="104">
        <f t="shared" si="93"/>
        <v>5800</v>
      </c>
      <c r="F94" s="104"/>
      <c r="G94" s="104"/>
      <c r="H94" s="104"/>
      <c r="I94" s="104"/>
      <c r="J94" s="104"/>
      <c r="K94" s="104"/>
      <c r="L94" s="104"/>
      <c r="M94" s="104"/>
      <c r="N94" s="104">
        <f t="shared" si="86"/>
        <v>0</v>
      </c>
      <c r="O94" s="104"/>
      <c r="P94" s="104"/>
      <c r="Q94" s="104">
        <f t="shared" si="87"/>
        <v>0</v>
      </c>
      <c r="R94" s="104">
        <f t="shared" si="88"/>
        <v>0</v>
      </c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>
        <f t="shared" si="89"/>
        <v>0</v>
      </c>
      <c r="AD94" s="104"/>
      <c r="AE94" s="104"/>
      <c r="AF94" s="104"/>
      <c r="AG94" s="104"/>
      <c r="AH94" s="104"/>
      <c r="AI94" s="104"/>
      <c r="AJ94" s="104"/>
      <c r="AK94" s="104">
        <f t="shared" si="90"/>
        <v>0</v>
      </c>
      <c r="AL94" s="104">
        <f t="shared" si="91"/>
        <v>0</v>
      </c>
      <c r="AM94" s="104">
        <f t="shared" si="92"/>
        <v>5800</v>
      </c>
    </row>
    <row r="95" spans="3:39" s="78" customFormat="1" ht="20.100000000000001" customHeight="1">
      <c r="D95" s="105" t="s">
        <v>66</v>
      </c>
      <c r="E95" s="105">
        <f t="shared" si="93"/>
        <v>300</v>
      </c>
      <c r="F95" s="105"/>
      <c r="G95" s="105"/>
      <c r="H95" s="105"/>
      <c r="I95" s="105"/>
      <c r="J95" s="105"/>
      <c r="K95" s="105"/>
      <c r="L95" s="105"/>
      <c r="M95" s="105"/>
      <c r="N95" s="105">
        <f t="shared" si="86"/>
        <v>0</v>
      </c>
      <c r="O95" s="105"/>
      <c r="P95" s="105"/>
      <c r="Q95" s="105">
        <f t="shared" si="87"/>
        <v>0</v>
      </c>
      <c r="R95" s="105">
        <f t="shared" si="88"/>
        <v>0</v>
      </c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>
        <f t="shared" si="89"/>
        <v>0</v>
      </c>
      <c r="AD95" s="105"/>
      <c r="AE95" s="105"/>
      <c r="AF95" s="105"/>
      <c r="AG95" s="105"/>
      <c r="AH95" s="105"/>
      <c r="AI95" s="105"/>
      <c r="AJ95" s="105"/>
      <c r="AK95" s="105">
        <f t="shared" si="90"/>
        <v>0</v>
      </c>
      <c r="AL95" s="105">
        <f t="shared" si="91"/>
        <v>0</v>
      </c>
      <c r="AM95" s="105">
        <f t="shared" si="92"/>
        <v>300</v>
      </c>
    </row>
    <row r="96" spans="3:39" s="78" customFormat="1" ht="20.100000000000001" customHeight="1">
      <c r="D96" s="105" t="s">
        <v>67</v>
      </c>
      <c r="E96" s="105">
        <f t="shared" si="93"/>
        <v>480</v>
      </c>
      <c r="F96" s="105"/>
      <c r="G96" s="105"/>
      <c r="H96" s="105"/>
      <c r="I96" s="105"/>
      <c r="J96" s="105"/>
      <c r="K96" s="105"/>
      <c r="L96" s="105"/>
      <c r="M96" s="105"/>
      <c r="N96" s="105">
        <f t="shared" si="86"/>
        <v>0</v>
      </c>
      <c r="O96" s="105"/>
      <c r="P96" s="105"/>
      <c r="Q96" s="105">
        <f t="shared" si="87"/>
        <v>0</v>
      </c>
      <c r="R96" s="105">
        <f t="shared" si="88"/>
        <v>0</v>
      </c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>
        <f t="shared" si="89"/>
        <v>0</v>
      </c>
      <c r="AD96" s="105"/>
      <c r="AE96" s="105"/>
      <c r="AF96" s="105"/>
      <c r="AG96" s="105"/>
      <c r="AH96" s="105"/>
      <c r="AI96" s="105"/>
      <c r="AJ96" s="105"/>
      <c r="AK96" s="105">
        <f t="shared" si="90"/>
        <v>0</v>
      </c>
      <c r="AL96" s="105">
        <f t="shared" si="91"/>
        <v>0</v>
      </c>
      <c r="AM96" s="105">
        <f t="shared" si="92"/>
        <v>480</v>
      </c>
    </row>
    <row r="97" spans="3:39" s="78" customFormat="1" ht="20.100000000000001" customHeight="1">
      <c r="D97" s="105" t="s">
        <v>60</v>
      </c>
      <c r="E97" s="105">
        <f t="shared" si="93"/>
        <v>1200</v>
      </c>
      <c r="F97" s="105"/>
      <c r="G97" s="105"/>
      <c r="H97" s="105"/>
      <c r="I97" s="105"/>
      <c r="J97" s="105"/>
      <c r="K97" s="105"/>
      <c r="L97" s="105"/>
      <c r="M97" s="105"/>
      <c r="N97" s="105">
        <f t="shared" si="86"/>
        <v>0</v>
      </c>
      <c r="O97" s="105"/>
      <c r="P97" s="105"/>
      <c r="Q97" s="105">
        <f t="shared" si="87"/>
        <v>0</v>
      </c>
      <c r="R97" s="105">
        <f t="shared" si="88"/>
        <v>0</v>
      </c>
      <c r="S97" s="105">
        <f>U97</f>
        <v>1180</v>
      </c>
      <c r="T97" s="105"/>
      <c r="U97" s="105">
        <v>1180</v>
      </c>
      <c r="V97" s="105"/>
      <c r="W97" s="105"/>
      <c r="X97" s="105"/>
      <c r="Y97" s="105"/>
      <c r="Z97" s="105"/>
      <c r="AA97" s="105"/>
      <c r="AB97" s="105"/>
      <c r="AC97" s="105">
        <f t="shared" si="89"/>
        <v>0</v>
      </c>
      <c r="AD97" s="105"/>
      <c r="AE97" s="105"/>
      <c r="AF97" s="105"/>
      <c r="AG97" s="105"/>
      <c r="AH97" s="105"/>
      <c r="AI97" s="105"/>
      <c r="AJ97" s="105"/>
      <c r="AK97" s="105">
        <f t="shared" si="90"/>
        <v>0</v>
      </c>
      <c r="AL97" s="105">
        <f t="shared" si="91"/>
        <v>1180</v>
      </c>
      <c r="AM97" s="105">
        <f t="shared" si="92"/>
        <v>20</v>
      </c>
    </row>
    <row r="98" spans="3:39" s="78" customFormat="1" ht="20.100000000000001" customHeight="1"/>
    <row r="99" spans="3:39" s="78" customFormat="1" ht="20.100000000000001" customHeight="1">
      <c r="C99" s="81" t="s">
        <v>405</v>
      </c>
      <c r="D99" s="104" t="s">
        <v>62</v>
      </c>
      <c r="E99" s="104">
        <f>AM92</f>
        <v>4500</v>
      </c>
      <c r="F99" s="104"/>
      <c r="G99" s="104"/>
      <c r="H99" s="104"/>
      <c r="I99" s="104"/>
      <c r="J99" s="104"/>
      <c r="K99" s="104"/>
      <c r="L99" s="104"/>
      <c r="M99" s="104"/>
      <c r="N99" s="104">
        <f t="shared" ref="N99:N104" si="94">SUM(H99:M99)</f>
        <v>0</v>
      </c>
      <c r="O99" s="104"/>
      <c r="P99" s="104"/>
      <c r="Q99" s="104">
        <f t="shared" ref="Q99:Q104" si="95">SUM(O99:P99)</f>
        <v>0</v>
      </c>
      <c r="R99" s="104">
        <f t="shared" ref="R99:R104" si="96">F99+N99+G99+Q99</f>
        <v>0</v>
      </c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>
        <f t="shared" ref="AC99:AC104" si="97">SUM(W99:AB99)</f>
        <v>0</v>
      </c>
      <c r="AD99" s="104"/>
      <c r="AE99" s="104"/>
      <c r="AF99" s="104"/>
      <c r="AG99" s="104"/>
      <c r="AH99" s="104"/>
      <c r="AI99" s="104"/>
      <c r="AJ99" s="104"/>
      <c r="AK99" s="104">
        <f t="shared" ref="AK99:AK104" si="98">SUM(AD99:AJ99)</f>
        <v>0</v>
      </c>
      <c r="AL99" s="104">
        <f t="shared" ref="AL99:AL104" si="99">U99+AC99+V99+AK99</f>
        <v>0</v>
      </c>
      <c r="AM99" s="104">
        <f t="shared" ref="AM99:AM104" si="100">E99+R99-AL99</f>
        <v>4500</v>
      </c>
    </row>
    <row r="100" spans="3:39" s="78" customFormat="1" ht="20.100000000000001" customHeight="1">
      <c r="C100" s="78" t="s">
        <v>79</v>
      </c>
      <c r="D100" s="104" t="s">
        <v>63</v>
      </c>
      <c r="E100" s="104">
        <f t="shared" ref="E100:E104" si="101">AM93</f>
        <v>2000</v>
      </c>
      <c r="F100" s="104"/>
      <c r="G100" s="104"/>
      <c r="H100" s="104"/>
      <c r="I100" s="104"/>
      <c r="J100" s="104"/>
      <c r="K100" s="104"/>
      <c r="L100" s="104"/>
      <c r="M100" s="104"/>
      <c r="N100" s="104">
        <f t="shared" si="94"/>
        <v>0</v>
      </c>
      <c r="O100" s="104"/>
      <c r="P100" s="104"/>
      <c r="Q100" s="104">
        <f t="shared" si="95"/>
        <v>0</v>
      </c>
      <c r="R100" s="104">
        <f t="shared" si="96"/>
        <v>0</v>
      </c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>
        <f t="shared" si="97"/>
        <v>0</v>
      </c>
      <c r="AD100" s="104"/>
      <c r="AE100" s="104"/>
      <c r="AF100" s="104"/>
      <c r="AG100" s="104"/>
      <c r="AH100" s="104"/>
      <c r="AI100" s="104"/>
      <c r="AJ100" s="104"/>
      <c r="AK100" s="104">
        <f t="shared" si="98"/>
        <v>0</v>
      </c>
      <c r="AL100" s="104">
        <f t="shared" si="99"/>
        <v>0</v>
      </c>
      <c r="AM100" s="104">
        <f t="shared" si="100"/>
        <v>2000</v>
      </c>
    </row>
    <row r="101" spans="3:39" s="78" customFormat="1" ht="20.100000000000001" customHeight="1">
      <c r="D101" s="104" t="s">
        <v>59</v>
      </c>
      <c r="E101" s="104">
        <f t="shared" si="101"/>
        <v>5800</v>
      </c>
      <c r="F101" s="104"/>
      <c r="G101" s="104"/>
      <c r="H101" s="104"/>
      <c r="I101" s="104"/>
      <c r="J101" s="104"/>
      <c r="K101" s="104"/>
      <c r="L101" s="104"/>
      <c r="M101" s="104"/>
      <c r="N101" s="104">
        <f t="shared" si="94"/>
        <v>0</v>
      </c>
      <c r="O101" s="104"/>
      <c r="P101" s="104"/>
      <c r="Q101" s="104">
        <f t="shared" si="95"/>
        <v>0</v>
      </c>
      <c r="R101" s="104">
        <f t="shared" si="96"/>
        <v>0</v>
      </c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>
        <f t="shared" si="97"/>
        <v>0</v>
      </c>
      <c r="AD101" s="104"/>
      <c r="AE101" s="104"/>
      <c r="AF101" s="104"/>
      <c r="AG101" s="104"/>
      <c r="AH101" s="104"/>
      <c r="AI101" s="104"/>
      <c r="AJ101" s="104"/>
      <c r="AK101" s="104">
        <f t="shared" si="98"/>
        <v>0</v>
      </c>
      <c r="AL101" s="104">
        <f t="shared" si="99"/>
        <v>0</v>
      </c>
      <c r="AM101" s="104">
        <f t="shared" si="100"/>
        <v>5800</v>
      </c>
    </row>
    <row r="102" spans="3:39" s="78" customFormat="1" ht="20.100000000000001" customHeight="1">
      <c r="D102" s="105" t="s">
        <v>66</v>
      </c>
      <c r="E102" s="105">
        <f t="shared" si="101"/>
        <v>300</v>
      </c>
      <c r="F102" s="105"/>
      <c r="G102" s="105"/>
      <c r="H102" s="105"/>
      <c r="I102" s="105"/>
      <c r="J102" s="105"/>
      <c r="K102" s="105"/>
      <c r="L102" s="105"/>
      <c r="M102" s="105"/>
      <c r="N102" s="105">
        <f t="shared" si="94"/>
        <v>0</v>
      </c>
      <c r="O102" s="105"/>
      <c r="P102" s="105"/>
      <c r="Q102" s="105">
        <f t="shared" si="95"/>
        <v>0</v>
      </c>
      <c r="R102" s="105">
        <f t="shared" si="96"/>
        <v>0</v>
      </c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>
        <f t="shared" si="97"/>
        <v>0</v>
      </c>
      <c r="AD102" s="105"/>
      <c r="AE102" s="105"/>
      <c r="AF102" s="105"/>
      <c r="AG102" s="105"/>
      <c r="AH102" s="105"/>
      <c r="AI102" s="105"/>
      <c r="AJ102" s="105"/>
      <c r="AK102" s="105">
        <f t="shared" si="98"/>
        <v>0</v>
      </c>
      <c r="AL102" s="105">
        <f t="shared" si="99"/>
        <v>0</v>
      </c>
      <c r="AM102" s="105">
        <f t="shared" si="100"/>
        <v>300</v>
      </c>
    </row>
    <row r="103" spans="3:39" s="78" customFormat="1" ht="20.100000000000001" customHeight="1">
      <c r="D103" s="105" t="s">
        <v>67</v>
      </c>
      <c r="E103" s="105">
        <f t="shared" si="101"/>
        <v>480</v>
      </c>
      <c r="F103" s="105"/>
      <c r="G103" s="105"/>
      <c r="H103" s="105"/>
      <c r="I103" s="105"/>
      <c r="J103" s="105"/>
      <c r="K103" s="105"/>
      <c r="L103" s="105"/>
      <c r="M103" s="105"/>
      <c r="N103" s="105">
        <f t="shared" si="94"/>
        <v>0</v>
      </c>
      <c r="O103" s="105"/>
      <c r="P103" s="105"/>
      <c r="Q103" s="105">
        <f t="shared" si="95"/>
        <v>0</v>
      </c>
      <c r="R103" s="105">
        <f t="shared" si="96"/>
        <v>0</v>
      </c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>
        <f t="shared" si="97"/>
        <v>0</v>
      </c>
      <c r="AD103" s="105"/>
      <c r="AE103" s="105"/>
      <c r="AF103" s="105"/>
      <c r="AG103" s="105"/>
      <c r="AH103" s="105"/>
      <c r="AI103" s="105"/>
      <c r="AJ103" s="105"/>
      <c r="AK103" s="105">
        <f t="shared" si="98"/>
        <v>0</v>
      </c>
      <c r="AL103" s="105">
        <f t="shared" si="99"/>
        <v>0</v>
      </c>
      <c r="AM103" s="105">
        <f t="shared" si="100"/>
        <v>480</v>
      </c>
    </row>
    <row r="104" spans="3:39" s="78" customFormat="1" ht="20.100000000000001" customHeight="1">
      <c r="D104" s="105" t="s">
        <v>60</v>
      </c>
      <c r="E104" s="105">
        <f t="shared" si="101"/>
        <v>20</v>
      </c>
      <c r="F104" s="105"/>
      <c r="G104" s="105"/>
      <c r="H104" s="105"/>
      <c r="I104" s="105"/>
      <c r="J104" s="105"/>
      <c r="K104" s="105"/>
      <c r="L104" s="105"/>
      <c r="M104" s="105"/>
      <c r="N104" s="105">
        <f t="shared" si="94"/>
        <v>0</v>
      </c>
      <c r="O104" s="105"/>
      <c r="P104" s="105"/>
      <c r="Q104" s="105">
        <f t="shared" si="95"/>
        <v>0</v>
      </c>
      <c r="R104" s="105">
        <f t="shared" si="96"/>
        <v>0</v>
      </c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>
        <f t="shared" si="97"/>
        <v>0</v>
      </c>
      <c r="AD104" s="105"/>
      <c r="AE104" s="105"/>
      <c r="AF104" s="105"/>
      <c r="AG104" s="105"/>
      <c r="AH104" s="105"/>
      <c r="AI104" s="105"/>
      <c r="AJ104" s="105"/>
      <c r="AK104" s="105">
        <f t="shared" si="98"/>
        <v>0</v>
      </c>
      <c r="AL104" s="105">
        <f t="shared" si="99"/>
        <v>0</v>
      </c>
      <c r="AM104" s="105">
        <f t="shared" si="100"/>
        <v>20</v>
      </c>
    </row>
    <row r="105" spans="3:39" s="78" customFormat="1" ht="20.100000000000001" customHeight="1"/>
    <row r="106" spans="3:39" s="78" customFormat="1" ht="20.100000000000001" customHeight="1">
      <c r="C106" s="81" t="s">
        <v>406</v>
      </c>
      <c r="D106" s="104" t="s">
        <v>62</v>
      </c>
      <c r="E106" s="104">
        <f>AM99</f>
        <v>4500</v>
      </c>
      <c r="F106" s="104"/>
      <c r="G106" s="104"/>
      <c r="H106" s="104"/>
      <c r="I106" s="104"/>
      <c r="J106" s="104"/>
      <c r="K106" s="104"/>
      <c r="L106" s="104"/>
      <c r="M106" s="104"/>
      <c r="N106" s="104">
        <f t="shared" ref="N106:N111" si="102">SUM(H106:M106)</f>
        <v>0</v>
      </c>
      <c r="O106" s="104"/>
      <c r="P106" s="104"/>
      <c r="Q106" s="104">
        <f t="shared" ref="Q106:Q111" si="103">SUM(O106:P106)</f>
        <v>0</v>
      </c>
      <c r="R106" s="104">
        <f t="shared" ref="R106:R111" si="104">F106+N106+G106+Q106</f>
        <v>0</v>
      </c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>
        <f t="shared" ref="AC106:AC111" si="105">SUM(W106:AB106)</f>
        <v>0</v>
      </c>
      <c r="AD106" s="104"/>
      <c r="AE106" s="104"/>
      <c r="AF106" s="104"/>
      <c r="AG106" s="104"/>
      <c r="AH106" s="104"/>
      <c r="AI106" s="104"/>
      <c r="AJ106" s="104"/>
      <c r="AK106" s="104">
        <f t="shared" ref="AK106:AK111" si="106">SUM(AD106:AJ106)</f>
        <v>0</v>
      </c>
      <c r="AL106" s="104">
        <f t="shared" ref="AL106:AL111" si="107">U106+AC106+V106+AK106</f>
        <v>0</v>
      </c>
      <c r="AM106" s="104">
        <f t="shared" ref="AM106:AM111" si="108">E106+R106-AL106</f>
        <v>4500</v>
      </c>
    </row>
    <row r="107" spans="3:39" s="78" customFormat="1" ht="20.100000000000001" customHeight="1">
      <c r="C107" s="86" t="s">
        <v>82</v>
      </c>
      <c r="D107" s="104" t="s">
        <v>63</v>
      </c>
      <c r="E107" s="104">
        <f t="shared" ref="E107:E111" si="109">AM100</f>
        <v>2000</v>
      </c>
      <c r="F107" s="104"/>
      <c r="G107" s="104"/>
      <c r="H107" s="104"/>
      <c r="I107" s="104"/>
      <c r="J107" s="104"/>
      <c r="K107" s="104"/>
      <c r="L107" s="104"/>
      <c r="M107" s="104"/>
      <c r="N107" s="104">
        <f t="shared" si="102"/>
        <v>0</v>
      </c>
      <c r="O107" s="104"/>
      <c r="P107" s="104"/>
      <c r="Q107" s="104">
        <f t="shared" si="103"/>
        <v>0</v>
      </c>
      <c r="R107" s="104">
        <f t="shared" si="104"/>
        <v>0</v>
      </c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>
        <f t="shared" si="105"/>
        <v>0</v>
      </c>
      <c r="AD107" s="104"/>
      <c r="AE107" s="104"/>
      <c r="AF107" s="104"/>
      <c r="AG107" s="104"/>
      <c r="AH107" s="104"/>
      <c r="AI107" s="104"/>
      <c r="AJ107" s="104"/>
      <c r="AK107" s="104">
        <f t="shared" si="106"/>
        <v>0</v>
      </c>
      <c r="AL107" s="104">
        <f t="shared" si="107"/>
        <v>0</v>
      </c>
      <c r="AM107" s="104">
        <f t="shared" si="108"/>
        <v>2000</v>
      </c>
    </row>
    <row r="108" spans="3:39" s="78" customFormat="1" ht="20.100000000000001" customHeight="1">
      <c r="C108" s="142" t="s">
        <v>94</v>
      </c>
      <c r="D108" s="104" t="s">
        <v>59</v>
      </c>
      <c r="E108" s="104">
        <f t="shared" si="109"/>
        <v>5800</v>
      </c>
      <c r="F108" s="104"/>
      <c r="G108" s="104"/>
      <c r="H108" s="104"/>
      <c r="I108" s="104"/>
      <c r="J108" s="104"/>
      <c r="K108" s="104"/>
      <c r="L108" s="104"/>
      <c r="M108" s="104">
        <v>19</v>
      </c>
      <c r="N108" s="104">
        <f t="shared" si="102"/>
        <v>19</v>
      </c>
      <c r="O108" s="104"/>
      <c r="P108" s="104"/>
      <c r="Q108" s="104">
        <f t="shared" si="103"/>
        <v>0</v>
      </c>
      <c r="R108" s="104">
        <f t="shared" si="104"/>
        <v>19</v>
      </c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>
        <f t="shared" si="105"/>
        <v>0</v>
      </c>
      <c r="AD108" s="104"/>
      <c r="AE108" s="104"/>
      <c r="AF108" s="104"/>
      <c r="AG108" s="104"/>
      <c r="AH108" s="104"/>
      <c r="AI108" s="104"/>
      <c r="AJ108" s="104"/>
      <c r="AK108" s="104">
        <f t="shared" si="106"/>
        <v>0</v>
      </c>
      <c r="AL108" s="104">
        <f t="shared" si="107"/>
        <v>0</v>
      </c>
      <c r="AM108" s="104">
        <f t="shared" si="108"/>
        <v>5819</v>
      </c>
    </row>
    <row r="109" spans="3:39" s="78" customFormat="1" ht="20.100000000000001" customHeight="1">
      <c r="D109" s="105" t="s">
        <v>66</v>
      </c>
      <c r="E109" s="105">
        <f t="shared" si="109"/>
        <v>300</v>
      </c>
      <c r="F109" s="105"/>
      <c r="G109" s="105"/>
      <c r="H109" s="105"/>
      <c r="I109" s="105"/>
      <c r="J109" s="105"/>
      <c r="K109" s="105"/>
      <c r="L109" s="105"/>
      <c r="M109" s="105"/>
      <c r="N109" s="105">
        <f t="shared" si="102"/>
        <v>0</v>
      </c>
      <c r="O109" s="105"/>
      <c r="P109" s="105"/>
      <c r="Q109" s="105">
        <f t="shared" si="103"/>
        <v>0</v>
      </c>
      <c r="R109" s="105">
        <f t="shared" si="104"/>
        <v>0</v>
      </c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>
        <f t="shared" si="105"/>
        <v>0</v>
      </c>
      <c r="AD109" s="105"/>
      <c r="AE109" s="105"/>
      <c r="AF109" s="105"/>
      <c r="AG109" s="105"/>
      <c r="AH109" s="105"/>
      <c r="AI109" s="105"/>
      <c r="AJ109" s="105"/>
      <c r="AK109" s="105">
        <f t="shared" si="106"/>
        <v>0</v>
      </c>
      <c r="AL109" s="105">
        <f t="shared" si="107"/>
        <v>0</v>
      </c>
      <c r="AM109" s="105">
        <f t="shared" si="108"/>
        <v>300</v>
      </c>
    </row>
    <row r="110" spans="3:39" s="78" customFormat="1" ht="20.100000000000001" customHeight="1">
      <c r="D110" s="105" t="s">
        <v>67</v>
      </c>
      <c r="E110" s="105">
        <f t="shared" si="109"/>
        <v>480</v>
      </c>
      <c r="F110" s="105"/>
      <c r="G110" s="105"/>
      <c r="H110" s="105"/>
      <c r="I110" s="105"/>
      <c r="J110" s="105"/>
      <c r="K110" s="105"/>
      <c r="L110" s="105"/>
      <c r="M110" s="105"/>
      <c r="N110" s="105">
        <f t="shared" si="102"/>
        <v>0</v>
      </c>
      <c r="O110" s="105"/>
      <c r="P110" s="105"/>
      <c r="Q110" s="105">
        <f t="shared" si="103"/>
        <v>0</v>
      </c>
      <c r="R110" s="105">
        <f t="shared" si="104"/>
        <v>0</v>
      </c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>
        <f t="shared" si="105"/>
        <v>0</v>
      </c>
      <c r="AD110" s="105"/>
      <c r="AE110" s="105"/>
      <c r="AF110" s="105"/>
      <c r="AG110" s="105"/>
      <c r="AH110" s="105"/>
      <c r="AI110" s="105"/>
      <c r="AJ110" s="105"/>
      <c r="AK110" s="105">
        <f t="shared" si="106"/>
        <v>0</v>
      </c>
      <c r="AL110" s="105">
        <f t="shared" si="107"/>
        <v>0</v>
      </c>
      <c r="AM110" s="105">
        <f t="shared" si="108"/>
        <v>480</v>
      </c>
    </row>
    <row r="111" spans="3:39" s="78" customFormat="1" ht="20.100000000000001" customHeight="1">
      <c r="D111" s="105" t="s">
        <v>60</v>
      </c>
      <c r="E111" s="105">
        <f t="shared" si="109"/>
        <v>20</v>
      </c>
      <c r="F111" s="105"/>
      <c r="G111" s="105"/>
      <c r="H111" s="105"/>
      <c r="I111" s="105"/>
      <c r="J111" s="105"/>
      <c r="K111" s="105"/>
      <c r="L111" s="105"/>
      <c r="M111" s="105"/>
      <c r="N111" s="105">
        <f t="shared" si="102"/>
        <v>0</v>
      </c>
      <c r="O111" s="105"/>
      <c r="P111" s="105"/>
      <c r="Q111" s="105">
        <f t="shared" si="103"/>
        <v>0</v>
      </c>
      <c r="R111" s="105">
        <f t="shared" si="104"/>
        <v>0</v>
      </c>
      <c r="S111" s="105"/>
      <c r="T111" s="105"/>
      <c r="U111" s="105"/>
      <c r="V111" s="105"/>
      <c r="W111" s="105"/>
      <c r="X111" s="105"/>
      <c r="Y111" s="105"/>
      <c r="Z111" s="105"/>
      <c r="AA111" s="105">
        <f>M108</f>
        <v>19</v>
      </c>
      <c r="AB111" s="105"/>
      <c r="AC111" s="105">
        <f t="shared" si="105"/>
        <v>19</v>
      </c>
      <c r="AD111" s="105"/>
      <c r="AE111" s="105"/>
      <c r="AF111" s="105"/>
      <c r="AG111" s="105"/>
      <c r="AH111" s="105"/>
      <c r="AI111" s="105"/>
      <c r="AJ111" s="105"/>
      <c r="AK111" s="105">
        <f t="shared" si="106"/>
        <v>0</v>
      </c>
      <c r="AL111" s="105">
        <f t="shared" si="107"/>
        <v>19</v>
      </c>
      <c r="AM111" s="105">
        <f t="shared" si="108"/>
        <v>1</v>
      </c>
    </row>
    <row r="112" spans="3:39" s="78" customFormat="1" ht="20.100000000000001" customHeight="1"/>
    <row r="113" spans="3:40" s="78" customFormat="1" ht="20.100000000000001" customHeight="1">
      <c r="C113" s="81" t="s">
        <v>407</v>
      </c>
      <c r="D113" s="104" t="s">
        <v>62</v>
      </c>
      <c r="E113" s="104">
        <f>AM106</f>
        <v>4500</v>
      </c>
      <c r="F113" s="104"/>
      <c r="G113" s="104"/>
      <c r="H113" s="104"/>
      <c r="I113" s="104"/>
      <c r="J113" s="104"/>
      <c r="K113" s="104"/>
      <c r="L113" s="104"/>
      <c r="M113" s="104"/>
      <c r="N113" s="104">
        <f t="shared" ref="N113:N118" si="110">SUM(H113:M113)</f>
        <v>0</v>
      </c>
      <c r="O113" s="104"/>
      <c r="P113" s="104"/>
      <c r="Q113" s="104">
        <f t="shared" ref="Q113:Q118" si="111">SUM(O113:P113)</f>
        <v>0</v>
      </c>
      <c r="R113" s="104">
        <f t="shared" ref="R113:R118" si="112">F113+N113+G113+Q113</f>
        <v>0</v>
      </c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>
        <f t="shared" ref="AC113:AC118" si="113">SUM(W113:AB113)</f>
        <v>0</v>
      </c>
      <c r="AD113" s="104"/>
      <c r="AE113" s="104"/>
      <c r="AF113" s="104"/>
      <c r="AG113" s="104"/>
      <c r="AH113" s="104"/>
      <c r="AI113" s="104"/>
      <c r="AJ113" s="104"/>
      <c r="AK113" s="104">
        <f t="shared" ref="AK113:AK118" si="114">SUM(AD113:AJ113)</f>
        <v>0</v>
      </c>
      <c r="AL113" s="104">
        <f t="shared" ref="AL113:AL118" si="115">U113+AC113+V113+AK113</f>
        <v>0</v>
      </c>
      <c r="AM113" s="104">
        <f t="shared" ref="AM113:AM118" si="116">E113+R113-AL113</f>
        <v>4500</v>
      </c>
    </row>
    <row r="114" spans="3:40" s="78" customFormat="1" ht="20.100000000000001" customHeight="1">
      <c r="D114" s="104" t="s">
        <v>63</v>
      </c>
      <c r="E114" s="104">
        <f t="shared" ref="E114:E118" si="117">AM107</f>
        <v>2000</v>
      </c>
      <c r="F114" s="104"/>
      <c r="G114" s="104"/>
      <c r="H114" s="104"/>
      <c r="I114" s="104"/>
      <c r="J114" s="104"/>
      <c r="K114" s="104"/>
      <c r="L114" s="104"/>
      <c r="M114" s="104"/>
      <c r="N114" s="104">
        <f t="shared" si="110"/>
        <v>0</v>
      </c>
      <c r="O114" s="104"/>
      <c r="P114" s="104"/>
      <c r="Q114" s="104">
        <f t="shared" si="111"/>
        <v>0</v>
      </c>
      <c r="R114" s="104">
        <f t="shared" si="112"/>
        <v>0</v>
      </c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>
        <f t="shared" si="113"/>
        <v>0</v>
      </c>
      <c r="AD114" s="104"/>
      <c r="AE114" s="104"/>
      <c r="AF114" s="104"/>
      <c r="AG114" s="104"/>
      <c r="AH114" s="104"/>
      <c r="AI114" s="104"/>
      <c r="AJ114" s="104"/>
      <c r="AK114" s="104">
        <f t="shared" si="114"/>
        <v>0</v>
      </c>
      <c r="AL114" s="104">
        <f t="shared" si="115"/>
        <v>0</v>
      </c>
      <c r="AM114" s="104">
        <f t="shared" si="116"/>
        <v>2000</v>
      </c>
    </row>
    <row r="115" spans="3:40" s="78" customFormat="1" ht="20.100000000000001" customHeight="1">
      <c r="D115" s="104" t="s">
        <v>59</v>
      </c>
      <c r="E115" s="104">
        <f t="shared" si="117"/>
        <v>5819</v>
      </c>
      <c r="F115" s="104"/>
      <c r="G115" s="104"/>
      <c r="H115" s="104"/>
      <c r="I115" s="104"/>
      <c r="J115" s="104"/>
      <c r="K115" s="104"/>
      <c r="L115" s="104"/>
      <c r="M115" s="104"/>
      <c r="N115" s="104">
        <f t="shared" si="110"/>
        <v>0</v>
      </c>
      <c r="O115" s="104"/>
      <c r="P115" s="104"/>
      <c r="Q115" s="104">
        <f t="shared" si="111"/>
        <v>0</v>
      </c>
      <c r="R115" s="104">
        <f t="shared" si="112"/>
        <v>0</v>
      </c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>
        <f t="shared" si="113"/>
        <v>0</v>
      </c>
      <c r="AD115" s="104"/>
      <c r="AE115" s="104"/>
      <c r="AF115" s="104"/>
      <c r="AG115" s="104"/>
      <c r="AH115" s="104"/>
      <c r="AI115" s="104"/>
      <c r="AJ115" s="104"/>
      <c r="AK115" s="104">
        <f t="shared" si="114"/>
        <v>0</v>
      </c>
      <c r="AL115" s="104">
        <f t="shared" si="115"/>
        <v>0</v>
      </c>
      <c r="AM115" s="104">
        <f t="shared" si="116"/>
        <v>5819</v>
      </c>
    </row>
    <row r="116" spans="3:40" s="78" customFormat="1" ht="20.100000000000001" customHeight="1">
      <c r="D116" s="105" t="s">
        <v>66</v>
      </c>
      <c r="E116" s="105">
        <f t="shared" si="117"/>
        <v>300</v>
      </c>
      <c r="F116" s="105"/>
      <c r="G116" s="105"/>
      <c r="H116" s="105"/>
      <c r="I116" s="105"/>
      <c r="J116" s="105"/>
      <c r="K116" s="105"/>
      <c r="L116" s="105"/>
      <c r="M116" s="105"/>
      <c r="N116" s="105">
        <f t="shared" si="110"/>
        <v>0</v>
      </c>
      <c r="O116" s="105"/>
      <c r="P116" s="105"/>
      <c r="Q116" s="105">
        <f t="shared" si="111"/>
        <v>0</v>
      </c>
      <c r="R116" s="105">
        <f t="shared" si="112"/>
        <v>0</v>
      </c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>
        <f t="shared" si="113"/>
        <v>0</v>
      </c>
      <c r="AD116" s="105"/>
      <c r="AE116" s="105"/>
      <c r="AF116" s="105"/>
      <c r="AG116" s="105"/>
      <c r="AH116" s="105"/>
      <c r="AI116" s="105"/>
      <c r="AJ116" s="105"/>
      <c r="AK116" s="105">
        <f t="shared" si="114"/>
        <v>0</v>
      </c>
      <c r="AL116" s="105">
        <f t="shared" si="115"/>
        <v>0</v>
      </c>
      <c r="AM116" s="105">
        <f t="shared" si="116"/>
        <v>300</v>
      </c>
    </row>
    <row r="117" spans="3:40" s="78" customFormat="1" ht="20.100000000000001" customHeight="1">
      <c r="D117" s="105" t="s">
        <v>67</v>
      </c>
      <c r="E117" s="105">
        <f t="shared" si="117"/>
        <v>480</v>
      </c>
      <c r="F117" s="105"/>
      <c r="G117" s="105"/>
      <c r="H117" s="105"/>
      <c r="I117" s="105"/>
      <c r="J117" s="105"/>
      <c r="K117" s="105"/>
      <c r="L117" s="105"/>
      <c r="M117" s="105"/>
      <c r="N117" s="105">
        <f t="shared" si="110"/>
        <v>0</v>
      </c>
      <c r="O117" s="105"/>
      <c r="P117" s="105"/>
      <c r="Q117" s="105">
        <f t="shared" si="111"/>
        <v>0</v>
      </c>
      <c r="R117" s="105">
        <f t="shared" si="112"/>
        <v>0</v>
      </c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>
        <f t="shared" si="113"/>
        <v>0</v>
      </c>
      <c r="AD117" s="105"/>
      <c r="AE117" s="105"/>
      <c r="AF117" s="105"/>
      <c r="AG117" s="105"/>
      <c r="AH117" s="105"/>
      <c r="AI117" s="105"/>
      <c r="AJ117" s="105"/>
      <c r="AK117" s="105">
        <f t="shared" si="114"/>
        <v>0</v>
      </c>
      <c r="AL117" s="105">
        <f t="shared" si="115"/>
        <v>0</v>
      </c>
      <c r="AM117" s="105">
        <f t="shared" si="116"/>
        <v>480</v>
      </c>
    </row>
    <row r="118" spans="3:40" s="78" customFormat="1" ht="20.100000000000001" customHeight="1">
      <c r="D118" s="105" t="s">
        <v>60</v>
      </c>
      <c r="E118" s="105">
        <f t="shared" si="117"/>
        <v>1</v>
      </c>
      <c r="F118" s="105"/>
      <c r="G118" s="105"/>
      <c r="H118" s="105"/>
      <c r="I118" s="105"/>
      <c r="J118" s="105"/>
      <c r="K118" s="105"/>
      <c r="L118" s="105"/>
      <c r="M118" s="105"/>
      <c r="N118" s="105">
        <f t="shared" si="110"/>
        <v>0</v>
      </c>
      <c r="O118" s="105"/>
      <c r="P118" s="105"/>
      <c r="Q118" s="105">
        <f t="shared" si="111"/>
        <v>0</v>
      </c>
      <c r="R118" s="105">
        <f t="shared" si="112"/>
        <v>0</v>
      </c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>
        <f t="shared" si="113"/>
        <v>0</v>
      </c>
      <c r="AD118" s="105"/>
      <c r="AE118" s="105"/>
      <c r="AF118" s="105"/>
      <c r="AG118" s="105"/>
      <c r="AH118" s="105"/>
      <c r="AI118" s="105">
        <v>1</v>
      </c>
      <c r="AJ118" s="105"/>
      <c r="AK118" s="105">
        <f t="shared" si="114"/>
        <v>1</v>
      </c>
      <c r="AL118" s="105">
        <f t="shared" si="115"/>
        <v>1</v>
      </c>
      <c r="AM118" s="105">
        <f t="shared" si="116"/>
        <v>0</v>
      </c>
    </row>
    <row r="119" spans="3:40" s="78" customFormat="1" ht="20.100000000000001" customHeight="1" thickBot="1"/>
    <row r="120" spans="3:40" s="78" customFormat="1" ht="20.100000000000001" customHeight="1">
      <c r="C120" s="128" t="s">
        <v>90</v>
      </c>
      <c r="D120" s="129" t="s">
        <v>2</v>
      </c>
      <c r="E120" s="130">
        <f>SUM(E22:E27)</f>
        <v>0</v>
      </c>
      <c r="F120" s="131">
        <f>SUM(F22:F119)</f>
        <v>17000</v>
      </c>
      <c r="G120" s="131">
        <f>SUM(G22:G119)</f>
        <v>0</v>
      </c>
      <c r="H120" s="132"/>
      <c r="I120" s="132"/>
      <c r="J120" s="132"/>
      <c r="K120" s="132"/>
      <c r="L120" s="132"/>
      <c r="M120" s="132"/>
      <c r="N120" s="132"/>
      <c r="O120" s="131">
        <f>SUM(O22:O119)</f>
        <v>0</v>
      </c>
      <c r="P120" s="131">
        <f>SUM(P22:P119)</f>
        <v>0</v>
      </c>
      <c r="Q120" s="131">
        <f>SUM(O120:P120)</f>
        <v>0</v>
      </c>
      <c r="R120" s="130">
        <f>F120+G120+Q120</f>
        <v>17000</v>
      </c>
      <c r="S120" s="131">
        <f>SUM(S22:S119)</f>
        <v>3900</v>
      </c>
      <c r="T120" s="1153"/>
      <c r="U120" s="131">
        <f>SUM(U22:U119)</f>
        <v>3900</v>
      </c>
      <c r="V120" s="131">
        <f>SUM(V22:V119)</f>
        <v>0</v>
      </c>
      <c r="W120" s="132"/>
      <c r="X120" s="132"/>
      <c r="Y120" s="132"/>
      <c r="Z120" s="132"/>
      <c r="AA120" s="132"/>
      <c r="AB120" s="132"/>
      <c r="AC120" s="132"/>
      <c r="AD120" s="131">
        <f>SUM(AD22:AD119)</f>
        <v>0</v>
      </c>
      <c r="AE120" s="131">
        <f>SUM(AE22:AE119)</f>
        <v>0</v>
      </c>
      <c r="AF120" s="131">
        <f>SUM(AF22:AF119)</f>
        <v>0</v>
      </c>
      <c r="AG120" s="131"/>
      <c r="AH120" s="131"/>
      <c r="AI120" s="131"/>
      <c r="AJ120" s="131">
        <f>SUM(AJ22:AJ119)</f>
        <v>0</v>
      </c>
      <c r="AK120" s="131">
        <f>SUM(AD120:AJ120)</f>
        <v>0</v>
      </c>
      <c r="AL120" s="130">
        <f>U120+V120+AK120</f>
        <v>3900</v>
      </c>
      <c r="AM120" s="133">
        <f>E120+R120-AL120</f>
        <v>13100</v>
      </c>
      <c r="AN120" s="78">
        <f>E120+F120-AL120-AM120</f>
        <v>0</v>
      </c>
    </row>
    <row r="121" spans="3:40" s="78" customFormat="1" ht="20.100000000000001" customHeight="1">
      <c r="C121" s="134"/>
      <c r="D121" s="78" t="s">
        <v>4</v>
      </c>
      <c r="F121" s="78">
        <f>IF(F120=0,0,F122/F120)</f>
        <v>1000</v>
      </c>
      <c r="G121" s="135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78">
        <f>IF(R120=0,0,R122/R120)</f>
        <v>1000</v>
      </c>
      <c r="S121" s="87"/>
      <c r="T121" s="87"/>
      <c r="U121" s="78">
        <f>IF(U120=0,0,U122/U120)</f>
        <v>1000</v>
      </c>
      <c r="V121" s="135"/>
      <c r="W121" s="87"/>
      <c r="X121" s="87"/>
      <c r="Y121" s="87"/>
      <c r="Z121" s="87"/>
      <c r="AA121" s="87"/>
      <c r="AB121" s="87"/>
      <c r="AC121" s="87"/>
      <c r="AD121" s="78">
        <f>IF(AD120=0,0,$AM121)</f>
        <v>0</v>
      </c>
      <c r="AE121" s="78">
        <f>IF(AE120=0,0,$AM121)</f>
        <v>0</v>
      </c>
      <c r="AF121" s="78">
        <f>IF(AF120=0,0,$AM121)</f>
        <v>0</v>
      </c>
      <c r="AJ121" s="78">
        <f>IF(AJ120=0,0,$AM121)</f>
        <v>0</v>
      </c>
      <c r="AK121" s="78">
        <f>IF(AK120=0,0,AK122/AK120)</f>
        <v>0</v>
      </c>
      <c r="AL121" s="78">
        <f>IF(AL120=0,0,$AM121)</f>
        <v>1000</v>
      </c>
      <c r="AM121" s="136">
        <f>(E122+R122)/(E120+R120)</f>
        <v>1000</v>
      </c>
    </row>
    <row r="122" spans="3:40" s="78" customFormat="1" ht="20.100000000000001" customHeight="1" thickBot="1">
      <c r="C122" s="137"/>
      <c r="D122" s="138" t="s">
        <v>3</v>
      </c>
      <c r="E122" s="138"/>
      <c r="F122" s="138">
        <v>17000000</v>
      </c>
      <c r="G122" s="140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8">
        <f>F122+G122+Q122</f>
        <v>17000000</v>
      </c>
      <c r="S122" s="139"/>
      <c r="T122" s="139"/>
      <c r="U122" s="138">
        <f>E122+R122-V122-AK122-AM122</f>
        <v>3900000</v>
      </c>
      <c r="V122" s="140"/>
      <c r="W122" s="139"/>
      <c r="X122" s="139"/>
      <c r="Y122" s="139"/>
      <c r="Z122" s="139"/>
      <c r="AA122" s="139"/>
      <c r="AB122" s="139"/>
      <c r="AC122" s="139"/>
      <c r="AD122" s="138">
        <f>AD120*AD121</f>
        <v>0</v>
      </c>
      <c r="AE122" s="138">
        <f>AE120*AE121</f>
        <v>0</v>
      </c>
      <c r="AF122" s="138">
        <f>AF120*AF121</f>
        <v>0</v>
      </c>
      <c r="AG122" s="138"/>
      <c r="AH122" s="138"/>
      <c r="AI122" s="138"/>
      <c r="AJ122" s="138">
        <f>AJ120*AJ121</f>
        <v>0</v>
      </c>
      <c r="AK122" s="138">
        <f>SUM(AD122:AJ122)</f>
        <v>0</v>
      </c>
      <c r="AL122" s="138">
        <f>U122+V122+AK122</f>
        <v>3900000</v>
      </c>
      <c r="AM122" s="141">
        <f>AM120*AM121</f>
        <v>13100000</v>
      </c>
      <c r="AN122" s="78">
        <f>E122+F122-AL122-AM122</f>
        <v>0</v>
      </c>
    </row>
    <row r="123" spans="3:40" s="78" customFormat="1" ht="20.100000000000001" customHeight="1"/>
    <row r="124" spans="3:40" s="78" customFormat="1" ht="20.100000000000001" customHeight="1"/>
    <row r="125" spans="3:40" s="78" customFormat="1" ht="20.100000000000001" customHeight="1"/>
    <row r="126" spans="3:40" s="78" customFormat="1" ht="20.100000000000001" customHeight="1"/>
    <row r="127" spans="3:40" s="78" customFormat="1" ht="20.100000000000001" customHeight="1"/>
    <row r="128" spans="3:40" s="78" customFormat="1" ht="20.100000000000001" customHeight="1"/>
    <row r="129" s="78" customFormat="1" ht="20.100000000000001" customHeight="1"/>
    <row r="130" s="78" customFormat="1" ht="20.100000000000001" customHeight="1"/>
    <row r="131" s="78" customFormat="1" ht="20.100000000000001" customHeight="1"/>
    <row r="132" s="78" customFormat="1" ht="20.100000000000001" customHeight="1"/>
    <row r="133" s="78" customFormat="1" ht="20.100000000000001" customHeight="1"/>
    <row r="134" s="78" customFormat="1" ht="20.100000000000001" customHeight="1"/>
    <row r="135" s="78" customFormat="1" ht="20.100000000000001" customHeight="1"/>
    <row r="136" s="78" customFormat="1" ht="20.100000000000001" customHeight="1"/>
    <row r="137" s="78" customFormat="1" ht="20.100000000000001" customHeight="1"/>
    <row r="138" s="78" customFormat="1" ht="20.100000000000001" customHeight="1"/>
    <row r="139" s="78" customFormat="1" ht="20.100000000000001" customHeight="1"/>
    <row r="140" s="78" customFormat="1" ht="20.100000000000001" customHeight="1"/>
    <row r="141" s="78" customFormat="1" ht="20.100000000000001" customHeight="1"/>
    <row r="142" s="78" customFormat="1" ht="20.100000000000001" customHeight="1"/>
    <row r="143" s="78" customFormat="1" ht="20.100000000000001" customHeight="1"/>
    <row r="144" s="78" customFormat="1" ht="20.100000000000001" customHeight="1"/>
    <row r="145" s="78" customFormat="1" ht="20.100000000000001" customHeight="1"/>
    <row r="146" s="78" customFormat="1" ht="20.100000000000001" customHeight="1"/>
    <row r="147" s="78" customFormat="1" ht="20.100000000000001" customHeight="1"/>
    <row r="148" s="78" customFormat="1" ht="20.100000000000001" customHeight="1"/>
    <row r="149" s="78" customFormat="1" ht="20.100000000000001" customHeight="1"/>
    <row r="150" s="78" customFormat="1" ht="20.100000000000001" customHeight="1"/>
    <row r="151" s="78" customFormat="1" ht="20.100000000000001" customHeight="1"/>
    <row r="152" s="78" customFormat="1" ht="20.100000000000001" customHeight="1"/>
    <row r="153" s="78" customFormat="1" ht="20.100000000000001" customHeight="1"/>
    <row r="154" s="78" customFormat="1" ht="20.100000000000001" customHeight="1"/>
    <row r="155" s="78" customFormat="1" ht="20.100000000000001" customHeight="1"/>
    <row r="156" s="78" customFormat="1" ht="20.100000000000001" customHeight="1"/>
    <row r="157" s="78" customFormat="1" ht="20.100000000000001" customHeight="1"/>
    <row r="158" s="78" customFormat="1" ht="20.100000000000001" customHeight="1"/>
    <row r="159" s="78" customFormat="1" ht="20.100000000000001" customHeight="1"/>
    <row r="160" s="78" customFormat="1" ht="20.100000000000001" customHeight="1"/>
    <row r="161" s="78" customFormat="1" ht="20.100000000000001" customHeight="1"/>
    <row r="162" s="78" customFormat="1" ht="20.100000000000001" customHeight="1"/>
    <row r="163" s="78" customFormat="1" ht="20.100000000000001" customHeight="1"/>
    <row r="164" s="78" customFormat="1" ht="20.100000000000001" customHeight="1"/>
    <row r="165" s="78" customFormat="1" ht="20.100000000000001" customHeight="1"/>
    <row r="166" s="78" customFormat="1" ht="20.100000000000001" customHeight="1"/>
    <row r="167" s="78" customFormat="1" ht="20.100000000000001" customHeight="1"/>
    <row r="168" s="78" customFormat="1" ht="20.100000000000001" customHeight="1"/>
    <row r="169" s="78" customFormat="1" ht="20.100000000000001" customHeight="1"/>
    <row r="170" s="78" customFormat="1" ht="20.100000000000001" customHeight="1"/>
    <row r="171" s="78" customFormat="1" ht="20.100000000000001" customHeight="1"/>
    <row r="172" s="78" customFormat="1" ht="20.100000000000001" customHeight="1"/>
    <row r="173" s="78" customFormat="1" ht="20.100000000000001" customHeight="1"/>
    <row r="174" s="78" customFormat="1" ht="20.100000000000001" customHeight="1"/>
    <row r="175" s="78" customFormat="1" ht="20.100000000000001" customHeight="1"/>
    <row r="176" s="78" customFormat="1" ht="20.100000000000001" customHeight="1"/>
    <row r="177" s="78" customFormat="1" ht="20.100000000000001" customHeight="1"/>
    <row r="178" s="78" customFormat="1" ht="20.100000000000001" customHeight="1"/>
    <row r="179" s="78" customFormat="1" ht="20.100000000000001" customHeight="1"/>
    <row r="180" s="78" customFormat="1" ht="20.100000000000001" customHeight="1"/>
    <row r="181" s="78" customFormat="1" ht="20.100000000000001" customHeight="1"/>
    <row r="182" s="78" customFormat="1" ht="20.100000000000001" customHeight="1"/>
    <row r="183" s="78" customFormat="1" ht="20.100000000000001" customHeight="1"/>
    <row r="184" s="78" customFormat="1" ht="20.100000000000001" customHeight="1"/>
    <row r="185" s="78" customFormat="1" ht="20.100000000000001" customHeight="1"/>
    <row r="186" s="78" customFormat="1" ht="20.100000000000001" customHeight="1"/>
    <row r="187" s="78" customFormat="1" ht="20.100000000000001" customHeight="1"/>
    <row r="188" s="78" customFormat="1" ht="20.100000000000001" customHeight="1"/>
    <row r="189" s="78" customFormat="1" ht="20.100000000000001" customHeight="1"/>
    <row r="190" s="78" customFormat="1" ht="20.100000000000001" customHeight="1"/>
    <row r="191" s="78" customFormat="1" ht="20.100000000000001" customHeight="1"/>
    <row r="192" s="78" customFormat="1" ht="20.100000000000001" customHeight="1"/>
    <row r="193" s="78" customFormat="1" ht="20.100000000000001" customHeight="1"/>
    <row r="194" s="78" customFormat="1" ht="20.100000000000001" customHeight="1"/>
    <row r="195" s="78" customFormat="1" ht="20.100000000000001" customHeight="1"/>
    <row r="196" s="78" customFormat="1" ht="20.100000000000001" customHeight="1"/>
    <row r="197" s="78" customFormat="1" ht="20.100000000000001" customHeight="1"/>
    <row r="198" s="78" customFormat="1" ht="20.100000000000001" customHeight="1"/>
    <row r="199" s="78" customFormat="1" ht="20.100000000000001" customHeight="1"/>
    <row r="200" s="78" customFormat="1" ht="20.100000000000001" customHeight="1"/>
    <row r="201" s="78" customFormat="1" ht="20.100000000000001" customHeight="1"/>
    <row r="202" s="78" customFormat="1" ht="20.100000000000001" customHeight="1"/>
    <row r="203" s="78" customFormat="1" ht="20.100000000000001" customHeight="1"/>
    <row r="204" s="78" customFormat="1" ht="20.100000000000001" customHeight="1"/>
    <row r="205" s="78" customFormat="1" ht="20.100000000000001" customHeight="1"/>
    <row r="206" s="78" customFormat="1" ht="20.100000000000001" customHeight="1"/>
    <row r="207" s="78" customFormat="1" ht="20.100000000000001" customHeight="1"/>
    <row r="208" s="78" customFormat="1" ht="20.100000000000001" customHeight="1"/>
    <row r="209" s="78" customFormat="1" ht="20.100000000000001" customHeight="1"/>
    <row r="210" s="78" customFormat="1" ht="20.100000000000001" customHeight="1"/>
    <row r="211" s="78" customFormat="1" ht="20.100000000000001" customHeight="1"/>
    <row r="212" s="78" customFormat="1" ht="20.100000000000001" customHeight="1"/>
    <row r="213" s="78" customFormat="1" ht="20.100000000000001" customHeight="1"/>
    <row r="214" s="78" customFormat="1" ht="20.100000000000001" customHeight="1"/>
    <row r="215" s="78" customFormat="1" ht="20.100000000000001" customHeight="1"/>
    <row r="216" s="78" customFormat="1" ht="20.100000000000001" customHeight="1"/>
    <row r="217" s="78" customFormat="1" ht="20.100000000000001" customHeight="1"/>
    <row r="218" s="78" customFormat="1" ht="20.100000000000001" customHeight="1"/>
    <row r="219" s="78" customFormat="1" ht="20.100000000000001" customHeight="1"/>
    <row r="220" s="78" customFormat="1" ht="20.100000000000001" customHeight="1"/>
    <row r="221" s="78" customFormat="1" ht="20.100000000000001" customHeight="1"/>
    <row r="222" s="78" customFormat="1" ht="20.100000000000001" customHeight="1"/>
    <row r="223" s="78" customFormat="1" ht="20.100000000000001" customHeight="1"/>
    <row r="224" s="78" customFormat="1" ht="20.100000000000001" customHeight="1"/>
    <row r="225" s="78" customFormat="1" ht="20.100000000000001" customHeight="1"/>
    <row r="226" s="78" customFormat="1" ht="20.100000000000001" customHeight="1"/>
    <row r="227" s="78" customFormat="1" ht="20.100000000000001" customHeight="1"/>
    <row r="228" s="78" customFormat="1" ht="20.100000000000001" customHeight="1"/>
    <row r="229" s="78" customFormat="1" ht="20.100000000000001" customHeight="1"/>
    <row r="230" s="78" customFormat="1" ht="20.100000000000001" customHeight="1"/>
    <row r="231" s="78" customFormat="1" ht="20.100000000000001" customHeight="1"/>
    <row r="232" s="78" customFormat="1" ht="20.100000000000001" customHeight="1"/>
    <row r="233" s="78" customFormat="1" ht="20.100000000000001" customHeight="1"/>
    <row r="234" s="78" customFormat="1" ht="20.100000000000001" customHeight="1"/>
    <row r="235" s="78" customFormat="1" ht="20.100000000000001" customHeight="1"/>
    <row r="236" s="78" customFormat="1" ht="20.100000000000001" customHeight="1"/>
    <row r="237" s="78" customFormat="1" ht="20.100000000000001" customHeight="1"/>
    <row r="238" s="78" customFormat="1" ht="20.100000000000001" customHeight="1"/>
    <row r="239" s="78" customFormat="1" ht="20.100000000000001" customHeight="1"/>
    <row r="240" s="78" customFormat="1" ht="20.100000000000001" customHeight="1"/>
    <row r="241" s="78" customFormat="1" ht="20.100000000000001" customHeight="1"/>
    <row r="242" s="78" customFormat="1" ht="20.100000000000001" customHeight="1"/>
    <row r="243" s="78" customFormat="1" ht="20.100000000000001" customHeight="1"/>
    <row r="244" s="78" customFormat="1" ht="20.100000000000001" customHeight="1"/>
    <row r="245" s="78" customFormat="1" ht="20.100000000000001" customHeight="1"/>
    <row r="246" s="78" customFormat="1" ht="20.100000000000001" customHeight="1"/>
    <row r="247" s="78" customFormat="1" ht="20.100000000000001" customHeight="1"/>
    <row r="248" s="78" customFormat="1" ht="20.100000000000001" customHeight="1"/>
    <row r="249" s="78" customFormat="1" ht="20.100000000000001" customHeight="1"/>
    <row r="250" s="78" customFormat="1" ht="20.100000000000001" customHeight="1"/>
    <row r="251" s="78" customFormat="1" ht="20.100000000000001" customHeight="1"/>
    <row r="252" s="78" customFormat="1" ht="20.100000000000001" customHeight="1"/>
    <row r="253" s="78" customFormat="1" ht="20.100000000000001" customHeight="1"/>
    <row r="254" s="78" customFormat="1" ht="20.100000000000001" customHeight="1"/>
    <row r="255" s="78" customFormat="1" ht="20.100000000000001" customHeight="1"/>
    <row r="256" s="78" customFormat="1" ht="20.100000000000001" customHeight="1"/>
    <row r="257" s="78" customFormat="1" ht="20.100000000000001" customHeight="1"/>
    <row r="258" s="78" customFormat="1" ht="20.100000000000001" customHeight="1"/>
    <row r="259" s="78" customFormat="1" ht="20.100000000000001" customHeight="1"/>
    <row r="260" s="78" customFormat="1" ht="20.100000000000001" customHeight="1"/>
    <row r="261" s="78" customFormat="1" ht="20.100000000000001" customHeight="1"/>
    <row r="262" s="78" customFormat="1" ht="20.100000000000001" customHeight="1"/>
    <row r="263" s="78" customFormat="1" ht="20.100000000000001" customHeight="1"/>
    <row r="264" s="78" customFormat="1" ht="20.100000000000001" customHeight="1"/>
    <row r="265" s="78" customFormat="1" ht="20.100000000000001" customHeight="1"/>
    <row r="266" s="78" customFormat="1" ht="20.100000000000001" customHeight="1"/>
    <row r="267" s="78" customFormat="1" ht="20.100000000000001" customHeight="1"/>
    <row r="268" s="78" customFormat="1" ht="20.100000000000001" customHeight="1"/>
    <row r="269" s="78" customFormat="1" ht="20.100000000000001" customHeight="1"/>
    <row r="270" s="78" customFormat="1" ht="20.100000000000001" customHeight="1"/>
    <row r="271" s="78" customFormat="1" ht="20.100000000000001" customHeight="1"/>
    <row r="272" s="78" customFormat="1" ht="20.100000000000001" customHeight="1"/>
    <row r="273" s="78" customFormat="1" ht="20.100000000000001" customHeight="1"/>
    <row r="274" s="78" customFormat="1" ht="20.100000000000001" customHeight="1"/>
    <row r="275" s="78" customFormat="1" ht="20.100000000000001" customHeight="1"/>
    <row r="276" s="78" customFormat="1" ht="20.100000000000001" customHeight="1"/>
    <row r="277" s="78" customFormat="1" ht="20.100000000000001" customHeight="1"/>
    <row r="278" s="78" customFormat="1" ht="20.100000000000001" customHeight="1"/>
    <row r="279" s="78" customFormat="1" ht="20.100000000000001" customHeight="1"/>
    <row r="280" s="78" customFormat="1" ht="20.100000000000001" customHeight="1"/>
    <row r="281" s="78" customFormat="1" ht="20.100000000000001" customHeight="1"/>
    <row r="282" s="78" customFormat="1" ht="20.100000000000001" customHeight="1"/>
    <row r="283" s="78" customFormat="1" ht="20.100000000000001" customHeight="1"/>
    <row r="284" s="78" customFormat="1" ht="20.100000000000001" customHeight="1"/>
    <row r="285" s="78" customFormat="1" ht="20.100000000000001" customHeight="1"/>
    <row r="286" s="78" customFormat="1" ht="20.100000000000001" customHeight="1"/>
    <row r="287" s="78" customFormat="1" ht="20.100000000000001" customHeight="1"/>
    <row r="288" s="78" customFormat="1" ht="20.100000000000001" customHeight="1"/>
    <row r="289" s="78" customFormat="1" ht="20.100000000000001" customHeight="1"/>
    <row r="290" s="78" customFormat="1" ht="20.100000000000001" customHeight="1"/>
    <row r="291" s="78" customFormat="1" ht="20.100000000000001" customHeight="1"/>
    <row r="292" s="78" customFormat="1" ht="20.100000000000001" customHeight="1"/>
    <row r="293" s="78" customFormat="1" ht="20.100000000000001" customHeight="1"/>
    <row r="294" s="78" customFormat="1" ht="20.100000000000001" customHeight="1"/>
    <row r="295" s="78" customFormat="1" ht="20.100000000000001" customHeight="1"/>
    <row r="296" s="78" customFormat="1" ht="20.100000000000001" customHeight="1"/>
    <row r="297" s="78" customFormat="1" ht="20.100000000000001" customHeight="1"/>
    <row r="298" s="78" customFormat="1" ht="20.100000000000001" customHeight="1"/>
    <row r="299" s="78" customFormat="1" ht="20.100000000000001" customHeight="1"/>
    <row r="300" s="78" customFormat="1" ht="20.100000000000001" customHeight="1"/>
    <row r="301" s="78" customFormat="1" ht="20.100000000000001" customHeight="1"/>
    <row r="302" s="78" customFormat="1" ht="20.100000000000001" customHeight="1"/>
    <row r="303" s="78" customFormat="1" ht="20.100000000000001" customHeight="1"/>
    <row r="304" s="78" customFormat="1" ht="20.100000000000001" customHeight="1"/>
    <row r="305" s="78" customFormat="1" ht="20.100000000000001" customHeight="1"/>
    <row r="306" s="78" customFormat="1" ht="20.100000000000001" customHeight="1"/>
    <row r="307" s="78" customFormat="1" ht="20.100000000000001" customHeight="1"/>
    <row r="308" s="78" customFormat="1" ht="20.100000000000001" customHeight="1"/>
    <row r="309" s="78" customFormat="1" ht="20.100000000000001" customHeight="1"/>
    <row r="310" s="78" customFormat="1" ht="20.100000000000001" customHeight="1"/>
    <row r="311" s="78" customFormat="1" ht="20.100000000000001" customHeight="1"/>
    <row r="312" s="78" customFormat="1" ht="20.100000000000001" customHeight="1"/>
    <row r="313" s="78" customFormat="1" ht="20.100000000000001" customHeight="1"/>
    <row r="314" s="78" customFormat="1" ht="20.100000000000001" customHeight="1"/>
    <row r="315" s="78" customFormat="1" ht="20.100000000000001" customHeight="1"/>
    <row r="316" s="78" customFormat="1" ht="20.100000000000001" customHeight="1"/>
    <row r="317" s="78" customFormat="1" ht="20.100000000000001" customHeight="1"/>
    <row r="318" s="78" customFormat="1" ht="20.100000000000001" customHeight="1"/>
    <row r="319" s="78" customFormat="1" ht="20.100000000000001" customHeight="1"/>
    <row r="320" s="78" customFormat="1" ht="20.100000000000001" customHeight="1"/>
    <row r="321" s="78" customFormat="1" ht="20.100000000000001" customHeight="1"/>
    <row r="322" s="78" customFormat="1" ht="20.100000000000001" customHeight="1"/>
    <row r="323" s="78" customFormat="1" ht="20.100000000000001" customHeight="1"/>
    <row r="324" s="78" customFormat="1" ht="20.100000000000001" customHeight="1"/>
    <row r="325" s="78" customFormat="1" ht="20.100000000000001" customHeight="1"/>
    <row r="326" s="78" customFormat="1" ht="20.100000000000001" customHeight="1"/>
    <row r="327" s="78" customFormat="1" ht="20.100000000000001" customHeight="1"/>
    <row r="328" s="78" customFormat="1" ht="20.100000000000001" customHeight="1"/>
    <row r="329" s="78" customFormat="1" ht="20.100000000000001" customHeight="1"/>
    <row r="330" s="78" customFormat="1" ht="20.100000000000001" customHeight="1"/>
    <row r="331" s="78" customFormat="1" ht="20.100000000000001" customHeight="1"/>
    <row r="332" s="78" customFormat="1" ht="20.100000000000001" customHeight="1"/>
    <row r="333" s="78" customFormat="1" ht="20.100000000000001" customHeight="1"/>
    <row r="334" s="78" customFormat="1" ht="20.100000000000001" customHeight="1"/>
    <row r="335" s="78" customFormat="1" ht="20.100000000000001" customHeight="1"/>
    <row r="336" s="78" customFormat="1" ht="20.100000000000001" customHeight="1"/>
    <row r="337" s="78" customFormat="1" ht="20.100000000000001" customHeight="1"/>
    <row r="338" s="78" customFormat="1" ht="20.100000000000001" customHeight="1"/>
    <row r="339" s="78" customFormat="1" ht="20.100000000000001" customHeight="1"/>
    <row r="340" s="78" customFormat="1" ht="20.100000000000001" customHeight="1"/>
    <row r="341" s="78" customFormat="1" ht="20.100000000000001" customHeight="1"/>
    <row r="342" s="78" customFormat="1" ht="20.100000000000001" customHeight="1"/>
    <row r="343" s="78" customFormat="1" ht="20.100000000000001" customHeight="1"/>
    <row r="344" s="78" customFormat="1" ht="20.100000000000001" customHeight="1"/>
    <row r="345" s="78" customFormat="1" ht="20.100000000000001" customHeight="1"/>
    <row r="346" s="78" customFormat="1" ht="20.100000000000001" customHeight="1"/>
    <row r="347" s="78" customFormat="1" ht="20.100000000000001" customHeight="1"/>
    <row r="348" s="78" customFormat="1" ht="20.100000000000001" customHeight="1"/>
    <row r="349" s="78" customFormat="1" ht="20.100000000000001" customHeight="1"/>
    <row r="350" s="78" customFormat="1" ht="20.100000000000001" customHeight="1"/>
    <row r="351" s="78" customFormat="1" ht="20.100000000000001" customHeight="1"/>
    <row r="352" s="78" customFormat="1" ht="20.100000000000001" customHeight="1"/>
    <row r="353" s="78" customFormat="1" ht="20.100000000000001" customHeight="1"/>
    <row r="354" s="78" customFormat="1" ht="20.100000000000001" customHeight="1"/>
    <row r="355" s="78" customFormat="1" ht="20.100000000000001" customHeight="1"/>
    <row r="356" s="78" customFormat="1" ht="20.100000000000001" customHeight="1"/>
    <row r="357" s="78" customFormat="1" ht="20.100000000000001" customHeight="1"/>
    <row r="358" s="78" customFormat="1" ht="20.100000000000001" customHeight="1"/>
    <row r="359" s="78" customFormat="1" ht="20.100000000000001" customHeight="1"/>
    <row r="360" s="78" customFormat="1" ht="20.100000000000001" customHeight="1"/>
    <row r="361" s="78" customFormat="1" ht="20.100000000000001" customHeight="1"/>
    <row r="362" s="78" customFormat="1" ht="20.100000000000001" customHeight="1"/>
    <row r="363" s="78" customFormat="1" ht="20.100000000000001" customHeight="1"/>
    <row r="364" s="78" customFormat="1" ht="20.100000000000001" customHeight="1"/>
    <row r="365" s="78" customFormat="1" ht="20.100000000000001" customHeight="1"/>
    <row r="366" s="78" customFormat="1" ht="20.100000000000001" customHeight="1"/>
    <row r="367" s="78" customFormat="1" ht="20.100000000000001" customHeight="1"/>
    <row r="368" s="78" customFormat="1" ht="20.100000000000001" customHeight="1"/>
    <row r="369" s="78" customFormat="1" ht="20.100000000000001" customHeight="1"/>
    <row r="370" s="78" customFormat="1" ht="20.100000000000001" customHeight="1"/>
    <row r="371" s="78" customFormat="1" ht="20.100000000000001" customHeight="1"/>
    <row r="372" s="78" customFormat="1" ht="20.100000000000001" customHeight="1"/>
    <row r="373" s="78" customFormat="1" ht="20.100000000000001" customHeight="1"/>
    <row r="374" s="78" customFormat="1" ht="20.100000000000001" customHeight="1"/>
    <row r="375" s="78" customFormat="1" ht="20.100000000000001" customHeight="1"/>
    <row r="376" s="78" customFormat="1" ht="20.100000000000001" customHeight="1"/>
    <row r="377" s="78" customFormat="1" ht="20.100000000000001" customHeight="1"/>
    <row r="378" s="78" customFormat="1" ht="20.100000000000001" customHeight="1"/>
    <row r="379" s="78" customFormat="1" ht="20.100000000000001" customHeight="1"/>
    <row r="380" s="78" customFormat="1" ht="20.100000000000001" customHeight="1"/>
    <row r="381" s="78" customFormat="1" ht="20.100000000000001" customHeight="1"/>
    <row r="382" s="78" customFormat="1" ht="20.100000000000001" customHeight="1"/>
    <row r="383" s="78" customFormat="1" ht="20.100000000000001" customHeight="1"/>
    <row r="384" s="78" customFormat="1" ht="20.100000000000001" customHeight="1"/>
    <row r="385" s="78" customFormat="1" ht="20.100000000000001" customHeight="1"/>
    <row r="386" s="78" customFormat="1" ht="20.100000000000001" customHeight="1"/>
    <row r="387" s="78" customFormat="1" ht="20.100000000000001" customHeight="1"/>
    <row r="388" s="78" customFormat="1" ht="20.100000000000001" customHeight="1"/>
    <row r="389" s="78" customFormat="1" ht="20.100000000000001" customHeight="1"/>
    <row r="390" s="78" customFormat="1" ht="20.100000000000001" customHeight="1"/>
    <row r="391" s="78" customFormat="1" ht="20.100000000000001" customHeight="1"/>
    <row r="392" s="78" customFormat="1" ht="20.100000000000001" customHeight="1"/>
    <row r="393" s="78" customFormat="1" ht="20.100000000000001" customHeight="1"/>
    <row r="394" s="78" customFormat="1" ht="20.100000000000001" customHeight="1"/>
    <row r="395" s="78" customFormat="1" ht="20.100000000000001" customHeight="1"/>
    <row r="396" s="78" customFormat="1" ht="20.100000000000001" customHeight="1"/>
    <row r="397" s="78" customFormat="1" ht="20.100000000000001" customHeight="1"/>
    <row r="398" s="78" customFormat="1" ht="20.100000000000001" customHeight="1"/>
    <row r="399" s="78" customFormat="1" ht="20.100000000000001" customHeight="1"/>
    <row r="400" s="78" customFormat="1" ht="20.100000000000001" customHeight="1"/>
    <row r="401" s="78" customFormat="1" ht="20.100000000000001" customHeight="1"/>
    <row r="402" s="78" customFormat="1" ht="20.100000000000001" customHeight="1"/>
    <row r="403" s="78" customFormat="1" ht="20.100000000000001" customHeight="1"/>
    <row r="404" s="78" customFormat="1" ht="20.100000000000001" customHeight="1"/>
    <row r="405" s="78" customFormat="1" ht="20.100000000000001" customHeight="1"/>
    <row r="406" s="78" customFormat="1" ht="20.100000000000001" customHeight="1"/>
    <row r="407" s="78" customFormat="1" ht="20.100000000000001" customHeight="1"/>
    <row r="408" s="78" customFormat="1" ht="20.100000000000001" customHeight="1"/>
    <row r="409" s="78" customFormat="1" ht="20.100000000000001" customHeight="1"/>
    <row r="410" s="78" customFormat="1" ht="20.100000000000001" customHeight="1"/>
    <row r="411" s="78" customFormat="1" ht="20.100000000000001" customHeight="1"/>
    <row r="412" s="78" customFormat="1" ht="20.100000000000001" customHeight="1"/>
    <row r="413" s="78" customFormat="1" ht="20.100000000000001" customHeight="1"/>
    <row r="414" s="78" customFormat="1" ht="20.100000000000001" customHeight="1"/>
    <row r="415" s="78" customFormat="1" ht="20.100000000000001" customHeight="1"/>
    <row r="416" s="78" customFormat="1" ht="20.100000000000001" customHeight="1"/>
    <row r="417" s="78" customFormat="1" ht="20.100000000000001" customHeight="1"/>
    <row r="418" s="78" customFormat="1" ht="20.100000000000001" customHeight="1"/>
    <row r="419" s="78" customFormat="1" ht="20.100000000000001" customHeight="1"/>
    <row r="420" s="78" customFormat="1" ht="20.100000000000001" customHeight="1"/>
    <row r="421" s="78" customFormat="1" ht="20.100000000000001" customHeight="1"/>
    <row r="422" s="78" customFormat="1" ht="20.100000000000001" customHeight="1"/>
    <row r="423" s="78" customFormat="1" ht="20.100000000000001" customHeight="1"/>
    <row r="424" s="78" customFormat="1" ht="20.100000000000001" customHeight="1"/>
    <row r="425" s="78" customFormat="1" ht="20.100000000000001" customHeight="1"/>
    <row r="426" s="78" customFormat="1" ht="20.100000000000001" customHeight="1"/>
    <row r="427" s="78" customFormat="1" ht="20.100000000000001" customHeight="1"/>
    <row r="428" s="78" customFormat="1" ht="20.100000000000001" customHeight="1"/>
    <row r="429" s="78" customFormat="1" ht="20.100000000000001" customHeight="1"/>
    <row r="430" s="78" customFormat="1" ht="20.100000000000001" customHeight="1"/>
    <row r="431" s="78" customFormat="1" ht="20.100000000000001" customHeight="1"/>
    <row r="432" s="78" customFormat="1" ht="20.100000000000001" customHeight="1"/>
    <row r="433" s="78" customFormat="1" ht="20.100000000000001" customHeight="1"/>
    <row r="434" s="78" customFormat="1" ht="20.100000000000001" customHeight="1"/>
    <row r="435" s="78" customFormat="1" ht="20.100000000000001" customHeight="1"/>
    <row r="436" s="78" customFormat="1" ht="20.100000000000001" customHeight="1"/>
    <row r="437" s="78" customFormat="1" ht="20.100000000000001" customHeight="1"/>
    <row r="438" s="78" customFormat="1" ht="20.100000000000001" customHeight="1"/>
    <row r="439" s="78" customFormat="1" ht="20.100000000000001" customHeight="1"/>
    <row r="440" s="78" customFormat="1" ht="20.100000000000001" customHeight="1"/>
    <row r="441" s="78" customFormat="1" ht="20.100000000000001" customHeight="1"/>
    <row r="442" s="78" customFormat="1" ht="20.100000000000001" customHeight="1"/>
    <row r="443" s="78" customFormat="1" ht="20.100000000000001" customHeight="1"/>
    <row r="444" s="78" customFormat="1" ht="20.100000000000001" customHeight="1"/>
    <row r="445" s="78" customFormat="1" ht="20.100000000000001" customHeight="1"/>
    <row r="446" s="78" customFormat="1" ht="20.100000000000001" customHeight="1"/>
    <row r="447" s="78" customFormat="1" ht="20.100000000000001" customHeight="1"/>
  </sheetData>
  <mergeCells count="2">
    <mergeCell ref="R12:R13"/>
    <mergeCell ref="AL12:AL13"/>
  </mergeCells>
  <phoneticPr fontId="2" type="noConversion"/>
  <pageMargins left="0.39370078740157483" right="0.39370078740157483" top="0.39370078740157483" bottom="0.39370078740157483" header="0" footer="0"/>
  <pageSetup paperSize="9" scale="72" orientation="landscape" r:id="rId1"/>
  <colBreaks count="1" manualBreakCount="1">
    <brk id="14" min="1" max="27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G2:Y45"/>
  <sheetViews>
    <sheetView showGridLines="0" zoomScaleNormal="100" workbookViewId="0">
      <selection activeCell="W40" sqref="W40"/>
    </sheetView>
  </sheetViews>
  <sheetFormatPr defaultRowHeight="20.100000000000001" customHeight="1" outlineLevelRow="2"/>
  <cols>
    <col min="1" max="6" width="9.140625" style="78"/>
    <col min="7" max="7" width="5.5703125" style="78" customWidth="1"/>
    <col min="8" max="8" width="7.7109375" style="78" customWidth="1"/>
    <col min="9" max="9" width="7.85546875" style="78" customWidth="1"/>
    <col min="10" max="23" width="11.140625" style="78" customWidth="1"/>
    <col min="24" max="24" width="12.28515625" style="78" customWidth="1"/>
    <col min="25" max="25" width="11.85546875" style="78" customWidth="1"/>
    <col min="26" max="16384" width="9.140625" style="78"/>
  </cols>
  <sheetData>
    <row r="2" spans="7:8" customFormat="1" ht="34.5" customHeight="1">
      <c r="G2" s="119" t="s">
        <v>85</v>
      </c>
    </row>
    <row r="3" spans="7:8" customFormat="1" ht="20.100000000000001" customHeight="1"/>
    <row r="4" spans="7:8" ht="20.100000000000001" customHeight="1">
      <c r="G4" s="86" t="s">
        <v>20</v>
      </c>
    </row>
    <row r="5" spans="7:8" ht="20.100000000000001" customHeight="1">
      <c r="G5" s="143" t="s">
        <v>408</v>
      </c>
    </row>
    <row r="6" spans="7:8" ht="9.9499999999999993" customHeight="1">
      <c r="G6" s="120"/>
    </row>
    <row r="7" spans="7:8" ht="20.100000000000001" customHeight="1">
      <c r="G7" s="143" t="s">
        <v>97</v>
      </c>
    </row>
    <row r="8" spans="7:8" ht="20.100000000000001" customHeight="1">
      <c r="G8" s="143" t="s">
        <v>99</v>
      </c>
    </row>
    <row r="9" spans="7:8" ht="20.100000000000001" customHeight="1">
      <c r="G9" s="143"/>
      <c r="H9" s="86" t="s">
        <v>95</v>
      </c>
    </row>
    <row r="10" spans="7:8" ht="20.100000000000001" customHeight="1">
      <c r="G10" s="143"/>
      <c r="H10" s="142" t="s">
        <v>96</v>
      </c>
    </row>
    <row r="11" spans="7:8" ht="20.100000000000001" customHeight="1">
      <c r="G11" s="143"/>
      <c r="H11" s="142" t="s">
        <v>98</v>
      </c>
    </row>
    <row r="12" spans="7:8" ht="9.9499999999999993" customHeight="1">
      <c r="G12" s="120"/>
    </row>
    <row r="13" spans="7:8" ht="20.100000000000001" customHeight="1">
      <c r="G13" s="120" t="s">
        <v>91</v>
      </c>
    </row>
    <row r="14" spans="7:8" ht="20.100000000000001" customHeight="1">
      <c r="G14" s="120" t="s">
        <v>92</v>
      </c>
    </row>
    <row r="15" spans="7:8" s="79" customFormat="1" ht="20.100000000000001" customHeight="1"/>
    <row r="16" spans="7:8" ht="6" customHeight="1" thickBot="1"/>
    <row r="17" spans="7:25" s="79" customFormat="1" ht="20.100000000000001" customHeight="1">
      <c r="G17" s="83"/>
      <c r="H17" s="83"/>
      <c r="I17" s="83"/>
      <c r="J17" s="83"/>
      <c r="K17" s="83"/>
      <c r="L17" s="121" t="s">
        <v>5</v>
      </c>
      <c r="M17" s="98"/>
      <c r="N17" s="98"/>
      <c r="O17" s="98"/>
      <c r="P17" s="98"/>
      <c r="Q17" s="123" t="s">
        <v>10</v>
      </c>
      <c r="R17" s="124"/>
      <c r="S17" s="124"/>
      <c r="T17" s="124"/>
      <c r="U17" s="124"/>
      <c r="V17" s="124"/>
      <c r="W17" s="84" t="s">
        <v>15</v>
      </c>
      <c r="Y17" s="88" t="s">
        <v>25</v>
      </c>
    </row>
    <row r="18" spans="7:25" s="79" customFormat="1" ht="20.100000000000001" customHeight="1">
      <c r="G18" s="85" t="s">
        <v>18</v>
      </c>
      <c r="H18" s="85"/>
      <c r="I18" s="85"/>
      <c r="J18" s="85"/>
      <c r="K18" s="99" t="s">
        <v>1</v>
      </c>
      <c r="L18" s="1180" t="s">
        <v>44</v>
      </c>
      <c r="M18" s="1180" t="s">
        <v>6</v>
      </c>
      <c r="N18" s="101" t="s">
        <v>7</v>
      </c>
      <c r="O18" s="101"/>
      <c r="P18" s="96" t="s">
        <v>13</v>
      </c>
      <c r="Q18" s="1182" t="s">
        <v>11</v>
      </c>
      <c r="R18" s="125"/>
      <c r="S18" s="125"/>
      <c r="T18" s="125"/>
      <c r="U18" s="125"/>
      <c r="V18" s="126" t="s">
        <v>14</v>
      </c>
      <c r="W18" s="99" t="s">
        <v>16</v>
      </c>
      <c r="Y18" s="88" t="s">
        <v>26</v>
      </c>
    </row>
    <row r="19" spans="7:25" s="79" customFormat="1" ht="20.100000000000001" customHeight="1" thickBot="1">
      <c r="G19" s="93"/>
      <c r="H19" s="93"/>
      <c r="I19" s="93"/>
      <c r="J19" s="93"/>
      <c r="K19" s="93"/>
      <c r="L19" s="1181"/>
      <c r="M19" s="1181"/>
      <c r="N19" s="122" t="s">
        <v>507</v>
      </c>
      <c r="O19" s="122" t="s">
        <v>9</v>
      </c>
      <c r="P19" s="97"/>
      <c r="Q19" s="1183"/>
      <c r="R19" s="127" t="s">
        <v>12</v>
      </c>
      <c r="S19" s="127" t="s">
        <v>21</v>
      </c>
      <c r="T19" s="127" t="s">
        <v>23</v>
      </c>
      <c r="U19" s="127" t="s">
        <v>22</v>
      </c>
      <c r="V19" s="127"/>
      <c r="W19" s="93"/>
    </row>
    <row r="20" spans="7:25" s="81" customFormat="1" ht="20.100000000000001" customHeight="1">
      <c r="G20" s="80" t="s">
        <v>0</v>
      </c>
      <c r="J20" s="82" t="s">
        <v>2</v>
      </c>
      <c r="K20" s="81">
        <f>K24+K27+K30+K33</f>
        <v>720</v>
      </c>
      <c r="L20" s="81">
        <f>L24+L27+L30+L33</f>
        <v>1220</v>
      </c>
      <c r="M20" s="81">
        <f>M24+M27+M30+M33</f>
        <v>120</v>
      </c>
      <c r="N20" s="81">
        <f>N24+N27+N30+N33</f>
        <v>3</v>
      </c>
      <c r="O20" s="81">
        <f>O24+O27+O30+O33</f>
        <v>0</v>
      </c>
      <c r="P20" s="81">
        <f>SUM(L20:O20)</f>
        <v>1343</v>
      </c>
      <c r="Q20" s="81">
        <f>Q24+Q27+Q30+Q33</f>
        <v>725</v>
      </c>
      <c r="R20" s="81">
        <f>R24+R27+R30+R33</f>
        <v>50</v>
      </c>
      <c r="S20" s="81">
        <f>S24+S27+S30+S33</f>
        <v>4</v>
      </c>
      <c r="T20" s="81">
        <f>T24+T27+T30+T33</f>
        <v>1</v>
      </c>
      <c r="U20" s="81">
        <f>U24+U27+U30+U33</f>
        <v>2</v>
      </c>
      <c r="V20" s="81">
        <f>SUM(Q20:U20)</f>
        <v>782</v>
      </c>
      <c r="W20" s="81">
        <f>K20+P20-V20</f>
        <v>1281</v>
      </c>
      <c r="X20" s="81">
        <f>K20+P20-V20-W20</f>
        <v>0</v>
      </c>
      <c r="Y20" s="78">
        <f>K20+L20</f>
        <v>1940</v>
      </c>
    </row>
    <row r="21" spans="7:25" ht="20.100000000000001" customHeight="1">
      <c r="J21" s="79" t="s">
        <v>4</v>
      </c>
      <c r="K21" s="78">
        <v>1000</v>
      </c>
      <c r="L21" s="78">
        <f>L22/L20</f>
        <v>1147.5409836065573</v>
      </c>
      <c r="M21" s="78">
        <f>M22/M20</f>
        <v>933.33333333333337</v>
      </c>
      <c r="N21" s="87"/>
      <c r="O21" s="87"/>
      <c r="P21" s="78">
        <f>P22/P20</f>
        <v>1125.8376768428891</v>
      </c>
      <c r="Q21" s="78">
        <f>Q22/Q20</f>
        <v>1081.1702953136867</v>
      </c>
      <c r="R21" s="78">
        <f>Y21</f>
        <v>1092.7835051546392</v>
      </c>
      <c r="S21" s="78">
        <f>$W21</f>
        <v>1081.9195346582646</v>
      </c>
      <c r="T21" s="78">
        <f>$W21</f>
        <v>1081.9195346582646</v>
      </c>
      <c r="U21" s="78">
        <f>$W21</f>
        <v>1081.9195346582646</v>
      </c>
      <c r="V21" s="78">
        <f>V22/V20</f>
        <v>1081.9195346582642</v>
      </c>
      <c r="W21" s="78">
        <f>(K22+P22)/(K20+P20)</f>
        <v>1081.9195346582646</v>
      </c>
      <c r="Y21" s="78">
        <f>Y22/Y20</f>
        <v>1092.7835051546392</v>
      </c>
    </row>
    <row r="22" spans="7:25" ht="20.100000000000001" customHeight="1">
      <c r="J22" s="79" t="s">
        <v>3</v>
      </c>
      <c r="K22" s="78">
        <f>K20*K21</f>
        <v>720000</v>
      </c>
      <c r="L22" s="78">
        <v>1400000</v>
      </c>
      <c r="M22" s="78">
        <f>R41+R45</f>
        <v>112000</v>
      </c>
      <c r="N22" s="87"/>
      <c r="O22" s="87"/>
      <c r="P22" s="89">
        <f>SUM(L22:O22)</f>
        <v>1512000</v>
      </c>
      <c r="Q22" s="90">
        <f>K22+P22-R22-S22-T22-U22-W22</f>
        <v>783848.46410242282</v>
      </c>
      <c r="R22" s="78">
        <f>R20*R21</f>
        <v>54639.175257731964</v>
      </c>
      <c r="S22" s="78">
        <f>S20*S21</f>
        <v>4327.6781386330586</v>
      </c>
      <c r="T22" s="78">
        <f>T20*T21</f>
        <v>1081.9195346582646</v>
      </c>
      <c r="U22" s="78">
        <f>U20*U21</f>
        <v>2163.8390693165293</v>
      </c>
      <c r="V22" s="81">
        <f>SUM(Q22:U22)</f>
        <v>846061.0761027626</v>
      </c>
      <c r="W22" s="91">
        <f>W20*W21</f>
        <v>1385938.9238972371</v>
      </c>
      <c r="X22" s="81">
        <f>K22+P22-V22-W22</f>
        <v>0</v>
      </c>
      <c r="Y22" s="78">
        <f>K22+L22</f>
        <v>2120000</v>
      </c>
    </row>
    <row r="23" spans="7:25" ht="9.9499999999999993" customHeight="1" outlineLevel="1" thickBot="1"/>
    <row r="24" spans="7:25" s="81" customFormat="1" ht="20.100000000000001" customHeight="1" outlineLevel="1">
      <c r="H24" s="162" t="s">
        <v>17</v>
      </c>
      <c r="I24" s="163">
        <v>90</v>
      </c>
      <c r="J24" s="170" t="s">
        <v>2</v>
      </c>
      <c r="K24" s="153">
        <v>500</v>
      </c>
      <c r="L24" s="153">
        <v>700</v>
      </c>
      <c r="M24" s="153">
        <v>50</v>
      </c>
      <c r="N24" s="153">
        <v>1</v>
      </c>
      <c r="O24" s="153"/>
      <c r="P24" s="153">
        <f>SUM(L24:O24)</f>
        <v>751</v>
      </c>
      <c r="Q24" s="153">
        <v>300</v>
      </c>
      <c r="R24" s="153"/>
      <c r="S24" s="153">
        <v>2</v>
      </c>
      <c r="T24" s="153"/>
      <c r="U24" s="153"/>
      <c r="V24" s="153">
        <f>SUM(Q24:U24)</f>
        <v>302</v>
      </c>
      <c r="W24" s="154">
        <f>K24+P24-V24</f>
        <v>949</v>
      </c>
      <c r="X24" s="81">
        <f>K24+P24-V24-W24</f>
        <v>0</v>
      </c>
      <c r="Y24" s="78"/>
    </row>
    <row r="25" spans="7:25" ht="20.100000000000001" customHeight="1" outlineLevel="1">
      <c r="H25" s="164"/>
      <c r="I25" s="165"/>
      <c r="J25" s="171" t="s">
        <v>4</v>
      </c>
      <c r="K25" s="155">
        <f>K$21</f>
        <v>1000</v>
      </c>
      <c r="L25" s="155">
        <f>L$21</f>
        <v>1147.5409836065573</v>
      </c>
      <c r="M25" s="155">
        <f t="shared" ref="M25:Q25" si="0">M$21</f>
        <v>933.33333333333337</v>
      </c>
      <c r="N25" s="87"/>
      <c r="O25" s="87"/>
      <c r="P25" s="78">
        <f>P26/P24</f>
        <v>1131.7514716261742</v>
      </c>
      <c r="Q25" s="155">
        <f t="shared" si="0"/>
        <v>1081.1702953136867</v>
      </c>
      <c r="R25" s="156"/>
      <c r="S25" s="155">
        <f>S$21</f>
        <v>1081.9195346582646</v>
      </c>
      <c r="T25" s="155">
        <f>T$21</f>
        <v>1081.9195346582646</v>
      </c>
      <c r="U25" s="155">
        <f>U$21</f>
        <v>1081.9195346582646</v>
      </c>
      <c r="V25" s="78">
        <f>V26/V24</f>
        <v>1081.1752571636507</v>
      </c>
      <c r="W25" s="1150">
        <f t="shared" ref="W25" si="1">W$21</f>
        <v>1081.9195346582646</v>
      </c>
      <c r="Y25" s="94" t="s">
        <v>1625</v>
      </c>
    </row>
    <row r="26" spans="7:25" ht="20.100000000000001" customHeight="1" outlineLevel="1">
      <c r="H26" s="164"/>
      <c r="I26" s="165"/>
      <c r="J26" s="171" t="s">
        <v>3</v>
      </c>
      <c r="K26" s="78">
        <f>K24*K25</f>
        <v>500000</v>
      </c>
      <c r="L26" s="78">
        <f>L24*L25</f>
        <v>803278.68852459011</v>
      </c>
      <c r="M26" s="78">
        <f t="shared" ref="M26:Q26" si="2">M24*M25</f>
        <v>46666.666666666672</v>
      </c>
      <c r="N26" s="87"/>
      <c r="O26" s="87"/>
      <c r="P26" s="78">
        <f>SUM(L26:O26)</f>
        <v>849945.35519125673</v>
      </c>
      <c r="Q26" s="78">
        <f t="shared" si="2"/>
        <v>324351.08859410603</v>
      </c>
      <c r="S26" s="78">
        <f t="shared" ref="S26" si="3">S24*S25</f>
        <v>2163.8390693165293</v>
      </c>
      <c r="T26" s="78">
        <f t="shared" ref="T26" si="4">T24*T25</f>
        <v>0</v>
      </c>
      <c r="U26" s="78">
        <f t="shared" ref="U26" si="5">U24*U25</f>
        <v>0</v>
      </c>
      <c r="V26" s="89">
        <f>SUM(Q26:U26)</f>
        <v>326514.92766342254</v>
      </c>
      <c r="W26" s="157">
        <f t="shared" ref="W26" si="6">W24*W25</f>
        <v>1026741.6383906931</v>
      </c>
      <c r="X26" s="81">
        <f>K26+P26-V26-W26</f>
        <v>-3311.210862858803</v>
      </c>
    </row>
    <row r="27" spans="7:25" s="81" customFormat="1" ht="20.100000000000001" customHeight="1" outlineLevel="1">
      <c r="H27" s="166" t="s">
        <v>17</v>
      </c>
      <c r="I27" s="167">
        <v>100</v>
      </c>
      <c r="J27" s="172" t="s">
        <v>2</v>
      </c>
      <c r="K27" s="81">
        <v>100</v>
      </c>
      <c r="L27" s="81">
        <v>300</v>
      </c>
      <c r="M27" s="81">
        <v>30</v>
      </c>
      <c r="N27" s="81">
        <v>2</v>
      </c>
      <c r="P27" s="81">
        <f>SUM(L27:O27)</f>
        <v>332</v>
      </c>
      <c r="Q27" s="81">
        <v>250</v>
      </c>
      <c r="S27" s="81">
        <v>1</v>
      </c>
      <c r="V27" s="81">
        <f>SUM(Q27:U27)</f>
        <v>251</v>
      </c>
      <c r="W27" s="158">
        <f>K27+P27-V27</f>
        <v>181</v>
      </c>
      <c r="X27" s="81">
        <f>K27+P27-V27-W27</f>
        <v>0</v>
      </c>
      <c r="Y27" s="78"/>
    </row>
    <row r="28" spans="7:25" ht="20.100000000000001" customHeight="1" outlineLevel="1">
      <c r="H28" s="164"/>
      <c r="I28" s="165"/>
      <c r="J28" s="171" t="s">
        <v>4</v>
      </c>
      <c r="K28" s="155">
        <f>K$21</f>
        <v>1000</v>
      </c>
      <c r="L28" s="155">
        <f t="shared" ref="L28:Q28" si="7">L$21</f>
        <v>1147.5409836065573</v>
      </c>
      <c r="M28" s="155">
        <f t="shared" si="7"/>
        <v>933.33333333333337</v>
      </c>
      <c r="N28" s="87"/>
      <c r="O28" s="87"/>
      <c r="P28" s="78">
        <f t="shared" ref="P28" si="8">P29/P27</f>
        <v>1121.2719731384555</v>
      </c>
      <c r="Q28" s="155">
        <f t="shared" si="7"/>
        <v>1081.1702953136867</v>
      </c>
      <c r="R28" s="156"/>
      <c r="S28" s="155">
        <f>S$21</f>
        <v>1081.9195346582646</v>
      </c>
      <c r="T28" s="155">
        <f>T$21</f>
        <v>1081.9195346582646</v>
      </c>
      <c r="U28" s="155">
        <f>U$21</f>
        <v>1081.9195346582646</v>
      </c>
      <c r="V28" s="78">
        <f t="shared" ref="V28" si="9">V29/V27</f>
        <v>1081.1732803309956</v>
      </c>
      <c r="W28" s="1150">
        <f t="shared" ref="W28" si="10">W$21</f>
        <v>1081.9195346582646</v>
      </c>
      <c r="X28" s="94"/>
      <c r="Y28" s="94" t="s">
        <v>1625</v>
      </c>
    </row>
    <row r="29" spans="7:25" ht="20.100000000000001" customHeight="1" outlineLevel="1">
      <c r="H29" s="164"/>
      <c r="I29" s="165"/>
      <c r="J29" s="171" t="s">
        <v>3</v>
      </c>
      <c r="K29" s="78">
        <f>K27*K28</f>
        <v>100000</v>
      </c>
      <c r="L29" s="78">
        <f t="shared" ref="L29:Q29" si="11">L27*L28</f>
        <v>344262.2950819672</v>
      </c>
      <c r="M29" s="78">
        <f t="shared" si="11"/>
        <v>28000</v>
      </c>
      <c r="N29" s="87"/>
      <c r="O29" s="87"/>
      <c r="P29" s="78">
        <f>SUM(L29:O29)</f>
        <v>372262.2950819672</v>
      </c>
      <c r="Q29" s="78">
        <f t="shared" si="11"/>
        <v>270292.57382842165</v>
      </c>
      <c r="S29" s="78">
        <f t="shared" ref="S29" si="12">S27*S28</f>
        <v>1081.9195346582646</v>
      </c>
      <c r="T29" s="78">
        <f t="shared" ref="T29" si="13">T27*T28</f>
        <v>0</v>
      </c>
      <c r="U29" s="78">
        <f t="shared" ref="U29" si="14">U27*U28</f>
        <v>0</v>
      </c>
      <c r="V29" s="89">
        <f>SUM(Q29:U29)</f>
        <v>271374.49336307991</v>
      </c>
      <c r="W29" s="157">
        <f t="shared" ref="W29" si="15">W27*W28</f>
        <v>195827.4357731459</v>
      </c>
      <c r="X29" s="81">
        <f>K29+P29-V29-W29</f>
        <v>5060.3659457413887</v>
      </c>
    </row>
    <row r="30" spans="7:25" s="81" customFormat="1" ht="20.100000000000001" customHeight="1" outlineLevel="1">
      <c r="H30" s="166" t="s">
        <v>19</v>
      </c>
      <c r="I30" s="167">
        <v>90</v>
      </c>
      <c r="J30" s="172" t="s">
        <v>2</v>
      </c>
      <c r="K30" s="81">
        <v>50</v>
      </c>
      <c r="L30" s="81">
        <v>100</v>
      </c>
      <c r="M30" s="81">
        <v>40</v>
      </c>
      <c r="P30" s="81">
        <f>SUM(L30:O30)</f>
        <v>140</v>
      </c>
      <c r="Q30" s="81">
        <v>95</v>
      </c>
      <c r="T30" s="81">
        <v>1</v>
      </c>
      <c r="V30" s="81">
        <f>SUM(Q30:U30)</f>
        <v>96</v>
      </c>
      <c r="W30" s="158">
        <f>K30+P30-V30</f>
        <v>94</v>
      </c>
      <c r="X30" s="81">
        <f>K30+P30-V30-W30</f>
        <v>0</v>
      </c>
      <c r="Y30" s="78"/>
    </row>
    <row r="31" spans="7:25" ht="20.100000000000001" customHeight="1" outlineLevel="1">
      <c r="H31" s="164"/>
      <c r="I31" s="165"/>
      <c r="J31" s="171" t="s">
        <v>4</v>
      </c>
      <c r="K31" s="155">
        <f>K$21</f>
        <v>1000</v>
      </c>
      <c r="L31" s="155">
        <f t="shared" ref="L31:Q31" si="16">L$21</f>
        <v>1147.5409836065573</v>
      </c>
      <c r="M31" s="155">
        <f t="shared" si="16"/>
        <v>933.33333333333337</v>
      </c>
      <c r="N31" s="87"/>
      <c r="O31" s="87"/>
      <c r="P31" s="78">
        <f t="shared" ref="P31" si="17">P32/P30</f>
        <v>1086.3387978142077</v>
      </c>
      <c r="Q31" s="155">
        <f t="shared" si="16"/>
        <v>1081.1702953136867</v>
      </c>
      <c r="R31" s="156"/>
      <c r="S31" s="155">
        <f>S$21</f>
        <v>1081.9195346582646</v>
      </c>
      <c r="T31" s="155">
        <f>T$21</f>
        <v>1081.9195346582646</v>
      </c>
      <c r="U31" s="155">
        <f>U$21</f>
        <v>1081.9195346582646</v>
      </c>
      <c r="V31" s="78">
        <f t="shared" ref="V31" si="18">V32/V30</f>
        <v>1081.1780998901927</v>
      </c>
      <c r="W31" s="1150">
        <f t="shared" ref="W31" si="19">W$21</f>
        <v>1081.9195346582646</v>
      </c>
      <c r="X31" s="94"/>
      <c r="Y31" s="94" t="s">
        <v>1625</v>
      </c>
    </row>
    <row r="32" spans="7:25" ht="20.100000000000001" customHeight="1" outlineLevel="1">
      <c r="H32" s="164"/>
      <c r="I32" s="165"/>
      <c r="J32" s="171" t="s">
        <v>3</v>
      </c>
      <c r="K32" s="78">
        <f>K30*K31</f>
        <v>50000</v>
      </c>
      <c r="L32" s="78">
        <f t="shared" ref="L32:Q32" si="20">L30*L31</f>
        <v>114754.09836065574</v>
      </c>
      <c r="M32" s="78">
        <f t="shared" si="20"/>
        <v>37333.333333333336</v>
      </c>
      <c r="N32" s="87"/>
      <c r="O32" s="87"/>
      <c r="P32" s="78">
        <f>SUM(L32:O32)</f>
        <v>152087.43169398909</v>
      </c>
      <c r="Q32" s="78">
        <f t="shared" si="20"/>
        <v>102711.17805480023</v>
      </c>
      <c r="S32" s="78">
        <f t="shared" ref="S32" si="21">S30*S31</f>
        <v>0</v>
      </c>
      <c r="T32" s="78">
        <f t="shared" ref="T32" si="22">T30*T31</f>
        <v>1081.9195346582646</v>
      </c>
      <c r="U32" s="78">
        <f t="shared" ref="U32" si="23">U30*U31</f>
        <v>0</v>
      </c>
      <c r="V32" s="89">
        <f>SUM(Q32:U32)</f>
        <v>103793.0975894585</v>
      </c>
      <c r="W32" s="157">
        <f t="shared" ref="W32" si="24">W30*W31</f>
        <v>101700.43625787688</v>
      </c>
      <c r="X32" s="81">
        <f>K32+P32-V32-W32</f>
        <v>-3406.1021533462917</v>
      </c>
    </row>
    <row r="33" spans="7:25" s="81" customFormat="1" ht="20.100000000000001" customHeight="1" outlineLevel="1">
      <c r="H33" s="166" t="s">
        <v>19</v>
      </c>
      <c r="I33" s="167">
        <v>100</v>
      </c>
      <c r="J33" s="172" t="s">
        <v>2</v>
      </c>
      <c r="K33" s="81">
        <v>70</v>
      </c>
      <c r="L33" s="81">
        <v>120</v>
      </c>
      <c r="P33" s="81">
        <f>SUM(L33:O33)</f>
        <v>120</v>
      </c>
      <c r="Q33" s="81">
        <v>80</v>
      </c>
      <c r="R33" s="81">
        <v>50</v>
      </c>
      <c r="S33" s="81">
        <v>1</v>
      </c>
      <c r="U33" s="81">
        <v>2</v>
      </c>
      <c r="V33" s="81">
        <f>SUM(Q33:U33)</f>
        <v>133</v>
      </c>
      <c r="W33" s="158">
        <f>K33+P33-V33</f>
        <v>57</v>
      </c>
      <c r="X33" s="81">
        <f>K33+P33-V33-W33</f>
        <v>0</v>
      </c>
      <c r="Y33" s="78"/>
    </row>
    <row r="34" spans="7:25" ht="20.100000000000001" customHeight="1" outlineLevel="1">
      <c r="H34" s="164"/>
      <c r="I34" s="165"/>
      <c r="J34" s="171" t="s">
        <v>4</v>
      </c>
      <c r="K34" s="155">
        <f>K$21</f>
        <v>1000</v>
      </c>
      <c r="L34" s="155">
        <f t="shared" ref="L34:Q34" si="25">L$21</f>
        <v>1147.5409836065573</v>
      </c>
      <c r="M34" s="155">
        <f t="shared" si="25"/>
        <v>933.33333333333337</v>
      </c>
      <c r="N34" s="87"/>
      <c r="O34" s="87"/>
      <c r="P34" s="78">
        <f t="shared" ref="P34" si="26">P35/P33</f>
        <v>1147.5409836065571</v>
      </c>
      <c r="Q34" s="155">
        <f t="shared" si="25"/>
        <v>1081.1702953136867</v>
      </c>
      <c r="R34" s="78">
        <f>R$21</f>
        <v>1092.7835051546392</v>
      </c>
      <c r="S34" s="155">
        <f>S$21</f>
        <v>1081.9195346582646</v>
      </c>
      <c r="T34" s="155">
        <f>T$21</f>
        <v>1081.9195346582646</v>
      </c>
      <c r="U34" s="155">
        <f>U$21</f>
        <v>1081.9195346582646</v>
      </c>
      <c r="V34" s="78">
        <f t="shared" ref="V34" si="27">V35/V33</f>
        <v>1085.553063810539</v>
      </c>
      <c r="W34" s="1150">
        <f t="shared" ref="W34" si="28">W$21</f>
        <v>1081.9195346582646</v>
      </c>
      <c r="X34" s="94"/>
      <c r="Y34" s="94" t="s">
        <v>1625</v>
      </c>
    </row>
    <row r="35" spans="7:25" ht="20.100000000000001" customHeight="1" outlineLevel="1" thickBot="1">
      <c r="H35" s="168"/>
      <c r="I35" s="169"/>
      <c r="J35" s="173" t="s">
        <v>3</v>
      </c>
      <c r="K35" s="159">
        <f>K33*K34</f>
        <v>70000</v>
      </c>
      <c r="L35" s="159">
        <f t="shared" ref="L35:Q35" si="29">L33*L34</f>
        <v>137704.91803278687</v>
      </c>
      <c r="M35" s="159">
        <f t="shared" si="29"/>
        <v>0</v>
      </c>
      <c r="N35" s="160"/>
      <c r="O35" s="160"/>
      <c r="P35" s="159">
        <f>SUM(L35:O35)</f>
        <v>137704.91803278687</v>
      </c>
      <c r="Q35" s="159">
        <f t="shared" si="29"/>
        <v>86493.62362509493</v>
      </c>
      <c r="R35" s="159">
        <f t="shared" ref="R35:S35" si="30">R33*R34</f>
        <v>54639.175257731964</v>
      </c>
      <c r="S35" s="159">
        <f t="shared" si="30"/>
        <v>1081.9195346582646</v>
      </c>
      <c r="T35" s="159">
        <f t="shared" ref="T35" si="31">T33*T34</f>
        <v>0</v>
      </c>
      <c r="U35" s="159">
        <f t="shared" ref="U35" si="32">U33*U34</f>
        <v>2163.8390693165293</v>
      </c>
      <c r="V35" s="161">
        <f>SUM(Q35:U35)</f>
        <v>144378.5574868017</v>
      </c>
      <c r="W35" s="195">
        <f t="shared" ref="W35" si="33">W33*W34</f>
        <v>61669.413475521083</v>
      </c>
      <c r="X35" s="81">
        <f>K35+P35-V35-W35</f>
        <v>1656.9470704640844</v>
      </c>
    </row>
    <row r="36" spans="7:25" ht="20.100000000000001" hidden="1" customHeight="1" outlineLevel="2">
      <c r="H36" s="95" t="s">
        <v>28</v>
      </c>
      <c r="I36" s="95"/>
      <c r="K36" s="78">
        <f>K20-K24-K27-K30-K33</f>
        <v>0</v>
      </c>
      <c r="L36" s="78">
        <f>L20-L24-L27-L30-L33</f>
        <v>0</v>
      </c>
      <c r="M36" s="78">
        <f>M20-M24-M27-M30-M33</f>
        <v>0</v>
      </c>
      <c r="P36" s="78">
        <f>P20-P24-P27-P30-P33</f>
        <v>0</v>
      </c>
      <c r="Q36" s="78">
        <f>Q20-Q24-Q27-Q30-Q33</f>
        <v>0</v>
      </c>
      <c r="R36" s="78">
        <f t="shared" ref="R36:W36" si="34">R20-R24-R27-R30-R33</f>
        <v>0</v>
      </c>
      <c r="S36" s="78">
        <f t="shared" si="34"/>
        <v>0</v>
      </c>
      <c r="T36" s="78">
        <f t="shared" si="34"/>
        <v>0</v>
      </c>
      <c r="U36" s="78">
        <f t="shared" si="34"/>
        <v>0</v>
      </c>
      <c r="V36" s="78">
        <f t="shared" si="34"/>
        <v>0</v>
      </c>
      <c r="W36" s="78">
        <f t="shared" si="34"/>
        <v>0</v>
      </c>
    </row>
    <row r="37" spans="7:25" ht="20.100000000000001" hidden="1" customHeight="1" outlineLevel="2">
      <c r="H37" s="92"/>
      <c r="I37" s="92"/>
      <c r="K37" s="78">
        <f>K22-K26-K29-K32-K35</f>
        <v>0</v>
      </c>
      <c r="L37" s="78">
        <f>L22-L26-L29-L32-L35</f>
        <v>0</v>
      </c>
      <c r="M37" s="78">
        <f>M22-M26-M29-M32-M35</f>
        <v>-7.2759576141834259E-12</v>
      </c>
      <c r="P37" s="78">
        <f>P22-P26-P29-P32-P35</f>
        <v>0</v>
      </c>
      <c r="Q37" s="78">
        <f>Q22-Q26-Q29-Q32-Q35</f>
        <v>0</v>
      </c>
      <c r="R37" s="78">
        <f t="shared" ref="R37:W37" si="35">R22-R26-R29-R32-R35</f>
        <v>0</v>
      </c>
      <c r="S37" s="78">
        <f t="shared" si="35"/>
        <v>0</v>
      </c>
      <c r="T37" s="78">
        <f t="shared" si="35"/>
        <v>0</v>
      </c>
      <c r="U37" s="78">
        <f t="shared" si="35"/>
        <v>0</v>
      </c>
      <c r="V37" s="78">
        <f t="shared" si="35"/>
        <v>0</v>
      </c>
      <c r="W37" s="78">
        <f t="shared" si="35"/>
        <v>7.2759576141834259E-11</v>
      </c>
    </row>
    <row r="39" spans="7:25" ht="20.100000000000001" customHeight="1">
      <c r="G39" s="80" t="s">
        <v>24</v>
      </c>
      <c r="H39" s="81"/>
      <c r="I39" s="81"/>
      <c r="J39" s="82" t="s">
        <v>2</v>
      </c>
      <c r="K39" s="81">
        <v>100</v>
      </c>
      <c r="L39" s="81"/>
      <c r="M39" s="81">
        <v>50</v>
      </c>
      <c r="N39" s="81"/>
      <c r="O39" s="81"/>
      <c r="P39" s="81">
        <f>SUM(M39:O39)</f>
        <v>50</v>
      </c>
      <c r="Q39" s="81">
        <v>15</v>
      </c>
      <c r="R39" s="81">
        <v>80</v>
      </c>
      <c r="S39" s="81"/>
      <c r="T39" s="81"/>
      <c r="U39" s="81"/>
      <c r="V39" s="81">
        <f>SUM(Q39:U39)</f>
        <v>95</v>
      </c>
      <c r="W39" s="81">
        <f>K39+P39-V39</f>
        <v>55</v>
      </c>
      <c r="X39" s="81">
        <f>K39+P39-V39-W39</f>
        <v>0</v>
      </c>
      <c r="Y39" s="78">
        <f>K39+L39</f>
        <v>100</v>
      </c>
    </row>
    <row r="40" spans="7:25" ht="20.100000000000001" customHeight="1">
      <c r="J40" s="79" t="s">
        <v>4</v>
      </c>
      <c r="K40" s="78">
        <v>1000</v>
      </c>
      <c r="M40" s="78">
        <f>M41/M39</f>
        <v>1092.7835051546392</v>
      </c>
      <c r="N40" s="87"/>
      <c r="O40" s="87"/>
      <c r="P40" s="78">
        <f>P41/P39</f>
        <v>1092.7835051546392</v>
      </c>
      <c r="Q40" s="78">
        <f>Q41/Q39</f>
        <v>1195.8762886597935</v>
      </c>
      <c r="R40" s="78">
        <f>Y40</f>
        <v>1000</v>
      </c>
      <c r="V40" s="78">
        <f>V41/V39</f>
        <v>1030.9278350515463</v>
      </c>
      <c r="W40" s="78">
        <f>(K41+P41)/(K39+P39)</f>
        <v>1030.9278350515465</v>
      </c>
      <c r="Y40" s="78">
        <f>Y41/Y39</f>
        <v>1000</v>
      </c>
    </row>
    <row r="41" spans="7:25" ht="20.100000000000001" customHeight="1">
      <c r="J41" s="79" t="s">
        <v>3</v>
      </c>
      <c r="K41" s="78">
        <f>K39*K40</f>
        <v>100000</v>
      </c>
      <c r="M41" s="78">
        <f>R22</f>
        <v>54639.175257731964</v>
      </c>
      <c r="N41" s="87"/>
      <c r="O41" s="87"/>
      <c r="P41" s="81">
        <f>SUM(M41:O41)</f>
        <v>54639.175257731964</v>
      </c>
      <c r="Q41" s="78">
        <f>K41+P41-R41-S41-T41-U41-W41</f>
        <v>17938.144329896902</v>
      </c>
      <c r="R41" s="78">
        <f>R39*R40</f>
        <v>80000</v>
      </c>
      <c r="V41" s="81">
        <f>SUM(Q41:U41)</f>
        <v>97938.144329896895</v>
      </c>
      <c r="W41" s="78">
        <f>W39*W40</f>
        <v>56701.030927835054</v>
      </c>
      <c r="X41" s="81">
        <f>K41+P41-V41-W41</f>
        <v>0</v>
      </c>
      <c r="Y41" s="78">
        <f>K41+L41</f>
        <v>100000</v>
      </c>
    </row>
    <row r="43" spans="7:25" ht="20.100000000000001" customHeight="1">
      <c r="G43" s="80" t="s">
        <v>27</v>
      </c>
      <c r="H43" s="81"/>
      <c r="I43" s="81"/>
      <c r="J43" s="82" t="s">
        <v>2</v>
      </c>
      <c r="K43" s="81">
        <v>50</v>
      </c>
      <c r="L43" s="81"/>
      <c r="M43" s="81"/>
      <c r="N43" s="81"/>
      <c r="O43" s="81"/>
      <c r="P43" s="81">
        <f>SUM(M43:O43)</f>
        <v>0</v>
      </c>
      <c r="Q43" s="81">
        <v>9</v>
      </c>
      <c r="R43" s="81">
        <v>40</v>
      </c>
      <c r="S43" s="81"/>
      <c r="T43" s="81"/>
      <c r="U43" s="81"/>
      <c r="V43" s="81">
        <f>SUM(Q43:U43)</f>
        <v>49</v>
      </c>
      <c r="W43" s="81">
        <f>K43+P43-V43</f>
        <v>1</v>
      </c>
      <c r="X43" s="81">
        <f>K43+P43-V43-W43</f>
        <v>0</v>
      </c>
      <c r="Y43" s="78">
        <f>K43+L43</f>
        <v>50</v>
      </c>
    </row>
    <row r="44" spans="7:25" ht="20.100000000000001" customHeight="1">
      <c r="J44" s="79" t="s">
        <v>4</v>
      </c>
      <c r="K44" s="78">
        <v>800</v>
      </c>
      <c r="N44" s="87"/>
      <c r="O44" s="87"/>
      <c r="P44" s="78" t="e">
        <f>P45/P43</f>
        <v>#DIV/0!</v>
      </c>
      <c r="Q44" s="78">
        <f>Q45/Q43</f>
        <v>800</v>
      </c>
      <c r="R44" s="78">
        <f>Y44</f>
        <v>800</v>
      </c>
      <c r="V44" s="78">
        <f>V45/V43</f>
        <v>800</v>
      </c>
      <c r="W44" s="78">
        <f>(K45+P45)/(K43+P43)</f>
        <v>800</v>
      </c>
      <c r="Y44" s="78">
        <f>Y45/Y43</f>
        <v>800</v>
      </c>
    </row>
    <row r="45" spans="7:25" ht="20.100000000000001" customHeight="1">
      <c r="J45" s="79" t="s">
        <v>3</v>
      </c>
      <c r="K45" s="78">
        <f>K43*K44</f>
        <v>40000</v>
      </c>
      <c r="N45" s="87"/>
      <c r="O45" s="87"/>
      <c r="P45" s="81">
        <f>SUM(M45:O45)</f>
        <v>0</v>
      </c>
      <c r="Q45" s="78">
        <f>K45+P45-R45-S45-T45-U45-W45</f>
        <v>7200</v>
      </c>
      <c r="R45" s="78">
        <f>R43*R44</f>
        <v>32000</v>
      </c>
      <c r="V45" s="81">
        <f>SUM(Q45:U45)</f>
        <v>39200</v>
      </c>
      <c r="W45" s="78">
        <f>W43*W44</f>
        <v>800</v>
      </c>
      <c r="X45" s="81">
        <f>K45+P45-V45-W45</f>
        <v>0</v>
      </c>
      <c r="Y45" s="78">
        <f>K45+L45</f>
        <v>40000</v>
      </c>
    </row>
  </sheetData>
  <mergeCells count="3">
    <mergeCell ref="M18:M19"/>
    <mergeCell ref="L18:L19"/>
    <mergeCell ref="Q18:Q19"/>
  </mergeCells>
  <phoneticPr fontId="2" type="noConversion"/>
  <printOptions horizontalCentered="1" verticalCentered="1"/>
  <pageMargins left="0.39370078740157483" right="0.39370078740157483" top="0.39370078740157483" bottom="0.39370078740157483" header="0" footer="0"/>
  <pageSetup paperSize="9" scale="83" orientation="landscape" r:id="rId1"/>
  <rowBreaks count="1" manualBreakCount="1">
    <brk id="29" min="6" max="22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C3:AP62"/>
  <sheetViews>
    <sheetView showGridLines="0" workbookViewId="0">
      <selection activeCell="S47" sqref="A47:S47"/>
    </sheetView>
  </sheetViews>
  <sheetFormatPr defaultRowHeight="20.100000000000001" customHeight="1"/>
  <cols>
    <col min="1" max="2" width="4.140625" customWidth="1"/>
    <col min="3" max="3" width="13.28515625" customWidth="1"/>
    <col min="4" max="4" width="14.28515625" customWidth="1"/>
    <col min="5" max="5" width="13.28515625" style="145" customWidth="1"/>
    <col min="6" max="13" width="12.7109375" style="78" customWidth="1"/>
    <col min="14" max="14" width="0.5703125" style="78" customWidth="1"/>
    <col min="15" max="22" width="12.7109375" style="78" customWidth="1"/>
    <col min="23" max="23" width="1" style="78" customWidth="1"/>
    <col min="24" max="31" width="12.7109375" style="78" customWidth="1"/>
    <col min="32" max="32" width="0.5703125" style="78" customWidth="1"/>
    <col min="33" max="40" width="12.7109375" style="78" customWidth="1"/>
    <col min="42" max="42" width="9.5703125" bestFit="1" customWidth="1"/>
  </cols>
  <sheetData>
    <row r="3" spans="3:40" ht="20.100000000000001" customHeight="1">
      <c r="C3" s="148" t="s">
        <v>280</v>
      </c>
      <c r="D3" s="148"/>
      <c r="G3" s="120"/>
      <c r="L3" s="120"/>
      <c r="N3" s="301"/>
      <c r="AE3" s="301"/>
      <c r="AF3" s="301"/>
    </row>
    <row r="4" spans="3:40" ht="20.100000000000001" customHeight="1">
      <c r="C4" s="148"/>
      <c r="D4" s="148"/>
      <c r="G4" s="120"/>
      <c r="L4" s="120"/>
      <c r="N4" s="301"/>
      <c r="AE4" s="301"/>
      <c r="AF4" s="301"/>
    </row>
    <row r="5" spans="3:40" ht="20.100000000000001" customHeight="1" thickBot="1">
      <c r="C5" s="148" t="s">
        <v>907</v>
      </c>
      <c r="D5" s="148"/>
      <c r="L5" s="120"/>
      <c r="N5" s="301"/>
      <c r="AE5" s="301"/>
      <c r="AF5" s="301"/>
    </row>
    <row r="6" spans="3:40" ht="20.100000000000001" customHeight="1">
      <c r="C6" s="246"/>
      <c r="D6" s="246"/>
      <c r="E6" s="247"/>
      <c r="F6" s="272" t="s">
        <v>124</v>
      </c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65"/>
      <c r="X6" s="71" t="s">
        <v>130</v>
      </c>
      <c r="Y6" s="77"/>
      <c r="Z6" s="248"/>
      <c r="AA6" s="248"/>
      <c r="AB6" s="77"/>
      <c r="AC6" s="248"/>
      <c r="AD6" s="248"/>
      <c r="AE6" s="248"/>
      <c r="AF6" s="248"/>
      <c r="AG6" s="248"/>
      <c r="AH6" s="248"/>
      <c r="AI6" s="248"/>
      <c r="AJ6" s="248"/>
      <c r="AK6" s="248"/>
      <c r="AL6" s="248"/>
      <c r="AM6" s="248"/>
      <c r="AN6" s="265"/>
    </row>
    <row r="7" spans="3:40" s="145" customFormat="1" ht="20.100000000000001" customHeight="1">
      <c r="C7" s="249" t="s">
        <v>125</v>
      </c>
      <c r="D7" s="249"/>
      <c r="E7" s="250"/>
      <c r="F7" s="270" t="s">
        <v>912</v>
      </c>
      <c r="G7" s="268"/>
      <c r="H7" s="268"/>
      <c r="I7" s="268"/>
      <c r="J7" s="268"/>
      <c r="K7" s="269"/>
      <c r="L7" s="269"/>
      <c r="M7" s="269"/>
      <c r="N7" s="177"/>
      <c r="O7" s="258" t="s">
        <v>274</v>
      </c>
      <c r="P7" s="259"/>
      <c r="Q7" s="259"/>
      <c r="R7" s="259"/>
      <c r="S7" s="259"/>
      <c r="T7" s="259"/>
      <c r="U7" s="259"/>
      <c r="V7" s="266"/>
      <c r="W7" s="79"/>
      <c r="X7" s="271" t="s">
        <v>277</v>
      </c>
      <c r="Y7" s="268"/>
      <c r="Z7" s="268"/>
      <c r="AA7" s="268"/>
      <c r="AB7" s="268"/>
      <c r="AC7" s="268"/>
      <c r="AD7" s="268"/>
      <c r="AE7" s="269"/>
      <c r="AF7" s="177"/>
      <c r="AG7" s="258" t="s">
        <v>274</v>
      </c>
      <c r="AH7" s="259"/>
      <c r="AI7" s="259"/>
      <c r="AJ7" s="259"/>
      <c r="AK7" s="259"/>
      <c r="AL7" s="259"/>
      <c r="AM7" s="259"/>
      <c r="AN7" s="266"/>
    </row>
    <row r="8" spans="3:40" s="145" customFormat="1" ht="20.100000000000001" customHeight="1" thickBot="1">
      <c r="C8" s="251"/>
      <c r="D8" s="251"/>
      <c r="E8" s="251"/>
      <c r="F8" s="1201" t="s">
        <v>285</v>
      </c>
      <c r="G8" s="1195" t="s">
        <v>284</v>
      </c>
      <c r="H8" s="1195" t="s">
        <v>276</v>
      </c>
      <c r="I8" s="1184" t="s">
        <v>286</v>
      </c>
      <c r="J8" s="1184" t="s">
        <v>900</v>
      </c>
      <c r="K8" s="1184" t="s">
        <v>282</v>
      </c>
      <c r="L8" s="318"/>
      <c r="M8" s="319"/>
      <c r="N8" s="177"/>
      <c r="O8" s="258" t="s">
        <v>271</v>
      </c>
      <c r="P8" s="259"/>
      <c r="Q8" s="260" t="s">
        <v>1585</v>
      </c>
      <c r="R8" s="277"/>
      <c r="S8" s="260" t="s">
        <v>272</v>
      </c>
      <c r="T8" s="259"/>
      <c r="U8" s="259"/>
      <c r="V8" s="266"/>
      <c r="W8" s="79"/>
      <c r="X8" s="1192" t="s">
        <v>1</v>
      </c>
      <c r="Y8" s="1194" t="s">
        <v>126</v>
      </c>
      <c r="Z8" s="1195" t="s">
        <v>276</v>
      </c>
      <c r="AA8" s="1184" t="s">
        <v>286</v>
      </c>
      <c r="AB8" s="1184" t="s">
        <v>900</v>
      </c>
      <c r="AC8" s="1184" t="s">
        <v>282</v>
      </c>
      <c r="AD8" s="318"/>
      <c r="AE8" s="319"/>
      <c r="AF8" s="177"/>
      <c r="AG8" s="258" t="s">
        <v>271</v>
      </c>
      <c r="AH8" s="259"/>
      <c r="AI8" s="260" t="s">
        <v>11</v>
      </c>
      <c r="AJ8" s="277"/>
      <c r="AK8" s="260" t="s">
        <v>272</v>
      </c>
      <c r="AL8" s="259"/>
      <c r="AM8" s="259"/>
      <c r="AN8" s="266"/>
    </row>
    <row r="9" spans="3:40" s="145" customFormat="1" ht="20.100000000000001" customHeight="1" thickBot="1">
      <c r="C9" s="255"/>
      <c r="D9" s="255"/>
      <c r="E9" s="255"/>
      <c r="F9" s="1202"/>
      <c r="G9" s="1203"/>
      <c r="H9" s="1204"/>
      <c r="I9" s="1199"/>
      <c r="J9" s="1199"/>
      <c r="K9" s="1199"/>
      <c r="L9" s="320" t="s">
        <v>281</v>
      </c>
      <c r="M9" s="321" t="s">
        <v>283</v>
      </c>
      <c r="N9" s="177"/>
      <c r="O9" s="278" t="s">
        <v>275</v>
      </c>
      <c r="P9" s="279" t="s">
        <v>278</v>
      </c>
      <c r="Q9" s="276" t="s">
        <v>275</v>
      </c>
      <c r="R9" s="276" t="s">
        <v>278</v>
      </c>
      <c r="S9" s="280" t="s">
        <v>275</v>
      </c>
      <c r="T9" s="284" t="s">
        <v>906</v>
      </c>
      <c r="U9" s="284" t="s">
        <v>279</v>
      </c>
      <c r="V9" s="285" t="s">
        <v>16</v>
      </c>
      <c r="W9" s="79"/>
      <c r="X9" s="1200"/>
      <c r="Y9" s="1197"/>
      <c r="Z9" s="1198"/>
      <c r="AA9" s="1199"/>
      <c r="AB9" s="1199"/>
      <c r="AC9" s="1199"/>
      <c r="AD9" s="320" t="s">
        <v>281</v>
      </c>
      <c r="AE9" s="321" t="s">
        <v>283</v>
      </c>
      <c r="AF9" s="177"/>
      <c r="AG9" s="278" t="s">
        <v>275</v>
      </c>
      <c r="AH9" s="279" t="s">
        <v>278</v>
      </c>
      <c r="AI9" s="276" t="s">
        <v>275</v>
      </c>
      <c r="AJ9" s="276" t="s">
        <v>278</v>
      </c>
      <c r="AK9" s="280" t="s">
        <v>275</v>
      </c>
      <c r="AL9" s="284" t="s">
        <v>906</v>
      </c>
      <c r="AM9" s="284" t="s">
        <v>279</v>
      </c>
      <c r="AN9" s="285" t="s">
        <v>16</v>
      </c>
    </row>
    <row r="10" spans="3:40" ht="20.100000000000001" customHeight="1">
      <c r="C10" s="175" t="s">
        <v>127</v>
      </c>
      <c r="D10" s="48" t="s">
        <v>123</v>
      </c>
      <c r="E10" s="47"/>
      <c r="F10" s="252"/>
      <c r="G10" s="232">
        <v>1000</v>
      </c>
      <c r="H10" s="239">
        <v>600</v>
      </c>
      <c r="I10" s="302"/>
      <c r="J10" s="302"/>
      <c r="K10" s="308">
        <f>F10+G10-H10+I10</f>
        <v>400</v>
      </c>
      <c r="L10" s="286"/>
      <c r="M10" s="310"/>
      <c r="N10" s="177"/>
      <c r="O10" s="256"/>
      <c r="P10" s="231"/>
      <c r="Q10" s="257"/>
      <c r="R10" s="274"/>
      <c r="S10" s="257"/>
      <c r="T10" s="257"/>
      <c r="U10" s="257"/>
      <c r="V10" s="281"/>
      <c r="X10" s="252">
        <f>K10</f>
        <v>400</v>
      </c>
      <c r="Y10" s="232">
        <v>100</v>
      </c>
      <c r="Z10" s="239">
        <v>450</v>
      </c>
      <c r="AA10" s="302"/>
      <c r="AB10" s="302"/>
      <c r="AC10" s="308">
        <f>X10+Y10-Z10+AA10</f>
        <v>50</v>
      </c>
      <c r="AD10" s="286"/>
      <c r="AE10" s="310"/>
      <c r="AF10" s="177"/>
      <c r="AG10" s="256"/>
      <c r="AH10" s="231"/>
      <c r="AI10" s="257"/>
      <c r="AJ10" s="274"/>
      <c r="AK10" s="257"/>
      <c r="AL10" s="257"/>
      <c r="AM10" s="257"/>
      <c r="AN10" s="281"/>
    </row>
    <row r="11" spans="3:40" s="78" customFormat="1" ht="20.100000000000001" customHeight="1">
      <c r="D11" s="46" t="s">
        <v>128</v>
      </c>
      <c r="E11" s="45"/>
      <c r="F11" s="292"/>
      <c r="G11" s="238">
        <v>0.3</v>
      </c>
      <c r="H11" s="240">
        <v>0.4</v>
      </c>
      <c r="I11" s="303"/>
      <c r="J11" s="303"/>
      <c r="K11" s="72">
        <f>H11</f>
        <v>0.4</v>
      </c>
      <c r="L11" s="287"/>
      <c r="M11" s="311"/>
      <c r="N11" s="177"/>
      <c r="O11" s="256"/>
      <c r="P11" s="231"/>
      <c r="Q11" s="257"/>
      <c r="R11" s="274"/>
      <c r="S11" s="257"/>
      <c r="T11" s="257"/>
      <c r="U11" s="257"/>
      <c r="V11" s="282"/>
      <c r="X11" s="70">
        <f>K11</f>
        <v>0.4</v>
      </c>
      <c r="Y11" s="240">
        <v>0.3</v>
      </c>
      <c r="Z11" s="240">
        <v>0.4</v>
      </c>
      <c r="AA11" s="303"/>
      <c r="AB11" s="303"/>
      <c r="AC11" s="72">
        <f>Z11</f>
        <v>0.4</v>
      </c>
      <c r="AD11" s="287"/>
      <c r="AE11" s="311"/>
      <c r="AF11" s="177"/>
      <c r="AG11" s="256"/>
      <c r="AH11" s="231"/>
      <c r="AI11" s="257"/>
      <c r="AJ11" s="274"/>
      <c r="AK11" s="257"/>
      <c r="AL11" s="257"/>
      <c r="AM11" s="257"/>
      <c r="AN11" s="282"/>
    </row>
    <row r="12" spans="3:40" s="78" customFormat="1" ht="20.100000000000001" customHeight="1">
      <c r="D12" s="46" t="s">
        <v>122</v>
      </c>
      <c r="E12" s="45"/>
      <c r="F12" s="292"/>
      <c r="G12" s="238">
        <v>0.35</v>
      </c>
      <c r="H12" s="240">
        <v>0.35</v>
      </c>
      <c r="I12" s="303"/>
      <c r="J12" s="303"/>
      <c r="K12" s="72">
        <f>H12</f>
        <v>0.35</v>
      </c>
      <c r="L12" s="287"/>
      <c r="M12" s="311"/>
      <c r="N12" s="177"/>
      <c r="O12" s="256"/>
      <c r="P12" s="231"/>
      <c r="Q12" s="257"/>
      <c r="R12" s="274"/>
      <c r="S12" s="257"/>
      <c r="T12" s="257"/>
      <c r="U12" s="257"/>
      <c r="V12" s="282"/>
      <c r="X12" s="69">
        <f t="shared" ref="X12:X27" si="0">K12</f>
        <v>0.35</v>
      </c>
      <c r="Y12" s="238">
        <v>0.35</v>
      </c>
      <c r="Z12" s="240">
        <v>0.35</v>
      </c>
      <c r="AA12" s="303"/>
      <c r="AB12" s="303"/>
      <c r="AC12" s="72">
        <f>Z12</f>
        <v>0.35</v>
      </c>
      <c r="AD12" s="287"/>
      <c r="AE12" s="311"/>
      <c r="AF12" s="177"/>
      <c r="AG12" s="256"/>
      <c r="AH12" s="231"/>
      <c r="AI12" s="257"/>
      <c r="AJ12" s="274"/>
      <c r="AK12" s="257"/>
      <c r="AL12" s="257"/>
      <c r="AM12" s="257"/>
      <c r="AN12" s="282"/>
    </row>
    <row r="13" spans="3:40" ht="20.100000000000001" customHeight="1">
      <c r="D13" s="44" t="s">
        <v>121</v>
      </c>
      <c r="E13" s="25" t="s">
        <v>913</v>
      </c>
      <c r="F13" s="293"/>
      <c r="G13" s="233">
        <v>10000</v>
      </c>
      <c r="H13" s="241">
        <f>G13</f>
        <v>10000</v>
      </c>
      <c r="I13" s="304"/>
      <c r="J13" s="304"/>
      <c r="K13" s="241">
        <f>H13</f>
        <v>10000</v>
      </c>
      <c r="L13" s="288"/>
      <c r="M13" s="312"/>
      <c r="N13" s="174"/>
      <c r="O13" s="256"/>
      <c r="P13" s="231"/>
      <c r="Q13" s="257"/>
      <c r="R13" s="274"/>
      <c r="S13" s="257"/>
      <c r="T13" s="257"/>
      <c r="U13" s="257"/>
      <c r="V13" s="283"/>
      <c r="X13" s="68">
        <f t="shared" si="0"/>
        <v>10000</v>
      </c>
      <c r="Y13" s="67">
        <v>10000</v>
      </c>
      <c r="Z13" s="241">
        <f>Y13</f>
        <v>10000</v>
      </c>
      <c r="AA13" s="304"/>
      <c r="AB13" s="304"/>
      <c r="AC13" s="241">
        <f>Z13</f>
        <v>10000</v>
      </c>
      <c r="AD13" s="288"/>
      <c r="AE13" s="312"/>
      <c r="AF13" s="174"/>
      <c r="AG13" s="256"/>
      <c r="AH13" s="231"/>
      <c r="AI13" s="257"/>
      <c r="AJ13" s="274"/>
      <c r="AK13" s="257"/>
      <c r="AL13" s="257"/>
      <c r="AM13" s="257"/>
      <c r="AN13" s="283"/>
    </row>
    <row r="14" spans="3:40" ht="20.100000000000001" customHeight="1">
      <c r="D14" s="46"/>
      <c r="E14" s="24" t="s">
        <v>914</v>
      </c>
      <c r="F14" s="294"/>
      <c r="G14" s="234">
        <f>(G13*(1-G11))</f>
        <v>7000</v>
      </c>
      <c r="H14" s="242">
        <f>(H13*(1-H11))</f>
        <v>6000</v>
      </c>
      <c r="I14" s="305"/>
      <c r="J14" s="305"/>
      <c r="K14" s="308">
        <f t="shared" ref="K14:K15" si="1">H14</f>
        <v>6000</v>
      </c>
      <c r="L14" s="289"/>
      <c r="M14" s="313"/>
      <c r="N14" s="174"/>
      <c r="O14" s="256"/>
      <c r="P14" s="231"/>
      <c r="Q14" s="257"/>
      <c r="R14" s="274"/>
      <c r="S14" s="257"/>
      <c r="T14" s="257"/>
      <c r="U14" s="257"/>
      <c r="V14" s="283"/>
      <c r="X14" s="66">
        <f t="shared" si="0"/>
        <v>6000</v>
      </c>
      <c r="Y14" s="234">
        <f>(Y13*(1-Y11))</f>
        <v>7000</v>
      </c>
      <c r="Z14" s="242">
        <f>(Z13*(1-Z11))</f>
        <v>6000</v>
      </c>
      <c r="AA14" s="305"/>
      <c r="AB14" s="305"/>
      <c r="AC14" s="308">
        <f t="shared" ref="AC14:AC15" si="2">Z14</f>
        <v>6000</v>
      </c>
      <c r="AD14" s="289"/>
      <c r="AE14" s="313"/>
      <c r="AF14" s="174"/>
      <c r="AG14" s="256"/>
      <c r="AH14" s="231"/>
      <c r="AI14" s="257"/>
      <c r="AJ14" s="274"/>
      <c r="AK14" s="257"/>
      <c r="AL14" s="257"/>
      <c r="AM14" s="257"/>
      <c r="AN14" s="283"/>
    </row>
    <row r="15" spans="3:40" ht="20.100000000000001" customHeight="1" thickBot="1">
      <c r="D15" s="43"/>
      <c r="E15" s="23" t="s">
        <v>915</v>
      </c>
      <c r="F15" s="295"/>
      <c r="G15" s="235">
        <f>G14*(1-G12)</f>
        <v>4550</v>
      </c>
      <c r="H15" s="243">
        <f>H14*(1-H12)</f>
        <v>3900</v>
      </c>
      <c r="I15" s="306"/>
      <c r="J15" s="306"/>
      <c r="K15" s="73">
        <f t="shared" si="1"/>
        <v>3900</v>
      </c>
      <c r="L15" s="290"/>
      <c r="M15" s="314"/>
      <c r="N15" s="174"/>
      <c r="O15" s="256"/>
      <c r="P15" s="231"/>
      <c r="Q15" s="257"/>
      <c r="R15" s="274"/>
      <c r="S15" s="257"/>
      <c r="T15" s="257"/>
      <c r="U15" s="257"/>
      <c r="V15" s="283"/>
      <c r="X15" s="65">
        <f t="shared" si="0"/>
        <v>3900</v>
      </c>
      <c r="Y15" s="64">
        <f>Y14*(1-Y12)</f>
        <v>4550</v>
      </c>
      <c r="Z15" s="243">
        <f>Z14*(1-Z12)</f>
        <v>3900</v>
      </c>
      <c r="AA15" s="306"/>
      <c r="AB15" s="306"/>
      <c r="AC15" s="73">
        <f t="shared" si="2"/>
        <v>3900</v>
      </c>
      <c r="AD15" s="290"/>
      <c r="AE15" s="314"/>
      <c r="AF15" s="174"/>
      <c r="AG15" s="256"/>
      <c r="AH15" s="231"/>
      <c r="AI15" s="257"/>
      <c r="AJ15" s="274"/>
      <c r="AK15" s="257"/>
      <c r="AL15" s="257"/>
      <c r="AM15" s="257"/>
      <c r="AN15" s="283"/>
    </row>
    <row r="16" spans="3:40" ht="20.100000000000001" customHeight="1">
      <c r="D16" s="42" t="s">
        <v>129</v>
      </c>
      <c r="E16" s="22" t="s">
        <v>916</v>
      </c>
      <c r="F16" s="296"/>
      <c r="G16" s="261">
        <f>G10*G13</f>
        <v>10000000</v>
      </c>
      <c r="H16" s="262">
        <f>H10*H13</f>
        <v>6000000</v>
      </c>
      <c r="I16" s="307"/>
      <c r="J16" s="307"/>
      <c r="K16" s="322">
        <f>K10*K13</f>
        <v>4000000</v>
      </c>
      <c r="L16" s="291"/>
      <c r="M16" s="315"/>
      <c r="N16" s="174"/>
      <c r="O16" s="256"/>
      <c r="P16" s="231"/>
      <c r="Q16" s="257"/>
      <c r="R16" s="274"/>
      <c r="S16" s="257"/>
      <c r="T16" s="257"/>
      <c r="U16" s="257"/>
      <c r="V16" s="283"/>
      <c r="X16" s="63">
        <f t="shared" si="0"/>
        <v>4000000</v>
      </c>
      <c r="Y16" s="62">
        <f>Y10*Y13</f>
        <v>1000000</v>
      </c>
      <c r="Z16" s="262">
        <f>Z10*Z13</f>
        <v>4500000</v>
      </c>
      <c r="AA16" s="307"/>
      <c r="AB16" s="307"/>
      <c r="AC16" s="322">
        <f>AC10*AC13</f>
        <v>500000</v>
      </c>
      <c r="AD16" s="291"/>
      <c r="AE16" s="315"/>
      <c r="AF16" s="174"/>
      <c r="AG16" s="256"/>
      <c r="AH16" s="231"/>
      <c r="AI16" s="257"/>
      <c r="AJ16" s="274"/>
      <c r="AK16" s="257"/>
      <c r="AL16" s="257"/>
      <c r="AM16" s="257"/>
      <c r="AN16" s="283"/>
    </row>
    <row r="17" spans="3:42" ht="20.100000000000001" customHeight="1">
      <c r="D17" s="41"/>
      <c r="E17" s="21" t="s">
        <v>917</v>
      </c>
      <c r="F17" s="294"/>
      <c r="G17" s="263">
        <f>G10*G14</f>
        <v>7000000</v>
      </c>
      <c r="H17" s="264">
        <f>H10*H14</f>
        <v>3600000</v>
      </c>
      <c r="I17" s="305"/>
      <c r="J17" s="305"/>
      <c r="K17" s="308">
        <f>K14*K10</f>
        <v>2400000</v>
      </c>
      <c r="L17" s="289"/>
      <c r="M17" s="313"/>
      <c r="N17" s="174"/>
      <c r="O17" s="256"/>
      <c r="P17" s="231"/>
      <c r="Q17" s="257"/>
      <c r="R17" s="274"/>
      <c r="S17" s="257"/>
      <c r="T17" s="257"/>
      <c r="U17" s="257"/>
      <c r="V17" s="283"/>
      <c r="X17" s="61">
        <f t="shared" si="0"/>
        <v>2400000</v>
      </c>
      <c r="Y17" s="263">
        <f>Y10*Y14</f>
        <v>700000</v>
      </c>
      <c r="Z17" s="264">
        <f>Z10*Z14</f>
        <v>2700000</v>
      </c>
      <c r="AA17" s="305"/>
      <c r="AB17" s="305"/>
      <c r="AC17" s="308">
        <f>AC14*AC10</f>
        <v>300000</v>
      </c>
      <c r="AD17" s="289"/>
      <c r="AE17" s="313"/>
      <c r="AF17" s="174"/>
      <c r="AG17" s="256"/>
      <c r="AH17" s="231"/>
      <c r="AI17" s="257"/>
      <c r="AJ17" s="274"/>
      <c r="AK17" s="257"/>
      <c r="AL17" s="257"/>
      <c r="AM17" s="257"/>
      <c r="AN17" s="283"/>
    </row>
    <row r="18" spans="3:42" ht="20.100000000000001" customHeight="1" thickBot="1">
      <c r="C18" s="176"/>
      <c r="D18" s="40"/>
      <c r="E18" s="20" t="s">
        <v>918</v>
      </c>
      <c r="F18" s="297"/>
      <c r="G18" s="236">
        <f>G10*G15</f>
        <v>4550000</v>
      </c>
      <c r="H18" s="244">
        <f>H10*H15</f>
        <v>2340000</v>
      </c>
      <c r="I18" s="244">
        <f>H18-(H16*((F18+G18)/(F16+G16)))</f>
        <v>-390000</v>
      </c>
      <c r="J18" s="244">
        <f>K18-((F18+G18)-(H18-I18))</f>
        <v>-260000</v>
      </c>
      <c r="K18" s="244">
        <f>K15*K10</f>
        <v>1560000</v>
      </c>
      <c r="L18" s="236"/>
      <c r="M18" s="316"/>
      <c r="N18" s="230"/>
      <c r="O18" s="256"/>
      <c r="P18" s="231"/>
      <c r="Q18" s="257"/>
      <c r="R18" s="274"/>
      <c r="S18" s="257"/>
      <c r="T18" s="257"/>
      <c r="U18" s="257"/>
      <c r="V18" s="283"/>
      <c r="X18" s="253">
        <f t="shared" si="0"/>
        <v>1560000</v>
      </c>
      <c r="Y18" s="236">
        <f>Y10*Y15</f>
        <v>455000</v>
      </c>
      <c r="Z18" s="244">
        <f>Z10*Z15</f>
        <v>1755000</v>
      </c>
      <c r="AA18" s="244">
        <f>Z18-(Z16*((X18+Y18)/(X16+Y16)))</f>
        <v>-58500</v>
      </c>
      <c r="AB18" s="244">
        <f>AC18-((X18+Y18)-(Z18-AA18))</f>
        <v>-6500</v>
      </c>
      <c r="AC18" s="244">
        <f>AC15*AC10</f>
        <v>195000</v>
      </c>
      <c r="AD18" s="236"/>
      <c r="AE18" s="316"/>
      <c r="AF18" s="230"/>
      <c r="AG18" s="256"/>
      <c r="AH18" s="231"/>
      <c r="AI18" s="257"/>
      <c r="AJ18" s="274"/>
      <c r="AK18" s="257"/>
      <c r="AL18" s="257"/>
      <c r="AM18" s="257"/>
      <c r="AN18" s="283"/>
    </row>
    <row r="19" spans="3:42" ht="20.100000000000001" customHeight="1">
      <c r="C19" s="175" t="s">
        <v>131</v>
      </c>
      <c r="D19" s="48" t="s">
        <v>123</v>
      </c>
      <c r="E19" s="47"/>
      <c r="F19" s="252"/>
      <c r="G19" s="232">
        <v>500</v>
      </c>
      <c r="H19" s="239">
        <v>400</v>
      </c>
      <c r="I19" s="302"/>
      <c r="J19" s="302"/>
      <c r="K19" s="308">
        <f>F19+G19-H19+I19</f>
        <v>100</v>
      </c>
      <c r="L19" s="286"/>
      <c r="M19" s="310"/>
      <c r="O19" s="256"/>
      <c r="P19" s="231"/>
      <c r="Q19" s="257"/>
      <c r="R19" s="274"/>
      <c r="S19" s="257"/>
      <c r="T19" s="257"/>
      <c r="U19" s="257"/>
      <c r="V19" s="283"/>
      <c r="X19" s="252">
        <f t="shared" si="0"/>
        <v>100</v>
      </c>
      <c r="Y19" s="232">
        <v>0</v>
      </c>
      <c r="Z19" s="239">
        <v>100</v>
      </c>
      <c r="AA19" s="302"/>
      <c r="AB19" s="302"/>
      <c r="AC19" s="308">
        <f>X19+Y19-Z19+AA19</f>
        <v>0</v>
      </c>
      <c r="AD19" s="286"/>
      <c r="AE19" s="310"/>
      <c r="AG19" s="256"/>
      <c r="AH19" s="231"/>
      <c r="AI19" s="257"/>
      <c r="AJ19" s="274"/>
      <c r="AK19" s="257"/>
      <c r="AL19" s="257"/>
      <c r="AM19" s="257"/>
      <c r="AN19" s="283"/>
    </row>
    <row r="20" spans="3:42" s="78" customFormat="1" ht="20.100000000000001" customHeight="1">
      <c r="D20" s="46" t="s">
        <v>128</v>
      </c>
      <c r="E20" s="45"/>
      <c r="F20" s="292"/>
      <c r="G20" s="238">
        <v>0.3</v>
      </c>
      <c r="H20" s="240">
        <v>0.4</v>
      </c>
      <c r="I20" s="303"/>
      <c r="J20" s="303"/>
      <c r="K20" s="72">
        <f>H20</f>
        <v>0.4</v>
      </c>
      <c r="L20" s="287"/>
      <c r="M20" s="311"/>
      <c r="N20" s="177"/>
      <c r="O20" s="256"/>
      <c r="P20" s="231"/>
      <c r="Q20" s="257"/>
      <c r="R20" s="274"/>
      <c r="S20" s="257"/>
      <c r="T20" s="257"/>
      <c r="U20" s="257"/>
      <c r="V20" s="283"/>
      <c r="X20" s="70">
        <f t="shared" si="0"/>
        <v>0.4</v>
      </c>
      <c r="Y20" s="240">
        <v>0.3</v>
      </c>
      <c r="Z20" s="240">
        <v>0.45</v>
      </c>
      <c r="AA20" s="303"/>
      <c r="AB20" s="303"/>
      <c r="AC20" s="72">
        <f>Z20</f>
        <v>0.45</v>
      </c>
      <c r="AD20" s="287"/>
      <c r="AE20" s="311"/>
      <c r="AF20" s="177"/>
      <c r="AG20" s="256"/>
      <c r="AH20" s="231"/>
      <c r="AI20" s="257"/>
      <c r="AJ20" s="274"/>
      <c r="AK20" s="257"/>
      <c r="AL20" s="257"/>
      <c r="AM20" s="257"/>
      <c r="AN20" s="283"/>
    </row>
    <row r="21" spans="3:42" s="78" customFormat="1" ht="20.100000000000001" customHeight="1">
      <c r="D21" s="46" t="s">
        <v>122</v>
      </c>
      <c r="E21" s="45"/>
      <c r="F21" s="292"/>
      <c r="G21" s="238">
        <v>0.35</v>
      </c>
      <c r="H21" s="240">
        <v>0.25</v>
      </c>
      <c r="I21" s="303"/>
      <c r="J21" s="303"/>
      <c r="K21" s="72">
        <f>H21</f>
        <v>0.25</v>
      </c>
      <c r="L21" s="287"/>
      <c r="M21" s="311"/>
      <c r="N21" s="177"/>
      <c r="O21" s="256"/>
      <c r="P21" s="231"/>
      <c r="Q21" s="257"/>
      <c r="R21" s="274"/>
      <c r="S21" s="257"/>
      <c r="T21" s="257"/>
      <c r="U21" s="257"/>
      <c r="V21" s="282"/>
      <c r="X21" s="69">
        <f t="shared" si="0"/>
        <v>0.25</v>
      </c>
      <c r="Y21" s="238">
        <v>0.35</v>
      </c>
      <c r="Z21" s="240">
        <v>0.35</v>
      </c>
      <c r="AA21" s="303"/>
      <c r="AB21" s="303"/>
      <c r="AC21" s="72">
        <f>Z21</f>
        <v>0.35</v>
      </c>
      <c r="AD21" s="287"/>
      <c r="AE21" s="311"/>
      <c r="AF21" s="177"/>
      <c r="AG21" s="256"/>
      <c r="AH21" s="231"/>
      <c r="AI21" s="257"/>
      <c r="AJ21" s="274"/>
      <c r="AK21" s="257"/>
      <c r="AL21" s="257"/>
      <c r="AM21" s="257"/>
      <c r="AN21" s="282"/>
    </row>
    <row r="22" spans="3:42" ht="20.100000000000001" customHeight="1">
      <c r="D22" s="44" t="s">
        <v>121</v>
      </c>
      <c r="E22" s="25" t="s">
        <v>913</v>
      </c>
      <c r="F22" s="293"/>
      <c r="G22" s="233">
        <v>10000</v>
      </c>
      <c r="H22" s="241">
        <f>G22</f>
        <v>10000</v>
      </c>
      <c r="I22" s="304"/>
      <c r="J22" s="304"/>
      <c r="K22" s="241">
        <f>H22</f>
        <v>10000</v>
      </c>
      <c r="L22" s="288"/>
      <c r="M22" s="312"/>
      <c r="N22" s="174"/>
      <c r="O22" s="256"/>
      <c r="P22" s="231"/>
      <c r="Q22" s="257"/>
      <c r="R22" s="274"/>
      <c r="S22" s="257"/>
      <c r="T22" s="257"/>
      <c r="U22" s="257"/>
      <c r="V22" s="283"/>
      <c r="X22" s="68">
        <f t="shared" si="0"/>
        <v>10000</v>
      </c>
      <c r="Y22" s="67">
        <v>10000</v>
      </c>
      <c r="Z22" s="241">
        <f>Y22</f>
        <v>10000</v>
      </c>
      <c r="AA22" s="304"/>
      <c r="AB22" s="304"/>
      <c r="AC22" s="241">
        <f>Z22</f>
        <v>10000</v>
      </c>
      <c r="AD22" s="288"/>
      <c r="AE22" s="312"/>
      <c r="AF22" s="174"/>
      <c r="AG22" s="256"/>
      <c r="AH22" s="231"/>
      <c r="AI22" s="257"/>
      <c r="AJ22" s="274"/>
      <c r="AK22" s="257"/>
      <c r="AL22" s="257"/>
      <c r="AM22" s="257"/>
      <c r="AN22" s="283"/>
    </row>
    <row r="23" spans="3:42" ht="20.100000000000001" customHeight="1">
      <c r="D23" s="46"/>
      <c r="E23" s="24" t="s">
        <v>914</v>
      </c>
      <c r="F23" s="294"/>
      <c r="G23" s="234">
        <f>(G22*(1-G20))</f>
        <v>7000</v>
      </c>
      <c r="H23" s="242">
        <f>(H22*(1-H20))</f>
        <v>6000</v>
      </c>
      <c r="I23" s="305"/>
      <c r="J23" s="305"/>
      <c r="K23" s="308">
        <f t="shared" ref="K23:K24" si="3">H23</f>
        <v>6000</v>
      </c>
      <c r="L23" s="289"/>
      <c r="M23" s="313"/>
      <c r="N23" s="174"/>
      <c r="O23" s="256"/>
      <c r="P23" s="231"/>
      <c r="Q23" s="257"/>
      <c r="R23" s="274"/>
      <c r="S23" s="257"/>
      <c r="T23" s="257"/>
      <c r="U23" s="257"/>
      <c r="V23" s="283"/>
      <c r="X23" s="66">
        <f t="shared" si="0"/>
        <v>6000</v>
      </c>
      <c r="Y23" s="234">
        <f>(Y22*(1-Y20))</f>
        <v>7000</v>
      </c>
      <c r="Z23" s="242">
        <f>(Z22*(1-Z20))</f>
        <v>5500</v>
      </c>
      <c r="AA23" s="305"/>
      <c r="AB23" s="305"/>
      <c r="AC23" s="308">
        <f t="shared" ref="AC23:AC24" si="4">Z23</f>
        <v>5500</v>
      </c>
      <c r="AD23" s="289"/>
      <c r="AE23" s="313"/>
      <c r="AF23" s="174"/>
      <c r="AG23" s="256"/>
      <c r="AH23" s="231"/>
      <c r="AI23" s="257"/>
      <c r="AJ23" s="274"/>
      <c r="AK23" s="257"/>
      <c r="AL23" s="257"/>
      <c r="AM23" s="257"/>
      <c r="AN23" s="283"/>
    </row>
    <row r="24" spans="3:42" ht="20.100000000000001" customHeight="1" thickBot="1">
      <c r="D24" s="43"/>
      <c r="E24" s="23" t="s">
        <v>915</v>
      </c>
      <c r="F24" s="295"/>
      <c r="G24" s="235">
        <f>G23*(1-G21)</f>
        <v>4550</v>
      </c>
      <c r="H24" s="243">
        <f>H23*(1-H21)</f>
        <v>4500</v>
      </c>
      <c r="I24" s="306"/>
      <c r="J24" s="306"/>
      <c r="K24" s="73">
        <f t="shared" si="3"/>
        <v>4500</v>
      </c>
      <c r="L24" s="290"/>
      <c r="M24" s="314"/>
      <c r="N24" s="174"/>
      <c r="O24" s="256"/>
      <c r="P24" s="231"/>
      <c r="Q24" s="257"/>
      <c r="R24" s="274"/>
      <c r="S24" s="257"/>
      <c r="T24" s="257"/>
      <c r="U24" s="257"/>
      <c r="V24" s="283"/>
      <c r="X24" s="65">
        <f t="shared" si="0"/>
        <v>4500</v>
      </c>
      <c r="Y24" s="64">
        <f>Y23*(1-Y21)</f>
        <v>4550</v>
      </c>
      <c r="Z24" s="243">
        <f>Z23*(1-Z21)</f>
        <v>3575</v>
      </c>
      <c r="AA24" s="306"/>
      <c r="AB24" s="306"/>
      <c r="AC24" s="73">
        <f t="shared" si="4"/>
        <v>3575</v>
      </c>
      <c r="AD24" s="290"/>
      <c r="AE24" s="314"/>
      <c r="AF24" s="174"/>
      <c r="AG24" s="256"/>
      <c r="AH24" s="231"/>
      <c r="AI24" s="257"/>
      <c r="AJ24" s="274"/>
      <c r="AK24" s="257"/>
      <c r="AL24" s="257"/>
      <c r="AM24" s="257"/>
      <c r="AN24" s="283"/>
    </row>
    <row r="25" spans="3:42" ht="20.100000000000001" customHeight="1">
      <c r="D25" s="42" t="s">
        <v>129</v>
      </c>
      <c r="E25" s="22" t="s">
        <v>916</v>
      </c>
      <c r="F25" s="296"/>
      <c r="G25" s="261">
        <f>G19*G22</f>
        <v>5000000</v>
      </c>
      <c r="H25" s="262">
        <f>H19*H22</f>
        <v>4000000</v>
      </c>
      <c r="I25" s="307"/>
      <c r="J25" s="307"/>
      <c r="K25" s="322">
        <f>K19*K22</f>
        <v>1000000</v>
      </c>
      <c r="L25" s="291"/>
      <c r="M25" s="315"/>
      <c r="N25" s="174"/>
      <c r="O25" s="256"/>
      <c r="P25" s="231"/>
      <c r="Q25" s="257"/>
      <c r="R25" s="274"/>
      <c r="S25" s="257"/>
      <c r="T25" s="257"/>
      <c r="U25" s="257"/>
      <c r="V25" s="283"/>
      <c r="X25" s="63">
        <f t="shared" si="0"/>
        <v>1000000</v>
      </c>
      <c r="Y25" s="62">
        <f>Y19*Y22</f>
        <v>0</v>
      </c>
      <c r="Z25" s="262">
        <f>Z19*Z22</f>
        <v>1000000</v>
      </c>
      <c r="AA25" s="307"/>
      <c r="AB25" s="307"/>
      <c r="AC25" s="322">
        <f>AC19*AC22</f>
        <v>0</v>
      </c>
      <c r="AD25" s="291"/>
      <c r="AE25" s="315"/>
      <c r="AF25" s="174"/>
      <c r="AG25" s="256"/>
      <c r="AH25" s="231"/>
      <c r="AI25" s="257"/>
      <c r="AJ25" s="274"/>
      <c r="AK25" s="257"/>
      <c r="AL25" s="257"/>
      <c r="AM25" s="257"/>
      <c r="AN25" s="283"/>
    </row>
    <row r="26" spans="3:42" ht="20.100000000000001" customHeight="1">
      <c r="D26" s="41"/>
      <c r="E26" s="21" t="s">
        <v>917</v>
      </c>
      <c r="F26" s="294"/>
      <c r="G26" s="263">
        <f>G19*G23</f>
        <v>3500000</v>
      </c>
      <c r="H26" s="264">
        <f>H19*H23</f>
        <v>2400000</v>
      </c>
      <c r="I26" s="305"/>
      <c r="J26" s="305"/>
      <c r="K26" s="308">
        <f>K23*K19</f>
        <v>600000</v>
      </c>
      <c r="L26" s="289"/>
      <c r="M26" s="313"/>
      <c r="N26" s="174"/>
      <c r="O26" s="256"/>
      <c r="P26" s="231"/>
      <c r="Q26" s="257"/>
      <c r="R26" s="274"/>
      <c r="S26" s="257"/>
      <c r="T26" s="257"/>
      <c r="U26" s="257"/>
      <c r="V26" s="283"/>
      <c r="X26" s="61">
        <f t="shared" si="0"/>
        <v>600000</v>
      </c>
      <c r="Y26" s="263">
        <f>Y19*Y23</f>
        <v>0</v>
      </c>
      <c r="Z26" s="264">
        <f>Z19*Z23</f>
        <v>550000</v>
      </c>
      <c r="AA26" s="305"/>
      <c r="AB26" s="305"/>
      <c r="AC26" s="308">
        <f>AC23*AC19</f>
        <v>0</v>
      </c>
      <c r="AD26" s="289"/>
      <c r="AE26" s="313"/>
      <c r="AF26" s="174"/>
      <c r="AG26" s="256"/>
      <c r="AH26" s="231"/>
      <c r="AI26" s="257"/>
      <c r="AJ26" s="274"/>
      <c r="AK26" s="257"/>
      <c r="AL26" s="257"/>
      <c r="AM26" s="257"/>
      <c r="AN26" s="283"/>
    </row>
    <row r="27" spans="3:42" ht="20.100000000000001" customHeight="1" thickBot="1">
      <c r="C27" s="176"/>
      <c r="D27" s="40"/>
      <c r="E27" s="20" t="s">
        <v>918</v>
      </c>
      <c r="F27" s="297"/>
      <c r="G27" s="236">
        <f>G19*G24</f>
        <v>2275000</v>
      </c>
      <c r="H27" s="244">
        <f>H19*H24</f>
        <v>1800000</v>
      </c>
      <c r="I27" s="244">
        <f>H27-(H25*((F27+G27)/(F25+G25)))</f>
        <v>-20000</v>
      </c>
      <c r="J27" s="244">
        <f>K27-((F27+G27)-(H27-I27))</f>
        <v>-5000</v>
      </c>
      <c r="K27" s="244">
        <f>K24*K19</f>
        <v>450000</v>
      </c>
      <c r="L27" s="236"/>
      <c r="M27" s="316"/>
      <c r="N27" s="230"/>
      <c r="O27" s="256"/>
      <c r="P27" s="231"/>
      <c r="Q27" s="257"/>
      <c r="R27" s="274"/>
      <c r="S27" s="257"/>
      <c r="T27" s="257"/>
      <c r="U27" s="257"/>
      <c r="V27" s="283"/>
      <c r="X27" s="253">
        <f t="shared" si="0"/>
        <v>450000</v>
      </c>
      <c r="Y27" s="236">
        <f>Y19*Y24</f>
        <v>0</v>
      </c>
      <c r="Z27" s="244">
        <f>Z19*Z24</f>
        <v>357500</v>
      </c>
      <c r="AA27" s="244">
        <f>Z27-(Z25*((X27+Y27)/(X25+Y25)))</f>
        <v>-92500</v>
      </c>
      <c r="AB27" s="244">
        <f>AC27-((X27+Y27)-(Z27-AA27))</f>
        <v>0</v>
      </c>
      <c r="AC27" s="244">
        <f>AC24*AC19</f>
        <v>0</v>
      </c>
      <c r="AD27" s="236"/>
      <c r="AE27" s="316"/>
      <c r="AF27" s="230"/>
      <c r="AG27" s="256"/>
      <c r="AH27" s="231"/>
      <c r="AI27" s="257"/>
      <c r="AJ27" s="274"/>
      <c r="AK27" s="257"/>
      <c r="AL27" s="257"/>
      <c r="AM27" s="257"/>
      <c r="AN27" s="283"/>
    </row>
    <row r="28" spans="3:42" ht="20.100000000000001" customHeight="1" thickBot="1">
      <c r="C28" s="229" t="s">
        <v>273</v>
      </c>
      <c r="D28" s="227"/>
      <c r="E28" s="229"/>
      <c r="F28" s="254"/>
      <c r="G28" s="237">
        <f>G27+G18</f>
        <v>6825000</v>
      </c>
      <c r="H28" s="299">
        <f t="shared" ref="H28:K28" si="5">H27+H18</f>
        <v>4140000</v>
      </c>
      <c r="I28" s="245">
        <f t="shared" si="5"/>
        <v>-410000</v>
      </c>
      <c r="J28" s="245">
        <f t="shared" si="5"/>
        <v>-265000</v>
      </c>
      <c r="K28" s="309">
        <f t="shared" si="5"/>
        <v>2010000</v>
      </c>
      <c r="L28" s="267">
        <f>K28-M28</f>
        <v>1850000</v>
      </c>
      <c r="M28" s="317">
        <f>V28</f>
        <v>160000</v>
      </c>
      <c r="N28" s="230"/>
      <c r="O28" s="300">
        <v>4300000</v>
      </c>
      <c r="P28" s="228">
        <f>O28</f>
        <v>4300000</v>
      </c>
      <c r="Q28" s="298">
        <f>H28</f>
        <v>4140000</v>
      </c>
      <c r="R28" s="275">
        <f>Q28</f>
        <v>4140000</v>
      </c>
      <c r="S28" s="237">
        <f>O28-Q28</f>
        <v>160000</v>
      </c>
      <c r="T28" s="237">
        <v>0</v>
      </c>
      <c r="U28" s="237">
        <f>S28</f>
        <v>160000</v>
      </c>
      <c r="V28" s="273">
        <f>T28+U28</f>
        <v>160000</v>
      </c>
      <c r="X28" s="254">
        <f>X27+X18</f>
        <v>2010000</v>
      </c>
      <c r="Y28" s="237">
        <f>Y27+Y18</f>
        <v>455000</v>
      </c>
      <c r="Z28" s="299">
        <f t="shared" ref="Z28" si="6">Z27+Z18</f>
        <v>2112500</v>
      </c>
      <c r="AA28" s="245">
        <f t="shared" ref="AA28" si="7">AA27+AA18</f>
        <v>-151000</v>
      </c>
      <c r="AB28" s="245">
        <f t="shared" ref="AB28" si="8">AB27+AB18</f>
        <v>-6500</v>
      </c>
      <c r="AC28" s="309">
        <f t="shared" ref="AC28" si="9">AC27+AC18</f>
        <v>195000</v>
      </c>
      <c r="AD28" s="267">
        <f>AC28-AE28</f>
        <v>195000</v>
      </c>
      <c r="AE28" s="317">
        <f>AN28</f>
        <v>0</v>
      </c>
      <c r="AF28" s="230"/>
      <c r="AG28" s="300">
        <f>AJ28-P28</f>
        <v>1952500</v>
      </c>
      <c r="AH28" s="228">
        <f>AG28+P28</f>
        <v>6252500</v>
      </c>
      <c r="AI28" s="298">
        <f>Z28</f>
        <v>2112500</v>
      </c>
      <c r="AJ28" s="275">
        <f>AI28+R28</f>
        <v>6252500</v>
      </c>
      <c r="AK28" s="237">
        <f>AG28-AI28</f>
        <v>-160000</v>
      </c>
      <c r="AL28" s="237">
        <f>T28</f>
        <v>0</v>
      </c>
      <c r="AM28" s="237">
        <f>U28+AK28</f>
        <v>0</v>
      </c>
      <c r="AN28" s="273">
        <f>AL28+AM28</f>
        <v>0</v>
      </c>
      <c r="AP28" s="174"/>
    </row>
    <row r="29" spans="3:42" ht="20.100000000000001" customHeight="1">
      <c r="D29" s="78"/>
      <c r="E29" s="78"/>
      <c r="K29" s="78">
        <f>(F28+G28)-(H28-I28-J28+K28)</f>
        <v>0</v>
      </c>
      <c r="AC29" s="78">
        <f>(X28+Y28)-(Z28-AA28-AB28+AC28)</f>
        <v>0</v>
      </c>
    </row>
    <row r="30" spans="3:42" ht="20.100000000000001" customHeight="1">
      <c r="D30" s="78"/>
      <c r="E30" s="78"/>
    </row>
    <row r="31" spans="3:42" ht="20.100000000000001" customHeight="1" thickBot="1">
      <c r="C31" s="148" t="s">
        <v>908</v>
      </c>
      <c r="D31" s="148"/>
      <c r="L31" s="120"/>
      <c r="N31" s="301"/>
      <c r="AE31" s="301"/>
      <c r="AF31" s="301"/>
    </row>
    <row r="32" spans="3:42" ht="20.100000000000001" customHeight="1" thickBot="1">
      <c r="C32" s="246"/>
      <c r="D32" s="246"/>
      <c r="E32" s="247"/>
      <c r="F32" s="272" t="s">
        <v>124</v>
      </c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65"/>
      <c r="X32" s="71" t="s">
        <v>130</v>
      </c>
      <c r="Y32" s="77"/>
      <c r="Z32" s="248"/>
      <c r="AA32" s="248"/>
      <c r="AB32" s="77"/>
      <c r="AC32" s="248"/>
      <c r="AD32" s="248"/>
      <c r="AE32" s="248"/>
      <c r="AF32" s="248"/>
      <c r="AG32" s="248"/>
      <c r="AH32" s="248"/>
      <c r="AI32" s="248"/>
      <c r="AJ32" s="248"/>
      <c r="AK32" s="248"/>
      <c r="AL32" s="248"/>
      <c r="AM32" s="248"/>
      <c r="AN32" s="265"/>
    </row>
    <row r="33" spans="3:42" s="145" customFormat="1" ht="20.100000000000001" customHeight="1">
      <c r="C33" s="249" t="s">
        <v>125</v>
      </c>
      <c r="D33" s="249"/>
      <c r="E33" s="250"/>
      <c r="F33" s="13" t="s">
        <v>912</v>
      </c>
      <c r="G33" s="12"/>
      <c r="H33" s="12"/>
      <c r="I33" s="12"/>
      <c r="J33" s="12"/>
      <c r="K33" s="11"/>
      <c r="L33" s="11"/>
      <c r="M33" s="11"/>
      <c r="N33" s="177"/>
      <c r="O33" s="258" t="s">
        <v>274</v>
      </c>
      <c r="P33" s="259"/>
      <c r="Q33" s="259"/>
      <c r="R33" s="259"/>
      <c r="S33" s="259"/>
      <c r="T33" s="259"/>
      <c r="U33" s="259"/>
      <c r="V33" s="266"/>
      <c r="W33" s="79"/>
      <c r="X33" s="271" t="s">
        <v>277</v>
      </c>
      <c r="Y33" s="268"/>
      <c r="Z33" s="268"/>
      <c r="AA33" s="268"/>
      <c r="AB33" s="268"/>
      <c r="AC33" s="268"/>
      <c r="AD33" s="268"/>
      <c r="AE33" s="269"/>
      <c r="AF33" s="177"/>
      <c r="AG33" s="258" t="s">
        <v>274</v>
      </c>
      <c r="AH33" s="259"/>
      <c r="AI33" s="259"/>
      <c r="AJ33" s="259"/>
      <c r="AK33" s="259"/>
      <c r="AL33" s="259"/>
      <c r="AM33" s="259"/>
      <c r="AN33" s="266"/>
    </row>
    <row r="34" spans="3:42" s="145" customFormat="1" ht="20.100000000000001" customHeight="1" thickBot="1">
      <c r="C34" s="251"/>
      <c r="D34" s="251"/>
      <c r="E34" s="19"/>
      <c r="F34" s="1186" t="s">
        <v>285</v>
      </c>
      <c r="G34" s="1188" t="s">
        <v>284</v>
      </c>
      <c r="H34" s="1188" t="s">
        <v>276</v>
      </c>
      <c r="I34" s="1191" t="s">
        <v>286</v>
      </c>
      <c r="J34" s="1191" t="s">
        <v>900</v>
      </c>
      <c r="K34" s="1191" t="s">
        <v>282</v>
      </c>
      <c r="L34" s="318"/>
      <c r="M34" s="319"/>
      <c r="N34" s="177"/>
      <c r="O34" s="258" t="s">
        <v>271</v>
      </c>
      <c r="P34" s="259"/>
      <c r="Q34" s="260" t="s">
        <v>1585</v>
      </c>
      <c r="R34" s="277"/>
      <c r="S34" s="260" t="s">
        <v>272</v>
      </c>
      <c r="T34" s="259"/>
      <c r="U34" s="259"/>
      <c r="V34" s="266"/>
      <c r="W34" s="79"/>
      <c r="X34" s="1192" t="s">
        <v>1</v>
      </c>
      <c r="Y34" s="1194" t="s">
        <v>126</v>
      </c>
      <c r="Z34" s="1195" t="s">
        <v>276</v>
      </c>
      <c r="AA34" s="1184" t="s">
        <v>286</v>
      </c>
      <c r="AB34" s="1184" t="s">
        <v>900</v>
      </c>
      <c r="AC34" s="1184" t="s">
        <v>282</v>
      </c>
      <c r="AD34" s="318"/>
      <c r="AE34" s="319"/>
      <c r="AF34" s="177"/>
      <c r="AG34" s="258" t="s">
        <v>271</v>
      </c>
      <c r="AH34" s="259"/>
      <c r="AI34" s="260" t="s">
        <v>11</v>
      </c>
      <c r="AJ34" s="277"/>
      <c r="AK34" s="260" t="s">
        <v>272</v>
      </c>
      <c r="AL34" s="259"/>
      <c r="AM34" s="259"/>
      <c r="AN34" s="266"/>
    </row>
    <row r="35" spans="3:42" s="145" customFormat="1" ht="20.100000000000001" customHeight="1" thickBot="1">
      <c r="C35" s="255"/>
      <c r="D35" s="255"/>
      <c r="E35" s="255"/>
      <c r="F35" s="1187"/>
      <c r="G35" s="1189"/>
      <c r="H35" s="1190"/>
      <c r="I35" s="1185"/>
      <c r="J35" s="1185"/>
      <c r="K35" s="1185"/>
      <c r="L35" s="59" t="s">
        <v>281</v>
      </c>
      <c r="M35" s="58" t="s">
        <v>283</v>
      </c>
      <c r="N35" s="177"/>
      <c r="O35" s="57" t="s">
        <v>275</v>
      </c>
      <c r="P35" s="56" t="s">
        <v>278</v>
      </c>
      <c r="Q35" s="55" t="s">
        <v>275</v>
      </c>
      <c r="R35" s="55" t="s">
        <v>278</v>
      </c>
      <c r="S35" s="54" t="s">
        <v>275</v>
      </c>
      <c r="T35" s="284" t="s">
        <v>906</v>
      </c>
      <c r="U35" s="53" t="s">
        <v>279</v>
      </c>
      <c r="V35" s="52" t="s">
        <v>16</v>
      </c>
      <c r="W35" s="79"/>
      <c r="X35" s="1193"/>
      <c r="Y35" s="1189"/>
      <c r="Z35" s="1196"/>
      <c r="AA35" s="1185"/>
      <c r="AB35" s="1185"/>
      <c r="AC35" s="1185"/>
      <c r="AD35" s="59" t="s">
        <v>281</v>
      </c>
      <c r="AE35" s="58" t="s">
        <v>283</v>
      </c>
      <c r="AF35" s="177"/>
      <c r="AG35" s="57" t="s">
        <v>275</v>
      </c>
      <c r="AH35" s="56" t="s">
        <v>278</v>
      </c>
      <c r="AI35" s="55" t="s">
        <v>275</v>
      </c>
      <c r="AJ35" s="55" t="s">
        <v>278</v>
      </c>
      <c r="AK35" s="54" t="s">
        <v>275</v>
      </c>
      <c r="AL35" s="284" t="s">
        <v>906</v>
      </c>
      <c r="AM35" s="53" t="s">
        <v>279</v>
      </c>
      <c r="AN35" s="52" t="s">
        <v>16</v>
      </c>
    </row>
    <row r="36" spans="3:42" s="78" customFormat="1" ht="20.100000000000001" customHeight="1">
      <c r="C36" s="486"/>
      <c r="D36" s="39" t="s">
        <v>123</v>
      </c>
      <c r="E36" s="51"/>
      <c r="F36" s="49"/>
      <c r="G36" s="60">
        <f>G19+G10</f>
        <v>1500</v>
      </c>
      <c r="H36" s="60">
        <f>H19+H10</f>
        <v>1000</v>
      </c>
      <c r="I36" s="60"/>
      <c r="J36" s="60"/>
      <c r="K36" s="60">
        <f>K19+K10</f>
        <v>500</v>
      </c>
      <c r="L36" s="60"/>
      <c r="M36" s="50"/>
      <c r="O36" s="8"/>
      <c r="P36" s="7"/>
      <c r="Q36" s="7"/>
      <c r="R36" s="7"/>
      <c r="S36" s="7"/>
      <c r="T36" s="7"/>
      <c r="U36" s="7"/>
      <c r="V36" s="6"/>
      <c r="X36" s="49">
        <f>K36</f>
        <v>500</v>
      </c>
      <c r="Y36" s="60">
        <f>Y19+Y10</f>
        <v>100</v>
      </c>
      <c r="Z36" s="60">
        <f>Z19+Z10</f>
        <v>550</v>
      </c>
      <c r="AA36" s="60"/>
      <c r="AB36" s="60"/>
      <c r="AC36" s="60">
        <f>AC19+AC10</f>
        <v>50</v>
      </c>
      <c r="AD36" s="60"/>
      <c r="AE36" s="50"/>
      <c r="AG36" s="8"/>
      <c r="AH36" s="7"/>
      <c r="AI36" s="7"/>
      <c r="AJ36" s="7"/>
      <c r="AK36" s="7"/>
      <c r="AL36" s="7"/>
      <c r="AM36" s="7"/>
      <c r="AN36" s="6"/>
    </row>
    <row r="37" spans="3:42" ht="20.100000000000001" customHeight="1">
      <c r="C37" s="38"/>
      <c r="D37" s="37" t="s">
        <v>902</v>
      </c>
      <c r="E37" s="18"/>
      <c r="F37" s="33"/>
      <c r="G37" s="35">
        <f>1-(G26+G17)/(G25+G16)</f>
        <v>0.30000000000000004</v>
      </c>
      <c r="H37" s="35">
        <f>1-(H26+H17)/(H25+H16)</f>
        <v>0.4</v>
      </c>
      <c r="I37" s="36"/>
      <c r="J37" s="36"/>
      <c r="K37" s="35">
        <f>H37</f>
        <v>0.4</v>
      </c>
      <c r="L37" s="36"/>
      <c r="M37" s="34"/>
      <c r="O37" s="5"/>
      <c r="P37" s="286"/>
      <c r="Q37" s="286"/>
      <c r="R37" s="286"/>
      <c r="S37" s="286"/>
      <c r="T37" s="286"/>
      <c r="U37" s="286"/>
      <c r="V37" s="310"/>
      <c r="X37" s="32">
        <f t="shared" ref="X37:X41" si="10">K37</f>
        <v>0.4</v>
      </c>
      <c r="Y37" s="35">
        <f>1-(Y26+Y17)/(Y25+Y16)</f>
        <v>0.30000000000000004</v>
      </c>
      <c r="Z37" s="35">
        <f>1-(Z26+Z17)/(Z25+Z16)</f>
        <v>0.40909090909090906</v>
      </c>
      <c r="AA37" s="36"/>
      <c r="AB37" s="36"/>
      <c r="AC37" s="35">
        <f>Z37</f>
        <v>0.40909090909090906</v>
      </c>
      <c r="AD37" s="36"/>
      <c r="AE37" s="34"/>
      <c r="AG37" s="5"/>
      <c r="AH37" s="286"/>
      <c r="AI37" s="286"/>
      <c r="AJ37" s="286"/>
      <c r="AK37" s="286"/>
      <c r="AL37" s="286"/>
      <c r="AM37" s="286"/>
      <c r="AN37" s="310"/>
    </row>
    <row r="38" spans="3:42" s="78" customFormat="1" ht="20.100000000000001" customHeight="1" thickBot="1">
      <c r="C38" s="38" t="s">
        <v>903</v>
      </c>
      <c r="D38" s="31" t="s">
        <v>901</v>
      </c>
      <c r="E38" s="17"/>
      <c r="F38" s="27"/>
      <c r="G38" s="29">
        <f>1-(G27+G18)/(G26+G17)</f>
        <v>0.35</v>
      </c>
      <c r="H38" s="29">
        <f>1-(H27+H18)/(H26+H17)</f>
        <v>0.31000000000000005</v>
      </c>
      <c r="I38" s="30"/>
      <c r="J38" s="30"/>
      <c r="K38" s="29">
        <f>H38</f>
        <v>0.31000000000000005</v>
      </c>
      <c r="L38" s="30"/>
      <c r="M38" s="28"/>
      <c r="O38" s="5"/>
      <c r="P38" s="286"/>
      <c r="Q38" s="286"/>
      <c r="R38" s="286"/>
      <c r="S38" s="286"/>
      <c r="T38" s="286"/>
      <c r="U38" s="286"/>
      <c r="V38" s="310"/>
      <c r="X38" s="26">
        <f t="shared" si="10"/>
        <v>0.31000000000000005</v>
      </c>
      <c r="Y38" s="29">
        <f>1-(Y27+Y18)/(Y26+Y17)</f>
        <v>0.35</v>
      </c>
      <c r="Z38" s="29">
        <f>1-(Z27+Z18)/(Z26+Z17)</f>
        <v>0.35</v>
      </c>
      <c r="AA38" s="30"/>
      <c r="AB38" s="30"/>
      <c r="AC38" s="29">
        <f>Z38</f>
        <v>0.35</v>
      </c>
      <c r="AD38" s="30"/>
      <c r="AE38" s="28"/>
      <c r="AG38" s="5"/>
      <c r="AH38" s="286"/>
      <c r="AI38" s="286"/>
      <c r="AJ38" s="286"/>
      <c r="AK38" s="286"/>
      <c r="AL38" s="286"/>
      <c r="AM38" s="286"/>
      <c r="AN38" s="310"/>
    </row>
    <row r="39" spans="3:42" s="78" customFormat="1" ht="20.100000000000001" customHeight="1">
      <c r="C39" s="38" t="s">
        <v>904</v>
      </c>
      <c r="D39" s="42" t="s">
        <v>905</v>
      </c>
      <c r="E39" s="16" t="s">
        <v>916</v>
      </c>
      <c r="F39" s="296"/>
      <c r="G39" s="62">
        <f>G25+G16</f>
        <v>15000000</v>
      </c>
      <c r="H39" s="75">
        <f>H25+H16</f>
        <v>10000000</v>
      </c>
      <c r="I39" s="74"/>
      <c r="J39" s="74"/>
      <c r="K39" s="76">
        <f>K25+K16</f>
        <v>5000000</v>
      </c>
      <c r="L39" s="10"/>
      <c r="M39" s="9"/>
      <c r="O39" s="5"/>
      <c r="P39" s="286"/>
      <c r="Q39" s="286"/>
      <c r="R39" s="286"/>
      <c r="S39" s="286"/>
      <c r="T39" s="286"/>
      <c r="U39" s="286"/>
      <c r="V39" s="310"/>
      <c r="X39" s="296">
        <f t="shared" si="10"/>
        <v>5000000</v>
      </c>
      <c r="Y39" s="62">
        <f>Y25+Y16</f>
        <v>1000000</v>
      </c>
      <c r="Z39" s="75">
        <f>Z25+Z16</f>
        <v>5500000</v>
      </c>
      <c r="AA39" s="74"/>
      <c r="AB39" s="74"/>
      <c r="AC39" s="76">
        <f>X39+Y39-Z39</f>
        <v>500000</v>
      </c>
      <c r="AD39" s="10"/>
      <c r="AE39" s="9"/>
      <c r="AG39" s="5"/>
      <c r="AH39" s="286"/>
      <c r="AI39" s="286"/>
      <c r="AJ39" s="286"/>
      <c r="AK39" s="286"/>
      <c r="AL39" s="286"/>
      <c r="AM39" s="286"/>
      <c r="AN39" s="310"/>
    </row>
    <row r="40" spans="3:42" s="78" customFormat="1" ht="20.100000000000001" customHeight="1" thickBot="1">
      <c r="C40" s="134"/>
      <c r="D40" s="41"/>
      <c r="E40" s="15" t="s">
        <v>917</v>
      </c>
      <c r="F40" s="294"/>
      <c r="G40" s="263">
        <f>G26+G17</f>
        <v>10500000</v>
      </c>
      <c r="H40" s="264">
        <f>H26+H17</f>
        <v>6000000</v>
      </c>
      <c r="I40" s="305"/>
      <c r="J40" s="305"/>
      <c r="K40" s="308">
        <f>K26+K17</f>
        <v>3000000</v>
      </c>
      <c r="L40" s="289"/>
      <c r="M40" s="313"/>
      <c r="O40" s="4"/>
      <c r="P40" s="3"/>
      <c r="Q40" s="3"/>
      <c r="R40" s="3"/>
      <c r="S40" s="3"/>
      <c r="T40" s="3"/>
      <c r="U40" s="3"/>
      <c r="V40" s="2"/>
      <c r="X40" s="294">
        <f t="shared" si="10"/>
        <v>3000000</v>
      </c>
      <c r="Y40" s="263">
        <f>Y26+Y17</f>
        <v>700000</v>
      </c>
      <c r="Z40" s="264">
        <f>Z26+Z17</f>
        <v>3250000</v>
      </c>
      <c r="AA40" s="305"/>
      <c r="AB40" s="305"/>
      <c r="AC40" s="308">
        <f>AC39*(1-AC37)</f>
        <v>295454.54545454547</v>
      </c>
      <c r="AD40" s="289"/>
      <c r="AE40" s="313"/>
      <c r="AG40" s="4"/>
      <c r="AH40" s="3"/>
      <c r="AI40" s="3"/>
      <c r="AJ40" s="3"/>
      <c r="AK40" s="3"/>
      <c r="AL40" s="3"/>
      <c r="AM40" s="3"/>
      <c r="AN40" s="2"/>
      <c r="AO40"/>
      <c r="AP40"/>
    </row>
    <row r="41" spans="3:42" s="78" customFormat="1" ht="20.100000000000001" customHeight="1" thickBot="1">
      <c r="C41" s="498"/>
      <c r="D41" s="40"/>
      <c r="E41" s="14" t="s">
        <v>918</v>
      </c>
      <c r="F41" s="297"/>
      <c r="G41" s="236">
        <f>G40*(1-G38)</f>
        <v>6825000</v>
      </c>
      <c r="H41" s="244">
        <f>H40*(1-H38)</f>
        <v>4139999.9999999995</v>
      </c>
      <c r="I41" s="244">
        <f>H41-(H39*((G41+F41)/(G39+F39)))</f>
        <v>-410000.00000000047</v>
      </c>
      <c r="J41" s="244">
        <f>K41-((F41+G41)-(H41-I41))</f>
        <v>-205000.00000000023</v>
      </c>
      <c r="K41" s="244">
        <f>K40*(1-K38)</f>
        <v>2069999.9999999998</v>
      </c>
      <c r="L41" s="236">
        <f>K41-M41</f>
        <v>1909999.9999999998</v>
      </c>
      <c r="M41" s="316">
        <f>V41</f>
        <v>160000</v>
      </c>
      <c r="O41" s="300">
        <f>O28</f>
        <v>4300000</v>
      </c>
      <c r="P41" s="228">
        <f>O41</f>
        <v>4300000</v>
      </c>
      <c r="Q41" s="298">
        <f>Q28</f>
        <v>4140000</v>
      </c>
      <c r="R41" s="275">
        <f>Q41</f>
        <v>4140000</v>
      </c>
      <c r="S41" s="237">
        <f>O41-Q41</f>
        <v>160000</v>
      </c>
      <c r="T41" s="237">
        <v>0</v>
      </c>
      <c r="U41" s="237">
        <f>S41</f>
        <v>160000</v>
      </c>
      <c r="V41" s="273">
        <f>T41+U41</f>
        <v>160000</v>
      </c>
      <c r="X41" s="297">
        <f t="shared" si="10"/>
        <v>2069999.9999999998</v>
      </c>
      <c r="Y41" s="236">
        <f>Y40*(1-Y38)</f>
        <v>455000</v>
      </c>
      <c r="Z41" s="244">
        <f>Z40*(1-Z38)</f>
        <v>2112500</v>
      </c>
      <c r="AA41" s="244">
        <f>Z41-(Z39*((Y41+X41)/(Y39+X39)))</f>
        <v>-202083.33333333349</v>
      </c>
      <c r="AB41" s="244">
        <f>AC41-((X41+Y41)-(Z41-AA41))</f>
        <v>-18371.212121211953</v>
      </c>
      <c r="AC41" s="244">
        <f>AC40*(1-AC38)</f>
        <v>192045.45454545456</v>
      </c>
      <c r="AD41" s="236">
        <f>AC41-AE41</f>
        <v>192045.45454545456</v>
      </c>
      <c r="AE41" s="316">
        <f>AN41</f>
        <v>0</v>
      </c>
      <c r="AG41" s="300">
        <f>AG28</f>
        <v>1952500</v>
      </c>
      <c r="AH41" s="228">
        <f>AG41+P41</f>
        <v>6252500</v>
      </c>
      <c r="AI41" s="298">
        <f>AI28</f>
        <v>2112500</v>
      </c>
      <c r="AJ41" s="275">
        <f>AI41+R41</f>
        <v>6252500</v>
      </c>
      <c r="AK41" s="237">
        <f>AG41-AI41</f>
        <v>-160000</v>
      </c>
      <c r="AL41" s="237">
        <f>T41</f>
        <v>0</v>
      </c>
      <c r="AM41" s="237">
        <f>U41+AK41</f>
        <v>0</v>
      </c>
      <c r="AN41" s="273">
        <f>AL41+AM41</f>
        <v>0</v>
      </c>
      <c r="AO41"/>
      <c r="AP41"/>
    </row>
    <row r="42" spans="3:42" s="1" customFormat="1" ht="20.100000000000001" customHeight="1">
      <c r="G42" s="1">
        <f t="shared" ref="G42:V42" si="11">G28-G41</f>
        <v>0</v>
      </c>
      <c r="H42" s="1">
        <f t="shared" si="11"/>
        <v>0</v>
      </c>
      <c r="I42" s="1">
        <f t="shared" si="11"/>
        <v>4.6566128730773926E-10</v>
      </c>
      <c r="J42" s="1">
        <f t="shared" si="11"/>
        <v>-59999.999999999767</v>
      </c>
      <c r="K42" s="1">
        <f t="shared" si="11"/>
        <v>-59999.999999999767</v>
      </c>
      <c r="L42" s="1">
        <f t="shared" si="11"/>
        <v>-59999.999999999767</v>
      </c>
      <c r="M42" s="1">
        <f t="shared" si="11"/>
        <v>0</v>
      </c>
      <c r="N42" s="1">
        <f t="shared" si="11"/>
        <v>0</v>
      </c>
      <c r="O42" s="1">
        <f t="shared" si="11"/>
        <v>0</v>
      </c>
      <c r="P42" s="1">
        <f t="shared" si="11"/>
        <v>0</v>
      </c>
      <c r="Q42" s="1">
        <f t="shared" si="11"/>
        <v>0</v>
      </c>
      <c r="R42" s="1">
        <f t="shared" si="11"/>
        <v>0</v>
      </c>
      <c r="S42" s="1">
        <f t="shared" si="11"/>
        <v>0</v>
      </c>
      <c r="T42" s="1">
        <f t="shared" si="11"/>
        <v>0</v>
      </c>
      <c r="U42" s="1">
        <f t="shared" si="11"/>
        <v>0</v>
      </c>
      <c r="V42" s="1">
        <f t="shared" si="11"/>
        <v>0</v>
      </c>
      <c r="X42" s="1">
        <f t="shared" ref="X42:AE42" si="12">X28-X41</f>
        <v>-59999.999999999767</v>
      </c>
      <c r="Y42" s="1">
        <f t="shared" si="12"/>
        <v>0</v>
      </c>
      <c r="Z42" s="1">
        <f t="shared" si="12"/>
        <v>0</v>
      </c>
      <c r="AA42" s="1">
        <f t="shared" si="12"/>
        <v>51083.333333333489</v>
      </c>
      <c r="AB42" s="1">
        <f t="shared" si="12"/>
        <v>11871.212121211953</v>
      </c>
      <c r="AC42" s="1">
        <f t="shared" si="12"/>
        <v>2954.5454545454413</v>
      </c>
      <c r="AD42" s="1">
        <f t="shared" si="12"/>
        <v>2954.5454545454413</v>
      </c>
      <c r="AE42" s="1">
        <f t="shared" si="12"/>
        <v>0</v>
      </c>
    </row>
    <row r="43" spans="3:42" s="1" customFormat="1" ht="20.100000000000001" customHeight="1" thickBot="1"/>
    <row r="44" spans="3:42" s="78" customFormat="1" ht="20.100000000000001" customHeight="1">
      <c r="G44" s="510"/>
      <c r="H44" s="511"/>
      <c r="I44" s="511"/>
      <c r="J44" s="511"/>
      <c r="K44" s="511"/>
      <c r="L44" s="511"/>
      <c r="M44" s="511"/>
      <c r="N44" s="511"/>
      <c r="O44" s="511"/>
      <c r="P44" s="511"/>
      <c r="Q44" s="512"/>
      <c r="AO44"/>
      <c r="AP44"/>
    </row>
    <row r="45" spans="3:42" s="78" customFormat="1" ht="20.100000000000001" customHeight="1">
      <c r="G45" s="513" t="s">
        <v>909</v>
      </c>
      <c r="H45" s="514"/>
      <c r="I45" s="514"/>
      <c r="J45" s="514"/>
      <c r="K45" s="514"/>
      <c r="L45" s="514"/>
      <c r="M45" s="514"/>
      <c r="N45" s="514"/>
      <c r="O45" s="514"/>
      <c r="P45" s="514"/>
      <c r="Q45" s="515"/>
      <c r="AO45"/>
      <c r="AP45"/>
    </row>
    <row r="46" spans="3:42" s="78" customFormat="1" ht="20.100000000000001" customHeight="1">
      <c r="G46" s="516" t="s">
        <v>910</v>
      </c>
      <c r="H46" s="514"/>
      <c r="I46" s="514"/>
      <c r="J46" s="514"/>
      <c r="K46" s="517"/>
      <c r="L46" s="514"/>
      <c r="M46" s="514"/>
      <c r="N46" s="514"/>
      <c r="O46" s="517"/>
      <c r="P46" s="514"/>
      <c r="Q46" s="515"/>
      <c r="AO46"/>
      <c r="AP46"/>
    </row>
    <row r="47" spans="3:42" ht="20.100000000000001" customHeight="1">
      <c r="C47" s="78"/>
      <c r="D47" s="78"/>
      <c r="E47" s="78"/>
      <c r="G47" s="516" t="s">
        <v>911</v>
      </c>
      <c r="H47" s="514"/>
      <c r="I47" s="514"/>
      <c r="J47" s="514"/>
      <c r="K47" s="517"/>
      <c r="L47" s="514"/>
      <c r="M47" s="514"/>
      <c r="N47" s="514"/>
      <c r="O47" s="514"/>
      <c r="P47" s="514"/>
      <c r="Q47" s="515"/>
    </row>
    <row r="48" spans="3:42" ht="20.100000000000001" customHeight="1">
      <c r="C48" s="78"/>
      <c r="D48" s="78"/>
      <c r="E48" s="78"/>
      <c r="G48" s="523" t="s">
        <v>919</v>
      </c>
      <c r="H48" s="524"/>
      <c r="I48" s="524"/>
      <c r="J48" s="524"/>
      <c r="K48" s="517"/>
      <c r="L48" s="514"/>
      <c r="M48" s="514"/>
      <c r="N48" s="514"/>
      <c r="O48" s="514"/>
      <c r="P48" s="514"/>
      <c r="Q48" s="515"/>
    </row>
    <row r="49" spans="3:17" ht="20.100000000000001" customHeight="1">
      <c r="C49" s="78"/>
      <c r="D49" s="78"/>
      <c r="E49" s="78"/>
      <c r="G49" s="523" t="s">
        <v>920</v>
      </c>
      <c r="H49" s="524"/>
      <c r="I49" s="524"/>
      <c r="J49" s="524"/>
      <c r="K49" s="517"/>
      <c r="L49" s="514"/>
      <c r="M49" s="514"/>
      <c r="N49" s="514"/>
      <c r="O49" s="514"/>
      <c r="P49" s="514"/>
      <c r="Q49" s="515"/>
    </row>
    <row r="50" spans="3:17" ht="20.100000000000001" customHeight="1">
      <c r="C50" s="78"/>
      <c r="D50" s="78"/>
      <c r="E50" s="78"/>
      <c r="G50" s="523" t="s">
        <v>928</v>
      </c>
      <c r="H50" s="524"/>
      <c r="I50" s="524"/>
      <c r="J50" s="524"/>
      <c r="K50" s="517"/>
      <c r="L50" s="514"/>
      <c r="M50" s="514"/>
      <c r="N50" s="514"/>
      <c r="O50" s="514"/>
      <c r="P50" s="514"/>
      <c r="Q50" s="515"/>
    </row>
    <row r="51" spans="3:17" ht="20.100000000000001" customHeight="1" thickBot="1">
      <c r="C51" s="78"/>
      <c r="D51" s="78"/>
      <c r="E51" s="78"/>
      <c r="G51" s="518"/>
      <c r="H51" s="519"/>
      <c r="I51" s="519"/>
      <c r="J51" s="519"/>
      <c r="K51" s="520"/>
      <c r="L51" s="521"/>
      <c r="M51" s="521"/>
      <c r="N51" s="521"/>
      <c r="O51" s="521"/>
      <c r="P51" s="521"/>
      <c r="Q51" s="522"/>
    </row>
    <row r="52" spans="3:17" ht="20.100000000000001" customHeight="1">
      <c r="C52" s="78"/>
      <c r="D52" s="78"/>
      <c r="E52" s="78"/>
      <c r="H52" s="301"/>
      <c r="J52" s="509"/>
    </row>
    <row r="53" spans="3:17" ht="20.100000000000001" customHeight="1">
      <c r="C53" s="78"/>
      <c r="D53" s="78"/>
      <c r="E53" s="78"/>
      <c r="K53" s="301"/>
      <c r="L53" s="301"/>
      <c r="M53" s="301"/>
    </row>
    <row r="54" spans="3:17" ht="20.100000000000001" customHeight="1">
      <c r="C54" s="78"/>
      <c r="D54" s="78"/>
      <c r="E54" s="78"/>
      <c r="G54" s="331" t="s">
        <v>1618</v>
      </c>
    </row>
    <row r="55" spans="3:17" ht="20.100000000000001" customHeight="1">
      <c r="C55" s="78"/>
      <c r="D55" s="78"/>
      <c r="E55" s="78"/>
      <c r="G55" s="331" t="s">
        <v>1619</v>
      </c>
    </row>
    <row r="56" spans="3:17" ht="20.100000000000001" customHeight="1">
      <c r="C56" s="78"/>
      <c r="D56" s="78"/>
      <c r="E56" s="78"/>
    </row>
    <row r="57" spans="3:17" ht="20.100000000000001" customHeight="1">
      <c r="C57" s="78"/>
      <c r="D57" s="78"/>
      <c r="E57" s="78"/>
      <c r="G57" s="331" t="s">
        <v>1620</v>
      </c>
    </row>
    <row r="58" spans="3:17" ht="20.100000000000001" customHeight="1">
      <c r="G58" s="331" t="s">
        <v>1621</v>
      </c>
    </row>
    <row r="59" spans="3:17" ht="20.100000000000001" customHeight="1">
      <c r="G59" s="331" t="s">
        <v>1622</v>
      </c>
    </row>
    <row r="61" spans="3:17" ht="20.100000000000001" customHeight="1">
      <c r="G61" s="1149" t="s">
        <v>1623</v>
      </c>
    </row>
    <row r="62" spans="3:17" ht="20.100000000000001" customHeight="1">
      <c r="G62" s="1149" t="s">
        <v>1624</v>
      </c>
    </row>
  </sheetData>
  <mergeCells count="24">
    <mergeCell ref="F8:F9"/>
    <mergeCell ref="G8:G9"/>
    <mergeCell ref="H8:H9"/>
    <mergeCell ref="I8:I9"/>
    <mergeCell ref="K8:K9"/>
    <mergeCell ref="Y8:Y9"/>
    <mergeCell ref="Z8:Z9"/>
    <mergeCell ref="AA8:AA9"/>
    <mergeCell ref="AC8:AC9"/>
    <mergeCell ref="J8:J9"/>
    <mergeCell ref="AB8:AB9"/>
    <mergeCell ref="X8:X9"/>
    <mergeCell ref="AC34:AC35"/>
    <mergeCell ref="F34:F35"/>
    <mergeCell ref="G34:G35"/>
    <mergeCell ref="H34:H35"/>
    <mergeCell ref="I34:I35"/>
    <mergeCell ref="J34:J35"/>
    <mergeCell ref="K34:K35"/>
    <mergeCell ref="X34:X35"/>
    <mergeCell ref="Y34:Y35"/>
    <mergeCell ref="Z34:Z35"/>
    <mergeCell ref="AA34:AA35"/>
    <mergeCell ref="AB34:AB35"/>
  </mergeCells>
  <phoneticPr fontId="2" type="noConversion"/>
  <printOptions horizontalCentered="1" verticalCentered="1"/>
  <pageMargins left="0.15748031496062992" right="0.15748031496062992" top="0.39370078740157483" bottom="0.39370078740157483" header="0" footer="0"/>
  <pageSetup paperSize="9" scale="5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D2:BB54"/>
  <sheetViews>
    <sheetView topLeftCell="A21" workbookViewId="0">
      <selection activeCell="M38" sqref="M38"/>
    </sheetView>
  </sheetViews>
  <sheetFormatPr defaultRowHeight="18.95" customHeight="1"/>
  <cols>
    <col min="4" max="4" width="12.42578125" customWidth="1"/>
    <col min="6" max="6" width="14.140625" customWidth="1"/>
    <col min="7" max="18" width="13.7109375" customWidth="1"/>
    <col min="19" max="20" width="4.5703125" customWidth="1"/>
    <col min="21" max="21" width="12.42578125" customWidth="1"/>
    <col min="23" max="23" width="14.140625" customWidth="1"/>
    <col min="24" max="35" width="13.7109375" customWidth="1"/>
    <col min="36" max="37" width="4.5703125" customWidth="1"/>
    <col min="38" max="38" width="12.42578125" customWidth="1"/>
    <col min="40" max="40" width="14.140625" customWidth="1"/>
    <col min="41" max="52" width="13.7109375" customWidth="1"/>
  </cols>
  <sheetData>
    <row r="2" spans="4:52" s="1010" customFormat="1" ht="25.5" customHeight="1">
      <c r="D2" s="1080" t="s">
        <v>1593</v>
      </c>
      <c r="E2" s="1080"/>
      <c r="F2" s="1080"/>
      <c r="G2" s="1080"/>
      <c r="H2" s="1080"/>
      <c r="I2" s="1080"/>
      <c r="J2" s="1080"/>
      <c r="K2" s="1080"/>
      <c r="L2" s="1080"/>
      <c r="M2" s="1080"/>
      <c r="N2" s="1080"/>
      <c r="O2" s="1080"/>
      <c r="P2" s="1080"/>
      <c r="Q2" s="1080"/>
      <c r="R2" s="1080"/>
      <c r="U2" s="1080" t="s">
        <v>1601</v>
      </c>
      <c r="V2" s="1080"/>
      <c r="W2" s="1080"/>
      <c r="X2" s="1080"/>
      <c r="Y2" s="1080"/>
      <c r="Z2" s="1080"/>
      <c r="AA2" s="1080"/>
      <c r="AB2" s="1080"/>
      <c r="AC2" s="1080"/>
      <c r="AD2" s="1080"/>
      <c r="AE2" s="1080"/>
      <c r="AF2" s="1080"/>
      <c r="AG2" s="1080"/>
      <c r="AH2" s="1080"/>
      <c r="AI2" s="1080"/>
      <c r="AL2" s="1080" t="s">
        <v>1606</v>
      </c>
      <c r="AM2" s="1080"/>
      <c r="AN2" s="1080"/>
      <c r="AO2" s="1080"/>
      <c r="AP2" s="1080"/>
      <c r="AQ2" s="1080"/>
      <c r="AR2" s="1080"/>
      <c r="AS2" s="1080"/>
      <c r="AT2" s="1080"/>
      <c r="AU2" s="1080"/>
      <c r="AV2" s="1080"/>
      <c r="AW2" s="1080"/>
      <c r="AX2" s="1080"/>
      <c r="AY2" s="1080"/>
      <c r="AZ2" s="1080"/>
    </row>
    <row r="4" spans="4:52" ht="18.95" customHeight="1" thickBot="1">
      <c r="D4" s="1024" t="s">
        <v>1594</v>
      </c>
      <c r="U4" s="1024" t="s">
        <v>1594</v>
      </c>
      <c r="AL4" s="1024" t="s">
        <v>1594</v>
      </c>
    </row>
    <row r="5" spans="4:52" ht="18.95" customHeight="1">
      <c r="D5" s="1017" t="s">
        <v>1551</v>
      </c>
      <c r="E5" s="1017" t="s">
        <v>1552</v>
      </c>
      <c r="F5" s="1017" t="s">
        <v>1543</v>
      </c>
      <c r="G5" s="1018" t="s">
        <v>1548</v>
      </c>
      <c r="H5" s="1019"/>
      <c r="I5" s="1019"/>
      <c r="J5" s="1020"/>
      <c r="K5" s="1019" t="s">
        <v>1550</v>
      </c>
      <c r="L5" s="1019"/>
      <c r="M5" s="1019"/>
      <c r="N5" s="1019"/>
      <c r="U5" s="1017" t="s">
        <v>1551</v>
      </c>
      <c r="V5" s="1017" t="s">
        <v>1552</v>
      </c>
      <c r="W5" s="1017" t="s">
        <v>1543</v>
      </c>
      <c r="X5" s="1018" t="s">
        <v>1548</v>
      </c>
      <c r="Y5" s="1019"/>
      <c r="Z5" s="1019"/>
      <c r="AA5" s="1020"/>
      <c r="AB5" s="1019" t="s">
        <v>1550</v>
      </c>
      <c r="AC5" s="1019"/>
      <c r="AD5" s="1019"/>
      <c r="AE5" s="1019"/>
      <c r="AL5" s="1017" t="s">
        <v>1551</v>
      </c>
      <c r="AM5" s="1017" t="s">
        <v>1552</v>
      </c>
      <c r="AN5" s="1017" t="s">
        <v>1543</v>
      </c>
      <c r="AO5" s="1018" t="s">
        <v>1548</v>
      </c>
      <c r="AP5" s="1019"/>
      <c r="AQ5" s="1019"/>
      <c r="AR5" s="1020"/>
      <c r="AS5" s="1019" t="s">
        <v>1550</v>
      </c>
      <c r="AT5" s="1019"/>
      <c r="AU5" s="1019"/>
      <c r="AV5" s="1019"/>
    </row>
    <row r="6" spans="4:52" s="145" customFormat="1" ht="18.95" customHeight="1" thickBot="1">
      <c r="D6" s="1021"/>
      <c r="E6" s="1021"/>
      <c r="F6" s="1021"/>
      <c r="G6" s="1022" t="s">
        <v>1544</v>
      </c>
      <c r="H6" s="1021" t="s">
        <v>1545</v>
      </c>
      <c r="I6" s="1021" t="s">
        <v>1546</v>
      </c>
      <c r="J6" s="1023" t="s">
        <v>1547</v>
      </c>
      <c r="K6" s="1021" t="s">
        <v>1549</v>
      </c>
      <c r="L6" s="1021" t="s">
        <v>1544</v>
      </c>
      <c r="M6" s="1021" t="s">
        <v>1560</v>
      </c>
      <c r="N6" s="1021" t="s">
        <v>1547</v>
      </c>
      <c r="U6" s="1021"/>
      <c r="V6" s="1021"/>
      <c r="W6" s="1021"/>
      <c r="X6" s="1022" t="s">
        <v>1544</v>
      </c>
      <c r="Y6" s="1021" t="s">
        <v>1545</v>
      </c>
      <c r="Z6" s="1021" t="s">
        <v>1546</v>
      </c>
      <c r="AA6" s="1023" t="s">
        <v>1547</v>
      </c>
      <c r="AB6" s="1021" t="s">
        <v>1549</v>
      </c>
      <c r="AC6" s="1021" t="s">
        <v>1544</v>
      </c>
      <c r="AD6" s="1021" t="s">
        <v>1560</v>
      </c>
      <c r="AE6" s="1021" t="s">
        <v>1547</v>
      </c>
      <c r="AL6" s="1021"/>
      <c r="AM6" s="1021"/>
      <c r="AN6" s="1021"/>
      <c r="AO6" s="1022" t="s">
        <v>1544</v>
      </c>
      <c r="AP6" s="1021" t="s">
        <v>1545</v>
      </c>
      <c r="AQ6" s="1021" t="s">
        <v>1546</v>
      </c>
      <c r="AR6" s="1023" t="s">
        <v>1547</v>
      </c>
      <c r="AS6" s="1021" t="s">
        <v>1549</v>
      </c>
      <c r="AT6" s="1021" t="s">
        <v>1544</v>
      </c>
      <c r="AU6" s="1021" t="s">
        <v>1560</v>
      </c>
      <c r="AV6" s="1021" t="s">
        <v>1547</v>
      </c>
    </row>
    <row r="7" spans="4:52" ht="18.95" customHeight="1">
      <c r="D7" s="145" t="s">
        <v>1553</v>
      </c>
      <c r="E7">
        <v>1</v>
      </c>
      <c r="F7" s="1013" t="s">
        <v>127</v>
      </c>
      <c r="G7" s="1014">
        <v>10000</v>
      </c>
      <c r="H7" s="1015">
        <v>0.3</v>
      </c>
      <c r="I7" s="1015">
        <v>0.35</v>
      </c>
      <c r="J7" s="1016">
        <f>(G7*(1-H7))*(1-I7)</f>
        <v>4550</v>
      </c>
      <c r="K7" s="509">
        <v>100</v>
      </c>
      <c r="L7" s="509">
        <f>K7*G7</f>
        <v>1000000</v>
      </c>
      <c r="M7" s="509">
        <f>(G7*(1-H7))*K7</f>
        <v>700000</v>
      </c>
      <c r="N7" s="509">
        <f>K7*J7</f>
        <v>455000</v>
      </c>
      <c r="U7" s="145" t="s">
        <v>1553</v>
      </c>
      <c r="V7">
        <v>1</v>
      </c>
      <c r="W7" s="1013" t="s">
        <v>127</v>
      </c>
      <c r="X7" s="1014">
        <v>10000</v>
      </c>
      <c r="Y7" s="1015">
        <v>0.3</v>
      </c>
      <c r="Z7" s="1015">
        <v>0.35</v>
      </c>
      <c r="AA7" s="1016">
        <f>(X7*(1-Y7))*(1-Z7)</f>
        <v>4550</v>
      </c>
      <c r="AB7" s="509">
        <v>10</v>
      </c>
      <c r="AC7" s="509">
        <f>AB7*X7</f>
        <v>100000</v>
      </c>
      <c r="AD7" s="509">
        <f>(X7*(1-Y7))*AB7</f>
        <v>70000</v>
      </c>
      <c r="AE7" s="509">
        <f>AB7*AA7</f>
        <v>45500</v>
      </c>
      <c r="AL7" s="145" t="s">
        <v>1553</v>
      </c>
      <c r="AM7">
        <v>1</v>
      </c>
      <c r="AN7" s="1013" t="s">
        <v>127</v>
      </c>
      <c r="AO7" s="1014">
        <v>10000</v>
      </c>
      <c r="AP7" s="1015">
        <v>0.3</v>
      </c>
      <c r="AQ7" s="1015">
        <v>0.35</v>
      </c>
      <c r="AR7" s="1016">
        <f>(AO7*(1-AP7))*(1-AQ7)</f>
        <v>4550</v>
      </c>
      <c r="AS7" s="509"/>
      <c r="AT7" s="509">
        <f>AS7*AO7</f>
        <v>0</v>
      </c>
      <c r="AU7" s="509">
        <f>(AO7*(1-AP7))*AS7</f>
        <v>0</v>
      </c>
      <c r="AV7" s="509">
        <f>AS7*AR7</f>
        <v>0</v>
      </c>
    </row>
    <row r="8" spans="4:52" ht="18.95" customHeight="1">
      <c r="D8" s="145" t="s">
        <v>1553</v>
      </c>
      <c r="E8">
        <v>5</v>
      </c>
      <c r="F8" s="1013" t="s">
        <v>127</v>
      </c>
      <c r="G8" s="1014">
        <v>10000</v>
      </c>
      <c r="H8" s="1015">
        <v>0.3</v>
      </c>
      <c r="I8" s="1015">
        <v>0.35</v>
      </c>
      <c r="J8" s="1016">
        <f t="shared" ref="J8:J13" si="0">(G8*(1-H8))*(1-I8)</f>
        <v>4550</v>
      </c>
      <c r="K8" s="509">
        <v>50</v>
      </c>
      <c r="L8" s="509">
        <f t="shared" ref="L8:L13" si="1">K8*G8</f>
        <v>500000</v>
      </c>
      <c r="M8" s="509">
        <f t="shared" ref="M8:M13" si="2">(G8*(1-H8))*K8</f>
        <v>350000</v>
      </c>
      <c r="N8" s="509">
        <f t="shared" ref="N8:N13" si="3">K8*J8</f>
        <v>227500</v>
      </c>
      <c r="U8" s="145" t="s">
        <v>1553</v>
      </c>
      <c r="V8">
        <v>5</v>
      </c>
      <c r="W8" s="1013" t="s">
        <v>127</v>
      </c>
      <c r="X8" s="1014">
        <v>10000</v>
      </c>
      <c r="Y8" s="1015">
        <v>0.3</v>
      </c>
      <c r="Z8" s="1015">
        <v>0.35</v>
      </c>
      <c r="AA8" s="1016">
        <f t="shared" ref="AA8:AA13" si="4">(X8*(1-Y8))*(1-Z8)</f>
        <v>4550</v>
      </c>
      <c r="AB8" s="509">
        <v>5</v>
      </c>
      <c r="AC8" s="509">
        <f t="shared" ref="AC8:AC13" si="5">AB8*X8</f>
        <v>50000</v>
      </c>
      <c r="AD8" s="509">
        <f t="shared" ref="AD8:AD13" si="6">(X8*(1-Y8))*AB8</f>
        <v>35000</v>
      </c>
      <c r="AE8" s="509">
        <f t="shared" ref="AE8:AE13" si="7">AB8*AA8</f>
        <v>22750</v>
      </c>
      <c r="AL8" s="145" t="s">
        <v>1553</v>
      </c>
      <c r="AM8">
        <v>5</v>
      </c>
      <c r="AN8" s="1013" t="s">
        <v>127</v>
      </c>
      <c r="AO8" s="1014">
        <v>10000</v>
      </c>
      <c r="AP8" s="1015">
        <v>0.3</v>
      </c>
      <c r="AQ8" s="1015">
        <v>0.35</v>
      </c>
      <c r="AR8" s="1016">
        <f t="shared" ref="AR8:AR13" si="8">(AO8*(1-AP8))*(1-AQ8)</f>
        <v>4550</v>
      </c>
      <c r="AS8" s="509"/>
      <c r="AT8" s="509">
        <f t="shared" ref="AT8:AT13" si="9">AS8*AO8</f>
        <v>0</v>
      </c>
      <c r="AU8" s="509">
        <f t="shared" ref="AU8:AU13" si="10">(AO8*(1-AP8))*AS8</f>
        <v>0</v>
      </c>
      <c r="AV8" s="509">
        <f t="shared" ref="AV8:AV13" si="11">AS8*AR8</f>
        <v>0</v>
      </c>
    </row>
    <row r="9" spans="4:52" ht="18.95" customHeight="1">
      <c r="D9" s="145" t="s">
        <v>1553</v>
      </c>
      <c r="E9">
        <v>7</v>
      </c>
      <c r="F9" s="1013" t="s">
        <v>127</v>
      </c>
      <c r="G9" s="1014">
        <v>10000</v>
      </c>
      <c r="H9" s="1015">
        <v>0.3</v>
      </c>
      <c r="I9" s="1015">
        <v>0.35</v>
      </c>
      <c r="J9" s="1016">
        <f t="shared" si="0"/>
        <v>4550</v>
      </c>
      <c r="K9" s="509">
        <v>50</v>
      </c>
      <c r="L9" s="509">
        <f t="shared" si="1"/>
        <v>500000</v>
      </c>
      <c r="M9" s="509">
        <f t="shared" si="2"/>
        <v>350000</v>
      </c>
      <c r="N9" s="509">
        <f t="shared" si="3"/>
        <v>227500</v>
      </c>
      <c r="U9" s="145" t="s">
        <v>1553</v>
      </c>
      <c r="V9">
        <v>7</v>
      </c>
      <c r="W9" s="1013" t="s">
        <v>127</v>
      </c>
      <c r="X9" s="1014">
        <v>10000</v>
      </c>
      <c r="Y9" s="1015">
        <v>0.3</v>
      </c>
      <c r="Z9" s="1015">
        <v>0.35</v>
      </c>
      <c r="AA9" s="1016">
        <f t="shared" si="4"/>
        <v>4550</v>
      </c>
      <c r="AB9" s="509">
        <v>20</v>
      </c>
      <c r="AC9" s="509">
        <f t="shared" si="5"/>
        <v>200000</v>
      </c>
      <c r="AD9" s="509">
        <f t="shared" si="6"/>
        <v>140000</v>
      </c>
      <c r="AE9" s="509">
        <f t="shared" si="7"/>
        <v>91000</v>
      </c>
      <c r="AL9" s="145" t="s">
        <v>1553</v>
      </c>
      <c r="AM9">
        <v>7</v>
      </c>
      <c r="AN9" s="1013" t="s">
        <v>127</v>
      </c>
      <c r="AO9" s="1014">
        <v>10000</v>
      </c>
      <c r="AP9" s="1015">
        <v>0.3</v>
      </c>
      <c r="AQ9" s="1015">
        <v>0.35</v>
      </c>
      <c r="AR9" s="1016">
        <f t="shared" si="8"/>
        <v>4550</v>
      </c>
      <c r="AS9" s="509"/>
      <c r="AT9" s="509">
        <f t="shared" si="9"/>
        <v>0</v>
      </c>
      <c r="AU9" s="509">
        <f t="shared" si="10"/>
        <v>0</v>
      </c>
      <c r="AV9" s="509">
        <f t="shared" si="11"/>
        <v>0</v>
      </c>
    </row>
    <row r="10" spans="4:52" ht="18.95" customHeight="1">
      <c r="D10" s="145" t="s">
        <v>1553</v>
      </c>
      <c r="E10">
        <v>15</v>
      </c>
      <c r="F10" s="1013" t="s">
        <v>127</v>
      </c>
      <c r="G10" s="1014">
        <v>10000</v>
      </c>
      <c r="H10" s="1015">
        <v>0.3</v>
      </c>
      <c r="I10" s="1015">
        <v>0.35</v>
      </c>
      <c r="J10" s="1016">
        <f t="shared" si="0"/>
        <v>4550</v>
      </c>
      <c r="K10" s="509">
        <v>100</v>
      </c>
      <c r="L10" s="509">
        <f t="shared" si="1"/>
        <v>1000000</v>
      </c>
      <c r="M10" s="509">
        <f t="shared" si="2"/>
        <v>700000</v>
      </c>
      <c r="N10" s="509">
        <f t="shared" si="3"/>
        <v>455000</v>
      </c>
      <c r="U10" s="145" t="s">
        <v>1553</v>
      </c>
      <c r="V10">
        <v>15</v>
      </c>
      <c r="W10" s="1013" t="s">
        <v>127</v>
      </c>
      <c r="X10" s="1014">
        <v>10000</v>
      </c>
      <c r="Y10" s="1015">
        <v>0.3</v>
      </c>
      <c r="Z10" s="1015">
        <v>0.35</v>
      </c>
      <c r="AA10" s="1016">
        <f t="shared" si="4"/>
        <v>4550</v>
      </c>
      <c r="AB10" s="509">
        <v>10</v>
      </c>
      <c r="AC10" s="509">
        <f t="shared" si="5"/>
        <v>100000</v>
      </c>
      <c r="AD10" s="509">
        <f t="shared" si="6"/>
        <v>70000</v>
      </c>
      <c r="AE10" s="509">
        <f t="shared" si="7"/>
        <v>45500</v>
      </c>
      <c r="AL10" s="145" t="s">
        <v>1553</v>
      </c>
      <c r="AM10">
        <v>15</v>
      </c>
      <c r="AN10" s="1013" t="s">
        <v>127</v>
      </c>
      <c r="AO10" s="1014">
        <v>10000</v>
      </c>
      <c r="AP10" s="1015">
        <v>0.3</v>
      </c>
      <c r="AQ10" s="1015">
        <v>0.35</v>
      </c>
      <c r="AR10" s="1016">
        <f t="shared" si="8"/>
        <v>4550</v>
      </c>
      <c r="AS10" s="509"/>
      <c r="AT10" s="509">
        <f t="shared" si="9"/>
        <v>0</v>
      </c>
      <c r="AU10" s="509">
        <f t="shared" si="10"/>
        <v>0</v>
      </c>
      <c r="AV10" s="509">
        <f t="shared" si="11"/>
        <v>0</v>
      </c>
    </row>
    <row r="11" spans="4:52" ht="18.95" customHeight="1">
      <c r="D11" s="145" t="s">
        <v>1553</v>
      </c>
      <c r="E11">
        <v>25</v>
      </c>
      <c r="F11" s="1013" t="s">
        <v>127</v>
      </c>
      <c r="G11" s="1014">
        <v>10000</v>
      </c>
      <c r="H11" s="1015">
        <v>0.3</v>
      </c>
      <c r="I11" s="1015">
        <v>0.35</v>
      </c>
      <c r="J11" s="1016">
        <f t="shared" si="0"/>
        <v>4550</v>
      </c>
      <c r="K11" s="509">
        <v>100</v>
      </c>
      <c r="L11" s="509">
        <f t="shared" si="1"/>
        <v>1000000</v>
      </c>
      <c r="M11" s="509">
        <f t="shared" si="2"/>
        <v>700000</v>
      </c>
      <c r="N11" s="509">
        <f t="shared" si="3"/>
        <v>455000</v>
      </c>
      <c r="U11" s="145" t="s">
        <v>1553</v>
      </c>
      <c r="V11">
        <v>25</v>
      </c>
      <c r="W11" s="1013" t="s">
        <v>127</v>
      </c>
      <c r="X11" s="1014">
        <v>10000</v>
      </c>
      <c r="Y11" s="1015">
        <v>0.3</v>
      </c>
      <c r="Z11" s="1015">
        <v>0.35</v>
      </c>
      <c r="AA11" s="1016">
        <f t="shared" si="4"/>
        <v>4550</v>
      </c>
      <c r="AB11" s="509">
        <v>10</v>
      </c>
      <c r="AC11" s="509">
        <f t="shared" si="5"/>
        <v>100000</v>
      </c>
      <c r="AD11" s="509">
        <f t="shared" si="6"/>
        <v>70000</v>
      </c>
      <c r="AE11" s="509">
        <f t="shared" si="7"/>
        <v>45500</v>
      </c>
      <c r="AL11" s="145" t="s">
        <v>1553</v>
      </c>
      <c r="AM11">
        <v>25</v>
      </c>
      <c r="AN11" s="1013" t="s">
        <v>127</v>
      </c>
      <c r="AO11" s="1014">
        <v>10000</v>
      </c>
      <c r="AP11" s="1015">
        <v>0.3</v>
      </c>
      <c r="AQ11" s="1015">
        <v>0.35</v>
      </c>
      <c r="AR11" s="1016">
        <f t="shared" si="8"/>
        <v>4550</v>
      </c>
      <c r="AS11" s="509"/>
      <c r="AT11" s="509">
        <f t="shared" si="9"/>
        <v>0</v>
      </c>
      <c r="AU11" s="509">
        <f t="shared" si="10"/>
        <v>0</v>
      </c>
      <c r="AV11" s="509">
        <f t="shared" si="11"/>
        <v>0</v>
      </c>
    </row>
    <row r="12" spans="4:52" ht="18.95" customHeight="1">
      <c r="D12" s="145" t="s">
        <v>1553</v>
      </c>
      <c r="E12">
        <v>27</v>
      </c>
      <c r="F12" s="1013" t="s">
        <v>127</v>
      </c>
      <c r="G12" s="1014">
        <v>10000</v>
      </c>
      <c r="H12" s="1015">
        <v>0.3</v>
      </c>
      <c r="I12" s="1015">
        <v>0.35</v>
      </c>
      <c r="J12" s="1016">
        <f t="shared" si="0"/>
        <v>4550</v>
      </c>
      <c r="K12" s="509">
        <v>70</v>
      </c>
      <c r="L12" s="509">
        <f t="shared" si="1"/>
        <v>700000</v>
      </c>
      <c r="M12" s="509">
        <f t="shared" si="2"/>
        <v>490000</v>
      </c>
      <c r="N12" s="509">
        <f t="shared" si="3"/>
        <v>318500</v>
      </c>
      <c r="U12" s="145" t="s">
        <v>1553</v>
      </c>
      <c r="V12">
        <v>27</v>
      </c>
      <c r="W12" s="1013" t="s">
        <v>127</v>
      </c>
      <c r="X12" s="1014">
        <v>10000</v>
      </c>
      <c r="Y12" s="1015">
        <v>0.3</v>
      </c>
      <c r="Z12" s="1015">
        <v>0.35</v>
      </c>
      <c r="AA12" s="1016">
        <f t="shared" si="4"/>
        <v>4550</v>
      </c>
      <c r="AB12" s="509">
        <v>10</v>
      </c>
      <c r="AC12" s="509">
        <f t="shared" si="5"/>
        <v>100000</v>
      </c>
      <c r="AD12" s="509">
        <f t="shared" si="6"/>
        <v>70000</v>
      </c>
      <c r="AE12" s="509">
        <f t="shared" si="7"/>
        <v>45500</v>
      </c>
      <c r="AL12" s="145" t="s">
        <v>1553</v>
      </c>
      <c r="AM12">
        <v>27</v>
      </c>
      <c r="AN12" s="1013" t="s">
        <v>127</v>
      </c>
      <c r="AO12" s="1014">
        <v>10000</v>
      </c>
      <c r="AP12" s="1015">
        <v>0.3</v>
      </c>
      <c r="AQ12" s="1015">
        <v>0.35</v>
      </c>
      <c r="AR12" s="1016">
        <f t="shared" si="8"/>
        <v>4550</v>
      </c>
      <c r="AS12" s="509"/>
      <c r="AT12" s="509">
        <f t="shared" si="9"/>
        <v>0</v>
      </c>
      <c r="AU12" s="509">
        <f t="shared" si="10"/>
        <v>0</v>
      </c>
      <c r="AV12" s="509">
        <f t="shared" si="11"/>
        <v>0</v>
      </c>
    </row>
    <row r="13" spans="4:52" ht="18.95" customHeight="1">
      <c r="D13" s="145" t="s">
        <v>1553</v>
      </c>
      <c r="E13">
        <v>30</v>
      </c>
      <c r="F13" s="1013" t="s">
        <v>127</v>
      </c>
      <c r="G13" s="1014">
        <v>10000</v>
      </c>
      <c r="H13" s="1015">
        <v>0.3</v>
      </c>
      <c r="I13" s="1015">
        <v>0.35</v>
      </c>
      <c r="J13" s="1016">
        <f t="shared" si="0"/>
        <v>4550</v>
      </c>
      <c r="K13" s="509">
        <v>80</v>
      </c>
      <c r="L13" s="509">
        <f t="shared" si="1"/>
        <v>800000</v>
      </c>
      <c r="M13" s="509">
        <f t="shared" si="2"/>
        <v>560000</v>
      </c>
      <c r="N13" s="509">
        <f t="shared" si="3"/>
        <v>364000</v>
      </c>
      <c r="U13" s="145" t="s">
        <v>1553</v>
      </c>
      <c r="V13">
        <v>30</v>
      </c>
      <c r="W13" s="1013" t="s">
        <v>127</v>
      </c>
      <c r="X13" s="1014">
        <v>10000</v>
      </c>
      <c r="Y13" s="1015">
        <v>0.3</v>
      </c>
      <c r="Z13" s="1015">
        <v>0.35</v>
      </c>
      <c r="AA13" s="1016">
        <f t="shared" si="4"/>
        <v>4550</v>
      </c>
      <c r="AB13" s="509">
        <v>5</v>
      </c>
      <c r="AC13" s="509">
        <f t="shared" si="5"/>
        <v>50000</v>
      </c>
      <c r="AD13" s="509">
        <f t="shared" si="6"/>
        <v>35000</v>
      </c>
      <c r="AE13" s="509">
        <f t="shared" si="7"/>
        <v>22750</v>
      </c>
      <c r="AL13" s="145" t="s">
        <v>1553</v>
      </c>
      <c r="AM13">
        <v>30</v>
      </c>
      <c r="AN13" s="1013" t="s">
        <v>127</v>
      </c>
      <c r="AO13" s="1014">
        <v>10000</v>
      </c>
      <c r="AP13" s="1015">
        <v>0.3</v>
      </c>
      <c r="AQ13" s="1015">
        <v>0.35</v>
      </c>
      <c r="AR13" s="1016">
        <f t="shared" si="8"/>
        <v>4550</v>
      </c>
      <c r="AS13" s="509"/>
      <c r="AT13" s="509">
        <f t="shared" si="9"/>
        <v>0</v>
      </c>
      <c r="AU13" s="509">
        <f t="shared" si="10"/>
        <v>0</v>
      </c>
      <c r="AV13" s="509">
        <f t="shared" si="11"/>
        <v>0</v>
      </c>
    </row>
    <row r="16" spans="4:52" ht="18.95" customHeight="1">
      <c r="J16" s="355" t="s">
        <v>1561</v>
      </c>
      <c r="K16" s="81">
        <f>SUM(K7:K14)</f>
        <v>550</v>
      </c>
      <c r="L16" s="1029">
        <f>SUM(L7:L14)</f>
        <v>5500000</v>
      </c>
      <c r="M16" s="81">
        <f>SUM(M7:M14)</f>
        <v>3850000</v>
      </c>
      <c r="N16" s="81">
        <f>SUM(N7:N14)</f>
        <v>2502500</v>
      </c>
      <c r="AA16" s="355" t="s">
        <v>1561</v>
      </c>
      <c r="AB16" s="81">
        <f>SUM(AB7:AB14)</f>
        <v>70</v>
      </c>
      <c r="AC16" s="1029">
        <f>SUM(AC7:AC14)</f>
        <v>700000</v>
      </c>
      <c r="AD16" s="81">
        <f>SUM(AD7:AD14)</f>
        <v>490000</v>
      </c>
      <c r="AE16" s="81">
        <f>SUM(AE7:AE14)</f>
        <v>318500</v>
      </c>
      <c r="AR16" s="355" t="s">
        <v>1561</v>
      </c>
      <c r="AS16" s="81">
        <f>SUM(AS7:AS14)</f>
        <v>0</v>
      </c>
      <c r="AT16" s="1029">
        <f>SUM(AT7:AT14)</f>
        <v>0</v>
      </c>
      <c r="AU16" s="81">
        <f>SUM(AU7:AU14)</f>
        <v>0</v>
      </c>
      <c r="AV16" s="81">
        <f>SUM(AV7:AV14)</f>
        <v>0</v>
      </c>
    </row>
    <row r="17" spans="4:52" ht="4.5" customHeight="1">
      <c r="J17" s="355"/>
      <c r="K17" s="81"/>
      <c r="L17" s="81"/>
      <c r="M17" s="81"/>
      <c r="N17" s="81"/>
      <c r="AA17" s="355"/>
      <c r="AB17" s="81"/>
      <c r="AC17" s="81"/>
      <c r="AD17" s="81"/>
      <c r="AE17" s="81"/>
      <c r="AR17" s="355"/>
      <c r="AS17" s="81"/>
      <c r="AT17" s="81"/>
      <c r="AU17" s="81"/>
      <c r="AV17" s="81"/>
    </row>
    <row r="18" spans="4:52" ht="18.95" customHeight="1">
      <c r="J18" s="355" t="s">
        <v>1598</v>
      </c>
      <c r="N18" s="1028"/>
      <c r="AA18" s="355" t="s">
        <v>1598</v>
      </c>
      <c r="AB18" s="81">
        <f>K21</f>
        <v>150</v>
      </c>
      <c r="AC18" s="81">
        <f>L21</f>
        <v>1500000</v>
      </c>
      <c r="AD18" s="81">
        <f>M21</f>
        <v>1050000</v>
      </c>
      <c r="AE18" s="1028">
        <f>N21</f>
        <v>682500</v>
      </c>
      <c r="AR18" s="355" t="s">
        <v>1598</v>
      </c>
      <c r="AS18" s="81">
        <f>AB21</f>
        <v>15</v>
      </c>
      <c r="AT18" s="81">
        <f>AC21</f>
        <v>150000</v>
      </c>
      <c r="AU18" s="81">
        <f>AD21</f>
        <v>105000</v>
      </c>
      <c r="AV18" s="1028">
        <f>AE21</f>
        <v>68250</v>
      </c>
    </row>
    <row r="19" spans="4:52" ht="18.95" customHeight="1">
      <c r="J19" s="355" t="s">
        <v>1562</v>
      </c>
      <c r="K19" s="81">
        <f>SUM(K7:K11)</f>
        <v>400</v>
      </c>
      <c r="L19" s="81">
        <f t="shared" ref="L19:N19" si="12">SUM(L7:L11)</f>
        <v>4000000</v>
      </c>
      <c r="M19" s="81">
        <f t="shared" si="12"/>
        <v>2800000</v>
      </c>
      <c r="N19" s="1084">
        <f t="shared" si="12"/>
        <v>1820000</v>
      </c>
      <c r="AA19" s="355" t="s">
        <v>1562</v>
      </c>
      <c r="AB19" s="81">
        <f>SUM(AB7:AB11)</f>
        <v>55</v>
      </c>
      <c r="AC19" s="81">
        <f t="shared" ref="AC19:AE19" si="13">SUM(AC7:AC11)</f>
        <v>550000</v>
      </c>
      <c r="AD19" s="81">
        <f t="shared" si="13"/>
        <v>385000</v>
      </c>
      <c r="AE19" s="1084">
        <f t="shared" si="13"/>
        <v>250250</v>
      </c>
      <c r="AR19" s="355" t="s">
        <v>1562</v>
      </c>
      <c r="AS19" s="81">
        <f>SUM(AS7:AS11)</f>
        <v>0</v>
      </c>
      <c r="AT19" s="81">
        <f t="shared" ref="AT19:AV19" si="14">SUM(AT7:AT11)</f>
        <v>0</v>
      </c>
      <c r="AU19" s="81">
        <f t="shared" si="14"/>
        <v>0</v>
      </c>
      <c r="AV19" s="1084">
        <f t="shared" si="14"/>
        <v>0</v>
      </c>
    </row>
    <row r="20" spans="4:52" ht="18.95" customHeight="1">
      <c r="J20" s="355" t="s">
        <v>1599</v>
      </c>
      <c r="K20" s="81">
        <f>K18+K19</f>
        <v>400</v>
      </c>
      <c r="L20" s="81">
        <f t="shared" ref="L20:N20" si="15">L18+L19</f>
        <v>4000000</v>
      </c>
      <c r="M20" s="81">
        <f t="shared" si="15"/>
        <v>2800000</v>
      </c>
      <c r="N20" s="81">
        <f t="shared" si="15"/>
        <v>1820000</v>
      </c>
      <c r="AA20" s="355" t="s">
        <v>1599</v>
      </c>
      <c r="AB20" s="81">
        <f>AB18+AB19</f>
        <v>205</v>
      </c>
      <c r="AC20" s="81">
        <f t="shared" ref="AC20" si="16">AC18+AC19</f>
        <v>2050000</v>
      </c>
      <c r="AD20" s="81">
        <f t="shared" ref="AD20" si="17">AD18+AD19</f>
        <v>1435000</v>
      </c>
      <c r="AE20" s="1028">
        <f t="shared" ref="AE20" si="18">AE18+AE19</f>
        <v>932750</v>
      </c>
      <c r="AR20" s="355" t="s">
        <v>1599</v>
      </c>
      <c r="AS20" s="81">
        <f>AS18+AS19</f>
        <v>15</v>
      </c>
      <c r="AT20" s="81">
        <f t="shared" ref="AT20" si="19">AT18+AT19</f>
        <v>150000</v>
      </c>
      <c r="AU20" s="81">
        <f t="shared" ref="AU20" si="20">AU18+AU19</f>
        <v>105000</v>
      </c>
      <c r="AV20" s="1028">
        <f t="shared" ref="AV20" si="21">AV18+AV19</f>
        <v>68250</v>
      </c>
    </row>
    <row r="21" spans="4:52" ht="18.95" customHeight="1">
      <c r="J21" s="355" t="s">
        <v>1563</v>
      </c>
      <c r="K21" s="81">
        <f>K16-K19</f>
        <v>150</v>
      </c>
      <c r="L21" s="81">
        <f>L16-L19</f>
        <v>1500000</v>
      </c>
      <c r="M21" s="81">
        <f>M16-M19</f>
        <v>1050000</v>
      </c>
      <c r="N21" s="81">
        <f>N16-N19</f>
        <v>682500</v>
      </c>
      <c r="AA21" s="355" t="s">
        <v>1563</v>
      </c>
      <c r="AB21" s="81">
        <f t="shared" ref="AB21:AE21" si="22">AB16-AB19</f>
        <v>15</v>
      </c>
      <c r="AC21" s="81">
        <f t="shared" si="22"/>
        <v>150000</v>
      </c>
      <c r="AD21" s="81">
        <f t="shared" si="22"/>
        <v>105000</v>
      </c>
      <c r="AE21" s="81">
        <f t="shared" si="22"/>
        <v>68250</v>
      </c>
      <c r="AR21" s="355" t="s">
        <v>1563</v>
      </c>
      <c r="AS21" s="81">
        <f t="shared" ref="AS21:AV21" si="23">AS16-AS19</f>
        <v>0</v>
      </c>
      <c r="AT21" s="81">
        <f t="shared" si="23"/>
        <v>0</v>
      </c>
      <c r="AU21" s="81">
        <f t="shared" si="23"/>
        <v>0</v>
      </c>
      <c r="AV21" s="81">
        <f t="shared" si="23"/>
        <v>0</v>
      </c>
    </row>
    <row r="24" spans="4:52" ht="18.95" customHeight="1">
      <c r="J24" s="796" t="s">
        <v>1608</v>
      </c>
    </row>
    <row r="25" spans="4:52" ht="18.95" customHeight="1">
      <c r="D25" s="1024" t="s">
        <v>1595</v>
      </c>
      <c r="J25" s="796" t="s">
        <v>1600</v>
      </c>
      <c r="U25" s="1024" t="s">
        <v>1595</v>
      </c>
      <c r="AA25" s="796"/>
      <c r="AL25" s="1024" t="s">
        <v>1595</v>
      </c>
      <c r="AR25" s="796"/>
    </row>
    <row r="26" spans="4:52" ht="18.95" customHeight="1" thickBot="1"/>
    <row r="27" spans="4:52" ht="18.95" customHeight="1">
      <c r="D27" s="1031"/>
      <c r="E27" s="1031"/>
      <c r="F27" s="1036" t="s">
        <v>1566</v>
      </c>
      <c r="G27" s="1032"/>
      <c r="H27" s="1032"/>
      <c r="I27" s="1032"/>
      <c r="J27" s="1032"/>
      <c r="K27" s="1032"/>
      <c r="L27" s="1032"/>
      <c r="M27" s="1032"/>
      <c r="O27" s="1032" t="s">
        <v>1586</v>
      </c>
      <c r="P27" s="1032"/>
      <c r="Q27" s="1032"/>
      <c r="R27" s="1032"/>
      <c r="U27" s="1031"/>
      <c r="V27" s="1031"/>
      <c r="W27" s="1036" t="s">
        <v>1566</v>
      </c>
      <c r="X27" s="1032"/>
      <c r="Y27" s="1032"/>
      <c r="Z27" s="1032"/>
      <c r="AA27" s="1032"/>
      <c r="AB27" s="1032"/>
      <c r="AC27" s="1032"/>
      <c r="AD27" s="1032"/>
      <c r="AF27" s="1032" t="s">
        <v>1586</v>
      </c>
      <c r="AG27" s="1032"/>
      <c r="AH27" s="1032"/>
      <c r="AI27" s="1032"/>
      <c r="AL27" s="1031"/>
      <c r="AM27" s="1031"/>
      <c r="AN27" s="1036" t="s">
        <v>1566</v>
      </c>
      <c r="AO27" s="1032"/>
      <c r="AP27" s="1032"/>
      <c r="AQ27" s="1032"/>
      <c r="AR27" s="1032"/>
      <c r="AS27" s="1032"/>
      <c r="AT27" s="1032"/>
      <c r="AU27" s="1032"/>
      <c r="AW27" s="1032" t="s">
        <v>1586</v>
      </c>
      <c r="AX27" s="1032"/>
      <c r="AY27" s="1032"/>
      <c r="AZ27" s="1032"/>
    </row>
    <row r="28" spans="4:52" ht="18.95" customHeight="1">
      <c r="D28" s="1033" t="s">
        <v>1578</v>
      </c>
      <c r="E28" s="736"/>
      <c r="F28" s="1205" t="s">
        <v>285</v>
      </c>
      <c r="G28" s="1207" t="s">
        <v>284</v>
      </c>
      <c r="H28" s="1207" t="s">
        <v>276</v>
      </c>
      <c r="I28" s="1046" t="s">
        <v>1602</v>
      </c>
      <c r="J28" s="1047"/>
      <c r="K28" s="1211" t="s">
        <v>282</v>
      </c>
      <c r="L28" s="1040"/>
      <c r="M28" s="1040"/>
      <c r="N28" s="355"/>
      <c r="O28" s="1209" t="s">
        <v>1589</v>
      </c>
      <c r="P28" s="1209" t="s">
        <v>1590</v>
      </c>
      <c r="Q28" s="1215" t="s">
        <v>1587</v>
      </c>
      <c r="R28" s="1213" t="s">
        <v>1588</v>
      </c>
      <c r="U28" s="1033" t="s">
        <v>1578</v>
      </c>
      <c r="V28" s="736"/>
      <c r="W28" s="1205" t="s">
        <v>285</v>
      </c>
      <c r="X28" s="1207" t="s">
        <v>284</v>
      </c>
      <c r="Y28" s="1207" t="s">
        <v>276</v>
      </c>
      <c r="Z28" s="1046" t="s">
        <v>1602</v>
      </c>
      <c r="AA28" s="1047"/>
      <c r="AB28" s="1211" t="s">
        <v>282</v>
      </c>
      <c r="AC28" s="1040"/>
      <c r="AD28" s="1040"/>
      <c r="AE28" s="355"/>
      <c r="AF28" s="1209" t="s">
        <v>1589</v>
      </c>
      <c r="AG28" s="1209" t="s">
        <v>1590</v>
      </c>
      <c r="AH28" s="1215" t="s">
        <v>1587</v>
      </c>
      <c r="AI28" s="1213" t="s">
        <v>1588</v>
      </c>
      <c r="AL28" s="1033" t="s">
        <v>1578</v>
      </c>
      <c r="AM28" s="736"/>
      <c r="AN28" s="1205" t="s">
        <v>285</v>
      </c>
      <c r="AO28" s="1207" t="s">
        <v>284</v>
      </c>
      <c r="AP28" s="1207" t="s">
        <v>276</v>
      </c>
      <c r="AQ28" s="1046" t="s">
        <v>1602</v>
      </c>
      <c r="AR28" s="1047"/>
      <c r="AS28" s="1211" t="s">
        <v>282</v>
      </c>
      <c r="AT28" s="1040"/>
      <c r="AU28" s="1040"/>
      <c r="AV28" s="355"/>
      <c r="AW28" s="1209" t="s">
        <v>1589</v>
      </c>
      <c r="AX28" s="1209" t="s">
        <v>1590</v>
      </c>
      <c r="AY28" s="1215" t="s">
        <v>1587</v>
      </c>
      <c r="AZ28" s="1213" t="s">
        <v>1588</v>
      </c>
    </row>
    <row r="29" spans="4:52" ht="18.95" customHeight="1" thickBot="1">
      <c r="D29" s="1034"/>
      <c r="E29" s="1034"/>
      <c r="F29" s="1206"/>
      <c r="G29" s="1208"/>
      <c r="H29" s="1208"/>
      <c r="I29" s="1065" t="s">
        <v>1574</v>
      </c>
      <c r="J29" s="1065" t="s">
        <v>1575</v>
      </c>
      <c r="K29" s="1212"/>
      <c r="L29" s="1063" t="s">
        <v>281</v>
      </c>
      <c r="M29" s="1064" t="s">
        <v>283</v>
      </c>
      <c r="N29" s="355"/>
      <c r="O29" s="1210"/>
      <c r="P29" s="1210"/>
      <c r="Q29" s="1216"/>
      <c r="R29" s="1214"/>
      <c r="U29" s="1034"/>
      <c r="V29" s="1034"/>
      <c r="W29" s="1206"/>
      <c r="X29" s="1208"/>
      <c r="Y29" s="1208"/>
      <c r="Z29" s="1065" t="s">
        <v>1574</v>
      </c>
      <c r="AA29" s="1065" t="s">
        <v>1575</v>
      </c>
      <c r="AB29" s="1212"/>
      <c r="AC29" s="1063" t="s">
        <v>281</v>
      </c>
      <c r="AD29" s="1064" t="s">
        <v>283</v>
      </c>
      <c r="AE29" s="355"/>
      <c r="AF29" s="1210"/>
      <c r="AG29" s="1210"/>
      <c r="AH29" s="1216"/>
      <c r="AI29" s="1214"/>
      <c r="AL29" s="1034"/>
      <c r="AM29" s="1034"/>
      <c r="AN29" s="1206"/>
      <c r="AO29" s="1208"/>
      <c r="AP29" s="1208"/>
      <c r="AQ29" s="1065" t="s">
        <v>1574</v>
      </c>
      <c r="AR29" s="1065" t="s">
        <v>1575</v>
      </c>
      <c r="AS29" s="1212"/>
      <c r="AT29" s="1063" t="s">
        <v>281</v>
      </c>
      <c r="AU29" s="1064" t="s">
        <v>283</v>
      </c>
      <c r="AV29" s="355"/>
      <c r="AW29" s="1210"/>
      <c r="AX29" s="1210"/>
      <c r="AY29" s="1216"/>
      <c r="AZ29" s="1214"/>
    </row>
    <row r="30" spans="4:52" ht="18.95" customHeight="1">
      <c r="D30" s="1030" t="s">
        <v>1558</v>
      </c>
      <c r="E30" s="540"/>
      <c r="F30" s="1037"/>
      <c r="G30" s="1043">
        <f>K16</f>
        <v>550</v>
      </c>
      <c r="H30" s="1088">
        <v>200</v>
      </c>
      <c r="I30" s="1083"/>
      <c r="J30" s="1083"/>
      <c r="K30" s="1041">
        <f>F30+G30-H30</f>
        <v>350</v>
      </c>
      <c r="L30" s="1048"/>
      <c r="M30" s="1041"/>
      <c r="O30" s="1051"/>
      <c r="P30" s="1051"/>
      <c r="Q30" s="1052"/>
      <c r="R30" s="1050"/>
      <c r="U30" s="1030" t="s">
        <v>1558</v>
      </c>
      <c r="V30" s="540"/>
      <c r="W30" s="1037">
        <f>K30</f>
        <v>350</v>
      </c>
      <c r="X30" s="1043">
        <f>AB16</f>
        <v>70</v>
      </c>
      <c r="Y30" s="1088">
        <v>300</v>
      </c>
      <c r="Z30" s="1083"/>
      <c r="AA30" s="1083"/>
      <c r="AB30" s="1041">
        <f>W30+X30-Y30</f>
        <v>120</v>
      </c>
      <c r="AC30" s="1048"/>
      <c r="AD30" s="1041"/>
      <c r="AF30" s="1051"/>
      <c r="AG30" s="1051"/>
      <c r="AH30" s="1052"/>
      <c r="AI30" s="1050"/>
      <c r="AL30" s="1030" t="s">
        <v>1558</v>
      </c>
      <c r="AM30" s="540"/>
      <c r="AN30" s="1037">
        <f>AB30</f>
        <v>120</v>
      </c>
      <c r="AO30" s="1043">
        <f>AS16</f>
        <v>0</v>
      </c>
      <c r="AP30" s="1088"/>
      <c r="AQ30" s="1083"/>
      <c r="AR30" s="1083"/>
      <c r="AS30" s="1041">
        <f>AN30+AO30-AP30</f>
        <v>120</v>
      </c>
      <c r="AT30" s="1048"/>
      <c r="AU30" s="1041"/>
      <c r="AW30" s="1051"/>
      <c r="AX30" s="1051"/>
      <c r="AY30" s="1052"/>
      <c r="AZ30" s="1050"/>
    </row>
    <row r="31" spans="4:52" ht="18.95" customHeight="1">
      <c r="D31" s="1030" t="s">
        <v>1554</v>
      </c>
      <c r="E31" s="540"/>
      <c r="F31" s="1037"/>
      <c r="G31" s="1044">
        <f>L16</f>
        <v>5500000</v>
      </c>
      <c r="H31" s="1043">
        <f>IF(G30=0,0,(G31/G30)*H30)</f>
        <v>2000000</v>
      </c>
      <c r="I31" s="1083"/>
      <c r="J31" s="1083"/>
      <c r="K31" s="1041">
        <f>IF(H30=0,F31+G31,(H31/H30)*K30)</f>
        <v>3500000</v>
      </c>
      <c r="L31" s="1048"/>
      <c r="M31" s="1041"/>
      <c r="O31" s="1051"/>
      <c r="P31" s="1051"/>
      <c r="Q31" s="1052"/>
      <c r="R31" s="1050"/>
      <c r="U31" s="1030" t="s">
        <v>1554</v>
      </c>
      <c r="V31" s="540"/>
      <c r="W31" s="1037">
        <f t="shared" ref="W31:W35" si="24">K31</f>
        <v>3500000</v>
      </c>
      <c r="X31" s="1044">
        <f>AC16</f>
        <v>700000</v>
      </c>
      <c r="Y31" s="1043">
        <f>IF(X30=0,0,(X31/X30)*Y30)</f>
        <v>3000000</v>
      </c>
      <c r="Z31" s="1083"/>
      <c r="AA31" s="1083"/>
      <c r="AB31" s="1041">
        <f>IF(Y30=0,W31+X31,(Y31/Y30)*AB30)</f>
        <v>1200000</v>
      </c>
      <c r="AC31" s="1048"/>
      <c r="AD31" s="1041"/>
      <c r="AF31" s="1051"/>
      <c r="AG31" s="1051"/>
      <c r="AH31" s="1052"/>
      <c r="AI31" s="1050"/>
      <c r="AL31" s="1030" t="s">
        <v>1554</v>
      </c>
      <c r="AM31" s="540"/>
      <c r="AN31" s="1037">
        <f t="shared" ref="AN31:AN35" si="25">AB31</f>
        <v>1200000</v>
      </c>
      <c r="AO31" s="1044">
        <f>AT16</f>
        <v>0</v>
      </c>
      <c r="AP31" s="1043">
        <f>IF(AO30=0,0,(AO31/AO30)*AP30)</f>
        <v>0</v>
      </c>
      <c r="AQ31" s="1083"/>
      <c r="AR31" s="1083"/>
      <c r="AS31" s="1041">
        <f>IF(AP30=0,AN31+AO31,(AP31/AP30)*AS30)</f>
        <v>1200000</v>
      </c>
      <c r="AT31" s="1048"/>
      <c r="AU31" s="1041"/>
      <c r="AW31" s="1051"/>
      <c r="AX31" s="1051"/>
      <c r="AY31" s="1052"/>
      <c r="AZ31" s="1050"/>
    </row>
    <row r="32" spans="4:52" ht="18.95" customHeight="1">
      <c r="D32" s="1030" t="s">
        <v>1555</v>
      </c>
      <c r="E32" s="540"/>
      <c r="F32" s="1038"/>
      <c r="G32" s="1045">
        <f>1-(G33/G31)</f>
        <v>0.30000000000000004</v>
      </c>
      <c r="H32" s="1089">
        <v>0.35</v>
      </c>
      <c r="I32" s="1052"/>
      <c r="J32" s="1052"/>
      <c r="K32" s="1042">
        <f>IF(H30=0,1-((F33+G33)/(F31+G31)),H32)</f>
        <v>0.35</v>
      </c>
      <c r="L32" s="1050"/>
      <c r="O32" s="1051"/>
      <c r="P32" s="1051"/>
      <c r="Q32" s="1052"/>
      <c r="R32" s="1050"/>
      <c r="U32" s="1030" t="s">
        <v>1555</v>
      </c>
      <c r="V32" s="540"/>
      <c r="W32" s="1087">
        <f t="shared" si="24"/>
        <v>0.35</v>
      </c>
      <c r="X32" s="1045">
        <f>IF(X31=0,0,1-(X33/X31))</f>
        <v>0.30000000000000004</v>
      </c>
      <c r="Y32" s="1089">
        <v>0.5</v>
      </c>
      <c r="Z32" s="1052"/>
      <c r="AA32" s="1052"/>
      <c r="AB32" s="1042">
        <f>IF(Y30=0,1-((W33+X33)/(W31+X31)),Y32)</f>
        <v>0.5</v>
      </c>
      <c r="AC32" s="1050"/>
      <c r="AF32" s="1051"/>
      <c r="AG32" s="1051"/>
      <c r="AH32" s="1052"/>
      <c r="AI32" s="1050"/>
      <c r="AL32" s="1030" t="s">
        <v>1555</v>
      </c>
      <c r="AM32" s="540"/>
      <c r="AN32" s="1087">
        <f t="shared" si="25"/>
        <v>0.5</v>
      </c>
      <c r="AO32" s="1045">
        <f>IF(AO31=0,0,1-(AO33/AO31))</f>
        <v>0</v>
      </c>
      <c r="AP32" s="1089"/>
      <c r="AQ32" s="1052"/>
      <c r="AR32" s="1052"/>
      <c r="AS32" s="1042">
        <f>IF(AP30=0,1-((AN33+AO33)/(AN31+AO31)),AP32)</f>
        <v>0.5</v>
      </c>
      <c r="AT32" s="1050"/>
      <c r="AW32" s="1051"/>
      <c r="AX32" s="1051"/>
      <c r="AY32" s="1052"/>
      <c r="AZ32" s="1050"/>
    </row>
    <row r="33" spans="4:54" ht="18.95" customHeight="1">
      <c r="D33" s="1030" t="s">
        <v>1559</v>
      </c>
      <c r="E33" s="540"/>
      <c r="F33" s="1037"/>
      <c r="G33" s="1043">
        <f>M16</f>
        <v>3850000</v>
      </c>
      <c r="H33" s="1043">
        <f>H31*(1-H32)</f>
        <v>1300000</v>
      </c>
      <c r="I33" s="1083"/>
      <c r="J33" s="1083"/>
      <c r="K33" s="1041">
        <f>K31*(1-K32)</f>
        <v>2275000</v>
      </c>
      <c r="L33" s="1048"/>
      <c r="M33" s="1041"/>
      <c r="O33" s="1051"/>
      <c r="P33" s="1051"/>
      <c r="Q33" s="1052"/>
      <c r="R33" s="1050"/>
      <c r="U33" s="1030" t="s">
        <v>1559</v>
      </c>
      <c r="V33" s="540"/>
      <c r="W33" s="1037">
        <f t="shared" si="24"/>
        <v>2275000</v>
      </c>
      <c r="X33" s="1043">
        <f>AD16</f>
        <v>490000</v>
      </c>
      <c r="Y33" s="1043">
        <f>Y31*(1-Y32)</f>
        <v>1500000</v>
      </c>
      <c r="Z33" s="1083"/>
      <c r="AA33" s="1083"/>
      <c r="AB33" s="1041">
        <f>AB31*(1-AB32)</f>
        <v>600000</v>
      </c>
      <c r="AC33" s="1048"/>
      <c r="AD33" s="1041"/>
      <c r="AF33" s="1051"/>
      <c r="AG33" s="1051"/>
      <c r="AH33" s="1052"/>
      <c r="AI33" s="1050"/>
      <c r="AL33" s="1030" t="s">
        <v>1559</v>
      </c>
      <c r="AM33" s="540"/>
      <c r="AN33" s="1037">
        <f t="shared" si="25"/>
        <v>600000</v>
      </c>
      <c r="AO33" s="1043">
        <f>AU16</f>
        <v>0</v>
      </c>
      <c r="AP33" s="1043">
        <f>AP31*(1-AP32)</f>
        <v>0</v>
      </c>
      <c r="AQ33" s="1083"/>
      <c r="AR33" s="1083"/>
      <c r="AS33" s="1041">
        <f>AS31*(1-AS32)</f>
        <v>600000</v>
      </c>
      <c r="AT33" s="1048"/>
      <c r="AU33" s="1041"/>
      <c r="AW33" s="1051"/>
      <c r="AX33" s="1051"/>
      <c r="AY33" s="1052"/>
      <c r="AZ33" s="1050"/>
    </row>
    <row r="34" spans="4:54" ht="18.95" customHeight="1">
      <c r="D34" s="1030" t="s">
        <v>1556</v>
      </c>
      <c r="E34" s="540"/>
      <c r="F34" s="1038"/>
      <c r="G34" s="1045">
        <f>IF(G33=0,0,1-(G35/G33))</f>
        <v>0.35</v>
      </c>
      <c r="H34" s="1089">
        <v>0.32</v>
      </c>
      <c r="I34" s="1052"/>
      <c r="J34" s="1052"/>
      <c r="K34" s="1042">
        <f>IF(H30=0,1-((F35+G35)/(F33+G33)),H34)</f>
        <v>0.32</v>
      </c>
      <c r="L34" s="1050"/>
      <c r="O34" s="1051"/>
      <c r="P34" s="1051"/>
      <c r="Q34" s="1052"/>
      <c r="R34" s="1050"/>
      <c r="U34" s="1030" t="s">
        <v>1556</v>
      </c>
      <c r="V34" s="540"/>
      <c r="W34" s="1087">
        <f t="shared" si="24"/>
        <v>0.32</v>
      </c>
      <c r="X34" s="1045">
        <f>IF(X33=0,0,1-(X35/X33))</f>
        <v>0.35</v>
      </c>
      <c r="Y34" s="1089">
        <v>0.32</v>
      </c>
      <c r="Z34" s="1052"/>
      <c r="AA34" s="1052"/>
      <c r="AB34" s="1042">
        <f>IF(Y30=0,1-((W35+X35)/(W33+X33)),Y34)</f>
        <v>0.32</v>
      </c>
      <c r="AC34" s="1050"/>
      <c r="AF34" s="1051"/>
      <c r="AG34" s="1051"/>
      <c r="AH34" s="1052"/>
      <c r="AI34" s="1050"/>
      <c r="AL34" s="1030" t="s">
        <v>1556</v>
      </c>
      <c r="AM34" s="540"/>
      <c r="AN34" s="1087">
        <f t="shared" si="25"/>
        <v>0.32</v>
      </c>
      <c r="AO34" s="1045">
        <f>IF(AO33=0,0,1-(AO35/AO33))</f>
        <v>0</v>
      </c>
      <c r="AP34" s="1089"/>
      <c r="AQ34" s="1052"/>
      <c r="AR34" s="1052"/>
      <c r="AS34" s="1042">
        <f>IF(AP30=0,1-((AN35+AO35)/(AN33+AO33)),AP34)</f>
        <v>0.32000000000000006</v>
      </c>
      <c r="AT34" s="1050"/>
      <c r="AW34" s="1051"/>
      <c r="AX34" s="1051"/>
      <c r="AY34" s="1052"/>
      <c r="AZ34" s="1050"/>
    </row>
    <row r="35" spans="4:54" ht="18.95" customHeight="1">
      <c r="D35" s="1030" t="s">
        <v>1557</v>
      </c>
      <c r="E35" s="540"/>
      <c r="F35" s="1037"/>
      <c r="G35" s="1043">
        <f>N16</f>
        <v>2502500</v>
      </c>
      <c r="H35" s="1079">
        <f>H33*(1-H34)</f>
        <v>883999.99999999988</v>
      </c>
      <c r="I35" s="1111">
        <f>(((F35+G35)/(F31+G31))*H31)-H35</f>
        <v>26000.000000000116</v>
      </c>
      <c r="J35" s="1112">
        <f>(F35+G35-H35-I35)-K35</f>
        <v>45500.000000000233</v>
      </c>
      <c r="K35" s="1108">
        <f>K33*(1-K34)</f>
        <v>1546999.9999999998</v>
      </c>
      <c r="L35" s="1109">
        <f>K35-M35</f>
        <v>1430999.9999999998</v>
      </c>
      <c r="M35" s="1108">
        <f>R35</f>
        <v>116000</v>
      </c>
      <c r="O35" s="1051"/>
      <c r="P35" s="1053">
        <v>1000000</v>
      </c>
      <c r="Q35" s="1079">
        <f>H51-K51</f>
        <v>884000</v>
      </c>
      <c r="R35" s="1048">
        <f>O35+P35-Q35</f>
        <v>116000</v>
      </c>
      <c r="S35" s="1027"/>
      <c r="T35" s="1025"/>
      <c r="U35" s="1030" t="s">
        <v>1557</v>
      </c>
      <c r="V35" s="540"/>
      <c r="W35" s="1037">
        <f t="shared" si="24"/>
        <v>1546999.9999999998</v>
      </c>
      <c r="X35" s="1043">
        <f>AE16</f>
        <v>318500</v>
      </c>
      <c r="Y35" s="1079">
        <f>Y33*(1-Y34)</f>
        <v>1019999.9999999999</v>
      </c>
      <c r="Z35" s="1066">
        <f>(((W35+X35)/(W31+X31))*Y31)-Y35</f>
        <v>312499.99999999988</v>
      </c>
      <c r="AA35" s="1067">
        <f>(W35+X35-Y35-Z35)-AB35</f>
        <v>125000.00000000006</v>
      </c>
      <c r="AB35" s="1108">
        <f>AB33*(1-AB34)</f>
        <v>407999.99999999994</v>
      </c>
      <c r="AC35" s="1109">
        <f>AB35-AD35</f>
        <v>311999.99999999994</v>
      </c>
      <c r="AD35" s="1108">
        <f>AI35</f>
        <v>96000</v>
      </c>
      <c r="AF35" s="1056">
        <f>R35</f>
        <v>116000</v>
      </c>
      <c r="AG35" s="1053">
        <v>1000000</v>
      </c>
      <c r="AH35" s="1079">
        <f>Y51-AB51</f>
        <v>1020000</v>
      </c>
      <c r="AI35" s="1048">
        <f>AF35+AG35-AH35</f>
        <v>96000</v>
      </c>
      <c r="AJ35" s="1027"/>
      <c r="AK35" s="1025"/>
      <c r="AL35" s="1030" t="s">
        <v>1557</v>
      </c>
      <c r="AM35" s="540"/>
      <c r="AN35" s="1037">
        <f t="shared" si="25"/>
        <v>407999.99999999994</v>
      </c>
      <c r="AO35" s="1043">
        <f>AV16</f>
        <v>0</v>
      </c>
      <c r="AP35" s="1079">
        <f>AP33*(1-AP34)</f>
        <v>0</v>
      </c>
      <c r="AQ35" s="1066">
        <f>(((AN35+AO35)/(AN31+AO31))*AP31)-AP35</f>
        <v>0</v>
      </c>
      <c r="AR35" s="1067">
        <f>(AN35+AO35-AP35-AQ35)-AS35</f>
        <v>0</v>
      </c>
      <c r="AS35" s="1041">
        <f>AS33*(1-AS34)</f>
        <v>407999.99999999994</v>
      </c>
      <c r="AT35" s="1048">
        <f>AS35-AU35</f>
        <v>407999.99999999994</v>
      </c>
      <c r="AU35" s="1041">
        <f>AZ35</f>
        <v>0</v>
      </c>
      <c r="AW35" s="1056">
        <f>AI35</f>
        <v>96000</v>
      </c>
      <c r="AX35" s="1053">
        <v>-96000</v>
      </c>
      <c r="AY35" s="1079">
        <f>AP51-AS51</f>
        <v>0</v>
      </c>
      <c r="AZ35" s="1048">
        <f>AW35+AX35-AY35</f>
        <v>0</v>
      </c>
      <c r="BA35" s="1025"/>
      <c r="BB35" s="1025"/>
    </row>
    <row r="36" spans="4:54" ht="18.95" customHeight="1">
      <c r="D36" s="1030"/>
      <c r="E36" s="540"/>
      <c r="U36" s="1030"/>
      <c r="V36" s="540"/>
      <c r="AL36" s="1030"/>
      <c r="AM36" s="540"/>
    </row>
    <row r="39" spans="4:54" ht="18.95" customHeight="1">
      <c r="D39" s="1024" t="s">
        <v>1597</v>
      </c>
      <c r="U39" s="1024" t="s">
        <v>1597</v>
      </c>
      <c r="AL39" s="1024" t="s">
        <v>1597</v>
      </c>
    </row>
    <row r="40" spans="4:54" ht="18.95" customHeight="1" thickBot="1"/>
    <row r="41" spans="4:54" ht="18.95" customHeight="1">
      <c r="D41" s="1032" t="s">
        <v>1577</v>
      </c>
      <c r="E41" s="1019"/>
      <c r="F41" s="1036" t="s">
        <v>1573</v>
      </c>
      <c r="G41" s="1032"/>
      <c r="H41" s="1032"/>
      <c r="I41" s="1057" t="s">
        <v>1570</v>
      </c>
      <c r="J41" s="1032"/>
      <c r="K41" s="1032"/>
      <c r="L41" s="1058"/>
      <c r="M41" s="1057" t="s">
        <v>1571</v>
      </c>
      <c r="N41" s="1032"/>
      <c r="O41" s="1058"/>
      <c r="P41" s="1032" t="s">
        <v>1572</v>
      </c>
      <c r="Q41" s="1032"/>
      <c r="R41" s="1032"/>
      <c r="U41" s="1032" t="s">
        <v>1577</v>
      </c>
      <c r="V41" s="1019"/>
      <c r="W41" s="1036" t="s">
        <v>1573</v>
      </c>
      <c r="X41" s="1032"/>
      <c r="Y41" s="1032"/>
      <c r="Z41" s="1057" t="s">
        <v>1570</v>
      </c>
      <c r="AA41" s="1032"/>
      <c r="AB41" s="1032"/>
      <c r="AC41" s="1058"/>
      <c r="AD41" s="1057" t="s">
        <v>1571</v>
      </c>
      <c r="AE41" s="1032"/>
      <c r="AF41" s="1058"/>
      <c r="AG41" s="1032" t="s">
        <v>1572</v>
      </c>
      <c r="AH41" s="1032"/>
      <c r="AI41" s="1032"/>
      <c r="AL41" s="1032" t="s">
        <v>1577</v>
      </c>
      <c r="AM41" s="1019"/>
      <c r="AN41" s="1036" t="s">
        <v>1573</v>
      </c>
      <c r="AO41" s="1032"/>
      <c r="AP41" s="1032"/>
      <c r="AQ41" s="1057" t="s">
        <v>1570</v>
      </c>
      <c r="AR41" s="1032"/>
      <c r="AS41" s="1032"/>
      <c r="AT41" s="1058"/>
      <c r="AU41" s="1057" t="s">
        <v>1571</v>
      </c>
      <c r="AV41" s="1032"/>
      <c r="AW41" s="1058"/>
      <c r="AX41" s="1032" t="s">
        <v>1572</v>
      </c>
      <c r="AY41" s="1032"/>
      <c r="AZ41" s="1032"/>
    </row>
    <row r="42" spans="4:54" ht="18.95" customHeight="1" thickBot="1">
      <c r="D42" s="1035"/>
      <c r="E42" s="1034"/>
      <c r="F42" s="1059" t="s">
        <v>1567</v>
      </c>
      <c r="G42" s="1060" t="s">
        <v>1568</v>
      </c>
      <c r="H42" s="1021" t="s">
        <v>1569</v>
      </c>
      <c r="I42" s="1061" t="s">
        <v>1604</v>
      </c>
      <c r="J42" s="1062" t="s">
        <v>1603</v>
      </c>
      <c r="K42" s="1060" t="s">
        <v>1605</v>
      </c>
      <c r="L42" s="1023" t="s">
        <v>1565</v>
      </c>
      <c r="M42" s="1061" t="s">
        <v>1567</v>
      </c>
      <c r="N42" s="1060" t="s">
        <v>1568</v>
      </c>
      <c r="O42" s="1023" t="s">
        <v>1569</v>
      </c>
      <c r="P42" s="1062" t="s">
        <v>1567</v>
      </c>
      <c r="Q42" s="1060" t="s">
        <v>1568</v>
      </c>
      <c r="R42" s="1021" t="s">
        <v>1569</v>
      </c>
      <c r="U42" s="1035"/>
      <c r="V42" s="1034"/>
      <c r="W42" s="1059" t="s">
        <v>1567</v>
      </c>
      <c r="X42" s="1060" t="s">
        <v>1568</v>
      </c>
      <c r="Y42" s="1021" t="s">
        <v>1569</v>
      </c>
      <c r="Z42" s="1061" t="s">
        <v>1604</v>
      </c>
      <c r="AA42" s="1062" t="s">
        <v>1603</v>
      </c>
      <c r="AB42" s="1060" t="s">
        <v>1564</v>
      </c>
      <c r="AC42" s="1023" t="s">
        <v>1565</v>
      </c>
      <c r="AD42" s="1061" t="s">
        <v>1567</v>
      </c>
      <c r="AE42" s="1060" t="s">
        <v>1568</v>
      </c>
      <c r="AF42" s="1023" t="s">
        <v>1569</v>
      </c>
      <c r="AG42" s="1062" t="s">
        <v>1567</v>
      </c>
      <c r="AH42" s="1060" t="s">
        <v>1568</v>
      </c>
      <c r="AI42" s="1021" t="s">
        <v>1569</v>
      </c>
      <c r="AL42" s="1035"/>
      <c r="AM42" s="1034"/>
      <c r="AN42" s="1059" t="s">
        <v>1567</v>
      </c>
      <c r="AO42" s="1060" t="s">
        <v>1568</v>
      </c>
      <c r="AP42" s="1021" t="s">
        <v>1569</v>
      </c>
      <c r="AQ42" s="1061" t="s">
        <v>1604</v>
      </c>
      <c r="AR42" s="1062" t="s">
        <v>1603</v>
      </c>
      <c r="AS42" s="1060" t="s">
        <v>1564</v>
      </c>
      <c r="AT42" s="1023" t="s">
        <v>1565</v>
      </c>
      <c r="AU42" s="1061" t="s">
        <v>1567</v>
      </c>
      <c r="AV42" s="1060" t="s">
        <v>1568</v>
      </c>
      <c r="AW42" s="1023" t="s">
        <v>1569</v>
      </c>
      <c r="AX42" s="1062" t="s">
        <v>1567</v>
      </c>
      <c r="AY42" s="1060" t="s">
        <v>1568</v>
      </c>
      <c r="AZ42" s="1021" t="s">
        <v>1569</v>
      </c>
    </row>
    <row r="43" spans="4:54" ht="18.95" customHeight="1">
      <c r="D43" s="1030" t="s">
        <v>1576</v>
      </c>
      <c r="E43" s="540"/>
      <c r="F43" s="1039">
        <f>ROUND(H43/1.1,0)</f>
        <v>0</v>
      </c>
      <c r="G43" s="1054">
        <f>H43-F43</f>
        <v>0</v>
      </c>
      <c r="H43" s="1026"/>
      <c r="I43" s="1086">
        <f>N18</f>
        <v>0</v>
      </c>
      <c r="J43" s="1085">
        <f>N19</f>
        <v>1820000</v>
      </c>
      <c r="K43" s="1113">
        <f>(I35+J35)*-1</f>
        <v>-71500.000000000349</v>
      </c>
      <c r="L43" s="1016">
        <f>SUM(I43:K43)</f>
        <v>1748499.9999999995</v>
      </c>
      <c r="M43" s="1014">
        <f>ROUND(O43/1.1,0)</f>
        <v>909091</v>
      </c>
      <c r="N43" s="1054">
        <f>O43-M43</f>
        <v>90909</v>
      </c>
      <c r="O43" s="1082">
        <f>P35</f>
        <v>1000000</v>
      </c>
      <c r="P43" s="617">
        <f>ROUND(R43/1.1,0)</f>
        <v>680455</v>
      </c>
      <c r="Q43" s="1054">
        <f>R43-P43</f>
        <v>68044.999999999534</v>
      </c>
      <c r="R43" s="1110">
        <f>H43+L43-O43</f>
        <v>748499.99999999953</v>
      </c>
      <c r="U43" s="1030" t="s">
        <v>1576</v>
      </c>
      <c r="V43" s="540"/>
      <c r="W43" s="1037">
        <f>ROUND(Y43/1.1,0)</f>
        <v>680455</v>
      </c>
      <c r="X43" s="1056">
        <f>Y43-W43</f>
        <v>68044.999999999534</v>
      </c>
      <c r="Y43" s="1026">
        <f>R43</f>
        <v>748499.99999999953</v>
      </c>
      <c r="Z43" s="1086">
        <f>AE18</f>
        <v>682500</v>
      </c>
      <c r="AA43" s="1085">
        <f>AE19</f>
        <v>250250</v>
      </c>
      <c r="AB43" s="1049">
        <f>(Z35+AA35)*-1</f>
        <v>-437499.99999999994</v>
      </c>
      <c r="AC43" s="1049">
        <f>SUM(Z43:AB43)</f>
        <v>495250.00000000006</v>
      </c>
      <c r="AD43" s="1048">
        <f>ROUND(AF43/1.1,0)</f>
        <v>909091</v>
      </c>
      <c r="AE43" s="1056">
        <f>AF43-AD43</f>
        <v>90909</v>
      </c>
      <c r="AF43" s="1082">
        <f>AG35</f>
        <v>1000000</v>
      </c>
      <c r="AG43" s="1041">
        <f>ROUND(AI43/1.1,0)</f>
        <v>221591</v>
      </c>
      <c r="AH43" s="1056">
        <f>AI43-AG43</f>
        <v>22158.999999999534</v>
      </c>
      <c r="AI43" s="1110">
        <f>Y43+AC43-AF43</f>
        <v>243749.99999999953</v>
      </c>
      <c r="AL43" s="1030" t="s">
        <v>1576</v>
      </c>
      <c r="AM43" s="540"/>
      <c r="AN43" s="1037">
        <f>ROUND(AP43/1.1,0)</f>
        <v>221591</v>
      </c>
      <c r="AO43" s="1056">
        <f>AP43-AN43</f>
        <v>22158.999999999534</v>
      </c>
      <c r="AP43" s="1026">
        <f>AI43</f>
        <v>243749.99999999953</v>
      </c>
      <c r="AQ43" s="1086">
        <f>AV18</f>
        <v>68250</v>
      </c>
      <c r="AR43" s="1085">
        <f>AV19</f>
        <v>0</v>
      </c>
      <c r="AS43" s="1049">
        <f>(AQ35+AR35)*-1</f>
        <v>0</v>
      </c>
      <c r="AT43" s="1049">
        <f>SUM(AQ43:AS43)</f>
        <v>68250</v>
      </c>
      <c r="AU43" s="1048">
        <f>ROUND(AW43/1.1,0)</f>
        <v>-87273</v>
      </c>
      <c r="AV43" s="1056">
        <f>AW43-AU43</f>
        <v>-8727</v>
      </c>
      <c r="AW43" s="1082">
        <f>AX35</f>
        <v>-96000</v>
      </c>
      <c r="AX43" s="1041">
        <f>ROUND(AZ43/1.1,0)</f>
        <v>370909</v>
      </c>
      <c r="AY43" s="1056">
        <f>AZ43-AX43</f>
        <v>37090.999999999534</v>
      </c>
      <c r="AZ43" s="1026">
        <f>AP43+AT43-AW43</f>
        <v>407999.99999999953</v>
      </c>
    </row>
    <row r="44" spans="4:54" ht="18.95" customHeight="1">
      <c r="D44" s="509"/>
      <c r="R44" s="1026"/>
      <c r="U44" s="509"/>
      <c r="W44" s="1026"/>
      <c r="X44" s="1026"/>
      <c r="Y44" s="1026"/>
      <c r="Z44" s="1026"/>
      <c r="AA44" s="1026"/>
      <c r="AB44" s="1026"/>
      <c r="AC44" s="1026"/>
      <c r="AD44" s="1026"/>
      <c r="AE44" s="1026"/>
      <c r="AF44" s="1026"/>
      <c r="AG44" s="1026"/>
      <c r="AH44" s="1026"/>
      <c r="AI44" s="1026"/>
      <c r="AL44" s="509"/>
      <c r="AN44" s="1026"/>
      <c r="AO44" s="1026"/>
      <c r="AP44" s="1026"/>
      <c r="AQ44" s="1026"/>
      <c r="AR44" s="1026"/>
      <c r="AS44" s="1026"/>
      <c r="AT44" s="1026"/>
      <c r="AU44" s="1026"/>
      <c r="AV44" s="1026"/>
      <c r="AW44" s="1026"/>
      <c r="AX44" s="1026"/>
      <c r="AY44" s="1026"/>
      <c r="AZ44" s="1026"/>
    </row>
    <row r="45" spans="4:54" ht="18.95" customHeight="1">
      <c r="D45" s="509"/>
      <c r="U45" s="509"/>
      <c r="AL45" s="509"/>
    </row>
    <row r="48" spans="4:54" ht="18.95" customHeight="1">
      <c r="D48" s="1024" t="s">
        <v>1596</v>
      </c>
      <c r="U48" s="1024" t="s">
        <v>1596</v>
      </c>
      <c r="AL48" s="1024" t="s">
        <v>1596</v>
      </c>
    </row>
    <row r="49" spans="4:46" ht="18.95" customHeight="1" thickBot="1"/>
    <row r="50" spans="4:46" ht="18.95" customHeight="1" thickBot="1">
      <c r="D50" s="1073" t="s">
        <v>1591</v>
      </c>
      <c r="E50" s="1073"/>
      <c r="F50" s="1074" t="s">
        <v>1580</v>
      </c>
      <c r="G50" s="1076" t="s">
        <v>1250</v>
      </c>
      <c r="H50" s="1076" t="s">
        <v>1251</v>
      </c>
      <c r="I50" s="1076" t="s">
        <v>1581</v>
      </c>
      <c r="J50" s="1076" t="s">
        <v>1275</v>
      </c>
      <c r="K50" s="1076" t="s">
        <v>1583</v>
      </c>
      <c r="L50" s="1081" t="s">
        <v>1592</v>
      </c>
      <c r="U50" s="1073" t="s">
        <v>1591</v>
      </c>
      <c r="V50" s="1073"/>
      <c r="W50" s="1074" t="s">
        <v>1580</v>
      </c>
      <c r="X50" s="1076" t="s">
        <v>1250</v>
      </c>
      <c r="Y50" s="1076" t="s">
        <v>1251</v>
      </c>
      <c r="Z50" s="1076" t="s">
        <v>1581</v>
      </c>
      <c r="AA50" s="1076" t="s">
        <v>1275</v>
      </c>
      <c r="AB50" s="1076" t="s">
        <v>1583</v>
      </c>
      <c r="AC50" s="1081" t="s">
        <v>1592</v>
      </c>
      <c r="AL50" s="1073" t="s">
        <v>1591</v>
      </c>
      <c r="AM50" s="1073"/>
      <c r="AN50" s="1074" t="s">
        <v>1580</v>
      </c>
      <c r="AO50" s="1076" t="s">
        <v>1250</v>
      </c>
      <c r="AP50" s="1076" t="s">
        <v>1251</v>
      </c>
      <c r="AQ50" s="1076" t="s">
        <v>1581</v>
      </c>
      <c r="AR50" s="1076" t="s">
        <v>1275</v>
      </c>
      <c r="AS50" s="1076" t="s">
        <v>1583</v>
      </c>
      <c r="AT50" s="1081" t="s">
        <v>1592</v>
      </c>
    </row>
    <row r="51" spans="4:46" ht="18.95" customHeight="1">
      <c r="D51" s="1030" t="s">
        <v>1579</v>
      </c>
      <c r="E51" s="540" t="s">
        <v>1582</v>
      </c>
      <c r="F51" s="1075">
        <f>H34</f>
        <v>0.32</v>
      </c>
      <c r="G51" s="1066">
        <f>H33</f>
        <v>1300000</v>
      </c>
      <c r="H51" s="1066">
        <f>G51</f>
        <v>1300000</v>
      </c>
      <c r="I51" s="1066">
        <f>H51-G51</f>
        <v>0</v>
      </c>
      <c r="J51" s="1052"/>
      <c r="K51" s="1077">
        <f>H51*F51</f>
        <v>416000</v>
      </c>
      <c r="L51" s="1078">
        <f>H51-K51</f>
        <v>884000</v>
      </c>
      <c r="U51" s="1030" t="s">
        <v>1579</v>
      </c>
      <c r="V51" s="540" t="s">
        <v>1582</v>
      </c>
      <c r="W51" s="1075">
        <f>Y34</f>
        <v>0.32</v>
      </c>
      <c r="X51" s="1066">
        <f>Y33</f>
        <v>1500000</v>
      </c>
      <c r="Y51" s="1066">
        <f>X51</f>
        <v>1500000</v>
      </c>
      <c r="Z51" s="1066">
        <f>Y51-X51</f>
        <v>0</v>
      </c>
      <c r="AA51" s="1052"/>
      <c r="AB51" s="1077">
        <f>Y51*W51</f>
        <v>480000</v>
      </c>
      <c r="AC51" s="1078">
        <f>Y51-AB51</f>
        <v>1020000</v>
      </c>
      <c r="AL51" s="1030" t="s">
        <v>1579</v>
      </c>
      <c r="AM51" s="540" t="s">
        <v>1582</v>
      </c>
      <c r="AN51" s="1075">
        <f>AP34</f>
        <v>0</v>
      </c>
      <c r="AO51" s="1066">
        <f>AP33</f>
        <v>0</v>
      </c>
      <c r="AP51" s="1066">
        <f>AO51</f>
        <v>0</v>
      </c>
      <c r="AQ51" s="1066">
        <f>AP51-AO51</f>
        <v>0</v>
      </c>
      <c r="AR51" s="1052"/>
      <c r="AS51" s="1077">
        <f>AP51*AN51</f>
        <v>0</v>
      </c>
      <c r="AT51" s="1078">
        <f>AP51-AS51</f>
        <v>0</v>
      </c>
    </row>
    <row r="52" spans="4:46" ht="18.95" customHeight="1">
      <c r="D52" s="509"/>
      <c r="U52" s="509"/>
      <c r="AL52" s="509"/>
    </row>
    <row r="53" spans="4:46" ht="18.95" customHeight="1">
      <c r="D53" s="509"/>
      <c r="U53" s="509"/>
      <c r="AL53" s="509"/>
    </row>
    <row r="54" spans="4:46" ht="18.95" customHeight="1">
      <c r="D54" s="509"/>
      <c r="U54" s="509"/>
      <c r="AL54" s="509"/>
    </row>
  </sheetData>
  <mergeCells count="24">
    <mergeCell ref="AW28:AW29"/>
    <mergeCell ref="AX28:AX29"/>
    <mergeCell ref="AY28:AY29"/>
    <mergeCell ref="AZ28:AZ29"/>
    <mergeCell ref="AH28:AH29"/>
    <mergeCell ref="AI28:AI29"/>
    <mergeCell ref="AN28:AN29"/>
    <mergeCell ref="AO28:AO29"/>
    <mergeCell ref="AP28:AP29"/>
    <mergeCell ref="AS28:AS29"/>
    <mergeCell ref="F28:F29"/>
    <mergeCell ref="G28:G29"/>
    <mergeCell ref="H28:H29"/>
    <mergeCell ref="AG28:AG29"/>
    <mergeCell ref="K28:K29"/>
    <mergeCell ref="R28:R29"/>
    <mergeCell ref="Q28:Q29"/>
    <mergeCell ref="P28:P29"/>
    <mergeCell ref="O28:O29"/>
    <mergeCell ref="W28:W29"/>
    <mergeCell ref="X28:X29"/>
    <mergeCell ref="Y28:Y29"/>
    <mergeCell ref="AB28:AB29"/>
    <mergeCell ref="AF28:AF29"/>
  </mergeCells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D2:BB54"/>
  <sheetViews>
    <sheetView topLeftCell="A21" workbookViewId="0">
      <selection activeCell="M38" sqref="M38"/>
    </sheetView>
  </sheetViews>
  <sheetFormatPr defaultRowHeight="18.95" customHeight="1"/>
  <cols>
    <col min="4" max="4" width="12.42578125" customWidth="1"/>
    <col min="6" max="6" width="14.140625" customWidth="1"/>
    <col min="7" max="18" width="13.7109375" customWidth="1"/>
    <col min="19" max="20" width="4.5703125" customWidth="1"/>
    <col min="21" max="21" width="12.42578125" customWidth="1"/>
    <col min="23" max="23" width="14.140625" customWidth="1"/>
    <col min="24" max="35" width="13.7109375" customWidth="1"/>
    <col min="36" max="37" width="4.5703125" customWidth="1"/>
    <col min="38" max="38" width="12.42578125" customWidth="1"/>
    <col min="40" max="40" width="14.140625" customWidth="1"/>
    <col min="41" max="52" width="13.7109375" customWidth="1"/>
  </cols>
  <sheetData>
    <row r="2" spans="4:52" s="1010" customFormat="1" ht="25.5" customHeight="1">
      <c r="D2" s="1080" t="s">
        <v>1593</v>
      </c>
      <c r="E2" s="1080"/>
      <c r="F2" s="1080"/>
      <c r="G2" s="1080"/>
      <c r="H2" s="1080"/>
      <c r="I2" s="1080"/>
      <c r="J2" s="1080"/>
      <c r="K2" s="1080"/>
      <c r="L2" s="1080"/>
      <c r="M2" s="1080"/>
      <c r="N2" s="1080"/>
      <c r="O2" s="1080"/>
      <c r="P2" s="1080"/>
      <c r="Q2" s="1080"/>
      <c r="R2" s="1080"/>
      <c r="U2" s="1080" t="s">
        <v>1601</v>
      </c>
      <c r="V2" s="1080"/>
      <c r="W2" s="1080"/>
      <c r="X2" s="1080"/>
      <c r="Y2" s="1080"/>
      <c r="Z2" s="1080"/>
      <c r="AA2" s="1080"/>
      <c r="AB2" s="1080"/>
      <c r="AC2" s="1080"/>
      <c r="AD2" s="1080"/>
      <c r="AE2" s="1080"/>
      <c r="AF2" s="1080"/>
      <c r="AG2" s="1080"/>
      <c r="AH2" s="1080"/>
      <c r="AI2" s="1080"/>
      <c r="AL2" s="1080" t="s">
        <v>1606</v>
      </c>
      <c r="AM2" s="1080"/>
      <c r="AN2" s="1080"/>
      <c r="AO2" s="1080"/>
      <c r="AP2" s="1080"/>
      <c r="AQ2" s="1080"/>
      <c r="AR2" s="1080"/>
      <c r="AS2" s="1080"/>
      <c r="AT2" s="1080"/>
      <c r="AU2" s="1080"/>
      <c r="AV2" s="1080"/>
      <c r="AW2" s="1080"/>
      <c r="AX2" s="1080"/>
      <c r="AY2" s="1080"/>
      <c r="AZ2" s="1080"/>
    </row>
    <row r="4" spans="4:52" ht="18.95" customHeight="1" thickBot="1">
      <c r="D4" s="1024" t="s">
        <v>1594</v>
      </c>
      <c r="U4" s="1024" t="s">
        <v>1594</v>
      </c>
      <c r="AL4" s="1024" t="s">
        <v>1594</v>
      </c>
    </row>
    <row r="5" spans="4:52" ht="18.95" customHeight="1">
      <c r="D5" s="1017" t="s">
        <v>1551</v>
      </c>
      <c r="E5" s="1017" t="s">
        <v>1552</v>
      </c>
      <c r="F5" s="1017" t="s">
        <v>1543</v>
      </c>
      <c r="G5" s="1018" t="s">
        <v>1548</v>
      </c>
      <c r="H5" s="1019"/>
      <c r="I5" s="1019"/>
      <c r="J5" s="1020"/>
      <c r="K5" s="1019" t="s">
        <v>1550</v>
      </c>
      <c r="L5" s="1019"/>
      <c r="M5" s="1019"/>
      <c r="N5" s="1019"/>
      <c r="U5" s="1017" t="s">
        <v>1551</v>
      </c>
      <c r="V5" s="1017" t="s">
        <v>1552</v>
      </c>
      <c r="W5" s="1017" t="s">
        <v>1543</v>
      </c>
      <c r="X5" s="1018" t="s">
        <v>1548</v>
      </c>
      <c r="Y5" s="1019"/>
      <c r="Z5" s="1019"/>
      <c r="AA5" s="1020"/>
      <c r="AB5" s="1019" t="s">
        <v>1550</v>
      </c>
      <c r="AC5" s="1019"/>
      <c r="AD5" s="1019"/>
      <c r="AE5" s="1019"/>
      <c r="AL5" s="1017" t="s">
        <v>1551</v>
      </c>
      <c r="AM5" s="1017" t="s">
        <v>1552</v>
      </c>
      <c r="AN5" s="1017" t="s">
        <v>1543</v>
      </c>
      <c r="AO5" s="1018" t="s">
        <v>1548</v>
      </c>
      <c r="AP5" s="1019"/>
      <c r="AQ5" s="1019"/>
      <c r="AR5" s="1020"/>
      <c r="AS5" s="1019" t="s">
        <v>1550</v>
      </c>
      <c r="AT5" s="1019"/>
      <c r="AU5" s="1019"/>
      <c r="AV5" s="1019"/>
    </row>
    <row r="6" spans="4:52" s="145" customFormat="1" ht="18.95" customHeight="1" thickBot="1">
      <c r="D6" s="1021"/>
      <c r="E6" s="1021"/>
      <c r="F6" s="1021"/>
      <c r="G6" s="1022" t="s">
        <v>1544</v>
      </c>
      <c r="H6" s="1021" t="s">
        <v>1545</v>
      </c>
      <c r="I6" s="1021" t="s">
        <v>1546</v>
      </c>
      <c r="J6" s="1023" t="s">
        <v>1547</v>
      </c>
      <c r="K6" s="1021" t="s">
        <v>1549</v>
      </c>
      <c r="L6" s="1021" t="s">
        <v>1544</v>
      </c>
      <c r="M6" s="1021" t="s">
        <v>1560</v>
      </c>
      <c r="N6" s="1021" t="s">
        <v>1547</v>
      </c>
      <c r="U6" s="1021"/>
      <c r="V6" s="1021"/>
      <c r="W6" s="1021"/>
      <c r="X6" s="1022" t="s">
        <v>1544</v>
      </c>
      <c r="Y6" s="1021" t="s">
        <v>1545</v>
      </c>
      <c r="Z6" s="1021" t="s">
        <v>1546</v>
      </c>
      <c r="AA6" s="1023" t="s">
        <v>1547</v>
      </c>
      <c r="AB6" s="1021" t="s">
        <v>1549</v>
      </c>
      <c r="AC6" s="1021" t="s">
        <v>1544</v>
      </c>
      <c r="AD6" s="1021" t="s">
        <v>1560</v>
      </c>
      <c r="AE6" s="1021" t="s">
        <v>1547</v>
      </c>
      <c r="AL6" s="1021"/>
      <c r="AM6" s="1021"/>
      <c r="AN6" s="1021"/>
      <c r="AO6" s="1022" t="s">
        <v>1544</v>
      </c>
      <c r="AP6" s="1021" t="s">
        <v>1545</v>
      </c>
      <c r="AQ6" s="1021" t="s">
        <v>1546</v>
      </c>
      <c r="AR6" s="1023" t="s">
        <v>1547</v>
      </c>
      <c r="AS6" s="1021" t="s">
        <v>1549</v>
      </c>
      <c r="AT6" s="1021" t="s">
        <v>1544</v>
      </c>
      <c r="AU6" s="1021" t="s">
        <v>1560</v>
      </c>
      <c r="AV6" s="1021" t="s">
        <v>1547</v>
      </c>
    </row>
    <row r="7" spans="4:52" ht="18.95" customHeight="1">
      <c r="D7" s="145" t="s">
        <v>1553</v>
      </c>
      <c r="E7">
        <v>1</v>
      </c>
      <c r="F7" s="1013" t="s">
        <v>127</v>
      </c>
      <c r="G7" s="1014">
        <v>10000</v>
      </c>
      <c r="H7" s="1015">
        <v>0.3</v>
      </c>
      <c r="I7" s="1015">
        <v>0.35</v>
      </c>
      <c r="J7" s="1016">
        <f>(G7*(1-H7))*(1-I7)</f>
        <v>4550</v>
      </c>
      <c r="K7" s="509">
        <v>100</v>
      </c>
      <c r="L7" s="509">
        <f>K7*G7</f>
        <v>1000000</v>
      </c>
      <c r="M7" s="509">
        <f>(G7*(1-H7))*K7</f>
        <v>700000</v>
      </c>
      <c r="N7" s="509">
        <f>K7*J7</f>
        <v>455000</v>
      </c>
      <c r="U7" s="145" t="s">
        <v>1553</v>
      </c>
      <c r="V7">
        <v>1</v>
      </c>
      <c r="W7" s="1013" t="s">
        <v>127</v>
      </c>
      <c r="X7" s="1014">
        <v>10000</v>
      </c>
      <c r="Y7" s="1015">
        <v>0.3</v>
      </c>
      <c r="Z7" s="1015">
        <v>0.35</v>
      </c>
      <c r="AA7" s="1016">
        <f>(X7*(1-Y7))*(1-Z7)</f>
        <v>4550</v>
      </c>
      <c r="AB7" s="509">
        <v>10</v>
      </c>
      <c r="AC7" s="509">
        <f>AB7*X7</f>
        <v>100000</v>
      </c>
      <c r="AD7" s="509">
        <f>(X7*(1-Y7))*AB7</f>
        <v>70000</v>
      </c>
      <c r="AE7" s="509">
        <f>AB7*AA7</f>
        <v>45500</v>
      </c>
      <c r="AL7" s="145" t="s">
        <v>1553</v>
      </c>
      <c r="AM7">
        <v>1</v>
      </c>
      <c r="AN7" s="1013" t="s">
        <v>127</v>
      </c>
      <c r="AO7" s="1014">
        <v>10000</v>
      </c>
      <c r="AP7" s="1015">
        <v>0.3</v>
      </c>
      <c r="AQ7" s="1015">
        <v>0.35</v>
      </c>
      <c r="AR7" s="1016">
        <f>(AO7*(1-AP7))*(1-AQ7)</f>
        <v>4550</v>
      </c>
      <c r="AS7" s="509"/>
      <c r="AT7" s="509">
        <f>AS7*AO7</f>
        <v>0</v>
      </c>
      <c r="AU7" s="509">
        <f>(AO7*(1-AP7))*AS7</f>
        <v>0</v>
      </c>
      <c r="AV7" s="509">
        <f>AS7*AR7</f>
        <v>0</v>
      </c>
    </row>
    <row r="8" spans="4:52" ht="18.95" customHeight="1">
      <c r="D8" s="145" t="s">
        <v>1553</v>
      </c>
      <c r="E8">
        <v>5</v>
      </c>
      <c r="F8" s="1013" t="s">
        <v>127</v>
      </c>
      <c r="G8" s="1014">
        <v>10000</v>
      </c>
      <c r="H8" s="1015">
        <v>0.3</v>
      </c>
      <c r="I8" s="1015">
        <v>0.35</v>
      </c>
      <c r="J8" s="1016">
        <f t="shared" ref="J8:J13" si="0">(G8*(1-H8))*(1-I8)</f>
        <v>4550</v>
      </c>
      <c r="K8" s="509">
        <v>50</v>
      </c>
      <c r="L8" s="509">
        <f t="shared" ref="L8:L13" si="1">K8*G8</f>
        <v>500000</v>
      </c>
      <c r="M8" s="509">
        <f t="shared" ref="M8:M13" si="2">(G8*(1-H8))*K8</f>
        <v>350000</v>
      </c>
      <c r="N8" s="509">
        <f t="shared" ref="N8:N13" si="3">K8*J8</f>
        <v>227500</v>
      </c>
      <c r="U8" s="145" t="s">
        <v>1553</v>
      </c>
      <c r="V8">
        <v>5</v>
      </c>
      <c r="W8" s="1013" t="s">
        <v>127</v>
      </c>
      <c r="X8" s="1014">
        <v>10000</v>
      </c>
      <c r="Y8" s="1015">
        <v>0.3</v>
      </c>
      <c r="Z8" s="1015">
        <v>0.35</v>
      </c>
      <c r="AA8" s="1016">
        <f t="shared" ref="AA8:AA13" si="4">(X8*(1-Y8))*(1-Z8)</f>
        <v>4550</v>
      </c>
      <c r="AB8" s="509">
        <v>5</v>
      </c>
      <c r="AC8" s="509">
        <f t="shared" ref="AC8:AC13" si="5">AB8*X8</f>
        <v>50000</v>
      </c>
      <c r="AD8" s="509">
        <f t="shared" ref="AD8:AD13" si="6">(X8*(1-Y8))*AB8</f>
        <v>35000</v>
      </c>
      <c r="AE8" s="509">
        <f t="shared" ref="AE8:AE13" si="7">AB8*AA8</f>
        <v>22750</v>
      </c>
      <c r="AL8" s="145" t="s">
        <v>1553</v>
      </c>
      <c r="AM8">
        <v>5</v>
      </c>
      <c r="AN8" s="1013" t="s">
        <v>127</v>
      </c>
      <c r="AO8" s="1014">
        <v>10000</v>
      </c>
      <c r="AP8" s="1015">
        <v>0.3</v>
      </c>
      <c r="AQ8" s="1015">
        <v>0.35</v>
      </c>
      <c r="AR8" s="1016">
        <f t="shared" ref="AR8:AR13" si="8">(AO8*(1-AP8))*(1-AQ8)</f>
        <v>4550</v>
      </c>
      <c r="AS8" s="509"/>
      <c r="AT8" s="509">
        <f t="shared" ref="AT8:AT13" si="9">AS8*AO8</f>
        <v>0</v>
      </c>
      <c r="AU8" s="509">
        <f t="shared" ref="AU8:AU13" si="10">(AO8*(1-AP8))*AS8</f>
        <v>0</v>
      </c>
      <c r="AV8" s="509">
        <f t="shared" ref="AV8:AV13" si="11">AS8*AR8</f>
        <v>0</v>
      </c>
    </row>
    <row r="9" spans="4:52" ht="18.95" customHeight="1">
      <c r="D9" s="145" t="s">
        <v>1553</v>
      </c>
      <c r="E9">
        <v>7</v>
      </c>
      <c r="F9" s="1013" t="s">
        <v>127</v>
      </c>
      <c r="G9" s="1014">
        <v>10000</v>
      </c>
      <c r="H9" s="1015">
        <v>0.3</v>
      </c>
      <c r="I9" s="1015">
        <v>0.35</v>
      </c>
      <c r="J9" s="1016">
        <f t="shared" si="0"/>
        <v>4550</v>
      </c>
      <c r="K9" s="509">
        <v>50</v>
      </c>
      <c r="L9" s="509">
        <f t="shared" si="1"/>
        <v>500000</v>
      </c>
      <c r="M9" s="509">
        <f t="shared" si="2"/>
        <v>350000</v>
      </c>
      <c r="N9" s="509">
        <f t="shared" si="3"/>
        <v>227500</v>
      </c>
      <c r="U9" s="145" t="s">
        <v>1553</v>
      </c>
      <c r="V9">
        <v>7</v>
      </c>
      <c r="W9" s="1013" t="s">
        <v>127</v>
      </c>
      <c r="X9" s="1014">
        <v>10000</v>
      </c>
      <c r="Y9" s="1015">
        <v>0.3</v>
      </c>
      <c r="Z9" s="1015">
        <v>0.35</v>
      </c>
      <c r="AA9" s="1016">
        <f t="shared" si="4"/>
        <v>4550</v>
      </c>
      <c r="AB9" s="509">
        <v>20</v>
      </c>
      <c r="AC9" s="509">
        <f t="shared" si="5"/>
        <v>200000</v>
      </c>
      <c r="AD9" s="509">
        <f t="shared" si="6"/>
        <v>140000</v>
      </c>
      <c r="AE9" s="509">
        <f t="shared" si="7"/>
        <v>91000</v>
      </c>
      <c r="AL9" s="145" t="s">
        <v>1553</v>
      </c>
      <c r="AM9">
        <v>7</v>
      </c>
      <c r="AN9" s="1013" t="s">
        <v>127</v>
      </c>
      <c r="AO9" s="1014">
        <v>10000</v>
      </c>
      <c r="AP9" s="1015">
        <v>0.3</v>
      </c>
      <c r="AQ9" s="1015">
        <v>0.35</v>
      </c>
      <c r="AR9" s="1016">
        <f t="shared" si="8"/>
        <v>4550</v>
      </c>
      <c r="AS9" s="509"/>
      <c r="AT9" s="509">
        <f t="shared" si="9"/>
        <v>0</v>
      </c>
      <c r="AU9" s="509">
        <f t="shared" si="10"/>
        <v>0</v>
      </c>
      <c r="AV9" s="509">
        <f t="shared" si="11"/>
        <v>0</v>
      </c>
    </row>
    <row r="10" spans="4:52" ht="18.95" customHeight="1">
      <c r="D10" s="145" t="s">
        <v>1553</v>
      </c>
      <c r="E10">
        <v>15</v>
      </c>
      <c r="F10" s="1013" t="s">
        <v>127</v>
      </c>
      <c r="G10" s="1014">
        <v>10000</v>
      </c>
      <c r="H10" s="1015">
        <v>0.3</v>
      </c>
      <c r="I10" s="1015">
        <v>0.35</v>
      </c>
      <c r="J10" s="1016">
        <f t="shared" si="0"/>
        <v>4550</v>
      </c>
      <c r="K10" s="509">
        <v>100</v>
      </c>
      <c r="L10" s="509">
        <f t="shared" si="1"/>
        <v>1000000</v>
      </c>
      <c r="M10" s="509">
        <f t="shared" si="2"/>
        <v>700000</v>
      </c>
      <c r="N10" s="509">
        <f t="shared" si="3"/>
        <v>455000</v>
      </c>
      <c r="U10" s="145" t="s">
        <v>1553</v>
      </c>
      <c r="V10">
        <v>15</v>
      </c>
      <c r="W10" s="1013" t="s">
        <v>127</v>
      </c>
      <c r="X10" s="1014">
        <v>10000</v>
      </c>
      <c r="Y10" s="1015">
        <v>0.3</v>
      </c>
      <c r="Z10" s="1015">
        <v>0.35</v>
      </c>
      <c r="AA10" s="1016">
        <f t="shared" si="4"/>
        <v>4550</v>
      </c>
      <c r="AB10" s="509">
        <v>10</v>
      </c>
      <c r="AC10" s="509">
        <f t="shared" si="5"/>
        <v>100000</v>
      </c>
      <c r="AD10" s="509">
        <f t="shared" si="6"/>
        <v>70000</v>
      </c>
      <c r="AE10" s="509">
        <f t="shared" si="7"/>
        <v>45500</v>
      </c>
      <c r="AL10" s="145" t="s">
        <v>1553</v>
      </c>
      <c r="AM10">
        <v>15</v>
      </c>
      <c r="AN10" s="1013" t="s">
        <v>127</v>
      </c>
      <c r="AO10" s="1014">
        <v>10000</v>
      </c>
      <c r="AP10" s="1015">
        <v>0.3</v>
      </c>
      <c r="AQ10" s="1015">
        <v>0.35</v>
      </c>
      <c r="AR10" s="1016">
        <f t="shared" si="8"/>
        <v>4550</v>
      </c>
      <c r="AS10" s="509"/>
      <c r="AT10" s="509">
        <f t="shared" si="9"/>
        <v>0</v>
      </c>
      <c r="AU10" s="509">
        <f t="shared" si="10"/>
        <v>0</v>
      </c>
      <c r="AV10" s="509">
        <f t="shared" si="11"/>
        <v>0</v>
      </c>
    </row>
    <row r="11" spans="4:52" ht="18.95" customHeight="1">
      <c r="D11" s="145" t="s">
        <v>1553</v>
      </c>
      <c r="E11">
        <v>25</v>
      </c>
      <c r="F11" s="1013" t="s">
        <v>127</v>
      </c>
      <c r="G11" s="1014">
        <v>10000</v>
      </c>
      <c r="H11" s="1015">
        <v>0.3</v>
      </c>
      <c r="I11" s="1015">
        <v>0.35</v>
      </c>
      <c r="J11" s="1016">
        <f t="shared" si="0"/>
        <v>4550</v>
      </c>
      <c r="K11" s="509">
        <v>100</v>
      </c>
      <c r="L11" s="509">
        <f t="shared" si="1"/>
        <v>1000000</v>
      </c>
      <c r="M11" s="509">
        <f t="shared" si="2"/>
        <v>700000</v>
      </c>
      <c r="N11" s="509">
        <f t="shared" si="3"/>
        <v>455000</v>
      </c>
      <c r="U11" s="145" t="s">
        <v>1553</v>
      </c>
      <c r="V11">
        <v>25</v>
      </c>
      <c r="W11" s="1013" t="s">
        <v>127</v>
      </c>
      <c r="X11" s="1014">
        <v>10000</v>
      </c>
      <c r="Y11" s="1015">
        <v>0.3</v>
      </c>
      <c r="Z11" s="1015">
        <v>0.35</v>
      </c>
      <c r="AA11" s="1016">
        <f t="shared" si="4"/>
        <v>4550</v>
      </c>
      <c r="AB11" s="509">
        <v>10</v>
      </c>
      <c r="AC11" s="509">
        <f t="shared" si="5"/>
        <v>100000</v>
      </c>
      <c r="AD11" s="509">
        <f t="shared" si="6"/>
        <v>70000</v>
      </c>
      <c r="AE11" s="509">
        <f t="shared" si="7"/>
        <v>45500</v>
      </c>
      <c r="AL11" s="145" t="s">
        <v>1553</v>
      </c>
      <c r="AM11">
        <v>25</v>
      </c>
      <c r="AN11" s="1013" t="s">
        <v>127</v>
      </c>
      <c r="AO11" s="1014">
        <v>10000</v>
      </c>
      <c r="AP11" s="1015">
        <v>0.3</v>
      </c>
      <c r="AQ11" s="1015">
        <v>0.35</v>
      </c>
      <c r="AR11" s="1016">
        <f t="shared" si="8"/>
        <v>4550</v>
      </c>
      <c r="AS11" s="509"/>
      <c r="AT11" s="509">
        <f t="shared" si="9"/>
        <v>0</v>
      </c>
      <c r="AU11" s="509">
        <f t="shared" si="10"/>
        <v>0</v>
      </c>
      <c r="AV11" s="509">
        <f t="shared" si="11"/>
        <v>0</v>
      </c>
    </row>
    <row r="12" spans="4:52" ht="18.95" customHeight="1">
      <c r="D12" s="145" t="s">
        <v>1553</v>
      </c>
      <c r="E12">
        <v>27</v>
      </c>
      <c r="F12" s="1013" t="s">
        <v>127</v>
      </c>
      <c r="G12" s="1014">
        <v>10000</v>
      </c>
      <c r="H12" s="1015">
        <v>0.3</v>
      </c>
      <c r="I12" s="1015">
        <v>0.35</v>
      </c>
      <c r="J12" s="1016">
        <f t="shared" si="0"/>
        <v>4550</v>
      </c>
      <c r="K12" s="509">
        <v>70</v>
      </c>
      <c r="L12" s="509">
        <f t="shared" si="1"/>
        <v>700000</v>
      </c>
      <c r="M12" s="509">
        <f t="shared" si="2"/>
        <v>490000</v>
      </c>
      <c r="N12" s="509">
        <f t="shared" si="3"/>
        <v>318500</v>
      </c>
      <c r="U12" s="145" t="s">
        <v>1553</v>
      </c>
      <c r="V12">
        <v>27</v>
      </c>
      <c r="W12" s="1013" t="s">
        <v>127</v>
      </c>
      <c r="X12" s="1014">
        <v>10000</v>
      </c>
      <c r="Y12" s="1015">
        <v>0.3</v>
      </c>
      <c r="Z12" s="1015">
        <v>0.35</v>
      </c>
      <c r="AA12" s="1016">
        <f t="shared" si="4"/>
        <v>4550</v>
      </c>
      <c r="AB12" s="509">
        <v>10</v>
      </c>
      <c r="AC12" s="509">
        <f t="shared" si="5"/>
        <v>100000</v>
      </c>
      <c r="AD12" s="509">
        <f t="shared" si="6"/>
        <v>70000</v>
      </c>
      <c r="AE12" s="509">
        <f t="shared" si="7"/>
        <v>45500</v>
      </c>
      <c r="AL12" s="145" t="s">
        <v>1553</v>
      </c>
      <c r="AM12">
        <v>27</v>
      </c>
      <c r="AN12" s="1013" t="s">
        <v>127</v>
      </c>
      <c r="AO12" s="1014">
        <v>10000</v>
      </c>
      <c r="AP12" s="1015">
        <v>0.3</v>
      </c>
      <c r="AQ12" s="1015">
        <v>0.35</v>
      </c>
      <c r="AR12" s="1016">
        <f t="shared" si="8"/>
        <v>4550</v>
      </c>
      <c r="AS12" s="509"/>
      <c r="AT12" s="509">
        <f t="shared" si="9"/>
        <v>0</v>
      </c>
      <c r="AU12" s="509">
        <f t="shared" si="10"/>
        <v>0</v>
      </c>
      <c r="AV12" s="509">
        <f t="shared" si="11"/>
        <v>0</v>
      </c>
    </row>
    <row r="13" spans="4:52" ht="18.95" customHeight="1">
      <c r="D13" s="145" t="s">
        <v>1553</v>
      </c>
      <c r="E13">
        <v>30</v>
      </c>
      <c r="F13" s="1013" t="s">
        <v>127</v>
      </c>
      <c r="G13" s="1014">
        <v>10000</v>
      </c>
      <c r="H13" s="1015">
        <v>0.3</v>
      </c>
      <c r="I13" s="1015">
        <v>0.35</v>
      </c>
      <c r="J13" s="1016">
        <f t="shared" si="0"/>
        <v>4550</v>
      </c>
      <c r="K13" s="509">
        <v>80</v>
      </c>
      <c r="L13" s="509">
        <f t="shared" si="1"/>
        <v>800000</v>
      </c>
      <c r="M13" s="509">
        <f t="shared" si="2"/>
        <v>560000</v>
      </c>
      <c r="N13" s="509">
        <f t="shared" si="3"/>
        <v>364000</v>
      </c>
      <c r="U13" s="145" t="s">
        <v>1553</v>
      </c>
      <c r="V13">
        <v>30</v>
      </c>
      <c r="W13" s="1013" t="s">
        <v>127</v>
      </c>
      <c r="X13" s="1014">
        <v>10000</v>
      </c>
      <c r="Y13" s="1015">
        <v>0.3</v>
      </c>
      <c r="Z13" s="1015">
        <v>0.35</v>
      </c>
      <c r="AA13" s="1016">
        <f t="shared" si="4"/>
        <v>4550</v>
      </c>
      <c r="AB13" s="509">
        <v>5</v>
      </c>
      <c r="AC13" s="509">
        <f t="shared" si="5"/>
        <v>50000</v>
      </c>
      <c r="AD13" s="509">
        <f t="shared" si="6"/>
        <v>35000</v>
      </c>
      <c r="AE13" s="509">
        <f t="shared" si="7"/>
        <v>22750</v>
      </c>
      <c r="AL13" s="145" t="s">
        <v>1553</v>
      </c>
      <c r="AM13">
        <v>30</v>
      </c>
      <c r="AN13" s="1013" t="s">
        <v>127</v>
      </c>
      <c r="AO13" s="1014">
        <v>10000</v>
      </c>
      <c r="AP13" s="1015">
        <v>0.3</v>
      </c>
      <c r="AQ13" s="1015">
        <v>0.35</v>
      </c>
      <c r="AR13" s="1016">
        <f t="shared" si="8"/>
        <v>4550</v>
      </c>
      <c r="AS13" s="509"/>
      <c r="AT13" s="509">
        <f t="shared" si="9"/>
        <v>0</v>
      </c>
      <c r="AU13" s="509">
        <f t="shared" si="10"/>
        <v>0</v>
      </c>
      <c r="AV13" s="509">
        <f t="shared" si="11"/>
        <v>0</v>
      </c>
    </row>
    <row r="16" spans="4:52" ht="18.95" customHeight="1">
      <c r="J16" s="355" t="s">
        <v>1561</v>
      </c>
      <c r="K16" s="81">
        <f>SUM(K7:K14)</f>
        <v>550</v>
      </c>
      <c r="L16" s="81">
        <f>SUM(L7:L14)</f>
        <v>5500000</v>
      </c>
      <c r="M16" s="81">
        <f>SUM(M7:M14)</f>
        <v>3850000</v>
      </c>
      <c r="N16" s="81">
        <f>SUM(N7:N14)</f>
        <v>2502500</v>
      </c>
      <c r="AA16" s="355" t="s">
        <v>1561</v>
      </c>
      <c r="AB16" s="81">
        <f>SUM(AB7:AB14)</f>
        <v>70</v>
      </c>
      <c r="AC16" s="81">
        <f>SUM(AC7:AC14)</f>
        <v>700000</v>
      </c>
      <c r="AD16" s="81">
        <f>SUM(AD7:AD14)</f>
        <v>490000</v>
      </c>
      <c r="AE16" s="81">
        <f>SUM(AE7:AE14)</f>
        <v>318500</v>
      </c>
      <c r="AR16" s="355" t="s">
        <v>1561</v>
      </c>
      <c r="AS16" s="81">
        <f>SUM(AS7:AS14)</f>
        <v>0</v>
      </c>
      <c r="AT16" s="81">
        <f>SUM(AT7:AT14)</f>
        <v>0</v>
      </c>
      <c r="AU16" s="81">
        <f>SUM(AU7:AU14)</f>
        <v>0</v>
      </c>
      <c r="AV16" s="81">
        <f>SUM(AV7:AV14)</f>
        <v>0</v>
      </c>
    </row>
    <row r="17" spans="4:52" ht="4.5" customHeight="1">
      <c r="J17" s="355"/>
      <c r="K17" s="81"/>
      <c r="L17" s="81"/>
      <c r="M17" s="81"/>
      <c r="N17" s="81"/>
      <c r="AA17" s="355"/>
      <c r="AB17" s="81"/>
      <c r="AC17" s="81"/>
      <c r="AD17" s="81"/>
      <c r="AE17" s="81"/>
      <c r="AR17" s="355"/>
      <c r="AS17" s="81"/>
      <c r="AT17" s="81"/>
      <c r="AU17" s="81"/>
      <c r="AV17" s="81"/>
    </row>
    <row r="18" spans="4:52" ht="18.95" customHeight="1">
      <c r="J18" s="355" t="s">
        <v>1598</v>
      </c>
      <c r="N18" s="1028"/>
      <c r="AA18" s="355" t="s">
        <v>1598</v>
      </c>
      <c r="AB18">
        <f>K21</f>
        <v>150</v>
      </c>
      <c r="AC18">
        <f>L21</f>
        <v>1500000</v>
      </c>
      <c r="AD18">
        <f>M21</f>
        <v>1050000</v>
      </c>
      <c r="AE18" s="1028">
        <f>N21</f>
        <v>682500</v>
      </c>
      <c r="AR18" s="355" t="s">
        <v>1598</v>
      </c>
      <c r="AS18">
        <f>AB21</f>
        <v>15</v>
      </c>
      <c r="AT18">
        <f>AC21</f>
        <v>150000</v>
      </c>
      <c r="AU18">
        <f>AD21</f>
        <v>105000</v>
      </c>
      <c r="AV18" s="1028">
        <f>AE21</f>
        <v>68250</v>
      </c>
    </row>
    <row r="19" spans="4:52" ht="18.95" customHeight="1">
      <c r="J19" s="355" t="s">
        <v>1562</v>
      </c>
      <c r="K19" s="81">
        <f>SUM(K7:K11)</f>
        <v>400</v>
      </c>
      <c r="L19" s="81">
        <f t="shared" ref="L19:N19" si="12">SUM(L7:L11)</f>
        <v>4000000</v>
      </c>
      <c r="M19" s="81">
        <f t="shared" si="12"/>
        <v>2800000</v>
      </c>
      <c r="N19" s="1084">
        <f t="shared" si="12"/>
        <v>1820000</v>
      </c>
      <c r="AA19" s="355" t="s">
        <v>1562</v>
      </c>
      <c r="AB19" s="81">
        <f>SUM(AB7:AB11)</f>
        <v>55</v>
      </c>
      <c r="AC19" s="81">
        <f t="shared" ref="AC19:AE19" si="13">SUM(AC7:AC11)</f>
        <v>550000</v>
      </c>
      <c r="AD19" s="81">
        <f t="shared" si="13"/>
        <v>385000</v>
      </c>
      <c r="AE19" s="1084">
        <f t="shared" si="13"/>
        <v>250250</v>
      </c>
      <c r="AR19" s="355" t="s">
        <v>1562</v>
      </c>
      <c r="AS19" s="81">
        <f>SUM(AS7:AS11)</f>
        <v>0</v>
      </c>
      <c r="AT19" s="81">
        <f t="shared" ref="AT19:AV19" si="14">SUM(AT7:AT11)</f>
        <v>0</v>
      </c>
      <c r="AU19" s="81">
        <f t="shared" si="14"/>
        <v>0</v>
      </c>
      <c r="AV19" s="1084">
        <f t="shared" si="14"/>
        <v>0</v>
      </c>
    </row>
    <row r="20" spans="4:52" ht="18.95" customHeight="1">
      <c r="J20" s="355" t="s">
        <v>1599</v>
      </c>
      <c r="K20" s="1029">
        <f>K18+K19</f>
        <v>400</v>
      </c>
      <c r="L20" s="1029">
        <f t="shared" ref="L20:N20" si="15">L18+L19</f>
        <v>4000000</v>
      </c>
      <c r="M20" s="1029">
        <f t="shared" si="15"/>
        <v>2800000</v>
      </c>
      <c r="N20" s="1029">
        <f t="shared" si="15"/>
        <v>1820000</v>
      </c>
      <c r="AA20" s="355" t="s">
        <v>1599</v>
      </c>
      <c r="AB20" s="1029">
        <f>AB18+AB19</f>
        <v>205</v>
      </c>
      <c r="AC20" s="1029">
        <f t="shared" ref="AC20:AE20" si="16">AC18+AC19</f>
        <v>2050000</v>
      </c>
      <c r="AD20" s="1029">
        <f t="shared" si="16"/>
        <v>1435000</v>
      </c>
      <c r="AE20" s="1029">
        <f t="shared" si="16"/>
        <v>932750</v>
      </c>
      <c r="AR20" s="355" t="s">
        <v>1599</v>
      </c>
      <c r="AS20" s="1029">
        <f>AS18+AS19</f>
        <v>15</v>
      </c>
      <c r="AT20" s="1029">
        <f t="shared" ref="AT20:AV20" si="17">AT18+AT19</f>
        <v>150000</v>
      </c>
      <c r="AU20" s="1029">
        <f t="shared" si="17"/>
        <v>105000</v>
      </c>
      <c r="AV20" s="1029">
        <f t="shared" si="17"/>
        <v>68250</v>
      </c>
    </row>
    <row r="21" spans="4:52" ht="18.95" customHeight="1">
      <c r="J21" s="355" t="s">
        <v>1563</v>
      </c>
      <c r="K21" s="81">
        <f>K16-K19</f>
        <v>150</v>
      </c>
      <c r="L21" s="81">
        <f>L16-L19</f>
        <v>1500000</v>
      </c>
      <c r="M21" s="81">
        <f>M16-M19</f>
        <v>1050000</v>
      </c>
      <c r="N21" s="81">
        <f>N16-N19</f>
        <v>682500</v>
      </c>
      <c r="AA21" s="355" t="s">
        <v>1563</v>
      </c>
      <c r="AB21" s="81">
        <f t="shared" ref="AB21:AE21" si="18">AB16-AB19</f>
        <v>15</v>
      </c>
      <c r="AC21" s="81">
        <f t="shared" si="18"/>
        <v>150000</v>
      </c>
      <c r="AD21" s="81">
        <f t="shared" si="18"/>
        <v>105000</v>
      </c>
      <c r="AE21" s="81">
        <f t="shared" si="18"/>
        <v>68250</v>
      </c>
      <c r="AR21" s="355" t="s">
        <v>1563</v>
      </c>
      <c r="AS21" s="81">
        <f t="shared" ref="AS21:AV21" si="19">AS16-AS19</f>
        <v>0</v>
      </c>
      <c r="AT21" s="81">
        <f t="shared" si="19"/>
        <v>0</v>
      </c>
      <c r="AU21" s="81">
        <f t="shared" si="19"/>
        <v>0</v>
      </c>
      <c r="AV21" s="81">
        <f t="shared" si="19"/>
        <v>0</v>
      </c>
    </row>
    <row r="24" spans="4:52" ht="18.95" customHeight="1">
      <c r="J24" s="796" t="s">
        <v>1608</v>
      </c>
    </row>
    <row r="25" spans="4:52" ht="18.95" customHeight="1">
      <c r="D25" s="1024" t="s">
        <v>1595</v>
      </c>
      <c r="J25" s="796" t="s">
        <v>1600</v>
      </c>
      <c r="U25" s="1024" t="s">
        <v>1595</v>
      </c>
      <c r="AA25" s="796"/>
      <c r="AL25" s="1024" t="s">
        <v>1595</v>
      </c>
      <c r="AR25" s="796"/>
    </row>
    <row r="26" spans="4:52" ht="18.95" customHeight="1" thickBot="1"/>
    <row r="27" spans="4:52" ht="18.95" customHeight="1">
      <c r="D27" s="1031"/>
      <c r="E27" s="1031"/>
      <c r="F27" s="1036" t="s">
        <v>1566</v>
      </c>
      <c r="G27" s="1032"/>
      <c r="H27" s="1032"/>
      <c r="I27" s="1032"/>
      <c r="J27" s="1032"/>
      <c r="K27" s="1032"/>
      <c r="L27" s="1032"/>
      <c r="M27" s="1032"/>
      <c r="O27" s="1032" t="s">
        <v>1586</v>
      </c>
      <c r="P27" s="1032"/>
      <c r="Q27" s="1032"/>
      <c r="R27" s="1032"/>
      <c r="U27" s="1031"/>
      <c r="V27" s="1031"/>
      <c r="W27" s="1036" t="s">
        <v>1566</v>
      </c>
      <c r="X27" s="1032"/>
      <c r="Y27" s="1032"/>
      <c r="Z27" s="1032"/>
      <c r="AA27" s="1032"/>
      <c r="AB27" s="1032"/>
      <c r="AC27" s="1032"/>
      <c r="AD27" s="1032"/>
      <c r="AF27" s="1032" t="s">
        <v>1586</v>
      </c>
      <c r="AG27" s="1032"/>
      <c r="AH27" s="1032"/>
      <c r="AI27" s="1032"/>
      <c r="AL27" s="1031"/>
      <c r="AM27" s="1031"/>
      <c r="AN27" s="1036" t="s">
        <v>1566</v>
      </c>
      <c r="AO27" s="1032"/>
      <c r="AP27" s="1032"/>
      <c r="AQ27" s="1032"/>
      <c r="AR27" s="1032"/>
      <c r="AS27" s="1032"/>
      <c r="AT27" s="1032"/>
      <c r="AU27" s="1032"/>
      <c r="AW27" s="1032" t="s">
        <v>1586</v>
      </c>
      <c r="AX27" s="1032"/>
      <c r="AY27" s="1032"/>
      <c r="AZ27" s="1032"/>
    </row>
    <row r="28" spans="4:52" ht="18.95" customHeight="1">
      <c r="D28" s="1033" t="s">
        <v>1578</v>
      </c>
      <c r="E28" s="736"/>
      <c r="F28" s="1205" t="s">
        <v>285</v>
      </c>
      <c r="G28" s="1207" t="s">
        <v>284</v>
      </c>
      <c r="H28" s="1207" t="s">
        <v>276</v>
      </c>
      <c r="I28" s="1046" t="s">
        <v>1602</v>
      </c>
      <c r="J28" s="1047"/>
      <c r="K28" s="1211" t="s">
        <v>282</v>
      </c>
      <c r="L28" s="1040"/>
      <c r="M28" s="1040"/>
      <c r="N28" s="355"/>
      <c r="O28" s="1209" t="s">
        <v>1589</v>
      </c>
      <c r="P28" s="1209" t="s">
        <v>1590</v>
      </c>
      <c r="Q28" s="1215" t="s">
        <v>1587</v>
      </c>
      <c r="R28" s="1213" t="s">
        <v>1588</v>
      </c>
      <c r="U28" s="1033" t="s">
        <v>1578</v>
      </c>
      <c r="V28" s="736"/>
      <c r="W28" s="1205" t="s">
        <v>285</v>
      </c>
      <c r="X28" s="1207" t="s">
        <v>284</v>
      </c>
      <c r="Y28" s="1207" t="s">
        <v>276</v>
      </c>
      <c r="Z28" s="1046" t="s">
        <v>1602</v>
      </c>
      <c r="AA28" s="1047"/>
      <c r="AB28" s="1211" t="s">
        <v>282</v>
      </c>
      <c r="AC28" s="1040"/>
      <c r="AD28" s="1040"/>
      <c r="AE28" s="355"/>
      <c r="AF28" s="1209" t="s">
        <v>1589</v>
      </c>
      <c r="AG28" s="1209" t="s">
        <v>1590</v>
      </c>
      <c r="AH28" s="1215" t="s">
        <v>1587</v>
      </c>
      <c r="AI28" s="1213" t="s">
        <v>1588</v>
      </c>
      <c r="AL28" s="1033" t="s">
        <v>1578</v>
      </c>
      <c r="AM28" s="736"/>
      <c r="AN28" s="1205" t="s">
        <v>285</v>
      </c>
      <c r="AO28" s="1207" t="s">
        <v>284</v>
      </c>
      <c r="AP28" s="1207" t="s">
        <v>276</v>
      </c>
      <c r="AQ28" s="1046" t="s">
        <v>1602</v>
      </c>
      <c r="AR28" s="1047"/>
      <c r="AS28" s="1211" t="s">
        <v>282</v>
      </c>
      <c r="AT28" s="1040"/>
      <c r="AU28" s="1040"/>
      <c r="AV28" s="355"/>
      <c r="AW28" s="1209" t="s">
        <v>1589</v>
      </c>
      <c r="AX28" s="1209" t="s">
        <v>1590</v>
      </c>
      <c r="AY28" s="1215" t="s">
        <v>1587</v>
      </c>
      <c r="AZ28" s="1213" t="s">
        <v>1588</v>
      </c>
    </row>
    <row r="29" spans="4:52" ht="18.95" customHeight="1" thickBot="1">
      <c r="D29" s="1034"/>
      <c r="E29" s="1034"/>
      <c r="F29" s="1206"/>
      <c r="G29" s="1208"/>
      <c r="H29" s="1208"/>
      <c r="I29" s="1065" t="s">
        <v>1574</v>
      </c>
      <c r="J29" s="1065" t="s">
        <v>1575</v>
      </c>
      <c r="K29" s="1212"/>
      <c r="L29" s="1063" t="s">
        <v>281</v>
      </c>
      <c r="M29" s="1064" t="s">
        <v>283</v>
      </c>
      <c r="N29" s="355"/>
      <c r="O29" s="1210"/>
      <c r="P29" s="1210"/>
      <c r="Q29" s="1216"/>
      <c r="R29" s="1214"/>
      <c r="U29" s="1034"/>
      <c r="V29" s="1034"/>
      <c r="W29" s="1206"/>
      <c r="X29" s="1208"/>
      <c r="Y29" s="1208"/>
      <c r="Z29" s="1065" t="s">
        <v>1574</v>
      </c>
      <c r="AA29" s="1065" t="s">
        <v>1575</v>
      </c>
      <c r="AB29" s="1212"/>
      <c r="AC29" s="1063" t="s">
        <v>281</v>
      </c>
      <c r="AD29" s="1064" t="s">
        <v>283</v>
      </c>
      <c r="AE29" s="355"/>
      <c r="AF29" s="1210"/>
      <c r="AG29" s="1210"/>
      <c r="AH29" s="1216"/>
      <c r="AI29" s="1214"/>
      <c r="AL29" s="1034"/>
      <c r="AM29" s="1034"/>
      <c r="AN29" s="1206"/>
      <c r="AO29" s="1208"/>
      <c r="AP29" s="1208"/>
      <c r="AQ29" s="1065" t="s">
        <v>1574</v>
      </c>
      <c r="AR29" s="1065" t="s">
        <v>1575</v>
      </c>
      <c r="AS29" s="1212"/>
      <c r="AT29" s="1063" t="s">
        <v>281</v>
      </c>
      <c r="AU29" s="1064" t="s">
        <v>283</v>
      </c>
      <c r="AV29" s="355"/>
      <c r="AW29" s="1210"/>
      <c r="AX29" s="1210"/>
      <c r="AY29" s="1216"/>
      <c r="AZ29" s="1214"/>
    </row>
    <row r="30" spans="4:52" ht="18.95" customHeight="1">
      <c r="D30" s="1030" t="s">
        <v>1558</v>
      </c>
      <c r="E30" s="540"/>
      <c r="F30" s="1037"/>
      <c r="G30" s="1044">
        <f>K20</f>
        <v>400</v>
      </c>
      <c r="H30" s="1088">
        <v>200</v>
      </c>
      <c r="I30" s="1083"/>
      <c r="J30" s="1083"/>
      <c r="K30" s="1041">
        <f>F30+G30-H30</f>
        <v>200</v>
      </c>
      <c r="L30" s="1048"/>
      <c r="M30" s="1041"/>
      <c r="O30" s="1051"/>
      <c r="P30" s="1051"/>
      <c r="Q30" s="1052"/>
      <c r="R30" s="1050"/>
      <c r="U30" s="1030" t="s">
        <v>1558</v>
      </c>
      <c r="V30" s="540"/>
      <c r="W30" s="1037">
        <f>K30</f>
        <v>200</v>
      </c>
      <c r="X30" s="1044">
        <f>AB20</f>
        <v>205</v>
      </c>
      <c r="Y30" s="1088">
        <v>300</v>
      </c>
      <c r="Z30" s="1083"/>
      <c r="AA30" s="1083"/>
      <c r="AB30" s="1041">
        <f>W30+X30-Y30</f>
        <v>105</v>
      </c>
      <c r="AC30" s="1048"/>
      <c r="AD30" s="1041"/>
      <c r="AF30" s="1051"/>
      <c r="AG30" s="1051"/>
      <c r="AH30" s="1052"/>
      <c r="AI30" s="1050"/>
      <c r="AL30" s="1030" t="s">
        <v>1558</v>
      </c>
      <c r="AM30" s="540"/>
      <c r="AN30" s="1037">
        <f>AB30</f>
        <v>105</v>
      </c>
      <c r="AO30" s="1044">
        <f>AS20</f>
        <v>15</v>
      </c>
      <c r="AP30" s="1088"/>
      <c r="AQ30" s="1083"/>
      <c r="AR30" s="1083"/>
      <c r="AS30" s="1041">
        <f>AN30+AO30-AP30</f>
        <v>120</v>
      </c>
      <c r="AT30" s="1048"/>
      <c r="AU30" s="1041"/>
      <c r="AW30" s="1051"/>
      <c r="AX30" s="1051"/>
      <c r="AY30" s="1052"/>
      <c r="AZ30" s="1050"/>
    </row>
    <row r="31" spans="4:52" ht="18.95" customHeight="1">
      <c r="D31" s="1030" t="s">
        <v>1554</v>
      </c>
      <c r="E31" s="540"/>
      <c r="F31" s="1037"/>
      <c r="G31" s="1044">
        <f>L20</f>
        <v>4000000</v>
      </c>
      <c r="H31" s="1043">
        <f>IF(G30=0,0,(G31/G30)*H30)</f>
        <v>2000000</v>
      </c>
      <c r="I31" s="1083"/>
      <c r="J31" s="1083"/>
      <c r="K31" s="1041">
        <f>IF(H30=0,F31+G31,(H31/H30)*K30)</f>
        <v>2000000</v>
      </c>
      <c r="L31" s="1048"/>
      <c r="M31" s="1041"/>
      <c r="O31" s="1051"/>
      <c r="P31" s="1051"/>
      <c r="Q31" s="1052"/>
      <c r="R31" s="1050"/>
      <c r="U31" s="1030" t="s">
        <v>1554</v>
      </c>
      <c r="V31" s="540"/>
      <c r="W31" s="1037">
        <f t="shared" ref="W31:W35" si="20">K31</f>
        <v>2000000</v>
      </c>
      <c r="X31" s="1044">
        <f>AC20</f>
        <v>2050000</v>
      </c>
      <c r="Y31" s="1043">
        <f>IF(X30=0,0,(X31/X30)*Y30)</f>
        <v>3000000</v>
      </c>
      <c r="Z31" s="1083"/>
      <c r="AA31" s="1083"/>
      <c r="AB31" s="1041">
        <f>IF(Y30=0,W31+X31,(Y31/Y30)*AB30)</f>
        <v>1050000</v>
      </c>
      <c r="AC31" s="1048"/>
      <c r="AD31" s="1041"/>
      <c r="AF31" s="1051"/>
      <c r="AG31" s="1051"/>
      <c r="AH31" s="1052"/>
      <c r="AI31" s="1050"/>
      <c r="AL31" s="1030" t="s">
        <v>1554</v>
      </c>
      <c r="AM31" s="540"/>
      <c r="AN31" s="1037">
        <f t="shared" ref="AN31:AN35" si="21">AB31</f>
        <v>1050000</v>
      </c>
      <c r="AO31" s="1044">
        <f>AT20</f>
        <v>150000</v>
      </c>
      <c r="AP31" s="1043">
        <f>IF(AO30=0,0,(AO31/AO30)*AP30)</f>
        <v>0</v>
      </c>
      <c r="AQ31" s="1083"/>
      <c r="AR31" s="1083"/>
      <c r="AS31" s="1041">
        <f>IF(AP30=0,AN31+AO31,(AP31/AP30)*AS30)</f>
        <v>1200000</v>
      </c>
      <c r="AT31" s="1048"/>
      <c r="AU31" s="1041"/>
      <c r="AW31" s="1051"/>
      <c r="AX31" s="1051"/>
      <c r="AY31" s="1052"/>
      <c r="AZ31" s="1050"/>
    </row>
    <row r="32" spans="4:52" ht="18.95" customHeight="1">
      <c r="D32" s="1030" t="s">
        <v>1555</v>
      </c>
      <c r="E32" s="540"/>
      <c r="F32" s="1038"/>
      <c r="G32" s="1045">
        <f>1-(G33/G31)</f>
        <v>0.30000000000000004</v>
      </c>
      <c r="H32" s="1089">
        <v>0.35</v>
      </c>
      <c r="I32" s="1052"/>
      <c r="J32" s="1052"/>
      <c r="K32" s="1042">
        <f>IF(H30=0,1-((F33+G33)/(F31+G31)),H32)</f>
        <v>0.35</v>
      </c>
      <c r="L32" s="1050"/>
      <c r="O32" s="1051"/>
      <c r="P32" s="1051"/>
      <c r="Q32" s="1052"/>
      <c r="R32" s="1050"/>
      <c r="U32" s="1030" t="s">
        <v>1555</v>
      </c>
      <c r="V32" s="540"/>
      <c r="W32" s="1087">
        <f t="shared" si="20"/>
        <v>0.35</v>
      </c>
      <c r="X32" s="1045">
        <f>1-(X33/X31)</f>
        <v>0.30000000000000004</v>
      </c>
      <c r="Y32" s="1089">
        <v>0.5</v>
      </c>
      <c r="Z32" s="1052"/>
      <c r="AA32" s="1052"/>
      <c r="AB32" s="1042">
        <f>IF(Y30=0,1-((W33+X33)/(W31+X31)),Y32)</f>
        <v>0.5</v>
      </c>
      <c r="AC32" s="1050"/>
      <c r="AF32" s="1051"/>
      <c r="AG32" s="1051"/>
      <c r="AH32" s="1052"/>
      <c r="AI32" s="1050"/>
      <c r="AL32" s="1030" t="s">
        <v>1555</v>
      </c>
      <c r="AM32" s="540"/>
      <c r="AN32" s="1087">
        <f t="shared" si="21"/>
        <v>0.5</v>
      </c>
      <c r="AO32" s="1045">
        <f>1-(AO33/AO31)</f>
        <v>0.30000000000000004</v>
      </c>
      <c r="AP32" s="1089"/>
      <c r="AQ32" s="1052"/>
      <c r="AR32" s="1052"/>
      <c r="AS32" s="1042">
        <f>IF(AP30=0,1-((AN33+AO33)/(AN31+AO31)),AP32)</f>
        <v>0.47499999999999998</v>
      </c>
      <c r="AT32" s="1050"/>
      <c r="AW32" s="1051"/>
      <c r="AX32" s="1051"/>
      <c r="AY32" s="1052"/>
      <c r="AZ32" s="1050"/>
    </row>
    <row r="33" spans="4:54" ht="18.95" customHeight="1">
      <c r="D33" s="1030" t="s">
        <v>1559</v>
      </c>
      <c r="E33" s="540"/>
      <c r="F33" s="1037"/>
      <c r="G33" s="1044">
        <f>M20</f>
        <v>2800000</v>
      </c>
      <c r="H33" s="1043">
        <f>H31*(1-H32)</f>
        <v>1300000</v>
      </c>
      <c r="I33" s="1083"/>
      <c r="J33" s="1083"/>
      <c r="K33" s="1041">
        <f>K31*(1-K32)</f>
        <v>1300000</v>
      </c>
      <c r="L33" s="1048"/>
      <c r="M33" s="1041"/>
      <c r="O33" s="1051"/>
      <c r="P33" s="1051"/>
      <c r="Q33" s="1052"/>
      <c r="R33" s="1050"/>
      <c r="U33" s="1030" t="s">
        <v>1559</v>
      </c>
      <c r="V33" s="540"/>
      <c r="W33" s="1037">
        <f t="shared" si="20"/>
        <v>1300000</v>
      </c>
      <c r="X33" s="1044">
        <f>AD20</f>
        <v>1435000</v>
      </c>
      <c r="Y33" s="1043">
        <f>Y31*(1-Y32)</f>
        <v>1500000</v>
      </c>
      <c r="Z33" s="1083"/>
      <c r="AA33" s="1083"/>
      <c r="AB33" s="1041">
        <f>AB31*(1-AB32)</f>
        <v>525000</v>
      </c>
      <c r="AC33" s="1048"/>
      <c r="AD33" s="1041"/>
      <c r="AF33" s="1051"/>
      <c r="AG33" s="1051"/>
      <c r="AH33" s="1052"/>
      <c r="AI33" s="1050"/>
      <c r="AL33" s="1030" t="s">
        <v>1559</v>
      </c>
      <c r="AM33" s="540"/>
      <c r="AN33" s="1037">
        <f t="shared" si="21"/>
        <v>525000</v>
      </c>
      <c r="AO33" s="1044">
        <f>AU20</f>
        <v>105000</v>
      </c>
      <c r="AP33" s="1043">
        <f>AP31*(1-AP32)</f>
        <v>0</v>
      </c>
      <c r="AQ33" s="1083"/>
      <c r="AR33" s="1083"/>
      <c r="AS33" s="1041">
        <f>AS31*(1-AS32)</f>
        <v>630000</v>
      </c>
      <c r="AT33" s="1048"/>
      <c r="AU33" s="1041"/>
      <c r="AW33" s="1051"/>
      <c r="AX33" s="1051"/>
      <c r="AY33" s="1052"/>
      <c r="AZ33" s="1050"/>
    </row>
    <row r="34" spans="4:54" ht="18.95" customHeight="1">
      <c r="D34" s="1030" t="s">
        <v>1556</v>
      </c>
      <c r="E34" s="540"/>
      <c r="F34" s="1038"/>
      <c r="G34" s="1045">
        <f>IF(G33=0,0,1-(G35/G33))</f>
        <v>0.35</v>
      </c>
      <c r="H34" s="1089">
        <v>0.32</v>
      </c>
      <c r="I34" s="1052"/>
      <c r="J34" s="1052"/>
      <c r="K34" s="1042">
        <f>IF(H30=0,1-((F35+G35)/(F33+G33)),H34)</f>
        <v>0.32</v>
      </c>
      <c r="L34" s="1050"/>
      <c r="O34" s="1051"/>
      <c r="P34" s="1051"/>
      <c r="Q34" s="1052"/>
      <c r="R34" s="1050"/>
      <c r="U34" s="1030" t="s">
        <v>1556</v>
      </c>
      <c r="V34" s="540"/>
      <c r="W34" s="1087">
        <f t="shared" si="20"/>
        <v>0.32</v>
      </c>
      <c r="X34" s="1045">
        <f>IF(X33=0,0,1-(X35/X33))</f>
        <v>0.35</v>
      </c>
      <c r="Y34" s="1089">
        <v>0.32</v>
      </c>
      <c r="Z34" s="1052"/>
      <c r="AA34" s="1052"/>
      <c r="AB34" s="1042">
        <f>IF(Y30=0,1-((W35+X35)/(W33+X33)),Y34)</f>
        <v>0.32</v>
      </c>
      <c r="AC34" s="1050"/>
      <c r="AF34" s="1051"/>
      <c r="AG34" s="1051"/>
      <c r="AH34" s="1052"/>
      <c r="AI34" s="1050"/>
      <c r="AL34" s="1030" t="s">
        <v>1556</v>
      </c>
      <c r="AM34" s="540"/>
      <c r="AN34" s="1087">
        <f t="shared" si="21"/>
        <v>0.32</v>
      </c>
      <c r="AO34" s="1045">
        <f>IF(AO33=0,0,1-(AO35/AO33))</f>
        <v>0.35</v>
      </c>
      <c r="AP34" s="1089"/>
      <c r="AQ34" s="1052"/>
      <c r="AR34" s="1052"/>
      <c r="AS34" s="1042">
        <f>IF(AP30=0,1-((AN35+AO35)/(AN33+AO33)),AP34)</f>
        <v>0.32500000000000007</v>
      </c>
      <c r="AT34" s="1050"/>
      <c r="AW34" s="1051"/>
      <c r="AX34" s="1051"/>
      <c r="AY34" s="1052"/>
      <c r="AZ34" s="1050"/>
    </row>
    <row r="35" spans="4:54" ht="18.95" customHeight="1">
      <c r="D35" s="1030" t="s">
        <v>1557</v>
      </c>
      <c r="E35" s="540"/>
      <c r="F35" s="1037"/>
      <c r="G35" s="1044">
        <f>N20</f>
        <v>1820000</v>
      </c>
      <c r="H35" s="1079">
        <f>H33*(1-H34)</f>
        <v>883999.99999999988</v>
      </c>
      <c r="I35" s="1111">
        <f>(((F35+G35)/(F31+G31))*H31)-H35</f>
        <v>26000.000000000116</v>
      </c>
      <c r="J35" s="1112">
        <f>(F35+G35-H35-I35)-K35</f>
        <v>26000.000000000116</v>
      </c>
      <c r="K35" s="1041">
        <f>K33*(1-K34)</f>
        <v>883999.99999999988</v>
      </c>
      <c r="L35" s="1048">
        <f>K35-M35</f>
        <v>767999.99999999988</v>
      </c>
      <c r="M35" s="1041">
        <f>R35</f>
        <v>116000</v>
      </c>
      <c r="O35" s="1051"/>
      <c r="P35" s="1053">
        <v>1000000</v>
      </c>
      <c r="Q35" s="1079">
        <f>H51-K51</f>
        <v>884000</v>
      </c>
      <c r="R35" s="1048">
        <f>O35+P35-Q35</f>
        <v>116000</v>
      </c>
      <c r="S35" s="1027"/>
      <c r="T35" s="1025"/>
      <c r="U35" s="1030" t="s">
        <v>1557</v>
      </c>
      <c r="V35" s="540"/>
      <c r="W35" s="1037">
        <f t="shared" si="20"/>
        <v>883999.99999999988</v>
      </c>
      <c r="X35" s="1044">
        <f>AE20</f>
        <v>932750</v>
      </c>
      <c r="Y35" s="1079">
        <f>Y33*(1-Y34)</f>
        <v>1019999.9999999999</v>
      </c>
      <c r="Z35" s="1066">
        <f>(((W35+X35)/(W31+X31))*Y31)-Y35</f>
        <v>325740.74074074079</v>
      </c>
      <c r="AA35" s="1067">
        <f>(W35+X35-Y35-Z35)-AB35</f>
        <v>114009.25925925939</v>
      </c>
      <c r="AB35" s="1041">
        <f>AB33*(1-AB34)</f>
        <v>356999.99999999994</v>
      </c>
      <c r="AC35" s="1048">
        <f>AB35-AD35</f>
        <v>260999.99999999994</v>
      </c>
      <c r="AD35" s="1041">
        <f>AI35</f>
        <v>96000</v>
      </c>
      <c r="AF35" s="1056">
        <f>R35</f>
        <v>116000</v>
      </c>
      <c r="AG35" s="1053">
        <v>1000000</v>
      </c>
      <c r="AH35" s="1079">
        <f>Y51-AB51</f>
        <v>1020000</v>
      </c>
      <c r="AI35" s="1048">
        <f>AF35+AG35-AH35</f>
        <v>96000</v>
      </c>
      <c r="AJ35" s="1027"/>
      <c r="AK35" s="1025"/>
      <c r="AL35" s="1030" t="s">
        <v>1557</v>
      </c>
      <c r="AM35" s="540"/>
      <c r="AN35" s="1037">
        <f t="shared" si="21"/>
        <v>356999.99999999994</v>
      </c>
      <c r="AO35" s="1044">
        <f>AV20</f>
        <v>68250</v>
      </c>
      <c r="AP35" s="1079">
        <f>AP33*(1-AP34)</f>
        <v>0</v>
      </c>
      <c r="AQ35" s="1066">
        <f>(((AN35+AO35)/(AN31+AO31))*AP31)-AP35</f>
        <v>0</v>
      </c>
      <c r="AR35" s="1067">
        <f>(AN35+AO35-AP35-AQ35)-AS35</f>
        <v>0</v>
      </c>
      <c r="AS35" s="1041">
        <f>AS33*(1-AS34)</f>
        <v>425249.99999999994</v>
      </c>
      <c r="AT35" s="1048">
        <f>AS35-AU35</f>
        <v>425249.99999999994</v>
      </c>
      <c r="AU35" s="1041">
        <f>AZ35</f>
        <v>0</v>
      </c>
      <c r="AW35" s="1056">
        <f>AI35</f>
        <v>96000</v>
      </c>
      <c r="AX35" s="1053">
        <v>-96000</v>
      </c>
      <c r="AY35" s="1079">
        <f>AP51-AS51</f>
        <v>0</v>
      </c>
      <c r="AZ35" s="1048">
        <f>AW35+AX35-AY35</f>
        <v>0</v>
      </c>
      <c r="BA35" s="1025"/>
      <c r="BB35" s="1025"/>
    </row>
    <row r="36" spans="4:54" ht="18.95" customHeight="1">
      <c r="D36" s="1030"/>
      <c r="E36" s="540"/>
      <c r="U36" s="1030"/>
      <c r="V36" s="540"/>
      <c r="AL36" s="1030"/>
      <c r="AM36" s="540"/>
    </row>
    <row r="37" spans="4:54" ht="18.95" customHeight="1">
      <c r="I37" s="1026"/>
    </row>
    <row r="39" spans="4:54" ht="18.95" customHeight="1">
      <c r="D39" s="1024" t="s">
        <v>1597</v>
      </c>
      <c r="U39" s="1024" t="s">
        <v>1597</v>
      </c>
      <c r="AL39" s="1024" t="s">
        <v>1597</v>
      </c>
    </row>
    <row r="40" spans="4:54" ht="18.95" customHeight="1" thickBot="1"/>
    <row r="41" spans="4:54" ht="18.95" customHeight="1">
      <c r="D41" s="1032" t="s">
        <v>1577</v>
      </c>
      <c r="E41" s="1019"/>
      <c r="F41" s="1036" t="s">
        <v>1573</v>
      </c>
      <c r="G41" s="1032"/>
      <c r="H41" s="1032"/>
      <c r="I41" s="1057" t="s">
        <v>1570</v>
      </c>
      <c r="J41" s="1032"/>
      <c r="K41" s="1032"/>
      <c r="L41" s="1058"/>
      <c r="M41" s="1057" t="s">
        <v>1571</v>
      </c>
      <c r="N41" s="1032"/>
      <c r="O41" s="1058"/>
      <c r="P41" s="1032" t="s">
        <v>1572</v>
      </c>
      <c r="Q41" s="1032"/>
      <c r="R41" s="1032"/>
      <c r="U41" s="1032" t="s">
        <v>1577</v>
      </c>
      <c r="V41" s="1019"/>
      <c r="W41" s="1036" t="s">
        <v>1573</v>
      </c>
      <c r="X41" s="1032"/>
      <c r="Y41" s="1032"/>
      <c r="Z41" s="1057" t="s">
        <v>1570</v>
      </c>
      <c r="AA41" s="1032"/>
      <c r="AB41" s="1032"/>
      <c r="AC41" s="1058"/>
      <c r="AD41" s="1057" t="s">
        <v>1571</v>
      </c>
      <c r="AE41" s="1032"/>
      <c r="AF41" s="1058"/>
      <c r="AG41" s="1032" t="s">
        <v>1572</v>
      </c>
      <c r="AH41" s="1032"/>
      <c r="AI41" s="1032"/>
      <c r="AL41" s="1032" t="s">
        <v>1577</v>
      </c>
      <c r="AM41" s="1019"/>
      <c r="AN41" s="1036" t="s">
        <v>1573</v>
      </c>
      <c r="AO41" s="1032"/>
      <c r="AP41" s="1032"/>
      <c r="AQ41" s="1057" t="s">
        <v>1570</v>
      </c>
      <c r="AR41" s="1032"/>
      <c r="AS41" s="1032"/>
      <c r="AT41" s="1058"/>
      <c r="AU41" s="1057" t="s">
        <v>1571</v>
      </c>
      <c r="AV41" s="1032"/>
      <c r="AW41" s="1058"/>
      <c r="AX41" s="1032" t="s">
        <v>1572</v>
      </c>
      <c r="AY41" s="1032"/>
      <c r="AZ41" s="1032"/>
    </row>
    <row r="42" spans="4:54" ht="18.95" customHeight="1" thickBot="1">
      <c r="D42" s="1035"/>
      <c r="E42" s="1034"/>
      <c r="F42" s="1059" t="s">
        <v>1567</v>
      </c>
      <c r="G42" s="1060" t="s">
        <v>1568</v>
      </c>
      <c r="H42" s="1021" t="s">
        <v>1569</v>
      </c>
      <c r="I42" s="1061" t="s">
        <v>1604</v>
      </c>
      <c r="J42" s="1062" t="s">
        <v>1603</v>
      </c>
      <c r="K42" s="1060" t="s">
        <v>1605</v>
      </c>
      <c r="L42" s="1023" t="s">
        <v>1565</v>
      </c>
      <c r="M42" s="1061" t="s">
        <v>1567</v>
      </c>
      <c r="N42" s="1060" t="s">
        <v>1568</v>
      </c>
      <c r="O42" s="1023" t="s">
        <v>1569</v>
      </c>
      <c r="P42" s="1062" t="s">
        <v>1567</v>
      </c>
      <c r="Q42" s="1060" t="s">
        <v>1568</v>
      </c>
      <c r="R42" s="1021" t="s">
        <v>1569</v>
      </c>
      <c r="U42" s="1035"/>
      <c r="V42" s="1034"/>
      <c r="W42" s="1059" t="s">
        <v>1567</v>
      </c>
      <c r="X42" s="1060" t="s">
        <v>1568</v>
      </c>
      <c r="Y42" s="1021" t="s">
        <v>1569</v>
      </c>
      <c r="Z42" s="1061" t="s">
        <v>1604</v>
      </c>
      <c r="AA42" s="1062" t="s">
        <v>1603</v>
      </c>
      <c r="AB42" s="1060" t="s">
        <v>1564</v>
      </c>
      <c r="AC42" s="1023" t="s">
        <v>1565</v>
      </c>
      <c r="AD42" s="1061" t="s">
        <v>1567</v>
      </c>
      <c r="AE42" s="1060" t="s">
        <v>1568</v>
      </c>
      <c r="AF42" s="1023" t="s">
        <v>1569</v>
      </c>
      <c r="AG42" s="1062" t="s">
        <v>1567</v>
      </c>
      <c r="AH42" s="1060" t="s">
        <v>1568</v>
      </c>
      <c r="AI42" s="1021" t="s">
        <v>1569</v>
      </c>
      <c r="AL42" s="1035"/>
      <c r="AM42" s="1034"/>
      <c r="AN42" s="1059" t="s">
        <v>1567</v>
      </c>
      <c r="AO42" s="1060" t="s">
        <v>1568</v>
      </c>
      <c r="AP42" s="1021" t="s">
        <v>1569</v>
      </c>
      <c r="AQ42" s="1061" t="s">
        <v>1604</v>
      </c>
      <c r="AR42" s="1062" t="s">
        <v>1603</v>
      </c>
      <c r="AS42" s="1060" t="s">
        <v>1564</v>
      </c>
      <c r="AT42" s="1023" t="s">
        <v>1565</v>
      </c>
      <c r="AU42" s="1061" t="s">
        <v>1567</v>
      </c>
      <c r="AV42" s="1060" t="s">
        <v>1568</v>
      </c>
      <c r="AW42" s="1023" t="s">
        <v>1569</v>
      </c>
      <c r="AX42" s="1062" t="s">
        <v>1567</v>
      </c>
      <c r="AY42" s="1060" t="s">
        <v>1568</v>
      </c>
      <c r="AZ42" s="1021" t="s">
        <v>1569</v>
      </c>
    </row>
    <row r="43" spans="4:54" ht="18.95" customHeight="1">
      <c r="D43" s="1030" t="s">
        <v>1576</v>
      </c>
      <c r="E43" s="540"/>
      <c r="F43" s="1039">
        <f>ROUND(H43/1.1,0)</f>
        <v>0</v>
      </c>
      <c r="G43" s="1054">
        <f>H43-F43</f>
        <v>0</v>
      </c>
      <c r="H43" s="1026"/>
      <c r="I43" s="1086">
        <f>N18</f>
        <v>0</v>
      </c>
      <c r="J43" s="1085">
        <f>N19</f>
        <v>1820000</v>
      </c>
      <c r="K43" s="1113">
        <f>(I35+J35)*-1</f>
        <v>-52000.000000000233</v>
      </c>
      <c r="L43" s="1016">
        <f>SUM(I43:K43)</f>
        <v>1767999.9999999998</v>
      </c>
      <c r="M43" s="1014">
        <f>ROUND(O43/1.1,0)</f>
        <v>909091</v>
      </c>
      <c r="N43" s="1054">
        <f>O43-M43</f>
        <v>90909</v>
      </c>
      <c r="O43" s="1082">
        <f>P35</f>
        <v>1000000</v>
      </c>
      <c r="P43" s="617">
        <f>ROUND(R43/1.1,0)</f>
        <v>698182</v>
      </c>
      <c r="Q43" s="1054">
        <f>R43-P43</f>
        <v>69817.999999999767</v>
      </c>
      <c r="R43" s="1026">
        <f>H43+L43-O43</f>
        <v>767999.99999999977</v>
      </c>
      <c r="U43" s="1030" t="s">
        <v>1576</v>
      </c>
      <c r="V43" s="540"/>
      <c r="W43" s="1037">
        <f>ROUND(Y43/1.1,0)</f>
        <v>698182</v>
      </c>
      <c r="X43" s="1056">
        <f>Y43-W43</f>
        <v>69817.999999999767</v>
      </c>
      <c r="Y43" s="1026">
        <f>R43</f>
        <v>767999.99999999977</v>
      </c>
      <c r="Z43" s="1086">
        <f>AE18</f>
        <v>682500</v>
      </c>
      <c r="AA43" s="1085">
        <f>AE19</f>
        <v>250250</v>
      </c>
      <c r="AB43" s="1049">
        <f>(Z35+AA35)*-1</f>
        <v>-439750.00000000017</v>
      </c>
      <c r="AC43" s="1049">
        <f>SUM(Z43:AB43)</f>
        <v>492999.99999999983</v>
      </c>
      <c r="AD43" s="1048">
        <f>ROUND(AF43/1.1,0)</f>
        <v>909091</v>
      </c>
      <c r="AE43" s="1056">
        <f>AF43-AD43</f>
        <v>90909</v>
      </c>
      <c r="AF43" s="1082">
        <f>AG35</f>
        <v>1000000</v>
      </c>
      <c r="AG43" s="1041">
        <f>ROUND(AI43/1.1,0)</f>
        <v>237273</v>
      </c>
      <c r="AH43" s="1056">
        <f>AI43-AG43</f>
        <v>23726.999999999534</v>
      </c>
      <c r="AI43" s="1026">
        <f>Y43+AC43-AF43</f>
        <v>260999.99999999953</v>
      </c>
      <c r="AL43" s="1030" t="s">
        <v>1576</v>
      </c>
      <c r="AM43" s="540"/>
      <c r="AN43" s="1037">
        <f>ROUND(AP43/1.1,0)</f>
        <v>237273</v>
      </c>
      <c r="AO43" s="1056">
        <f>AP43-AN43</f>
        <v>23726.999999999534</v>
      </c>
      <c r="AP43" s="1026">
        <f>AI43</f>
        <v>260999.99999999953</v>
      </c>
      <c r="AQ43" s="1086">
        <f>AV18</f>
        <v>68250</v>
      </c>
      <c r="AR43" s="1085">
        <f>AV19</f>
        <v>0</v>
      </c>
      <c r="AS43" s="1049">
        <f>(AQ35+AR35)*-1</f>
        <v>0</v>
      </c>
      <c r="AT43" s="1049">
        <f>SUM(AQ43:AS43)</f>
        <v>68250</v>
      </c>
      <c r="AU43" s="1048">
        <f>ROUND(AW43/1.1,0)</f>
        <v>-87273</v>
      </c>
      <c r="AV43" s="1056">
        <f>AW43-AU43</f>
        <v>-8727</v>
      </c>
      <c r="AW43" s="1082">
        <f>AX35</f>
        <v>-96000</v>
      </c>
      <c r="AX43" s="1041">
        <f>ROUND(AZ43/1.1,0)</f>
        <v>386591</v>
      </c>
      <c r="AY43" s="1056">
        <f>AZ43-AX43</f>
        <v>38658.999999999534</v>
      </c>
      <c r="AZ43" s="1026">
        <f>AP43+AT43-AW43</f>
        <v>425249.99999999953</v>
      </c>
    </row>
    <row r="44" spans="4:54" ht="18.95" customHeight="1">
      <c r="D44" s="509"/>
      <c r="R44" s="1026"/>
      <c r="U44" s="509"/>
      <c r="W44" s="1026"/>
      <c r="X44" s="1026"/>
      <c r="Y44" s="1026"/>
      <c r="Z44" s="1026"/>
      <c r="AA44" s="1026"/>
      <c r="AB44" s="1026"/>
      <c r="AC44" s="1026"/>
      <c r="AD44" s="1026"/>
      <c r="AE44" s="1026"/>
      <c r="AF44" s="1026"/>
      <c r="AG44" s="1026"/>
      <c r="AH44" s="1026"/>
      <c r="AI44" s="1026"/>
      <c r="AL44" s="509"/>
      <c r="AN44" s="1026"/>
      <c r="AO44" s="1026"/>
      <c r="AP44" s="1026"/>
      <c r="AQ44" s="1026"/>
      <c r="AR44" s="1026"/>
      <c r="AS44" s="1026"/>
      <c r="AT44" s="1026"/>
      <c r="AU44" s="1026"/>
      <c r="AV44" s="1026"/>
      <c r="AW44" s="1026"/>
      <c r="AX44" s="1026"/>
      <c r="AY44" s="1026"/>
      <c r="AZ44" s="1026"/>
    </row>
    <row r="45" spans="4:54" ht="18.95" customHeight="1">
      <c r="D45" s="509"/>
      <c r="U45" s="509"/>
      <c r="AL45" s="509"/>
    </row>
    <row r="48" spans="4:54" ht="18.95" customHeight="1">
      <c r="D48" s="1024" t="s">
        <v>1596</v>
      </c>
      <c r="U48" s="1024" t="s">
        <v>1596</v>
      </c>
      <c r="AL48" s="1024" t="s">
        <v>1596</v>
      </c>
    </row>
    <row r="49" spans="4:46" ht="18.95" customHeight="1" thickBot="1"/>
    <row r="50" spans="4:46" ht="18.95" customHeight="1" thickBot="1">
      <c r="D50" s="1073" t="s">
        <v>1591</v>
      </c>
      <c r="E50" s="1073"/>
      <c r="F50" s="1074" t="s">
        <v>1580</v>
      </c>
      <c r="G50" s="1076" t="s">
        <v>1250</v>
      </c>
      <c r="H50" s="1076" t="s">
        <v>1251</v>
      </c>
      <c r="I50" s="1076" t="s">
        <v>1581</v>
      </c>
      <c r="J50" s="1076" t="s">
        <v>1275</v>
      </c>
      <c r="K50" s="1076" t="s">
        <v>1583</v>
      </c>
      <c r="L50" s="1081" t="s">
        <v>1592</v>
      </c>
      <c r="U50" s="1073" t="s">
        <v>1591</v>
      </c>
      <c r="V50" s="1073"/>
      <c r="W50" s="1074" t="s">
        <v>1580</v>
      </c>
      <c r="X50" s="1076" t="s">
        <v>1250</v>
      </c>
      <c r="Y50" s="1076" t="s">
        <v>1251</v>
      </c>
      <c r="Z50" s="1076" t="s">
        <v>1581</v>
      </c>
      <c r="AA50" s="1076" t="s">
        <v>1275</v>
      </c>
      <c r="AB50" s="1076" t="s">
        <v>1583</v>
      </c>
      <c r="AC50" s="1081" t="s">
        <v>1592</v>
      </c>
      <c r="AL50" s="1073" t="s">
        <v>1591</v>
      </c>
      <c r="AM50" s="1073"/>
      <c r="AN50" s="1074" t="s">
        <v>1580</v>
      </c>
      <c r="AO50" s="1076" t="s">
        <v>1250</v>
      </c>
      <c r="AP50" s="1076" t="s">
        <v>1251</v>
      </c>
      <c r="AQ50" s="1076" t="s">
        <v>1581</v>
      </c>
      <c r="AR50" s="1076" t="s">
        <v>1275</v>
      </c>
      <c r="AS50" s="1076" t="s">
        <v>1583</v>
      </c>
      <c r="AT50" s="1081" t="s">
        <v>1592</v>
      </c>
    </row>
    <row r="51" spans="4:46" ht="18.95" customHeight="1">
      <c r="D51" s="1030" t="s">
        <v>1579</v>
      </c>
      <c r="E51" s="540" t="s">
        <v>1582</v>
      </c>
      <c r="F51" s="1075">
        <f>H34</f>
        <v>0.32</v>
      </c>
      <c r="G51" s="1066">
        <f>H33</f>
        <v>1300000</v>
      </c>
      <c r="H51" s="1066">
        <f>G51</f>
        <v>1300000</v>
      </c>
      <c r="I51" s="1066">
        <f>H51-G51</f>
        <v>0</v>
      </c>
      <c r="J51" s="1052"/>
      <c r="K51" s="1077">
        <f>H51*F51</f>
        <v>416000</v>
      </c>
      <c r="L51" s="1078">
        <f>H51-K51</f>
        <v>884000</v>
      </c>
      <c r="U51" s="1030" t="s">
        <v>1579</v>
      </c>
      <c r="V51" s="540" t="s">
        <v>1582</v>
      </c>
      <c r="W51" s="1075">
        <f>Y34</f>
        <v>0.32</v>
      </c>
      <c r="X51" s="1066">
        <f>Y33</f>
        <v>1500000</v>
      </c>
      <c r="Y51" s="1066">
        <f>X51</f>
        <v>1500000</v>
      </c>
      <c r="Z51" s="1066">
        <f>Y51-X51</f>
        <v>0</v>
      </c>
      <c r="AA51" s="1052"/>
      <c r="AB51" s="1077">
        <f>Y51*W51</f>
        <v>480000</v>
      </c>
      <c r="AC51" s="1078">
        <f>Y51-AB51</f>
        <v>1020000</v>
      </c>
      <c r="AL51" s="1030" t="s">
        <v>1579</v>
      </c>
      <c r="AM51" s="540" t="s">
        <v>1582</v>
      </c>
      <c r="AN51" s="1075">
        <f>AP34</f>
        <v>0</v>
      </c>
      <c r="AO51" s="1066">
        <f>AP33</f>
        <v>0</v>
      </c>
      <c r="AP51" s="1066">
        <f>AO51</f>
        <v>0</v>
      </c>
      <c r="AQ51" s="1066">
        <f>AP51-AO51</f>
        <v>0</v>
      </c>
      <c r="AR51" s="1052"/>
      <c r="AS51" s="1077">
        <f>AP51*AN51</f>
        <v>0</v>
      </c>
      <c r="AT51" s="1078">
        <f>AP51-AS51</f>
        <v>0</v>
      </c>
    </row>
    <row r="52" spans="4:46" ht="18.95" customHeight="1">
      <c r="D52" s="509"/>
      <c r="U52" s="509"/>
      <c r="AL52" s="509"/>
    </row>
    <row r="53" spans="4:46" ht="18.95" customHeight="1">
      <c r="D53" s="509"/>
      <c r="U53" s="509"/>
      <c r="AL53" s="509"/>
    </row>
    <row r="54" spans="4:46" ht="18.95" customHeight="1">
      <c r="D54" s="509"/>
      <c r="U54" s="509"/>
      <c r="AL54" s="509"/>
    </row>
  </sheetData>
  <mergeCells count="24">
    <mergeCell ref="AZ28:AZ29"/>
    <mergeCell ref="AF28:AF29"/>
    <mergeCell ref="AG28:AG29"/>
    <mergeCell ref="AH28:AH29"/>
    <mergeCell ref="AI28:AI29"/>
    <mergeCell ref="AN28:AN29"/>
    <mergeCell ref="AO28:AO29"/>
    <mergeCell ref="AP28:AP29"/>
    <mergeCell ref="AS28:AS29"/>
    <mergeCell ref="AW28:AW29"/>
    <mergeCell ref="AX28:AX29"/>
    <mergeCell ref="AY28:AY29"/>
    <mergeCell ref="AB28:AB29"/>
    <mergeCell ref="F28:F29"/>
    <mergeCell ref="G28:G29"/>
    <mergeCell ref="H28:H29"/>
    <mergeCell ref="K28:K29"/>
    <mergeCell ref="O28:O29"/>
    <mergeCell ref="P28:P29"/>
    <mergeCell ref="Q28:Q29"/>
    <mergeCell ref="R28:R29"/>
    <mergeCell ref="W28:W29"/>
    <mergeCell ref="X28:X29"/>
    <mergeCell ref="Y28:Y29"/>
  </mergeCells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D2:BS54"/>
  <sheetViews>
    <sheetView topLeftCell="A16" workbookViewId="0">
      <selection activeCell="AI43" sqref="AI43"/>
    </sheetView>
  </sheetViews>
  <sheetFormatPr defaultRowHeight="18.95" customHeight="1" outlineLevelCol="1"/>
  <cols>
    <col min="4" max="4" width="12.42578125" hidden="1" customWidth="1" outlineLevel="1"/>
    <col min="5" max="5" width="9.140625" hidden="1" customWidth="1" outlineLevel="1"/>
    <col min="6" max="6" width="14.140625" hidden="1" customWidth="1" outlineLevel="1"/>
    <col min="7" max="18" width="13.7109375" hidden="1" customWidth="1" outlineLevel="1"/>
    <col min="19" max="19" width="4.5703125" customWidth="1" collapsed="1"/>
    <col min="20" max="20" width="4.5703125" customWidth="1"/>
    <col min="21" max="21" width="12.42578125" customWidth="1"/>
    <col min="23" max="23" width="14.140625" customWidth="1"/>
    <col min="24" max="35" width="13.7109375" customWidth="1"/>
    <col min="36" max="37" width="4.5703125" customWidth="1"/>
    <col min="38" max="38" width="12.42578125" customWidth="1"/>
    <col min="40" max="40" width="14.140625" customWidth="1"/>
    <col min="41" max="52" width="13.7109375" customWidth="1"/>
    <col min="53" max="54" width="4.5703125" customWidth="1"/>
    <col min="55" max="55" width="12.42578125" customWidth="1"/>
    <col min="57" max="57" width="14.140625" customWidth="1"/>
    <col min="58" max="69" width="13.7109375" customWidth="1"/>
  </cols>
  <sheetData>
    <row r="2" spans="4:69" s="1010" customFormat="1" ht="25.5" customHeight="1">
      <c r="D2" s="1107" t="s">
        <v>1607</v>
      </c>
      <c r="E2" s="1107"/>
      <c r="F2" s="1107"/>
      <c r="G2" s="1107"/>
      <c r="H2" s="1107"/>
      <c r="I2" s="1107"/>
      <c r="J2" s="1107"/>
      <c r="K2" s="1107"/>
      <c r="L2" s="1107"/>
      <c r="M2" s="1107"/>
      <c r="N2" s="1107"/>
      <c r="O2" s="1107"/>
      <c r="P2" s="1107"/>
      <c r="Q2" s="1107"/>
      <c r="R2" s="1107"/>
      <c r="U2" s="1080" t="s">
        <v>1593</v>
      </c>
      <c r="V2" s="1080"/>
      <c r="W2" s="1080"/>
      <c r="X2" s="1080"/>
      <c r="Y2" s="1080"/>
      <c r="Z2" s="1080"/>
      <c r="AA2" s="1080"/>
      <c r="AB2" s="1080"/>
      <c r="AC2" s="1080"/>
      <c r="AD2" s="1080"/>
      <c r="AE2" s="1080"/>
      <c r="AF2" s="1080"/>
      <c r="AG2" s="1080"/>
      <c r="AH2" s="1080"/>
      <c r="AI2" s="1080"/>
      <c r="AL2" s="1080" t="s">
        <v>1601</v>
      </c>
      <c r="AM2" s="1080"/>
      <c r="AN2" s="1080"/>
      <c r="AO2" s="1080"/>
      <c r="AP2" s="1080"/>
      <c r="AQ2" s="1080"/>
      <c r="AR2" s="1080"/>
      <c r="AS2" s="1080"/>
      <c r="AT2" s="1080"/>
      <c r="AU2" s="1080"/>
      <c r="AV2" s="1080"/>
      <c r="AW2" s="1080"/>
      <c r="AX2" s="1080"/>
      <c r="AY2" s="1080"/>
      <c r="AZ2" s="1080"/>
      <c r="BC2" s="1080" t="s">
        <v>1606</v>
      </c>
      <c r="BD2" s="1080"/>
      <c r="BE2" s="1080"/>
      <c r="BF2" s="1080"/>
      <c r="BG2" s="1080"/>
      <c r="BH2" s="1080"/>
      <c r="BI2" s="1080"/>
      <c r="BJ2" s="1080"/>
      <c r="BK2" s="1080"/>
      <c r="BL2" s="1080"/>
      <c r="BM2" s="1080"/>
      <c r="BN2" s="1080"/>
      <c r="BO2" s="1080"/>
      <c r="BP2" s="1080"/>
      <c r="BQ2" s="1080"/>
    </row>
    <row r="4" spans="4:69" ht="18.95" customHeight="1" thickBot="1">
      <c r="D4" s="1024" t="s">
        <v>1594</v>
      </c>
      <c r="U4" s="1024" t="s">
        <v>1594</v>
      </c>
      <c r="AL4" s="1024" t="s">
        <v>1594</v>
      </c>
      <c r="BC4" s="1024" t="s">
        <v>1594</v>
      </c>
    </row>
    <row r="5" spans="4:69" ht="18.95" customHeight="1">
      <c r="D5" s="1017" t="s">
        <v>1551</v>
      </c>
      <c r="E5" s="1017" t="s">
        <v>1552</v>
      </c>
      <c r="F5" s="1017" t="s">
        <v>1543</v>
      </c>
      <c r="G5" s="1018" t="s">
        <v>1548</v>
      </c>
      <c r="H5" s="1019"/>
      <c r="I5" s="1019"/>
      <c r="J5" s="1020"/>
      <c r="K5" s="1019" t="s">
        <v>1550</v>
      </c>
      <c r="L5" s="1019"/>
      <c r="M5" s="1019"/>
      <c r="N5" s="1019"/>
      <c r="U5" s="1017" t="s">
        <v>1551</v>
      </c>
      <c r="V5" s="1017" t="s">
        <v>1552</v>
      </c>
      <c r="W5" s="1017" t="s">
        <v>1543</v>
      </c>
      <c r="X5" s="1018" t="s">
        <v>1548</v>
      </c>
      <c r="Y5" s="1019"/>
      <c r="Z5" s="1019"/>
      <c r="AA5" s="1020"/>
      <c r="AB5" s="1019" t="s">
        <v>1550</v>
      </c>
      <c r="AC5" s="1019"/>
      <c r="AD5" s="1019"/>
      <c r="AE5" s="1019"/>
      <c r="AL5" s="1017" t="s">
        <v>1551</v>
      </c>
      <c r="AM5" s="1017" t="s">
        <v>1552</v>
      </c>
      <c r="AN5" s="1017" t="s">
        <v>1543</v>
      </c>
      <c r="AO5" s="1018" t="s">
        <v>1548</v>
      </c>
      <c r="AP5" s="1019"/>
      <c r="AQ5" s="1019"/>
      <c r="AR5" s="1020"/>
      <c r="AS5" s="1019" t="s">
        <v>1550</v>
      </c>
      <c r="AT5" s="1019"/>
      <c r="AU5" s="1019"/>
      <c r="AV5" s="1019"/>
      <c r="BC5" s="1017" t="s">
        <v>1551</v>
      </c>
      <c r="BD5" s="1017" t="s">
        <v>1552</v>
      </c>
      <c r="BE5" s="1017" t="s">
        <v>1543</v>
      </c>
      <c r="BF5" s="1018" t="s">
        <v>1548</v>
      </c>
      <c r="BG5" s="1019"/>
      <c r="BH5" s="1019"/>
      <c r="BI5" s="1020"/>
      <c r="BJ5" s="1019" t="s">
        <v>1550</v>
      </c>
      <c r="BK5" s="1019"/>
      <c r="BL5" s="1019"/>
      <c r="BM5" s="1019"/>
    </row>
    <row r="6" spans="4:69" s="145" customFormat="1" ht="18.95" customHeight="1" thickBot="1">
      <c r="D6" s="1021"/>
      <c r="E6" s="1021"/>
      <c r="F6" s="1021"/>
      <c r="G6" s="1022" t="s">
        <v>1544</v>
      </c>
      <c r="H6" s="1021" t="s">
        <v>1545</v>
      </c>
      <c r="I6" s="1021" t="s">
        <v>1546</v>
      </c>
      <c r="J6" s="1023" t="s">
        <v>1547</v>
      </c>
      <c r="K6" s="1021" t="s">
        <v>1549</v>
      </c>
      <c r="L6" s="1021" t="s">
        <v>1544</v>
      </c>
      <c r="M6" s="1021" t="s">
        <v>1560</v>
      </c>
      <c r="N6" s="1021" t="s">
        <v>1547</v>
      </c>
      <c r="U6" s="1021"/>
      <c r="V6" s="1021"/>
      <c r="W6" s="1021"/>
      <c r="X6" s="1022" t="s">
        <v>1544</v>
      </c>
      <c r="Y6" s="1021" t="s">
        <v>1545</v>
      </c>
      <c r="Z6" s="1021" t="s">
        <v>1546</v>
      </c>
      <c r="AA6" s="1023" t="s">
        <v>1547</v>
      </c>
      <c r="AB6" s="1021" t="s">
        <v>1549</v>
      </c>
      <c r="AC6" s="1021" t="s">
        <v>1544</v>
      </c>
      <c r="AD6" s="1021" t="s">
        <v>1560</v>
      </c>
      <c r="AE6" s="1021" t="s">
        <v>1547</v>
      </c>
      <c r="AL6" s="1021"/>
      <c r="AM6" s="1021"/>
      <c r="AN6" s="1021"/>
      <c r="AO6" s="1022" t="s">
        <v>1544</v>
      </c>
      <c r="AP6" s="1021" t="s">
        <v>1545</v>
      </c>
      <c r="AQ6" s="1021" t="s">
        <v>1546</v>
      </c>
      <c r="AR6" s="1023" t="s">
        <v>1547</v>
      </c>
      <c r="AS6" s="1021" t="s">
        <v>1549</v>
      </c>
      <c r="AT6" s="1021" t="s">
        <v>1544</v>
      </c>
      <c r="AU6" s="1021" t="s">
        <v>1560</v>
      </c>
      <c r="AV6" s="1021" t="s">
        <v>1547</v>
      </c>
      <c r="BC6" s="1021"/>
      <c r="BD6" s="1021"/>
      <c r="BE6" s="1021"/>
      <c r="BF6" s="1022" t="s">
        <v>1544</v>
      </c>
      <c r="BG6" s="1021" t="s">
        <v>1545</v>
      </c>
      <c r="BH6" s="1021" t="s">
        <v>1546</v>
      </c>
      <c r="BI6" s="1023" t="s">
        <v>1547</v>
      </c>
      <c r="BJ6" s="1021" t="s">
        <v>1549</v>
      </c>
      <c r="BK6" s="1021" t="s">
        <v>1544</v>
      </c>
      <c r="BL6" s="1021" t="s">
        <v>1560</v>
      </c>
      <c r="BM6" s="1021" t="s">
        <v>1547</v>
      </c>
    </row>
    <row r="7" spans="4:69" ht="18.95" customHeight="1">
      <c r="D7" s="145" t="s">
        <v>1553</v>
      </c>
      <c r="E7">
        <v>1</v>
      </c>
      <c r="F7" s="1013" t="s">
        <v>127</v>
      </c>
      <c r="G7" s="1014">
        <v>10000</v>
      </c>
      <c r="H7" s="1015">
        <v>0.3</v>
      </c>
      <c r="I7" s="1015">
        <v>0.35</v>
      </c>
      <c r="J7" s="1016">
        <f>(G7*(1-H7))*(1-I7)</f>
        <v>4550</v>
      </c>
      <c r="K7" s="509"/>
      <c r="L7" s="509">
        <f>K7*G7</f>
        <v>0</v>
      </c>
      <c r="M7" s="509">
        <f>(G7*(1-H7))*K7</f>
        <v>0</v>
      </c>
      <c r="N7" s="509">
        <f>K7*J7</f>
        <v>0</v>
      </c>
      <c r="U7" s="145" t="s">
        <v>1553</v>
      </c>
      <c r="V7">
        <v>1</v>
      </c>
      <c r="W7" s="1013" t="s">
        <v>127</v>
      </c>
      <c r="X7" s="1014">
        <v>10000</v>
      </c>
      <c r="Y7" s="1015">
        <v>0.3</v>
      </c>
      <c r="Z7" s="1015">
        <v>0.35</v>
      </c>
      <c r="AA7" s="1016">
        <f>(X7*(1-Y7))*(1-Z7)</f>
        <v>4550</v>
      </c>
      <c r="AB7" s="509">
        <v>100</v>
      </c>
      <c r="AC7" s="509">
        <f>AB7*X7</f>
        <v>1000000</v>
      </c>
      <c r="AD7" s="509">
        <f>(X7*(1-Y7))*AB7</f>
        <v>700000</v>
      </c>
      <c r="AE7" s="509">
        <f>AB7*AA7</f>
        <v>455000</v>
      </c>
      <c r="AL7" s="145" t="s">
        <v>1553</v>
      </c>
      <c r="AM7">
        <v>1</v>
      </c>
      <c r="AN7" s="1013" t="s">
        <v>127</v>
      </c>
      <c r="AO7" s="1014">
        <v>10000</v>
      </c>
      <c r="AP7" s="1015">
        <v>0.3</v>
      </c>
      <c r="AQ7" s="1015">
        <v>0.35</v>
      </c>
      <c r="AR7" s="1016">
        <f>(AO7*(1-AP7))*(1-AQ7)</f>
        <v>4550</v>
      </c>
      <c r="AS7" s="509">
        <v>10</v>
      </c>
      <c r="AT7" s="509">
        <f>AS7*AO7</f>
        <v>100000</v>
      </c>
      <c r="AU7" s="509">
        <f>(AO7*(1-AP7))*AS7</f>
        <v>70000</v>
      </c>
      <c r="AV7" s="509">
        <f>AS7*AR7</f>
        <v>45500</v>
      </c>
      <c r="BC7" s="145" t="s">
        <v>1553</v>
      </c>
      <c r="BD7">
        <v>1</v>
      </c>
      <c r="BE7" s="1013" t="s">
        <v>127</v>
      </c>
      <c r="BF7" s="1014">
        <v>10000</v>
      </c>
      <c r="BG7" s="1015">
        <v>0.3</v>
      </c>
      <c r="BH7" s="1015">
        <v>0.35</v>
      </c>
      <c r="BI7" s="1016">
        <f>(BF7*(1-BG7))*(1-BH7)</f>
        <v>4550</v>
      </c>
      <c r="BJ7" s="509"/>
      <c r="BK7" s="509">
        <f>BJ7*BF7</f>
        <v>0</v>
      </c>
      <c r="BL7" s="509">
        <f>(BF7*(1-BG7))*BJ7</f>
        <v>0</v>
      </c>
      <c r="BM7" s="509">
        <f>BJ7*BI7</f>
        <v>0</v>
      </c>
    </row>
    <row r="8" spans="4:69" ht="18.95" customHeight="1">
      <c r="D8" s="145" t="s">
        <v>1553</v>
      </c>
      <c r="E8">
        <v>5</v>
      </c>
      <c r="F8" s="1013" t="s">
        <v>127</v>
      </c>
      <c r="G8" s="1014">
        <v>10000</v>
      </c>
      <c r="H8" s="1015">
        <v>0.3</v>
      </c>
      <c r="I8" s="1015">
        <v>0.35</v>
      </c>
      <c r="J8" s="1016">
        <f t="shared" ref="J8:J13" si="0">(G8*(1-H8))*(1-I8)</f>
        <v>4550</v>
      </c>
      <c r="K8" s="509"/>
      <c r="L8" s="509">
        <f t="shared" ref="L8:L13" si="1">K8*G8</f>
        <v>0</v>
      </c>
      <c r="M8" s="509">
        <f t="shared" ref="M8:M13" si="2">(G8*(1-H8))*K8</f>
        <v>0</v>
      </c>
      <c r="N8" s="509">
        <f t="shared" ref="N8:N13" si="3">K8*J8</f>
        <v>0</v>
      </c>
      <c r="U8" s="145" t="s">
        <v>1553</v>
      </c>
      <c r="V8">
        <v>5</v>
      </c>
      <c r="W8" s="1013" t="s">
        <v>127</v>
      </c>
      <c r="X8" s="1014">
        <v>10000</v>
      </c>
      <c r="Y8" s="1015">
        <v>0.3</v>
      </c>
      <c r="Z8" s="1015">
        <v>0.35</v>
      </c>
      <c r="AA8" s="1016">
        <f t="shared" ref="AA8:AA13" si="4">(X8*(1-Y8))*(1-Z8)</f>
        <v>4550</v>
      </c>
      <c r="AB8" s="509">
        <v>50</v>
      </c>
      <c r="AC8" s="509">
        <f t="shared" ref="AC8:AC13" si="5">AB8*X8</f>
        <v>500000</v>
      </c>
      <c r="AD8" s="509">
        <f t="shared" ref="AD8:AD13" si="6">(X8*(1-Y8))*AB8</f>
        <v>350000</v>
      </c>
      <c r="AE8" s="509">
        <f t="shared" ref="AE8:AE13" si="7">AB8*AA8</f>
        <v>227500</v>
      </c>
      <c r="AL8" s="145" t="s">
        <v>1553</v>
      </c>
      <c r="AM8">
        <v>5</v>
      </c>
      <c r="AN8" s="1013" t="s">
        <v>127</v>
      </c>
      <c r="AO8" s="1014">
        <v>10000</v>
      </c>
      <c r="AP8" s="1015">
        <v>0.3</v>
      </c>
      <c r="AQ8" s="1015">
        <v>0.35</v>
      </c>
      <c r="AR8" s="1016">
        <f t="shared" ref="AR8:AR13" si="8">(AO8*(1-AP8))*(1-AQ8)</f>
        <v>4550</v>
      </c>
      <c r="AS8" s="509">
        <v>5</v>
      </c>
      <c r="AT8" s="509">
        <f t="shared" ref="AT8:AT13" si="9">AS8*AO8</f>
        <v>50000</v>
      </c>
      <c r="AU8" s="509">
        <f t="shared" ref="AU8:AU13" si="10">(AO8*(1-AP8))*AS8</f>
        <v>35000</v>
      </c>
      <c r="AV8" s="509">
        <f t="shared" ref="AV8:AV13" si="11">AS8*AR8</f>
        <v>22750</v>
      </c>
      <c r="BC8" s="145" t="s">
        <v>1553</v>
      </c>
      <c r="BD8">
        <v>5</v>
      </c>
      <c r="BE8" s="1013" t="s">
        <v>127</v>
      </c>
      <c r="BF8" s="1014">
        <v>10000</v>
      </c>
      <c r="BG8" s="1015">
        <v>0.3</v>
      </c>
      <c r="BH8" s="1015">
        <v>0.35</v>
      </c>
      <c r="BI8" s="1016">
        <f t="shared" ref="BI8:BI13" si="12">(BF8*(1-BG8))*(1-BH8)</f>
        <v>4550</v>
      </c>
      <c r="BJ8" s="509"/>
      <c r="BK8" s="509">
        <f t="shared" ref="BK8:BK13" si="13">BJ8*BF8</f>
        <v>0</v>
      </c>
      <c r="BL8" s="509">
        <f t="shared" ref="BL8:BL13" si="14">(BF8*(1-BG8))*BJ8</f>
        <v>0</v>
      </c>
      <c r="BM8" s="509">
        <f t="shared" ref="BM8:BM13" si="15">BJ8*BI8</f>
        <v>0</v>
      </c>
    </row>
    <row r="9" spans="4:69" ht="18.95" customHeight="1">
      <c r="D9" s="145" t="s">
        <v>1553</v>
      </c>
      <c r="E9">
        <v>7</v>
      </c>
      <c r="F9" s="1013" t="s">
        <v>127</v>
      </c>
      <c r="G9" s="1014">
        <v>10000</v>
      </c>
      <c r="H9" s="1015">
        <v>0.3</v>
      </c>
      <c r="I9" s="1015">
        <v>0.35</v>
      </c>
      <c r="J9" s="1016">
        <f t="shared" si="0"/>
        <v>4550</v>
      </c>
      <c r="K9" s="509"/>
      <c r="L9" s="509">
        <f t="shared" si="1"/>
        <v>0</v>
      </c>
      <c r="M9" s="509">
        <f t="shared" si="2"/>
        <v>0</v>
      </c>
      <c r="N9" s="509">
        <f t="shared" si="3"/>
        <v>0</v>
      </c>
      <c r="U9" s="145" t="s">
        <v>1553</v>
      </c>
      <c r="V9">
        <v>7</v>
      </c>
      <c r="W9" s="1013" t="s">
        <v>127</v>
      </c>
      <c r="X9" s="1014">
        <v>10000</v>
      </c>
      <c r="Y9" s="1015">
        <v>0.3</v>
      </c>
      <c r="Z9" s="1015">
        <v>0.35</v>
      </c>
      <c r="AA9" s="1016">
        <f t="shared" si="4"/>
        <v>4550</v>
      </c>
      <c r="AB9" s="509">
        <v>50</v>
      </c>
      <c r="AC9" s="509">
        <f t="shared" si="5"/>
        <v>500000</v>
      </c>
      <c r="AD9" s="509">
        <f t="shared" si="6"/>
        <v>350000</v>
      </c>
      <c r="AE9" s="509">
        <f t="shared" si="7"/>
        <v>227500</v>
      </c>
      <c r="AL9" s="145" t="s">
        <v>1553</v>
      </c>
      <c r="AM9">
        <v>7</v>
      </c>
      <c r="AN9" s="1013" t="s">
        <v>127</v>
      </c>
      <c r="AO9" s="1014">
        <v>10000</v>
      </c>
      <c r="AP9" s="1015">
        <v>0.3</v>
      </c>
      <c r="AQ9" s="1015">
        <v>0.35</v>
      </c>
      <c r="AR9" s="1016">
        <f t="shared" si="8"/>
        <v>4550</v>
      </c>
      <c r="AS9" s="509">
        <v>20</v>
      </c>
      <c r="AT9" s="509">
        <f t="shared" si="9"/>
        <v>200000</v>
      </c>
      <c r="AU9" s="509">
        <f t="shared" si="10"/>
        <v>140000</v>
      </c>
      <c r="AV9" s="509">
        <f t="shared" si="11"/>
        <v>91000</v>
      </c>
      <c r="BC9" s="145" t="s">
        <v>1553</v>
      </c>
      <c r="BD9">
        <v>7</v>
      </c>
      <c r="BE9" s="1013" t="s">
        <v>127</v>
      </c>
      <c r="BF9" s="1014">
        <v>10000</v>
      </c>
      <c r="BG9" s="1015">
        <v>0.3</v>
      </c>
      <c r="BH9" s="1015">
        <v>0.35</v>
      </c>
      <c r="BI9" s="1016">
        <f t="shared" si="12"/>
        <v>4550</v>
      </c>
      <c r="BJ9" s="509"/>
      <c r="BK9" s="509">
        <f t="shared" si="13"/>
        <v>0</v>
      </c>
      <c r="BL9" s="509">
        <f t="shared" si="14"/>
        <v>0</v>
      </c>
      <c r="BM9" s="509">
        <f t="shared" si="15"/>
        <v>0</v>
      </c>
    </row>
    <row r="10" spans="4:69" ht="18.95" customHeight="1">
      <c r="D10" s="145" t="s">
        <v>1553</v>
      </c>
      <c r="E10">
        <v>15</v>
      </c>
      <c r="F10" s="1013" t="s">
        <v>127</v>
      </c>
      <c r="G10" s="1014">
        <v>10000</v>
      </c>
      <c r="H10" s="1015">
        <v>0.3</v>
      </c>
      <c r="I10" s="1015">
        <v>0.35</v>
      </c>
      <c r="J10" s="1016">
        <f t="shared" si="0"/>
        <v>4550</v>
      </c>
      <c r="K10" s="509"/>
      <c r="L10" s="509">
        <f t="shared" si="1"/>
        <v>0</v>
      </c>
      <c r="M10" s="509">
        <f t="shared" si="2"/>
        <v>0</v>
      </c>
      <c r="N10" s="509">
        <f t="shared" si="3"/>
        <v>0</v>
      </c>
      <c r="U10" s="145" t="s">
        <v>1553</v>
      </c>
      <c r="V10">
        <v>15</v>
      </c>
      <c r="W10" s="1013" t="s">
        <v>127</v>
      </c>
      <c r="X10" s="1014">
        <v>10000</v>
      </c>
      <c r="Y10" s="1015">
        <v>0.3</v>
      </c>
      <c r="Z10" s="1015">
        <v>0.35</v>
      </c>
      <c r="AA10" s="1016">
        <f t="shared" si="4"/>
        <v>4550</v>
      </c>
      <c r="AB10" s="509">
        <v>100</v>
      </c>
      <c r="AC10" s="509">
        <f t="shared" si="5"/>
        <v>1000000</v>
      </c>
      <c r="AD10" s="509">
        <f t="shared" si="6"/>
        <v>700000</v>
      </c>
      <c r="AE10" s="509">
        <f t="shared" si="7"/>
        <v>455000</v>
      </c>
      <c r="AL10" s="145" t="s">
        <v>1553</v>
      </c>
      <c r="AM10">
        <v>15</v>
      </c>
      <c r="AN10" s="1013" t="s">
        <v>127</v>
      </c>
      <c r="AO10" s="1014">
        <v>10000</v>
      </c>
      <c r="AP10" s="1015">
        <v>0.3</v>
      </c>
      <c r="AQ10" s="1015">
        <v>0.35</v>
      </c>
      <c r="AR10" s="1016">
        <f t="shared" si="8"/>
        <v>4550</v>
      </c>
      <c r="AS10" s="509">
        <v>10</v>
      </c>
      <c r="AT10" s="509">
        <f t="shared" si="9"/>
        <v>100000</v>
      </c>
      <c r="AU10" s="509">
        <f t="shared" si="10"/>
        <v>70000</v>
      </c>
      <c r="AV10" s="509">
        <f t="shared" si="11"/>
        <v>45500</v>
      </c>
      <c r="BC10" s="145" t="s">
        <v>1553</v>
      </c>
      <c r="BD10">
        <v>15</v>
      </c>
      <c r="BE10" s="1013" t="s">
        <v>127</v>
      </c>
      <c r="BF10" s="1014">
        <v>10000</v>
      </c>
      <c r="BG10" s="1015">
        <v>0.3</v>
      </c>
      <c r="BH10" s="1015">
        <v>0.35</v>
      </c>
      <c r="BI10" s="1016">
        <f t="shared" si="12"/>
        <v>4550</v>
      </c>
      <c r="BJ10" s="509"/>
      <c r="BK10" s="509">
        <f t="shared" si="13"/>
        <v>0</v>
      </c>
      <c r="BL10" s="509">
        <f t="shared" si="14"/>
        <v>0</v>
      </c>
      <c r="BM10" s="509">
        <f t="shared" si="15"/>
        <v>0</v>
      </c>
    </row>
    <row r="11" spans="4:69" ht="18.95" customHeight="1">
      <c r="D11" s="145" t="s">
        <v>1553</v>
      </c>
      <c r="E11">
        <v>25</v>
      </c>
      <c r="F11" s="1013" t="s">
        <v>127</v>
      </c>
      <c r="G11" s="1014">
        <v>10000</v>
      </c>
      <c r="H11" s="1015">
        <v>0.3</v>
      </c>
      <c r="I11" s="1015">
        <v>0.35</v>
      </c>
      <c r="J11" s="1016">
        <f t="shared" si="0"/>
        <v>4550</v>
      </c>
      <c r="K11" s="509"/>
      <c r="L11" s="509">
        <f t="shared" si="1"/>
        <v>0</v>
      </c>
      <c r="M11" s="509">
        <f t="shared" si="2"/>
        <v>0</v>
      </c>
      <c r="N11" s="509">
        <f t="shared" si="3"/>
        <v>0</v>
      </c>
      <c r="U11" s="145" t="s">
        <v>1553</v>
      </c>
      <c r="V11">
        <v>25</v>
      </c>
      <c r="W11" s="1013" t="s">
        <v>127</v>
      </c>
      <c r="X11" s="1014">
        <v>10000</v>
      </c>
      <c r="Y11" s="1015">
        <v>0.3</v>
      </c>
      <c r="Z11" s="1015">
        <v>0.35</v>
      </c>
      <c r="AA11" s="1016">
        <f t="shared" si="4"/>
        <v>4550</v>
      </c>
      <c r="AB11" s="509">
        <v>100</v>
      </c>
      <c r="AC11" s="509">
        <f t="shared" si="5"/>
        <v>1000000</v>
      </c>
      <c r="AD11" s="509">
        <f t="shared" si="6"/>
        <v>700000</v>
      </c>
      <c r="AE11" s="509">
        <f t="shared" si="7"/>
        <v>455000</v>
      </c>
      <c r="AL11" s="145" t="s">
        <v>1553</v>
      </c>
      <c r="AM11">
        <v>25</v>
      </c>
      <c r="AN11" s="1013" t="s">
        <v>127</v>
      </c>
      <c r="AO11" s="1014">
        <v>10000</v>
      </c>
      <c r="AP11" s="1015">
        <v>0.3</v>
      </c>
      <c r="AQ11" s="1015">
        <v>0.35</v>
      </c>
      <c r="AR11" s="1016">
        <f t="shared" si="8"/>
        <v>4550</v>
      </c>
      <c r="AS11" s="509">
        <v>10</v>
      </c>
      <c r="AT11" s="509">
        <f t="shared" si="9"/>
        <v>100000</v>
      </c>
      <c r="AU11" s="509">
        <f t="shared" si="10"/>
        <v>70000</v>
      </c>
      <c r="AV11" s="509">
        <f t="shared" si="11"/>
        <v>45500</v>
      </c>
      <c r="BC11" s="145" t="s">
        <v>1553</v>
      </c>
      <c r="BD11">
        <v>25</v>
      </c>
      <c r="BE11" s="1013" t="s">
        <v>127</v>
      </c>
      <c r="BF11" s="1014">
        <v>10000</v>
      </c>
      <c r="BG11" s="1015">
        <v>0.3</v>
      </c>
      <c r="BH11" s="1015">
        <v>0.35</v>
      </c>
      <c r="BI11" s="1016">
        <f t="shared" si="12"/>
        <v>4550</v>
      </c>
      <c r="BJ11" s="509"/>
      <c r="BK11" s="509">
        <f t="shared" si="13"/>
        <v>0</v>
      </c>
      <c r="BL11" s="509">
        <f t="shared" si="14"/>
        <v>0</v>
      </c>
      <c r="BM11" s="509">
        <f t="shared" si="15"/>
        <v>0</v>
      </c>
    </row>
    <row r="12" spans="4:69" ht="18.95" customHeight="1">
      <c r="D12" s="145" t="s">
        <v>1553</v>
      </c>
      <c r="E12">
        <v>27</v>
      </c>
      <c r="F12" s="1013" t="s">
        <v>127</v>
      </c>
      <c r="G12" s="1014">
        <v>10000</v>
      </c>
      <c r="H12" s="1015">
        <v>0.3</v>
      </c>
      <c r="I12" s="1015">
        <v>0.35</v>
      </c>
      <c r="J12" s="1016">
        <f t="shared" si="0"/>
        <v>4550</v>
      </c>
      <c r="K12" s="509"/>
      <c r="L12" s="509">
        <f t="shared" si="1"/>
        <v>0</v>
      </c>
      <c r="M12" s="509">
        <f t="shared" si="2"/>
        <v>0</v>
      </c>
      <c r="N12" s="509">
        <f t="shared" si="3"/>
        <v>0</v>
      </c>
      <c r="U12" s="145" t="s">
        <v>1553</v>
      </c>
      <c r="V12">
        <v>27</v>
      </c>
      <c r="W12" s="1013" t="s">
        <v>127</v>
      </c>
      <c r="X12" s="1014">
        <v>10000</v>
      </c>
      <c r="Y12" s="1015">
        <v>0.3</v>
      </c>
      <c r="Z12" s="1015">
        <v>0.35</v>
      </c>
      <c r="AA12" s="1016">
        <f t="shared" si="4"/>
        <v>4550</v>
      </c>
      <c r="AB12" s="509">
        <v>70</v>
      </c>
      <c r="AC12" s="509">
        <f t="shared" si="5"/>
        <v>700000</v>
      </c>
      <c r="AD12" s="509">
        <f t="shared" si="6"/>
        <v>490000</v>
      </c>
      <c r="AE12" s="509">
        <f t="shared" si="7"/>
        <v>318500</v>
      </c>
      <c r="AL12" s="145" t="s">
        <v>1553</v>
      </c>
      <c r="AM12">
        <v>27</v>
      </c>
      <c r="AN12" s="1013" t="s">
        <v>127</v>
      </c>
      <c r="AO12" s="1014">
        <v>10000</v>
      </c>
      <c r="AP12" s="1015">
        <v>0.3</v>
      </c>
      <c r="AQ12" s="1015">
        <v>0.35</v>
      </c>
      <c r="AR12" s="1016">
        <f t="shared" si="8"/>
        <v>4550</v>
      </c>
      <c r="AS12" s="509">
        <v>10</v>
      </c>
      <c r="AT12" s="509">
        <f t="shared" si="9"/>
        <v>100000</v>
      </c>
      <c r="AU12" s="509">
        <f t="shared" si="10"/>
        <v>70000</v>
      </c>
      <c r="AV12" s="509">
        <f t="shared" si="11"/>
        <v>45500</v>
      </c>
      <c r="BC12" s="145" t="s">
        <v>1553</v>
      </c>
      <c r="BD12">
        <v>27</v>
      </c>
      <c r="BE12" s="1013" t="s">
        <v>127</v>
      </c>
      <c r="BF12" s="1014">
        <v>10000</v>
      </c>
      <c r="BG12" s="1015">
        <v>0.3</v>
      </c>
      <c r="BH12" s="1015">
        <v>0.35</v>
      </c>
      <c r="BI12" s="1016">
        <f t="shared" si="12"/>
        <v>4550</v>
      </c>
      <c r="BJ12" s="509"/>
      <c r="BK12" s="509">
        <f t="shared" si="13"/>
        <v>0</v>
      </c>
      <c r="BL12" s="509">
        <f t="shared" si="14"/>
        <v>0</v>
      </c>
      <c r="BM12" s="509">
        <f t="shared" si="15"/>
        <v>0</v>
      </c>
    </row>
    <row r="13" spans="4:69" ht="18.95" customHeight="1">
      <c r="D13" s="145" t="s">
        <v>1553</v>
      </c>
      <c r="E13">
        <v>30</v>
      </c>
      <c r="F13" s="1013" t="s">
        <v>127</v>
      </c>
      <c r="G13" s="1014">
        <v>10000</v>
      </c>
      <c r="H13" s="1015">
        <v>0.3</v>
      </c>
      <c r="I13" s="1015">
        <v>0.35</v>
      </c>
      <c r="J13" s="1016">
        <f t="shared" si="0"/>
        <v>4550</v>
      </c>
      <c r="K13" s="509">
        <v>80</v>
      </c>
      <c r="L13" s="509">
        <f t="shared" si="1"/>
        <v>800000</v>
      </c>
      <c r="M13" s="509">
        <f t="shared" si="2"/>
        <v>560000</v>
      </c>
      <c r="N13" s="509">
        <f t="shared" si="3"/>
        <v>364000</v>
      </c>
      <c r="U13" s="145" t="s">
        <v>1553</v>
      </c>
      <c r="V13">
        <v>30</v>
      </c>
      <c r="W13" s="1013" t="s">
        <v>127</v>
      </c>
      <c r="X13" s="1014">
        <v>10000</v>
      </c>
      <c r="Y13" s="1015">
        <v>0.3</v>
      </c>
      <c r="Z13" s="1015">
        <v>0.35</v>
      </c>
      <c r="AA13" s="1016">
        <f t="shared" si="4"/>
        <v>4550</v>
      </c>
      <c r="AB13" s="509">
        <v>80</v>
      </c>
      <c r="AC13" s="509">
        <f t="shared" si="5"/>
        <v>800000</v>
      </c>
      <c r="AD13" s="509">
        <f t="shared" si="6"/>
        <v>560000</v>
      </c>
      <c r="AE13" s="509">
        <f t="shared" si="7"/>
        <v>364000</v>
      </c>
      <c r="AL13" s="145" t="s">
        <v>1553</v>
      </c>
      <c r="AM13">
        <v>30</v>
      </c>
      <c r="AN13" s="1013" t="s">
        <v>127</v>
      </c>
      <c r="AO13" s="1014">
        <v>10000</v>
      </c>
      <c r="AP13" s="1015">
        <v>0.3</v>
      </c>
      <c r="AQ13" s="1015">
        <v>0.35</v>
      </c>
      <c r="AR13" s="1016">
        <f t="shared" si="8"/>
        <v>4550</v>
      </c>
      <c r="AS13" s="509">
        <v>5</v>
      </c>
      <c r="AT13" s="509">
        <f t="shared" si="9"/>
        <v>50000</v>
      </c>
      <c r="AU13" s="509">
        <f t="shared" si="10"/>
        <v>35000</v>
      </c>
      <c r="AV13" s="509">
        <f t="shared" si="11"/>
        <v>22750</v>
      </c>
      <c r="BC13" s="145" t="s">
        <v>1553</v>
      </c>
      <c r="BD13">
        <v>30</v>
      </c>
      <c r="BE13" s="1013" t="s">
        <v>127</v>
      </c>
      <c r="BF13" s="1014">
        <v>10000</v>
      </c>
      <c r="BG13" s="1015">
        <v>0.3</v>
      </c>
      <c r="BH13" s="1015">
        <v>0.35</v>
      </c>
      <c r="BI13" s="1016">
        <f t="shared" si="12"/>
        <v>4550</v>
      </c>
      <c r="BJ13" s="509"/>
      <c r="BK13" s="509">
        <f t="shared" si="13"/>
        <v>0</v>
      </c>
      <c r="BL13" s="509">
        <f t="shared" si="14"/>
        <v>0</v>
      </c>
      <c r="BM13" s="509">
        <f t="shared" si="15"/>
        <v>0</v>
      </c>
    </row>
    <row r="16" spans="4:69" ht="18.95" customHeight="1">
      <c r="J16" s="355" t="s">
        <v>1561</v>
      </c>
      <c r="K16" s="81">
        <f>SUM(K7:K14)</f>
        <v>80</v>
      </c>
      <c r="L16" s="81">
        <f>SUM(L7:L14)</f>
        <v>800000</v>
      </c>
      <c r="M16" s="81">
        <f>SUM(M7:M14)</f>
        <v>560000</v>
      </c>
      <c r="N16" s="81">
        <f>SUM(N7:N14)</f>
        <v>364000</v>
      </c>
      <c r="AA16" s="355" t="s">
        <v>1561</v>
      </c>
      <c r="AB16" s="89">
        <f>SUM(AB7:AB14)</f>
        <v>550</v>
      </c>
      <c r="AC16" s="89">
        <f>SUM(AC7:AC14)</f>
        <v>5500000</v>
      </c>
      <c r="AD16" s="89">
        <f>SUM(AD7:AD14)</f>
        <v>3850000</v>
      </c>
      <c r="AE16" s="81">
        <f>SUM(AE7:AE14)</f>
        <v>2502500</v>
      </c>
      <c r="AR16" s="355" t="s">
        <v>1561</v>
      </c>
      <c r="AS16" s="89">
        <f>SUM(AS7:AS14)</f>
        <v>70</v>
      </c>
      <c r="AT16" s="89">
        <f>SUM(AT7:AT14)</f>
        <v>700000</v>
      </c>
      <c r="AU16" s="89">
        <f>SUM(AU7:AU14)</f>
        <v>490000</v>
      </c>
      <c r="AV16" s="81">
        <f>SUM(AV7:AV14)</f>
        <v>318500</v>
      </c>
      <c r="BI16" s="355" t="s">
        <v>1561</v>
      </c>
      <c r="BJ16" s="81">
        <f>SUM(BJ7:BJ14)</f>
        <v>0</v>
      </c>
      <c r="BK16" s="81">
        <f>SUM(BK7:BK14)</f>
        <v>0</v>
      </c>
      <c r="BL16" s="81">
        <f>SUM(BL7:BL14)</f>
        <v>0</v>
      </c>
      <c r="BM16" s="81">
        <f>SUM(BM7:BM14)</f>
        <v>0</v>
      </c>
    </row>
    <row r="17" spans="4:69" ht="4.5" customHeight="1">
      <c r="J17" s="355"/>
      <c r="K17" s="81"/>
      <c r="L17" s="81"/>
      <c r="M17" s="81"/>
      <c r="N17" s="81"/>
      <c r="AA17" s="355"/>
      <c r="AB17" s="89"/>
      <c r="AC17" s="89"/>
      <c r="AD17" s="89"/>
      <c r="AE17" s="81"/>
      <c r="AR17" s="355"/>
      <c r="AS17" s="89"/>
      <c r="AT17" s="89"/>
      <c r="AU17" s="89"/>
      <c r="AV17" s="81"/>
      <c r="BI17" s="355"/>
      <c r="BJ17" s="81"/>
      <c r="BK17" s="81"/>
      <c r="BL17" s="81"/>
      <c r="BM17" s="81"/>
    </row>
    <row r="18" spans="4:69" ht="18.95" customHeight="1">
      <c r="J18" s="355" t="s">
        <v>1598</v>
      </c>
      <c r="N18" s="1028"/>
      <c r="AA18" s="355" t="s">
        <v>1598</v>
      </c>
      <c r="AB18" s="1131">
        <f>K21</f>
        <v>80</v>
      </c>
      <c r="AC18" s="1131">
        <f>L21</f>
        <v>800000</v>
      </c>
      <c r="AD18" s="1131">
        <f>M21</f>
        <v>560000</v>
      </c>
      <c r="AE18" s="1028">
        <f>N21</f>
        <v>364000</v>
      </c>
      <c r="AR18" s="355" t="s">
        <v>1598</v>
      </c>
      <c r="AS18" s="147">
        <f>AB21</f>
        <v>150</v>
      </c>
      <c r="AT18" s="147">
        <f>AC21</f>
        <v>1500000</v>
      </c>
      <c r="AU18" s="147">
        <f>AD21</f>
        <v>1050000</v>
      </c>
      <c r="AV18" s="1028">
        <f>AE21</f>
        <v>682500</v>
      </c>
      <c r="BI18" s="355" t="s">
        <v>1598</v>
      </c>
      <c r="BJ18">
        <f>AS21</f>
        <v>15</v>
      </c>
      <c r="BK18">
        <f>AT21</f>
        <v>150000</v>
      </c>
      <c r="BL18">
        <f>AU21</f>
        <v>105000</v>
      </c>
      <c r="BM18" s="1028">
        <f>AV21</f>
        <v>68250</v>
      </c>
    </row>
    <row r="19" spans="4:69" ht="18.95" customHeight="1">
      <c r="J19" s="355" t="s">
        <v>1562</v>
      </c>
      <c r="K19" s="81">
        <f>SUM(K7:K11)</f>
        <v>0</v>
      </c>
      <c r="L19" s="81">
        <f t="shared" ref="L19:N19" si="16">SUM(L7:L11)</f>
        <v>0</v>
      </c>
      <c r="M19" s="81">
        <f t="shared" si="16"/>
        <v>0</v>
      </c>
      <c r="N19" s="1084">
        <f t="shared" si="16"/>
        <v>0</v>
      </c>
      <c r="AA19" s="355" t="s">
        <v>1562</v>
      </c>
      <c r="AB19" s="89">
        <f>SUM(AB7:AB11)</f>
        <v>400</v>
      </c>
      <c r="AC19" s="89">
        <f t="shared" ref="AC19:AE19" si="17">SUM(AC7:AC11)</f>
        <v>4000000</v>
      </c>
      <c r="AD19" s="89">
        <f t="shared" si="17"/>
        <v>2800000</v>
      </c>
      <c r="AE19" s="1084">
        <f t="shared" si="17"/>
        <v>1820000</v>
      </c>
      <c r="AR19" s="355" t="s">
        <v>1562</v>
      </c>
      <c r="AS19" s="89">
        <f>SUM(AS7:AS11)</f>
        <v>55</v>
      </c>
      <c r="AT19" s="89">
        <f t="shared" ref="AT19:AV19" si="18">SUM(AT7:AT11)</f>
        <v>550000</v>
      </c>
      <c r="AU19" s="89">
        <f t="shared" si="18"/>
        <v>385000</v>
      </c>
      <c r="AV19" s="1084">
        <f t="shared" si="18"/>
        <v>250250</v>
      </c>
      <c r="BI19" s="355" t="s">
        <v>1562</v>
      </c>
      <c r="BJ19" s="81">
        <f>SUM(BJ7:BJ11)</f>
        <v>0</v>
      </c>
      <c r="BK19" s="81">
        <f t="shared" ref="BK19:BM19" si="19">SUM(BK7:BK11)</f>
        <v>0</v>
      </c>
      <c r="BL19" s="81">
        <f t="shared" si="19"/>
        <v>0</v>
      </c>
      <c r="BM19" s="1084">
        <f t="shared" si="19"/>
        <v>0</v>
      </c>
    </row>
    <row r="20" spans="4:69" ht="18.95" customHeight="1" thickBot="1">
      <c r="J20" s="355" t="s">
        <v>1599</v>
      </c>
      <c r="K20" s="1029">
        <f>K18+K19</f>
        <v>0</v>
      </c>
      <c r="L20" s="1029">
        <f t="shared" ref="L20" si="20">L18+L19</f>
        <v>0</v>
      </c>
      <c r="M20" s="1029">
        <f t="shared" ref="M20" si="21">M18+M19</f>
        <v>0</v>
      </c>
      <c r="N20" s="1029">
        <f t="shared" ref="N20" si="22">N18+N19</f>
        <v>0</v>
      </c>
      <c r="AA20" s="355" t="s">
        <v>1599</v>
      </c>
      <c r="AB20" s="1029">
        <f>AB18+AB19</f>
        <v>480</v>
      </c>
      <c r="AC20" s="1029">
        <f t="shared" ref="AC20:AE20" si="23">AC18+AC19</f>
        <v>4800000</v>
      </c>
      <c r="AD20" s="1029">
        <f t="shared" si="23"/>
        <v>3360000</v>
      </c>
      <c r="AE20" s="1029">
        <f t="shared" si="23"/>
        <v>2184000</v>
      </c>
      <c r="AR20" s="355" t="s">
        <v>1599</v>
      </c>
      <c r="AS20" s="1029">
        <f>AS18+AS19</f>
        <v>205</v>
      </c>
      <c r="AT20" s="1029">
        <f t="shared" ref="AT20:AV20" si="24">AT18+AT19</f>
        <v>2050000</v>
      </c>
      <c r="AU20" s="1029">
        <f t="shared" si="24"/>
        <v>1435000</v>
      </c>
      <c r="AV20" s="1029">
        <f t="shared" si="24"/>
        <v>932750</v>
      </c>
      <c r="BI20" s="355" t="s">
        <v>1599</v>
      </c>
      <c r="BJ20" s="1029">
        <f>BJ18+BJ19</f>
        <v>15</v>
      </c>
      <c r="BK20" s="1029">
        <f t="shared" ref="BK20:BM20" si="25">BK18+BK19</f>
        <v>150000</v>
      </c>
      <c r="BL20" s="1029">
        <f t="shared" si="25"/>
        <v>105000</v>
      </c>
      <c r="BM20" s="1029">
        <f t="shared" si="25"/>
        <v>68250</v>
      </c>
    </row>
    <row r="21" spans="4:69" ht="18.95" customHeight="1" thickBot="1">
      <c r="J21" s="355" t="s">
        <v>1563</v>
      </c>
      <c r="K21" s="1118">
        <f>K16-K19</f>
        <v>80</v>
      </c>
      <c r="L21" s="1119">
        <f>L16-L19</f>
        <v>800000</v>
      </c>
      <c r="M21" s="1119">
        <f>M16-M19</f>
        <v>560000</v>
      </c>
      <c r="N21" s="1120">
        <f>N16-N19</f>
        <v>364000</v>
      </c>
      <c r="AA21" s="355" t="s">
        <v>1563</v>
      </c>
      <c r="AB21" s="89">
        <f>AB16-AB19</f>
        <v>150</v>
      </c>
      <c r="AC21" s="89">
        <f>AC16-AC19</f>
        <v>1500000</v>
      </c>
      <c r="AD21" s="89">
        <f>AD16-AD19</f>
        <v>1050000</v>
      </c>
      <c r="AE21" s="81">
        <f>AE16-AE19</f>
        <v>682500</v>
      </c>
      <c r="AR21" s="355" t="s">
        <v>1563</v>
      </c>
      <c r="AS21" s="89">
        <f t="shared" ref="AS21:AV21" si="26">AS16-AS19</f>
        <v>15</v>
      </c>
      <c r="AT21" s="89">
        <f t="shared" si="26"/>
        <v>150000</v>
      </c>
      <c r="AU21" s="89">
        <f t="shared" si="26"/>
        <v>105000</v>
      </c>
      <c r="AV21" s="81">
        <f t="shared" si="26"/>
        <v>68250</v>
      </c>
      <c r="BI21" s="355" t="s">
        <v>1563</v>
      </c>
      <c r="BJ21" s="81">
        <f t="shared" ref="BJ21:BM21" si="27">BJ16-BJ19</f>
        <v>0</v>
      </c>
      <c r="BK21" s="81">
        <f t="shared" si="27"/>
        <v>0</v>
      </c>
      <c r="BL21" s="81">
        <f t="shared" si="27"/>
        <v>0</v>
      </c>
      <c r="BM21" s="81">
        <f t="shared" si="27"/>
        <v>0</v>
      </c>
    </row>
    <row r="24" spans="4:69" ht="18.95" customHeight="1">
      <c r="J24" s="796" t="s">
        <v>1608</v>
      </c>
    </row>
    <row r="25" spans="4:69" ht="18.95" customHeight="1">
      <c r="D25" s="1024" t="s">
        <v>1595</v>
      </c>
      <c r="J25" s="796" t="s">
        <v>1600</v>
      </c>
      <c r="U25" s="1024" t="s">
        <v>1595</v>
      </c>
      <c r="X25" s="1145" t="s">
        <v>1616</v>
      </c>
      <c r="Y25" s="1146"/>
      <c r="Z25" s="1146"/>
      <c r="AA25" s="1146"/>
      <c r="AB25" s="1146"/>
      <c r="AC25" s="1146"/>
      <c r="AD25" s="1146"/>
      <c r="AE25" s="1146"/>
      <c r="AF25" s="1146"/>
      <c r="AG25" s="1146"/>
      <c r="AL25" s="1024" t="s">
        <v>1595</v>
      </c>
      <c r="AR25" s="796"/>
      <c r="BC25" s="1024" t="s">
        <v>1595</v>
      </c>
      <c r="BI25" s="796"/>
    </row>
    <row r="26" spans="4:69" ht="18.95" customHeight="1" thickBot="1"/>
    <row r="27" spans="4:69" ht="18.95" customHeight="1">
      <c r="D27" s="1031"/>
      <c r="E27" s="1031"/>
      <c r="F27" s="1036" t="s">
        <v>1566</v>
      </c>
      <c r="G27" s="1032"/>
      <c r="H27" s="1032"/>
      <c r="I27" s="1032"/>
      <c r="J27" s="1032"/>
      <c r="K27" s="1032"/>
      <c r="L27" s="1032"/>
      <c r="M27" s="1032"/>
      <c r="O27" s="1032" t="s">
        <v>1586</v>
      </c>
      <c r="P27" s="1032"/>
      <c r="Q27" s="1032"/>
      <c r="R27" s="1032"/>
      <c r="U27" s="1031"/>
      <c r="V27" s="1031"/>
      <c r="W27" s="1036" t="s">
        <v>1566</v>
      </c>
      <c r="X27" s="1032"/>
      <c r="Y27" s="1032"/>
      <c r="Z27" s="1032"/>
      <c r="AA27" s="1032"/>
      <c r="AB27" s="1032"/>
      <c r="AC27" s="1032"/>
      <c r="AD27" s="1032"/>
      <c r="AF27" s="1032" t="s">
        <v>1586</v>
      </c>
      <c r="AG27" s="1032"/>
      <c r="AH27" s="1032"/>
      <c r="AI27" s="1032"/>
      <c r="AL27" s="1031"/>
      <c r="AM27" s="1031"/>
      <c r="AN27" s="1036" t="s">
        <v>1566</v>
      </c>
      <c r="AO27" s="1032"/>
      <c r="AP27" s="1032"/>
      <c r="AQ27" s="1032"/>
      <c r="AR27" s="1032"/>
      <c r="AS27" s="1032"/>
      <c r="AT27" s="1032"/>
      <c r="AU27" s="1032"/>
      <c r="AW27" s="1032" t="s">
        <v>1586</v>
      </c>
      <c r="AX27" s="1032"/>
      <c r="AY27" s="1032"/>
      <c r="AZ27" s="1032"/>
      <c r="BC27" s="1031"/>
      <c r="BD27" s="1031"/>
      <c r="BE27" s="1036" t="s">
        <v>1566</v>
      </c>
      <c r="BF27" s="1032"/>
      <c r="BG27" s="1032"/>
      <c r="BH27" s="1032"/>
      <c r="BI27" s="1032"/>
      <c r="BJ27" s="1032"/>
      <c r="BK27" s="1032"/>
      <c r="BL27" s="1032"/>
      <c r="BN27" s="1032" t="s">
        <v>1586</v>
      </c>
      <c r="BO27" s="1032"/>
      <c r="BP27" s="1032"/>
      <c r="BQ27" s="1032"/>
    </row>
    <row r="28" spans="4:69" ht="18.95" customHeight="1">
      <c r="D28" s="1033" t="s">
        <v>1578</v>
      </c>
      <c r="E28" s="736"/>
      <c r="F28" s="1205" t="s">
        <v>285</v>
      </c>
      <c r="G28" s="1207" t="s">
        <v>284</v>
      </c>
      <c r="H28" s="1207" t="s">
        <v>276</v>
      </c>
      <c r="I28" s="1046" t="s">
        <v>1602</v>
      </c>
      <c r="J28" s="1047"/>
      <c r="K28" s="1211" t="s">
        <v>282</v>
      </c>
      <c r="L28" s="1040"/>
      <c r="M28" s="1040"/>
      <c r="N28" s="355"/>
      <c r="O28" s="1209" t="s">
        <v>1589</v>
      </c>
      <c r="P28" s="1209" t="s">
        <v>1590</v>
      </c>
      <c r="Q28" s="1215" t="s">
        <v>1587</v>
      </c>
      <c r="R28" s="1213" t="s">
        <v>1588</v>
      </c>
      <c r="U28" s="1033" t="s">
        <v>1578</v>
      </c>
      <c r="V28" s="736"/>
      <c r="W28" s="1205" t="s">
        <v>285</v>
      </c>
      <c r="X28" s="1207" t="s">
        <v>284</v>
      </c>
      <c r="Y28" s="1207" t="s">
        <v>276</v>
      </c>
      <c r="Z28" s="1046" t="s">
        <v>1602</v>
      </c>
      <c r="AA28" s="1047"/>
      <c r="AB28" s="1211" t="s">
        <v>282</v>
      </c>
      <c r="AC28" s="1040"/>
      <c r="AD28" s="1040"/>
      <c r="AE28" s="355"/>
      <c r="AF28" s="1209" t="s">
        <v>1589</v>
      </c>
      <c r="AG28" s="1209" t="s">
        <v>1590</v>
      </c>
      <c r="AH28" s="1215" t="s">
        <v>1587</v>
      </c>
      <c r="AI28" s="1213" t="s">
        <v>1588</v>
      </c>
      <c r="AL28" s="1033" t="s">
        <v>1578</v>
      </c>
      <c r="AM28" s="736"/>
      <c r="AN28" s="1205" t="s">
        <v>285</v>
      </c>
      <c r="AO28" s="1207" t="s">
        <v>284</v>
      </c>
      <c r="AP28" s="1207" t="s">
        <v>276</v>
      </c>
      <c r="AQ28" s="1046" t="s">
        <v>1602</v>
      </c>
      <c r="AR28" s="1047"/>
      <c r="AS28" s="1211" t="s">
        <v>282</v>
      </c>
      <c r="AT28" s="1040"/>
      <c r="AU28" s="1040"/>
      <c r="AV28" s="355"/>
      <c r="AW28" s="1209" t="s">
        <v>1589</v>
      </c>
      <c r="AX28" s="1209" t="s">
        <v>1590</v>
      </c>
      <c r="AY28" s="1215" t="s">
        <v>1587</v>
      </c>
      <c r="AZ28" s="1213" t="s">
        <v>1588</v>
      </c>
      <c r="BC28" s="1033" t="s">
        <v>1578</v>
      </c>
      <c r="BD28" s="736"/>
      <c r="BE28" s="1205" t="s">
        <v>285</v>
      </c>
      <c r="BF28" s="1207" t="s">
        <v>284</v>
      </c>
      <c r="BG28" s="1207" t="s">
        <v>276</v>
      </c>
      <c r="BH28" s="1046" t="s">
        <v>1602</v>
      </c>
      <c r="BI28" s="1047"/>
      <c r="BJ28" s="1211" t="s">
        <v>282</v>
      </c>
      <c r="BK28" s="1040"/>
      <c r="BL28" s="1040"/>
      <c r="BM28" s="355"/>
      <c r="BN28" s="1209" t="s">
        <v>1589</v>
      </c>
      <c r="BO28" s="1209" t="s">
        <v>1590</v>
      </c>
      <c r="BP28" s="1215" t="s">
        <v>1587</v>
      </c>
      <c r="BQ28" s="1213" t="s">
        <v>1588</v>
      </c>
    </row>
    <row r="29" spans="4:69" ht="18.95" customHeight="1" thickBot="1">
      <c r="D29" s="1034"/>
      <c r="E29" s="1034"/>
      <c r="F29" s="1206"/>
      <c r="G29" s="1208"/>
      <c r="H29" s="1208"/>
      <c r="I29" s="1065" t="s">
        <v>1574</v>
      </c>
      <c r="J29" s="1065" t="s">
        <v>1575</v>
      </c>
      <c r="K29" s="1217"/>
      <c r="L29" s="1116" t="s">
        <v>281</v>
      </c>
      <c r="M29" s="1117" t="s">
        <v>283</v>
      </c>
      <c r="N29" s="355"/>
      <c r="O29" s="1210"/>
      <c r="P29" s="1210"/>
      <c r="Q29" s="1216"/>
      <c r="R29" s="1214"/>
      <c r="U29" s="1034"/>
      <c r="V29" s="1034"/>
      <c r="W29" s="1206"/>
      <c r="X29" s="1208"/>
      <c r="Y29" s="1208"/>
      <c r="Z29" s="1065" t="s">
        <v>1574</v>
      </c>
      <c r="AA29" s="1065" t="s">
        <v>1575</v>
      </c>
      <c r="AB29" s="1212"/>
      <c r="AC29" s="1063" t="s">
        <v>281</v>
      </c>
      <c r="AD29" s="1064" t="s">
        <v>283</v>
      </c>
      <c r="AE29" s="355"/>
      <c r="AF29" s="1210"/>
      <c r="AG29" s="1210"/>
      <c r="AH29" s="1216"/>
      <c r="AI29" s="1214"/>
      <c r="AL29" s="1034"/>
      <c r="AM29" s="1034"/>
      <c r="AN29" s="1206"/>
      <c r="AO29" s="1208"/>
      <c r="AP29" s="1208"/>
      <c r="AQ29" s="1065" t="s">
        <v>1574</v>
      </c>
      <c r="AR29" s="1065" t="s">
        <v>1575</v>
      </c>
      <c r="AS29" s="1212"/>
      <c r="AT29" s="1063" t="s">
        <v>281</v>
      </c>
      <c r="AU29" s="1064" t="s">
        <v>283</v>
      </c>
      <c r="AV29" s="355"/>
      <c r="AW29" s="1210"/>
      <c r="AX29" s="1210"/>
      <c r="AY29" s="1216"/>
      <c r="AZ29" s="1214"/>
      <c r="BC29" s="1034"/>
      <c r="BD29" s="1034"/>
      <c r="BE29" s="1206"/>
      <c r="BF29" s="1208"/>
      <c r="BG29" s="1208"/>
      <c r="BH29" s="1065" t="s">
        <v>1574</v>
      </c>
      <c r="BI29" s="1065" t="s">
        <v>1575</v>
      </c>
      <c r="BJ29" s="1212"/>
      <c r="BK29" s="1063" t="s">
        <v>281</v>
      </c>
      <c r="BL29" s="1064" t="s">
        <v>283</v>
      </c>
      <c r="BM29" s="355"/>
      <c r="BN29" s="1210"/>
      <c r="BO29" s="1210"/>
      <c r="BP29" s="1216"/>
      <c r="BQ29" s="1214"/>
    </row>
    <row r="30" spans="4:69" ht="18.95" customHeight="1">
      <c r="D30" s="1030" t="s">
        <v>1558</v>
      </c>
      <c r="E30" s="540"/>
      <c r="F30" s="1102"/>
      <c r="G30" s="1083"/>
      <c r="H30" s="1083"/>
      <c r="I30" s="1083"/>
      <c r="J30" s="1114"/>
      <c r="K30" s="1121">
        <v>100</v>
      </c>
      <c r="L30" s="1122"/>
      <c r="M30" s="1123"/>
      <c r="O30" s="1051"/>
      <c r="P30" s="1051"/>
      <c r="Q30" s="1052"/>
      <c r="R30" s="1050"/>
      <c r="U30" s="1030" t="s">
        <v>1558</v>
      </c>
      <c r="V30" s="540"/>
      <c r="W30" s="1037">
        <f>K30</f>
        <v>100</v>
      </c>
      <c r="X30" s="1044">
        <f>AB20</f>
        <v>480</v>
      </c>
      <c r="Y30" s="1088">
        <v>200</v>
      </c>
      <c r="Z30" s="1083"/>
      <c r="AA30" s="1083"/>
      <c r="AB30" s="1041">
        <f>W30+X30-Y30</f>
        <v>380</v>
      </c>
      <c r="AC30" s="1048"/>
      <c r="AD30" s="1041"/>
      <c r="AF30" s="1051"/>
      <c r="AG30" s="1051"/>
      <c r="AH30" s="1052"/>
      <c r="AI30" s="1050"/>
      <c r="AL30" s="1030" t="s">
        <v>1558</v>
      </c>
      <c r="AM30" s="540"/>
      <c r="AN30" s="1037">
        <f>AB30</f>
        <v>380</v>
      </c>
      <c r="AO30" s="1044">
        <f>AS20</f>
        <v>205</v>
      </c>
      <c r="AP30" s="1088">
        <v>300</v>
      </c>
      <c r="AQ30" s="1083"/>
      <c r="AR30" s="1083"/>
      <c r="AS30" s="1041">
        <f>AN30+AO30-AP30</f>
        <v>285</v>
      </c>
      <c r="AT30" s="1048"/>
      <c r="AU30" s="1041"/>
      <c r="AW30" s="1051"/>
      <c r="AX30" s="1051"/>
      <c r="AY30" s="1052"/>
      <c r="AZ30" s="1050"/>
      <c r="BC30" s="1030" t="s">
        <v>1558</v>
      </c>
      <c r="BD30" s="540"/>
      <c r="BE30" s="1037">
        <f>AS30</f>
        <v>285</v>
      </c>
      <c r="BF30" s="1044">
        <f>BJ20</f>
        <v>15</v>
      </c>
      <c r="BG30" s="1088"/>
      <c r="BH30" s="1083"/>
      <c r="BI30" s="1083"/>
      <c r="BJ30" s="1041">
        <f>BE30+BF30-BG30</f>
        <v>300</v>
      </c>
      <c r="BK30" s="1048"/>
      <c r="BL30" s="1041"/>
      <c r="BN30" s="1051"/>
      <c r="BO30" s="1051"/>
      <c r="BP30" s="1052"/>
      <c r="BQ30" s="1050"/>
    </row>
    <row r="31" spans="4:69" ht="18.95" customHeight="1">
      <c r="D31" s="1030" t="s">
        <v>1554</v>
      </c>
      <c r="E31" s="540"/>
      <c r="F31" s="1102"/>
      <c r="G31" s="1083"/>
      <c r="H31" s="1083"/>
      <c r="I31" s="1083"/>
      <c r="J31" s="1114"/>
      <c r="K31" s="1124">
        <v>2000000</v>
      </c>
      <c r="L31" s="1098"/>
      <c r="M31" s="1125"/>
      <c r="O31" s="1051"/>
      <c r="P31" s="1051"/>
      <c r="Q31" s="1052"/>
      <c r="R31" s="1050"/>
      <c r="U31" s="1030" t="s">
        <v>1554</v>
      </c>
      <c r="V31" s="540"/>
      <c r="W31" s="1037">
        <f t="shared" ref="W31:W35" si="28">K31</f>
        <v>2000000</v>
      </c>
      <c r="X31" s="1044">
        <f>AC20</f>
        <v>4800000</v>
      </c>
      <c r="Y31" s="1043">
        <f>IF(X30=0,0,(X31/X30)*Y30)</f>
        <v>2000000</v>
      </c>
      <c r="Z31" s="1083"/>
      <c r="AA31" s="1083"/>
      <c r="AB31" s="1041">
        <f>IF(Y30=0,W31+X31,(Y31/Y30)*AB30)</f>
        <v>3800000</v>
      </c>
      <c r="AC31" s="1048"/>
      <c r="AD31" s="1041"/>
      <c r="AF31" s="1051"/>
      <c r="AG31" s="1051"/>
      <c r="AH31" s="1052"/>
      <c r="AI31" s="1050"/>
      <c r="AL31" s="1030" t="s">
        <v>1554</v>
      </c>
      <c r="AM31" s="540"/>
      <c r="AN31" s="1037">
        <f t="shared" ref="AN31:AN35" si="29">AB31</f>
        <v>3800000</v>
      </c>
      <c r="AO31" s="1044">
        <f>AT20</f>
        <v>2050000</v>
      </c>
      <c r="AP31" s="1043">
        <f>IF(AO30=0,0,(AO31/AO30)*AP30)</f>
        <v>3000000</v>
      </c>
      <c r="AQ31" s="1083"/>
      <c r="AR31" s="1083"/>
      <c r="AS31" s="1041">
        <f>IF(AP30=0,AN31+AO31,(AP31/AP30)*AS30)</f>
        <v>2850000</v>
      </c>
      <c r="AT31" s="1048"/>
      <c r="AU31" s="1041"/>
      <c r="AW31" s="1051"/>
      <c r="AX31" s="1051"/>
      <c r="AY31" s="1052"/>
      <c r="AZ31" s="1050"/>
      <c r="BC31" s="1030" t="s">
        <v>1554</v>
      </c>
      <c r="BD31" s="540"/>
      <c r="BE31" s="1037">
        <f t="shared" ref="BE31:BE35" si="30">AS31</f>
        <v>2850000</v>
      </c>
      <c r="BF31" s="1044">
        <f>BK20</f>
        <v>150000</v>
      </c>
      <c r="BG31" s="1043">
        <f>IF(BF30=0,0,(BF31/BF30)*BG30)</f>
        <v>0</v>
      </c>
      <c r="BH31" s="1083"/>
      <c r="BI31" s="1083"/>
      <c r="BJ31" s="1041">
        <f>IF(BG30=0,BE31+BF31,(BG31/BG30)*BJ30)</f>
        <v>3000000</v>
      </c>
      <c r="BK31" s="1048"/>
      <c r="BL31" s="1041"/>
      <c r="BN31" s="1051"/>
      <c r="BO31" s="1051"/>
      <c r="BP31" s="1052"/>
      <c r="BQ31" s="1050"/>
    </row>
    <row r="32" spans="4:69" ht="18.95" customHeight="1">
      <c r="D32" s="1030" t="s">
        <v>1555</v>
      </c>
      <c r="E32" s="540"/>
      <c r="F32" s="1103"/>
      <c r="G32" s="1104"/>
      <c r="H32" s="1104"/>
      <c r="I32" s="1052"/>
      <c r="J32" s="1050"/>
      <c r="K32" s="1126">
        <v>0.5</v>
      </c>
      <c r="L32" s="1099"/>
      <c r="M32" s="1127"/>
      <c r="O32" s="1051"/>
      <c r="P32" s="1051"/>
      <c r="Q32" s="1052"/>
      <c r="R32" s="1050"/>
      <c r="U32" s="1030" t="s">
        <v>1555</v>
      </c>
      <c r="V32" s="540"/>
      <c r="W32" s="1087">
        <f t="shared" si="28"/>
        <v>0.5</v>
      </c>
      <c r="X32" s="1045">
        <f>1-(X33/X31)</f>
        <v>0.30000000000000004</v>
      </c>
      <c r="Y32" s="1089">
        <v>0.35</v>
      </c>
      <c r="Z32" s="1052"/>
      <c r="AA32" s="1052"/>
      <c r="AB32" s="1042">
        <f>IF(Y30=0,1-((W33+X33)/(W31+X31)),Y32)</f>
        <v>0.35</v>
      </c>
      <c r="AC32" s="1050"/>
      <c r="AF32" s="1051"/>
      <c r="AG32" s="1051"/>
      <c r="AH32" s="1052"/>
      <c r="AI32" s="1050"/>
      <c r="AL32" s="1030" t="s">
        <v>1555</v>
      </c>
      <c r="AM32" s="540"/>
      <c r="AN32" s="1087">
        <f t="shared" si="29"/>
        <v>0.35</v>
      </c>
      <c r="AO32" s="1045">
        <f>1-(AO33/AO31)</f>
        <v>0.30000000000000004</v>
      </c>
      <c r="AP32" s="1089">
        <v>0.5</v>
      </c>
      <c r="AQ32" s="1052"/>
      <c r="AR32" s="1052"/>
      <c r="AS32" s="1042">
        <f>IF(AP30=0,1-((AN33+AO33)/(AN31+AO31)),AP32)</f>
        <v>0.5</v>
      </c>
      <c r="AT32" s="1050"/>
      <c r="AW32" s="1051"/>
      <c r="AX32" s="1051"/>
      <c r="AY32" s="1052"/>
      <c r="AZ32" s="1050"/>
      <c r="BC32" s="1030" t="s">
        <v>1555</v>
      </c>
      <c r="BD32" s="540"/>
      <c r="BE32" s="1087">
        <f t="shared" si="30"/>
        <v>0.5</v>
      </c>
      <c r="BF32" s="1045">
        <f>1-(BF33/BF31)</f>
        <v>0.30000000000000004</v>
      </c>
      <c r="BG32" s="1089"/>
      <c r="BH32" s="1052"/>
      <c r="BI32" s="1052"/>
      <c r="BJ32" s="1042">
        <f>IF(BG30=0,1-((BE33+BF33)/(BE31+BF31)),BG32)</f>
        <v>0.49</v>
      </c>
      <c r="BK32" s="1050"/>
      <c r="BN32" s="1051"/>
      <c r="BO32" s="1051"/>
      <c r="BP32" s="1052"/>
      <c r="BQ32" s="1050"/>
    </row>
    <row r="33" spans="4:71" ht="18.95" customHeight="1">
      <c r="D33" s="1030" t="s">
        <v>1559</v>
      </c>
      <c r="E33" s="540"/>
      <c r="F33" s="1102"/>
      <c r="G33" s="1083"/>
      <c r="H33" s="1083"/>
      <c r="I33" s="1083"/>
      <c r="J33" s="1114"/>
      <c r="K33" s="1124">
        <v>1000000</v>
      </c>
      <c r="L33" s="1098"/>
      <c r="M33" s="1125"/>
      <c r="O33" s="1051"/>
      <c r="P33" s="1051"/>
      <c r="Q33" s="1052"/>
      <c r="R33" s="1050"/>
      <c r="U33" s="1030" t="s">
        <v>1559</v>
      </c>
      <c r="V33" s="540"/>
      <c r="W33" s="1037">
        <f t="shared" si="28"/>
        <v>1000000</v>
      </c>
      <c r="X33" s="1044">
        <f>AD20</f>
        <v>3360000</v>
      </c>
      <c r="Y33" s="1043">
        <f>Y31*(1-Y32)</f>
        <v>1300000</v>
      </c>
      <c r="Z33" s="1083"/>
      <c r="AA33" s="1083"/>
      <c r="AB33" s="1041">
        <f>AB31*(1-AB32)</f>
        <v>2470000</v>
      </c>
      <c r="AC33" s="1048"/>
      <c r="AD33" s="1041"/>
      <c r="AF33" s="1051"/>
      <c r="AG33" s="1051"/>
      <c r="AH33" s="1052"/>
      <c r="AI33" s="1050"/>
      <c r="AL33" s="1030" t="s">
        <v>1559</v>
      </c>
      <c r="AM33" s="540"/>
      <c r="AN33" s="1037">
        <f t="shared" si="29"/>
        <v>2470000</v>
      </c>
      <c r="AO33" s="1044">
        <f>AU20</f>
        <v>1435000</v>
      </c>
      <c r="AP33" s="1043">
        <f>AP31*(1-AP32)</f>
        <v>1500000</v>
      </c>
      <c r="AQ33" s="1083"/>
      <c r="AR33" s="1083"/>
      <c r="AS33" s="1041">
        <f>AS31*(1-AS32)</f>
        <v>1425000</v>
      </c>
      <c r="AT33" s="1048"/>
      <c r="AU33" s="1041"/>
      <c r="AW33" s="1051"/>
      <c r="AX33" s="1051"/>
      <c r="AY33" s="1052"/>
      <c r="AZ33" s="1050"/>
      <c r="BC33" s="1030" t="s">
        <v>1559</v>
      </c>
      <c r="BD33" s="540"/>
      <c r="BE33" s="1037">
        <f t="shared" si="30"/>
        <v>1425000</v>
      </c>
      <c r="BF33" s="1044">
        <f>BL20</f>
        <v>105000</v>
      </c>
      <c r="BG33" s="1043">
        <f>BG31*(1-BG32)</f>
        <v>0</v>
      </c>
      <c r="BH33" s="1083"/>
      <c r="BI33" s="1083"/>
      <c r="BJ33" s="1041">
        <f>BJ31*(1-BJ32)</f>
        <v>1530000</v>
      </c>
      <c r="BK33" s="1048"/>
      <c r="BL33" s="1041"/>
      <c r="BN33" s="1051"/>
      <c r="BO33" s="1051"/>
      <c r="BP33" s="1052"/>
      <c r="BQ33" s="1050"/>
    </row>
    <row r="34" spans="4:71" ht="18.95" customHeight="1">
      <c r="D34" s="1030" t="s">
        <v>1556</v>
      </c>
      <c r="E34" s="540"/>
      <c r="F34" s="1103"/>
      <c r="G34" s="1104"/>
      <c r="H34" s="1104"/>
      <c r="I34" s="1052"/>
      <c r="J34" s="1050"/>
      <c r="K34" s="1126">
        <v>0.19999999999999996</v>
      </c>
      <c r="L34" s="1099"/>
      <c r="M34" s="1127"/>
      <c r="O34" s="1051"/>
      <c r="P34" s="1051"/>
      <c r="Q34" s="1052"/>
      <c r="R34" s="1050"/>
      <c r="U34" s="1030" t="s">
        <v>1556</v>
      </c>
      <c r="V34" s="540"/>
      <c r="W34" s="1087">
        <f t="shared" si="28"/>
        <v>0.19999999999999996</v>
      </c>
      <c r="X34" s="1045">
        <f>IF(X33=0,0,1-(X35/X33))</f>
        <v>0.35</v>
      </c>
      <c r="Y34" s="1089">
        <v>0.32</v>
      </c>
      <c r="Z34" s="1052"/>
      <c r="AA34" s="1052"/>
      <c r="AB34" s="1042">
        <f>IF(Y30=0,1-((W35+X35)/(W33+X33)),Y34)</f>
        <v>0.32</v>
      </c>
      <c r="AC34" s="1050"/>
      <c r="AF34" s="1051"/>
      <c r="AG34" s="1051"/>
      <c r="AH34" s="1052"/>
      <c r="AI34" s="1050"/>
      <c r="AL34" s="1030" t="s">
        <v>1556</v>
      </c>
      <c r="AM34" s="540"/>
      <c r="AN34" s="1087">
        <f t="shared" si="29"/>
        <v>0.32</v>
      </c>
      <c r="AO34" s="1045">
        <f>IF(AO33=0,0,1-(AO35/AO33))</f>
        <v>0.35</v>
      </c>
      <c r="AP34" s="1089">
        <v>0.32</v>
      </c>
      <c r="AQ34" s="1052"/>
      <c r="AR34" s="1052"/>
      <c r="AS34" s="1042">
        <f>IF(AP30=0,1-((AN35+AO35)/(AN33+AO33)),AP34)</f>
        <v>0.32</v>
      </c>
      <c r="AT34" s="1050"/>
      <c r="AW34" s="1051"/>
      <c r="AX34" s="1051"/>
      <c r="AY34" s="1052"/>
      <c r="AZ34" s="1050"/>
      <c r="BC34" s="1030" t="s">
        <v>1556</v>
      </c>
      <c r="BD34" s="540"/>
      <c r="BE34" s="1087">
        <f t="shared" si="30"/>
        <v>0.32</v>
      </c>
      <c r="BF34" s="1045">
        <f>IF(BF33=0,0,1-(BF35/BF33))</f>
        <v>0.35</v>
      </c>
      <c r="BG34" s="1089"/>
      <c r="BH34" s="1052"/>
      <c r="BI34" s="1052"/>
      <c r="BJ34" s="1042">
        <f>IF(BG30=0,1-((BE35+BF35)/(BE33+BF33)),BG34)</f>
        <v>0.32205882352941184</v>
      </c>
      <c r="BK34" s="1050"/>
      <c r="BN34" s="1051"/>
      <c r="BO34" s="1051"/>
      <c r="BP34" s="1052"/>
      <c r="BQ34" s="1050"/>
    </row>
    <row r="35" spans="4:71" ht="18.95" customHeight="1" thickBot="1">
      <c r="D35" s="1030" t="s">
        <v>1557</v>
      </c>
      <c r="E35" s="540"/>
      <c r="F35" s="1102"/>
      <c r="G35" s="1083"/>
      <c r="H35" s="1083"/>
      <c r="I35" s="1066"/>
      <c r="J35" s="1115"/>
      <c r="K35" s="1128">
        <v>800000</v>
      </c>
      <c r="L35" s="1129">
        <f>K35-M35</f>
        <v>700000</v>
      </c>
      <c r="M35" s="1130">
        <f>R35</f>
        <v>100000</v>
      </c>
      <c r="O35" s="1051"/>
      <c r="P35" s="1051"/>
      <c r="Q35" s="1052"/>
      <c r="R35" s="1098">
        <v>100000</v>
      </c>
      <c r="S35" s="1027"/>
      <c r="T35" s="1025"/>
      <c r="U35" s="1030" t="s">
        <v>1557</v>
      </c>
      <c r="V35" s="540"/>
      <c r="W35" s="1037">
        <f t="shared" si="28"/>
        <v>800000</v>
      </c>
      <c r="X35" s="1044">
        <f>AE20</f>
        <v>2184000</v>
      </c>
      <c r="Y35" s="1079">
        <f>Y33*(1-Y34)</f>
        <v>883999.99999999988</v>
      </c>
      <c r="Z35" s="1066">
        <f>(((W35+X35)/(W31+X31))*Y31)-Y35</f>
        <v>-6352.9411764704855</v>
      </c>
      <c r="AA35" s="1067">
        <f>(W35+X35-Y35-Z35)-AB35</f>
        <v>426752.9411764706</v>
      </c>
      <c r="AB35" s="1041">
        <f>AB33*(1-AB34)</f>
        <v>1679599.9999999998</v>
      </c>
      <c r="AC35" s="1147">
        <f>AB35-AD35</f>
        <v>1463599.9999999998</v>
      </c>
      <c r="AD35" s="1041">
        <f>AI35</f>
        <v>216000</v>
      </c>
      <c r="AF35" s="1056">
        <f>R35</f>
        <v>100000</v>
      </c>
      <c r="AG35" s="1053">
        <v>1000000</v>
      </c>
      <c r="AH35" s="1079">
        <f>Y51-AB51</f>
        <v>884000</v>
      </c>
      <c r="AI35" s="1048">
        <f>AF35+AG35-AH35</f>
        <v>216000</v>
      </c>
      <c r="AJ35" s="1027"/>
      <c r="AK35" s="1025"/>
      <c r="AL35" s="1030" t="s">
        <v>1557</v>
      </c>
      <c r="AM35" s="540"/>
      <c r="AN35" s="1037">
        <f t="shared" si="29"/>
        <v>1679599.9999999998</v>
      </c>
      <c r="AO35" s="1044">
        <f>AV20</f>
        <v>932750</v>
      </c>
      <c r="AP35" s="1079">
        <f>AP33*(1-AP34)</f>
        <v>1019999.9999999999</v>
      </c>
      <c r="AQ35" s="1066">
        <f>(((AN35+AO35)/(AN31+AO31))*AP31)-AP35</f>
        <v>319666.66666666663</v>
      </c>
      <c r="AR35" s="1067">
        <f>(AN35+AO35-AP35-AQ35)-AS35</f>
        <v>303683.3333333336</v>
      </c>
      <c r="AS35" s="1041">
        <f>AS33*(1-AS34)</f>
        <v>968999.99999999988</v>
      </c>
      <c r="AT35" s="1048">
        <f>AS35-AU35</f>
        <v>772999.99999999988</v>
      </c>
      <c r="AU35" s="1041">
        <f>AZ35</f>
        <v>196000</v>
      </c>
      <c r="AW35" s="1056">
        <f>AI35</f>
        <v>216000</v>
      </c>
      <c r="AX35" s="1053">
        <v>1000000</v>
      </c>
      <c r="AY35" s="1079">
        <f>AP51-AS51</f>
        <v>1020000</v>
      </c>
      <c r="AZ35" s="1048">
        <f>AW35+AX35-AY35</f>
        <v>196000</v>
      </c>
      <c r="BA35" s="1027"/>
      <c r="BB35" s="1025"/>
      <c r="BC35" s="1030" t="s">
        <v>1557</v>
      </c>
      <c r="BD35" s="540"/>
      <c r="BE35" s="1037">
        <f t="shared" si="30"/>
        <v>968999.99999999988</v>
      </c>
      <c r="BF35" s="1044">
        <f>BM20</f>
        <v>68250</v>
      </c>
      <c r="BG35" s="1079">
        <f>BG33*(1-BG34)</f>
        <v>0</v>
      </c>
      <c r="BH35" s="1066">
        <f>(((BE35+BF35)/(BE31+BF31))*BG31)-BG35</f>
        <v>0</v>
      </c>
      <c r="BI35" s="1067">
        <f>(BE35+BF35-BG35-BH35)-BJ35</f>
        <v>0</v>
      </c>
      <c r="BJ35" s="1041">
        <f>BJ33*(1-BJ34)</f>
        <v>1037249.9999999999</v>
      </c>
      <c r="BK35" s="1048">
        <f>BJ35-BL35</f>
        <v>937249.99999999988</v>
      </c>
      <c r="BL35" s="1041">
        <f>BQ35</f>
        <v>100000</v>
      </c>
      <c r="BN35" s="1056">
        <f>AZ35</f>
        <v>196000</v>
      </c>
      <c r="BO35" s="1053">
        <v>-96000</v>
      </c>
      <c r="BP35" s="1079">
        <f>BG51-BJ51</f>
        <v>0</v>
      </c>
      <c r="BQ35" s="1048">
        <f>BN35+BO35-BP35</f>
        <v>100000</v>
      </c>
      <c r="BR35" s="1025"/>
      <c r="BS35" s="1025"/>
    </row>
    <row r="36" spans="4:71" ht="18.95" customHeight="1">
      <c r="D36" s="1030"/>
      <c r="E36" s="540"/>
      <c r="U36" s="1030"/>
      <c r="V36" s="540"/>
      <c r="AL36" s="1030"/>
      <c r="AM36" s="540"/>
      <c r="BC36" s="1030"/>
      <c r="BD36" s="540"/>
    </row>
    <row r="39" spans="4:71" ht="18.95" customHeight="1">
      <c r="D39" s="1024" t="s">
        <v>1597</v>
      </c>
      <c r="U39" s="1024" t="s">
        <v>1597</v>
      </c>
      <c r="AL39" s="1024" t="s">
        <v>1597</v>
      </c>
      <c r="BC39" s="1024" t="s">
        <v>1597</v>
      </c>
    </row>
    <row r="40" spans="4:71" ht="18.95" customHeight="1" thickBot="1"/>
    <row r="41" spans="4:71" ht="18.95" customHeight="1">
      <c r="D41" s="1032" t="s">
        <v>1577</v>
      </c>
      <c r="E41" s="1019"/>
      <c r="F41" s="1036" t="s">
        <v>1573</v>
      </c>
      <c r="G41" s="1032"/>
      <c r="H41" s="1032"/>
      <c r="I41" s="1057" t="s">
        <v>1570</v>
      </c>
      <c r="J41" s="1032"/>
      <c r="K41" s="1032"/>
      <c r="L41" s="1058"/>
      <c r="M41" s="1057" t="s">
        <v>1571</v>
      </c>
      <c r="N41" s="1032"/>
      <c r="O41" s="1058"/>
      <c r="P41" s="1032" t="s">
        <v>1572</v>
      </c>
      <c r="Q41" s="1032"/>
      <c r="R41" s="1032"/>
      <c r="U41" s="1032" t="s">
        <v>1577</v>
      </c>
      <c r="V41" s="1019"/>
      <c r="W41" s="1036" t="s">
        <v>1573</v>
      </c>
      <c r="X41" s="1032"/>
      <c r="Y41" s="1032"/>
      <c r="Z41" s="1057" t="s">
        <v>1570</v>
      </c>
      <c r="AA41" s="1032"/>
      <c r="AB41" s="1032"/>
      <c r="AC41" s="1058"/>
      <c r="AD41" s="1057" t="s">
        <v>1571</v>
      </c>
      <c r="AE41" s="1032"/>
      <c r="AF41" s="1058"/>
      <c r="AG41" s="1032" t="s">
        <v>1572</v>
      </c>
      <c r="AH41" s="1032"/>
      <c r="AI41" s="1032"/>
      <c r="AL41" s="1032" t="s">
        <v>1577</v>
      </c>
      <c r="AM41" s="1019"/>
      <c r="AN41" s="1036" t="s">
        <v>1573</v>
      </c>
      <c r="AO41" s="1032"/>
      <c r="AP41" s="1032"/>
      <c r="AQ41" s="1057" t="s">
        <v>1570</v>
      </c>
      <c r="AR41" s="1032"/>
      <c r="AS41" s="1032"/>
      <c r="AT41" s="1058"/>
      <c r="AU41" s="1057" t="s">
        <v>1571</v>
      </c>
      <c r="AV41" s="1032"/>
      <c r="AW41" s="1058"/>
      <c r="AX41" s="1032" t="s">
        <v>1572</v>
      </c>
      <c r="AY41" s="1032"/>
      <c r="AZ41" s="1032"/>
      <c r="BC41" s="1032" t="s">
        <v>1577</v>
      </c>
      <c r="BD41" s="1019"/>
      <c r="BE41" s="1036" t="s">
        <v>1573</v>
      </c>
      <c r="BF41" s="1032"/>
      <c r="BG41" s="1032"/>
      <c r="BH41" s="1057" t="s">
        <v>1570</v>
      </c>
      <c r="BI41" s="1032"/>
      <c r="BJ41" s="1032"/>
      <c r="BK41" s="1058"/>
      <c r="BL41" s="1057" t="s">
        <v>1571</v>
      </c>
      <c r="BM41" s="1032"/>
      <c r="BN41" s="1058"/>
      <c r="BO41" s="1032" t="s">
        <v>1572</v>
      </c>
      <c r="BP41" s="1032"/>
      <c r="BQ41" s="1032"/>
    </row>
    <row r="42" spans="4:71" ht="18.95" customHeight="1" thickBot="1">
      <c r="D42" s="1035"/>
      <c r="E42" s="1034"/>
      <c r="F42" s="1059" t="s">
        <v>1567</v>
      </c>
      <c r="G42" s="1060" t="s">
        <v>1568</v>
      </c>
      <c r="H42" s="1021" t="s">
        <v>1569</v>
      </c>
      <c r="I42" s="1061" t="s">
        <v>1604</v>
      </c>
      <c r="J42" s="1062" t="s">
        <v>1603</v>
      </c>
      <c r="K42" s="1060" t="s">
        <v>1605</v>
      </c>
      <c r="L42" s="1023" t="s">
        <v>1565</v>
      </c>
      <c r="M42" s="1061" t="s">
        <v>1567</v>
      </c>
      <c r="N42" s="1060" t="s">
        <v>1568</v>
      </c>
      <c r="O42" s="1023" t="s">
        <v>1569</v>
      </c>
      <c r="P42" s="1062" t="s">
        <v>1567</v>
      </c>
      <c r="Q42" s="1060" t="s">
        <v>1568</v>
      </c>
      <c r="R42" s="1021" t="s">
        <v>1569</v>
      </c>
      <c r="U42" s="1035"/>
      <c r="V42" s="1034"/>
      <c r="W42" s="1059" t="s">
        <v>1567</v>
      </c>
      <c r="X42" s="1060" t="s">
        <v>1568</v>
      </c>
      <c r="Y42" s="1021" t="s">
        <v>1569</v>
      </c>
      <c r="Z42" s="1061" t="s">
        <v>1604</v>
      </c>
      <c r="AA42" s="1062" t="s">
        <v>1603</v>
      </c>
      <c r="AB42" s="1060" t="s">
        <v>1605</v>
      </c>
      <c r="AC42" s="1023" t="s">
        <v>1565</v>
      </c>
      <c r="AD42" s="1061" t="s">
        <v>1567</v>
      </c>
      <c r="AE42" s="1060" t="s">
        <v>1568</v>
      </c>
      <c r="AF42" s="1023" t="s">
        <v>1569</v>
      </c>
      <c r="AG42" s="1062" t="s">
        <v>1567</v>
      </c>
      <c r="AH42" s="1060" t="s">
        <v>1568</v>
      </c>
      <c r="AI42" s="1021" t="s">
        <v>1569</v>
      </c>
      <c r="AL42" s="1035"/>
      <c r="AM42" s="1034"/>
      <c r="AN42" s="1059" t="s">
        <v>1567</v>
      </c>
      <c r="AO42" s="1060" t="s">
        <v>1568</v>
      </c>
      <c r="AP42" s="1021" t="s">
        <v>1569</v>
      </c>
      <c r="AQ42" s="1061" t="s">
        <v>1604</v>
      </c>
      <c r="AR42" s="1062" t="s">
        <v>1603</v>
      </c>
      <c r="AS42" s="1060" t="s">
        <v>1564</v>
      </c>
      <c r="AT42" s="1023" t="s">
        <v>1565</v>
      </c>
      <c r="AU42" s="1061" t="s">
        <v>1567</v>
      </c>
      <c r="AV42" s="1060" t="s">
        <v>1568</v>
      </c>
      <c r="AW42" s="1023" t="s">
        <v>1569</v>
      </c>
      <c r="AX42" s="1062" t="s">
        <v>1567</v>
      </c>
      <c r="AY42" s="1060" t="s">
        <v>1568</v>
      </c>
      <c r="AZ42" s="1021" t="s">
        <v>1569</v>
      </c>
      <c r="BC42" s="1035"/>
      <c r="BD42" s="1034"/>
      <c r="BE42" s="1059" t="s">
        <v>1567</v>
      </c>
      <c r="BF42" s="1060" t="s">
        <v>1568</v>
      </c>
      <c r="BG42" s="1021" t="s">
        <v>1569</v>
      </c>
      <c r="BH42" s="1061" t="s">
        <v>1604</v>
      </c>
      <c r="BI42" s="1062" t="s">
        <v>1603</v>
      </c>
      <c r="BJ42" s="1060" t="s">
        <v>1564</v>
      </c>
      <c r="BK42" s="1023" t="s">
        <v>1565</v>
      </c>
      <c r="BL42" s="1061" t="s">
        <v>1567</v>
      </c>
      <c r="BM42" s="1060" t="s">
        <v>1568</v>
      </c>
      <c r="BN42" s="1023" t="s">
        <v>1569</v>
      </c>
      <c r="BO42" s="1062" t="s">
        <v>1567</v>
      </c>
      <c r="BP42" s="1060" t="s">
        <v>1568</v>
      </c>
      <c r="BQ42" s="1021" t="s">
        <v>1569</v>
      </c>
    </row>
    <row r="43" spans="4:71" ht="18.95" customHeight="1">
      <c r="D43" s="1030" t="s">
        <v>1576</v>
      </c>
      <c r="E43" s="540"/>
      <c r="F43" s="1090"/>
      <c r="G43" s="1091"/>
      <c r="H43" s="1092"/>
      <c r="I43" s="1093"/>
      <c r="J43" s="1094"/>
      <c r="K43" s="1095"/>
      <c r="L43" s="1096"/>
      <c r="M43" s="1093"/>
      <c r="N43" s="1091"/>
      <c r="O43" s="1097"/>
      <c r="P43" s="1055">
        <f>ROUND(R43/1.1,0)</f>
        <v>636364</v>
      </c>
      <c r="Q43" s="1100">
        <f>R43-P43</f>
        <v>63636</v>
      </c>
      <c r="R43" s="1101">
        <f>L35</f>
        <v>700000</v>
      </c>
      <c r="U43" s="1030" t="s">
        <v>1576</v>
      </c>
      <c r="V43" s="540"/>
      <c r="W43" s="1039">
        <f>ROUND(Y43/1.1,0)</f>
        <v>636364</v>
      </c>
      <c r="X43" s="1054">
        <f>Y43-W43</f>
        <v>63636</v>
      </c>
      <c r="Y43" s="1026">
        <f>R43</f>
        <v>700000</v>
      </c>
      <c r="Z43" s="1086">
        <f>AE18</f>
        <v>364000</v>
      </c>
      <c r="AA43" s="1085">
        <f>AE19</f>
        <v>1820000</v>
      </c>
      <c r="AB43" s="1049">
        <f>(Z35+AA35)*-1</f>
        <v>-420400.00000000012</v>
      </c>
      <c r="AC43" s="1016">
        <f>SUM(Z43:AB43)</f>
        <v>1763600</v>
      </c>
      <c r="AD43" s="1014">
        <f>ROUND(AF43/1.1,0)</f>
        <v>909091</v>
      </c>
      <c r="AE43" s="1054">
        <f>AF43-AD43</f>
        <v>90909</v>
      </c>
      <c r="AF43" s="1082">
        <f>AG35</f>
        <v>1000000</v>
      </c>
      <c r="AG43" s="617">
        <f>ROUND(AI43/1.1,0)</f>
        <v>1330545</v>
      </c>
      <c r="AH43" s="1054">
        <f>AI43-AG43</f>
        <v>133055</v>
      </c>
      <c r="AI43" s="1148">
        <f>Y43+AC43-AF43</f>
        <v>1463600</v>
      </c>
      <c r="AL43" s="1030" t="s">
        <v>1576</v>
      </c>
      <c r="AM43" s="540"/>
      <c r="AN43" s="1037">
        <f>ROUND(AP43/1.1,0)</f>
        <v>1330545</v>
      </c>
      <c r="AO43" s="1056">
        <f>AP43-AN43</f>
        <v>133055</v>
      </c>
      <c r="AP43" s="1026">
        <f>AI43</f>
        <v>1463600</v>
      </c>
      <c r="AQ43" s="1086">
        <f>AV18</f>
        <v>682500</v>
      </c>
      <c r="AR43" s="1085">
        <f>AV19</f>
        <v>250250</v>
      </c>
      <c r="AS43" s="1049">
        <f>(AQ35+AR35)*-1</f>
        <v>-623350.00000000023</v>
      </c>
      <c r="AT43" s="1049">
        <f>SUM(AQ43:AS43)</f>
        <v>309399.99999999977</v>
      </c>
      <c r="AU43" s="1048">
        <f>ROUND(AW43/1.1,0)</f>
        <v>909091</v>
      </c>
      <c r="AV43" s="1056">
        <f>AW43-AU43</f>
        <v>90909</v>
      </c>
      <c r="AW43" s="1082">
        <f>AX35</f>
        <v>1000000</v>
      </c>
      <c r="AX43" s="1041">
        <f>ROUND(AZ43/1.1,0)</f>
        <v>702727</v>
      </c>
      <c r="AY43" s="1056">
        <f>AZ43-AX43</f>
        <v>70272.999999999767</v>
      </c>
      <c r="AZ43" s="1026">
        <f>AP43+AT43-AW43</f>
        <v>772999.99999999977</v>
      </c>
      <c r="BC43" s="1030" t="s">
        <v>1576</v>
      </c>
      <c r="BD43" s="540"/>
      <c r="BE43" s="1037">
        <f>ROUND(BG43/1.1,0)</f>
        <v>702727</v>
      </c>
      <c r="BF43" s="1056">
        <f>BG43-BE43</f>
        <v>70272.999999999767</v>
      </c>
      <c r="BG43" s="1026">
        <f>AZ43</f>
        <v>772999.99999999977</v>
      </c>
      <c r="BH43" s="1086">
        <f>BM18</f>
        <v>68250</v>
      </c>
      <c r="BI43" s="1085">
        <f>BM19</f>
        <v>0</v>
      </c>
      <c r="BJ43" s="1049">
        <f>(BH35+BI35)*-1</f>
        <v>0</v>
      </c>
      <c r="BK43" s="1049">
        <f>SUM(BH43:BJ43)</f>
        <v>68250</v>
      </c>
      <c r="BL43" s="1048">
        <f>ROUND(BN43/1.1,0)</f>
        <v>-87273</v>
      </c>
      <c r="BM43" s="1056">
        <f>BN43-BL43</f>
        <v>-8727</v>
      </c>
      <c r="BN43" s="1082">
        <f>BO35</f>
        <v>-96000</v>
      </c>
      <c r="BO43" s="1041">
        <f>ROUND(BQ43/1.1,0)</f>
        <v>852045</v>
      </c>
      <c r="BP43" s="1056">
        <f>BQ43-BO43</f>
        <v>85204.999999999767</v>
      </c>
      <c r="BQ43" s="1026">
        <f>BG43+BK43-BN43</f>
        <v>937249.99999999977</v>
      </c>
    </row>
    <row r="44" spans="4:71" ht="18.95" customHeight="1">
      <c r="D44" s="509"/>
      <c r="R44" s="1026">
        <f>L35-R43</f>
        <v>0</v>
      </c>
      <c r="U44" s="509"/>
      <c r="AI44" s="1026">
        <f>AC35-AI43</f>
        <v>0</v>
      </c>
      <c r="AL44" s="509"/>
      <c r="AN44" s="1026"/>
      <c r="AO44" s="1026"/>
      <c r="AP44" s="1026"/>
      <c r="AQ44" s="1026"/>
      <c r="AR44" s="1026"/>
      <c r="AS44" s="1026"/>
      <c r="AT44" s="1026"/>
      <c r="AU44" s="1026"/>
      <c r="AV44" s="1026"/>
      <c r="AW44" s="1026"/>
      <c r="AX44" s="1026"/>
      <c r="AY44" s="1026"/>
      <c r="AZ44" s="1026"/>
      <c r="BC44" s="509"/>
      <c r="BE44" s="1026"/>
      <c r="BF44" s="1026"/>
      <c r="BG44" s="1026"/>
      <c r="BH44" s="1026"/>
      <c r="BI44" s="1026"/>
      <c r="BJ44" s="1026"/>
      <c r="BK44" s="1026"/>
      <c r="BL44" s="1026"/>
      <c r="BM44" s="1026"/>
      <c r="BN44" s="1026"/>
      <c r="BO44" s="1026"/>
      <c r="BP44" s="1026"/>
      <c r="BQ44" s="1026"/>
    </row>
    <row r="45" spans="4:71" ht="18.95" customHeight="1">
      <c r="D45" s="509"/>
      <c r="U45" s="509"/>
      <c r="AL45" s="509"/>
      <c r="BC45" s="509"/>
    </row>
    <row r="48" spans="4:71" ht="18.95" customHeight="1">
      <c r="D48" s="1024" t="s">
        <v>1596</v>
      </c>
      <c r="U48" s="1024" t="s">
        <v>1596</v>
      </c>
      <c r="AL48" s="1024" t="s">
        <v>1596</v>
      </c>
      <c r="BC48" s="1024" t="s">
        <v>1596</v>
      </c>
    </row>
    <row r="49" spans="4:63" ht="18.95" customHeight="1" thickBot="1"/>
    <row r="50" spans="4:63" ht="18.95" customHeight="1" thickBot="1">
      <c r="D50" s="1073" t="s">
        <v>1591</v>
      </c>
      <c r="E50" s="1073"/>
      <c r="F50" s="1074" t="s">
        <v>1580</v>
      </c>
      <c r="G50" s="1076" t="s">
        <v>1250</v>
      </c>
      <c r="H50" s="1076" t="s">
        <v>1251</v>
      </c>
      <c r="I50" s="1076" t="s">
        <v>1581</v>
      </c>
      <c r="J50" s="1076" t="s">
        <v>1275</v>
      </c>
      <c r="K50" s="1076" t="s">
        <v>1583</v>
      </c>
      <c r="L50" s="1081" t="s">
        <v>1592</v>
      </c>
      <c r="U50" s="1073" t="s">
        <v>1591</v>
      </c>
      <c r="V50" s="1073"/>
      <c r="W50" s="1074" t="s">
        <v>1580</v>
      </c>
      <c r="X50" s="1076" t="s">
        <v>1250</v>
      </c>
      <c r="Y50" s="1076" t="s">
        <v>1251</v>
      </c>
      <c r="Z50" s="1076" t="s">
        <v>1581</v>
      </c>
      <c r="AA50" s="1076" t="s">
        <v>1275</v>
      </c>
      <c r="AB50" s="1076" t="s">
        <v>1583</v>
      </c>
      <c r="AC50" s="1081" t="s">
        <v>1592</v>
      </c>
      <c r="AL50" s="1073" t="s">
        <v>1591</v>
      </c>
      <c r="AM50" s="1073"/>
      <c r="AN50" s="1074" t="s">
        <v>1580</v>
      </c>
      <c r="AO50" s="1076" t="s">
        <v>1250</v>
      </c>
      <c r="AP50" s="1076" t="s">
        <v>1251</v>
      </c>
      <c r="AQ50" s="1076" t="s">
        <v>1581</v>
      </c>
      <c r="AR50" s="1076" t="s">
        <v>1275</v>
      </c>
      <c r="AS50" s="1076" t="s">
        <v>1583</v>
      </c>
      <c r="AT50" s="1081" t="s">
        <v>1592</v>
      </c>
      <c r="BC50" s="1073" t="s">
        <v>1591</v>
      </c>
      <c r="BD50" s="1073"/>
      <c r="BE50" s="1074" t="s">
        <v>1580</v>
      </c>
      <c r="BF50" s="1076" t="s">
        <v>1250</v>
      </c>
      <c r="BG50" s="1076" t="s">
        <v>1251</v>
      </c>
      <c r="BH50" s="1076" t="s">
        <v>1581</v>
      </c>
      <c r="BI50" s="1076" t="s">
        <v>1275</v>
      </c>
      <c r="BJ50" s="1076" t="s">
        <v>1583</v>
      </c>
      <c r="BK50" s="1081" t="s">
        <v>1592</v>
      </c>
    </row>
    <row r="51" spans="4:63" ht="18.95" customHeight="1">
      <c r="D51" s="1030" t="s">
        <v>1579</v>
      </c>
      <c r="E51" s="540" t="s">
        <v>1582</v>
      </c>
      <c r="F51" s="1075">
        <f>H34</f>
        <v>0</v>
      </c>
      <c r="G51" s="1066">
        <f>H33</f>
        <v>0</v>
      </c>
      <c r="H51" s="1066">
        <f>G51</f>
        <v>0</v>
      </c>
      <c r="I51" s="1066">
        <f>H51-G51</f>
        <v>0</v>
      </c>
      <c r="J51" s="1052"/>
      <c r="K51" s="1105">
        <f>H51*F51</f>
        <v>0</v>
      </c>
      <c r="L51" s="1106">
        <f>H51-K51</f>
        <v>0</v>
      </c>
      <c r="U51" s="1030" t="s">
        <v>1579</v>
      </c>
      <c r="V51" s="540" t="s">
        <v>1582</v>
      </c>
      <c r="W51" s="1075">
        <f>Y34</f>
        <v>0.32</v>
      </c>
      <c r="X51" s="1066">
        <f>Y33</f>
        <v>1300000</v>
      </c>
      <c r="Y51" s="1066">
        <f>X51</f>
        <v>1300000</v>
      </c>
      <c r="Z51" s="1066">
        <f>Y51-X51</f>
        <v>0</v>
      </c>
      <c r="AA51" s="1052"/>
      <c r="AB51" s="1077">
        <f>Y51*W51</f>
        <v>416000</v>
      </c>
      <c r="AC51" s="1078">
        <f>Y51-AB51</f>
        <v>884000</v>
      </c>
      <c r="AL51" s="1030" t="s">
        <v>1579</v>
      </c>
      <c r="AM51" s="540" t="s">
        <v>1582</v>
      </c>
      <c r="AN51" s="1075">
        <f>AP34</f>
        <v>0.32</v>
      </c>
      <c r="AO51" s="1066">
        <f>AP33</f>
        <v>1500000</v>
      </c>
      <c r="AP51" s="1066">
        <f>AO51</f>
        <v>1500000</v>
      </c>
      <c r="AQ51" s="1066">
        <f>AP51-AO51</f>
        <v>0</v>
      </c>
      <c r="AR51" s="1052"/>
      <c r="AS51" s="1077">
        <f>AP51*AN51</f>
        <v>480000</v>
      </c>
      <c r="AT51" s="1078">
        <f>AP51-AS51</f>
        <v>1020000</v>
      </c>
      <c r="BC51" s="1030" t="s">
        <v>1579</v>
      </c>
      <c r="BD51" s="540" t="s">
        <v>1582</v>
      </c>
      <c r="BE51" s="1075">
        <f>BG34</f>
        <v>0</v>
      </c>
      <c r="BF51" s="1066">
        <f>BG33</f>
        <v>0</v>
      </c>
      <c r="BG51" s="1066">
        <f>BF51</f>
        <v>0</v>
      </c>
      <c r="BH51" s="1066">
        <f>BG51-BF51</f>
        <v>0</v>
      </c>
      <c r="BI51" s="1052"/>
      <c r="BJ51" s="1077">
        <f>BG51*BE51</f>
        <v>0</v>
      </c>
      <c r="BK51" s="1078">
        <f>BG51-BJ51</f>
        <v>0</v>
      </c>
    </row>
    <row r="52" spans="4:63" ht="18.95" customHeight="1">
      <c r="D52" s="509"/>
      <c r="U52" s="509"/>
      <c r="AL52" s="509"/>
      <c r="BC52" s="509"/>
    </row>
    <row r="53" spans="4:63" ht="18.95" customHeight="1">
      <c r="D53" s="509"/>
      <c r="U53" s="509"/>
      <c r="AL53" s="509"/>
      <c r="BC53" s="509"/>
    </row>
    <row r="54" spans="4:63" ht="18.95" customHeight="1">
      <c r="D54" s="509"/>
      <c r="U54" s="509"/>
      <c r="AL54" s="509"/>
      <c r="BC54" s="509"/>
    </row>
  </sheetData>
  <mergeCells count="32">
    <mergeCell ref="Q28:Q29"/>
    <mergeCell ref="R28:R29"/>
    <mergeCell ref="F28:F29"/>
    <mergeCell ref="G28:G29"/>
    <mergeCell ref="H28:H29"/>
    <mergeCell ref="K28:K29"/>
    <mergeCell ref="O28:O29"/>
    <mergeCell ref="P28:P29"/>
    <mergeCell ref="BQ28:BQ29"/>
    <mergeCell ref="AW28:AW29"/>
    <mergeCell ref="AX28:AX29"/>
    <mergeCell ref="AY28:AY29"/>
    <mergeCell ref="AZ28:AZ29"/>
    <mergeCell ref="BE28:BE29"/>
    <mergeCell ref="BF28:BF29"/>
    <mergeCell ref="BG28:BG29"/>
    <mergeCell ref="BJ28:BJ29"/>
    <mergeCell ref="BN28:BN29"/>
    <mergeCell ref="BO28:BO29"/>
    <mergeCell ref="BP28:BP29"/>
    <mergeCell ref="AS28:AS29"/>
    <mergeCell ref="W28:W29"/>
    <mergeCell ref="X28:X29"/>
    <mergeCell ref="Y28:Y29"/>
    <mergeCell ref="AB28:AB29"/>
    <mergeCell ref="AF28:AF29"/>
    <mergeCell ref="AG28:AG29"/>
    <mergeCell ref="AH28:AH29"/>
    <mergeCell ref="AI28:AI29"/>
    <mergeCell ref="AN28:AN29"/>
    <mergeCell ref="AO28:AO29"/>
    <mergeCell ref="AP28:AP29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 tint="0.59999389629810485"/>
  </sheetPr>
  <dimension ref="C4:W88"/>
  <sheetViews>
    <sheetView showGridLines="0" topLeftCell="A61" zoomScaleNormal="100" workbookViewId="0">
      <selection activeCell="Z18" sqref="Z18"/>
    </sheetView>
  </sheetViews>
  <sheetFormatPr defaultRowHeight="20.100000000000001" customHeight="1"/>
  <cols>
    <col min="1" max="2" width="9.140625" style="78"/>
    <col min="3" max="11" width="3.7109375" style="78" customWidth="1"/>
    <col min="12" max="17" width="9.140625" style="78"/>
    <col min="18" max="18" width="3.7109375" style="78" customWidth="1"/>
    <col min="19" max="16384" width="9.140625" style="78"/>
  </cols>
  <sheetData>
    <row r="4" spans="3:18" customFormat="1" ht="27.75" customHeight="1">
      <c r="C4" s="353" t="s">
        <v>816</v>
      </c>
    </row>
    <row r="5" spans="3:18" ht="20.100000000000001" customHeight="1" thickBot="1"/>
    <row r="6" spans="3:18" ht="9.9499999999999993" customHeight="1">
      <c r="H6" s="503"/>
      <c r="I6" s="129"/>
      <c r="J6" s="129"/>
      <c r="K6" s="129"/>
      <c r="L6" s="129"/>
      <c r="M6" s="129"/>
      <c r="N6" s="129"/>
      <c r="O6" s="129"/>
      <c r="P6" s="129"/>
      <c r="Q6" s="129"/>
      <c r="R6" s="504"/>
    </row>
    <row r="7" spans="3:18" ht="20.100000000000001" customHeight="1">
      <c r="D7" s="474"/>
      <c r="H7" s="134"/>
      <c r="I7" s="489" t="s">
        <v>709</v>
      </c>
      <c r="J7" s="489"/>
      <c r="K7" s="501" t="s">
        <v>703</v>
      </c>
      <c r="L7" s="92"/>
      <c r="M7" s="92"/>
      <c r="N7" s="92"/>
      <c r="O7" s="92"/>
      <c r="P7" s="92"/>
      <c r="Q7" s="92"/>
      <c r="R7" s="490"/>
    </row>
    <row r="8" spans="3:18" ht="5.0999999999999996" customHeight="1">
      <c r="H8" s="134"/>
      <c r="R8" s="490"/>
    </row>
    <row r="9" spans="3:18" ht="20.100000000000001" customHeight="1">
      <c r="H9" s="134"/>
      <c r="I9" s="165"/>
      <c r="J9" s="165"/>
      <c r="K9" s="491" t="s">
        <v>695</v>
      </c>
      <c r="L9" s="165" t="s">
        <v>696</v>
      </c>
      <c r="M9" s="165"/>
      <c r="N9" s="165"/>
      <c r="O9" s="165"/>
      <c r="P9" s="165"/>
      <c r="Q9" s="165"/>
      <c r="R9" s="490"/>
    </row>
    <row r="10" spans="3:18" ht="9.9499999999999993" customHeight="1">
      <c r="H10" s="134"/>
      <c r="R10" s="490"/>
    </row>
    <row r="11" spans="3:18" ht="20.100000000000001" customHeight="1">
      <c r="D11" s="474"/>
      <c r="H11" s="134"/>
      <c r="I11" s="489" t="s">
        <v>710</v>
      </c>
      <c r="J11" s="489"/>
      <c r="K11" s="505" t="s">
        <v>706</v>
      </c>
      <c r="L11" s="92"/>
      <c r="M11" s="92"/>
      <c r="N11" s="92"/>
      <c r="O11" s="92"/>
      <c r="P11" s="92"/>
      <c r="Q11" s="92"/>
      <c r="R11" s="490"/>
    </row>
    <row r="12" spans="3:18" ht="5.0999999999999996" customHeight="1">
      <c r="H12" s="134"/>
      <c r="R12" s="490"/>
    </row>
    <row r="13" spans="3:18" ht="20.100000000000001" customHeight="1">
      <c r="H13" s="134"/>
      <c r="I13" s="165"/>
      <c r="J13" s="165"/>
      <c r="K13" s="491" t="s">
        <v>695</v>
      </c>
      <c r="L13" s="165" t="s">
        <v>758</v>
      </c>
      <c r="M13" s="165"/>
      <c r="N13" s="165"/>
      <c r="O13" s="165"/>
      <c r="P13" s="165"/>
      <c r="Q13" s="165"/>
      <c r="R13" s="490"/>
    </row>
    <row r="14" spans="3:18" ht="9.9499999999999993" customHeight="1">
      <c r="H14" s="134"/>
      <c r="R14" s="490"/>
    </row>
    <row r="15" spans="3:18" ht="9.9499999999999993" customHeight="1">
      <c r="H15" s="134"/>
      <c r="I15" s="485"/>
      <c r="J15" s="485"/>
      <c r="K15" s="485"/>
      <c r="L15" s="485"/>
      <c r="M15" s="485"/>
      <c r="N15" s="485"/>
      <c r="O15" s="485"/>
      <c r="P15" s="485"/>
      <c r="Q15" s="485"/>
      <c r="R15" s="490"/>
    </row>
    <row r="16" spans="3:18" ht="20.100000000000001" customHeight="1">
      <c r="H16" s="134"/>
      <c r="I16" s="497" t="s">
        <v>695</v>
      </c>
      <c r="J16" s="497"/>
      <c r="K16" s="231" t="s">
        <v>698</v>
      </c>
      <c r="L16" s="231"/>
      <c r="M16" s="231"/>
      <c r="N16" s="231"/>
      <c r="O16" s="231"/>
      <c r="P16" s="231"/>
      <c r="Q16" s="231"/>
      <c r="R16" s="490"/>
    </row>
    <row r="17" spans="5:18" ht="20.100000000000001" customHeight="1">
      <c r="H17" s="134"/>
      <c r="I17" s="497" t="s">
        <v>695</v>
      </c>
      <c r="J17" s="497"/>
      <c r="K17" s="231" t="s">
        <v>699</v>
      </c>
      <c r="L17" s="231"/>
      <c r="M17" s="231"/>
      <c r="N17" s="231"/>
      <c r="O17" s="231"/>
      <c r="P17" s="231"/>
      <c r="Q17" s="231"/>
      <c r="R17" s="490"/>
    </row>
    <row r="18" spans="5:18" ht="20.100000000000001" customHeight="1">
      <c r="H18" s="134"/>
      <c r="I18" s="497" t="s">
        <v>695</v>
      </c>
      <c r="J18" s="497"/>
      <c r="K18" s="231" t="s">
        <v>700</v>
      </c>
      <c r="L18" s="231"/>
      <c r="M18" s="231"/>
      <c r="N18" s="231"/>
      <c r="O18" s="231"/>
      <c r="P18" s="231"/>
      <c r="Q18" s="231"/>
      <c r="R18" s="490"/>
    </row>
    <row r="19" spans="5:18" ht="20.100000000000001" customHeight="1">
      <c r="H19" s="134"/>
      <c r="I19" s="497" t="s">
        <v>695</v>
      </c>
      <c r="J19" s="497"/>
      <c r="K19" s="231" t="s">
        <v>702</v>
      </c>
      <c r="L19" s="231"/>
      <c r="M19" s="231"/>
      <c r="N19" s="231"/>
      <c r="O19" s="231"/>
      <c r="P19" s="231"/>
      <c r="Q19" s="231"/>
      <c r="R19" s="490"/>
    </row>
    <row r="20" spans="5:18" ht="9.9499999999999993" customHeight="1">
      <c r="H20" s="134"/>
      <c r="I20" s="156"/>
      <c r="J20" s="156"/>
      <c r="R20" s="490"/>
    </row>
    <row r="21" spans="5:18" ht="20.100000000000001" customHeight="1">
      <c r="H21" s="134"/>
      <c r="I21" s="502" t="s">
        <v>697</v>
      </c>
      <c r="J21" s="502"/>
      <c r="K21" s="135" t="s">
        <v>701</v>
      </c>
      <c r="L21" s="135"/>
      <c r="M21" s="135"/>
      <c r="N21" s="135"/>
      <c r="O21" s="135"/>
      <c r="P21" s="135"/>
      <c r="Q21" s="135"/>
      <c r="R21" s="490"/>
    </row>
    <row r="22" spans="5:18" ht="9.9499999999999993" customHeight="1" thickBot="1">
      <c r="H22" s="498"/>
      <c r="I22" s="499"/>
      <c r="J22" s="499"/>
      <c r="K22" s="499"/>
      <c r="L22" s="499"/>
      <c r="M22" s="499"/>
      <c r="N22" s="499"/>
      <c r="O22" s="499"/>
      <c r="P22" s="499"/>
      <c r="Q22" s="499"/>
      <c r="R22" s="500"/>
    </row>
    <row r="25" spans="5:18" ht="20.100000000000001" customHeight="1">
      <c r="E25" s="474" t="s">
        <v>704</v>
      </c>
    </row>
    <row r="27" spans="5:18" ht="20.100000000000001" customHeight="1">
      <c r="F27" s="475" t="s">
        <v>705</v>
      </c>
    </row>
    <row r="28" spans="5:18" ht="20.100000000000001" customHeight="1">
      <c r="F28" s="120" t="s">
        <v>708</v>
      </c>
    </row>
    <row r="30" spans="5:18" ht="20.100000000000001" customHeight="1">
      <c r="F30" s="506" t="s">
        <v>711</v>
      </c>
    </row>
    <row r="32" spans="5:18" ht="20.100000000000001" customHeight="1">
      <c r="G32" s="475" t="s">
        <v>712</v>
      </c>
    </row>
    <row r="33" spans="5:11" ht="20.100000000000001" customHeight="1">
      <c r="G33" s="475"/>
    </row>
    <row r="34" spans="5:11" ht="20.100000000000001" customHeight="1">
      <c r="G34" s="476" t="s">
        <v>714</v>
      </c>
      <c r="H34" s="78" t="s">
        <v>717</v>
      </c>
      <c r="K34" s="78" t="s">
        <v>720</v>
      </c>
    </row>
    <row r="35" spans="5:11" ht="20.100000000000001" customHeight="1">
      <c r="G35" s="476"/>
      <c r="K35" s="120" t="s">
        <v>721</v>
      </c>
    </row>
    <row r="37" spans="5:11" ht="20.100000000000001" customHeight="1">
      <c r="E37" s="474" t="s">
        <v>707</v>
      </c>
    </row>
    <row r="39" spans="5:11" ht="20.100000000000001" customHeight="1">
      <c r="F39" s="475" t="s">
        <v>815</v>
      </c>
    </row>
    <row r="40" spans="5:11" ht="20.100000000000001" customHeight="1">
      <c r="F40" s="120" t="s">
        <v>719</v>
      </c>
    </row>
    <row r="42" spans="5:11" ht="20.100000000000001" customHeight="1">
      <c r="F42" s="506" t="s">
        <v>759</v>
      </c>
    </row>
    <row r="44" spans="5:11" ht="20.100000000000001" customHeight="1">
      <c r="G44" s="475" t="s">
        <v>760</v>
      </c>
    </row>
    <row r="45" spans="5:11" ht="20.100000000000001" customHeight="1">
      <c r="G45" s="475"/>
    </row>
    <row r="46" spans="5:11" ht="20.100000000000001" customHeight="1">
      <c r="G46" s="476" t="s">
        <v>714</v>
      </c>
      <c r="H46" s="78" t="s">
        <v>717</v>
      </c>
      <c r="K46" s="78" t="s">
        <v>761</v>
      </c>
    </row>
    <row r="47" spans="5:11" ht="20.100000000000001" customHeight="1">
      <c r="G47" s="476"/>
      <c r="K47" s="120" t="s">
        <v>721</v>
      </c>
    </row>
    <row r="50" spans="5:10" ht="20.100000000000001" customHeight="1">
      <c r="E50" s="474" t="s">
        <v>713</v>
      </c>
    </row>
    <row r="52" spans="5:10" ht="20.100000000000001" customHeight="1">
      <c r="F52" s="476" t="s">
        <v>714</v>
      </c>
      <c r="G52" s="78" t="s">
        <v>717</v>
      </c>
      <c r="J52" s="78" t="s">
        <v>718</v>
      </c>
    </row>
    <row r="53" spans="5:10" ht="20.100000000000001" customHeight="1">
      <c r="F53" s="476" t="s">
        <v>714</v>
      </c>
      <c r="G53" s="78" t="s">
        <v>722</v>
      </c>
      <c r="J53" s="78" t="s">
        <v>715</v>
      </c>
    </row>
    <row r="54" spans="5:10" ht="20.100000000000001" customHeight="1">
      <c r="J54" s="142" t="s">
        <v>716</v>
      </c>
    </row>
    <row r="56" spans="5:10" ht="20.100000000000001" customHeight="1">
      <c r="E56" s="474" t="s">
        <v>723</v>
      </c>
    </row>
    <row r="58" spans="5:10" ht="20.100000000000001" customHeight="1">
      <c r="F58" s="476" t="s">
        <v>714</v>
      </c>
      <c r="G58" s="78" t="s">
        <v>717</v>
      </c>
      <c r="J58" s="78" t="s">
        <v>718</v>
      </c>
    </row>
    <row r="59" spans="5:10" ht="20.100000000000001" customHeight="1">
      <c r="F59" s="476" t="s">
        <v>714</v>
      </c>
      <c r="G59" s="78" t="s">
        <v>722</v>
      </c>
      <c r="J59" s="78" t="s">
        <v>729</v>
      </c>
    </row>
    <row r="60" spans="5:10" ht="20.100000000000001" customHeight="1">
      <c r="J60" s="142" t="s">
        <v>716</v>
      </c>
    </row>
    <row r="62" spans="5:10" ht="20.100000000000001" customHeight="1">
      <c r="E62" s="474" t="s">
        <v>750</v>
      </c>
    </row>
    <row r="64" spans="5:10" ht="20.100000000000001" customHeight="1">
      <c r="F64" s="475" t="s">
        <v>725</v>
      </c>
    </row>
    <row r="65" spans="5:10" ht="20.100000000000001" customHeight="1">
      <c r="F65" s="475"/>
    </row>
    <row r="66" spans="5:10" ht="20.100000000000001" customHeight="1">
      <c r="F66" s="476" t="s">
        <v>714</v>
      </c>
      <c r="G66" s="78" t="s">
        <v>717</v>
      </c>
      <c r="J66" s="78" t="s">
        <v>724</v>
      </c>
    </row>
    <row r="67" spans="5:10" ht="20.100000000000001" customHeight="1">
      <c r="F67" s="476" t="s">
        <v>714</v>
      </c>
      <c r="G67" s="78" t="s">
        <v>722</v>
      </c>
      <c r="J67" s="78" t="s">
        <v>715</v>
      </c>
    </row>
    <row r="68" spans="5:10" ht="20.100000000000001" customHeight="1">
      <c r="J68" s="142" t="s">
        <v>716</v>
      </c>
    </row>
    <row r="70" spans="5:10" ht="20.100000000000001" customHeight="1">
      <c r="E70" s="474" t="s">
        <v>751</v>
      </c>
    </row>
    <row r="72" spans="5:10" ht="20.100000000000001" customHeight="1">
      <c r="F72" s="475" t="s">
        <v>725</v>
      </c>
    </row>
    <row r="73" spans="5:10" ht="20.100000000000001" customHeight="1">
      <c r="F73" s="475"/>
    </row>
    <row r="74" spans="5:10" ht="20.100000000000001" customHeight="1">
      <c r="F74" s="476" t="s">
        <v>714</v>
      </c>
      <c r="G74" s="78" t="s">
        <v>717</v>
      </c>
      <c r="J74" s="78" t="s">
        <v>726</v>
      </c>
    </row>
    <row r="75" spans="5:10" ht="20.100000000000001" customHeight="1">
      <c r="F75" s="476" t="s">
        <v>714</v>
      </c>
      <c r="G75" s="78" t="s">
        <v>722</v>
      </c>
      <c r="J75" s="78" t="s">
        <v>729</v>
      </c>
    </row>
    <row r="76" spans="5:10" ht="20.100000000000001" customHeight="1">
      <c r="J76" s="142" t="s">
        <v>716</v>
      </c>
    </row>
    <row r="78" spans="5:10" ht="20.100000000000001" customHeight="1">
      <c r="E78" s="474" t="s">
        <v>727</v>
      </c>
    </row>
    <row r="80" spans="5:10" ht="20.100000000000001" customHeight="1">
      <c r="F80" s="475" t="s">
        <v>728</v>
      </c>
    </row>
    <row r="81" spans="6:23" ht="20.100000000000001" customHeight="1">
      <c r="F81" s="475"/>
    </row>
    <row r="82" spans="6:23" ht="20.100000000000001" customHeight="1">
      <c r="F82" s="483" t="s">
        <v>714</v>
      </c>
      <c r="G82" s="143" t="s">
        <v>733</v>
      </c>
      <c r="H82" s="143"/>
      <c r="I82" s="143"/>
      <c r="J82" s="143" t="s">
        <v>734</v>
      </c>
      <c r="K82" s="143"/>
      <c r="L82" s="143"/>
      <c r="M82" s="143"/>
      <c r="N82" s="143"/>
      <c r="O82" s="143"/>
      <c r="P82" s="143"/>
      <c r="Q82" s="142"/>
      <c r="R82" s="142"/>
    </row>
    <row r="83" spans="6:23" ht="20.100000000000001" customHeight="1">
      <c r="F83" s="476" t="s">
        <v>714</v>
      </c>
      <c r="G83" s="78" t="s">
        <v>717</v>
      </c>
      <c r="J83" s="78" t="s">
        <v>730</v>
      </c>
    </row>
    <row r="84" spans="6:23" ht="20.100000000000001" customHeight="1">
      <c r="F84" s="476" t="s">
        <v>714</v>
      </c>
      <c r="G84" s="78" t="s">
        <v>722</v>
      </c>
      <c r="J84" s="78" t="s">
        <v>736</v>
      </c>
    </row>
    <row r="85" spans="6:23" ht="20.100000000000001" customHeight="1">
      <c r="F85" s="476"/>
      <c r="J85" s="78" t="s">
        <v>735</v>
      </c>
    </row>
    <row r="86" spans="6:23" ht="20.100000000000001" customHeight="1" thickBot="1">
      <c r="J86" s="142"/>
    </row>
    <row r="87" spans="6:23" ht="20.100000000000001" customHeight="1">
      <c r="F87" s="477" t="s">
        <v>731</v>
      </c>
      <c r="G87" s="478"/>
      <c r="H87" s="478"/>
      <c r="I87" s="478"/>
      <c r="J87" s="478"/>
      <c r="K87" s="478"/>
      <c r="L87" s="478"/>
      <c r="M87" s="478"/>
      <c r="N87" s="478"/>
      <c r="O87" s="478"/>
      <c r="P87" s="478"/>
      <c r="Q87" s="478"/>
      <c r="R87" s="478"/>
      <c r="S87" s="478"/>
      <c r="T87" s="478"/>
      <c r="U87" s="478"/>
      <c r="V87" s="478"/>
      <c r="W87" s="479"/>
    </row>
    <row r="88" spans="6:23" ht="20.100000000000001" customHeight="1" thickBot="1">
      <c r="F88" s="480" t="s">
        <v>732</v>
      </c>
      <c r="G88" s="481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2"/>
    </row>
  </sheetData>
  <phoneticPr fontId="2" type="noConversion"/>
  <pageMargins left="0.7" right="0.7" top="0.75" bottom="0.75" header="0.3" footer="0.3"/>
  <pageSetup paperSize="9" scale="7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 tint="0.59999389629810485"/>
  </sheetPr>
  <dimension ref="C4:T130"/>
  <sheetViews>
    <sheetView showGridLines="0" topLeftCell="A79" workbookViewId="0">
      <selection activeCell="C105" sqref="C105"/>
    </sheetView>
  </sheetViews>
  <sheetFormatPr defaultRowHeight="20.100000000000001" customHeight="1"/>
  <cols>
    <col min="1" max="2" width="9.140625" style="78"/>
    <col min="3" max="11" width="3.7109375" style="78" customWidth="1"/>
    <col min="12" max="17" width="9.140625" style="78"/>
    <col min="18" max="18" width="3.7109375" style="78" customWidth="1"/>
    <col min="19" max="16384" width="9.140625" style="78"/>
  </cols>
  <sheetData>
    <row r="4" spans="3:18" customFormat="1" ht="27.75" customHeight="1">
      <c r="C4" s="353" t="s">
        <v>817</v>
      </c>
    </row>
    <row r="5" spans="3:18" ht="20.100000000000001" customHeight="1" thickBot="1"/>
    <row r="6" spans="3:18" ht="9.9499999999999993" customHeight="1">
      <c r="H6" s="486"/>
      <c r="I6" s="487"/>
      <c r="J6" s="487"/>
      <c r="K6" s="487"/>
      <c r="L6" s="487"/>
      <c r="M6" s="487"/>
      <c r="N6" s="487"/>
      <c r="O6" s="487"/>
      <c r="P6" s="487"/>
      <c r="Q6" s="487"/>
      <c r="R6" s="488"/>
    </row>
    <row r="7" spans="3:18" ht="20.100000000000001" customHeight="1">
      <c r="D7" s="474"/>
      <c r="H7" s="134"/>
      <c r="I7" s="489" t="s">
        <v>737</v>
      </c>
      <c r="J7" s="489"/>
      <c r="K7" s="501" t="s">
        <v>765</v>
      </c>
      <c r="L7" s="92"/>
      <c r="M7" s="92"/>
      <c r="N7" s="92"/>
      <c r="O7" s="92"/>
      <c r="P7" s="92"/>
      <c r="Q7" s="92"/>
      <c r="R7" s="490"/>
    </row>
    <row r="8" spans="3:18" ht="5.0999999999999996" customHeight="1">
      <c r="H8" s="134"/>
      <c r="R8" s="490"/>
    </row>
    <row r="9" spans="3:18" ht="20.100000000000001" customHeight="1">
      <c r="H9" s="134" t="s">
        <v>15</v>
      </c>
      <c r="J9" s="165"/>
      <c r="K9" s="491" t="s">
        <v>695</v>
      </c>
      <c r="L9" s="165" t="s">
        <v>743</v>
      </c>
      <c r="M9" s="165"/>
      <c r="N9" s="165"/>
      <c r="O9" s="165"/>
      <c r="P9" s="165"/>
      <c r="Q9" s="165"/>
      <c r="R9" s="490"/>
    </row>
    <row r="10" spans="3:18" ht="9.9499999999999993" customHeight="1">
      <c r="H10" s="134"/>
      <c r="R10" s="490"/>
    </row>
    <row r="11" spans="3:18" s="81" customFormat="1" ht="20.100000000000001" customHeight="1">
      <c r="D11" s="474"/>
      <c r="H11" s="492"/>
      <c r="I11" s="493" t="s">
        <v>738</v>
      </c>
      <c r="J11" s="493"/>
      <c r="K11" s="494" t="s">
        <v>849</v>
      </c>
      <c r="L11" s="495"/>
      <c r="M11" s="495"/>
      <c r="N11" s="495"/>
      <c r="O11" s="495"/>
      <c r="P11" s="495"/>
      <c r="Q11" s="495"/>
      <c r="R11" s="496"/>
    </row>
    <row r="12" spans="3:18" ht="9.9499999999999993" customHeight="1">
      <c r="H12" s="134"/>
      <c r="R12" s="490"/>
    </row>
    <row r="13" spans="3:18" ht="20.100000000000001" customHeight="1">
      <c r="D13" s="474"/>
      <c r="H13" s="134"/>
      <c r="J13" s="489" t="s">
        <v>739</v>
      </c>
      <c r="K13" s="489"/>
      <c r="L13" s="92" t="s">
        <v>769</v>
      </c>
      <c r="M13" s="92"/>
      <c r="N13" s="92"/>
      <c r="O13" s="92"/>
      <c r="P13" s="92"/>
      <c r="Q13" s="92"/>
      <c r="R13" s="490"/>
    </row>
    <row r="14" spans="3:18" ht="5.0999999999999996" customHeight="1">
      <c r="H14" s="134"/>
      <c r="R14" s="490"/>
    </row>
    <row r="15" spans="3:18" ht="20.100000000000001" customHeight="1">
      <c r="H15" s="134" t="s">
        <v>15</v>
      </c>
      <c r="J15" s="165"/>
      <c r="K15" s="491" t="s">
        <v>695</v>
      </c>
      <c r="L15" s="165" t="s">
        <v>742</v>
      </c>
      <c r="M15" s="165"/>
      <c r="N15" s="165"/>
      <c r="O15" s="165"/>
      <c r="P15" s="165"/>
      <c r="Q15" s="165"/>
      <c r="R15" s="490"/>
    </row>
    <row r="16" spans="3:18" ht="9.9499999999999993" customHeight="1">
      <c r="H16" s="134"/>
      <c r="R16" s="490"/>
    </row>
    <row r="17" spans="4:18" ht="20.100000000000001" customHeight="1">
      <c r="D17" s="474"/>
      <c r="H17" s="134"/>
      <c r="J17" s="489" t="s">
        <v>740</v>
      </c>
      <c r="K17" s="489"/>
      <c r="L17" s="92" t="s">
        <v>485</v>
      </c>
      <c r="M17" s="92"/>
      <c r="N17" s="92"/>
      <c r="O17" s="92"/>
      <c r="P17" s="92"/>
      <c r="Q17" s="92"/>
      <c r="R17" s="490"/>
    </row>
    <row r="18" spans="4:18" ht="5.0999999999999996" customHeight="1">
      <c r="H18" s="134"/>
      <c r="R18" s="490"/>
    </row>
    <row r="19" spans="4:18" ht="20.100000000000001" customHeight="1">
      <c r="D19" s="474"/>
      <c r="H19" s="134"/>
      <c r="J19" s="165"/>
      <c r="K19" s="491" t="s">
        <v>695</v>
      </c>
      <c r="L19" s="165" t="s">
        <v>741</v>
      </c>
      <c r="M19" s="165"/>
      <c r="N19" s="165"/>
      <c r="O19" s="165"/>
      <c r="P19" s="165"/>
      <c r="Q19" s="165"/>
      <c r="R19" s="490"/>
    </row>
    <row r="20" spans="4:18" ht="9.9499999999999993" customHeight="1">
      <c r="H20" s="134"/>
      <c r="R20" s="490"/>
    </row>
    <row r="21" spans="4:18" s="81" customFormat="1" ht="20.100000000000001" customHeight="1">
      <c r="D21" s="474"/>
      <c r="H21" s="492"/>
      <c r="I21" s="493" t="s">
        <v>850</v>
      </c>
      <c r="J21" s="493"/>
      <c r="K21" s="494" t="s">
        <v>851</v>
      </c>
      <c r="L21" s="495"/>
      <c r="M21" s="495"/>
      <c r="N21" s="495"/>
      <c r="O21" s="495"/>
      <c r="P21" s="495"/>
      <c r="Q21" s="495"/>
      <c r="R21" s="496"/>
    </row>
    <row r="22" spans="4:18" ht="9.9499999999999993" customHeight="1">
      <c r="H22" s="134"/>
      <c r="R22" s="490"/>
    </row>
    <row r="23" spans="4:18" ht="20.100000000000001" customHeight="1">
      <c r="D23" s="474"/>
      <c r="H23" s="134"/>
      <c r="J23" s="489" t="s">
        <v>744</v>
      </c>
      <c r="K23" s="489"/>
      <c r="L23" s="92" t="s">
        <v>746</v>
      </c>
      <c r="M23" s="92"/>
      <c r="N23" s="92"/>
      <c r="O23" s="92"/>
      <c r="P23" s="92"/>
      <c r="Q23" s="92"/>
      <c r="R23" s="490"/>
    </row>
    <row r="24" spans="4:18" ht="5.0999999999999996" customHeight="1">
      <c r="H24" s="134"/>
      <c r="R24" s="490"/>
    </row>
    <row r="25" spans="4:18" ht="20.100000000000001" customHeight="1">
      <c r="H25" s="134" t="s">
        <v>15</v>
      </c>
      <c r="J25" s="165"/>
      <c r="K25" s="491" t="s">
        <v>695</v>
      </c>
      <c r="L25" s="165" t="s">
        <v>748</v>
      </c>
      <c r="M25" s="165"/>
      <c r="N25" s="165"/>
      <c r="O25" s="165"/>
      <c r="P25" s="165"/>
      <c r="Q25" s="165"/>
      <c r="R25" s="490"/>
    </row>
    <row r="26" spans="4:18" ht="9.9499999999999993" customHeight="1">
      <c r="H26" s="134"/>
      <c r="R26" s="490"/>
    </row>
    <row r="27" spans="4:18" ht="20.100000000000001" customHeight="1">
      <c r="D27" s="474"/>
      <c r="H27" s="134"/>
      <c r="J27" s="489" t="s">
        <v>745</v>
      </c>
      <c r="K27" s="489"/>
      <c r="L27" s="92" t="s">
        <v>747</v>
      </c>
      <c r="M27" s="92"/>
      <c r="N27" s="92"/>
      <c r="O27" s="92"/>
      <c r="P27" s="92"/>
      <c r="Q27" s="92"/>
      <c r="R27" s="490"/>
    </row>
    <row r="28" spans="4:18" ht="5.0999999999999996" customHeight="1">
      <c r="H28" s="134"/>
      <c r="R28" s="490"/>
    </row>
    <row r="29" spans="4:18" ht="20.100000000000001" customHeight="1">
      <c r="H29" s="134" t="s">
        <v>15</v>
      </c>
      <c r="J29" s="165"/>
      <c r="K29" s="491" t="s">
        <v>695</v>
      </c>
      <c r="L29" s="165" t="s">
        <v>749</v>
      </c>
      <c r="M29" s="165"/>
      <c r="N29" s="165"/>
      <c r="O29" s="165"/>
      <c r="P29" s="165"/>
      <c r="Q29" s="165"/>
      <c r="R29" s="490"/>
    </row>
    <row r="30" spans="4:18" ht="9.9499999999999993" customHeight="1">
      <c r="H30" s="134"/>
      <c r="R30" s="490"/>
    </row>
    <row r="31" spans="4:18" s="81" customFormat="1" ht="20.100000000000001" customHeight="1">
      <c r="D31" s="474"/>
      <c r="H31" s="492"/>
      <c r="I31" s="493" t="s">
        <v>852</v>
      </c>
      <c r="J31" s="493"/>
      <c r="K31" s="494" t="s">
        <v>853</v>
      </c>
      <c r="L31" s="495"/>
      <c r="M31" s="495"/>
      <c r="N31" s="495"/>
      <c r="O31" s="495"/>
      <c r="P31" s="495"/>
      <c r="Q31" s="495"/>
      <c r="R31" s="496"/>
    </row>
    <row r="32" spans="4:18" ht="9.9499999999999993" customHeight="1">
      <c r="H32" s="134"/>
      <c r="R32" s="490"/>
    </row>
    <row r="33" spans="4:18" ht="20.100000000000001" customHeight="1">
      <c r="D33" s="474"/>
      <c r="H33" s="134"/>
      <c r="J33" s="489" t="s">
        <v>792</v>
      </c>
      <c r="K33" s="489"/>
      <c r="L33" s="92" t="s">
        <v>753</v>
      </c>
      <c r="M33" s="92"/>
      <c r="N33" s="92"/>
      <c r="O33" s="92"/>
      <c r="P33" s="92"/>
      <c r="Q33" s="92"/>
      <c r="R33" s="490"/>
    </row>
    <row r="34" spans="4:18" ht="20.100000000000001" customHeight="1">
      <c r="D34" s="474"/>
      <c r="H34" s="134"/>
      <c r="J34" s="489" t="s">
        <v>793</v>
      </c>
      <c r="K34" s="489"/>
      <c r="L34" s="92" t="s">
        <v>752</v>
      </c>
      <c r="M34" s="92"/>
      <c r="N34" s="92"/>
      <c r="O34" s="92"/>
      <c r="P34" s="92"/>
      <c r="Q34" s="92"/>
      <c r="R34" s="490"/>
    </row>
    <row r="35" spans="4:18" ht="5.0999999999999996" customHeight="1">
      <c r="H35" s="134"/>
      <c r="R35" s="490"/>
    </row>
    <row r="36" spans="4:18" ht="20.100000000000001" customHeight="1">
      <c r="H36" s="134" t="s">
        <v>15</v>
      </c>
      <c r="J36" s="165"/>
      <c r="K36" s="491" t="s">
        <v>695</v>
      </c>
      <c r="L36" s="165" t="s">
        <v>798</v>
      </c>
      <c r="M36" s="165"/>
      <c r="N36" s="165"/>
      <c r="O36" s="165"/>
      <c r="P36" s="165"/>
      <c r="Q36" s="165"/>
      <c r="R36" s="490"/>
    </row>
    <row r="37" spans="4:18" ht="9.9499999999999993" customHeight="1">
      <c r="H37" s="134"/>
      <c r="R37" s="490"/>
    </row>
    <row r="38" spans="4:18" ht="9.9499999999999993" customHeight="1">
      <c r="H38" s="134"/>
      <c r="I38" s="485"/>
      <c r="J38" s="485"/>
      <c r="K38" s="485"/>
      <c r="L38" s="485"/>
      <c r="M38" s="485"/>
      <c r="N38" s="485"/>
      <c r="O38" s="485"/>
      <c r="P38" s="485"/>
      <c r="Q38" s="485"/>
      <c r="R38" s="490"/>
    </row>
    <row r="39" spans="4:18" ht="20.100000000000001" customHeight="1">
      <c r="H39" s="134" t="s">
        <v>15</v>
      </c>
      <c r="I39" s="497" t="s">
        <v>695</v>
      </c>
      <c r="J39" s="497"/>
      <c r="K39" s="231" t="s">
        <v>754</v>
      </c>
      <c r="L39" s="231"/>
      <c r="M39" s="231"/>
      <c r="N39" s="231"/>
      <c r="O39" s="231"/>
      <c r="P39" s="231"/>
      <c r="Q39" s="231"/>
      <c r="R39" s="490"/>
    </row>
    <row r="40" spans="4:18" ht="20.100000000000001" customHeight="1">
      <c r="D40" s="474"/>
      <c r="H40" s="134"/>
      <c r="I40" s="497" t="s">
        <v>695</v>
      </c>
      <c r="J40" s="497"/>
      <c r="K40" s="231" t="s">
        <v>756</v>
      </c>
      <c r="L40" s="231"/>
      <c r="M40" s="231"/>
      <c r="N40" s="231"/>
      <c r="O40" s="231"/>
      <c r="P40" s="231"/>
      <c r="Q40" s="231"/>
      <c r="R40" s="490"/>
    </row>
    <row r="41" spans="4:18" ht="20.100000000000001" customHeight="1">
      <c r="H41" s="134" t="s">
        <v>15</v>
      </c>
      <c r="I41" s="497" t="s">
        <v>695</v>
      </c>
      <c r="J41" s="497"/>
      <c r="K41" s="231" t="s">
        <v>755</v>
      </c>
      <c r="L41" s="231"/>
      <c r="M41" s="231"/>
      <c r="N41" s="231"/>
      <c r="O41" s="231"/>
      <c r="P41" s="231"/>
      <c r="Q41" s="231"/>
      <c r="R41" s="490"/>
    </row>
    <row r="42" spans="4:18" ht="20.100000000000001" customHeight="1">
      <c r="H42" s="134" t="s">
        <v>15</v>
      </c>
      <c r="I42" s="502" t="s">
        <v>695</v>
      </c>
      <c r="J42" s="502"/>
      <c r="K42" s="135" t="s">
        <v>757</v>
      </c>
      <c r="L42" s="135"/>
      <c r="M42" s="135"/>
      <c r="N42" s="135"/>
      <c r="O42" s="135"/>
      <c r="P42" s="135"/>
      <c r="Q42" s="135"/>
      <c r="R42" s="490"/>
    </row>
    <row r="43" spans="4:18" ht="9.9499999999999993" customHeight="1" thickBot="1">
      <c r="H43" s="498"/>
      <c r="I43" s="499"/>
      <c r="J43" s="499"/>
      <c r="K43" s="499"/>
      <c r="L43" s="499"/>
      <c r="M43" s="499"/>
      <c r="N43" s="499"/>
      <c r="O43" s="499"/>
      <c r="P43" s="499"/>
      <c r="Q43" s="499"/>
      <c r="R43" s="500"/>
    </row>
    <row r="46" spans="4:18" ht="20.100000000000001" customHeight="1">
      <c r="E46" s="474" t="s">
        <v>764</v>
      </c>
    </row>
    <row r="48" spans="4:18" ht="20.100000000000001" customHeight="1">
      <c r="F48" s="475" t="s">
        <v>762</v>
      </c>
    </row>
    <row r="49" spans="5:8" ht="20.100000000000001" customHeight="1">
      <c r="F49" s="120" t="s">
        <v>763</v>
      </c>
    </row>
    <row r="50" spans="5:8" ht="20.100000000000001" customHeight="1">
      <c r="F50" s="120" t="s">
        <v>771</v>
      </c>
    </row>
    <row r="51" spans="5:8" ht="20.100000000000001" customHeight="1">
      <c r="F51" s="120" t="s">
        <v>788</v>
      </c>
    </row>
    <row r="52" spans="5:8" ht="20.100000000000001" customHeight="1">
      <c r="F52" s="120" t="s">
        <v>789</v>
      </c>
    </row>
    <row r="53" spans="5:8" ht="20.100000000000001" customHeight="1">
      <c r="F53" s="120" t="s">
        <v>790</v>
      </c>
    </row>
    <row r="55" spans="5:8" ht="20.100000000000001" customHeight="1">
      <c r="F55" s="506" t="s">
        <v>766</v>
      </c>
    </row>
    <row r="57" spans="5:8" ht="20.100000000000001" customHeight="1">
      <c r="H57" s="475"/>
    </row>
    <row r="58" spans="5:8" ht="20.100000000000001" customHeight="1">
      <c r="E58" s="474" t="s">
        <v>783</v>
      </c>
      <c r="H58" s="475"/>
    </row>
    <row r="59" spans="5:8" ht="20.100000000000001" customHeight="1">
      <c r="H59" s="475"/>
    </row>
    <row r="60" spans="5:8" ht="20.100000000000001" customHeight="1">
      <c r="G60" s="474" t="s">
        <v>768</v>
      </c>
    </row>
    <row r="62" spans="5:8" ht="20.100000000000001" customHeight="1">
      <c r="H62" s="475" t="s">
        <v>767</v>
      </c>
    </row>
    <row r="63" spans="5:8" ht="20.100000000000001" customHeight="1">
      <c r="H63" s="120" t="s">
        <v>770</v>
      </c>
    </row>
    <row r="64" spans="5:8" ht="20.100000000000001" customHeight="1">
      <c r="H64" s="120"/>
    </row>
    <row r="65" spans="5:13" ht="20.100000000000001" customHeight="1">
      <c r="H65" s="506" t="s">
        <v>772</v>
      </c>
    </row>
    <row r="67" spans="5:13" ht="20.100000000000001" customHeight="1">
      <c r="G67" s="474" t="s">
        <v>774</v>
      </c>
    </row>
    <row r="69" spans="5:13" ht="20.100000000000001" customHeight="1">
      <c r="H69" s="475" t="s">
        <v>775</v>
      </c>
    </row>
    <row r="70" spans="5:13" ht="20.100000000000001" customHeight="1">
      <c r="H70" s="120" t="s">
        <v>776</v>
      </c>
    </row>
    <row r="71" spans="5:13" ht="20.100000000000001" customHeight="1">
      <c r="H71" s="120"/>
    </row>
    <row r="72" spans="5:13" ht="20.100000000000001" customHeight="1">
      <c r="H72" s="506" t="s">
        <v>773</v>
      </c>
    </row>
    <row r="74" spans="5:13" ht="20.100000000000001" customHeight="1">
      <c r="I74" s="476" t="s">
        <v>628</v>
      </c>
      <c r="J74" s="78" t="s">
        <v>717</v>
      </c>
      <c r="M74" s="78" t="s">
        <v>777</v>
      </c>
    </row>
    <row r="75" spans="5:13" ht="20.100000000000001" customHeight="1">
      <c r="I75" s="476"/>
    </row>
    <row r="76" spans="5:13" ht="20.100000000000001" customHeight="1">
      <c r="H76" s="476"/>
    </row>
    <row r="77" spans="5:13" ht="20.100000000000001" customHeight="1">
      <c r="E77" s="474" t="s">
        <v>784</v>
      </c>
      <c r="H77" s="475"/>
    </row>
    <row r="78" spans="5:13" ht="20.100000000000001" customHeight="1">
      <c r="H78" s="475"/>
    </row>
    <row r="79" spans="5:13" ht="20.100000000000001" customHeight="1">
      <c r="G79" s="474" t="s">
        <v>778</v>
      </c>
    </row>
    <row r="81" spans="5:9" ht="20.100000000000001" customHeight="1">
      <c r="H81" s="475" t="s">
        <v>780</v>
      </c>
    </row>
    <row r="82" spans="5:9" ht="20.100000000000001" customHeight="1">
      <c r="H82" s="120" t="s">
        <v>801</v>
      </c>
    </row>
    <row r="83" spans="5:9" ht="20.100000000000001" customHeight="1">
      <c r="H83" s="120"/>
    </row>
    <row r="84" spans="5:9" ht="20.100000000000001" customHeight="1">
      <c r="H84" s="506" t="s">
        <v>779</v>
      </c>
    </row>
    <row r="85" spans="5:9" ht="20.100000000000001" customHeight="1">
      <c r="I85" s="476"/>
    </row>
    <row r="86" spans="5:9" ht="20.100000000000001" customHeight="1">
      <c r="G86" s="474" t="s">
        <v>781</v>
      </c>
    </row>
    <row r="88" spans="5:9" ht="20.100000000000001" customHeight="1">
      <c r="H88" s="475" t="s">
        <v>782</v>
      </c>
    </row>
    <row r="89" spans="5:9" ht="20.100000000000001" customHeight="1">
      <c r="H89" s="120" t="s">
        <v>785</v>
      </c>
    </row>
    <row r="90" spans="5:9" ht="20.100000000000001" customHeight="1">
      <c r="H90" s="120" t="s">
        <v>786</v>
      </c>
    </row>
    <row r="91" spans="5:9" ht="20.100000000000001" customHeight="1">
      <c r="H91" s="120" t="s">
        <v>787</v>
      </c>
    </row>
    <row r="92" spans="5:9" ht="20.100000000000001" customHeight="1">
      <c r="H92" s="120"/>
    </row>
    <row r="93" spans="5:9" ht="20.100000000000001" customHeight="1">
      <c r="H93" s="506" t="s">
        <v>802</v>
      </c>
    </row>
    <row r="95" spans="5:9" ht="20.100000000000001" customHeight="1">
      <c r="I95" s="476"/>
    </row>
    <row r="96" spans="5:9" ht="20.100000000000001" customHeight="1">
      <c r="E96" s="474" t="s">
        <v>791</v>
      </c>
      <c r="H96" s="475"/>
    </row>
    <row r="97" spans="5:8" ht="20.100000000000001" customHeight="1">
      <c r="H97" s="475"/>
    </row>
    <row r="98" spans="5:8" ht="20.100000000000001" customHeight="1">
      <c r="G98" s="474" t="s">
        <v>794</v>
      </c>
    </row>
    <row r="100" spans="5:8" ht="20.100000000000001" customHeight="1">
      <c r="G100" s="474" t="s">
        <v>795</v>
      </c>
    </row>
    <row r="102" spans="5:8" ht="20.100000000000001" customHeight="1">
      <c r="H102" s="120" t="s">
        <v>796</v>
      </c>
    </row>
    <row r="103" spans="5:8" ht="20.100000000000001" customHeight="1">
      <c r="H103" s="120" t="s">
        <v>797</v>
      </c>
    </row>
    <row r="104" spans="5:8" ht="20.100000000000001" customHeight="1">
      <c r="H104" s="120"/>
    </row>
    <row r="105" spans="5:8" ht="20.100000000000001" customHeight="1">
      <c r="G105" s="506" t="s">
        <v>799</v>
      </c>
    </row>
    <row r="107" spans="5:8" ht="20.100000000000001" customHeight="1">
      <c r="H107" s="143" t="s">
        <v>800</v>
      </c>
    </row>
    <row r="110" spans="5:8" ht="20.100000000000001" customHeight="1">
      <c r="E110" s="474" t="s">
        <v>803</v>
      </c>
    </row>
    <row r="112" spans="5:8" ht="20.100000000000001" customHeight="1">
      <c r="F112" s="475" t="s">
        <v>807</v>
      </c>
    </row>
    <row r="113" spans="5:20" ht="20.100000000000001" customHeight="1">
      <c r="F113" s="475"/>
    </row>
    <row r="114" spans="5:20" ht="20.100000000000001" customHeight="1">
      <c r="F114" s="476" t="s">
        <v>628</v>
      </c>
      <c r="G114" s="78" t="s">
        <v>717</v>
      </c>
      <c r="J114" s="78" t="s">
        <v>808</v>
      </c>
    </row>
    <row r="115" spans="5:20" ht="20.100000000000001" customHeight="1">
      <c r="F115" s="476"/>
      <c r="J115" s="78" t="s">
        <v>810</v>
      </c>
    </row>
    <row r="116" spans="5:20" ht="20.100000000000001" customHeight="1">
      <c r="F116" s="476" t="s">
        <v>628</v>
      </c>
      <c r="G116" s="78" t="s">
        <v>722</v>
      </c>
      <c r="J116" s="78" t="s">
        <v>809</v>
      </c>
    </row>
    <row r="117" spans="5:20" ht="20.100000000000001" customHeight="1">
      <c r="J117" s="142" t="s">
        <v>716</v>
      </c>
    </row>
    <row r="119" spans="5:20" ht="20.100000000000001" customHeight="1">
      <c r="E119" s="474" t="s">
        <v>804</v>
      </c>
    </row>
    <row r="121" spans="5:20" ht="20.100000000000001" customHeight="1">
      <c r="F121" s="200" t="s">
        <v>813</v>
      </c>
      <c r="G121" s="484"/>
      <c r="H121" s="484"/>
      <c r="I121" s="484"/>
      <c r="J121" s="484"/>
      <c r="K121" s="484"/>
      <c r="L121" s="484"/>
      <c r="M121" s="484"/>
      <c r="N121" s="484"/>
      <c r="O121" s="484"/>
      <c r="P121" s="484"/>
      <c r="Q121" s="484"/>
      <c r="R121" s="484"/>
      <c r="S121" s="484"/>
      <c r="T121" s="484"/>
    </row>
    <row r="122" spans="5:20" ht="20.100000000000001" customHeight="1">
      <c r="F122" s="200" t="s">
        <v>814</v>
      </c>
      <c r="G122" s="484"/>
      <c r="H122" s="484"/>
      <c r="I122" s="484"/>
      <c r="J122" s="484"/>
      <c r="K122" s="484"/>
      <c r="L122" s="484"/>
      <c r="M122" s="484"/>
      <c r="N122" s="484"/>
      <c r="O122" s="484"/>
      <c r="P122" s="484"/>
      <c r="Q122" s="484"/>
      <c r="R122" s="484"/>
      <c r="S122" s="484"/>
      <c r="T122" s="484"/>
    </row>
    <row r="124" spans="5:20" ht="20.100000000000001" customHeight="1">
      <c r="E124" s="474" t="s">
        <v>805</v>
      </c>
    </row>
    <row r="126" spans="5:20" ht="20.100000000000001" customHeight="1">
      <c r="F126" s="475" t="s">
        <v>811</v>
      </c>
    </row>
    <row r="128" spans="5:20" ht="20.100000000000001" customHeight="1">
      <c r="E128" s="474" t="s">
        <v>806</v>
      </c>
    </row>
    <row r="130" spans="6:20" ht="20.100000000000001" customHeight="1">
      <c r="F130" s="200" t="s">
        <v>812</v>
      </c>
      <c r="G130" s="484"/>
      <c r="H130" s="484"/>
      <c r="I130" s="484"/>
      <c r="J130" s="484"/>
      <c r="K130" s="484"/>
      <c r="L130" s="484"/>
      <c r="M130" s="484"/>
      <c r="N130" s="484"/>
      <c r="O130" s="484"/>
      <c r="P130" s="484"/>
      <c r="Q130" s="484"/>
      <c r="R130" s="484"/>
      <c r="S130" s="484"/>
      <c r="T130" s="484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 tint="0.59999389629810485"/>
  </sheetPr>
  <dimension ref="C4:AF134"/>
  <sheetViews>
    <sheetView showGridLines="0" topLeftCell="A115" workbookViewId="0">
      <selection activeCell="V149" sqref="V149"/>
    </sheetView>
  </sheetViews>
  <sheetFormatPr defaultRowHeight="20.100000000000001" customHeight="1"/>
  <cols>
    <col min="1" max="2" width="9.140625" style="78"/>
    <col min="3" max="11" width="3.7109375" style="78" customWidth="1"/>
    <col min="12" max="17" width="9.140625" style="78"/>
    <col min="18" max="18" width="3.7109375" style="78" customWidth="1"/>
    <col min="19" max="16384" width="9.140625" style="78"/>
  </cols>
  <sheetData>
    <row r="4" spans="3:18" customFormat="1" ht="27.75" customHeight="1">
      <c r="C4" s="353" t="s">
        <v>818</v>
      </c>
    </row>
    <row r="5" spans="3:18" ht="20.100000000000001" customHeight="1" thickBot="1"/>
    <row r="6" spans="3:18" ht="9.9499999999999993" customHeight="1">
      <c r="H6" s="486"/>
      <c r="I6" s="487"/>
      <c r="J6" s="487"/>
      <c r="K6" s="487"/>
      <c r="L6" s="487"/>
      <c r="M6" s="487"/>
      <c r="N6" s="487"/>
      <c r="O6" s="487"/>
      <c r="P6" s="487"/>
      <c r="Q6" s="487"/>
      <c r="R6" s="488"/>
    </row>
    <row r="7" spans="3:18" ht="20.100000000000001" customHeight="1">
      <c r="D7" s="474"/>
      <c r="H7" s="134"/>
      <c r="I7" s="489" t="s">
        <v>819</v>
      </c>
      <c r="J7" s="489"/>
      <c r="K7" s="92" t="s">
        <v>845</v>
      </c>
      <c r="L7" s="92"/>
      <c r="M7" s="92"/>
      <c r="N7" s="92"/>
      <c r="O7" s="92"/>
      <c r="P7" s="92"/>
      <c r="Q7" s="92"/>
      <c r="R7" s="490"/>
    </row>
    <row r="8" spans="3:18" ht="5.0999999999999996" customHeight="1">
      <c r="H8" s="134"/>
      <c r="R8" s="490"/>
    </row>
    <row r="9" spans="3:18" ht="20.100000000000001" customHeight="1">
      <c r="H9" s="134" t="s">
        <v>15</v>
      </c>
      <c r="I9" s="165"/>
      <c r="J9" s="165"/>
      <c r="K9" s="491" t="s">
        <v>847</v>
      </c>
      <c r="L9" s="165" t="s">
        <v>848</v>
      </c>
      <c r="M9" s="165"/>
      <c r="N9" s="165"/>
      <c r="O9" s="165"/>
      <c r="P9" s="165"/>
      <c r="Q9" s="165"/>
      <c r="R9" s="490"/>
    </row>
    <row r="10" spans="3:18" ht="9.9499999999999993" customHeight="1">
      <c r="H10" s="134"/>
      <c r="R10" s="490"/>
    </row>
    <row r="11" spans="3:18" s="81" customFormat="1" ht="20.100000000000001" customHeight="1">
      <c r="D11" s="474"/>
      <c r="H11" s="492"/>
      <c r="I11" s="493" t="s">
        <v>831</v>
      </c>
      <c r="J11" s="493"/>
      <c r="K11" s="494" t="s">
        <v>832</v>
      </c>
      <c r="L11" s="495"/>
      <c r="M11" s="495"/>
      <c r="N11" s="495"/>
      <c r="O11" s="495"/>
      <c r="P11" s="495"/>
      <c r="Q11" s="495"/>
      <c r="R11" s="496"/>
    </row>
    <row r="12" spans="3:18" ht="9.9499999999999993" customHeight="1">
      <c r="H12" s="134"/>
      <c r="R12" s="490"/>
    </row>
    <row r="13" spans="3:18" ht="20.100000000000001" customHeight="1">
      <c r="D13" s="474"/>
      <c r="H13" s="134"/>
      <c r="J13" s="489" t="s">
        <v>834</v>
      </c>
      <c r="K13" s="489"/>
      <c r="L13" s="92" t="s">
        <v>820</v>
      </c>
      <c r="M13" s="92"/>
      <c r="N13" s="92"/>
      <c r="O13" s="92"/>
      <c r="P13" s="92"/>
      <c r="Q13" s="92"/>
      <c r="R13" s="490"/>
    </row>
    <row r="14" spans="3:18" ht="5.0999999999999996" customHeight="1">
      <c r="H14" s="134"/>
      <c r="R14" s="490"/>
    </row>
    <row r="15" spans="3:18" ht="20.100000000000001" customHeight="1">
      <c r="H15" s="134" t="s">
        <v>15</v>
      </c>
      <c r="J15" s="165"/>
      <c r="K15" s="491" t="s">
        <v>695</v>
      </c>
      <c r="L15" s="165" t="s">
        <v>821</v>
      </c>
      <c r="M15" s="165"/>
      <c r="N15" s="165"/>
      <c r="O15" s="165"/>
      <c r="P15" s="165"/>
      <c r="Q15" s="165"/>
      <c r="R15" s="490"/>
    </row>
    <row r="16" spans="3:18" ht="9.9499999999999993" customHeight="1">
      <c r="H16" s="134"/>
      <c r="R16" s="490"/>
    </row>
    <row r="17" spans="4:18" ht="20.100000000000001" customHeight="1">
      <c r="D17" s="474"/>
      <c r="H17" s="134"/>
      <c r="J17" s="489" t="s">
        <v>835</v>
      </c>
      <c r="K17" s="489"/>
      <c r="L17" s="92" t="s">
        <v>822</v>
      </c>
      <c r="M17" s="92"/>
      <c r="N17" s="92"/>
      <c r="O17" s="92"/>
      <c r="P17" s="92"/>
      <c r="Q17" s="92"/>
      <c r="R17" s="490"/>
    </row>
    <row r="18" spans="4:18" ht="5.0999999999999996" customHeight="1">
      <c r="H18" s="134"/>
      <c r="R18" s="490"/>
    </row>
    <row r="19" spans="4:18" ht="20.100000000000001" customHeight="1">
      <c r="D19" s="474"/>
      <c r="H19" s="134"/>
      <c r="J19" s="165"/>
      <c r="K19" s="491" t="s">
        <v>695</v>
      </c>
      <c r="L19" s="165" t="s">
        <v>823</v>
      </c>
      <c r="M19" s="165"/>
      <c r="N19" s="165"/>
      <c r="O19" s="165"/>
      <c r="P19" s="165"/>
      <c r="Q19" s="165"/>
      <c r="R19" s="490"/>
    </row>
    <row r="20" spans="4:18" ht="9.9499999999999993" customHeight="1">
      <c r="H20" s="134"/>
      <c r="R20" s="490"/>
    </row>
    <row r="21" spans="4:18" ht="20.100000000000001" customHeight="1">
      <c r="D21" s="474"/>
      <c r="H21" s="134"/>
      <c r="J21" s="489" t="s">
        <v>839</v>
      </c>
      <c r="K21" s="489"/>
      <c r="L21" s="92" t="s">
        <v>824</v>
      </c>
      <c r="M21" s="92"/>
      <c r="N21" s="92"/>
      <c r="O21" s="92"/>
      <c r="P21" s="92"/>
      <c r="Q21" s="92"/>
      <c r="R21" s="490"/>
    </row>
    <row r="22" spans="4:18" ht="5.0999999999999996" customHeight="1">
      <c r="H22" s="134"/>
      <c r="R22" s="490"/>
    </row>
    <row r="23" spans="4:18" ht="20.100000000000001" customHeight="1">
      <c r="D23" s="474"/>
      <c r="H23" s="134"/>
      <c r="J23" s="165"/>
      <c r="K23" s="491" t="s">
        <v>695</v>
      </c>
      <c r="L23" s="165" t="s">
        <v>825</v>
      </c>
      <c r="M23" s="165"/>
      <c r="N23" s="165"/>
      <c r="O23" s="165"/>
      <c r="P23" s="165"/>
      <c r="Q23" s="165"/>
      <c r="R23" s="490"/>
    </row>
    <row r="24" spans="4:18" ht="9.9499999999999993" customHeight="1">
      <c r="H24" s="134"/>
      <c r="R24" s="490"/>
    </row>
    <row r="25" spans="4:18" ht="20.100000000000001" customHeight="1">
      <c r="D25" s="474"/>
      <c r="H25" s="134"/>
      <c r="J25" s="489" t="s">
        <v>840</v>
      </c>
      <c r="K25" s="489"/>
      <c r="L25" s="92" t="s">
        <v>826</v>
      </c>
      <c r="M25" s="92"/>
      <c r="N25" s="92"/>
      <c r="O25" s="92"/>
      <c r="P25" s="92"/>
      <c r="Q25" s="92"/>
      <c r="R25" s="490"/>
    </row>
    <row r="26" spans="4:18" ht="20.100000000000001" customHeight="1">
      <c r="D26" s="474"/>
      <c r="H26" s="134"/>
      <c r="J26" s="489" t="s">
        <v>841</v>
      </c>
      <c r="K26" s="489"/>
      <c r="L26" s="92" t="s">
        <v>827</v>
      </c>
      <c r="M26" s="92"/>
      <c r="N26" s="92"/>
      <c r="O26" s="92"/>
      <c r="P26" s="92"/>
      <c r="Q26" s="92"/>
      <c r="R26" s="490"/>
    </row>
    <row r="27" spans="4:18" ht="5.0999999999999996" customHeight="1">
      <c r="H27" s="134"/>
      <c r="R27" s="490"/>
    </row>
    <row r="28" spans="4:18" ht="20.100000000000001" customHeight="1">
      <c r="D28" s="474"/>
      <c r="H28" s="134"/>
      <c r="J28" s="165"/>
      <c r="K28" s="491" t="s">
        <v>695</v>
      </c>
      <c r="L28" s="165" t="s">
        <v>828</v>
      </c>
      <c r="M28" s="165"/>
      <c r="N28" s="165"/>
      <c r="O28" s="165"/>
      <c r="P28" s="165"/>
      <c r="Q28" s="165"/>
      <c r="R28" s="490"/>
    </row>
    <row r="29" spans="4:18" ht="9.9499999999999993" customHeight="1">
      <c r="H29" s="134"/>
      <c r="R29" s="490"/>
    </row>
    <row r="30" spans="4:18" ht="9.9499999999999993" customHeight="1">
      <c r="H30" s="134"/>
      <c r="I30" s="485"/>
      <c r="J30" s="485"/>
      <c r="K30" s="485"/>
      <c r="L30" s="485"/>
      <c r="M30" s="485"/>
      <c r="N30" s="485"/>
      <c r="O30" s="485"/>
      <c r="P30" s="485"/>
      <c r="Q30" s="485"/>
      <c r="R30" s="490"/>
    </row>
    <row r="31" spans="4:18" ht="20.100000000000001" customHeight="1">
      <c r="H31" s="134" t="s">
        <v>15</v>
      </c>
      <c r="I31" s="497" t="s">
        <v>695</v>
      </c>
      <c r="J31" s="497"/>
      <c r="K31" s="231" t="s">
        <v>829</v>
      </c>
      <c r="L31" s="231"/>
      <c r="M31" s="231"/>
      <c r="N31" s="231"/>
      <c r="O31" s="231"/>
      <c r="P31" s="231"/>
      <c r="Q31" s="231"/>
      <c r="R31" s="490"/>
    </row>
    <row r="32" spans="4:18" ht="20.100000000000001" customHeight="1">
      <c r="H32" s="134" t="s">
        <v>15</v>
      </c>
      <c r="I32" s="497" t="s">
        <v>695</v>
      </c>
      <c r="J32" s="497"/>
      <c r="K32" s="231" t="s">
        <v>830</v>
      </c>
      <c r="L32" s="231"/>
      <c r="M32" s="231"/>
      <c r="N32" s="231"/>
      <c r="O32" s="231"/>
      <c r="P32" s="231"/>
      <c r="Q32" s="231"/>
      <c r="R32" s="490"/>
    </row>
    <row r="33" spans="4:18" ht="9.9499999999999993" customHeight="1">
      <c r="H33" s="134"/>
      <c r="R33" s="490"/>
    </row>
    <row r="34" spans="4:18" s="81" customFormat="1" ht="20.100000000000001" customHeight="1">
      <c r="D34" s="474"/>
      <c r="H34" s="492"/>
      <c r="I34" s="493" t="s">
        <v>837</v>
      </c>
      <c r="J34" s="493"/>
      <c r="K34" s="494" t="s">
        <v>833</v>
      </c>
      <c r="L34" s="495"/>
      <c r="M34" s="495"/>
      <c r="N34" s="495"/>
      <c r="O34" s="495"/>
      <c r="P34" s="495"/>
      <c r="Q34" s="495"/>
      <c r="R34" s="496"/>
    </row>
    <row r="35" spans="4:18" ht="9.9499999999999993" customHeight="1">
      <c r="H35" s="134"/>
      <c r="R35" s="490"/>
    </row>
    <row r="36" spans="4:18" ht="20.100000000000001" customHeight="1">
      <c r="D36" s="474"/>
      <c r="H36" s="134"/>
      <c r="J36" s="489" t="s">
        <v>838</v>
      </c>
      <c r="K36" s="489"/>
      <c r="L36" s="92" t="s">
        <v>921</v>
      </c>
      <c r="M36" s="92"/>
      <c r="N36" s="92"/>
      <c r="O36" s="92"/>
      <c r="P36" s="92"/>
      <c r="Q36" s="92"/>
      <c r="R36" s="490"/>
    </row>
    <row r="37" spans="4:18" ht="5.0999999999999996" customHeight="1">
      <c r="H37" s="134"/>
      <c r="R37" s="490"/>
    </row>
    <row r="38" spans="4:18" ht="20.100000000000001" customHeight="1">
      <c r="H38" s="134" t="s">
        <v>15</v>
      </c>
      <c r="J38" s="165"/>
      <c r="K38" s="491" t="s">
        <v>695</v>
      </c>
      <c r="L38" s="165" t="s">
        <v>922</v>
      </c>
      <c r="M38" s="165"/>
      <c r="N38" s="165"/>
      <c r="O38" s="165"/>
      <c r="P38" s="165"/>
      <c r="Q38" s="165"/>
      <c r="R38" s="490"/>
    </row>
    <row r="39" spans="4:18" ht="9.9499999999999993" customHeight="1">
      <c r="H39" s="134"/>
      <c r="R39" s="490"/>
    </row>
    <row r="40" spans="4:18" s="81" customFormat="1" ht="20.100000000000001" customHeight="1">
      <c r="D40" s="474"/>
      <c r="H40" s="492"/>
      <c r="I40" s="493" t="s">
        <v>842</v>
      </c>
      <c r="J40" s="493"/>
      <c r="K40" s="494" t="s">
        <v>888</v>
      </c>
      <c r="L40" s="495"/>
      <c r="M40" s="495"/>
      <c r="N40" s="495"/>
      <c r="O40" s="495"/>
      <c r="P40" s="495"/>
      <c r="Q40" s="495"/>
      <c r="R40" s="496"/>
    </row>
    <row r="41" spans="4:18" ht="9.9499999999999993" customHeight="1">
      <c r="H41" s="134"/>
      <c r="R41" s="490"/>
    </row>
    <row r="42" spans="4:18" ht="20.100000000000001" customHeight="1">
      <c r="D42" s="474"/>
      <c r="H42" s="134"/>
      <c r="J42" s="489" t="s">
        <v>843</v>
      </c>
      <c r="K42" s="489"/>
      <c r="L42" s="92" t="s">
        <v>890</v>
      </c>
      <c r="M42" s="92"/>
      <c r="N42" s="92"/>
      <c r="O42" s="92"/>
      <c r="P42" s="92"/>
      <c r="Q42" s="92"/>
      <c r="R42" s="490"/>
    </row>
    <row r="43" spans="4:18" ht="20.100000000000001" customHeight="1">
      <c r="D43" s="474"/>
      <c r="H43" s="134"/>
      <c r="J43" s="489" t="s">
        <v>844</v>
      </c>
      <c r="K43" s="489"/>
      <c r="L43" s="92" t="s">
        <v>891</v>
      </c>
      <c r="M43" s="92"/>
      <c r="N43" s="92"/>
      <c r="O43" s="92"/>
      <c r="P43" s="92"/>
      <c r="Q43" s="92"/>
      <c r="R43" s="490"/>
    </row>
    <row r="44" spans="4:18" ht="5.0999999999999996" customHeight="1">
      <c r="H44" s="134"/>
      <c r="R44" s="490"/>
    </row>
    <row r="45" spans="4:18" ht="20.100000000000001" customHeight="1">
      <c r="H45" s="134" t="s">
        <v>15</v>
      </c>
      <c r="J45" s="165"/>
      <c r="K45" s="491" t="s">
        <v>695</v>
      </c>
      <c r="L45" s="165" t="s">
        <v>892</v>
      </c>
      <c r="M45" s="165"/>
      <c r="N45" s="165"/>
      <c r="O45" s="165"/>
      <c r="P45" s="165"/>
      <c r="Q45" s="165"/>
      <c r="R45" s="490"/>
    </row>
    <row r="46" spans="4:18" ht="9.9499999999999993" customHeight="1">
      <c r="H46" s="134"/>
      <c r="R46" s="490"/>
    </row>
    <row r="47" spans="4:18" ht="20.100000000000001" customHeight="1">
      <c r="D47" s="474"/>
      <c r="H47" s="134"/>
      <c r="I47" s="489" t="s">
        <v>846</v>
      </c>
      <c r="J47" s="489"/>
      <c r="K47" s="92" t="s">
        <v>897</v>
      </c>
      <c r="L47" s="92"/>
      <c r="M47" s="92"/>
      <c r="N47" s="92"/>
      <c r="O47" s="92"/>
      <c r="P47" s="92"/>
      <c r="Q47" s="92"/>
      <c r="R47" s="490"/>
    </row>
    <row r="48" spans="4:18" ht="9.9499999999999993" customHeight="1" thickBot="1">
      <c r="H48" s="498"/>
      <c r="I48" s="499"/>
      <c r="J48" s="499"/>
      <c r="K48" s="499"/>
      <c r="L48" s="499"/>
      <c r="M48" s="499"/>
      <c r="N48" s="499"/>
      <c r="O48" s="499"/>
      <c r="P48" s="499"/>
      <c r="Q48" s="499"/>
      <c r="R48" s="500"/>
    </row>
    <row r="50" spans="5:32" ht="20.100000000000001" customHeight="1">
      <c r="AF50" s="508"/>
    </row>
    <row r="51" spans="5:32" ht="20.100000000000001" customHeight="1">
      <c r="E51" s="474" t="s">
        <v>854</v>
      </c>
    </row>
    <row r="53" spans="5:32" ht="20.100000000000001" customHeight="1">
      <c r="F53" s="475" t="s">
        <v>855</v>
      </c>
    </row>
    <row r="54" spans="5:32" ht="20.100000000000001" customHeight="1">
      <c r="F54" s="475"/>
    </row>
    <row r="55" spans="5:32" ht="20.100000000000001" customHeight="1">
      <c r="F55" s="476" t="s">
        <v>628</v>
      </c>
      <c r="G55" s="78" t="s">
        <v>856</v>
      </c>
      <c r="J55" s="78" t="s">
        <v>857</v>
      </c>
    </row>
    <row r="56" spans="5:32" ht="20.100000000000001" customHeight="1">
      <c r="F56" s="476"/>
      <c r="J56" s="143" t="s">
        <v>858</v>
      </c>
    </row>
    <row r="57" spans="5:32" ht="20.100000000000001" customHeight="1">
      <c r="Y57" s="507"/>
    </row>
    <row r="58" spans="5:32" ht="20.100000000000001" customHeight="1">
      <c r="F58" s="474" t="s">
        <v>859</v>
      </c>
    </row>
    <row r="60" spans="5:32" ht="20.100000000000001" customHeight="1">
      <c r="H60" s="475"/>
    </row>
    <row r="61" spans="5:32" ht="20.100000000000001" customHeight="1">
      <c r="E61" s="474" t="s">
        <v>860</v>
      </c>
      <c r="H61" s="475"/>
    </row>
    <row r="62" spans="5:32" ht="20.100000000000001" customHeight="1">
      <c r="H62" s="475"/>
    </row>
    <row r="63" spans="5:32" ht="20.100000000000001" customHeight="1">
      <c r="G63" s="474" t="s">
        <v>861</v>
      </c>
      <c r="H63" s="475"/>
    </row>
    <row r="64" spans="5:32" ht="20.100000000000001" customHeight="1">
      <c r="H64" s="475"/>
    </row>
    <row r="65" spans="7:12" ht="20.100000000000001" customHeight="1">
      <c r="H65" s="476" t="s">
        <v>628</v>
      </c>
      <c r="I65" s="78" t="s">
        <v>862</v>
      </c>
      <c r="L65" s="475" t="s">
        <v>863</v>
      </c>
    </row>
    <row r="66" spans="7:12" ht="20.100000000000001" customHeight="1">
      <c r="H66" s="475"/>
      <c r="L66" s="475" t="s">
        <v>864</v>
      </c>
    </row>
    <row r="67" spans="7:12" ht="20.100000000000001" customHeight="1">
      <c r="H67" s="475"/>
      <c r="L67" s="475" t="s">
        <v>865</v>
      </c>
    </row>
    <row r="68" spans="7:12" ht="20.100000000000001" customHeight="1">
      <c r="H68" s="475"/>
    </row>
    <row r="69" spans="7:12" ht="20.100000000000001" customHeight="1">
      <c r="H69" s="506" t="s">
        <v>866</v>
      </c>
    </row>
    <row r="70" spans="7:12" ht="20.100000000000001" customHeight="1">
      <c r="H70" s="475"/>
    </row>
    <row r="71" spans="7:12" ht="20.100000000000001" customHeight="1">
      <c r="G71" s="474" t="s">
        <v>867</v>
      </c>
      <c r="H71" s="475"/>
    </row>
    <row r="72" spans="7:12" ht="20.100000000000001" customHeight="1">
      <c r="H72" s="475"/>
    </row>
    <row r="73" spans="7:12" ht="20.100000000000001" customHeight="1">
      <c r="H73" s="476" t="s">
        <v>628</v>
      </c>
      <c r="I73" s="78" t="s">
        <v>862</v>
      </c>
      <c r="L73" s="475" t="s">
        <v>868</v>
      </c>
    </row>
    <row r="74" spans="7:12" ht="20.100000000000001" customHeight="1">
      <c r="H74" s="475"/>
      <c r="L74" s="475" t="s">
        <v>869</v>
      </c>
    </row>
    <row r="75" spans="7:12" ht="20.100000000000001" customHeight="1">
      <c r="H75" s="475"/>
      <c r="L75" s="475" t="s">
        <v>870</v>
      </c>
    </row>
    <row r="76" spans="7:12" ht="20.100000000000001" customHeight="1">
      <c r="H76" s="475"/>
    </row>
    <row r="77" spans="7:12" ht="20.100000000000001" customHeight="1">
      <c r="H77" s="506" t="s">
        <v>871</v>
      </c>
    </row>
    <row r="78" spans="7:12" ht="20.100000000000001" customHeight="1">
      <c r="H78" s="475"/>
    </row>
    <row r="79" spans="7:12" ht="20.100000000000001" customHeight="1">
      <c r="G79" s="474" t="s">
        <v>872</v>
      </c>
      <c r="H79" s="475"/>
    </row>
    <row r="80" spans="7:12" ht="20.100000000000001" customHeight="1">
      <c r="H80" s="475"/>
    </row>
    <row r="81" spans="7:8" ht="20.100000000000001" customHeight="1">
      <c r="H81" s="120" t="s">
        <v>875</v>
      </c>
    </row>
    <row r="82" spans="7:8" ht="20.100000000000001" customHeight="1">
      <c r="H82" s="120" t="s">
        <v>874</v>
      </c>
    </row>
    <row r="83" spans="7:8" ht="20.100000000000001" customHeight="1">
      <c r="H83" s="475"/>
    </row>
    <row r="84" spans="7:8" ht="20.100000000000001" customHeight="1">
      <c r="H84" s="506" t="s">
        <v>873</v>
      </c>
    </row>
    <row r="85" spans="7:8" ht="20.100000000000001" customHeight="1">
      <c r="H85" s="475"/>
    </row>
    <row r="86" spans="7:8" ht="20.100000000000001" customHeight="1">
      <c r="G86" s="474" t="s">
        <v>876</v>
      </c>
      <c r="H86" s="475"/>
    </row>
    <row r="87" spans="7:8" ht="20.100000000000001" customHeight="1">
      <c r="H87" s="475"/>
    </row>
    <row r="88" spans="7:8" ht="20.100000000000001" customHeight="1">
      <c r="G88" s="474" t="s">
        <v>877</v>
      </c>
      <c r="H88" s="475"/>
    </row>
    <row r="89" spans="7:8" ht="20.100000000000001" customHeight="1">
      <c r="H89" s="475"/>
    </row>
    <row r="90" spans="7:8" ht="20.100000000000001" customHeight="1">
      <c r="H90" s="506" t="s">
        <v>878</v>
      </c>
    </row>
    <row r="91" spans="7:8" ht="20.100000000000001" customHeight="1">
      <c r="H91" s="475"/>
    </row>
    <row r="92" spans="7:8" ht="20.100000000000001" customHeight="1">
      <c r="H92" s="475"/>
    </row>
    <row r="93" spans="7:8" ht="20.100000000000001" customHeight="1">
      <c r="G93" s="474" t="s">
        <v>879</v>
      </c>
      <c r="H93" s="475"/>
    </row>
    <row r="94" spans="7:8" ht="20.100000000000001" customHeight="1">
      <c r="G94" s="474"/>
      <c r="H94" s="475"/>
    </row>
    <row r="95" spans="7:8" ht="20.100000000000001" customHeight="1">
      <c r="H95" s="475" t="s">
        <v>881</v>
      </c>
    </row>
    <row r="96" spans="7:8" ht="20.100000000000001" customHeight="1">
      <c r="H96" s="120" t="s">
        <v>883</v>
      </c>
    </row>
    <row r="97" spans="5:12" ht="20.100000000000001" customHeight="1">
      <c r="H97" s="475"/>
    </row>
    <row r="98" spans="5:12" ht="20.100000000000001" customHeight="1">
      <c r="G98" s="474" t="s">
        <v>880</v>
      </c>
      <c r="H98" s="475"/>
    </row>
    <row r="99" spans="5:12" ht="20.100000000000001" customHeight="1">
      <c r="H99" s="475"/>
    </row>
    <row r="100" spans="5:12" ht="20.100000000000001" customHeight="1">
      <c r="H100" s="475" t="s">
        <v>881</v>
      </c>
    </row>
    <row r="101" spans="5:12" ht="20.100000000000001" customHeight="1">
      <c r="H101" s="475"/>
    </row>
    <row r="102" spans="5:12" ht="20.100000000000001" customHeight="1">
      <c r="H102" s="476" t="s">
        <v>628</v>
      </c>
      <c r="I102" s="78" t="s">
        <v>717</v>
      </c>
      <c r="L102" s="78" t="s">
        <v>882</v>
      </c>
    </row>
    <row r="103" spans="5:12" ht="20.100000000000001" customHeight="1">
      <c r="H103" s="476" t="s">
        <v>628</v>
      </c>
      <c r="I103" s="78" t="s">
        <v>722</v>
      </c>
      <c r="L103" s="78" t="s">
        <v>884</v>
      </c>
    </row>
    <row r="104" spans="5:12" ht="20.100000000000001" customHeight="1">
      <c r="L104" s="143" t="s">
        <v>885</v>
      </c>
    </row>
    <row r="105" spans="5:12" ht="20.100000000000001" customHeight="1">
      <c r="L105" s="142"/>
    </row>
    <row r="106" spans="5:12" ht="20.100000000000001" customHeight="1">
      <c r="L106" s="142"/>
    </row>
    <row r="107" spans="5:12" ht="20.100000000000001" customHeight="1">
      <c r="E107" s="474" t="s">
        <v>886</v>
      </c>
      <c r="L107" s="142"/>
    </row>
    <row r="108" spans="5:12" ht="20.100000000000001" customHeight="1">
      <c r="L108" s="142"/>
    </row>
    <row r="109" spans="5:12" ht="20.100000000000001" customHeight="1">
      <c r="G109" s="474" t="s">
        <v>923</v>
      </c>
      <c r="L109" s="142"/>
    </row>
    <row r="110" spans="5:12" ht="20.100000000000001" customHeight="1">
      <c r="L110" s="142"/>
    </row>
    <row r="111" spans="5:12" ht="20.100000000000001" customHeight="1">
      <c r="H111" s="475" t="s">
        <v>925</v>
      </c>
      <c r="L111" s="142"/>
    </row>
    <row r="112" spans="5:12" ht="20.100000000000001" customHeight="1">
      <c r="H112" s="475" t="s">
        <v>926</v>
      </c>
      <c r="L112" s="142"/>
    </row>
    <row r="113" spans="5:12" ht="20.100000000000001" customHeight="1">
      <c r="H113" s="120" t="s">
        <v>924</v>
      </c>
      <c r="L113" s="142"/>
    </row>
    <row r="114" spans="5:12" ht="20.100000000000001" customHeight="1">
      <c r="L114" s="142"/>
    </row>
    <row r="115" spans="5:12" ht="20.100000000000001" customHeight="1">
      <c r="G115" s="506" t="s">
        <v>927</v>
      </c>
    </row>
    <row r="116" spans="5:12" ht="20.100000000000001" customHeight="1">
      <c r="H116" s="475"/>
    </row>
    <row r="117" spans="5:12" ht="20.100000000000001" customHeight="1">
      <c r="H117" s="475"/>
    </row>
    <row r="118" spans="5:12" ht="20.100000000000001" customHeight="1">
      <c r="E118" s="474" t="s">
        <v>887</v>
      </c>
      <c r="H118" s="475"/>
    </row>
    <row r="119" spans="5:12" ht="20.100000000000001" customHeight="1">
      <c r="H119" s="475"/>
    </row>
    <row r="120" spans="5:12" ht="20.100000000000001" customHeight="1">
      <c r="G120" s="474" t="s">
        <v>889</v>
      </c>
      <c r="H120" s="475"/>
    </row>
    <row r="121" spans="5:12" ht="20.100000000000001" customHeight="1">
      <c r="H121" s="475"/>
    </row>
    <row r="122" spans="5:12" ht="20.100000000000001" customHeight="1">
      <c r="H122" s="120" t="s">
        <v>895</v>
      </c>
    </row>
    <row r="123" spans="5:12" ht="20.100000000000001" customHeight="1">
      <c r="H123" s="475"/>
    </row>
    <row r="124" spans="5:12" ht="20.100000000000001" customHeight="1">
      <c r="G124" s="474" t="s">
        <v>893</v>
      </c>
      <c r="H124" s="475"/>
    </row>
    <row r="125" spans="5:12" ht="20.100000000000001" customHeight="1">
      <c r="H125" s="475"/>
    </row>
    <row r="126" spans="5:12" ht="20.100000000000001" customHeight="1">
      <c r="H126" s="120" t="s">
        <v>896</v>
      </c>
    </row>
    <row r="127" spans="5:12" ht="20.100000000000001" customHeight="1">
      <c r="H127" s="475"/>
    </row>
    <row r="128" spans="5:12" ht="20.100000000000001" customHeight="1">
      <c r="H128" s="506" t="s">
        <v>894</v>
      </c>
    </row>
    <row r="129" spans="5:8" ht="20.100000000000001" customHeight="1">
      <c r="H129" s="475"/>
    </row>
    <row r="130" spans="5:8" ht="20.100000000000001" customHeight="1">
      <c r="H130" s="475"/>
    </row>
    <row r="131" spans="5:8" ht="20.100000000000001" customHeight="1">
      <c r="E131" s="474" t="s">
        <v>898</v>
      </c>
      <c r="H131" s="475"/>
    </row>
    <row r="132" spans="5:8" ht="20.100000000000001" customHeight="1">
      <c r="H132" s="475"/>
    </row>
    <row r="133" spans="5:8" ht="20.100000000000001" customHeight="1">
      <c r="F133" s="475" t="s">
        <v>899</v>
      </c>
      <c r="H133" s="475"/>
    </row>
    <row r="134" spans="5:8" ht="20.100000000000001" customHeight="1">
      <c r="H134" s="475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 tint="0.59999389629810485"/>
  </sheetPr>
  <dimension ref="G2:Q39"/>
  <sheetViews>
    <sheetView workbookViewId="0">
      <selection activeCell="T24" sqref="T24"/>
    </sheetView>
  </sheetViews>
  <sheetFormatPr defaultRowHeight="20.100000000000001" customHeight="1"/>
  <cols>
    <col min="1" max="7" width="9.140625" style="509"/>
    <col min="8" max="8" width="13" style="509" customWidth="1"/>
    <col min="9" max="9" width="14.42578125" style="509" customWidth="1"/>
    <col min="10" max="10" width="16.140625" style="509" customWidth="1"/>
    <col min="11" max="12" width="9.140625" style="509"/>
    <col min="13" max="14" width="9.5703125" style="509" bestFit="1" customWidth="1"/>
    <col min="15" max="16384" width="9.140625" style="509"/>
  </cols>
  <sheetData>
    <row r="2" spans="7:17" ht="20.100000000000001" customHeight="1">
      <c r="G2" s="637" t="s">
        <v>1357</v>
      </c>
    </row>
    <row r="5" spans="7:17" ht="27.75" customHeight="1">
      <c r="G5" s="843" t="s">
        <v>1345</v>
      </c>
      <c r="H5" s="843"/>
      <c r="I5" s="843"/>
    </row>
    <row r="7" spans="7:17" ht="20.100000000000001" customHeight="1">
      <c r="G7" s="509" t="s">
        <v>1333</v>
      </c>
    </row>
    <row r="8" spans="7:17" ht="20.100000000000001" customHeight="1">
      <c r="G8" s="509" t="s">
        <v>1341</v>
      </c>
    </row>
    <row r="10" spans="7:17" s="842" customFormat="1" ht="20.100000000000001" customHeight="1">
      <c r="G10" s="735" t="s">
        <v>1334</v>
      </c>
      <c r="H10" s="735" t="s">
        <v>1335</v>
      </c>
      <c r="I10" s="735" t="s">
        <v>1340</v>
      </c>
      <c r="L10" s="846" t="s">
        <v>1355</v>
      </c>
      <c r="P10" s="846" t="s">
        <v>1356</v>
      </c>
      <c r="Q10" s="509"/>
    </row>
    <row r="11" spans="7:17" ht="20.100000000000001" customHeight="1">
      <c r="G11" s="842" t="s">
        <v>1336</v>
      </c>
      <c r="H11" s="842" t="s">
        <v>1337</v>
      </c>
      <c r="I11" s="509">
        <v>10000</v>
      </c>
      <c r="L11" s="845" t="s">
        <v>1342</v>
      </c>
      <c r="P11" s="845" t="s">
        <v>1342</v>
      </c>
    </row>
    <row r="12" spans="7:17" ht="20.100000000000001" customHeight="1">
      <c r="G12" s="842" t="s">
        <v>1336</v>
      </c>
      <c r="H12" s="842" t="s">
        <v>1337</v>
      </c>
      <c r="I12" s="509">
        <v>50000</v>
      </c>
      <c r="L12" s="735" t="s">
        <v>1334</v>
      </c>
      <c r="M12" s="735" t="s">
        <v>1340</v>
      </c>
      <c r="N12" s="844" t="s">
        <v>1353</v>
      </c>
      <c r="P12" s="735" t="s">
        <v>1334</v>
      </c>
      <c r="Q12" s="735" t="s">
        <v>1340</v>
      </c>
    </row>
    <row r="13" spans="7:17" ht="20.100000000000001" customHeight="1">
      <c r="G13" s="842" t="s">
        <v>1336</v>
      </c>
      <c r="H13" s="842" t="s">
        <v>1338</v>
      </c>
      <c r="I13" s="509">
        <v>30000</v>
      </c>
      <c r="L13" s="842" t="s">
        <v>1336</v>
      </c>
      <c r="M13" s="509">
        <f>I11+I12</f>
        <v>60000</v>
      </c>
      <c r="N13" s="509">
        <f>M13</f>
        <v>60000</v>
      </c>
      <c r="P13" s="842" t="s">
        <v>1336</v>
      </c>
      <c r="Q13" s="509">
        <f>M13</f>
        <v>60000</v>
      </c>
    </row>
    <row r="14" spans="7:17" ht="20.100000000000001" customHeight="1">
      <c r="G14" s="842" t="s">
        <v>1336</v>
      </c>
      <c r="H14" s="842" t="s">
        <v>1339</v>
      </c>
      <c r="I14" s="509">
        <v>20000</v>
      </c>
    </row>
    <row r="15" spans="7:17" ht="20.100000000000001" customHeight="1">
      <c r="L15" s="845" t="s">
        <v>1344</v>
      </c>
      <c r="P15" s="845" t="s">
        <v>1344</v>
      </c>
    </row>
    <row r="16" spans="7:17" ht="20.100000000000001" customHeight="1">
      <c r="L16" s="735" t="s">
        <v>1334</v>
      </c>
      <c r="M16" s="735" t="s">
        <v>1340</v>
      </c>
      <c r="N16" s="844" t="s">
        <v>1353</v>
      </c>
      <c r="P16" s="735" t="s">
        <v>1334</v>
      </c>
      <c r="Q16" s="735" t="s">
        <v>1340</v>
      </c>
    </row>
    <row r="17" spans="7:17" ht="20.100000000000001" customHeight="1">
      <c r="L17" s="842" t="s">
        <v>1336</v>
      </c>
      <c r="M17" s="509">
        <f>I13</f>
        <v>30000</v>
      </c>
      <c r="N17" s="509">
        <f>M17</f>
        <v>30000</v>
      </c>
      <c r="P17" s="842" t="s">
        <v>1336</v>
      </c>
      <c r="Q17" s="509">
        <f>M17</f>
        <v>30000</v>
      </c>
    </row>
    <row r="19" spans="7:17" ht="20.100000000000001" customHeight="1">
      <c r="L19" s="845" t="s">
        <v>1343</v>
      </c>
      <c r="P19" s="845" t="s">
        <v>1343</v>
      </c>
    </row>
    <row r="20" spans="7:17" ht="20.100000000000001" customHeight="1">
      <c r="L20" s="735" t="s">
        <v>1334</v>
      </c>
      <c r="M20" s="735" t="s">
        <v>1340</v>
      </c>
      <c r="N20" s="844" t="s">
        <v>1353</v>
      </c>
      <c r="P20" s="735" t="s">
        <v>1334</v>
      </c>
      <c r="Q20" s="735" t="s">
        <v>1340</v>
      </c>
    </row>
    <row r="21" spans="7:17" ht="20.100000000000001" customHeight="1">
      <c r="L21" s="842" t="s">
        <v>1336</v>
      </c>
      <c r="M21" s="509">
        <f>I14</f>
        <v>20000</v>
      </c>
      <c r="N21" s="509">
        <f>M21</f>
        <v>20000</v>
      </c>
      <c r="P21" s="842" t="s">
        <v>1336</v>
      </c>
      <c r="Q21" s="509">
        <f>M21</f>
        <v>20000</v>
      </c>
    </row>
    <row r="22" spans="7:17" ht="20.100000000000001" customHeight="1">
      <c r="L22" s="842"/>
      <c r="P22" s="842"/>
    </row>
    <row r="23" spans="7:17" ht="27.75" customHeight="1">
      <c r="G23" s="843" t="s">
        <v>1354</v>
      </c>
      <c r="H23" s="843"/>
      <c r="I23" s="843"/>
    </row>
    <row r="25" spans="7:17" ht="20.100000000000001" customHeight="1">
      <c r="G25" s="509" t="s">
        <v>1346</v>
      </c>
    </row>
    <row r="26" spans="7:17" ht="20.100000000000001" customHeight="1">
      <c r="G26" s="509" t="s">
        <v>1347</v>
      </c>
    </row>
    <row r="28" spans="7:17" s="842" customFormat="1" ht="20.100000000000001" customHeight="1">
      <c r="G28" s="735" t="s">
        <v>1351</v>
      </c>
      <c r="H28" s="735" t="s">
        <v>1334</v>
      </c>
      <c r="I28" s="735" t="s">
        <v>1335</v>
      </c>
      <c r="J28" s="735" t="s">
        <v>1340</v>
      </c>
      <c r="L28" s="846" t="s">
        <v>1355</v>
      </c>
      <c r="P28" s="846" t="s">
        <v>1356</v>
      </c>
      <c r="Q28" s="509"/>
    </row>
    <row r="29" spans="7:17" ht="20.100000000000001" customHeight="1">
      <c r="G29" s="842" t="s">
        <v>1352</v>
      </c>
      <c r="H29" s="842" t="s">
        <v>1336</v>
      </c>
      <c r="I29" s="842" t="s">
        <v>1337</v>
      </c>
      <c r="J29" s="509">
        <v>10000</v>
      </c>
      <c r="L29" s="735" t="s">
        <v>1334</v>
      </c>
      <c r="M29" s="735" t="s">
        <v>1340</v>
      </c>
      <c r="N29" s="844" t="s">
        <v>1353</v>
      </c>
      <c r="P29" s="845" t="s">
        <v>1342</v>
      </c>
    </row>
    <row r="30" spans="7:17" ht="20.100000000000001" customHeight="1">
      <c r="G30" s="842" t="s">
        <v>1352</v>
      </c>
      <c r="H30" s="842" t="s">
        <v>1336</v>
      </c>
      <c r="I30" s="842" t="s">
        <v>1337</v>
      </c>
      <c r="J30" s="509">
        <v>50000</v>
      </c>
      <c r="L30" s="842" t="s">
        <v>1336</v>
      </c>
      <c r="M30" s="509">
        <f>Q31</f>
        <v>60000</v>
      </c>
      <c r="N30" s="1218">
        <v>110000</v>
      </c>
      <c r="P30" s="735" t="s">
        <v>1334</v>
      </c>
      <c r="Q30" s="735" t="s">
        <v>1340</v>
      </c>
    </row>
    <row r="31" spans="7:17" ht="20.100000000000001" customHeight="1">
      <c r="G31" s="842" t="s">
        <v>1352</v>
      </c>
      <c r="H31" s="842" t="s">
        <v>1348</v>
      </c>
      <c r="I31" s="842" t="s">
        <v>1338</v>
      </c>
      <c r="J31" s="509">
        <v>30000</v>
      </c>
      <c r="L31" s="842" t="s">
        <v>1348</v>
      </c>
      <c r="M31" s="509">
        <f>Q35</f>
        <v>30000</v>
      </c>
      <c r="N31" s="1218"/>
      <c r="P31" s="842" t="s">
        <v>1336</v>
      </c>
      <c r="Q31" s="509">
        <f>SUMIF($I:$I,P29,$J:$J)</f>
        <v>60000</v>
      </c>
    </row>
    <row r="32" spans="7:17" ht="20.100000000000001" customHeight="1">
      <c r="G32" s="842" t="s">
        <v>1352</v>
      </c>
      <c r="H32" s="842" t="s">
        <v>1349</v>
      </c>
      <c r="I32" s="842" t="s">
        <v>1339</v>
      </c>
      <c r="J32" s="509">
        <v>20000</v>
      </c>
      <c r="L32" s="842" t="s">
        <v>1350</v>
      </c>
      <c r="M32" s="509">
        <f>Q39</f>
        <v>20000</v>
      </c>
      <c r="N32" s="1218"/>
    </row>
    <row r="33" spans="16:17" ht="20.100000000000001" customHeight="1">
      <c r="P33" s="845" t="s">
        <v>1344</v>
      </c>
    </row>
    <row r="34" spans="16:17" ht="20.100000000000001" customHeight="1">
      <c r="P34" s="735" t="s">
        <v>1334</v>
      </c>
      <c r="Q34" s="735" t="s">
        <v>1340</v>
      </c>
    </row>
    <row r="35" spans="16:17" ht="20.100000000000001" customHeight="1">
      <c r="P35" s="842" t="s">
        <v>1348</v>
      </c>
      <c r="Q35" s="509">
        <f>SUMIF($I:$I,P33,$J:$J)</f>
        <v>30000</v>
      </c>
    </row>
    <row r="37" spans="16:17" ht="20.100000000000001" customHeight="1">
      <c r="P37" s="845" t="s">
        <v>1343</v>
      </c>
    </row>
    <row r="38" spans="16:17" ht="20.100000000000001" customHeight="1">
      <c r="P38" s="735" t="s">
        <v>1334</v>
      </c>
      <c r="Q38" s="735" t="s">
        <v>1340</v>
      </c>
    </row>
    <row r="39" spans="16:17" ht="20.100000000000001" customHeight="1">
      <c r="P39" s="842" t="s">
        <v>1350</v>
      </c>
      <c r="Q39" s="509">
        <f>SUMIF($I:$I,P37,$J:$J)</f>
        <v>20000</v>
      </c>
    </row>
  </sheetData>
  <mergeCells count="1">
    <mergeCell ref="N30:N32"/>
  </mergeCells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D5:AG21"/>
  <sheetViews>
    <sheetView topLeftCell="C1" workbookViewId="0">
      <selection activeCell="W13" sqref="W13"/>
    </sheetView>
  </sheetViews>
  <sheetFormatPr defaultRowHeight="20.100000000000001" customHeight="1"/>
  <cols>
    <col min="4" max="4" width="13.140625" style="509" customWidth="1"/>
    <col min="5" max="6" width="14" style="509" customWidth="1"/>
    <col min="7" max="7" width="2.28515625" customWidth="1"/>
    <col min="10" max="11" width="10" customWidth="1"/>
    <col min="12" max="12" width="2.28515625" customWidth="1"/>
    <col min="14" max="14" width="9.140625" style="78"/>
    <col min="16" max="16" width="9.140625" style="78"/>
    <col min="20" max="20" width="2.28515625" customWidth="1"/>
    <col min="24" max="24" width="2.28515625" customWidth="1"/>
    <col min="26" max="26" width="2.28515625" customWidth="1"/>
    <col min="30" max="30" width="2.28515625" customWidth="1"/>
  </cols>
  <sheetData>
    <row r="5" spans="4:33" ht="20.100000000000001" customHeight="1">
      <c r="D5" s="734"/>
      <c r="E5" s="734"/>
      <c r="F5" s="734"/>
      <c r="H5" s="736" t="s">
        <v>1182</v>
      </c>
      <c r="I5" s="736"/>
      <c r="J5" s="736"/>
      <c r="K5" s="736"/>
      <c r="M5" s="215" t="s">
        <v>1183</v>
      </c>
      <c r="N5" s="739"/>
      <c r="O5" s="215"/>
      <c r="P5" s="739"/>
      <c r="Q5" s="215"/>
      <c r="R5" s="215"/>
      <c r="S5" s="215"/>
      <c r="U5" s="743" t="s">
        <v>1184</v>
      </c>
      <c r="V5" s="743"/>
      <c r="W5" s="743"/>
      <c r="Y5" s="746"/>
      <c r="AA5" s="736" t="s">
        <v>1185</v>
      </c>
      <c r="AB5" s="736"/>
      <c r="AC5" s="736"/>
      <c r="AE5" s="736" t="s">
        <v>1186</v>
      </c>
      <c r="AF5" s="736"/>
      <c r="AG5" s="736"/>
    </row>
    <row r="6" spans="4:33" ht="20.100000000000001" customHeight="1">
      <c r="D6" s="734" t="s">
        <v>1187</v>
      </c>
      <c r="E6" s="734"/>
      <c r="F6" s="734"/>
      <c r="H6" s="736" t="s">
        <v>1188</v>
      </c>
      <c r="I6" s="736"/>
      <c r="J6" s="736" t="s">
        <v>1189</v>
      </c>
      <c r="K6" s="736"/>
      <c r="M6" s="740"/>
      <c r="N6" s="741"/>
      <c r="O6" s="740"/>
      <c r="P6" s="741"/>
      <c r="Q6" s="740"/>
      <c r="R6" s="740"/>
      <c r="S6" s="740"/>
      <c r="U6" s="744"/>
      <c r="V6" s="744"/>
      <c r="W6" s="744"/>
      <c r="Y6" s="362" t="s">
        <v>1190</v>
      </c>
      <c r="AA6" s="737" t="s">
        <v>1191</v>
      </c>
      <c r="AB6" s="738"/>
      <c r="AC6" s="738"/>
      <c r="AE6" s="737"/>
      <c r="AF6" s="738"/>
      <c r="AG6" s="738"/>
    </row>
    <row r="7" spans="4:33" s="145" customFormat="1" ht="20.100000000000001" customHeight="1">
      <c r="D7" s="735"/>
      <c r="E7" s="735"/>
      <c r="F7" s="735"/>
      <c r="H7" s="737" t="s">
        <v>1192</v>
      </c>
      <c r="I7" s="737" t="s">
        <v>1193</v>
      </c>
      <c r="J7" s="737" t="s">
        <v>1194</v>
      </c>
      <c r="K7" s="737" t="s">
        <v>1195</v>
      </c>
      <c r="M7" s="747" t="s">
        <v>1196</v>
      </c>
      <c r="N7" s="88" t="s">
        <v>1197</v>
      </c>
      <c r="O7" s="747" t="s">
        <v>1198</v>
      </c>
      <c r="P7" s="742" t="s">
        <v>1199</v>
      </c>
      <c r="Q7" s="216" t="s">
        <v>1200</v>
      </c>
      <c r="R7" s="216" t="s">
        <v>1201</v>
      </c>
      <c r="S7" s="216" t="s">
        <v>1202</v>
      </c>
      <c r="U7" s="745" t="s">
        <v>1203</v>
      </c>
      <c r="V7" s="745" t="s">
        <v>1204</v>
      </c>
      <c r="W7" s="745" t="s">
        <v>1195</v>
      </c>
      <c r="Y7" s="362"/>
      <c r="AA7" s="737"/>
      <c r="AB7" s="737"/>
      <c r="AC7" s="737"/>
      <c r="AE7" s="737"/>
      <c r="AF7" s="737"/>
      <c r="AG7" s="737"/>
    </row>
    <row r="8" spans="4:33" ht="20.100000000000001" customHeight="1">
      <c r="D8" s="509" t="s">
        <v>1205</v>
      </c>
      <c r="E8" s="509" t="s">
        <v>1206</v>
      </c>
      <c r="H8" s="145" t="s">
        <v>1207</v>
      </c>
      <c r="I8" s="145"/>
      <c r="J8" s="145"/>
      <c r="K8" s="145"/>
      <c r="L8" s="145"/>
      <c r="M8" s="747"/>
      <c r="N8" s="88"/>
      <c r="O8" s="747"/>
      <c r="P8" s="748"/>
      <c r="Q8" s="145"/>
      <c r="R8" s="362"/>
      <c r="S8" s="145"/>
      <c r="T8" s="145"/>
      <c r="U8" s="145" t="s">
        <v>1207</v>
      </c>
      <c r="V8" s="145"/>
      <c r="W8" s="145"/>
      <c r="X8" s="145"/>
      <c r="Y8" s="145" t="s">
        <v>1207</v>
      </c>
      <c r="Z8" s="145"/>
      <c r="AA8" s="145" t="s">
        <v>1208</v>
      </c>
      <c r="AD8" s="145"/>
    </row>
    <row r="9" spans="4:33" ht="20.100000000000001" customHeight="1">
      <c r="E9" s="509" t="s">
        <v>1209</v>
      </c>
      <c r="H9" s="145" t="s">
        <v>1207</v>
      </c>
      <c r="I9" s="145"/>
      <c r="J9" s="145"/>
      <c r="K9" s="145"/>
      <c r="L9" s="145"/>
      <c r="M9" s="747"/>
      <c r="N9" s="88"/>
      <c r="O9" s="747"/>
      <c r="P9" s="748"/>
      <c r="Q9" s="145"/>
      <c r="R9" s="362"/>
      <c r="S9" s="145"/>
      <c r="T9" s="145"/>
      <c r="U9" s="145" t="s">
        <v>1207</v>
      </c>
      <c r="V9" s="145"/>
      <c r="W9" s="145"/>
      <c r="X9" s="145"/>
      <c r="Y9" s="145" t="s">
        <v>1207</v>
      </c>
      <c r="Z9" s="145"/>
      <c r="AA9" s="145" t="s">
        <v>1208</v>
      </c>
      <c r="AD9" s="145"/>
      <c r="AE9" t="s">
        <v>1210</v>
      </c>
    </row>
    <row r="10" spans="4:33" ht="20.100000000000001" customHeight="1">
      <c r="E10" s="509" t="s">
        <v>1211</v>
      </c>
      <c r="H10" s="145" t="s">
        <v>1207</v>
      </c>
      <c r="I10" s="145"/>
      <c r="J10" s="145"/>
      <c r="K10" s="145"/>
      <c r="L10" s="145"/>
      <c r="M10" s="747"/>
      <c r="N10" s="88"/>
      <c r="O10" s="747"/>
      <c r="P10" s="748"/>
      <c r="Q10" s="145"/>
      <c r="R10" s="362"/>
      <c r="S10" s="145"/>
      <c r="T10" s="145"/>
      <c r="U10" s="145" t="s">
        <v>1207</v>
      </c>
      <c r="V10" s="145"/>
      <c r="W10" s="145"/>
      <c r="X10" s="145"/>
      <c r="Y10" s="145" t="s">
        <v>1207</v>
      </c>
      <c r="Z10" s="145"/>
      <c r="AA10" s="145" t="s">
        <v>1212</v>
      </c>
      <c r="AD10" s="145"/>
      <c r="AE10" t="s">
        <v>1210</v>
      </c>
    </row>
    <row r="11" spans="4:33" ht="20.100000000000001" customHeight="1">
      <c r="D11" s="509" t="s">
        <v>1213</v>
      </c>
      <c r="H11" s="145"/>
      <c r="I11" s="145" t="s">
        <v>1207</v>
      </c>
      <c r="J11" s="145" t="s">
        <v>1207</v>
      </c>
      <c r="K11" s="145"/>
      <c r="L11" s="145"/>
      <c r="M11" s="747"/>
      <c r="N11" s="88"/>
      <c r="O11" s="747"/>
      <c r="P11" s="748"/>
      <c r="Q11" s="145"/>
      <c r="R11" s="362"/>
      <c r="S11" s="145"/>
      <c r="T11" s="145"/>
      <c r="U11" s="145"/>
      <c r="V11" s="145" t="s">
        <v>1207</v>
      </c>
      <c r="W11" s="145"/>
      <c r="X11" s="145"/>
      <c r="Y11" s="145" t="s">
        <v>1207</v>
      </c>
      <c r="Z11" s="145"/>
      <c r="AA11" s="145" t="s">
        <v>1208</v>
      </c>
      <c r="AD11" s="145"/>
      <c r="AE11" t="s">
        <v>1214</v>
      </c>
    </row>
    <row r="12" spans="4:33" ht="20.100000000000001" customHeight="1">
      <c r="D12" s="509" t="s">
        <v>1215</v>
      </c>
      <c r="H12" s="145"/>
      <c r="I12" s="145" t="s">
        <v>1207</v>
      </c>
      <c r="J12" s="145"/>
      <c r="K12" s="145"/>
      <c r="L12" s="145"/>
      <c r="M12" s="747"/>
      <c r="N12" s="88"/>
      <c r="O12" s="749"/>
      <c r="P12" s="748"/>
      <c r="Q12" s="145"/>
      <c r="R12" s="362"/>
      <c r="S12" s="145"/>
      <c r="T12" s="145"/>
      <c r="U12" s="145"/>
      <c r="V12" s="145" t="s">
        <v>1207</v>
      </c>
      <c r="W12" s="145"/>
      <c r="X12" s="145"/>
      <c r="Y12" s="145" t="s">
        <v>1207</v>
      </c>
      <c r="Z12" s="145"/>
      <c r="AA12" s="145" t="s">
        <v>1208</v>
      </c>
      <c r="AD12" s="145"/>
      <c r="AE12" t="s">
        <v>1214</v>
      </c>
    </row>
    <row r="13" spans="4:33" ht="20.100000000000001" customHeight="1">
      <c r="D13" s="509" t="s">
        <v>1216</v>
      </c>
      <c r="E13" s="509" t="s">
        <v>1217</v>
      </c>
      <c r="H13" s="145"/>
      <c r="I13" s="145"/>
      <c r="J13" s="145"/>
      <c r="K13" s="145" t="s">
        <v>1207</v>
      </c>
      <c r="L13" s="145"/>
      <c r="M13" s="747"/>
      <c r="N13" s="88"/>
      <c r="O13" s="749"/>
      <c r="P13" s="748"/>
      <c r="Q13" s="145" t="s">
        <v>1218</v>
      </c>
      <c r="R13" s="145" t="s">
        <v>1218</v>
      </c>
      <c r="S13" s="145" t="s">
        <v>1218</v>
      </c>
      <c r="T13" s="145"/>
      <c r="U13" s="145"/>
      <c r="V13" s="145"/>
      <c r="W13" s="145" t="s">
        <v>1207</v>
      </c>
      <c r="X13" s="145"/>
      <c r="Y13" s="145"/>
      <c r="Z13" s="145"/>
      <c r="AA13" s="145" t="s">
        <v>1218</v>
      </c>
      <c r="AD13" s="145"/>
    </row>
    <row r="14" spans="4:33" ht="20.100000000000001" customHeight="1">
      <c r="H14" s="145"/>
      <c r="I14" s="145"/>
      <c r="J14" s="145"/>
      <c r="K14" s="145"/>
      <c r="L14" s="145"/>
      <c r="M14" s="145"/>
      <c r="N14" s="79"/>
      <c r="O14" s="145"/>
      <c r="P14" s="79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D14" s="145"/>
    </row>
    <row r="16" spans="4:33" ht="20.100000000000001" customHeight="1">
      <c r="M16" s="385"/>
    </row>
    <row r="17" spans="13:16" ht="20.100000000000001" customHeight="1">
      <c r="M17" s="385"/>
    </row>
    <row r="18" spans="13:16" ht="20.100000000000001" customHeight="1">
      <c r="M18" t="s">
        <v>1219</v>
      </c>
      <c r="N18" t="s">
        <v>1220</v>
      </c>
      <c r="O18" t="s">
        <v>1221</v>
      </c>
      <c r="P18" t="s">
        <v>1222</v>
      </c>
    </row>
    <row r="19" spans="13:16" ht="20.100000000000001" customHeight="1">
      <c r="M19">
        <v>1000</v>
      </c>
      <c r="N19">
        <v>700</v>
      </c>
      <c r="P19">
        <v>700</v>
      </c>
    </row>
    <row r="20" spans="13:16" ht="20.100000000000001" customHeight="1">
      <c r="M20">
        <v>1000</v>
      </c>
      <c r="N20">
        <v>700</v>
      </c>
      <c r="P20">
        <v>700</v>
      </c>
    </row>
    <row r="21" spans="13:16" ht="20.100000000000001" customHeight="1">
      <c r="M21">
        <v>1000</v>
      </c>
      <c r="N21">
        <v>1000</v>
      </c>
      <c r="O21">
        <v>-300</v>
      </c>
      <c r="P21">
        <v>700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C2:CT461"/>
  <sheetViews>
    <sheetView showGridLines="0" topLeftCell="A9" zoomScaleNormal="100" workbookViewId="0">
      <selection activeCell="AM5" sqref="AM5"/>
    </sheetView>
  </sheetViews>
  <sheetFormatPr defaultColWidth="3.7109375" defaultRowHeight="18.95" customHeight="1"/>
  <cols>
    <col min="2" max="4" width="3.7109375" customWidth="1"/>
    <col min="31" max="44" width="3.7109375" customWidth="1"/>
  </cols>
  <sheetData>
    <row r="2" spans="4:29" ht="27.75" customHeight="1">
      <c r="E2" s="353" t="s">
        <v>931</v>
      </c>
    </row>
    <row r="4" spans="4:29" s="509" customFormat="1" ht="18.95" customHeight="1">
      <c r="D4" s="528"/>
      <c r="E4" s="528"/>
      <c r="F4" s="529" t="s">
        <v>932</v>
      </c>
    </row>
    <row r="6" spans="4:29" ht="18.95" customHeight="1">
      <c r="G6" s="530" t="s">
        <v>934</v>
      </c>
      <c r="H6" s="509"/>
      <c r="I6" s="509"/>
      <c r="J6" s="509"/>
      <c r="K6" s="509"/>
      <c r="L6" s="509"/>
      <c r="M6" s="509"/>
      <c r="N6" s="531" t="s">
        <v>933</v>
      </c>
      <c r="O6" s="531"/>
      <c r="P6" s="532" t="s">
        <v>938</v>
      </c>
      <c r="Q6" s="533"/>
      <c r="R6" s="533"/>
      <c r="S6" s="533"/>
      <c r="T6" s="533"/>
      <c r="U6" s="533"/>
      <c r="V6" s="533"/>
      <c r="W6" s="525"/>
      <c r="X6" s="525"/>
      <c r="Y6" s="525"/>
      <c r="Z6" s="525"/>
      <c r="AA6" s="525"/>
      <c r="AB6" s="525"/>
      <c r="AC6" s="509"/>
    </row>
    <row r="7" spans="4:29" ht="18.95" customHeight="1">
      <c r="G7" s="530"/>
      <c r="H7" s="509"/>
      <c r="I7" s="509"/>
      <c r="J7" s="509"/>
      <c r="K7" s="509"/>
      <c r="L7" s="509"/>
      <c r="M7" s="509"/>
      <c r="N7" s="531" t="s">
        <v>1133</v>
      </c>
      <c r="O7" s="531"/>
      <c r="P7" s="532" t="s">
        <v>1291</v>
      </c>
      <c r="Q7" s="533"/>
      <c r="R7" s="533"/>
      <c r="S7" s="533"/>
      <c r="T7" s="533"/>
      <c r="U7" s="533"/>
      <c r="V7" s="533"/>
      <c r="W7" s="525"/>
      <c r="X7" s="525"/>
      <c r="Y7" s="525"/>
      <c r="Z7" s="525"/>
      <c r="AA7" s="525"/>
      <c r="AB7" s="525"/>
      <c r="AC7" s="509"/>
    </row>
    <row r="8" spans="4:29" ht="18.95" customHeight="1">
      <c r="N8" s="531" t="s">
        <v>1155</v>
      </c>
      <c r="O8" s="531"/>
      <c r="P8" s="616" t="s">
        <v>935</v>
      </c>
      <c r="Q8" s="533"/>
      <c r="R8" s="533"/>
      <c r="S8" s="533"/>
      <c r="T8" s="533"/>
      <c r="U8" s="533"/>
      <c r="V8" s="533"/>
      <c r="W8" s="525"/>
      <c r="X8" s="525"/>
      <c r="Y8" s="525"/>
      <c r="Z8" s="525"/>
      <c r="AA8" s="525"/>
      <c r="AB8" s="525"/>
    </row>
    <row r="9" spans="4:29" ht="18.95" customHeight="1">
      <c r="G9" s="530"/>
      <c r="H9" s="509"/>
      <c r="I9" s="509"/>
      <c r="J9" s="509"/>
      <c r="K9" s="509"/>
      <c r="L9" s="509"/>
      <c r="M9" s="509"/>
      <c r="N9" s="531" t="s">
        <v>1128</v>
      </c>
      <c r="O9" s="531"/>
      <c r="P9" s="532" t="s">
        <v>1255</v>
      </c>
      <c r="Q9" s="533"/>
      <c r="R9" s="533"/>
      <c r="S9" s="533"/>
      <c r="T9" s="533"/>
      <c r="U9" s="533"/>
      <c r="V9" s="533"/>
      <c r="W9" s="525"/>
      <c r="X9" s="525"/>
      <c r="Y9" s="525"/>
      <c r="Z9" s="525"/>
      <c r="AA9" s="525"/>
      <c r="AB9" s="525"/>
      <c r="AC9" s="509"/>
    </row>
    <row r="10" spans="4:29" ht="9.9499999999999993" customHeight="1"/>
    <row r="11" spans="4:29" ht="18.95" customHeight="1">
      <c r="N11" s="526" t="s">
        <v>930</v>
      </c>
      <c r="O11" s="527" t="s">
        <v>1312</v>
      </c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7"/>
      <c r="AB11" s="527"/>
    </row>
    <row r="12" spans="4:29" ht="18.95" customHeight="1">
      <c r="N12" s="526" t="s">
        <v>930</v>
      </c>
      <c r="O12" s="527" t="s">
        <v>1314</v>
      </c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7"/>
      <c r="AB12" s="527"/>
    </row>
    <row r="13" spans="4:29" ht="9.9499999999999993" customHeight="1"/>
    <row r="14" spans="4:29" ht="18.95" customHeight="1">
      <c r="N14" s="615" t="s">
        <v>936</v>
      </c>
      <c r="O14" s="614" t="s">
        <v>1325</v>
      </c>
      <c r="P14" s="614"/>
      <c r="Q14" s="614"/>
      <c r="R14" s="614"/>
      <c r="S14" s="614"/>
      <c r="T14" s="614"/>
      <c r="U14" s="614"/>
      <c r="V14" s="614"/>
      <c r="W14" s="614"/>
      <c r="X14" s="614"/>
      <c r="Y14" s="614"/>
      <c r="Z14" s="614"/>
      <c r="AA14" s="614"/>
      <c r="AB14" s="614"/>
    </row>
    <row r="18" spans="4:63" ht="33" customHeight="1">
      <c r="H18" s="601" t="s">
        <v>939</v>
      </c>
      <c r="I18" s="540"/>
      <c r="J18" s="530" t="s">
        <v>937</v>
      </c>
      <c r="T18" s="1151" t="s">
        <v>1626</v>
      </c>
      <c r="U18" s="1152"/>
      <c r="V18" s="1152"/>
      <c r="W18" s="1152"/>
      <c r="X18" s="1152"/>
      <c r="Y18" s="1152"/>
      <c r="Z18" s="1152"/>
      <c r="AA18" s="1152"/>
      <c r="AB18" s="1152"/>
      <c r="AC18" s="1152"/>
      <c r="AD18" s="1152"/>
      <c r="AE18" s="1152"/>
      <c r="AF18" s="1152"/>
      <c r="AG18" s="1152"/>
      <c r="AH18" s="1152"/>
      <c r="AI18" s="1152"/>
      <c r="AJ18" s="1152"/>
      <c r="AK18" s="1152"/>
      <c r="AL18" s="1152"/>
      <c r="AM18" s="1152"/>
      <c r="AN18" s="1152"/>
      <c r="AO18" s="1152"/>
      <c r="AP18" s="1152"/>
      <c r="AQ18" s="1152"/>
      <c r="AR18" s="1152"/>
      <c r="AS18" s="1152"/>
      <c r="AT18" s="1152"/>
      <c r="AU18" s="1152"/>
      <c r="AV18" s="1152"/>
      <c r="AW18" s="1152"/>
      <c r="AX18" s="1152"/>
      <c r="AY18" s="1152"/>
      <c r="AZ18" s="1152"/>
      <c r="BA18" s="1152"/>
      <c r="BB18" s="1152"/>
      <c r="BC18" s="1152"/>
      <c r="BD18" s="1152"/>
      <c r="BE18" s="1152"/>
      <c r="BF18" s="1152"/>
      <c r="BG18" s="1152"/>
      <c r="BH18" s="1152"/>
    </row>
    <row r="20" spans="4:63" s="509" customFormat="1" ht="5.0999999999999996" customHeight="1">
      <c r="D20" s="528"/>
      <c r="E20" s="528"/>
      <c r="F20"/>
      <c r="G20"/>
      <c r="H20"/>
      <c r="I20"/>
      <c r="J20"/>
      <c r="K20" s="613"/>
      <c r="L20" s="612"/>
      <c r="M20" s="612"/>
      <c r="N20" s="612"/>
      <c r="O20" s="612"/>
      <c r="P20" s="612"/>
      <c r="Q20" s="612"/>
      <c r="R20" s="611"/>
      <c r="S20"/>
      <c r="T20"/>
      <c r="U20"/>
      <c r="V20"/>
      <c r="W20"/>
      <c r="X20"/>
      <c r="Y20"/>
      <c r="Z20"/>
      <c r="AA20"/>
      <c r="AB20"/>
      <c r="AC20" s="617"/>
      <c r="AD20" s="617"/>
      <c r="AE20" s="617"/>
      <c r="AF20" s="617"/>
      <c r="AG20" s="617"/>
      <c r="AH20" s="617"/>
      <c r="AI20" s="617"/>
      <c r="AJ20" s="617"/>
      <c r="AK20" s="617"/>
      <c r="AL20" s="617"/>
      <c r="AM20" s="617"/>
      <c r="AN20" s="617"/>
      <c r="AO20" s="617"/>
      <c r="AP20" s="617"/>
      <c r="AQ20" s="617"/>
      <c r="AR20" s="617"/>
      <c r="AS20" s="617"/>
      <c r="AT20" s="617"/>
      <c r="AU20" s="617"/>
      <c r="AV20" s="617"/>
      <c r="AW20" s="617"/>
      <c r="AX20" s="617"/>
      <c r="AY20" s="617"/>
      <c r="AZ20" s="617"/>
      <c r="BA20" s="617"/>
      <c r="BB20" s="617"/>
      <c r="BC20" s="617"/>
      <c r="BD20" s="617"/>
      <c r="BE20" s="617"/>
      <c r="BF20" s="617"/>
      <c r="BG20" s="617"/>
      <c r="BH20" s="617"/>
      <c r="BI20" s="617"/>
    </row>
    <row r="21" spans="4:63" s="509" customFormat="1" ht="18.95" customHeight="1">
      <c r="D21" s="528"/>
      <c r="E21" s="528"/>
      <c r="F21"/>
      <c r="G21"/>
      <c r="H21"/>
      <c r="I21"/>
      <c r="J21"/>
      <c r="K21" s="610" t="s">
        <v>940</v>
      </c>
      <c r="L21" s="175"/>
      <c r="M21" s="175"/>
      <c r="N21" s="175"/>
      <c r="O21" s="175"/>
      <c r="P21" s="175"/>
      <c r="Q21" s="175"/>
      <c r="R21" s="609"/>
      <c r="S21" s="608" t="s">
        <v>1010</v>
      </c>
      <c r="T21" s="607"/>
      <c r="U21" s="607"/>
      <c r="V21" s="607"/>
      <c r="W21" s="607"/>
      <c r="X21" s="607"/>
      <c r="Y21" s="607"/>
      <c r="Z21" s="606"/>
      <c r="AG21" s="617"/>
      <c r="AH21" s="617"/>
      <c r="AI21" s="617"/>
      <c r="AJ21" s="617"/>
      <c r="AK21" s="617"/>
      <c r="AL21" s="617"/>
      <c r="AM21" s="617"/>
      <c r="AN21" s="617"/>
      <c r="AO21" s="617"/>
      <c r="AS21" s="617"/>
      <c r="AT21" s="617"/>
      <c r="AU21" s="617"/>
      <c r="AV21" s="617"/>
      <c r="AW21" s="617"/>
      <c r="BA21" s="617"/>
      <c r="BB21" s="617"/>
      <c r="BC21" s="617"/>
      <c r="BD21" s="617"/>
      <c r="BE21" s="617"/>
      <c r="BF21" s="617"/>
      <c r="BG21" s="617"/>
    </row>
    <row r="22" spans="4:63" s="509" customFormat="1" ht="9.9499999999999993" customHeight="1">
      <c r="D22" s="528"/>
      <c r="E22" s="528"/>
      <c r="F22"/>
      <c r="G22"/>
      <c r="H22"/>
      <c r="I22"/>
      <c r="J22" s="605"/>
      <c r="K22"/>
      <c r="L22"/>
      <c r="M22"/>
      <c r="N22"/>
      <c r="O22"/>
      <c r="P22"/>
      <c r="Q22"/>
      <c r="R22"/>
      <c r="S22" s="604"/>
      <c r="T22" s="604"/>
      <c r="U22" s="604"/>
      <c r="V22" s="604"/>
      <c r="W22" s="604"/>
      <c r="X22" s="604"/>
      <c r="Y22" s="604"/>
      <c r="Z22" s="604"/>
      <c r="AA22" s="604"/>
      <c r="AB22" s="604"/>
      <c r="AC22" s="603"/>
      <c r="AD22" s="603"/>
      <c r="AE22" s="603"/>
      <c r="AF22" s="603"/>
      <c r="AG22" s="603"/>
      <c r="AH22" s="603"/>
      <c r="AI22" s="603"/>
      <c r="AJ22" s="603"/>
      <c r="AK22" s="603"/>
      <c r="AL22" s="603"/>
      <c r="AM22" s="603"/>
      <c r="AN22" s="603"/>
      <c r="AO22" s="603"/>
      <c r="AP22" s="603"/>
      <c r="AQ22" s="603"/>
      <c r="AR22" s="603"/>
      <c r="AS22" s="603"/>
      <c r="AT22" s="603"/>
      <c r="AU22" s="603"/>
      <c r="AV22" s="603"/>
      <c r="AW22" s="603"/>
      <c r="AX22" s="603"/>
      <c r="AY22" s="603"/>
      <c r="AZ22" s="603"/>
      <c r="BA22" s="603"/>
      <c r="BB22" s="603"/>
      <c r="BC22" s="603"/>
      <c r="BD22" s="603"/>
      <c r="BE22" s="603"/>
      <c r="BF22" s="603"/>
      <c r="BG22" s="603"/>
      <c r="BH22" s="603"/>
      <c r="BI22" s="603"/>
      <c r="BJ22" s="603"/>
      <c r="BK22" s="602"/>
    </row>
    <row r="23" spans="4:63" ht="18.95" customHeight="1">
      <c r="J23" s="574"/>
      <c r="K23" s="600" t="s">
        <v>943</v>
      </c>
      <c r="L23" s="599"/>
      <c r="M23" s="599"/>
      <c r="N23" s="1292" t="s">
        <v>941</v>
      </c>
      <c r="O23" s="1293"/>
      <c r="P23" s="1293"/>
      <c r="Q23" s="1294"/>
      <c r="R23" s="598" t="s">
        <v>942</v>
      </c>
      <c r="S23" s="617" t="s">
        <v>944</v>
      </c>
      <c r="T23" s="597" t="s">
        <v>945</v>
      </c>
      <c r="U23" s="617"/>
      <c r="V23" s="617"/>
      <c r="X23" s="575" t="s">
        <v>971</v>
      </c>
      <c r="Y23" s="599"/>
      <c r="Z23" s="599"/>
      <c r="AA23" s="1292" t="s">
        <v>972</v>
      </c>
      <c r="AB23" s="1293"/>
      <c r="AC23" s="1293"/>
      <c r="AD23" s="1294"/>
      <c r="AG23" s="575" t="s">
        <v>1012</v>
      </c>
      <c r="AH23" s="599"/>
      <c r="AI23" s="599"/>
      <c r="AJ23" s="549" t="s">
        <v>1089</v>
      </c>
      <c r="AK23" s="548"/>
      <c r="AL23" s="548"/>
      <c r="AM23" s="548"/>
      <c r="AN23" s="547"/>
      <c r="BE23" s="586" t="s">
        <v>1002</v>
      </c>
      <c r="BF23" s="585"/>
      <c r="BG23" s="585"/>
      <c r="BH23" s="586" t="s">
        <v>1003</v>
      </c>
      <c r="BI23" s="585"/>
      <c r="BJ23" s="585"/>
      <c r="BK23" s="573"/>
    </row>
    <row r="24" spans="4:63" ht="9.9499999999999993" customHeight="1">
      <c r="J24" s="574"/>
      <c r="BK24" s="573"/>
    </row>
    <row r="25" spans="4:63" ht="18.95" customHeight="1">
      <c r="J25" s="574"/>
      <c r="K25" s="600" t="s">
        <v>1044</v>
      </c>
      <c r="L25" s="599"/>
      <c r="M25" s="599"/>
      <c r="N25" s="595" t="s">
        <v>947</v>
      </c>
      <c r="O25" s="594"/>
      <c r="P25" s="594"/>
      <c r="Q25" s="593"/>
      <c r="R25" s="596" t="s">
        <v>946</v>
      </c>
      <c r="BK25" s="573"/>
    </row>
    <row r="26" spans="4:63" ht="18.95" customHeight="1">
      <c r="J26" s="574"/>
      <c r="BK26" s="573"/>
    </row>
    <row r="27" spans="4:63" ht="18.95" customHeight="1">
      <c r="J27" s="574"/>
      <c r="K27" s="584" t="s">
        <v>957</v>
      </c>
      <c r="L27" s="599"/>
      <c r="M27" s="599"/>
      <c r="BK27" s="573"/>
    </row>
    <row r="28" spans="4:63" ht="9.9499999999999993" customHeight="1">
      <c r="J28" s="574"/>
      <c r="BK28" s="573"/>
    </row>
    <row r="29" spans="4:63" ht="18.95" customHeight="1">
      <c r="J29" s="574"/>
      <c r="K29" s="546" t="s">
        <v>964</v>
      </c>
      <c r="L29" s="600" t="s">
        <v>967</v>
      </c>
      <c r="M29" s="599"/>
      <c r="N29" s="599"/>
      <c r="O29" s="1242" t="s">
        <v>941</v>
      </c>
      <c r="P29" s="1243"/>
      <c r="Q29" s="1243"/>
      <c r="R29" s="1244"/>
      <c r="S29" s="598" t="s">
        <v>942</v>
      </c>
      <c r="T29" s="569" t="s">
        <v>968</v>
      </c>
      <c r="U29" s="1242" t="s">
        <v>941</v>
      </c>
      <c r="V29" s="1243"/>
      <c r="W29" s="1243"/>
      <c r="X29" s="1244"/>
      <c r="Y29" s="598" t="s">
        <v>942</v>
      </c>
      <c r="BK29" s="573"/>
    </row>
    <row r="30" spans="4:63" ht="9.9499999999999993" customHeight="1">
      <c r="J30" s="574"/>
      <c r="BK30" s="573"/>
    </row>
    <row r="31" spans="4:63" ht="18.95" customHeight="1">
      <c r="J31" s="574"/>
      <c r="K31" s="546" t="s">
        <v>964</v>
      </c>
      <c r="L31" s="600" t="s">
        <v>993</v>
      </c>
      <c r="M31" s="599"/>
      <c r="N31" s="599"/>
      <c r="O31" s="921" t="s">
        <v>973</v>
      </c>
      <c r="P31" s="849"/>
      <c r="Q31" s="849"/>
      <c r="R31" s="850"/>
      <c r="S31" s="596" t="s">
        <v>946</v>
      </c>
      <c r="U31" s="600" t="s">
        <v>969</v>
      </c>
      <c r="W31" s="599"/>
      <c r="X31" s="536" t="s">
        <v>970</v>
      </c>
      <c r="Y31" s="535"/>
      <c r="Z31" s="535"/>
      <c r="AA31" s="535"/>
      <c r="AB31" s="535"/>
      <c r="AC31" s="535"/>
      <c r="AD31" s="535"/>
      <c r="AE31" s="535"/>
      <c r="AF31" s="535"/>
      <c r="AG31" s="535"/>
      <c r="AH31" s="535"/>
      <c r="AI31" s="534"/>
      <c r="AK31" s="568" t="s">
        <v>977</v>
      </c>
      <c r="AL31" s="567"/>
      <c r="AM31" s="567"/>
      <c r="AN31" s="567"/>
      <c r="AO31" s="567"/>
      <c r="AP31" s="567"/>
      <c r="AQ31" s="567"/>
      <c r="AR31" s="544" t="s">
        <v>1114</v>
      </c>
      <c r="BK31" s="573"/>
    </row>
    <row r="32" spans="4:63" ht="9.9499999999999993" customHeight="1">
      <c r="J32" s="574"/>
      <c r="BK32" s="573"/>
    </row>
    <row r="33" spans="10:63" ht="9.9499999999999993" customHeight="1">
      <c r="J33" s="574"/>
      <c r="BK33" s="573"/>
    </row>
    <row r="34" spans="10:63" ht="18.95" customHeight="1">
      <c r="J34" s="574"/>
      <c r="K34" s="546" t="s">
        <v>964</v>
      </c>
      <c r="L34" s="600" t="s">
        <v>958</v>
      </c>
      <c r="M34" s="599"/>
      <c r="N34" s="599"/>
      <c r="O34" s="591" t="s">
        <v>976</v>
      </c>
      <c r="P34" s="617"/>
      <c r="Q34" s="617"/>
      <c r="R34" s="590" t="s">
        <v>959</v>
      </c>
      <c r="S34" s="589"/>
      <c r="T34" s="589"/>
      <c r="U34" s="589"/>
      <c r="V34" s="596" t="s">
        <v>949</v>
      </c>
      <c r="W34" s="1242" t="s">
        <v>962</v>
      </c>
      <c r="X34" s="1243"/>
      <c r="Y34" s="1244"/>
      <c r="Z34" s="583" t="s">
        <v>961</v>
      </c>
      <c r="AA34" s="617" t="s">
        <v>944</v>
      </c>
      <c r="AB34" s="591" t="s">
        <v>963</v>
      </c>
      <c r="AC34" s="617"/>
      <c r="AE34" s="600" t="s">
        <v>974</v>
      </c>
      <c r="AF34" s="563"/>
      <c r="AG34" s="563"/>
      <c r="AH34" s="556">
        <v>39900</v>
      </c>
      <c r="AI34" s="555"/>
      <c r="AJ34" s="555"/>
      <c r="AK34" s="554"/>
      <c r="AM34" s="600" t="s">
        <v>965</v>
      </c>
      <c r="AN34" s="563"/>
      <c r="AO34" s="563"/>
      <c r="AP34" s="578">
        <v>19900</v>
      </c>
      <c r="AQ34" s="577"/>
      <c r="AR34" s="577"/>
      <c r="AS34" s="576"/>
      <c r="AT34" s="575" t="s">
        <v>966</v>
      </c>
      <c r="AU34" s="599"/>
      <c r="AV34" s="599"/>
      <c r="AW34" s="691" t="s">
        <v>1110</v>
      </c>
      <c r="AX34" s="554"/>
      <c r="AY34" t="s">
        <v>1111</v>
      </c>
      <c r="AZ34" s="575" t="s">
        <v>1109</v>
      </c>
      <c r="BA34" s="599"/>
      <c r="BB34" s="599"/>
      <c r="BC34" s="692" t="s">
        <v>1112</v>
      </c>
      <c r="BD34" s="576"/>
      <c r="BE34" t="s">
        <v>1111</v>
      </c>
      <c r="BK34" s="573"/>
    </row>
    <row r="35" spans="10:63" ht="9.9499999999999993" customHeight="1">
      <c r="J35" s="574"/>
      <c r="BD35" s="544" t="s">
        <v>1113</v>
      </c>
      <c r="BK35" s="573"/>
    </row>
    <row r="36" spans="10:63" ht="18.95" customHeight="1">
      <c r="J36" s="619"/>
      <c r="O36" s="591" t="s">
        <v>1173</v>
      </c>
      <c r="P36" s="617"/>
      <c r="Q36" s="617"/>
      <c r="R36" s="582" t="s">
        <v>960</v>
      </c>
      <c r="S36" s="581"/>
      <c r="T36" s="581"/>
      <c r="U36" s="580"/>
      <c r="BK36" s="573"/>
    </row>
    <row r="37" spans="10:63" ht="12" customHeight="1">
      <c r="J37" s="619"/>
      <c r="BK37" s="573"/>
    </row>
    <row r="38" spans="10:63" ht="18.95" customHeight="1">
      <c r="J38" s="574"/>
      <c r="K38" s="546" t="s">
        <v>964</v>
      </c>
      <c r="L38" s="600" t="s">
        <v>952</v>
      </c>
      <c r="M38" s="599"/>
      <c r="N38" s="599"/>
      <c r="O38" s="592" t="s">
        <v>953</v>
      </c>
      <c r="P38" s="591" t="s">
        <v>1103</v>
      </c>
      <c r="Q38" s="617"/>
      <c r="R38" s="617"/>
      <c r="S38" s="592" t="s">
        <v>954</v>
      </c>
      <c r="T38" s="597" t="s">
        <v>1104</v>
      </c>
      <c r="U38" s="591"/>
      <c r="V38" s="545"/>
      <c r="W38" s="590" t="s">
        <v>955</v>
      </c>
      <c r="X38" s="589"/>
      <c r="Y38" s="588"/>
      <c r="Z38" s="587" t="s">
        <v>956</v>
      </c>
      <c r="AA38" s="589"/>
      <c r="AB38" s="589"/>
      <c r="AC38" s="589"/>
      <c r="AD38" s="589"/>
      <c r="AE38" s="589"/>
      <c r="AF38" s="596" t="s">
        <v>949</v>
      </c>
      <c r="AG38" s="582" t="s">
        <v>975</v>
      </c>
      <c r="AH38" s="581"/>
      <c r="AI38" s="581"/>
      <c r="AJ38" s="580"/>
      <c r="BK38" s="573"/>
    </row>
    <row r="39" spans="10:63" ht="18.95" customHeight="1">
      <c r="J39" s="574"/>
      <c r="BK39" s="573"/>
    </row>
    <row r="40" spans="10:63" ht="18.95" customHeight="1">
      <c r="J40" s="574"/>
      <c r="K40" s="586" t="s">
        <v>1001</v>
      </c>
      <c r="L40" s="585"/>
      <c r="M40" s="585"/>
      <c r="N40" s="586" t="s">
        <v>1005</v>
      </c>
      <c r="O40" s="585"/>
      <c r="P40" s="585"/>
      <c r="Q40" s="586" t="s">
        <v>1004</v>
      </c>
      <c r="R40" s="585"/>
      <c r="S40" s="585"/>
      <c r="AB40" s="385" t="s">
        <v>1615</v>
      </c>
      <c r="BK40" s="573"/>
    </row>
    <row r="41" spans="10:63" ht="9.9499999999999993" customHeight="1">
      <c r="J41" s="574"/>
      <c r="BK41" s="573"/>
    </row>
    <row r="42" spans="10:63" ht="18.95" customHeight="1">
      <c r="J42" s="574"/>
      <c r="K42" s="1290" t="s">
        <v>978</v>
      </c>
      <c r="L42" s="561" t="s">
        <v>991</v>
      </c>
      <c r="M42" s="560"/>
      <c r="N42" s="560"/>
      <c r="O42" s="559"/>
      <c r="P42" s="561"/>
      <c r="Q42" s="560"/>
      <c r="R42" s="559"/>
      <c r="S42" s="558" t="s">
        <v>992</v>
      </c>
      <c r="T42" s="579"/>
      <c r="U42" s="579"/>
      <c r="V42" s="579"/>
      <c r="W42" s="579"/>
      <c r="X42" s="557"/>
      <c r="Y42" s="558"/>
      <c r="Z42" s="579"/>
      <c r="AA42" s="557"/>
      <c r="AB42" s="1236" t="s">
        <v>1115</v>
      </c>
      <c r="AC42" s="1237"/>
      <c r="AD42" s="1238"/>
      <c r="AE42" s="561" t="s">
        <v>983</v>
      </c>
      <c r="AF42" s="560"/>
      <c r="AG42" s="560"/>
      <c r="AH42" s="559"/>
      <c r="AI42" s="561"/>
      <c r="AJ42" s="560"/>
      <c r="AK42" s="560"/>
      <c r="AL42" s="560"/>
      <c r="AM42" s="560"/>
      <c r="AN42" s="560"/>
      <c r="AO42" s="560"/>
      <c r="AP42" s="559"/>
      <c r="AQ42" s="561" t="s">
        <v>997</v>
      </c>
      <c r="AR42" s="560"/>
      <c r="AS42" s="560"/>
      <c r="AT42" s="559"/>
      <c r="AU42" s="561"/>
      <c r="AV42" s="560"/>
      <c r="AW42" s="560"/>
      <c r="AX42" s="559"/>
      <c r="AY42" s="1219" t="s">
        <v>1106</v>
      </c>
      <c r="AZ42" s="1226"/>
      <c r="BA42" s="561" t="s">
        <v>990</v>
      </c>
      <c r="BB42" s="560"/>
      <c r="BC42" s="560"/>
      <c r="BD42" s="560"/>
      <c r="BE42" s="560"/>
      <c r="BF42" s="559"/>
      <c r="BG42" s="561"/>
      <c r="BH42" s="560"/>
      <c r="BI42" s="559"/>
      <c r="BJ42" s="553"/>
      <c r="BK42" s="573"/>
    </row>
    <row r="43" spans="10:63" ht="18.95" customHeight="1">
      <c r="J43" s="574"/>
      <c r="K43" s="1291"/>
      <c r="L43" s="561" t="s">
        <v>989</v>
      </c>
      <c r="M43" s="560"/>
      <c r="N43" s="560"/>
      <c r="O43" s="559"/>
      <c r="P43" s="561" t="s">
        <v>980</v>
      </c>
      <c r="Q43" s="560"/>
      <c r="R43" s="559"/>
      <c r="S43" s="558" t="s">
        <v>985</v>
      </c>
      <c r="T43" s="579"/>
      <c r="U43" s="557"/>
      <c r="V43" s="558" t="s">
        <v>986</v>
      </c>
      <c r="W43" s="579"/>
      <c r="X43" s="557"/>
      <c r="Y43" s="558" t="s">
        <v>987</v>
      </c>
      <c r="Z43" s="579"/>
      <c r="AA43" s="557"/>
      <c r="AB43" s="1239"/>
      <c r="AC43" s="1240"/>
      <c r="AD43" s="1241"/>
      <c r="AE43" s="561" t="s">
        <v>994</v>
      </c>
      <c r="AF43" s="560"/>
      <c r="AG43" s="560"/>
      <c r="AH43" s="559"/>
      <c r="AI43" s="561" t="s">
        <v>988</v>
      </c>
      <c r="AJ43" s="560"/>
      <c r="AK43" s="560"/>
      <c r="AL43" s="560"/>
      <c r="AM43" s="560"/>
      <c r="AN43" s="560"/>
      <c r="AO43" s="560"/>
      <c r="AP43" s="559"/>
      <c r="AQ43" s="561" t="s">
        <v>995</v>
      </c>
      <c r="AR43" s="560"/>
      <c r="AS43" s="560"/>
      <c r="AT43" s="559"/>
      <c r="AU43" s="561" t="s">
        <v>996</v>
      </c>
      <c r="AV43" s="560"/>
      <c r="AW43" s="560"/>
      <c r="AX43" s="559"/>
      <c r="AY43" s="1227"/>
      <c r="AZ43" s="1229"/>
      <c r="BA43" s="561" t="s">
        <v>981</v>
      </c>
      <c r="BB43" s="560"/>
      <c r="BC43" s="559"/>
      <c r="BD43" s="561" t="s">
        <v>982</v>
      </c>
      <c r="BE43" s="560"/>
      <c r="BF43" s="560"/>
      <c r="BG43" s="560"/>
      <c r="BH43" s="560"/>
      <c r="BI43" s="559"/>
      <c r="BJ43" s="552"/>
      <c r="BK43" s="573"/>
    </row>
    <row r="44" spans="10:63" ht="18.95" customHeight="1">
      <c r="J44" s="574"/>
      <c r="K44" s="678" t="s">
        <v>979</v>
      </c>
      <c r="L44" s="638" t="s">
        <v>959</v>
      </c>
      <c r="M44" s="639"/>
      <c r="N44" s="639"/>
      <c r="O44" s="640"/>
      <c r="P44" s="1246" t="s">
        <v>998</v>
      </c>
      <c r="Q44" s="1247"/>
      <c r="R44" s="1248"/>
      <c r="S44" s="638">
        <v>39900</v>
      </c>
      <c r="T44" s="639"/>
      <c r="U44" s="640"/>
      <c r="V44" s="641">
        <v>19900</v>
      </c>
      <c r="W44" s="642"/>
      <c r="X44" s="643"/>
      <c r="Y44" s="644">
        <f>1-V44/S44</f>
        <v>0.50125313283208017</v>
      </c>
      <c r="Z44" s="642"/>
      <c r="AA44" s="643"/>
      <c r="AB44" s="644">
        <v>0.25</v>
      </c>
      <c r="AC44" s="642"/>
      <c r="AD44" s="643"/>
      <c r="AE44" s="645" t="s">
        <v>984</v>
      </c>
      <c r="AF44" s="646"/>
      <c r="AG44" s="646"/>
      <c r="AH44" s="647"/>
      <c r="AI44" s="648" t="s">
        <v>970</v>
      </c>
      <c r="AJ44" s="649"/>
      <c r="AK44" s="649"/>
      <c r="AL44" s="649"/>
      <c r="AM44" s="649"/>
      <c r="AN44" s="649"/>
      <c r="AO44" s="649"/>
      <c r="AP44" s="650"/>
      <c r="AQ44" s="1246" t="s">
        <v>941</v>
      </c>
      <c r="AR44" s="1247"/>
      <c r="AS44" s="1247"/>
      <c r="AT44" s="1248"/>
      <c r="AU44" s="1246" t="s">
        <v>941</v>
      </c>
      <c r="AV44" s="1247"/>
      <c r="AW44" s="1247"/>
      <c r="AX44" s="1248"/>
      <c r="AY44" s="638" t="s">
        <v>1102</v>
      </c>
      <c r="AZ44" s="640"/>
      <c r="BA44" s="590" t="s">
        <v>955</v>
      </c>
      <c r="BB44" s="589"/>
      <c r="BC44" s="588"/>
      <c r="BD44" s="587" t="s">
        <v>956</v>
      </c>
      <c r="BE44" s="589"/>
      <c r="BF44" s="589"/>
      <c r="BG44" s="589"/>
      <c r="BH44" s="589"/>
      <c r="BI44" s="588"/>
      <c r="BJ44" s="551" t="s">
        <v>942</v>
      </c>
      <c r="BK44" s="573"/>
    </row>
    <row r="45" spans="10:63" ht="18.95" customHeight="1">
      <c r="J45" s="574"/>
      <c r="K45" s="618"/>
      <c r="L45" s="651"/>
      <c r="M45" s="652"/>
      <c r="N45" s="652"/>
      <c r="O45" s="653"/>
      <c r="P45" s="1249"/>
      <c r="Q45" s="1250"/>
      <c r="R45" s="1251"/>
      <c r="S45" s="654"/>
      <c r="T45" s="652"/>
      <c r="U45" s="653"/>
      <c r="V45" s="655"/>
      <c r="W45" s="656"/>
      <c r="X45" s="657"/>
      <c r="Y45" s="658"/>
      <c r="Z45" s="656"/>
      <c r="AA45" s="657"/>
      <c r="AB45" s="658"/>
      <c r="AC45" s="656"/>
      <c r="AD45" s="657"/>
      <c r="AE45" s="659"/>
      <c r="AF45" s="660"/>
      <c r="AG45" s="660"/>
      <c r="AH45" s="661"/>
      <c r="AI45" s="662"/>
      <c r="AJ45" s="663"/>
      <c r="AK45" s="663"/>
      <c r="AL45" s="663"/>
      <c r="AM45" s="663"/>
      <c r="AN45" s="663"/>
      <c r="AO45" s="663"/>
      <c r="AP45" s="664"/>
      <c r="AQ45" s="1249"/>
      <c r="AR45" s="1250"/>
      <c r="AS45" s="1250"/>
      <c r="AT45" s="1251"/>
      <c r="AU45" s="1249"/>
      <c r="AV45" s="1250"/>
      <c r="AW45" s="1250"/>
      <c r="AX45" s="1251"/>
      <c r="AY45" s="654"/>
      <c r="AZ45" s="653"/>
      <c r="BA45" s="590" t="s">
        <v>1000</v>
      </c>
      <c r="BB45" s="589"/>
      <c r="BC45" s="588"/>
      <c r="BD45" s="587" t="s">
        <v>956</v>
      </c>
      <c r="BE45" s="589"/>
      <c r="BF45" s="589"/>
      <c r="BG45" s="589"/>
      <c r="BH45" s="589"/>
      <c r="BI45" s="588"/>
      <c r="BJ45" s="618"/>
      <c r="BK45" s="573"/>
    </row>
    <row r="46" spans="10:63" ht="18.95" customHeight="1">
      <c r="J46" s="574"/>
      <c r="K46" s="550"/>
      <c r="L46" s="665"/>
      <c r="M46" s="666"/>
      <c r="N46" s="666"/>
      <c r="O46" s="667"/>
      <c r="P46" s="1276"/>
      <c r="Q46" s="1277"/>
      <c r="R46" s="1278"/>
      <c r="S46" s="665"/>
      <c r="T46" s="666"/>
      <c r="U46" s="667"/>
      <c r="V46" s="668"/>
      <c r="W46" s="669"/>
      <c r="X46" s="670"/>
      <c r="Y46" s="671"/>
      <c r="Z46" s="669"/>
      <c r="AA46" s="670"/>
      <c r="AB46" s="671"/>
      <c r="AC46" s="669"/>
      <c r="AD46" s="670"/>
      <c r="AE46" s="672"/>
      <c r="AF46" s="673"/>
      <c r="AG46" s="673"/>
      <c r="AH46" s="674"/>
      <c r="AI46" s="675"/>
      <c r="AJ46" s="676"/>
      <c r="AK46" s="676"/>
      <c r="AL46" s="676"/>
      <c r="AM46" s="676"/>
      <c r="AN46" s="676"/>
      <c r="AO46" s="676"/>
      <c r="AP46" s="677"/>
      <c r="AQ46" s="1276"/>
      <c r="AR46" s="1277"/>
      <c r="AS46" s="1277"/>
      <c r="AT46" s="1278"/>
      <c r="AU46" s="1276"/>
      <c r="AV46" s="1277"/>
      <c r="AW46" s="1277"/>
      <c r="AX46" s="1278"/>
      <c r="AY46" s="665"/>
      <c r="AZ46" s="667"/>
      <c r="BA46" s="590" t="s">
        <v>1006</v>
      </c>
      <c r="BB46" s="589"/>
      <c r="BC46" s="588"/>
      <c r="BD46" s="590" t="s">
        <v>1006</v>
      </c>
      <c r="BE46" s="589"/>
      <c r="BF46" s="589"/>
      <c r="BG46" s="589"/>
      <c r="BH46" s="589"/>
      <c r="BI46" s="588"/>
      <c r="BJ46" s="618"/>
      <c r="BK46" s="573"/>
    </row>
    <row r="47" spans="10:63" ht="18.95" customHeight="1">
      <c r="J47" s="574"/>
      <c r="K47" s="678" t="s">
        <v>979</v>
      </c>
      <c r="L47" s="638" t="s">
        <v>959</v>
      </c>
      <c r="M47" s="639"/>
      <c r="N47" s="639"/>
      <c r="O47" s="640"/>
      <c r="P47" s="1246" t="s">
        <v>1107</v>
      </c>
      <c r="Q47" s="1247"/>
      <c r="R47" s="1248"/>
      <c r="S47" s="638">
        <v>39900</v>
      </c>
      <c r="T47" s="639"/>
      <c r="U47" s="640"/>
      <c r="V47" s="641">
        <v>10000</v>
      </c>
      <c r="W47" s="642"/>
      <c r="X47" s="643"/>
      <c r="Y47" s="644">
        <f>1-V47/S47</f>
        <v>0.74937343358395991</v>
      </c>
      <c r="Z47" s="642"/>
      <c r="AA47" s="643"/>
      <c r="AB47" s="644">
        <v>0.25</v>
      </c>
      <c r="AC47" s="642"/>
      <c r="AD47" s="643"/>
      <c r="AE47" s="645" t="s">
        <v>984</v>
      </c>
      <c r="AF47" s="646"/>
      <c r="AG47" s="646"/>
      <c r="AH47" s="647"/>
      <c r="AI47" s="648" t="s">
        <v>970</v>
      </c>
      <c r="AJ47" s="649"/>
      <c r="AK47" s="649"/>
      <c r="AL47" s="649"/>
      <c r="AM47" s="649"/>
      <c r="AN47" s="649"/>
      <c r="AO47" s="649"/>
      <c r="AP47" s="650"/>
      <c r="AQ47" s="1246" t="s">
        <v>941</v>
      </c>
      <c r="AR47" s="1247"/>
      <c r="AS47" s="1247"/>
      <c r="AT47" s="1248"/>
      <c r="AU47" s="1246" t="s">
        <v>941</v>
      </c>
      <c r="AV47" s="1247"/>
      <c r="AW47" s="1247"/>
      <c r="AX47" s="1248"/>
      <c r="AY47" s="638" t="s">
        <v>1102</v>
      </c>
      <c r="AZ47" s="640"/>
      <c r="BA47" s="590" t="s">
        <v>955</v>
      </c>
      <c r="BB47" s="589"/>
      <c r="BC47" s="588"/>
      <c r="BD47" s="587" t="s">
        <v>956</v>
      </c>
      <c r="BE47" s="589"/>
      <c r="BF47" s="589"/>
      <c r="BG47" s="589"/>
      <c r="BH47" s="589"/>
      <c r="BI47" s="588"/>
      <c r="BJ47" s="618"/>
      <c r="BK47" s="573"/>
    </row>
    <row r="48" spans="10:63" ht="18.95" customHeight="1">
      <c r="J48" s="574"/>
      <c r="K48" s="618"/>
      <c r="L48" s="651"/>
      <c r="M48" s="652"/>
      <c r="N48" s="652"/>
      <c r="O48" s="653"/>
      <c r="P48" s="1249"/>
      <c r="Q48" s="1250"/>
      <c r="R48" s="1251"/>
      <c r="S48" s="654"/>
      <c r="T48" s="652"/>
      <c r="U48" s="653"/>
      <c r="V48" s="655"/>
      <c r="W48" s="656"/>
      <c r="X48" s="657"/>
      <c r="Y48" s="658"/>
      <c r="Z48" s="656"/>
      <c r="AA48" s="657"/>
      <c r="AB48" s="658"/>
      <c r="AC48" s="656"/>
      <c r="AD48" s="657"/>
      <c r="AE48" s="659"/>
      <c r="AF48" s="660"/>
      <c r="AG48" s="660"/>
      <c r="AH48" s="661"/>
      <c r="AI48" s="662"/>
      <c r="AJ48" s="663"/>
      <c r="AK48" s="663"/>
      <c r="AL48" s="663"/>
      <c r="AM48" s="663"/>
      <c r="AN48" s="663"/>
      <c r="AO48" s="663"/>
      <c r="AP48" s="664"/>
      <c r="AQ48" s="1249"/>
      <c r="AR48" s="1250"/>
      <c r="AS48" s="1250"/>
      <c r="AT48" s="1251"/>
      <c r="AU48" s="1249"/>
      <c r="AV48" s="1250"/>
      <c r="AW48" s="1250"/>
      <c r="AX48" s="1251"/>
      <c r="AY48" s="654"/>
      <c r="AZ48" s="653"/>
      <c r="BA48" s="590" t="s">
        <v>1000</v>
      </c>
      <c r="BB48" s="589"/>
      <c r="BC48" s="588"/>
      <c r="BD48" s="587" t="s">
        <v>956</v>
      </c>
      <c r="BE48" s="589"/>
      <c r="BF48" s="589"/>
      <c r="BG48" s="589"/>
      <c r="BH48" s="589"/>
      <c r="BI48" s="588"/>
      <c r="BJ48" s="550"/>
      <c r="BK48" s="573"/>
    </row>
    <row r="49" spans="10:63" ht="18.95" customHeight="1">
      <c r="J49" s="574"/>
      <c r="K49" s="550"/>
      <c r="L49" s="665"/>
      <c r="M49" s="666"/>
      <c r="N49" s="666"/>
      <c r="O49" s="667"/>
      <c r="P49" s="1276"/>
      <c r="Q49" s="1277"/>
      <c r="R49" s="1278"/>
      <c r="S49" s="665"/>
      <c r="T49" s="666"/>
      <c r="U49" s="667"/>
      <c r="V49" s="668"/>
      <c r="W49" s="669"/>
      <c r="X49" s="670"/>
      <c r="Y49" s="671"/>
      <c r="Z49" s="669"/>
      <c r="AA49" s="670"/>
      <c r="AB49" s="671"/>
      <c r="AC49" s="669"/>
      <c r="AD49" s="670"/>
      <c r="AE49" s="672"/>
      <c r="AF49" s="673"/>
      <c r="AG49" s="673"/>
      <c r="AH49" s="674"/>
      <c r="AI49" s="675"/>
      <c r="AJ49" s="676"/>
      <c r="AK49" s="676"/>
      <c r="AL49" s="676"/>
      <c r="AM49" s="676"/>
      <c r="AN49" s="676"/>
      <c r="AO49" s="676"/>
      <c r="AP49" s="677"/>
      <c r="AQ49" s="1276"/>
      <c r="AR49" s="1277"/>
      <c r="AS49" s="1277"/>
      <c r="AT49" s="1278"/>
      <c r="AU49" s="1276"/>
      <c r="AV49" s="1277"/>
      <c r="AW49" s="1277"/>
      <c r="AX49" s="1278"/>
      <c r="AY49" s="665"/>
      <c r="AZ49" s="667"/>
      <c r="BA49" s="590" t="s">
        <v>1006</v>
      </c>
      <c r="BB49" s="589"/>
      <c r="BC49" s="588"/>
      <c r="BD49" s="590" t="s">
        <v>1006</v>
      </c>
      <c r="BE49" s="589"/>
      <c r="BF49" s="589"/>
      <c r="BG49" s="589"/>
      <c r="BH49" s="589"/>
      <c r="BI49" s="588"/>
      <c r="BJ49" s="596"/>
      <c r="BK49" s="573"/>
    </row>
    <row r="50" spans="10:63" ht="18.95" customHeight="1">
      <c r="J50" s="574"/>
      <c r="L50" s="544" t="s">
        <v>1007</v>
      </c>
      <c r="BK50" s="573"/>
    </row>
    <row r="51" spans="10:63" ht="18.95" customHeight="1">
      <c r="J51" s="574"/>
      <c r="L51" s="544" t="s">
        <v>1008</v>
      </c>
      <c r="BK51" s="573"/>
    </row>
    <row r="52" spans="10:63" ht="18.95" customHeight="1">
      <c r="J52" s="574"/>
      <c r="L52" s="543" t="s">
        <v>1009</v>
      </c>
      <c r="BK52" s="573"/>
    </row>
    <row r="53" spans="10:63" ht="18.95" customHeight="1">
      <c r="J53" s="574"/>
      <c r="L53" s="543" t="s">
        <v>1025</v>
      </c>
      <c r="BK53" s="573"/>
    </row>
    <row r="54" spans="10:63" ht="18.95" customHeight="1">
      <c r="J54" s="572"/>
      <c r="K54" s="571"/>
      <c r="L54" s="571"/>
      <c r="M54" s="571"/>
      <c r="N54" s="571"/>
      <c r="O54" s="571"/>
      <c r="P54" s="571"/>
      <c r="Q54" s="571"/>
      <c r="R54" s="571"/>
      <c r="S54" s="571"/>
      <c r="T54" s="571"/>
      <c r="U54" s="571"/>
      <c r="V54" s="571"/>
      <c r="W54" s="571"/>
      <c r="X54" s="571"/>
      <c r="Y54" s="571"/>
      <c r="Z54" s="571"/>
      <c r="AA54" s="571"/>
      <c r="AB54" s="571"/>
      <c r="AC54" s="571"/>
      <c r="AD54" s="571"/>
      <c r="AE54" s="571"/>
      <c r="AF54" s="571"/>
      <c r="AG54" s="571"/>
      <c r="AH54" s="571"/>
      <c r="AI54" s="571"/>
      <c r="AJ54" s="571"/>
      <c r="AK54" s="571"/>
      <c r="AL54" s="571"/>
      <c r="AM54" s="571"/>
      <c r="AN54" s="571"/>
      <c r="AO54" s="571"/>
      <c r="AP54" s="571"/>
      <c r="AQ54" s="571"/>
      <c r="AR54" s="571"/>
      <c r="AS54" s="571"/>
      <c r="AT54" s="571"/>
      <c r="AU54" s="571"/>
      <c r="AV54" s="571"/>
      <c r="AW54" s="571"/>
      <c r="AX54" s="571"/>
      <c r="AY54" s="571"/>
      <c r="AZ54" s="571"/>
      <c r="BA54" s="571"/>
      <c r="BB54" s="571"/>
      <c r="BC54" s="571"/>
      <c r="BD54" s="571"/>
      <c r="BE54" s="571"/>
      <c r="BF54" s="571"/>
      <c r="BG54" s="571"/>
      <c r="BH54" s="571"/>
      <c r="BI54" s="571"/>
      <c r="BJ54" s="571"/>
      <c r="BK54" s="570"/>
    </row>
    <row r="56" spans="10:63" ht="18.95" customHeight="1">
      <c r="J56" s="637" t="s">
        <v>1084</v>
      </c>
    </row>
    <row r="57" spans="10:63" ht="18.95" customHeight="1">
      <c r="J57" s="637" t="s">
        <v>1129</v>
      </c>
    </row>
    <row r="58" spans="10:63" ht="18.95" customHeight="1">
      <c r="J58" s="637" t="s">
        <v>1130</v>
      </c>
    </row>
    <row r="59" spans="10:63" ht="18.95" customHeight="1">
      <c r="J59" s="637" t="s">
        <v>1292</v>
      </c>
    </row>
    <row r="61" spans="10:63" ht="18.95" customHeight="1">
      <c r="L61" s="542" t="s">
        <v>1011</v>
      </c>
    </row>
    <row r="62" spans="10:63" ht="9.9499999999999993" customHeight="1"/>
    <row r="63" spans="10:63" ht="18.95" customHeight="1">
      <c r="N63" s="590" t="s">
        <v>1078</v>
      </c>
      <c r="O63" s="588"/>
      <c r="P63" s="588"/>
      <c r="Q63" s="590" t="s">
        <v>1013</v>
      </c>
      <c r="R63" s="594"/>
      <c r="S63" s="593"/>
      <c r="T63" s="590" t="s">
        <v>1014</v>
      </c>
      <c r="U63" s="594"/>
      <c r="V63" s="593"/>
    </row>
    <row r="64" spans="10:63" ht="18.95" customHeight="1">
      <c r="N64" s="540" t="s">
        <v>1015</v>
      </c>
      <c r="O64" s="540"/>
      <c r="P64" s="540"/>
      <c r="Q64" s="540" t="s">
        <v>1016</v>
      </c>
      <c r="R64" s="540"/>
      <c r="S64" s="540"/>
      <c r="T64" s="540" t="s">
        <v>1017</v>
      </c>
      <c r="U64" s="540"/>
      <c r="V64" s="540"/>
    </row>
    <row r="65" spans="12:30" ht="9.9499999999999993" customHeight="1"/>
    <row r="66" spans="12:30" ht="18.95" customHeight="1">
      <c r="N66" s="540" t="s">
        <v>1079</v>
      </c>
      <c r="O66" s="540"/>
      <c r="P66" s="540"/>
      <c r="Q66" s="540" t="s">
        <v>1081</v>
      </c>
      <c r="R66" s="540"/>
      <c r="S66" s="540"/>
      <c r="T66" s="540" t="s">
        <v>1083</v>
      </c>
      <c r="U66" s="540"/>
      <c r="V66" s="540"/>
    </row>
    <row r="67" spans="12:30" ht="18.95" customHeight="1">
      <c r="N67" s="540" t="s">
        <v>1080</v>
      </c>
      <c r="O67" s="540"/>
      <c r="P67" s="540"/>
      <c r="T67" s="540"/>
      <c r="U67" s="540"/>
      <c r="V67" s="540"/>
    </row>
    <row r="68" spans="12:30" ht="9.9499999999999993" customHeight="1"/>
    <row r="69" spans="12:30" ht="9.9499999999999993" customHeight="1">
      <c r="M69" s="541"/>
    </row>
    <row r="70" spans="12:30" ht="18.95" customHeight="1">
      <c r="L70" s="628" t="s">
        <v>1085</v>
      </c>
    </row>
    <row r="71" spans="12:30" ht="18.95" customHeight="1">
      <c r="M71" s="629" t="s">
        <v>1087</v>
      </c>
    </row>
    <row r="72" spans="12:30" ht="18.95" customHeight="1">
      <c r="M72" s="629" t="s">
        <v>1086</v>
      </c>
    </row>
    <row r="73" spans="12:30" ht="18.95" customHeight="1">
      <c r="M73" s="629" t="s">
        <v>1088</v>
      </c>
    </row>
    <row r="74" spans="12:30" ht="9.9499999999999993" customHeight="1">
      <c r="M74" s="629"/>
    </row>
    <row r="75" spans="12:30" ht="18.95" customHeight="1">
      <c r="P75" s="389" t="s">
        <v>1094</v>
      </c>
    </row>
    <row r="76" spans="12:30" ht="18.95" customHeight="1">
      <c r="R76" s="175" t="s">
        <v>1095</v>
      </c>
      <c r="S76" s="540"/>
      <c r="T76" s="540"/>
      <c r="U76" s="540"/>
      <c r="V76" s="540"/>
      <c r="Y76" s="175" t="s">
        <v>1096</v>
      </c>
      <c r="Z76" s="540"/>
      <c r="AA76" s="540"/>
      <c r="AB76" s="540"/>
      <c r="AC76" s="540"/>
    </row>
    <row r="77" spans="12:30" ht="18.95" customHeight="1">
      <c r="R77" s="549" t="s">
        <v>1089</v>
      </c>
      <c r="S77" s="548"/>
      <c r="T77" s="548"/>
      <c r="U77" s="548"/>
      <c r="V77" s="547"/>
      <c r="Y77" s="539" t="s">
        <v>1093</v>
      </c>
      <c r="Z77" s="539"/>
      <c r="AA77" s="539"/>
      <c r="AB77" s="539"/>
      <c r="AC77" s="539"/>
      <c r="AD77" t="s">
        <v>1018</v>
      </c>
    </row>
    <row r="78" spans="12:30" ht="18.95" customHeight="1">
      <c r="R78" s="549" t="s">
        <v>1090</v>
      </c>
      <c r="S78" s="548"/>
      <c r="T78" s="548"/>
      <c r="U78" s="548"/>
      <c r="V78" s="547"/>
      <c r="Y78" s="540" t="s">
        <v>1091</v>
      </c>
      <c r="Z78" s="540"/>
      <c r="AA78" s="540"/>
      <c r="AB78" s="540"/>
      <c r="AC78" s="540"/>
    </row>
    <row r="79" spans="12:30" ht="18.95" customHeight="1">
      <c r="R79" s="549" t="s">
        <v>1091</v>
      </c>
      <c r="S79" s="548"/>
      <c r="T79" s="548"/>
      <c r="U79" s="548"/>
      <c r="V79" s="547"/>
      <c r="Y79" s="540" t="s">
        <v>1090</v>
      </c>
      <c r="Z79" s="540"/>
      <c r="AA79" s="540"/>
      <c r="AB79" s="540"/>
      <c r="AC79" s="540"/>
    </row>
    <row r="80" spans="12:30" ht="18.95" customHeight="1">
      <c r="R80" s="549" t="s">
        <v>1092</v>
      </c>
      <c r="S80" s="548"/>
      <c r="T80" s="548"/>
      <c r="U80" s="548"/>
      <c r="V80" s="547"/>
      <c r="Y80" s="540" t="s">
        <v>1092</v>
      </c>
      <c r="Z80" s="540"/>
      <c r="AA80" s="540"/>
      <c r="AB80" s="540"/>
      <c r="AC80" s="540"/>
    </row>
    <row r="81" spans="12:45" ht="18.95" customHeight="1">
      <c r="R81" s="549" t="s">
        <v>1093</v>
      </c>
      <c r="S81" s="548"/>
      <c r="T81" s="548"/>
      <c r="U81" s="548"/>
      <c r="V81" s="547"/>
      <c r="Y81" s="540" t="s">
        <v>1089</v>
      </c>
      <c r="Z81" s="540"/>
      <c r="AA81" s="540"/>
      <c r="AB81" s="540"/>
      <c r="AC81" s="540"/>
    </row>
    <row r="83" spans="12:45" ht="18.95" customHeight="1">
      <c r="L83" s="542" t="s">
        <v>1019</v>
      </c>
    </row>
    <row r="84" spans="12:45" ht="9.9499999999999993" customHeight="1"/>
    <row r="85" spans="12:45" ht="18.95" customHeight="1">
      <c r="M85" s="538" t="s">
        <v>1020</v>
      </c>
    </row>
    <row r="86" spans="12:45" ht="9.9499999999999993" customHeight="1"/>
    <row r="87" spans="12:45" ht="18.95" customHeight="1">
      <c r="N87" s="561" t="s">
        <v>989</v>
      </c>
      <c r="O87" s="560"/>
      <c r="P87" s="560"/>
      <c r="Q87" s="559"/>
      <c r="R87" s="561" t="s">
        <v>980</v>
      </c>
      <c r="S87" s="560"/>
      <c r="T87" s="559"/>
      <c r="U87" s="561" t="s">
        <v>999</v>
      </c>
      <c r="V87" s="560"/>
      <c r="W87" s="561" t="s">
        <v>981</v>
      </c>
      <c r="X87" s="560"/>
      <c r="Y87" s="559"/>
      <c r="Z87" s="561" t="s">
        <v>982</v>
      </c>
      <c r="AA87" s="560"/>
      <c r="AB87" s="560"/>
      <c r="AC87" s="560"/>
      <c r="AD87" s="560"/>
      <c r="AE87" s="559"/>
      <c r="AF87" s="558" t="s">
        <v>986</v>
      </c>
      <c r="AG87" s="579"/>
      <c r="AH87" s="557"/>
      <c r="AI87" s="942" t="s">
        <v>1127</v>
      </c>
      <c r="AJ87" s="943"/>
      <c r="AK87" s="944"/>
      <c r="AL87" s="561" t="s">
        <v>995</v>
      </c>
      <c r="AM87" s="560"/>
      <c r="AN87" s="560"/>
      <c r="AO87" s="559"/>
      <c r="AP87" s="561" t="s">
        <v>996</v>
      </c>
      <c r="AQ87" s="560"/>
      <c r="AR87" s="560"/>
      <c r="AS87" s="559"/>
    </row>
    <row r="88" spans="12:45" ht="18.95" customHeight="1">
      <c r="R88" s="537" t="s">
        <v>1022</v>
      </c>
    </row>
    <row r="89" spans="12:45" ht="18.95" customHeight="1">
      <c r="U89" s="537" t="s">
        <v>1021</v>
      </c>
    </row>
    <row r="90" spans="12:45" ht="18.95" customHeight="1">
      <c r="U90" s="537"/>
      <c r="Z90" s="537" t="s">
        <v>1026</v>
      </c>
    </row>
    <row r="91" spans="12:45" ht="9.9499999999999993" customHeight="1"/>
    <row r="92" spans="12:45" ht="18.95" customHeight="1">
      <c r="M92" s="538" t="s">
        <v>1023</v>
      </c>
    </row>
    <row r="93" spans="12:45" ht="9.9499999999999993" customHeight="1"/>
    <row r="94" spans="12:45" ht="18.95" customHeight="1">
      <c r="N94" s="561" t="s">
        <v>989</v>
      </c>
      <c r="O94" s="560"/>
      <c r="P94" s="560"/>
      <c r="Q94" s="559"/>
      <c r="R94" s="561" t="s">
        <v>980</v>
      </c>
      <c r="S94" s="560"/>
      <c r="T94" s="559"/>
      <c r="U94" s="558" t="s">
        <v>986</v>
      </c>
      <c r="V94" s="579"/>
      <c r="W94" s="557"/>
      <c r="X94" s="942" t="s">
        <v>1127</v>
      </c>
      <c r="Y94" s="943"/>
      <c r="Z94" s="944"/>
      <c r="AA94" s="561" t="s">
        <v>995</v>
      </c>
      <c r="AB94" s="560"/>
      <c r="AC94" s="560"/>
      <c r="AD94" s="559"/>
      <c r="AE94" s="561" t="s">
        <v>996</v>
      </c>
      <c r="AF94" s="560"/>
      <c r="AG94" s="560"/>
      <c r="AH94" s="559"/>
    </row>
    <row r="95" spans="12:45" ht="18.95" customHeight="1">
      <c r="R95" s="537" t="s">
        <v>1022</v>
      </c>
    </row>
    <row r="96" spans="12:45" ht="9.9499999999999993" customHeight="1"/>
    <row r="97" spans="4:92" ht="18.95" customHeight="1">
      <c r="M97" s="538" t="s">
        <v>1024</v>
      </c>
    </row>
    <row r="98" spans="4:92" ht="9.9499999999999993" customHeight="1"/>
    <row r="99" spans="4:92" ht="18.95" customHeight="1">
      <c r="N99" s="561" t="s">
        <v>981</v>
      </c>
      <c r="O99" s="560"/>
      <c r="P99" s="559"/>
      <c r="Q99" s="561" t="s">
        <v>982</v>
      </c>
      <c r="R99" s="560"/>
      <c r="S99" s="560"/>
      <c r="T99" s="560"/>
      <c r="U99" s="560"/>
      <c r="V99" s="559"/>
    </row>
    <row r="103" spans="4:92" s="509" customFormat="1" ht="5.0999999999999996" customHeight="1">
      <c r="D103" s="528"/>
      <c r="E103" s="528"/>
      <c r="F103"/>
      <c r="G103"/>
      <c r="H103"/>
      <c r="I103"/>
      <c r="J103"/>
      <c r="S103" s="613"/>
      <c r="T103" s="612"/>
      <c r="U103" s="612"/>
      <c r="V103" s="612"/>
      <c r="W103" s="612"/>
      <c r="X103" s="612"/>
      <c r="Y103" s="612"/>
      <c r="Z103" s="611"/>
      <c r="AA103"/>
      <c r="AB103"/>
      <c r="AC103" s="617"/>
      <c r="AD103" s="617"/>
      <c r="AE103" s="617"/>
      <c r="AF103" s="617"/>
      <c r="AG103" s="617"/>
      <c r="AH103" s="617"/>
      <c r="AI103" s="617"/>
      <c r="AJ103" s="617"/>
      <c r="AK103" s="617"/>
      <c r="AL103" s="617"/>
      <c r="AM103" s="617"/>
      <c r="AN103" s="617"/>
      <c r="AO103" s="617"/>
      <c r="AP103" s="617"/>
      <c r="AQ103" s="617"/>
      <c r="AR103" s="617"/>
      <c r="AS103" s="617"/>
      <c r="AT103" s="617"/>
      <c r="AU103" s="617"/>
      <c r="AV103" s="617"/>
      <c r="AW103" s="617"/>
      <c r="AX103" s="617"/>
      <c r="AY103" s="617"/>
      <c r="AZ103" s="617"/>
      <c r="BA103" s="617"/>
      <c r="BB103" s="617"/>
      <c r="BC103" s="617"/>
      <c r="BD103" s="617"/>
      <c r="BE103" s="617"/>
      <c r="BF103" s="617"/>
      <c r="BG103" s="617"/>
      <c r="BH103" s="617"/>
      <c r="BI103" s="617"/>
    </row>
    <row r="104" spans="4:92" s="509" customFormat="1" ht="18.95" customHeight="1">
      <c r="D104" s="528"/>
      <c r="E104" s="528"/>
      <c r="F104"/>
      <c r="G104"/>
      <c r="H104"/>
      <c r="I104"/>
      <c r="J104"/>
      <c r="K104" s="608" t="s">
        <v>937</v>
      </c>
      <c r="L104" s="607"/>
      <c r="M104" s="607"/>
      <c r="N104" s="607"/>
      <c r="O104" s="607"/>
      <c r="P104" s="607"/>
      <c r="Q104" s="607"/>
      <c r="R104" s="606"/>
      <c r="S104" s="610" t="s">
        <v>1027</v>
      </c>
      <c r="T104" s="175"/>
      <c r="U104" s="175"/>
      <c r="V104" s="175"/>
      <c r="W104" s="175"/>
      <c r="X104" s="175"/>
      <c r="Y104" s="175"/>
      <c r="Z104" s="609"/>
      <c r="AG104" s="617"/>
      <c r="AH104" s="617"/>
      <c r="AI104" s="617"/>
      <c r="AJ104" s="617"/>
      <c r="AK104" s="617"/>
      <c r="AL104" s="617"/>
      <c r="AM104" s="617"/>
      <c r="AN104" s="617"/>
      <c r="AO104" s="617"/>
      <c r="AS104" s="617"/>
      <c r="AT104" s="617"/>
      <c r="AU104" s="617"/>
      <c r="AV104" s="617"/>
      <c r="AW104" s="617"/>
      <c r="BA104" s="617"/>
      <c r="BB104" s="617"/>
      <c r="BC104" s="617"/>
      <c r="BD104" s="617"/>
      <c r="BE104" s="617"/>
      <c r="BF104" s="617"/>
      <c r="BG104" s="617"/>
      <c r="BH104" s="617"/>
      <c r="BI104" s="617"/>
      <c r="BJ104" s="617"/>
      <c r="BK104" s="617"/>
      <c r="BL104" s="617"/>
      <c r="BM104" s="617"/>
      <c r="BN104" s="617"/>
      <c r="BO104" s="617"/>
      <c r="BP104" s="617"/>
      <c r="BQ104" s="617"/>
      <c r="BR104" s="617"/>
      <c r="BS104" s="617"/>
      <c r="BT104" s="617"/>
    </row>
    <row r="105" spans="4:92" s="509" customFormat="1" ht="9.9499999999999993" customHeight="1">
      <c r="D105" s="528"/>
      <c r="E105" s="528"/>
      <c r="F105"/>
      <c r="G105"/>
      <c r="H105"/>
      <c r="I105"/>
      <c r="J105" s="605"/>
      <c r="K105" s="604"/>
      <c r="L105" s="604"/>
      <c r="M105" s="604"/>
      <c r="N105" s="604"/>
      <c r="O105" s="604"/>
      <c r="P105" s="604"/>
      <c r="Q105" s="604"/>
      <c r="R105" s="604"/>
      <c r="AA105" s="604"/>
      <c r="AB105" s="604"/>
      <c r="AC105" s="603"/>
      <c r="AD105" s="603"/>
      <c r="AE105" s="603"/>
      <c r="AF105" s="603"/>
      <c r="AG105" s="603"/>
      <c r="AH105" s="603"/>
      <c r="AI105" s="603"/>
      <c r="AJ105" s="603"/>
      <c r="AK105" s="603"/>
      <c r="AL105" s="603"/>
      <c r="AM105" s="603"/>
      <c r="AN105" s="603"/>
      <c r="AO105" s="603"/>
      <c r="AP105" s="603"/>
      <c r="AQ105" s="603"/>
      <c r="AR105" s="603"/>
      <c r="AS105" s="603"/>
      <c r="AT105" s="603"/>
      <c r="AU105" s="603"/>
      <c r="AV105" s="603"/>
      <c r="AW105" s="603"/>
      <c r="AX105" s="603"/>
      <c r="AY105" s="603"/>
      <c r="AZ105" s="603"/>
      <c r="BA105" s="603"/>
      <c r="BB105" s="603"/>
      <c r="BC105" s="603"/>
      <c r="BD105" s="603"/>
      <c r="BE105" s="603"/>
      <c r="BF105" s="603"/>
      <c r="BG105" s="603"/>
      <c r="BH105" s="603"/>
      <c r="BI105" s="603"/>
      <c r="BJ105" s="603"/>
      <c r="BK105" s="603"/>
      <c r="BL105" s="603"/>
      <c r="BM105" s="603"/>
      <c r="BN105" s="603"/>
      <c r="BO105" s="603"/>
      <c r="BP105" s="603"/>
      <c r="BQ105" s="603"/>
      <c r="BR105" s="603"/>
      <c r="BS105" s="603"/>
      <c r="BT105" s="603"/>
      <c r="BU105" s="603"/>
      <c r="BV105" s="603"/>
      <c r="BW105" s="603"/>
      <c r="BX105" s="603"/>
      <c r="BY105" s="603"/>
      <c r="BZ105" s="603"/>
      <c r="CA105" s="603"/>
      <c r="CB105" s="603"/>
      <c r="CC105" s="603"/>
      <c r="CD105" s="603"/>
      <c r="CE105" s="603"/>
      <c r="CF105" s="603"/>
      <c r="CG105" s="603"/>
      <c r="CH105" s="603"/>
      <c r="CI105" s="603"/>
      <c r="CJ105" s="603"/>
      <c r="CK105" s="603"/>
      <c r="CL105" s="603"/>
      <c r="CM105" s="603"/>
      <c r="CN105" s="602"/>
    </row>
    <row r="106" spans="4:92" ht="18.95" customHeight="1">
      <c r="J106" s="619"/>
      <c r="K106" s="600" t="s">
        <v>943</v>
      </c>
      <c r="L106" s="599"/>
      <c r="M106" s="599"/>
      <c r="N106" s="1242" t="s">
        <v>941</v>
      </c>
      <c r="O106" s="1243"/>
      <c r="P106" s="1243"/>
      <c r="Q106" s="1244"/>
      <c r="R106" s="598" t="s">
        <v>942</v>
      </c>
      <c r="S106" s="569" t="s">
        <v>968</v>
      </c>
      <c r="T106" s="1242" t="s">
        <v>941</v>
      </c>
      <c r="U106" s="1243"/>
      <c r="V106" s="1243"/>
      <c r="W106" s="1244"/>
      <c r="X106" s="598" t="s">
        <v>942</v>
      </c>
      <c r="Z106" s="575" t="s">
        <v>971</v>
      </c>
      <c r="AA106" s="599"/>
      <c r="AB106" s="599"/>
      <c r="AC106" s="1242" t="s">
        <v>972</v>
      </c>
      <c r="AD106" s="1243"/>
      <c r="AE106" s="1243"/>
      <c r="AF106" s="1244"/>
      <c r="AI106" s="575" t="s">
        <v>1012</v>
      </c>
      <c r="AJ106" s="599"/>
      <c r="AK106" s="599"/>
      <c r="AL106" s="549" t="s">
        <v>1089</v>
      </c>
      <c r="AM106" s="548"/>
      <c r="AN106" s="548"/>
      <c r="AO106" s="548"/>
      <c r="AP106" s="547"/>
      <c r="AR106" s="575" t="s">
        <v>1123</v>
      </c>
      <c r="AS106" s="599"/>
      <c r="AT106" s="599"/>
      <c r="AU106" s="713" t="s">
        <v>1122</v>
      </c>
      <c r="AV106" s="594"/>
      <c r="AW106" s="583" t="s">
        <v>946</v>
      </c>
      <c r="AX106" s="575" t="s">
        <v>1131</v>
      </c>
      <c r="AY106" s="599"/>
      <c r="AZ106" s="599"/>
      <c r="BA106" s="540"/>
      <c r="BB106" s="549" t="s">
        <v>1125</v>
      </c>
      <c r="BC106" s="548"/>
      <c r="BD106" s="548"/>
      <c r="BE106" s="548"/>
      <c r="BF106" s="547"/>
      <c r="CH106" s="586" t="s">
        <v>1035</v>
      </c>
      <c r="CI106" s="585"/>
      <c r="CJ106" s="585"/>
      <c r="CK106" s="586" t="s">
        <v>1004</v>
      </c>
      <c r="CL106" s="585"/>
      <c r="CM106" s="585"/>
      <c r="CN106" s="573"/>
    </row>
    <row r="107" spans="4:92" ht="9.9499999999999993" customHeight="1">
      <c r="J107" s="619"/>
      <c r="CN107" s="573"/>
    </row>
    <row r="108" spans="4:92" ht="18.95" customHeight="1">
      <c r="J108" s="619"/>
      <c r="K108" s="600" t="s">
        <v>1044</v>
      </c>
      <c r="L108" s="599"/>
      <c r="M108" s="599"/>
      <c r="N108" s="595" t="s">
        <v>646</v>
      </c>
      <c r="O108" s="594"/>
      <c r="P108" s="594"/>
      <c r="Q108" s="593"/>
      <c r="R108" s="596" t="s">
        <v>946</v>
      </c>
      <c r="T108" s="600" t="s">
        <v>948</v>
      </c>
      <c r="U108" s="599"/>
      <c r="V108" s="599"/>
      <c r="W108" s="595" t="s">
        <v>950</v>
      </c>
      <c r="X108" s="594"/>
      <c r="Y108" s="596" t="s">
        <v>946</v>
      </c>
      <c r="Z108" s="595" t="s">
        <v>951</v>
      </c>
      <c r="AA108" s="594"/>
      <c r="AB108" s="594"/>
      <c r="AC108" s="593"/>
      <c r="AD108" s="596" t="s">
        <v>949</v>
      </c>
      <c r="BA108" s="617"/>
      <c r="BB108" s="591"/>
      <c r="BC108" s="617"/>
      <c r="CN108" s="573"/>
    </row>
    <row r="109" spans="4:92" ht="9.9499999999999993" customHeight="1">
      <c r="J109" s="619"/>
      <c r="CN109" s="573"/>
    </row>
    <row r="110" spans="4:92" ht="18.95" customHeight="1">
      <c r="J110" s="619"/>
      <c r="K110" s="600" t="s">
        <v>1028</v>
      </c>
      <c r="L110" s="599"/>
      <c r="M110" s="599"/>
      <c r="N110" s="1242" t="s">
        <v>941</v>
      </c>
      <c r="O110" s="1243"/>
      <c r="P110" s="1243"/>
      <c r="Q110" s="1244"/>
      <c r="R110" s="598" t="s">
        <v>942</v>
      </c>
      <c r="S110" s="569" t="s">
        <v>968</v>
      </c>
      <c r="T110" s="1242" t="s">
        <v>941</v>
      </c>
      <c r="U110" s="1243"/>
      <c r="V110" s="1243"/>
      <c r="W110" s="1244"/>
      <c r="X110" s="598" t="s">
        <v>942</v>
      </c>
      <c r="Z110" s="575" t="s">
        <v>993</v>
      </c>
      <c r="AA110" s="599"/>
      <c r="AB110" s="599"/>
      <c r="AC110" s="564" t="s">
        <v>973</v>
      </c>
      <c r="AD110" s="566"/>
      <c r="AE110" s="566"/>
      <c r="AF110" s="565"/>
      <c r="AG110" s="596" t="s">
        <v>946</v>
      </c>
      <c r="AI110" s="575" t="s">
        <v>1030</v>
      </c>
      <c r="AJ110" s="599"/>
      <c r="AK110" s="599"/>
      <c r="AL110" s="578">
        <v>50</v>
      </c>
      <c r="AM110" s="576"/>
      <c r="AN110" s="622" t="s">
        <v>1047</v>
      </c>
      <c r="AO110" s="596" t="s">
        <v>946</v>
      </c>
      <c r="AP110" s="591" t="s">
        <v>1043</v>
      </c>
      <c r="AQ110" s="578">
        <v>100</v>
      </c>
      <c r="AR110" s="576"/>
      <c r="AS110" s="622" t="s">
        <v>1048</v>
      </c>
      <c r="AT110" s="596" t="s">
        <v>946</v>
      </c>
      <c r="AU110" t="s">
        <v>1031</v>
      </c>
      <c r="AW110" s="591"/>
      <c r="CN110" s="573"/>
    </row>
    <row r="111" spans="4:92" ht="9.9499999999999993" customHeight="1">
      <c r="J111" s="619"/>
      <c r="CN111" s="573"/>
    </row>
    <row r="112" spans="4:92" ht="18.95" customHeight="1">
      <c r="J112" s="619"/>
      <c r="K112" s="600" t="s">
        <v>1097</v>
      </c>
      <c r="L112" s="599"/>
      <c r="M112" s="599"/>
      <c r="N112" s="595" t="s">
        <v>1098</v>
      </c>
      <c r="O112" s="594"/>
      <c r="P112" s="594"/>
      <c r="Q112" s="593"/>
      <c r="R112" s="596" t="s">
        <v>946</v>
      </c>
      <c r="T112" s="575" t="s">
        <v>952</v>
      </c>
      <c r="U112" s="599"/>
      <c r="V112" s="599"/>
      <c r="W112" s="590" t="s">
        <v>955</v>
      </c>
      <c r="X112" s="589"/>
      <c r="Y112" s="588"/>
      <c r="Z112" s="587" t="s">
        <v>956</v>
      </c>
      <c r="AA112" s="589"/>
      <c r="AB112" s="589"/>
      <c r="AC112" s="589"/>
      <c r="AD112" s="589"/>
      <c r="AE112" s="589"/>
      <c r="AF112" s="589"/>
      <c r="AG112" s="596" t="s">
        <v>949</v>
      </c>
      <c r="AI112" s="575" t="s">
        <v>1029</v>
      </c>
      <c r="AJ112" s="599"/>
      <c r="AK112" s="599"/>
      <c r="AL112" s="590" t="s">
        <v>959</v>
      </c>
      <c r="AM112" s="589"/>
      <c r="AN112" s="589"/>
      <c r="AO112" s="589"/>
      <c r="AP112" s="596" t="s">
        <v>949</v>
      </c>
      <c r="AQ112" s="1242" t="s">
        <v>17</v>
      </c>
      <c r="AR112" s="1243"/>
      <c r="AS112" s="1244"/>
      <c r="AT112" s="583" t="s">
        <v>946</v>
      </c>
      <c r="AV112" s="600" t="s">
        <v>1041</v>
      </c>
      <c r="BA112" s="1242" t="s">
        <v>1105</v>
      </c>
      <c r="BB112" s="1243"/>
      <c r="BC112" s="1244"/>
      <c r="BD112" s="583" t="s">
        <v>946</v>
      </c>
      <c r="BE112" s="537" t="s">
        <v>1042</v>
      </c>
      <c r="CN112" s="573"/>
    </row>
    <row r="113" spans="10:92" ht="18.95" customHeight="1">
      <c r="J113" s="619"/>
      <c r="AQ113" s="537" t="s">
        <v>1036</v>
      </c>
      <c r="AZ113" s="537"/>
      <c r="CN113" s="573"/>
    </row>
    <row r="114" spans="10:92" ht="9.9499999999999993" customHeight="1">
      <c r="J114" s="619"/>
      <c r="CN114" s="573"/>
    </row>
    <row r="115" spans="10:92" ht="18.95" customHeight="1">
      <c r="J115" s="619"/>
      <c r="K115" s="1290" t="s">
        <v>978</v>
      </c>
      <c r="L115" s="1295" t="s">
        <v>1120</v>
      </c>
      <c r="M115" s="1296"/>
      <c r="N115" s="1299" t="s">
        <v>1124</v>
      </c>
      <c r="O115" s="1300"/>
      <c r="P115" s="1300"/>
      <c r="Q115" s="1300"/>
      <c r="R115" s="1296"/>
      <c r="S115" s="1245" t="s">
        <v>1032</v>
      </c>
      <c r="T115" s="1225"/>
      <c r="U115" s="1225"/>
      <c r="V115" s="1225"/>
      <c r="W115" s="1226"/>
      <c r="X115" s="1245" t="s">
        <v>1033</v>
      </c>
      <c r="Y115" s="1225"/>
      <c r="Z115" s="1225"/>
      <c r="AA115" s="1226"/>
      <c r="AB115" s="561" t="s">
        <v>991</v>
      </c>
      <c r="AC115" s="560"/>
      <c r="AD115" s="560"/>
      <c r="AE115" s="559"/>
      <c r="AF115" s="561"/>
      <c r="AG115" s="560"/>
      <c r="AH115" s="559"/>
      <c r="AI115" s="558" t="s">
        <v>992</v>
      </c>
      <c r="AJ115" s="579"/>
      <c r="AK115" s="579"/>
      <c r="AL115" s="579"/>
      <c r="AM115" s="579"/>
      <c r="AN115" s="557"/>
      <c r="AO115" s="558"/>
      <c r="AP115" s="579"/>
      <c r="AQ115" s="557"/>
      <c r="AR115" s="1133" t="s">
        <v>1293</v>
      </c>
      <c r="AS115" s="943"/>
      <c r="AT115" s="943"/>
      <c r="AU115" s="954"/>
      <c r="AV115" s="954"/>
      <c r="AW115" s="954"/>
      <c r="AX115" s="954"/>
      <c r="AY115" s="953"/>
      <c r="AZ115" s="561" t="s">
        <v>983</v>
      </c>
      <c r="BA115" s="560"/>
      <c r="BB115" s="560"/>
      <c r="BC115" s="559"/>
      <c r="BD115" s="561"/>
      <c r="BE115" s="560"/>
      <c r="BF115" s="560"/>
      <c r="BG115" s="560"/>
      <c r="BH115" s="560"/>
      <c r="BI115" s="560"/>
      <c r="BJ115" s="560"/>
      <c r="BK115" s="559"/>
      <c r="BL115" s="561" t="s">
        <v>997</v>
      </c>
      <c r="BM115" s="560"/>
      <c r="BN115" s="560"/>
      <c r="BO115" s="559"/>
      <c r="BP115" s="561"/>
      <c r="BQ115" s="560"/>
      <c r="BR115" s="560"/>
      <c r="BS115" s="559"/>
      <c r="BT115" s="1219" t="s">
        <v>1106</v>
      </c>
      <c r="BU115" s="1226"/>
      <c r="BV115" s="561" t="s">
        <v>990</v>
      </c>
      <c r="BW115" s="560"/>
      <c r="BX115" s="560"/>
      <c r="BY115" s="560"/>
      <c r="BZ115" s="560"/>
      <c r="CA115" s="559"/>
      <c r="CB115" s="561"/>
      <c r="CC115" s="560"/>
      <c r="CD115" s="560"/>
      <c r="CE115" s="559"/>
      <c r="CF115" s="561"/>
      <c r="CG115" s="560"/>
      <c r="CH115" s="559"/>
      <c r="CI115" s="1245" t="s">
        <v>1034</v>
      </c>
      <c r="CJ115" s="1225"/>
      <c r="CK115" s="1225"/>
      <c r="CL115" s="1226"/>
      <c r="CM115" s="553"/>
      <c r="CN115" s="573"/>
    </row>
    <row r="116" spans="10:92" ht="18.95" customHeight="1">
      <c r="J116" s="619"/>
      <c r="K116" s="1291"/>
      <c r="L116" s="1297"/>
      <c r="M116" s="1298"/>
      <c r="N116" s="1297"/>
      <c r="O116" s="1301"/>
      <c r="P116" s="1301"/>
      <c r="Q116" s="1301"/>
      <c r="R116" s="1298"/>
      <c r="S116" s="1227"/>
      <c r="T116" s="1228"/>
      <c r="U116" s="1228"/>
      <c r="V116" s="1228"/>
      <c r="W116" s="1229"/>
      <c r="X116" s="1227"/>
      <c r="Y116" s="1228"/>
      <c r="Z116" s="1228"/>
      <c r="AA116" s="1229"/>
      <c r="AB116" s="561" t="s">
        <v>989</v>
      </c>
      <c r="AC116" s="560"/>
      <c r="AD116" s="560"/>
      <c r="AE116" s="559"/>
      <c r="AF116" s="561" t="s">
        <v>980</v>
      </c>
      <c r="AG116" s="560"/>
      <c r="AH116" s="559"/>
      <c r="AI116" s="558" t="s">
        <v>985</v>
      </c>
      <c r="AJ116" s="579"/>
      <c r="AK116" s="557"/>
      <c r="AL116" s="558" t="s">
        <v>986</v>
      </c>
      <c r="AM116" s="579"/>
      <c r="AN116" s="557"/>
      <c r="AO116" s="558" t="s">
        <v>987</v>
      </c>
      <c r="AP116" s="579"/>
      <c r="AQ116" s="557"/>
      <c r="AR116" s="939" t="s">
        <v>1117</v>
      </c>
      <c r="AS116" s="1134"/>
      <c r="AT116" s="940"/>
      <c r="AU116" s="1135" t="s">
        <v>1032</v>
      </c>
      <c r="AV116" s="1136"/>
      <c r="AW116" s="1136"/>
      <c r="AX116" s="1136"/>
      <c r="AY116" s="1137"/>
      <c r="AZ116" s="561" t="s">
        <v>994</v>
      </c>
      <c r="BA116" s="560"/>
      <c r="BB116" s="560"/>
      <c r="BC116" s="559"/>
      <c r="BD116" s="561" t="s">
        <v>988</v>
      </c>
      <c r="BE116" s="560"/>
      <c r="BF116" s="560"/>
      <c r="BG116" s="560"/>
      <c r="BH116" s="560"/>
      <c r="BI116" s="560"/>
      <c r="BJ116" s="560"/>
      <c r="BK116" s="559"/>
      <c r="BL116" s="561" t="s">
        <v>995</v>
      </c>
      <c r="BM116" s="560"/>
      <c r="BN116" s="560"/>
      <c r="BO116" s="559"/>
      <c r="BP116" s="561" t="s">
        <v>996</v>
      </c>
      <c r="BQ116" s="560"/>
      <c r="BR116" s="560"/>
      <c r="BS116" s="559"/>
      <c r="BT116" s="1227"/>
      <c r="BU116" s="1229"/>
      <c r="BV116" s="561" t="s">
        <v>1224</v>
      </c>
      <c r="BW116" s="560"/>
      <c r="BX116" s="560"/>
      <c r="BY116" s="559"/>
      <c r="BZ116" s="561" t="s">
        <v>981</v>
      </c>
      <c r="CA116" s="560"/>
      <c r="CB116" s="559"/>
      <c r="CC116" s="561" t="s">
        <v>982</v>
      </c>
      <c r="CD116" s="560"/>
      <c r="CE116" s="560"/>
      <c r="CF116" s="560"/>
      <c r="CG116" s="560"/>
      <c r="CH116" s="559"/>
      <c r="CI116" s="1227"/>
      <c r="CJ116" s="1228"/>
      <c r="CK116" s="1228"/>
      <c r="CL116" s="1229"/>
      <c r="CM116" s="552"/>
      <c r="CN116" s="573"/>
    </row>
    <row r="117" spans="10:92" ht="18.95" customHeight="1">
      <c r="J117" s="619"/>
      <c r="K117" s="678" t="s">
        <v>979</v>
      </c>
      <c r="L117" s="638" t="s">
        <v>1121</v>
      </c>
      <c r="M117" s="679"/>
      <c r="N117" s="638" t="s">
        <v>1126</v>
      </c>
      <c r="O117" s="682"/>
      <c r="P117" s="682"/>
      <c r="Q117" s="682"/>
      <c r="R117" s="679"/>
      <c r="S117" s="638" t="s">
        <v>1089</v>
      </c>
      <c r="T117" s="682"/>
      <c r="U117" s="682"/>
      <c r="V117" s="682"/>
      <c r="W117" s="679"/>
      <c r="X117" s="1246" t="s">
        <v>941</v>
      </c>
      <c r="Y117" s="1247"/>
      <c r="Z117" s="1247"/>
      <c r="AA117" s="1248"/>
      <c r="AB117" s="638" t="s">
        <v>959</v>
      </c>
      <c r="AC117" s="639"/>
      <c r="AD117" s="639"/>
      <c r="AE117" s="640"/>
      <c r="AF117" s="1246" t="s">
        <v>998</v>
      </c>
      <c r="AG117" s="1247"/>
      <c r="AH117" s="1248"/>
      <c r="AI117" s="638">
        <v>39900</v>
      </c>
      <c r="AJ117" s="639"/>
      <c r="AK117" s="640"/>
      <c r="AL117" s="641">
        <v>19900</v>
      </c>
      <c r="AM117" s="642"/>
      <c r="AN117" s="643"/>
      <c r="AO117" s="644">
        <f>1-AL117/AI117</f>
        <v>0.50125313283208017</v>
      </c>
      <c r="AP117" s="642"/>
      <c r="AQ117" s="643"/>
      <c r="AR117" s="699">
        <v>0.25</v>
      </c>
      <c r="AS117" s="700"/>
      <c r="AT117" s="701"/>
      <c r="AU117" s="638" t="s">
        <v>1144</v>
      </c>
      <c r="AV117" s="682"/>
      <c r="AW117" s="682"/>
      <c r="AX117" s="682"/>
      <c r="AY117" s="679"/>
      <c r="AZ117" s="645" t="s">
        <v>984</v>
      </c>
      <c r="BA117" s="646"/>
      <c r="BB117" s="646"/>
      <c r="BC117" s="647"/>
      <c r="BD117" s="648" t="s">
        <v>970</v>
      </c>
      <c r="BE117" s="649"/>
      <c r="BF117" s="649"/>
      <c r="BG117" s="649"/>
      <c r="BH117" s="649"/>
      <c r="BI117" s="649"/>
      <c r="BJ117" s="649"/>
      <c r="BK117" s="650"/>
      <c r="BL117" s="1246" t="s">
        <v>941</v>
      </c>
      <c r="BM117" s="1247"/>
      <c r="BN117" s="1247"/>
      <c r="BO117" s="1248"/>
      <c r="BP117" s="1246" t="s">
        <v>941</v>
      </c>
      <c r="BQ117" s="1247"/>
      <c r="BR117" s="1247"/>
      <c r="BS117" s="1248"/>
      <c r="BT117" s="638" t="s">
        <v>1102</v>
      </c>
      <c r="BU117" s="640"/>
      <c r="BV117" s="1242" t="s">
        <v>1225</v>
      </c>
      <c r="BW117" s="1243"/>
      <c r="BX117" s="1243"/>
      <c r="BY117" s="1244"/>
      <c r="BZ117" s="590" t="s">
        <v>955</v>
      </c>
      <c r="CA117" s="589"/>
      <c r="CB117" s="588"/>
      <c r="CC117" s="587" t="s">
        <v>956</v>
      </c>
      <c r="CD117" s="589"/>
      <c r="CE117" s="589"/>
      <c r="CF117" s="589"/>
      <c r="CG117" s="589"/>
      <c r="CH117" s="588"/>
      <c r="CI117" s="1242" t="s">
        <v>972</v>
      </c>
      <c r="CJ117" s="1243"/>
      <c r="CK117" s="1243"/>
      <c r="CL117" s="1244"/>
      <c r="CM117" s="551" t="s">
        <v>942</v>
      </c>
      <c r="CN117" s="573"/>
    </row>
    <row r="118" spans="10:92" ht="18.95" customHeight="1">
      <c r="J118" s="619"/>
      <c r="K118" s="618"/>
      <c r="L118" s="651"/>
      <c r="M118" s="680"/>
      <c r="N118" s="683"/>
      <c r="O118" s="684"/>
      <c r="P118" s="684"/>
      <c r="Q118" s="684"/>
      <c r="R118" s="685"/>
      <c r="S118" s="683"/>
      <c r="T118" s="684"/>
      <c r="U118" s="684"/>
      <c r="V118" s="684"/>
      <c r="W118" s="685"/>
      <c r="X118" s="574"/>
      <c r="AA118" s="573"/>
      <c r="AB118" s="651"/>
      <c r="AC118" s="652"/>
      <c r="AD118" s="652"/>
      <c r="AE118" s="653"/>
      <c r="AF118" s="1249"/>
      <c r="AG118" s="1250"/>
      <c r="AH118" s="1251"/>
      <c r="AI118" s="654"/>
      <c r="AJ118" s="652"/>
      <c r="AK118" s="653"/>
      <c r="AL118" s="655"/>
      <c r="AM118" s="656"/>
      <c r="AN118" s="657"/>
      <c r="AO118" s="658"/>
      <c r="AP118" s="656"/>
      <c r="AQ118" s="657"/>
      <c r="AR118" s="702"/>
      <c r="AS118" s="703"/>
      <c r="AT118" s="704"/>
      <c r="AU118" s="709"/>
      <c r="AV118" s="710"/>
      <c r="AW118" s="710"/>
      <c r="AX118" s="710"/>
      <c r="AY118" s="711"/>
      <c r="AZ118" s="659" t="s">
        <v>1082</v>
      </c>
      <c r="BA118" s="660"/>
      <c r="BB118" s="660"/>
      <c r="BC118" s="661"/>
      <c r="BD118" s="662"/>
      <c r="BE118" s="663"/>
      <c r="BF118" s="663"/>
      <c r="BG118" s="663"/>
      <c r="BH118" s="663"/>
      <c r="BI118" s="663"/>
      <c r="BJ118" s="663"/>
      <c r="BK118" s="664"/>
      <c r="BL118" s="1249"/>
      <c r="BM118" s="1250"/>
      <c r="BN118" s="1250"/>
      <c r="BO118" s="1251"/>
      <c r="BP118" s="1249"/>
      <c r="BQ118" s="1250"/>
      <c r="BR118" s="1250"/>
      <c r="BS118" s="1251"/>
      <c r="BT118" s="654"/>
      <c r="BU118" s="653"/>
      <c r="BV118" s="1242" t="s">
        <v>1225</v>
      </c>
      <c r="BW118" s="1243"/>
      <c r="BX118" s="1243"/>
      <c r="BY118" s="1244"/>
      <c r="BZ118" s="590" t="s">
        <v>1000</v>
      </c>
      <c r="CA118" s="589"/>
      <c r="CB118" s="588"/>
      <c r="CC118" s="587" t="s">
        <v>956</v>
      </c>
      <c r="CD118" s="589"/>
      <c r="CE118" s="589"/>
      <c r="CF118" s="589"/>
      <c r="CG118" s="589"/>
      <c r="CH118" s="588"/>
      <c r="CI118" s="1242" t="s">
        <v>972</v>
      </c>
      <c r="CJ118" s="1243"/>
      <c r="CK118" s="1243"/>
      <c r="CL118" s="1244"/>
      <c r="CM118" s="618"/>
      <c r="CN118" s="573"/>
    </row>
    <row r="119" spans="10:92" ht="18.95" customHeight="1">
      <c r="J119" s="619"/>
      <c r="K119" s="550"/>
      <c r="L119" s="665"/>
      <c r="M119" s="681"/>
      <c r="N119" s="686"/>
      <c r="O119" s="687"/>
      <c r="P119" s="687"/>
      <c r="Q119" s="687"/>
      <c r="R119" s="688"/>
      <c r="S119" s="686"/>
      <c r="T119" s="687"/>
      <c r="U119" s="687"/>
      <c r="V119" s="687"/>
      <c r="W119" s="688"/>
      <c r="X119" s="572"/>
      <c r="Y119" s="571"/>
      <c r="Z119" s="571"/>
      <c r="AA119" s="570"/>
      <c r="AB119" s="665"/>
      <c r="AC119" s="666"/>
      <c r="AD119" s="666"/>
      <c r="AE119" s="667"/>
      <c r="AF119" s="1276"/>
      <c r="AG119" s="1277"/>
      <c r="AH119" s="1278"/>
      <c r="AI119" s="665"/>
      <c r="AJ119" s="666"/>
      <c r="AK119" s="667"/>
      <c r="AL119" s="668"/>
      <c r="AM119" s="669"/>
      <c r="AN119" s="670"/>
      <c r="AO119" s="671"/>
      <c r="AP119" s="669"/>
      <c r="AQ119" s="670"/>
      <c r="AR119" s="705"/>
      <c r="AS119" s="706"/>
      <c r="AT119" s="707"/>
      <c r="AU119" s="686"/>
      <c r="AV119" s="687"/>
      <c r="AW119" s="687"/>
      <c r="AX119" s="687"/>
      <c r="AY119" s="688"/>
      <c r="AZ119" s="672"/>
      <c r="BA119" s="673"/>
      <c r="BB119" s="673"/>
      <c r="BC119" s="674"/>
      <c r="BD119" s="675"/>
      <c r="BE119" s="676"/>
      <c r="BF119" s="676"/>
      <c r="BG119" s="676"/>
      <c r="BH119" s="676"/>
      <c r="BI119" s="676"/>
      <c r="BJ119" s="676"/>
      <c r="BK119" s="677"/>
      <c r="BL119" s="1276"/>
      <c r="BM119" s="1277"/>
      <c r="BN119" s="1277"/>
      <c r="BO119" s="1278"/>
      <c r="BP119" s="1276"/>
      <c r="BQ119" s="1277"/>
      <c r="BR119" s="1277"/>
      <c r="BS119" s="1278"/>
      <c r="BT119" s="665"/>
      <c r="BU119" s="667"/>
      <c r="BV119" s="1242" t="s">
        <v>1225</v>
      </c>
      <c r="BW119" s="1243"/>
      <c r="BX119" s="1243"/>
      <c r="BY119" s="1244"/>
      <c r="BZ119" s="590" t="s">
        <v>1006</v>
      </c>
      <c r="CA119" s="589"/>
      <c r="CB119" s="588"/>
      <c r="CC119" s="590" t="s">
        <v>1006</v>
      </c>
      <c r="CD119" s="589"/>
      <c r="CE119" s="589"/>
      <c r="CF119" s="589"/>
      <c r="CG119" s="589"/>
      <c r="CH119" s="588"/>
      <c r="CI119" s="1242" t="s">
        <v>972</v>
      </c>
      <c r="CJ119" s="1243"/>
      <c r="CK119" s="1243"/>
      <c r="CL119" s="1244"/>
      <c r="CM119" s="618"/>
      <c r="CN119" s="573"/>
    </row>
    <row r="120" spans="10:92" ht="18.95" customHeight="1">
      <c r="J120" s="619"/>
      <c r="K120" s="678" t="s">
        <v>979</v>
      </c>
      <c r="L120" s="638" t="s">
        <v>1121</v>
      </c>
      <c r="M120" s="679"/>
      <c r="N120" s="638" t="s">
        <v>1126</v>
      </c>
      <c r="O120" s="682"/>
      <c r="P120" s="682"/>
      <c r="Q120" s="682"/>
      <c r="R120" s="679"/>
      <c r="S120" s="638" t="s">
        <v>1089</v>
      </c>
      <c r="T120" s="682"/>
      <c r="U120" s="682"/>
      <c r="V120" s="682"/>
      <c r="W120" s="679"/>
      <c r="X120" s="1246" t="s">
        <v>941</v>
      </c>
      <c r="Y120" s="1247"/>
      <c r="Z120" s="1247"/>
      <c r="AA120" s="1248"/>
      <c r="AB120" s="638" t="s">
        <v>959</v>
      </c>
      <c r="AC120" s="639"/>
      <c r="AD120" s="639"/>
      <c r="AE120" s="640"/>
      <c r="AF120" s="1246" t="s">
        <v>1107</v>
      </c>
      <c r="AG120" s="1247"/>
      <c r="AH120" s="1248"/>
      <c r="AI120" s="638">
        <v>39900</v>
      </c>
      <c r="AJ120" s="639"/>
      <c r="AK120" s="640"/>
      <c r="AL120" s="641">
        <v>10000</v>
      </c>
      <c r="AM120" s="642"/>
      <c r="AN120" s="643"/>
      <c r="AO120" s="644">
        <f>1-AL120/AI120</f>
        <v>0.74937343358395991</v>
      </c>
      <c r="AP120" s="642"/>
      <c r="AQ120" s="643"/>
      <c r="AR120" s="712" t="s">
        <v>1118</v>
      </c>
      <c r="AS120" s="700"/>
      <c r="AT120" s="701"/>
      <c r="AU120" s="696" t="s">
        <v>1119</v>
      </c>
      <c r="AV120" s="697"/>
      <c r="AW120" s="697"/>
      <c r="AX120" s="697"/>
      <c r="AY120" s="698"/>
      <c r="AZ120" s="645" t="s">
        <v>984</v>
      </c>
      <c r="BA120" s="646"/>
      <c r="BB120" s="646"/>
      <c r="BC120" s="647"/>
      <c r="BD120" s="648" t="s">
        <v>970</v>
      </c>
      <c r="BE120" s="649"/>
      <c r="BF120" s="649"/>
      <c r="BG120" s="649"/>
      <c r="BH120" s="649"/>
      <c r="BI120" s="649"/>
      <c r="BJ120" s="649"/>
      <c r="BK120" s="650"/>
      <c r="BL120" s="1246" t="s">
        <v>941</v>
      </c>
      <c r="BM120" s="1247"/>
      <c r="BN120" s="1247"/>
      <c r="BO120" s="1248"/>
      <c r="BP120" s="1246" t="s">
        <v>941</v>
      </c>
      <c r="BQ120" s="1247"/>
      <c r="BR120" s="1247"/>
      <c r="BS120" s="1248"/>
      <c r="BT120" s="638" t="s">
        <v>1102</v>
      </c>
      <c r="BU120" s="640"/>
      <c r="BV120" s="1242" t="s">
        <v>1226</v>
      </c>
      <c r="BW120" s="1243"/>
      <c r="BX120" s="1243"/>
      <c r="BY120" s="1244"/>
      <c r="BZ120" s="590" t="s">
        <v>955</v>
      </c>
      <c r="CA120" s="589"/>
      <c r="CB120" s="588"/>
      <c r="CC120" s="587" t="s">
        <v>956</v>
      </c>
      <c r="CD120" s="589"/>
      <c r="CE120" s="589"/>
      <c r="CF120" s="589"/>
      <c r="CG120" s="589"/>
      <c r="CH120" s="588"/>
      <c r="CI120" s="1242" t="s">
        <v>972</v>
      </c>
      <c r="CJ120" s="1243"/>
      <c r="CK120" s="1243"/>
      <c r="CL120" s="1244"/>
      <c r="CM120" s="618"/>
      <c r="CN120" s="573"/>
    </row>
    <row r="121" spans="10:92" ht="18.95" customHeight="1">
      <c r="J121" s="574"/>
      <c r="K121" s="618"/>
      <c r="L121" s="651"/>
      <c r="M121" s="680"/>
      <c r="N121" s="683"/>
      <c r="O121" s="684"/>
      <c r="P121" s="684"/>
      <c r="Q121" s="684"/>
      <c r="R121" s="685"/>
      <c r="S121" s="683"/>
      <c r="T121" s="684"/>
      <c r="U121" s="684"/>
      <c r="V121" s="684"/>
      <c r="W121" s="685"/>
      <c r="X121" s="574"/>
      <c r="AA121" s="573"/>
      <c r="AB121" s="651"/>
      <c r="AC121" s="652"/>
      <c r="AD121" s="652"/>
      <c r="AE121" s="653"/>
      <c r="AF121" s="1249"/>
      <c r="AG121" s="1250"/>
      <c r="AH121" s="1251"/>
      <c r="AI121" s="654"/>
      <c r="AJ121" s="652"/>
      <c r="AK121" s="653"/>
      <c r="AL121" s="655"/>
      <c r="AM121" s="656"/>
      <c r="AN121" s="657"/>
      <c r="AO121" s="658"/>
      <c r="AP121" s="656"/>
      <c r="AQ121" s="657"/>
      <c r="AR121" s="702"/>
      <c r="AS121" s="703"/>
      <c r="AT121" s="704"/>
      <c r="AU121" s="683"/>
      <c r="AV121" s="684"/>
      <c r="AW121" s="684"/>
      <c r="AX121" s="684"/>
      <c r="AY121" s="685"/>
      <c r="AZ121" s="659"/>
      <c r="BA121" s="660"/>
      <c r="BB121" s="660"/>
      <c r="BC121" s="661"/>
      <c r="BD121" s="662"/>
      <c r="BE121" s="663"/>
      <c r="BF121" s="663"/>
      <c r="BG121" s="663"/>
      <c r="BH121" s="663"/>
      <c r="BI121" s="663"/>
      <c r="BJ121" s="663"/>
      <c r="BK121" s="664"/>
      <c r="BL121" s="1249"/>
      <c r="BM121" s="1250"/>
      <c r="BN121" s="1250"/>
      <c r="BO121" s="1251"/>
      <c r="BP121" s="1249"/>
      <c r="BQ121" s="1250"/>
      <c r="BR121" s="1250"/>
      <c r="BS121" s="1251"/>
      <c r="BT121" s="654"/>
      <c r="BU121" s="653"/>
      <c r="BV121" s="1242" t="s">
        <v>1226</v>
      </c>
      <c r="BW121" s="1243"/>
      <c r="BX121" s="1243"/>
      <c r="BY121" s="1244"/>
      <c r="BZ121" s="590" t="s">
        <v>1000</v>
      </c>
      <c r="CA121" s="589"/>
      <c r="CB121" s="588"/>
      <c r="CC121" s="587" t="s">
        <v>956</v>
      </c>
      <c r="CD121" s="589"/>
      <c r="CE121" s="589"/>
      <c r="CF121" s="589"/>
      <c r="CG121" s="589"/>
      <c r="CH121" s="588"/>
      <c r="CI121" s="1242" t="s">
        <v>972</v>
      </c>
      <c r="CJ121" s="1243"/>
      <c r="CK121" s="1243"/>
      <c r="CL121" s="1244"/>
      <c r="CM121" s="550"/>
      <c r="CN121" s="573"/>
    </row>
    <row r="122" spans="10:92" ht="18.95" customHeight="1">
      <c r="J122" s="574"/>
      <c r="K122" s="550"/>
      <c r="L122" s="665"/>
      <c r="M122" s="681"/>
      <c r="N122" s="686"/>
      <c r="O122" s="687"/>
      <c r="P122" s="687"/>
      <c r="Q122" s="687"/>
      <c r="R122" s="688"/>
      <c r="S122" s="686"/>
      <c r="T122" s="687"/>
      <c r="U122" s="687"/>
      <c r="V122" s="687"/>
      <c r="W122" s="688"/>
      <c r="X122" s="572"/>
      <c r="Y122" s="571"/>
      <c r="Z122" s="571"/>
      <c r="AA122" s="570"/>
      <c r="AB122" s="665"/>
      <c r="AC122" s="666"/>
      <c r="AD122" s="666"/>
      <c r="AE122" s="667"/>
      <c r="AF122" s="1276"/>
      <c r="AG122" s="1277"/>
      <c r="AH122" s="1278"/>
      <c r="AI122" s="665"/>
      <c r="AJ122" s="666"/>
      <c r="AK122" s="667"/>
      <c r="AL122" s="668"/>
      <c r="AM122" s="669"/>
      <c r="AN122" s="670"/>
      <c r="AO122" s="671"/>
      <c r="AP122" s="669"/>
      <c r="AQ122" s="670"/>
      <c r="AR122" s="705"/>
      <c r="AS122" s="706"/>
      <c r="AT122" s="707"/>
      <c r="AU122" s="686"/>
      <c r="AV122" s="687"/>
      <c r="AW122" s="687"/>
      <c r="AX122" s="687"/>
      <c r="AY122" s="688"/>
      <c r="AZ122" s="672"/>
      <c r="BA122" s="673"/>
      <c r="BB122" s="673"/>
      <c r="BC122" s="674"/>
      <c r="BD122" s="675"/>
      <c r="BE122" s="676"/>
      <c r="BF122" s="676"/>
      <c r="BG122" s="676"/>
      <c r="BH122" s="676"/>
      <c r="BI122" s="676"/>
      <c r="BJ122" s="676"/>
      <c r="BK122" s="677"/>
      <c r="BL122" s="1276"/>
      <c r="BM122" s="1277"/>
      <c r="BN122" s="1277"/>
      <c r="BO122" s="1278"/>
      <c r="BP122" s="1276"/>
      <c r="BQ122" s="1277"/>
      <c r="BR122" s="1277"/>
      <c r="BS122" s="1278"/>
      <c r="BT122" s="665"/>
      <c r="BU122" s="667"/>
      <c r="BV122" s="1242" t="s">
        <v>1226</v>
      </c>
      <c r="BW122" s="1243"/>
      <c r="BX122" s="1243"/>
      <c r="BY122" s="1244"/>
      <c r="BZ122" s="590" t="s">
        <v>1006</v>
      </c>
      <c r="CA122" s="589"/>
      <c r="CB122" s="588"/>
      <c r="CC122" s="590" t="s">
        <v>1006</v>
      </c>
      <c r="CD122" s="589"/>
      <c r="CE122" s="589"/>
      <c r="CF122" s="589"/>
      <c r="CG122" s="589"/>
      <c r="CH122" s="588"/>
      <c r="CI122" s="1242" t="s">
        <v>972</v>
      </c>
      <c r="CJ122" s="1243"/>
      <c r="CK122" s="1243"/>
      <c r="CL122" s="1244"/>
      <c r="CM122" s="596"/>
      <c r="CN122" s="573"/>
    </row>
    <row r="123" spans="10:92" ht="18.95" customHeight="1">
      <c r="J123" s="572"/>
      <c r="K123" s="571"/>
      <c r="L123" s="571"/>
      <c r="M123" s="571"/>
      <c r="N123" s="571"/>
      <c r="O123" s="571"/>
      <c r="P123" s="571"/>
      <c r="Q123" s="571"/>
      <c r="R123" s="571"/>
      <c r="S123" s="571"/>
      <c r="T123" s="571"/>
      <c r="U123" s="571"/>
      <c r="V123" s="571"/>
      <c r="W123" s="571"/>
      <c r="X123" s="571"/>
      <c r="Y123" s="571"/>
      <c r="Z123" s="571"/>
      <c r="AA123" s="571"/>
      <c r="AB123" s="571"/>
      <c r="AC123" s="571"/>
      <c r="AD123" s="571"/>
      <c r="AE123" s="571"/>
      <c r="AF123" s="571"/>
      <c r="AG123" s="571"/>
      <c r="AH123" s="571"/>
      <c r="AI123" s="571"/>
      <c r="AJ123" s="571"/>
      <c r="AK123" s="571"/>
      <c r="AL123" s="571"/>
      <c r="AM123" s="571"/>
      <c r="AN123" s="571"/>
      <c r="AO123" s="571"/>
      <c r="AP123" s="708" t="s">
        <v>1294</v>
      </c>
      <c r="AQ123" s="571"/>
      <c r="AR123" s="571"/>
      <c r="AS123" s="571"/>
      <c r="AT123" s="571"/>
      <c r="AU123" s="571"/>
      <c r="AV123" s="571"/>
      <c r="AW123" s="571"/>
      <c r="AX123" s="571"/>
      <c r="AY123" s="571"/>
      <c r="AZ123" s="571"/>
      <c r="BA123" s="571"/>
      <c r="BB123" s="571"/>
      <c r="BC123" s="571"/>
      <c r="BD123" s="571"/>
      <c r="BE123" s="571"/>
      <c r="BF123" s="571"/>
      <c r="BG123" s="571"/>
      <c r="BH123" s="571"/>
      <c r="BI123" s="571"/>
      <c r="BJ123" s="571"/>
      <c r="BK123" s="571"/>
      <c r="BL123" s="571"/>
      <c r="BM123" s="571"/>
      <c r="BN123" s="571"/>
      <c r="BO123" s="571"/>
      <c r="BP123" s="571"/>
      <c r="BQ123" s="571"/>
      <c r="BR123" s="571"/>
      <c r="BS123" s="571"/>
      <c r="BT123" s="571"/>
      <c r="BU123" s="571"/>
      <c r="BV123" s="571"/>
      <c r="BW123" s="571"/>
      <c r="BX123" s="571"/>
      <c r="BY123" s="571"/>
      <c r="BZ123" s="571"/>
      <c r="CA123" s="571"/>
      <c r="CB123" s="571"/>
      <c r="CC123" s="571"/>
      <c r="CD123" s="571"/>
      <c r="CE123" s="571"/>
      <c r="CF123" s="571"/>
      <c r="CG123" s="571"/>
      <c r="CH123" s="571"/>
      <c r="CI123" s="571"/>
      <c r="CJ123" s="571"/>
      <c r="CK123" s="571"/>
      <c r="CL123" s="571"/>
      <c r="CM123" s="571"/>
      <c r="CN123" s="570"/>
    </row>
    <row r="124" spans="10:92" ht="18.95" customHeight="1">
      <c r="K124" s="544" t="s">
        <v>1100</v>
      </c>
    </row>
    <row r="125" spans="10:92" ht="18.95" customHeight="1">
      <c r="K125" s="544" t="s">
        <v>1101</v>
      </c>
    </row>
    <row r="126" spans="10:92" ht="18.95" customHeight="1">
      <c r="K126" s="544" t="s">
        <v>1099</v>
      </c>
    </row>
    <row r="130" spans="4:63" ht="18.95" customHeight="1">
      <c r="H130" s="601" t="s">
        <v>1132</v>
      </c>
      <c r="I130" s="540"/>
      <c r="J130" s="530" t="s">
        <v>1291</v>
      </c>
    </row>
    <row r="132" spans="4:63" ht="18.95" customHeight="1">
      <c r="J132" t="s">
        <v>1295</v>
      </c>
    </row>
    <row r="133" spans="4:63" ht="18.95" customHeight="1">
      <c r="J133" s="389" t="s">
        <v>1228</v>
      </c>
    </row>
    <row r="135" spans="4:63" s="509" customFormat="1" ht="5.0999999999999996" customHeight="1">
      <c r="D135" s="528"/>
      <c r="E135" s="528"/>
      <c r="F135"/>
      <c r="G135"/>
      <c r="H135"/>
      <c r="I135"/>
      <c r="J135"/>
      <c r="K135" s="613"/>
      <c r="L135" s="612"/>
      <c r="M135" s="612"/>
      <c r="N135" s="612"/>
      <c r="O135" s="612"/>
      <c r="P135" s="612"/>
      <c r="Q135" s="612"/>
      <c r="R135" s="611"/>
      <c r="S135"/>
      <c r="T135"/>
      <c r="U135"/>
      <c r="V135"/>
      <c r="W135"/>
      <c r="X135"/>
      <c r="Y135"/>
      <c r="Z135"/>
      <c r="AA135"/>
      <c r="AB135"/>
      <c r="AC135" s="617"/>
      <c r="AD135" s="617"/>
      <c r="AE135" s="617"/>
      <c r="AF135" s="617"/>
      <c r="AG135" s="617"/>
      <c r="AH135" s="617"/>
      <c r="AI135" s="617"/>
      <c r="AJ135" s="617"/>
      <c r="AK135" s="617"/>
      <c r="AL135" s="617"/>
      <c r="AM135" s="617"/>
      <c r="AN135" s="617"/>
      <c r="AO135" s="617"/>
      <c r="AP135" s="617"/>
      <c r="AQ135" s="617"/>
      <c r="AR135" s="617"/>
      <c r="AS135" s="617"/>
      <c r="AT135" s="617"/>
      <c r="AU135" s="617"/>
      <c r="AV135" s="617"/>
      <c r="AW135" s="617"/>
      <c r="AX135" s="617"/>
      <c r="AY135" s="617"/>
      <c r="AZ135" s="617"/>
      <c r="BA135" s="617"/>
      <c r="BB135" s="617"/>
      <c r="BC135" s="617"/>
      <c r="BD135" s="617"/>
      <c r="BE135" s="617"/>
      <c r="BF135" s="617"/>
      <c r="BG135" s="617"/>
      <c r="BH135" s="617"/>
      <c r="BI135" s="617"/>
    </row>
    <row r="136" spans="4:63" s="509" customFormat="1" ht="18.95" customHeight="1">
      <c r="D136" s="528"/>
      <c r="E136" s="528"/>
      <c r="F136"/>
      <c r="G136"/>
      <c r="H136"/>
      <c r="I136"/>
      <c r="J136"/>
      <c r="K136" s="610" t="s">
        <v>1291</v>
      </c>
      <c r="L136" s="175"/>
      <c r="M136" s="175"/>
      <c r="N136" s="175"/>
      <c r="O136" s="175"/>
      <c r="P136" s="175"/>
      <c r="Q136" s="175"/>
      <c r="R136" s="609"/>
      <c r="S136" s="608" t="s">
        <v>1296</v>
      </c>
      <c r="T136" s="607"/>
      <c r="U136" s="607"/>
      <c r="V136" s="607"/>
      <c r="W136" s="607"/>
      <c r="X136" s="607"/>
      <c r="Y136" s="607"/>
      <c r="Z136" s="606"/>
      <c r="AA136" s="606"/>
      <c r="AG136" s="617"/>
      <c r="AH136" s="617"/>
      <c r="AI136" s="617"/>
      <c r="AJ136" s="617"/>
      <c r="AK136" s="617"/>
      <c r="AL136" s="617"/>
      <c r="AM136" s="617"/>
      <c r="AN136" s="617"/>
      <c r="AO136" s="617"/>
      <c r="AS136" s="617"/>
      <c r="AT136" s="617"/>
      <c r="AU136" s="617"/>
      <c r="AV136" s="617"/>
      <c r="AW136" s="617"/>
      <c r="BA136" s="617"/>
      <c r="BB136" s="617"/>
      <c r="BC136" s="617"/>
      <c r="BD136" s="617"/>
      <c r="BE136" s="617"/>
      <c r="BF136" s="617"/>
      <c r="BG136" s="617"/>
    </row>
    <row r="137" spans="4:63" s="509" customFormat="1" ht="9.9499999999999993" customHeight="1">
      <c r="D137" s="528"/>
      <c r="E137" s="528"/>
      <c r="F137"/>
      <c r="G137"/>
      <c r="H137"/>
      <c r="I137"/>
      <c r="J137" s="605"/>
      <c r="K137"/>
      <c r="L137"/>
      <c r="M137"/>
      <c r="N137"/>
      <c r="O137"/>
      <c r="P137"/>
      <c r="Q137"/>
      <c r="R137"/>
      <c r="S137" s="604"/>
      <c r="T137" s="604"/>
      <c r="U137" s="604"/>
      <c r="V137" s="604"/>
      <c r="W137" s="604"/>
      <c r="X137" s="604"/>
      <c r="Y137" s="604"/>
      <c r="Z137" s="604"/>
      <c r="AA137" s="604"/>
      <c r="AB137" s="604"/>
      <c r="AC137" s="603"/>
      <c r="AD137" s="603"/>
      <c r="AE137" s="603"/>
      <c r="AF137" s="603"/>
      <c r="AG137" s="603"/>
      <c r="AH137" s="603"/>
      <c r="AI137" s="603"/>
      <c r="AJ137" s="603"/>
      <c r="AK137" s="603"/>
      <c r="AL137" s="603"/>
      <c r="AM137" s="603"/>
      <c r="AN137" s="603"/>
      <c r="AO137" s="603"/>
      <c r="AP137" s="603"/>
      <c r="AQ137" s="603"/>
      <c r="AR137" s="603"/>
      <c r="AS137" s="603"/>
      <c r="AT137" s="603"/>
      <c r="AU137" s="603"/>
      <c r="AV137" s="603"/>
      <c r="AW137" s="603"/>
      <c r="AX137" s="603"/>
      <c r="AY137" s="603"/>
      <c r="AZ137" s="603"/>
      <c r="BA137" s="603"/>
      <c r="BB137" s="603"/>
      <c r="BC137" s="603"/>
      <c r="BD137" s="603"/>
      <c r="BE137" s="602"/>
      <c r="BF137" s="617"/>
      <c r="BG137" s="617"/>
      <c r="BH137" s="617"/>
      <c r="BI137" s="617"/>
      <c r="BJ137" s="617"/>
      <c r="BK137" s="617"/>
    </row>
    <row r="138" spans="4:63" ht="18.95" customHeight="1">
      <c r="J138" s="619"/>
      <c r="K138" s="600" t="s">
        <v>943</v>
      </c>
      <c r="L138" s="599"/>
      <c r="M138" s="599"/>
      <c r="N138" s="1292" t="s">
        <v>941</v>
      </c>
      <c r="O138" s="1293"/>
      <c r="P138" s="1293"/>
      <c r="Q138" s="1294"/>
      <c r="R138" s="598" t="s">
        <v>942</v>
      </c>
      <c r="S138" s="575" t="s">
        <v>1044</v>
      </c>
      <c r="T138" s="599"/>
      <c r="U138" s="599"/>
      <c r="V138" s="595" t="s">
        <v>646</v>
      </c>
      <c r="W138" s="594"/>
      <c r="X138" s="594"/>
      <c r="Y138" s="593"/>
      <c r="Z138" s="596" t="s">
        <v>946</v>
      </c>
      <c r="AA138" s="600" t="s">
        <v>948</v>
      </c>
      <c r="AB138" s="599"/>
      <c r="AC138" s="599"/>
      <c r="AD138" s="595" t="s">
        <v>950</v>
      </c>
      <c r="AE138" s="594"/>
      <c r="AF138" s="596" t="s">
        <v>946</v>
      </c>
      <c r="AG138" s="595" t="s">
        <v>951</v>
      </c>
      <c r="AH138" s="594"/>
      <c r="AI138" s="594"/>
      <c r="AJ138" s="593"/>
      <c r="AK138" s="596" t="s">
        <v>949</v>
      </c>
      <c r="AP138" s="575" t="s">
        <v>1012</v>
      </c>
      <c r="AQ138" s="599"/>
      <c r="AR138" s="599"/>
      <c r="AS138" s="590" t="s">
        <v>1148</v>
      </c>
      <c r="AT138" s="594"/>
      <c r="AU138" s="594"/>
      <c r="AV138" s="594"/>
      <c r="AW138" s="593"/>
      <c r="AY138" s="586" t="s">
        <v>1002</v>
      </c>
      <c r="AZ138" s="585"/>
      <c r="BA138" s="585"/>
      <c r="BB138" s="586" t="s">
        <v>1003</v>
      </c>
      <c r="BC138" s="585"/>
      <c r="BD138" s="585"/>
      <c r="BE138" s="573"/>
    </row>
    <row r="139" spans="4:63" ht="9.9499999999999993" customHeight="1">
      <c r="J139" s="619"/>
      <c r="BE139" s="573"/>
    </row>
    <row r="140" spans="4:63" ht="18.95" customHeight="1">
      <c r="J140" s="619"/>
      <c r="K140" s="600" t="s">
        <v>967</v>
      </c>
      <c r="L140" s="599"/>
      <c r="M140" s="599"/>
      <c r="N140" s="1242" t="s">
        <v>941</v>
      </c>
      <c r="O140" s="1243"/>
      <c r="P140" s="1243"/>
      <c r="Q140" s="1244"/>
      <c r="R140" s="598" t="s">
        <v>942</v>
      </c>
      <c r="S140" s="569" t="s">
        <v>968</v>
      </c>
      <c r="T140" s="1242" t="s">
        <v>941</v>
      </c>
      <c r="U140" s="1243"/>
      <c r="V140" s="1243"/>
      <c r="W140" s="1244"/>
      <c r="X140" s="598" t="s">
        <v>942</v>
      </c>
      <c r="BE140" s="573"/>
    </row>
    <row r="141" spans="4:63" ht="9.9499999999999993" customHeight="1">
      <c r="J141" s="619"/>
      <c r="BE141" s="573"/>
    </row>
    <row r="142" spans="4:63" ht="18.95" customHeight="1">
      <c r="J142" s="619"/>
      <c r="K142" s="600" t="s">
        <v>1045</v>
      </c>
      <c r="L142" s="599"/>
      <c r="M142" s="599"/>
      <c r="N142" s="590" t="s">
        <v>955</v>
      </c>
      <c r="O142" s="589"/>
      <c r="P142" s="588"/>
      <c r="Q142" s="587" t="s">
        <v>956</v>
      </c>
      <c r="R142" s="589"/>
      <c r="S142" s="589"/>
      <c r="T142" s="589"/>
      <c r="U142" s="589"/>
      <c r="V142" s="589"/>
      <c r="W142" s="596" t="s">
        <v>949</v>
      </c>
      <c r="X142" s="582" t="s">
        <v>975</v>
      </c>
      <c r="Y142" s="581"/>
      <c r="Z142" s="581"/>
      <c r="AA142" s="580"/>
      <c r="AB142" s="617" t="s">
        <v>944</v>
      </c>
      <c r="AC142" s="597" t="s">
        <v>1172</v>
      </c>
      <c r="AD142" s="617"/>
      <c r="AE142" s="617"/>
      <c r="BE142" s="573"/>
    </row>
    <row r="143" spans="4:63" ht="9.9499999999999993" customHeight="1">
      <c r="J143" s="619"/>
      <c r="BE143" s="573"/>
    </row>
    <row r="144" spans="4:63" ht="18.95" customHeight="1">
      <c r="J144" s="619"/>
      <c r="K144" s="600" t="s">
        <v>958</v>
      </c>
      <c r="L144" s="599"/>
      <c r="M144" s="599"/>
      <c r="N144" s="959" t="s">
        <v>959</v>
      </c>
      <c r="O144" s="958"/>
      <c r="P144" s="958"/>
      <c r="Q144" s="958"/>
      <c r="R144" s="596" t="s">
        <v>949</v>
      </c>
      <c r="S144" s="1287" t="s">
        <v>962</v>
      </c>
      <c r="T144" s="1288"/>
      <c r="U144" s="1289"/>
      <c r="V144" s="583" t="s">
        <v>961</v>
      </c>
      <c r="W144" s="617" t="s">
        <v>944</v>
      </c>
      <c r="X144" s="591" t="s">
        <v>963</v>
      </c>
      <c r="Y144" s="617"/>
      <c r="AA144" s="582" t="s">
        <v>960</v>
      </c>
      <c r="AB144" s="581"/>
      <c r="AC144" s="581"/>
      <c r="AD144" s="580"/>
      <c r="BE144" s="573"/>
    </row>
    <row r="145" spans="10:57" ht="9.9499999999999993" customHeight="1">
      <c r="J145" s="619"/>
      <c r="BE145" s="573"/>
    </row>
    <row r="146" spans="10:57" ht="18.95" customHeight="1">
      <c r="J146" s="619"/>
      <c r="K146" s="600" t="s">
        <v>1055</v>
      </c>
      <c r="L146" s="599"/>
      <c r="M146" s="599"/>
      <c r="N146" s="595" t="s">
        <v>1056</v>
      </c>
      <c r="O146" s="593"/>
      <c r="P146" s="596" t="s">
        <v>946</v>
      </c>
      <c r="R146" s="600" t="s">
        <v>1049</v>
      </c>
      <c r="U146" s="145" t="s">
        <v>1050</v>
      </c>
      <c r="V146" s="578">
        <v>0</v>
      </c>
      <c r="W146" s="576"/>
      <c r="X146" s="622" t="s">
        <v>1047</v>
      </c>
      <c r="Y146" s="596" t="s">
        <v>946</v>
      </c>
      <c r="Z146" s="621" t="s">
        <v>1043</v>
      </c>
      <c r="AA146" s="622" t="s">
        <v>1048</v>
      </c>
      <c r="AB146" s="596" t="s">
        <v>946</v>
      </c>
      <c r="AC146" s="578">
        <v>10</v>
      </c>
      <c r="AD146" s="576"/>
      <c r="AE146" t="s">
        <v>1031</v>
      </c>
      <c r="AG146" s="540" t="s">
        <v>1223</v>
      </c>
      <c r="AH146" s="540"/>
      <c r="AI146" s="540"/>
      <c r="AJ146" s="540"/>
      <c r="AL146" s="578">
        <v>37</v>
      </c>
      <c r="AM146" s="576"/>
      <c r="AN146" t="s">
        <v>1031</v>
      </c>
      <c r="BE146" s="573"/>
    </row>
    <row r="147" spans="10:57" ht="5.0999999999999996" customHeight="1">
      <c r="J147" s="619"/>
      <c r="N147" s="620"/>
      <c r="BE147" s="573"/>
    </row>
    <row r="148" spans="10:57" ht="18.95" customHeight="1">
      <c r="J148" s="619"/>
      <c r="U148" s="145" t="s">
        <v>1052</v>
      </c>
      <c r="V148" s="578">
        <v>10</v>
      </c>
      <c r="W148" s="576"/>
      <c r="X148" s="622" t="s">
        <v>1047</v>
      </c>
      <c r="Y148" s="596" t="s">
        <v>946</v>
      </c>
      <c r="Z148" s="621" t="s">
        <v>1043</v>
      </c>
      <c r="AA148" s="622" t="s">
        <v>1048</v>
      </c>
      <c r="AB148" s="596" t="s">
        <v>946</v>
      </c>
      <c r="AC148" s="578">
        <v>20</v>
      </c>
      <c r="AD148" s="576"/>
      <c r="AE148" t="s">
        <v>1031</v>
      </c>
      <c r="AG148" s="540" t="s">
        <v>1223</v>
      </c>
      <c r="AH148" s="540"/>
      <c r="AI148" s="540"/>
      <c r="AJ148" s="540"/>
      <c r="AL148" s="578">
        <v>36</v>
      </c>
      <c r="AM148" s="576"/>
      <c r="AN148" t="s">
        <v>1031</v>
      </c>
      <c r="BE148" s="573"/>
    </row>
    <row r="149" spans="10:57" ht="5.0999999999999996" customHeight="1">
      <c r="J149" s="619"/>
      <c r="BE149" s="573"/>
    </row>
    <row r="150" spans="10:57" ht="18.95" customHeight="1">
      <c r="J150" s="619"/>
      <c r="U150" s="145" t="s">
        <v>1051</v>
      </c>
      <c r="V150" s="578">
        <v>20</v>
      </c>
      <c r="W150" s="576"/>
      <c r="X150" s="622" t="s">
        <v>1047</v>
      </c>
      <c r="Y150" s="596" t="s">
        <v>946</v>
      </c>
      <c r="Z150" s="621" t="s">
        <v>1043</v>
      </c>
      <c r="AA150" s="622" t="s">
        <v>1048</v>
      </c>
      <c r="AB150" s="596" t="s">
        <v>946</v>
      </c>
      <c r="AC150" s="578">
        <v>30</v>
      </c>
      <c r="AD150" s="576"/>
      <c r="AE150" t="s">
        <v>1031</v>
      </c>
      <c r="AG150" s="540" t="s">
        <v>1223</v>
      </c>
      <c r="AH150" s="540"/>
      <c r="AI150" s="540"/>
      <c r="AJ150" s="540"/>
      <c r="AL150" s="578">
        <v>35</v>
      </c>
      <c r="AM150" s="576"/>
      <c r="AN150" t="s">
        <v>1031</v>
      </c>
      <c r="BE150" s="573"/>
    </row>
    <row r="151" spans="10:57" ht="5.0999999999999996" customHeight="1">
      <c r="J151" s="619"/>
      <c r="BE151" s="573"/>
    </row>
    <row r="152" spans="10:57" ht="18.95" customHeight="1">
      <c r="J152" s="619"/>
      <c r="U152" s="145" t="s">
        <v>1053</v>
      </c>
      <c r="V152" s="578">
        <v>30</v>
      </c>
      <c r="W152" s="576"/>
      <c r="X152" s="622" t="s">
        <v>1047</v>
      </c>
      <c r="Y152" s="596" t="s">
        <v>946</v>
      </c>
      <c r="Z152" s="621" t="s">
        <v>1043</v>
      </c>
      <c r="AA152" s="622" t="s">
        <v>1047</v>
      </c>
      <c r="AB152" s="596" t="s">
        <v>946</v>
      </c>
      <c r="AC152" s="578">
        <v>100</v>
      </c>
      <c r="AD152" s="576"/>
      <c r="AE152" t="s">
        <v>1031</v>
      </c>
      <c r="AG152" s="540" t="s">
        <v>1223</v>
      </c>
      <c r="AH152" s="540"/>
      <c r="AI152" s="540"/>
      <c r="AJ152" s="540"/>
      <c r="AL152" s="578">
        <v>34</v>
      </c>
      <c r="AM152" s="576"/>
      <c r="AN152" t="s">
        <v>1031</v>
      </c>
      <c r="BE152" s="573"/>
    </row>
    <row r="153" spans="10:57" ht="5.0999999999999996" customHeight="1">
      <c r="J153" s="619"/>
      <c r="BE153" s="573"/>
    </row>
    <row r="154" spans="10:57" ht="18.95" customHeight="1">
      <c r="J154" s="619"/>
      <c r="U154" s="145" t="s">
        <v>1057</v>
      </c>
      <c r="V154" s="578"/>
      <c r="W154" s="576"/>
      <c r="X154" s="595" t="s">
        <v>1054</v>
      </c>
      <c r="Y154" s="596" t="s">
        <v>946</v>
      </c>
      <c r="Z154" s="621" t="s">
        <v>1043</v>
      </c>
      <c r="AA154" s="595" t="s">
        <v>1054</v>
      </c>
      <c r="AB154" s="596" t="s">
        <v>946</v>
      </c>
      <c r="AC154" s="578"/>
      <c r="AD154" s="576"/>
      <c r="AE154" t="s">
        <v>1031</v>
      </c>
      <c r="AG154" s="540" t="s">
        <v>1223</v>
      </c>
      <c r="AH154" s="540"/>
      <c r="AI154" s="540"/>
      <c r="AJ154" s="540"/>
      <c r="AL154" s="578" t="s">
        <v>1046</v>
      </c>
      <c r="AM154" s="576"/>
      <c r="AN154" t="s">
        <v>1031</v>
      </c>
      <c r="BE154" s="573"/>
    </row>
    <row r="155" spans="10:57" ht="18.95" customHeight="1">
      <c r="J155" s="619"/>
      <c r="BE155" s="573"/>
    </row>
    <row r="156" spans="10:57" ht="18.95" customHeight="1">
      <c r="J156" s="619"/>
      <c r="K156" s="586" t="s">
        <v>1058</v>
      </c>
      <c r="L156" s="585"/>
      <c r="M156" s="585"/>
      <c r="N156" s="586" t="s">
        <v>1060</v>
      </c>
      <c r="O156" s="585"/>
      <c r="P156" s="585"/>
      <c r="Q156" s="586" t="s">
        <v>1059</v>
      </c>
      <c r="R156" s="585"/>
      <c r="S156" s="585"/>
      <c r="U156" t="s">
        <v>1077</v>
      </c>
      <c r="X156" s="590" t="s">
        <v>955</v>
      </c>
      <c r="Y156" s="589"/>
      <c r="Z156" s="588"/>
      <c r="AA156" s="587" t="s">
        <v>956</v>
      </c>
      <c r="AB156" s="589"/>
      <c r="AC156" s="589"/>
      <c r="AD156" s="589"/>
      <c r="AE156" s="589"/>
      <c r="AF156" s="589"/>
      <c r="AG156" s="596" t="s">
        <v>949</v>
      </c>
      <c r="AH156" s="689" t="s">
        <v>1035</v>
      </c>
      <c r="AI156" s="690"/>
      <c r="BB156" t="s">
        <v>1108</v>
      </c>
      <c r="BE156" s="573"/>
    </row>
    <row r="157" spans="10:57" ht="9.9499999999999993" customHeight="1">
      <c r="J157" s="619"/>
      <c r="BE157" s="573"/>
    </row>
    <row r="158" spans="10:57" ht="18.95" customHeight="1">
      <c r="J158" s="619"/>
      <c r="K158" s="1290" t="s">
        <v>140</v>
      </c>
      <c r="L158" s="561" t="s">
        <v>990</v>
      </c>
      <c r="M158" s="560"/>
      <c r="N158" s="560"/>
      <c r="O158" s="560"/>
      <c r="P158" s="560"/>
      <c r="Q158" s="560"/>
      <c r="R158" s="560"/>
      <c r="S158" s="560"/>
      <c r="T158" s="560"/>
      <c r="U158" s="559"/>
      <c r="V158" s="561"/>
      <c r="W158" s="560"/>
      <c r="X158" s="559"/>
      <c r="Y158" s="1219" t="s">
        <v>1061</v>
      </c>
      <c r="Z158" s="1226"/>
      <c r="AA158" s="623" t="s">
        <v>1064</v>
      </c>
      <c r="AB158" s="624"/>
      <c r="AC158" s="624"/>
      <c r="AD158" s="624"/>
      <c r="AE158" s="624"/>
      <c r="AF158" s="625"/>
      <c r="AG158" s="942" t="s">
        <v>1169</v>
      </c>
      <c r="AH158" s="943"/>
      <c r="AI158" s="943"/>
      <c r="AJ158" s="944"/>
      <c r="AK158" s="942"/>
      <c r="AL158" s="943"/>
      <c r="AM158" s="944"/>
      <c r="AN158" s="561" t="s">
        <v>997</v>
      </c>
      <c r="AO158" s="560"/>
      <c r="AP158" s="560"/>
      <c r="AQ158" s="559"/>
      <c r="AR158" s="561"/>
      <c r="AS158" s="560"/>
      <c r="AT158" s="560"/>
      <c r="AU158" s="559"/>
      <c r="AV158" s="558" t="s">
        <v>1068</v>
      </c>
      <c r="AW158" s="579"/>
      <c r="AX158" s="579"/>
      <c r="AY158" s="557"/>
      <c r="AZ158" s="558"/>
      <c r="BA158" s="557"/>
      <c r="BB158" s="1283" t="s">
        <v>1069</v>
      </c>
      <c r="BC158" s="1284"/>
      <c r="BD158" s="553"/>
      <c r="BE158" s="573"/>
    </row>
    <row r="159" spans="10:57" ht="18.95" customHeight="1">
      <c r="J159" s="619"/>
      <c r="K159" s="1291"/>
      <c r="L159" s="561" t="s">
        <v>1224</v>
      </c>
      <c r="M159" s="560"/>
      <c r="N159" s="560"/>
      <c r="O159" s="559"/>
      <c r="P159" s="561" t="s">
        <v>981</v>
      </c>
      <c r="Q159" s="560"/>
      <c r="R159" s="559"/>
      <c r="S159" s="561" t="s">
        <v>982</v>
      </c>
      <c r="T159" s="560"/>
      <c r="U159" s="560"/>
      <c r="V159" s="560"/>
      <c r="W159" s="560"/>
      <c r="X159" s="559"/>
      <c r="Y159" s="1227"/>
      <c r="Z159" s="1229"/>
      <c r="AA159" s="561" t="s">
        <v>1066</v>
      </c>
      <c r="AB159" s="559"/>
      <c r="AC159" s="561" t="s">
        <v>1067</v>
      </c>
      <c r="AD159" s="560"/>
      <c r="AE159" s="560"/>
      <c r="AF159" s="559"/>
      <c r="AG159" s="942" t="s">
        <v>989</v>
      </c>
      <c r="AH159" s="943"/>
      <c r="AI159" s="943"/>
      <c r="AJ159" s="944"/>
      <c r="AK159" s="942" t="s">
        <v>980</v>
      </c>
      <c r="AL159" s="943"/>
      <c r="AM159" s="944"/>
      <c r="AN159" s="561" t="s">
        <v>995</v>
      </c>
      <c r="AO159" s="560"/>
      <c r="AP159" s="560"/>
      <c r="AQ159" s="559"/>
      <c r="AR159" s="561" t="s">
        <v>996</v>
      </c>
      <c r="AS159" s="560"/>
      <c r="AT159" s="560"/>
      <c r="AU159" s="559"/>
      <c r="AV159" s="558" t="s">
        <v>1063</v>
      </c>
      <c r="AW159" s="579"/>
      <c r="AX159" s="557"/>
      <c r="AY159" s="558" t="s">
        <v>1062</v>
      </c>
      <c r="AZ159" s="579"/>
      <c r="BA159" s="557"/>
      <c r="BB159" s="1285"/>
      <c r="BC159" s="1286"/>
      <c r="BD159" s="552"/>
      <c r="BE159" s="573"/>
    </row>
    <row r="160" spans="10:57" ht="18.95" customHeight="1">
      <c r="J160" s="619"/>
      <c r="K160" s="562" t="s">
        <v>1037</v>
      </c>
      <c r="L160" s="1242" t="s">
        <v>1225</v>
      </c>
      <c r="M160" s="1243"/>
      <c r="N160" s="1243"/>
      <c r="O160" s="1244"/>
      <c r="P160" s="590" t="s">
        <v>1039</v>
      </c>
      <c r="Q160" s="589"/>
      <c r="R160" s="588"/>
      <c r="S160" s="587" t="s">
        <v>1040</v>
      </c>
      <c r="T160" s="589"/>
      <c r="U160" s="589"/>
      <c r="V160" s="589"/>
      <c r="W160" s="589"/>
      <c r="X160" s="588"/>
      <c r="Y160" s="590" t="s">
        <v>1056</v>
      </c>
      <c r="Z160" s="588"/>
      <c r="AA160" s="693" t="s">
        <v>1046</v>
      </c>
      <c r="AB160" s="694"/>
      <c r="AC160" s="695" t="s">
        <v>1046</v>
      </c>
      <c r="AD160" s="695"/>
      <c r="AE160" s="695"/>
      <c r="AF160" s="694"/>
      <c r="AG160" s="724" t="s">
        <v>1046</v>
      </c>
      <c r="AH160" s="695"/>
      <c r="AI160" s="695"/>
      <c r="AJ160" s="694"/>
      <c r="AK160" s="1292"/>
      <c r="AL160" s="1293"/>
      <c r="AM160" s="1294"/>
      <c r="AN160" s="1242" t="s">
        <v>1038</v>
      </c>
      <c r="AO160" s="1243"/>
      <c r="AP160" s="1243"/>
      <c r="AQ160" s="1244"/>
      <c r="AR160" s="1242" t="s">
        <v>1038</v>
      </c>
      <c r="AS160" s="1243"/>
      <c r="AT160" s="1243"/>
      <c r="AU160" s="1244"/>
      <c r="AV160" s="590">
        <v>0</v>
      </c>
      <c r="AW160" s="588"/>
      <c r="AX160" s="626" t="s">
        <v>1047</v>
      </c>
      <c r="AY160" s="627" t="s">
        <v>1048</v>
      </c>
      <c r="AZ160" s="590">
        <v>10</v>
      </c>
      <c r="BA160" s="588"/>
      <c r="BB160" s="590">
        <v>37</v>
      </c>
      <c r="BC160" s="588"/>
      <c r="BD160" s="551" t="s">
        <v>942</v>
      </c>
      <c r="BE160" s="573"/>
    </row>
    <row r="161" spans="10:57" ht="18.95" customHeight="1">
      <c r="J161" s="619"/>
      <c r="K161" s="562" t="s">
        <v>1037</v>
      </c>
      <c r="L161" s="1242" t="s">
        <v>1225</v>
      </c>
      <c r="M161" s="1243"/>
      <c r="N161" s="1243"/>
      <c r="O161" s="1244"/>
      <c r="P161" s="590" t="s">
        <v>1039</v>
      </c>
      <c r="Q161" s="589"/>
      <c r="R161" s="588"/>
      <c r="S161" s="587" t="s">
        <v>1040</v>
      </c>
      <c r="T161" s="589"/>
      <c r="U161" s="589"/>
      <c r="V161" s="589"/>
      <c r="W161" s="589"/>
      <c r="X161" s="588"/>
      <c r="Y161" s="590" t="s">
        <v>1056</v>
      </c>
      <c r="Z161" s="588"/>
      <c r="AA161" s="693" t="s">
        <v>1070</v>
      </c>
      <c r="AB161" s="694"/>
      <c r="AC161" s="695" t="s">
        <v>1065</v>
      </c>
      <c r="AD161" s="695"/>
      <c r="AE161" s="695"/>
      <c r="AF161" s="694"/>
      <c r="AG161" s="724" t="s">
        <v>1046</v>
      </c>
      <c r="AH161" s="695"/>
      <c r="AI161" s="695"/>
      <c r="AJ161" s="694"/>
      <c r="AK161" s="1292"/>
      <c r="AL161" s="1293"/>
      <c r="AM161" s="1294"/>
      <c r="AN161" s="1242" t="s">
        <v>941</v>
      </c>
      <c r="AO161" s="1243"/>
      <c r="AP161" s="1243"/>
      <c r="AQ161" s="1244"/>
      <c r="AR161" s="1242" t="s">
        <v>941</v>
      </c>
      <c r="AS161" s="1243"/>
      <c r="AT161" s="1243"/>
      <c r="AU161" s="1244"/>
      <c r="AV161" s="590">
        <v>10</v>
      </c>
      <c r="AW161" s="588"/>
      <c r="AX161" s="626" t="s">
        <v>1047</v>
      </c>
      <c r="AY161" s="627" t="s">
        <v>1048</v>
      </c>
      <c r="AZ161" s="590">
        <v>20</v>
      </c>
      <c r="BA161" s="588"/>
      <c r="BB161" s="590">
        <v>36</v>
      </c>
      <c r="BC161" s="588"/>
      <c r="BD161" s="618"/>
      <c r="BE161" s="573"/>
    </row>
    <row r="162" spans="10:57" ht="18.95" customHeight="1">
      <c r="J162" s="619"/>
      <c r="K162" s="562" t="s">
        <v>1037</v>
      </c>
      <c r="L162" s="1242" t="s">
        <v>1225</v>
      </c>
      <c r="M162" s="1243"/>
      <c r="N162" s="1243"/>
      <c r="O162" s="1244"/>
      <c r="P162" s="590" t="s">
        <v>1039</v>
      </c>
      <c r="Q162" s="589"/>
      <c r="R162" s="588"/>
      <c r="S162" s="587" t="s">
        <v>1040</v>
      </c>
      <c r="T162" s="589"/>
      <c r="U162" s="589"/>
      <c r="V162" s="589"/>
      <c r="W162" s="589"/>
      <c r="X162" s="588"/>
      <c r="Y162" s="590" t="s">
        <v>1056</v>
      </c>
      <c r="Z162" s="588"/>
      <c r="AA162" s="693" t="s">
        <v>1071</v>
      </c>
      <c r="AB162" s="694"/>
      <c r="AC162" s="695" t="s">
        <v>1046</v>
      </c>
      <c r="AD162" s="695"/>
      <c r="AE162" s="695"/>
      <c r="AF162" s="694"/>
      <c r="AG162" s="724" t="s">
        <v>1046</v>
      </c>
      <c r="AH162" s="695"/>
      <c r="AI162" s="695"/>
      <c r="AJ162" s="694"/>
      <c r="AK162" s="1292"/>
      <c r="AL162" s="1293"/>
      <c r="AM162" s="1294"/>
      <c r="AN162" s="1242" t="s">
        <v>941</v>
      </c>
      <c r="AO162" s="1243"/>
      <c r="AP162" s="1243"/>
      <c r="AQ162" s="1244"/>
      <c r="AR162" s="1242" t="s">
        <v>941</v>
      </c>
      <c r="AS162" s="1243"/>
      <c r="AT162" s="1243"/>
      <c r="AU162" s="1244"/>
      <c r="AV162" s="590">
        <v>20</v>
      </c>
      <c r="AW162" s="588"/>
      <c r="AX162" s="626" t="s">
        <v>1047</v>
      </c>
      <c r="AY162" s="627" t="s">
        <v>1048</v>
      </c>
      <c r="AZ162" s="590">
        <v>30</v>
      </c>
      <c r="BA162" s="588"/>
      <c r="BB162" s="590">
        <v>35</v>
      </c>
      <c r="BC162" s="588"/>
      <c r="BD162" s="550"/>
      <c r="BE162" s="573"/>
    </row>
    <row r="163" spans="10:57" ht="18.95" customHeight="1">
      <c r="J163" s="619"/>
      <c r="K163" s="562" t="s">
        <v>1037</v>
      </c>
      <c r="L163" s="1242" t="s">
        <v>1226</v>
      </c>
      <c r="M163" s="1243"/>
      <c r="N163" s="1243"/>
      <c r="O163" s="1244"/>
      <c r="P163" s="590" t="s">
        <v>1039</v>
      </c>
      <c r="Q163" s="589"/>
      <c r="R163" s="588"/>
      <c r="S163" s="587" t="s">
        <v>1040</v>
      </c>
      <c r="T163" s="589"/>
      <c r="U163" s="589"/>
      <c r="V163" s="589"/>
      <c r="W163" s="589"/>
      <c r="X163" s="588"/>
      <c r="Y163" s="590" t="s">
        <v>1056</v>
      </c>
      <c r="Z163" s="588"/>
      <c r="AA163" s="693" t="s">
        <v>1071</v>
      </c>
      <c r="AB163" s="694"/>
      <c r="AC163" s="695" t="s">
        <v>1046</v>
      </c>
      <c r="AD163" s="695"/>
      <c r="AE163" s="695"/>
      <c r="AF163" s="694"/>
      <c r="AG163" s="724" t="s">
        <v>1046</v>
      </c>
      <c r="AH163" s="695"/>
      <c r="AI163" s="695"/>
      <c r="AJ163" s="694"/>
      <c r="AK163" s="1292"/>
      <c r="AL163" s="1293"/>
      <c r="AM163" s="1294"/>
      <c r="AN163" s="1242" t="s">
        <v>941</v>
      </c>
      <c r="AO163" s="1243"/>
      <c r="AP163" s="1243"/>
      <c r="AQ163" s="1244"/>
      <c r="AR163" s="1242" t="s">
        <v>941</v>
      </c>
      <c r="AS163" s="1243"/>
      <c r="AT163" s="1243"/>
      <c r="AU163" s="1244"/>
      <c r="AV163" s="590">
        <v>30</v>
      </c>
      <c r="AW163" s="588"/>
      <c r="AX163" s="626" t="s">
        <v>1047</v>
      </c>
      <c r="AY163" s="627" t="s">
        <v>1047</v>
      </c>
      <c r="AZ163" s="590">
        <v>100</v>
      </c>
      <c r="BA163" s="588"/>
      <c r="BB163" s="590">
        <v>34</v>
      </c>
      <c r="BC163" s="588"/>
      <c r="BD163" s="596"/>
      <c r="BE163" s="573"/>
    </row>
    <row r="164" spans="10:57" ht="18.95" customHeight="1">
      <c r="J164" s="572"/>
      <c r="K164" s="636"/>
      <c r="L164" s="636"/>
      <c r="M164" s="636"/>
      <c r="N164" s="636"/>
      <c r="O164" s="571"/>
      <c r="P164" s="571"/>
      <c r="Q164" s="571"/>
      <c r="R164" s="571"/>
      <c r="S164" s="571"/>
      <c r="T164" s="571"/>
      <c r="U164" s="571"/>
      <c r="V164" s="571"/>
      <c r="W164" s="571"/>
      <c r="X164" s="571"/>
      <c r="Y164" s="571"/>
      <c r="Z164" s="571"/>
      <c r="AA164" s="571"/>
      <c r="AB164" s="571"/>
      <c r="AC164" s="571"/>
      <c r="AD164" s="571"/>
      <c r="AE164" s="571"/>
      <c r="AF164" s="571"/>
      <c r="AG164" s="571"/>
      <c r="AH164" s="571"/>
      <c r="AI164" s="571"/>
      <c r="AJ164" s="571"/>
      <c r="AK164" s="571"/>
      <c r="AL164" s="571"/>
      <c r="AM164" s="571"/>
      <c r="AN164" s="571"/>
      <c r="AO164" s="571"/>
      <c r="AP164" s="571"/>
      <c r="AQ164" s="571"/>
      <c r="AR164" s="571"/>
      <c r="AS164" s="571"/>
      <c r="AT164" s="571"/>
      <c r="AU164" s="571"/>
      <c r="AV164" s="571"/>
      <c r="AW164" s="571"/>
      <c r="AX164" s="571"/>
      <c r="AY164" s="571"/>
      <c r="AZ164" s="571"/>
      <c r="BA164" s="571"/>
      <c r="BB164" s="571"/>
      <c r="BC164" s="571"/>
      <c r="BD164" s="571"/>
      <c r="BE164" s="570"/>
    </row>
    <row r="166" spans="10:57" ht="18.95" customHeight="1">
      <c r="K166" s="1138" t="s">
        <v>1297</v>
      </c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  <c r="AA166" s="226"/>
      <c r="AB166" s="226"/>
      <c r="AC166" s="226"/>
      <c r="AD166" s="226"/>
      <c r="AE166" s="226"/>
      <c r="AF166" s="226"/>
      <c r="AG166" s="226"/>
      <c r="AH166" s="226"/>
      <c r="AI166" s="226"/>
      <c r="AJ166" s="226"/>
      <c r="AK166" s="226"/>
      <c r="AL166" s="226"/>
      <c r="AM166" s="226"/>
      <c r="AN166" s="226"/>
      <c r="AO166" s="226"/>
      <c r="AP166" s="226"/>
      <c r="AQ166" s="226"/>
      <c r="AR166" s="226"/>
      <c r="AS166" s="226"/>
      <c r="AT166" s="385" t="s">
        <v>1612</v>
      </c>
      <c r="AU166" s="459"/>
    </row>
    <row r="167" spans="10:57" ht="18.95" customHeight="1">
      <c r="K167" s="1138" t="s">
        <v>1298</v>
      </c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  <c r="AA167" s="226"/>
      <c r="AB167" s="226"/>
      <c r="AC167" s="226"/>
      <c r="AD167" s="226"/>
      <c r="AE167" s="226"/>
      <c r="AF167" s="226"/>
      <c r="AG167" s="226"/>
      <c r="AH167" s="226"/>
      <c r="AI167" s="226"/>
      <c r="AJ167" s="226"/>
      <c r="AK167" s="226"/>
      <c r="AL167" s="226"/>
      <c r="AM167" s="226"/>
      <c r="AN167" s="226"/>
      <c r="AO167" s="226"/>
      <c r="AP167" s="226"/>
      <c r="AQ167" s="226"/>
      <c r="AR167" s="226"/>
      <c r="AS167" s="226"/>
      <c r="AT167" s="459" t="s">
        <v>1613</v>
      </c>
      <c r="AU167" s="459"/>
    </row>
    <row r="168" spans="10:57" ht="18.95" customHeight="1">
      <c r="K168" s="1138" t="s">
        <v>1299</v>
      </c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  <c r="AA168" s="226"/>
      <c r="AB168" s="226"/>
      <c r="AC168" s="226"/>
      <c r="AD168" s="226"/>
      <c r="AE168" s="226"/>
      <c r="AF168" s="226"/>
      <c r="AG168" s="226"/>
      <c r="AH168" s="226"/>
      <c r="AI168" s="226"/>
      <c r="AJ168" s="226"/>
      <c r="AK168" s="226"/>
      <c r="AL168" s="226"/>
      <c r="AM168" s="226"/>
      <c r="AN168" s="226"/>
      <c r="AO168" s="226"/>
      <c r="AP168" s="226"/>
      <c r="AQ168" s="226"/>
      <c r="AR168" s="226"/>
      <c r="AS168" s="226"/>
      <c r="AT168" s="385" t="s">
        <v>1614</v>
      </c>
    </row>
    <row r="169" spans="10:57" ht="18.95" customHeight="1">
      <c r="K169" s="1138" t="s">
        <v>1116</v>
      </c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6"/>
      <c r="AH169" s="226"/>
      <c r="AI169" s="226"/>
      <c r="AJ169" s="226"/>
      <c r="AK169" s="226"/>
      <c r="AL169" s="226"/>
      <c r="AM169" s="226"/>
      <c r="AN169" s="226"/>
      <c r="AO169" s="226"/>
      <c r="AP169" s="226"/>
      <c r="AQ169" s="226"/>
      <c r="AR169" s="226"/>
      <c r="AS169" s="226"/>
    </row>
    <row r="170" spans="10:57" ht="18.95" customHeight="1">
      <c r="K170" s="637"/>
    </row>
    <row r="171" spans="10:57" ht="18.95" customHeight="1">
      <c r="L171" s="542" t="s">
        <v>1300</v>
      </c>
    </row>
    <row r="172" spans="10:57" ht="9.9499999999999993" customHeight="1"/>
    <row r="173" spans="10:57" ht="18.95" customHeight="1">
      <c r="N173" s="590" t="s">
        <v>1141</v>
      </c>
      <c r="O173" s="588"/>
      <c r="P173" s="588"/>
      <c r="Q173" s="590" t="s">
        <v>1013</v>
      </c>
      <c r="R173" s="594"/>
      <c r="S173" s="593"/>
      <c r="T173" s="590" t="s">
        <v>1014</v>
      </c>
      <c r="U173" s="594"/>
      <c r="V173" s="593"/>
    </row>
    <row r="174" spans="10:57" ht="18.95" customHeight="1">
      <c r="N174" s="540" t="s">
        <v>1151</v>
      </c>
      <c r="O174" s="540"/>
      <c r="P174" s="540"/>
      <c r="Q174" s="540" t="s">
        <v>1016</v>
      </c>
      <c r="R174" s="540"/>
      <c r="S174" s="540"/>
      <c r="T174" s="540" t="s">
        <v>1017</v>
      </c>
      <c r="U174" s="540"/>
      <c r="V174" s="540"/>
    </row>
    <row r="175" spans="10:57" ht="9.9499999999999993" customHeight="1"/>
    <row r="176" spans="10:57" ht="18.95" customHeight="1">
      <c r="N176" s="540" t="s">
        <v>1152</v>
      </c>
      <c r="O176" s="540"/>
      <c r="P176" s="540"/>
      <c r="Q176" s="540" t="s">
        <v>1081</v>
      </c>
      <c r="R176" s="540"/>
      <c r="S176" s="540"/>
      <c r="T176" s="540" t="s">
        <v>1083</v>
      </c>
      <c r="U176" s="540"/>
      <c r="V176" s="540"/>
    </row>
    <row r="177" spans="11:22" ht="18.95" customHeight="1">
      <c r="N177" s="540"/>
      <c r="O177" s="540"/>
      <c r="P177" s="540"/>
      <c r="T177" s="540"/>
      <c r="U177" s="540"/>
      <c r="V177" s="540"/>
    </row>
    <row r="178" spans="11:22" ht="18.95" customHeight="1">
      <c r="L178" s="542" t="s">
        <v>1019</v>
      </c>
    </row>
    <row r="179" spans="11:22" ht="9.9499999999999993" customHeight="1"/>
    <row r="180" spans="11:22" ht="18.95" customHeight="1">
      <c r="M180" s="538" t="s">
        <v>1174</v>
      </c>
    </row>
    <row r="181" spans="11:22" ht="9.9499999999999993" customHeight="1"/>
    <row r="182" spans="11:22" ht="18.95" customHeight="1">
      <c r="N182" s="561" t="s">
        <v>989</v>
      </c>
      <c r="O182" s="560"/>
      <c r="P182" s="560"/>
      <c r="Q182" s="559"/>
      <c r="R182" s="561" t="s">
        <v>980</v>
      </c>
      <c r="S182" s="560"/>
      <c r="T182" s="559"/>
    </row>
    <row r="183" spans="11:22" ht="18.95" customHeight="1">
      <c r="R183" s="537" t="s">
        <v>1022</v>
      </c>
    </row>
    <row r="184" spans="11:22" ht="9.9499999999999993" customHeight="1"/>
    <row r="185" spans="11:22" ht="18.95" customHeight="1">
      <c r="M185" s="538" t="s">
        <v>1175</v>
      </c>
    </row>
    <row r="186" spans="11:22" ht="9.9499999999999993" customHeight="1"/>
    <row r="187" spans="11:22" ht="18.95" customHeight="1">
      <c r="N187" s="561" t="s">
        <v>981</v>
      </c>
      <c r="O187" s="560"/>
      <c r="P187" s="559"/>
      <c r="Q187" s="561" t="s">
        <v>982</v>
      </c>
      <c r="R187" s="560"/>
      <c r="S187" s="560"/>
      <c r="T187" s="560"/>
      <c r="U187" s="560"/>
      <c r="V187" s="559"/>
    </row>
    <row r="189" spans="11:22" ht="9.9499999999999993" customHeight="1"/>
    <row r="190" spans="11:22" ht="18.95" customHeight="1">
      <c r="K190" s="723" t="s">
        <v>1301</v>
      </c>
    </row>
    <row r="191" spans="11:22" ht="18.95" customHeight="1">
      <c r="K191" s="723"/>
    </row>
    <row r="192" spans="11:22" ht="18.95" customHeight="1">
      <c r="K192" s="628" t="s">
        <v>1076</v>
      </c>
    </row>
    <row r="193" spans="11:49" ht="18.95" customHeight="1">
      <c r="L193" s="629" t="s">
        <v>1149</v>
      </c>
    </row>
    <row r="194" spans="11:49" ht="18.95" customHeight="1">
      <c r="L194" s="629" t="s">
        <v>1179</v>
      </c>
    </row>
    <row r="195" spans="11:49" ht="18.95" customHeight="1">
      <c r="L195" s="629" t="s">
        <v>1136</v>
      </c>
    </row>
    <row r="196" spans="11:49" ht="18.95" customHeight="1">
      <c r="L196" s="629" t="s">
        <v>1150</v>
      </c>
    </row>
    <row r="197" spans="11:49" ht="9.9499999999999993" customHeight="1" thickBot="1">
      <c r="L197" s="629"/>
    </row>
    <row r="198" spans="11:49" ht="18.95" customHeight="1" thickBot="1">
      <c r="L198" s="634" t="s">
        <v>1073</v>
      </c>
      <c r="M198" s="633"/>
      <c r="N198" s="633"/>
      <c r="O198" s="635"/>
      <c r="P198" s="633" t="s">
        <v>1140</v>
      </c>
      <c r="Q198" s="633"/>
      <c r="R198" s="633"/>
      <c r="S198" s="634" t="s">
        <v>1072</v>
      </c>
      <c r="T198" s="633"/>
      <c r="U198" s="635"/>
      <c r="V198" s="634" t="s">
        <v>1134</v>
      </c>
      <c r="W198" s="633"/>
      <c r="X198" s="633"/>
      <c r="Y198" s="633"/>
      <c r="Z198" s="635"/>
      <c r="AA198" s="634" t="s">
        <v>1135</v>
      </c>
      <c r="AB198" s="633"/>
      <c r="AC198" s="633"/>
      <c r="AD198" s="633"/>
      <c r="AE198" s="633"/>
      <c r="AF198" s="633"/>
      <c r="AG198" s="633"/>
      <c r="AH198" s="633"/>
      <c r="AI198" s="633"/>
      <c r="AJ198" s="633"/>
      <c r="AK198" s="633"/>
      <c r="AL198" s="633"/>
      <c r="AM198" s="633"/>
      <c r="AN198" s="633"/>
      <c r="AO198" s="633"/>
      <c r="AP198" s="633"/>
      <c r="AQ198" s="633"/>
      <c r="AR198" s="633"/>
      <c r="AS198" s="633"/>
      <c r="AT198" s="633"/>
      <c r="AU198" s="633"/>
      <c r="AV198" s="633"/>
      <c r="AW198" s="635"/>
    </row>
    <row r="199" spans="11:49" ht="18.95" customHeight="1" thickBot="1">
      <c r="L199" s="630">
        <v>1</v>
      </c>
      <c r="M199" s="632"/>
      <c r="N199" s="632"/>
      <c r="O199" s="631"/>
      <c r="P199" s="630" t="s">
        <v>1141</v>
      </c>
      <c r="Q199" s="631"/>
      <c r="R199" s="631"/>
      <c r="S199" s="630" t="s">
        <v>1153</v>
      </c>
      <c r="T199" s="632"/>
      <c r="U199" s="631"/>
      <c r="V199" s="722" t="s">
        <v>1137</v>
      </c>
      <c r="W199" s="632"/>
      <c r="X199" s="632"/>
      <c r="Y199" s="632"/>
      <c r="Z199" s="631"/>
      <c r="AA199" s="1139" t="s">
        <v>1302</v>
      </c>
      <c r="AB199" s="1140"/>
      <c r="AC199" s="1140"/>
      <c r="AD199" s="1140"/>
      <c r="AE199" s="1140"/>
      <c r="AF199" s="1140"/>
      <c r="AG199" s="1140"/>
      <c r="AH199" s="1140"/>
      <c r="AI199" s="1140"/>
      <c r="AJ199" s="1140"/>
      <c r="AK199" s="1140"/>
      <c r="AL199" s="1140"/>
      <c r="AM199" s="1140"/>
      <c r="AN199" s="1140"/>
      <c r="AO199" s="1140"/>
      <c r="AP199" s="1140"/>
      <c r="AQ199" s="1140"/>
      <c r="AR199" s="1140"/>
      <c r="AS199" s="1140"/>
      <c r="AT199" s="1140"/>
      <c r="AU199" s="1140"/>
      <c r="AV199" s="1140"/>
      <c r="AW199" s="1141"/>
    </row>
    <row r="200" spans="11:49" ht="18.95" customHeight="1" thickBot="1">
      <c r="L200" s="630">
        <f>L199+1</f>
        <v>2</v>
      </c>
      <c r="M200" s="632"/>
      <c r="N200" s="632"/>
      <c r="O200" s="631"/>
      <c r="P200" s="630" t="s">
        <v>1142</v>
      </c>
      <c r="Q200" s="631"/>
      <c r="R200" s="631"/>
      <c r="S200" s="630" t="s">
        <v>1153</v>
      </c>
      <c r="T200" s="632"/>
      <c r="U200" s="631"/>
      <c r="V200" s="722" t="s">
        <v>1138</v>
      </c>
      <c r="W200" s="632"/>
      <c r="X200" s="632"/>
      <c r="Y200" s="632"/>
      <c r="Z200" s="631"/>
      <c r="AA200" s="714" t="s">
        <v>1303</v>
      </c>
      <c r="AB200" s="715"/>
      <c r="AC200" s="715"/>
      <c r="AD200" s="715"/>
      <c r="AE200" s="715"/>
      <c r="AF200" s="715"/>
      <c r="AG200" s="715"/>
      <c r="AH200" s="715"/>
      <c r="AI200" s="715"/>
      <c r="AJ200" s="715"/>
      <c r="AK200" s="715"/>
      <c r="AL200" s="715"/>
      <c r="AM200" s="715"/>
      <c r="AN200" s="715"/>
      <c r="AO200" s="715"/>
      <c r="AP200" s="715"/>
      <c r="AQ200" s="715"/>
      <c r="AR200" s="715"/>
      <c r="AS200" s="715"/>
      <c r="AT200" s="715"/>
      <c r="AU200" s="715"/>
      <c r="AV200" s="715"/>
      <c r="AW200" s="716"/>
    </row>
    <row r="201" spans="11:49" ht="18.95" customHeight="1" thickBot="1">
      <c r="L201" s="630">
        <f>L200+1</f>
        <v>3</v>
      </c>
      <c r="M201" s="632"/>
      <c r="N201" s="632"/>
      <c r="O201" s="631"/>
      <c r="P201" s="630" t="s">
        <v>1143</v>
      </c>
      <c r="Q201" s="631"/>
      <c r="R201" s="631"/>
      <c r="S201" s="630" t="s">
        <v>1153</v>
      </c>
      <c r="T201" s="632"/>
      <c r="U201" s="631"/>
      <c r="V201" s="722" t="s">
        <v>1139</v>
      </c>
      <c r="W201" s="632"/>
      <c r="X201" s="632"/>
      <c r="Y201" s="632"/>
      <c r="Z201" s="631"/>
      <c r="AA201" s="717" t="s">
        <v>1303</v>
      </c>
      <c r="AB201" s="456"/>
      <c r="AC201" s="456"/>
      <c r="AD201" s="456"/>
      <c r="AE201" s="456"/>
      <c r="AF201" s="456"/>
      <c r="AG201" s="456"/>
      <c r="AH201" s="456"/>
      <c r="AI201" s="456"/>
      <c r="AJ201" s="456"/>
      <c r="AK201" s="456"/>
      <c r="AL201" s="456"/>
      <c r="AM201" s="456"/>
      <c r="AN201" s="456"/>
      <c r="AO201" s="456"/>
      <c r="AP201" s="456"/>
      <c r="AQ201" s="456"/>
      <c r="AR201" s="456"/>
      <c r="AS201" s="456"/>
      <c r="AT201" s="456"/>
      <c r="AU201" s="456"/>
      <c r="AV201" s="456"/>
      <c r="AW201" s="718"/>
    </row>
    <row r="202" spans="11:49" ht="18.95" customHeight="1" thickBot="1">
      <c r="L202" s="630">
        <f>L201+1</f>
        <v>4</v>
      </c>
      <c r="M202" s="632"/>
      <c r="N202" s="632"/>
      <c r="O202" s="631"/>
      <c r="P202" s="630" t="s">
        <v>1176</v>
      </c>
      <c r="Q202" s="631"/>
      <c r="R202" s="631"/>
      <c r="S202" s="630" t="s">
        <v>1177</v>
      </c>
      <c r="T202" s="632"/>
      <c r="U202" s="631"/>
      <c r="V202" s="722" t="s">
        <v>1178</v>
      </c>
      <c r="W202" s="632"/>
      <c r="X202" s="632"/>
      <c r="Y202" s="632"/>
      <c r="Z202" s="631"/>
      <c r="AA202" s="717" t="s">
        <v>1303</v>
      </c>
      <c r="AB202" s="456"/>
      <c r="AC202" s="456"/>
      <c r="AD202" s="456"/>
      <c r="AE202" s="456"/>
      <c r="AF202" s="456"/>
      <c r="AG202" s="456"/>
      <c r="AH202" s="456"/>
      <c r="AI202" s="456"/>
      <c r="AJ202" s="456"/>
      <c r="AK202" s="456"/>
      <c r="AL202" s="456"/>
      <c r="AM202" s="456"/>
      <c r="AN202" s="456"/>
      <c r="AO202" s="456"/>
      <c r="AP202" s="456"/>
      <c r="AQ202" s="456"/>
      <c r="AR202" s="456"/>
      <c r="AS202" s="456"/>
      <c r="AT202" s="456"/>
      <c r="AU202" s="456"/>
      <c r="AV202" s="456"/>
      <c r="AW202" s="718"/>
    </row>
    <row r="203" spans="11:49" ht="18.95" customHeight="1" thickBot="1">
      <c r="L203" s="630">
        <f>L202+1</f>
        <v>5</v>
      </c>
      <c r="M203" s="632"/>
      <c r="N203" s="632"/>
      <c r="O203" s="631"/>
      <c r="P203" s="630" t="s">
        <v>1145</v>
      </c>
      <c r="Q203" s="631"/>
      <c r="R203" s="631"/>
      <c r="S203" s="630" t="s">
        <v>1154</v>
      </c>
      <c r="T203" s="632"/>
      <c r="U203" s="631"/>
      <c r="V203" s="722" t="s">
        <v>1138</v>
      </c>
      <c r="W203" s="632"/>
      <c r="X203" s="632"/>
      <c r="Y203" s="632"/>
      <c r="Z203" s="631"/>
      <c r="AA203" s="717" t="s">
        <v>1303</v>
      </c>
      <c r="AB203" s="456"/>
      <c r="AC203" s="456"/>
      <c r="AD203" s="456"/>
      <c r="AE203" s="456"/>
      <c r="AF203" s="456"/>
      <c r="AG203" s="456"/>
      <c r="AH203" s="456"/>
      <c r="AI203" s="456"/>
      <c r="AJ203" s="456"/>
      <c r="AK203" s="456"/>
      <c r="AL203" s="456"/>
      <c r="AM203" s="456"/>
      <c r="AN203" s="456"/>
      <c r="AO203" s="456"/>
      <c r="AP203" s="456"/>
      <c r="AQ203" s="456"/>
      <c r="AR203" s="456"/>
      <c r="AS203" s="456"/>
      <c r="AT203" s="456"/>
      <c r="AU203" s="456"/>
      <c r="AV203" s="456"/>
      <c r="AW203" s="718"/>
    </row>
    <row r="204" spans="11:49" ht="18.95" customHeight="1" thickBot="1">
      <c r="L204" s="630">
        <f>L203+1</f>
        <v>6</v>
      </c>
      <c r="M204" s="632"/>
      <c r="N204" s="632"/>
      <c r="O204" s="631"/>
      <c r="P204" s="630" t="s">
        <v>1146</v>
      </c>
      <c r="Q204" s="631"/>
      <c r="R204" s="631"/>
      <c r="S204" s="630" t="s">
        <v>1154</v>
      </c>
      <c r="T204" s="632"/>
      <c r="U204" s="631"/>
      <c r="V204" s="722" t="s">
        <v>1139</v>
      </c>
      <c r="W204" s="632"/>
      <c r="X204" s="632"/>
      <c r="Y204" s="632"/>
      <c r="Z204" s="631"/>
      <c r="AA204" s="719" t="s">
        <v>1303</v>
      </c>
      <c r="AB204" s="720"/>
      <c r="AC204" s="720"/>
      <c r="AD204" s="720"/>
      <c r="AE204" s="720"/>
      <c r="AF204" s="720"/>
      <c r="AG204" s="720"/>
      <c r="AH204" s="720"/>
      <c r="AI204" s="720"/>
      <c r="AJ204" s="720"/>
      <c r="AK204" s="720"/>
      <c r="AL204" s="720"/>
      <c r="AM204" s="720"/>
      <c r="AN204" s="720"/>
      <c r="AO204" s="720"/>
      <c r="AP204" s="720"/>
      <c r="AQ204" s="720"/>
      <c r="AR204" s="720"/>
      <c r="AS204" s="720"/>
      <c r="AT204" s="720"/>
      <c r="AU204" s="720"/>
      <c r="AV204" s="720"/>
      <c r="AW204" s="721"/>
    </row>
    <row r="206" spans="11:49" ht="18.95" customHeight="1">
      <c r="K206" s="723" t="s">
        <v>1075</v>
      </c>
      <c r="L206" s="144"/>
      <c r="M206" s="144"/>
      <c r="N206" s="144"/>
      <c r="O206" s="147"/>
    </row>
    <row r="207" spans="11:49" ht="18.95" customHeight="1">
      <c r="K207" s="723" t="s">
        <v>1074</v>
      </c>
      <c r="L207" s="144"/>
      <c r="M207" s="144"/>
      <c r="N207" s="144"/>
      <c r="O207" s="147"/>
    </row>
    <row r="211" spans="4:73" s="509" customFormat="1" ht="5.0999999999999996" customHeight="1">
      <c r="D211" s="528"/>
      <c r="E211" s="528"/>
      <c r="F211"/>
      <c r="G211"/>
      <c r="H211"/>
      <c r="I211"/>
      <c r="J211"/>
      <c r="S211" s="613"/>
      <c r="T211" s="612"/>
      <c r="U211" s="612"/>
      <c r="V211" s="612"/>
      <c r="W211" s="612"/>
      <c r="X211" s="612"/>
      <c r="Y211" s="612"/>
      <c r="Z211" s="612"/>
      <c r="AA211" s="611"/>
      <c r="AB211"/>
      <c r="AC211" s="617"/>
      <c r="AD211" s="617"/>
      <c r="AE211" s="617"/>
      <c r="AF211" s="617"/>
      <c r="AG211" s="617"/>
      <c r="AH211" s="617"/>
      <c r="AI211" s="617"/>
      <c r="AJ211" s="617"/>
      <c r="AK211" s="617"/>
      <c r="AL211" s="617"/>
      <c r="AM211" s="617"/>
      <c r="AN211" s="617"/>
      <c r="AO211" s="617"/>
      <c r="AP211" s="617"/>
      <c r="AQ211" s="617"/>
      <c r="AR211" s="617"/>
      <c r="AS211" s="617"/>
      <c r="AT211" s="617"/>
      <c r="AU211" s="617"/>
      <c r="AV211" s="617"/>
      <c r="AW211" s="617"/>
      <c r="AX211" s="617"/>
      <c r="AY211" s="617"/>
      <c r="AZ211" s="617"/>
      <c r="BA211" s="617"/>
      <c r="BB211" s="617"/>
      <c r="BC211" s="617"/>
      <c r="BD211" s="617"/>
      <c r="BE211" s="617"/>
      <c r="BF211" s="617"/>
      <c r="BG211" s="617"/>
      <c r="BH211" s="617"/>
      <c r="BI211" s="617"/>
    </row>
    <row r="212" spans="4:73" s="509" customFormat="1" ht="18.95" customHeight="1">
      <c r="D212" s="528"/>
      <c r="E212" s="528"/>
      <c r="F212"/>
      <c r="G212"/>
      <c r="H212"/>
      <c r="I212"/>
      <c r="J212"/>
      <c r="K212" s="608" t="s">
        <v>1291</v>
      </c>
      <c r="L212" s="607"/>
      <c r="M212" s="607"/>
      <c r="N212" s="607"/>
      <c r="O212" s="607"/>
      <c r="P212" s="607"/>
      <c r="Q212" s="607"/>
      <c r="R212" s="606"/>
      <c r="S212" s="610" t="s">
        <v>1296</v>
      </c>
      <c r="T212" s="175"/>
      <c r="U212" s="175"/>
      <c r="V212" s="175"/>
      <c r="W212" s="175"/>
      <c r="X212" s="175"/>
      <c r="Y212" s="175"/>
      <c r="Z212" s="175"/>
      <c r="AA212" s="609"/>
      <c r="AG212" s="617"/>
      <c r="AH212" s="617"/>
      <c r="AI212" s="617"/>
      <c r="AJ212" s="617"/>
      <c r="AK212" s="617"/>
      <c r="AL212" s="617"/>
      <c r="AM212" s="617"/>
      <c r="AN212" s="617"/>
      <c r="AO212" s="617"/>
      <c r="AS212" s="617"/>
      <c r="AT212" s="617"/>
      <c r="AU212" s="617"/>
      <c r="AV212" s="617"/>
      <c r="AW212" s="617"/>
      <c r="BA212" s="617"/>
      <c r="BB212" s="617"/>
      <c r="BC212" s="617"/>
      <c r="BD212" s="617"/>
      <c r="BE212" s="617"/>
      <c r="BF212" s="617"/>
      <c r="BG212" s="617"/>
      <c r="BH212" s="617"/>
      <c r="BI212" s="617"/>
      <c r="BJ212" s="617"/>
      <c r="BK212" s="617"/>
      <c r="BL212" s="617"/>
      <c r="BM212" s="617"/>
    </row>
    <row r="213" spans="4:73" s="509" customFormat="1" ht="9.9499999999999993" customHeight="1">
      <c r="D213" s="528"/>
      <c r="E213" s="528"/>
      <c r="F213"/>
      <c r="G213"/>
      <c r="H213"/>
      <c r="I213"/>
      <c r="J213" s="605"/>
      <c r="K213" s="604"/>
      <c r="L213" s="604"/>
      <c r="M213" s="604"/>
      <c r="N213" s="604"/>
      <c r="O213" s="604"/>
      <c r="P213" s="604"/>
      <c r="Q213" s="604"/>
      <c r="R213" s="604"/>
      <c r="AB213" s="604"/>
      <c r="AC213" s="603"/>
      <c r="AD213" s="603"/>
      <c r="AE213" s="603"/>
      <c r="AF213" s="603"/>
      <c r="AG213" s="603"/>
      <c r="AH213" s="603"/>
      <c r="AI213" s="603"/>
      <c r="AJ213" s="603"/>
      <c r="AK213" s="603"/>
      <c r="AL213" s="603"/>
      <c r="AM213" s="603"/>
      <c r="AN213" s="603"/>
      <c r="AO213" s="603"/>
      <c r="AP213" s="603"/>
      <c r="AQ213" s="603"/>
      <c r="AR213" s="603"/>
      <c r="AS213" s="603"/>
      <c r="AT213" s="603"/>
      <c r="AU213" s="603"/>
      <c r="AV213" s="603"/>
      <c r="AW213" s="603"/>
      <c r="AX213" s="603"/>
      <c r="AY213" s="603"/>
      <c r="AZ213" s="603"/>
      <c r="BA213" s="603"/>
      <c r="BB213" s="603"/>
      <c r="BC213" s="603"/>
      <c r="BD213" s="603"/>
      <c r="BE213" s="603"/>
      <c r="BF213" s="603"/>
      <c r="BG213" s="603"/>
      <c r="BH213" s="603"/>
      <c r="BI213" s="603"/>
      <c r="BJ213" s="603"/>
      <c r="BK213" s="603"/>
      <c r="BL213" s="603"/>
      <c r="BM213" s="603"/>
      <c r="BN213" s="603"/>
      <c r="BO213" s="603"/>
      <c r="BP213" s="603"/>
      <c r="BQ213" s="603"/>
      <c r="BR213" s="603"/>
      <c r="BS213" s="603"/>
      <c r="BT213" s="603"/>
      <c r="BU213" s="602"/>
    </row>
    <row r="214" spans="4:73" ht="18.95" customHeight="1">
      <c r="J214" s="619"/>
      <c r="K214" s="600" t="s">
        <v>943</v>
      </c>
      <c r="L214" s="599"/>
      <c r="M214" s="599"/>
      <c r="N214" s="1242" t="s">
        <v>941</v>
      </c>
      <c r="O214" s="1243"/>
      <c r="P214" s="1243"/>
      <c r="Q214" s="1244"/>
      <c r="R214" s="598" t="s">
        <v>942</v>
      </c>
      <c r="S214" s="569" t="s">
        <v>968</v>
      </c>
      <c r="T214" s="1242" t="s">
        <v>941</v>
      </c>
      <c r="U214" s="1243"/>
      <c r="V214" s="1243"/>
      <c r="W214" s="1244"/>
      <c r="X214" s="598" t="s">
        <v>942</v>
      </c>
      <c r="Z214" s="575" t="s">
        <v>971</v>
      </c>
      <c r="AA214" s="599"/>
      <c r="AB214" s="599"/>
      <c r="AC214" s="1242" t="s">
        <v>972</v>
      </c>
      <c r="AD214" s="1243"/>
      <c r="AE214" s="1243"/>
      <c r="AF214" s="1244"/>
      <c r="AI214" s="575" t="s">
        <v>1012</v>
      </c>
      <c r="AJ214" s="599"/>
      <c r="AK214" s="599"/>
      <c r="AL214" s="549" t="s">
        <v>1147</v>
      </c>
      <c r="AM214" s="548"/>
      <c r="AN214" s="548"/>
      <c r="AO214" s="548"/>
      <c r="AP214" s="547"/>
      <c r="BO214" s="586" t="s">
        <v>1035</v>
      </c>
      <c r="BP214" s="585"/>
      <c r="BQ214" s="585"/>
      <c r="BR214" s="586" t="s">
        <v>1004</v>
      </c>
      <c r="BS214" s="585"/>
      <c r="BT214" s="585"/>
      <c r="BU214" s="573"/>
    </row>
    <row r="215" spans="4:73" ht="9.9499999999999993" customHeight="1">
      <c r="J215" s="619"/>
      <c r="BU215" s="573"/>
    </row>
    <row r="216" spans="4:73" ht="18.95" customHeight="1">
      <c r="J216" s="619"/>
      <c r="K216" s="600" t="s">
        <v>1044</v>
      </c>
      <c r="L216" s="599"/>
      <c r="M216" s="599"/>
      <c r="N216" s="595" t="s">
        <v>646</v>
      </c>
      <c r="O216" s="594"/>
      <c r="P216" s="594"/>
      <c r="Q216" s="593"/>
      <c r="R216" s="596" t="s">
        <v>946</v>
      </c>
      <c r="T216" s="600" t="s">
        <v>948</v>
      </c>
      <c r="U216" s="599"/>
      <c r="V216" s="599"/>
      <c r="W216" s="595" t="s">
        <v>950</v>
      </c>
      <c r="X216" s="594"/>
      <c r="Y216" s="596" t="s">
        <v>946</v>
      </c>
      <c r="Z216" s="595" t="s">
        <v>951</v>
      </c>
      <c r="AA216" s="594"/>
      <c r="AB216" s="594"/>
      <c r="AC216" s="593"/>
      <c r="AD216" s="596" t="s">
        <v>949</v>
      </c>
      <c r="BA216" s="617"/>
      <c r="BB216" s="591"/>
      <c r="BC216" s="617"/>
      <c r="BU216" s="573"/>
    </row>
    <row r="217" spans="4:73" ht="9.9499999999999993" customHeight="1">
      <c r="J217" s="619"/>
      <c r="BU217" s="573"/>
    </row>
    <row r="218" spans="4:73" ht="18.95" customHeight="1">
      <c r="J218" s="619"/>
      <c r="K218" s="600" t="s">
        <v>1028</v>
      </c>
      <c r="L218" s="599"/>
      <c r="M218" s="599"/>
      <c r="N218" s="1242" t="s">
        <v>941</v>
      </c>
      <c r="O218" s="1243"/>
      <c r="P218" s="1243"/>
      <c r="Q218" s="1244"/>
      <c r="R218" s="598" t="s">
        <v>942</v>
      </c>
      <c r="S218" s="569" t="s">
        <v>968</v>
      </c>
      <c r="T218" s="1242" t="s">
        <v>941</v>
      </c>
      <c r="U218" s="1243"/>
      <c r="V218" s="1243"/>
      <c r="W218" s="1244"/>
      <c r="X218" s="598" t="s">
        <v>942</v>
      </c>
      <c r="Z218" s="575" t="s">
        <v>1156</v>
      </c>
      <c r="AA218" s="599"/>
      <c r="AB218" s="599"/>
      <c r="AC218" s="564" t="s">
        <v>1157</v>
      </c>
      <c r="AD218" s="566"/>
      <c r="AE218" s="566"/>
      <c r="AF218" s="565"/>
      <c r="AG218" s="596" t="s">
        <v>946</v>
      </c>
      <c r="BU218" s="573"/>
    </row>
    <row r="219" spans="4:73" ht="9.9499999999999993" customHeight="1">
      <c r="J219" s="619"/>
      <c r="BU219" s="573"/>
    </row>
    <row r="220" spans="4:73" ht="18.95" customHeight="1">
      <c r="J220" s="619"/>
      <c r="K220" s="600" t="s">
        <v>1097</v>
      </c>
      <c r="L220" s="599"/>
      <c r="M220" s="599"/>
      <c r="N220" s="595" t="s">
        <v>1098</v>
      </c>
      <c r="O220" s="594"/>
      <c r="P220" s="594"/>
      <c r="Q220" s="593"/>
      <c r="R220" s="596" t="s">
        <v>946</v>
      </c>
      <c r="T220" s="575" t="s">
        <v>1227</v>
      </c>
      <c r="U220" s="599"/>
      <c r="V220" s="599"/>
      <c r="W220" s="1242" t="s">
        <v>1225</v>
      </c>
      <c r="X220" s="1243"/>
      <c r="Y220" s="1243"/>
      <c r="Z220" s="1244"/>
      <c r="AA220" s="596" t="s">
        <v>946</v>
      </c>
      <c r="AC220" s="575" t="s">
        <v>952</v>
      </c>
      <c r="AD220" s="599"/>
      <c r="AE220" s="599"/>
      <c r="AF220" s="590" t="s">
        <v>955</v>
      </c>
      <c r="AG220" s="589"/>
      <c r="AH220" s="588"/>
      <c r="AI220" s="587" t="s">
        <v>956</v>
      </c>
      <c r="AJ220" s="589"/>
      <c r="AK220" s="589"/>
      <c r="AL220" s="589"/>
      <c r="AM220" s="589"/>
      <c r="AN220" s="589"/>
      <c r="AO220" s="589"/>
      <c r="AP220" s="596" t="s">
        <v>949</v>
      </c>
      <c r="AR220" s="575" t="s">
        <v>1029</v>
      </c>
      <c r="AS220" s="599"/>
      <c r="AT220" s="599"/>
      <c r="AU220" s="590" t="s">
        <v>959</v>
      </c>
      <c r="AV220" s="589"/>
      <c r="AW220" s="589"/>
      <c r="AX220" s="589"/>
      <c r="AY220" s="596" t="s">
        <v>949</v>
      </c>
      <c r="AZ220" s="1242" t="s">
        <v>17</v>
      </c>
      <c r="BA220" s="1243"/>
      <c r="BB220" s="1244"/>
      <c r="BC220" s="583" t="s">
        <v>946</v>
      </c>
      <c r="BU220" s="573"/>
    </row>
    <row r="221" spans="4:73" ht="18.95" customHeight="1">
      <c r="J221" s="619"/>
      <c r="BU221" s="573"/>
    </row>
    <row r="222" spans="4:73" ht="18.95" customHeight="1">
      <c r="J222" s="619"/>
      <c r="K222" s="1290" t="s">
        <v>140</v>
      </c>
      <c r="L222" s="1245" t="s">
        <v>1033</v>
      </c>
      <c r="M222" s="1225"/>
      <c r="N222" s="1225"/>
      <c r="O222" s="1226"/>
      <c r="P222" s="1245" t="s">
        <v>1032</v>
      </c>
      <c r="Q222" s="1225"/>
      <c r="R222" s="1225"/>
      <c r="S222" s="1225"/>
      <c r="T222" s="1226"/>
      <c r="U222" s="561" t="s">
        <v>990</v>
      </c>
      <c r="V222" s="560"/>
      <c r="W222" s="560"/>
      <c r="X222" s="560"/>
      <c r="Y222" s="560"/>
      <c r="Z222" s="560"/>
      <c r="AA222" s="560"/>
      <c r="AB222" s="560"/>
      <c r="AC222" s="560"/>
      <c r="AD222" s="560"/>
      <c r="AE222" s="560"/>
      <c r="AF222" s="560"/>
      <c r="AG222" s="559"/>
      <c r="AH222" s="561"/>
      <c r="AI222" s="560"/>
      <c r="AJ222" s="559"/>
      <c r="AK222" s="1219" t="s">
        <v>1061</v>
      </c>
      <c r="AL222" s="1226"/>
      <c r="AM222" s="1245" t="s">
        <v>1165</v>
      </c>
      <c r="AN222" s="1225"/>
      <c r="AO222" s="1225"/>
      <c r="AP222" s="1226"/>
      <c r="AQ222" s="623" t="s">
        <v>1064</v>
      </c>
      <c r="AR222" s="624"/>
      <c r="AS222" s="624"/>
      <c r="AT222" s="624"/>
      <c r="AU222" s="624"/>
      <c r="AV222" s="625"/>
      <c r="AW222" s="561" t="s">
        <v>1169</v>
      </c>
      <c r="AX222" s="560"/>
      <c r="AY222" s="560"/>
      <c r="AZ222" s="559"/>
      <c r="BA222" s="561"/>
      <c r="BB222" s="560"/>
      <c r="BC222" s="559"/>
      <c r="BD222" s="561" t="s">
        <v>997</v>
      </c>
      <c r="BE222" s="560"/>
      <c r="BF222" s="560"/>
      <c r="BG222" s="559"/>
      <c r="BH222" s="561"/>
      <c r="BI222" s="560"/>
      <c r="BJ222" s="560"/>
      <c r="BK222" s="559"/>
      <c r="BL222" s="558" t="s">
        <v>1068</v>
      </c>
      <c r="BM222" s="579"/>
      <c r="BN222" s="579"/>
      <c r="BO222" s="557"/>
      <c r="BP222" s="558"/>
      <c r="BQ222" s="557"/>
      <c r="BR222" s="1283" t="s">
        <v>1069</v>
      </c>
      <c r="BS222" s="1284"/>
      <c r="BT222" s="553"/>
      <c r="BU222" s="573"/>
    </row>
    <row r="223" spans="4:73" ht="18.95" customHeight="1">
      <c r="J223" s="619"/>
      <c r="K223" s="1291"/>
      <c r="L223" s="1227"/>
      <c r="M223" s="1228"/>
      <c r="N223" s="1228"/>
      <c r="O223" s="1229"/>
      <c r="P223" s="1227"/>
      <c r="Q223" s="1228"/>
      <c r="R223" s="1228"/>
      <c r="S223" s="1228"/>
      <c r="T223" s="1229"/>
      <c r="U223" s="623" t="s">
        <v>1168</v>
      </c>
      <c r="V223" s="624"/>
      <c r="W223" s="625"/>
      <c r="X223" s="561" t="s">
        <v>1224</v>
      </c>
      <c r="Y223" s="560"/>
      <c r="Z223" s="560"/>
      <c r="AA223" s="559"/>
      <c r="AB223" s="561" t="s">
        <v>981</v>
      </c>
      <c r="AC223" s="560"/>
      <c r="AD223" s="559"/>
      <c r="AE223" s="561" t="s">
        <v>982</v>
      </c>
      <c r="AF223" s="560"/>
      <c r="AG223" s="560"/>
      <c r="AH223" s="560"/>
      <c r="AI223" s="560"/>
      <c r="AJ223" s="559"/>
      <c r="AK223" s="1227"/>
      <c r="AL223" s="1229"/>
      <c r="AM223" s="1227"/>
      <c r="AN223" s="1228"/>
      <c r="AO223" s="1228"/>
      <c r="AP223" s="1229"/>
      <c r="AQ223" s="561" t="s">
        <v>1066</v>
      </c>
      <c r="AR223" s="559"/>
      <c r="AS223" s="561" t="s">
        <v>1067</v>
      </c>
      <c r="AT223" s="560"/>
      <c r="AU223" s="560"/>
      <c r="AV223" s="559"/>
      <c r="AW223" s="561" t="s">
        <v>989</v>
      </c>
      <c r="AX223" s="560"/>
      <c r="AY223" s="560"/>
      <c r="AZ223" s="559"/>
      <c r="BA223" s="561" t="s">
        <v>980</v>
      </c>
      <c r="BB223" s="560"/>
      <c r="BC223" s="559"/>
      <c r="BD223" s="561" t="s">
        <v>995</v>
      </c>
      <c r="BE223" s="560"/>
      <c r="BF223" s="560"/>
      <c r="BG223" s="559"/>
      <c r="BH223" s="561" t="s">
        <v>996</v>
      </c>
      <c r="BI223" s="560"/>
      <c r="BJ223" s="560"/>
      <c r="BK223" s="559"/>
      <c r="BL223" s="558" t="s">
        <v>1063</v>
      </c>
      <c r="BM223" s="579"/>
      <c r="BN223" s="557"/>
      <c r="BO223" s="558" t="s">
        <v>1062</v>
      </c>
      <c r="BP223" s="579"/>
      <c r="BQ223" s="557"/>
      <c r="BR223" s="1285"/>
      <c r="BS223" s="1286"/>
      <c r="BT223" s="552"/>
      <c r="BU223" s="573"/>
    </row>
    <row r="224" spans="4:73" ht="18.95" customHeight="1">
      <c r="J224" s="619"/>
      <c r="K224" s="562" t="s">
        <v>979</v>
      </c>
      <c r="L224" s="1246" t="s">
        <v>941</v>
      </c>
      <c r="M224" s="1247"/>
      <c r="N224" s="1247"/>
      <c r="O224" s="1248"/>
      <c r="P224" s="638" t="s">
        <v>1147</v>
      </c>
      <c r="Q224" s="682"/>
      <c r="R224" s="682"/>
      <c r="S224" s="682"/>
      <c r="T224" s="679"/>
      <c r="U224" s="595" t="s">
        <v>1098</v>
      </c>
      <c r="V224" s="594"/>
      <c r="W224" s="594"/>
      <c r="X224" s="1242" t="s">
        <v>1225</v>
      </c>
      <c r="Y224" s="1243"/>
      <c r="Z224" s="1243"/>
      <c r="AA224" s="1244"/>
      <c r="AB224" s="590" t="s">
        <v>955</v>
      </c>
      <c r="AC224" s="589"/>
      <c r="AD224" s="588"/>
      <c r="AE224" s="587" t="s">
        <v>1040</v>
      </c>
      <c r="AF224" s="589"/>
      <c r="AG224" s="589"/>
      <c r="AH224" s="589"/>
      <c r="AI224" s="589"/>
      <c r="AJ224" s="588"/>
      <c r="AK224" s="590" t="s">
        <v>1056</v>
      </c>
      <c r="AL224" s="588"/>
      <c r="AM224" s="595" t="s">
        <v>646</v>
      </c>
      <c r="AN224" s="594"/>
      <c r="AO224" s="594"/>
      <c r="AP224" s="593"/>
      <c r="AQ224" s="693" t="s">
        <v>1046</v>
      </c>
      <c r="AR224" s="694"/>
      <c r="AS224" s="695" t="s">
        <v>1046</v>
      </c>
      <c r="AT224" s="695"/>
      <c r="AU224" s="695"/>
      <c r="AV224" s="694"/>
      <c r="AW224" s="724" t="s">
        <v>1158</v>
      </c>
      <c r="AX224" s="695"/>
      <c r="AY224" s="695"/>
      <c r="AZ224" s="694"/>
      <c r="BA224" s="1292"/>
      <c r="BB224" s="1293"/>
      <c r="BC224" s="1294"/>
      <c r="BD224" s="1242" t="s">
        <v>1038</v>
      </c>
      <c r="BE224" s="1243"/>
      <c r="BF224" s="1243"/>
      <c r="BG224" s="1244"/>
      <c r="BH224" s="1242" t="s">
        <v>1038</v>
      </c>
      <c r="BI224" s="1243"/>
      <c r="BJ224" s="1243"/>
      <c r="BK224" s="1244"/>
      <c r="BL224" s="590">
        <v>0</v>
      </c>
      <c r="BM224" s="588"/>
      <c r="BN224" s="626" t="s">
        <v>1047</v>
      </c>
      <c r="BO224" s="627" t="s">
        <v>1048</v>
      </c>
      <c r="BP224" s="590">
        <v>10</v>
      </c>
      <c r="BQ224" s="588"/>
      <c r="BR224" s="590">
        <v>37</v>
      </c>
      <c r="BS224" s="588"/>
      <c r="BT224" s="551" t="s">
        <v>942</v>
      </c>
      <c r="BU224" s="573"/>
    </row>
    <row r="225" spans="8:73" ht="18.95" customHeight="1">
      <c r="J225" s="619"/>
      <c r="K225" s="562" t="s">
        <v>979</v>
      </c>
      <c r="L225" s="1246" t="s">
        <v>941</v>
      </c>
      <c r="M225" s="1247"/>
      <c r="N225" s="1247"/>
      <c r="O225" s="1248"/>
      <c r="P225" s="638" t="s">
        <v>1147</v>
      </c>
      <c r="Q225" s="682"/>
      <c r="R225" s="682"/>
      <c r="S225" s="682"/>
      <c r="T225" s="679"/>
      <c r="U225" s="595" t="s">
        <v>1098</v>
      </c>
      <c r="V225" s="594"/>
      <c r="W225" s="594"/>
      <c r="X225" s="1242" t="s">
        <v>1225</v>
      </c>
      <c r="Y225" s="1243"/>
      <c r="Z225" s="1243"/>
      <c r="AA225" s="1244"/>
      <c r="AB225" s="590" t="s">
        <v>955</v>
      </c>
      <c r="AC225" s="589"/>
      <c r="AD225" s="588"/>
      <c r="AE225" s="587" t="s">
        <v>1040</v>
      </c>
      <c r="AF225" s="589"/>
      <c r="AG225" s="589"/>
      <c r="AH225" s="589"/>
      <c r="AI225" s="589"/>
      <c r="AJ225" s="588"/>
      <c r="AK225" s="590" t="s">
        <v>1056</v>
      </c>
      <c r="AL225" s="588"/>
      <c r="AM225" s="595" t="s">
        <v>646</v>
      </c>
      <c r="AN225" s="594"/>
      <c r="AO225" s="594"/>
      <c r="AP225" s="593"/>
      <c r="AQ225" s="693" t="s">
        <v>1070</v>
      </c>
      <c r="AR225" s="694"/>
      <c r="AS225" s="695" t="s">
        <v>1065</v>
      </c>
      <c r="AT225" s="695"/>
      <c r="AU225" s="695"/>
      <c r="AV225" s="694"/>
      <c r="AW225" s="724" t="s">
        <v>1158</v>
      </c>
      <c r="AX225" s="695"/>
      <c r="AY225" s="695"/>
      <c r="AZ225" s="694"/>
      <c r="BA225" s="1292"/>
      <c r="BB225" s="1293"/>
      <c r="BC225" s="1294"/>
      <c r="BD225" s="1242" t="s">
        <v>941</v>
      </c>
      <c r="BE225" s="1243"/>
      <c r="BF225" s="1243"/>
      <c r="BG225" s="1244"/>
      <c r="BH225" s="1242" t="s">
        <v>941</v>
      </c>
      <c r="BI225" s="1243"/>
      <c r="BJ225" s="1243"/>
      <c r="BK225" s="1244"/>
      <c r="BL225" s="590">
        <v>10</v>
      </c>
      <c r="BM225" s="588"/>
      <c r="BN225" s="626" t="s">
        <v>1047</v>
      </c>
      <c r="BO225" s="627" t="s">
        <v>1048</v>
      </c>
      <c r="BP225" s="590">
        <v>20</v>
      </c>
      <c r="BQ225" s="588"/>
      <c r="BR225" s="590">
        <v>36</v>
      </c>
      <c r="BS225" s="588"/>
      <c r="BT225" s="618"/>
      <c r="BU225" s="573"/>
    </row>
    <row r="226" spans="8:73" ht="18.95" customHeight="1">
      <c r="J226" s="619"/>
      <c r="K226" s="562" t="s">
        <v>979</v>
      </c>
      <c r="L226" s="1246" t="s">
        <v>941</v>
      </c>
      <c r="M226" s="1247"/>
      <c r="N226" s="1247"/>
      <c r="O226" s="1248"/>
      <c r="P226" s="638" t="s">
        <v>1147</v>
      </c>
      <c r="Q226" s="682"/>
      <c r="R226" s="682"/>
      <c r="S226" s="682"/>
      <c r="T226" s="679"/>
      <c r="U226" s="595" t="s">
        <v>1098</v>
      </c>
      <c r="V226" s="594"/>
      <c r="W226" s="594"/>
      <c r="X226" s="1242" t="s">
        <v>1225</v>
      </c>
      <c r="Y226" s="1243"/>
      <c r="Z226" s="1243"/>
      <c r="AA226" s="1244"/>
      <c r="AB226" s="590" t="s">
        <v>955</v>
      </c>
      <c r="AC226" s="589"/>
      <c r="AD226" s="588"/>
      <c r="AE226" s="587" t="s">
        <v>1040</v>
      </c>
      <c r="AF226" s="589"/>
      <c r="AG226" s="589"/>
      <c r="AH226" s="589"/>
      <c r="AI226" s="589"/>
      <c r="AJ226" s="588"/>
      <c r="AK226" s="590" t="s">
        <v>1056</v>
      </c>
      <c r="AL226" s="588"/>
      <c r="AM226" s="595" t="s">
        <v>646</v>
      </c>
      <c r="AN226" s="594"/>
      <c r="AO226" s="594"/>
      <c r="AP226" s="593"/>
      <c r="AQ226" s="693" t="s">
        <v>1071</v>
      </c>
      <c r="AR226" s="694"/>
      <c r="AS226" s="695" t="s">
        <v>1046</v>
      </c>
      <c r="AT226" s="695"/>
      <c r="AU226" s="695"/>
      <c r="AV226" s="694"/>
      <c r="AW226" s="724" t="s">
        <v>1159</v>
      </c>
      <c r="AX226" s="695"/>
      <c r="AY226" s="695"/>
      <c r="AZ226" s="694"/>
      <c r="BA226" s="1292"/>
      <c r="BB226" s="1293"/>
      <c r="BC226" s="1294"/>
      <c r="BD226" s="1242" t="s">
        <v>941</v>
      </c>
      <c r="BE226" s="1243"/>
      <c r="BF226" s="1243"/>
      <c r="BG226" s="1244"/>
      <c r="BH226" s="1242" t="s">
        <v>941</v>
      </c>
      <c r="BI226" s="1243"/>
      <c r="BJ226" s="1243"/>
      <c r="BK226" s="1244"/>
      <c r="BL226" s="590">
        <v>20</v>
      </c>
      <c r="BM226" s="588"/>
      <c r="BN226" s="626" t="s">
        <v>1047</v>
      </c>
      <c r="BO226" s="627" t="s">
        <v>1048</v>
      </c>
      <c r="BP226" s="590">
        <v>30</v>
      </c>
      <c r="BQ226" s="588"/>
      <c r="BR226" s="590">
        <v>35</v>
      </c>
      <c r="BS226" s="588"/>
      <c r="BT226" s="618"/>
      <c r="BU226" s="573"/>
    </row>
    <row r="227" spans="8:73" ht="18.95" customHeight="1">
      <c r="J227" s="619"/>
      <c r="K227" s="562" t="s">
        <v>979</v>
      </c>
      <c r="L227" s="1242" t="s">
        <v>941</v>
      </c>
      <c r="M227" s="1243"/>
      <c r="N227" s="1243"/>
      <c r="O227" s="1244"/>
      <c r="P227" s="590" t="s">
        <v>1147</v>
      </c>
      <c r="Q227" s="594"/>
      <c r="R227" s="594"/>
      <c r="S227" s="594"/>
      <c r="T227" s="593"/>
      <c r="U227" s="595" t="s">
        <v>1098</v>
      </c>
      <c r="V227" s="594"/>
      <c r="W227" s="594"/>
      <c r="X227" s="1242" t="s">
        <v>1225</v>
      </c>
      <c r="Y227" s="1243"/>
      <c r="Z227" s="1243"/>
      <c r="AA227" s="1244"/>
      <c r="AB227" s="590" t="s">
        <v>955</v>
      </c>
      <c r="AC227" s="589"/>
      <c r="AD227" s="588"/>
      <c r="AE227" s="587" t="s">
        <v>1040</v>
      </c>
      <c r="AF227" s="589"/>
      <c r="AG227" s="589"/>
      <c r="AH227" s="589"/>
      <c r="AI227" s="589"/>
      <c r="AJ227" s="588"/>
      <c r="AK227" s="590" t="s">
        <v>1056</v>
      </c>
      <c r="AL227" s="588"/>
      <c r="AM227" s="595" t="s">
        <v>646</v>
      </c>
      <c r="AN227" s="594"/>
      <c r="AO227" s="594"/>
      <c r="AP227" s="593"/>
      <c r="AQ227" s="693" t="s">
        <v>1071</v>
      </c>
      <c r="AR227" s="694"/>
      <c r="AS227" s="695" t="s">
        <v>1046</v>
      </c>
      <c r="AT227" s="695"/>
      <c r="AU227" s="695"/>
      <c r="AV227" s="694"/>
      <c r="AW227" s="724" t="s">
        <v>1158</v>
      </c>
      <c r="AX227" s="695"/>
      <c r="AY227" s="695"/>
      <c r="AZ227" s="694"/>
      <c r="BA227" s="1292"/>
      <c r="BB227" s="1293"/>
      <c r="BC227" s="1294"/>
      <c r="BD227" s="1242" t="s">
        <v>941</v>
      </c>
      <c r="BE227" s="1243"/>
      <c r="BF227" s="1243"/>
      <c r="BG227" s="1244"/>
      <c r="BH227" s="1242" t="s">
        <v>941</v>
      </c>
      <c r="BI227" s="1243"/>
      <c r="BJ227" s="1243"/>
      <c r="BK227" s="1244"/>
      <c r="BL227" s="590">
        <v>30</v>
      </c>
      <c r="BM227" s="588"/>
      <c r="BN227" s="626" t="s">
        <v>1047</v>
      </c>
      <c r="BO227" s="627" t="s">
        <v>1047</v>
      </c>
      <c r="BP227" s="590">
        <v>100</v>
      </c>
      <c r="BQ227" s="588"/>
      <c r="BR227" s="590">
        <v>34</v>
      </c>
      <c r="BS227" s="588"/>
      <c r="BT227" s="618"/>
      <c r="BU227" s="573"/>
    </row>
    <row r="228" spans="8:73" ht="18.95" customHeight="1">
      <c r="J228" s="619"/>
      <c r="K228" s="562" t="s">
        <v>979</v>
      </c>
      <c r="L228" s="1246" t="s">
        <v>941</v>
      </c>
      <c r="M228" s="1247"/>
      <c r="N228" s="1247"/>
      <c r="O228" s="1248"/>
      <c r="P228" s="638" t="s">
        <v>1166</v>
      </c>
      <c r="Q228" s="682"/>
      <c r="R228" s="682"/>
      <c r="S228" s="682"/>
      <c r="T228" s="679"/>
      <c r="U228" s="595" t="s">
        <v>1098</v>
      </c>
      <c r="V228" s="594"/>
      <c r="W228" s="594"/>
      <c r="X228" s="1242" t="s">
        <v>1225</v>
      </c>
      <c r="Y228" s="1243"/>
      <c r="Z228" s="1243"/>
      <c r="AA228" s="1244"/>
      <c r="AB228" s="590" t="s">
        <v>955</v>
      </c>
      <c r="AC228" s="589"/>
      <c r="AD228" s="588"/>
      <c r="AE228" s="587" t="s">
        <v>1040</v>
      </c>
      <c r="AF228" s="589"/>
      <c r="AG228" s="589"/>
      <c r="AH228" s="589"/>
      <c r="AI228" s="589"/>
      <c r="AJ228" s="588"/>
      <c r="AK228" s="590" t="s">
        <v>1056</v>
      </c>
      <c r="AL228" s="588"/>
      <c r="AM228" s="695" t="s">
        <v>1046</v>
      </c>
      <c r="AN228" s="695"/>
      <c r="AO228" s="695"/>
      <c r="AP228" s="694"/>
      <c r="AQ228" s="595" t="s">
        <v>1167</v>
      </c>
      <c r="AR228" s="588"/>
      <c r="AS228" s="595" t="s">
        <v>951</v>
      </c>
      <c r="AT228" s="594"/>
      <c r="AU228" s="594"/>
      <c r="AV228" s="593"/>
      <c r="AW228" s="724" t="s">
        <v>1159</v>
      </c>
      <c r="AX228" s="695"/>
      <c r="AY228" s="695"/>
      <c r="AZ228" s="694"/>
      <c r="BA228" s="1292"/>
      <c r="BB228" s="1293"/>
      <c r="BC228" s="1294"/>
      <c r="BD228" s="1242" t="s">
        <v>941</v>
      </c>
      <c r="BE228" s="1243"/>
      <c r="BF228" s="1243"/>
      <c r="BG228" s="1244"/>
      <c r="BH228" s="1242" t="s">
        <v>941</v>
      </c>
      <c r="BI228" s="1243"/>
      <c r="BJ228" s="1243"/>
      <c r="BK228" s="1244"/>
      <c r="BL228" s="590">
        <v>20</v>
      </c>
      <c r="BM228" s="588"/>
      <c r="BN228" s="626" t="s">
        <v>1047</v>
      </c>
      <c r="BO228" s="627" t="s">
        <v>1048</v>
      </c>
      <c r="BP228" s="590">
        <v>30</v>
      </c>
      <c r="BQ228" s="588"/>
      <c r="BR228" s="590">
        <v>35</v>
      </c>
      <c r="BS228" s="588"/>
      <c r="BT228" s="618"/>
      <c r="BU228" s="573"/>
    </row>
    <row r="229" spans="8:73" ht="18.95" customHeight="1">
      <c r="J229" s="619"/>
      <c r="K229" s="562" t="s">
        <v>979</v>
      </c>
      <c r="L229" s="1242" t="s">
        <v>941</v>
      </c>
      <c r="M229" s="1243"/>
      <c r="N229" s="1243"/>
      <c r="O229" s="1244"/>
      <c r="P229" s="638" t="s">
        <v>1166</v>
      </c>
      <c r="Q229" s="594"/>
      <c r="R229" s="594"/>
      <c r="S229" s="594"/>
      <c r="T229" s="593"/>
      <c r="U229" s="595" t="s">
        <v>1098</v>
      </c>
      <c r="V229" s="594"/>
      <c r="W229" s="594"/>
      <c r="X229" s="1242" t="s">
        <v>1225</v>
      </c>
      <c r="Y229" s="1243"/>
      <c r="Z229" s="1243"/>
      <c r="AA229" s="1244"/>
      <c r="AB229" s="590" t="s">
        <v>955</v>
      </c>
      <c r="AC229" s="589"/>
      <c r="AD229" s="588"/>
      <c r="AE229" s="587" t="s">
        <v>1040</v>
      </c>
      <c r="AF229" s="589"/>
      <c r="AG229" s="589"/>
      <c r="AH229" s="589"/>
      <c r="AI229" s="589"/>
      <c r="AJ229" s="588"/>
      <c r="AK229" s="590" t="s">
        <v>1056</v>
      </c>
      <c r="AL229" s="588"/>
      <c r="AM229" s="695" t="s">
        <v>1046</v>
      </c>
      <c r="AN229" s="695"/>
      <c r="AO229" s="695"/>
      <c r="AP229" s="694"/>
      <c r="AQ229" s="595" t="s">
        <v>1167</v>
      </c>
      <c r="AR229" s="588"/>
      <c r="AS229" s="595" t="s">
        <v>951</v>
      </c>
      <c r="AT229" s="594"/>
      <c r="AU229" s="594"/>
      <c r="AV229" s="593"/>
      <c r="AW229" s="724" t="s">
        <v>1046</v>
      </c>
      <c r="AX229" s="695"/>
      <c r="AY229" s="695"/>
      <c r="AZ229" s="694"/>
      <c r="BA229" s="1292"/>
      <c r="BB229" s="1293"/>
      <c r="BC229" s="1294"/>
      <c r="BD229" s="1242" t="s">
        <v>941</v>
      </c>
      <c r="BE229" s="1243"/>
      <c r="BF229" s="1243"/>
      <c r="BG229" s="1244"/>
      <c r="BH229" s="1242" t="s">
        <v>941</v>
      </c>
      <c r="BI229" s="1243"/>
      <c r="BJ229" s="1243"/>
      <c r="BK229" s="1244"/>
      <c r="BL229" s="590">
        <v>30</v>
      </c>
      <c r="BM229" s="588"/>
      <c r="BN229" s="626" t="s">
        <v>1047</v>
      </c>
      <c r="BO229" s="627" t="s">
        <v>1047</v>
      </c>
      <c r="BP229" s="590">
        <v>100</v>
      </c>
      <c r="BQ229" s="588"/>
      <c r="BR229" s="590">
        <v>34</v>
      </c>
      <c r="BS229" s="588"/>
      <c r="BT229" s="618"/>
      <c r="BU229" s="573"/>
    </row>
    <row r="230" spans="8:73" ht="18.95" customHeight="1">
      <c r="J230" s="619"/>
      <c r="K230" s="562" t="s">
        <v>979</v>
      </c>
      <c r="L230" s="1242" t="s">
        <v>941</v>
      </c>
      <c r="M230" s="1243"/>
      <c r="N230" s="1243"/>
      <c r="O230" s="1244"/>
      <c r="P230" s="638" t="s">
        <v>1180</v>
      </c>
      <c r="Q230" s="594"/>
      <c r="R230" s="594"/>
      <c r="S230" s="594"/>
      <c r="T230" s="593"/>
      <c r="U230" s="595" t="s">
        <v>1098</v>
      </c>
      <c r="V230" s="594"/>
      <c r="W230" s="594"/>
      <c r="X230" s="1242" t="s">
        <v>1225</v>
      </c>
      <c r="Y230" s="1243"/>
      <c r="Z230" s="1243"/>
      <c r="AA230" s="1244"/>
      <c r="AB230" s="590" t="s">
        <v>955</v>
      </c>
      <c r="AC230" s="589"/>
      <c r="AD230" s="588"/>
      <c r="AE230" s="587" t="s">
        <v>1040</v>
      </c>
      <c r="AF230" s="589"/>
      <c r="AG230" s="589"/>
      <c r="AH230" s="589"/>
      <c r="AI230" s="589"/>
      <c r="AJ230" s="588"/>
      <c r="AK230" s="590" t="s">
        <v>1056</v>
      </c>
      <c r="AL230" s="588"/>
      <c r="AM230" s="695" t="s">
        <v>1046</v>
      </c>
      <c r="AN230" s="695"/>
      <c r="AO230" s="695"/>
      <c r="AP230" s="694"/>
      <c r="AQ230" s="693" t="s">
        <v>1046</v>
      </c>
      <c r="AR230" s="694"/>
      <c r="AS230" s="695" t="s">
        <v>1046</v>
      </c>
      <c r="AT230" s="695"/>
      <c r="AU230" s="695"/>
      <c r="AV230" s="694"/>
      <c r="AW230" s="590" t="s">
        <v>959</v>
      </c>
      <c r="AX230" s="589"/>
      <c r="AY230" s="589"/>
      <c r="AZ230" s="588"/>
      <c r="BA230" s="1242" t="s">
        <v>1181</v>
      </c>
      <c r="BB230" s="1243"/>
      <c r="BC230" s="1244"/>
      <c r="BD230" s="1242" t="s">
        <v>941</v>
      </c>
      <c r="BE230" s="1243"/>
      <c r="BF230" s="1243"/>
      <c r="BG230" s="1244"/>
      <c r="BH230" s="1242" t="s">
        <v>941</v>
      </c>
      <c r="BI230" s="1243"/>
      <c r="BJ230" s="1243"/>
      <c r="BK230" s="1244"/>
      <c r="BL230" s="590">
        <v>0</v>
      </c>
      <c r="BM230" s="588"/>
      <c r="BN230" s="626" t="s">
        <v>1047</v>
      </c>
      <c r="BO230" s="627" t="s">
        <v>1047</v>
      </c>
      <c r="BP230" s="590">
        <v>100</v>
      </c>
      <c r="BQ230" s="588"/>
      <c r="BR230" s="590">
        <v>30</v>
      </c>
      <c r="BS230" s="588"/>
      <c r="BT230" s="618"/>
      <c r="BU230" s="573"/>
    </row>
    <row r="231" spans="8:73" ht="18.95" customHeight="1">
      <c r="J231" s="619"/>
      <c r="K231" s="562" t="s">
        <v>979</v>
      </c>
      <c r="L231" s="1246" t="s">
        <v>941</v>
      </c>
      <c r="M231" s="1247"/>
      <c r="N231" s="1247"/>
      <c r="O231" s="1248"/>
      <c r="P231" s="590" t="s">
        <v>1164</v>
      </c>
      <c r="Q231" s="594"/>
      <c r="R231" s="594"/>
      <c r="S231" s="594"/>
      <c r="T231" s="593"/>
      <c r="U231" s="595" t="s">
        <v>1098</v>
      </c>
      <c r="V231" s="594"/>
      <c r="W231" s="594"/>
      <c r="X231" s="1242" t="s">
        <v>1225</v>
      </c>
      <c r="Y231" s="1243"/>
      <c r="Z231" s="1243"/>
      <c r="AA231" s="1244"/>
      <c r="AB231" s="590" t="s">
        <v>955</v>
      </c>
      <c r="AC231" s="589"/>
      <c r="AD231" s="588"/>
      <c r="AE231" s="587" t="s">
        <v>1040</v>
      </c>
      <c r="AF231" s="589"/>
      <c r="AG231" s="589"/>
      <c r="AH231" s="589"/>
      <c r="AI231" s="589"/>
      <c r="AJ231" s="588"/>
      <c r="AK231" s="590" t="s">
        <v>1160</v>
      </c>
      <c r="AL231" s="588"/>
      <c r="AM231" s="695" t="s">
        <v>1046</v>
      </c>
      <c r="AN231" s="695"/>
      <c r="AO231" s="695"/>
      <c r="AP231" s="694"/>
      <c r="AQ231" s="693" t="s">
        <v>1046</v>
      </c>
      <c r="AR231" s="694"/>
      <c r="AS231" s="695" t="s">
        <v>1046</v>
      </c>
      <c r="AT231" s="695"/>
      <c r="AU231" s="695"/>
      <c r="AV231" s="694"/>
      <c r="AW231" s="590" t="s">
        <v>959</v>
      </c>
      <c r="AX231" s="589"/>
      <c r="AY231" s="589"/>
      <c r="AZ231" s="588"/>
      <c r="BA231" s="1242" t="s">
        <v>998</v>
      </c>
      <c r="BB231" s="1243"/>
      <c r="BC231" s="1244"/>
      <c r="BD231" s="1242" t="s">
        <v>1038</v>
      </c>
      <c r="BE231" s="1243"/>
      <c r="BF231" s="1243"/>
      <c r="BG231" s="1244"/>
      <c r="BH231" s="1242" t="s">
        <v>1038</v>
      </c>
      <c r="BI231" s="1243"/>
      <c r="BJ231" s="1243"/>
      <c r="BK231" s="1244"/>
      <c r="BL231" s="724"/>
      <c r="BM231" s="694"/>
      <c r="BN231" s="626" t="s">
        <v>1047</v>
      </c>
      <c r="BO231" s="627" t="s">
        <v>1048</v>
      </c>
      <c r="BP231" s="724" t="s">
        <v>1158</v>
      </c>
      <c r="BQ231" s="694"/>
      <c r="BR231" s="590">
        <v>25</v>
      </c>
      <c r="BS231" s="588"/>
      <c r="BT231" s="618"/>
      <c r="BU231" s="573"/>
    </row>
    <row r="232" spans="8:73" ht="18.95" customHeight="1">
      <c r="J232" s="619"/>
      <c r="K232" s="562" t="s">
        <v>979</v>
      </c>
      <c r="L232" s="1246" t="s">
        <v>941</v>
      </c>
      <c r="M232" s="1247"/>
      <c r="N232" s="1247"/>
      <c r="O232" s="1248"/>
      <c r="P232" s="590" t="s">
        <v>1164</v>
      </c>
      <c r="Q232" s="682"/>
      <c r="R232" s="682"/>
      <c r="S232" s="682"/>
      <c r="T232" s="679"/>
      <c r="U232" s="595" t="s">
        <v>1098</v>
      </c>
      <c r="V232" s="594"/>
      <c r="W232" s="594"/>
      <c r="X232" s="1242" t="s">
        <v>1225</v>
      </c>
      <c r="Y232" s="1243"/>
      <c r="Z232" s="1243"/>
      <c r="AA232" s="1244"/>
      <c r="AB232" s="590" t="s">
        <v>955</v>
      </c>
      <c r="AC232" s="589"/>
      <c r="AD232" s="588"/>
      <c r="AE232" s="587" t="s">
        <v>1040</v>
      </c>
      <c r="AF232" s="589"/>
      <c r="AG232" s="589"/>
      <c r="AH232" s="589"/>
      <c r="AI232" s="589"/>
      <c r="AJ232" s="588"/>
      <c r="AK232" s="590" t="s">
        <v>1160</v>
      </c>
      <c r="AL232" s="588"/>
      <c r="AM232" s="695" t="s">
        <v>1065</v>
      </c>
      <c r="AN232" s="695"/>
      <c r="AO232" s="695"/>
      <c r="AP232" s="694"/>
      <c r="AQ232" s="693" t="s">
        <v>1070</v>
      </c>
      <c r="AR232" s="694"/>
      <c r="AS232" s="695" t="s">
        <v>1065</v>
      </c>
      <c r="AT232" s="695"/>
      <c r="AU232" s="695"/>
      <c r="AV232" s="694"/>
      <c r="AW232" s="590" t="s">
        <v>959</v>
      </c>
      <c r="AX232" s="589"/>
      <c r="AY232" s="589"/>
      <c r="AZ232" s="588"/>
      <c r="BA232" s="1242" t="s">
        <v>1161</v>
      </c>
      <c r="BB232" s="1243"/>
      <c r="BC232" s="1244"/>
      <c r="BD232" s="1242" t="s">
        <v>941</v>
      </c>
      <c r="BE232" s="1243"/>
      <c r="BF232" s="1243"/>
      <c r="BG232" s="1244"/>
      <c r="BH232" s="1242" t="s">
        <v>941</v>
      </c>
      <c r="BI232" s="1243"/>
      <c r="BJ232" s="1243"/>
      <c r="BK232" s="1244"/>
      <c r="BL232" s="724"/>
      <c r="BM232" s="694"/>
      <c r="BN232" s="626" t="s">
        <v>1047</v>
      </c>
      <c r="BO232" s="627" t="s">
        <v>1048</v>
      </c>
      <c r="BP232" s="724" t="s">
        <v>1158</v>
      </c>
      <c r="BQ232" s="694"/>
      <c r="BR232" s="590">
        <v>25</v>
      </c>
      <c r="BS232" s="588"/>
      <c r="BT232" s="618"/>
      <c r="BU232" s="573"/>
    </row>
    <row r="233" spans="8:73" ht="18.95" customHeight="1">
      <c r="J233" s="619"/>
      <c r="K233" s="562" t="s">
        <v>979</v>
      </c>
      <c r="L233" s="1246" t="s">
        <v>941</v>
      </c>
      <c r="M233" s="1247"/>
      <c r="N233" s="1247"/>
      <c r="O233" s="1248"/>
      <c r="P233" s="590" t="s">
        <v>1164</v>
      </c>
      <c r="Q233" s="682"/>
      <c r="R233" s="682"/>
      <c r="S233" s="682"/>
      <c r="T233" s="679"/>
      <c r="U233" s="595" t="s">
        <v>1098</v>
      </c>
      <c r="V233" s="594"/>
      <c r="W233" s="594"/>
      <c r="X233" s="1242" t="s">
        <v>1225</v>
      </c>
      <c r="Y233" s="1243"/>
      <c r="Z233" s="1243"/>
      <c r="AA233" s="1244"/>
      <c r="AB233" s="590" t="s">
        <v>955</v>
      </c>
      <c r="AC233" s="589"/>
      <c r="AD233" s="588"/>
      <c r="AE233" s="587" t="s">
        <v>1040</v>
      </c>
      <c r="AF233" s="589"/>
      <c r="AG233" s="589"/>
      <c r="AH233" s="589"/>
      <c r="AI233" s="589"/>
      <c r="AJ233" s="588"/>
      <c r="AK233" s="590" t="s">
        <v>1160</v>
      </c>
      <c r="AL233" s="588"/>
      <c r="AM233" s="695" t="s">
        <v>1046</v>
      </c>
      <c r="AN233" s="695"/>
      <c r="AO233" s="695"/>
      <c r="AP233" s="694"/>
      <c r="AQ233" s="693" t="s">
        <v>1071</v>
      </c>
      <c r="AR233" s="694"/>
      <c r="AS233" s="695" t="s">
        <v>1046</v>
      </c>
      <c r="AT233" s="695"/>
      <c r="AU233" s="695"/>
      <c r="AV233" s="694"/>
      <c r="AW233" s="590" t="s">
        <v>959</v>
      </c>
      <c r="AX233" s="589"/>
      <c r="AY233" s="589"/>
      <c r="AZ233" s="588"/>
      <c r="BA233" s="1242" t="s">
        <v>1162</v>
      </c>
      <c r="BB233" s="1243"/>
      <c r="BC233" s="1244"/>
      <c r="BD233" s="1242" t="s">
        <v>941</v>
      </c>
      <c r="BE233" s="1243"/>
      <c r="BF233" s="1243"/>
      <c r="BG233" s="1244"/>
      <c r="BH233" s="1242" t="s">
        <v>941</v>
      </c>
      <c r="BI233" s="1243"/>
      <c r="BJ233" s="1243"/>
      <c r="BK233" s="1244"/>
      <c r="BL233" s="724"/>
      <c r="BM233" s="694"/>
      <c r="BN233" s="626" t="s">
        <v>1047</v>
      </c>
      <c r="BO233" s="627" t="s">
        <v>1048</v>
      </c>
      <c r="BP233" s="724" t="s">
        <v>1159</v>
      </c>
      <c r="BQ233" s="694"/>
      <c r="BR233" s="590">
        <v>25</v>
      </c>
      <c r="BS233" s="588"/>
      <c r="BT233" s="550"/>
      <c r="BU233" s="573"/>
    </row>
    <row r="234" spans="8:73" ht="18.95" customHeight="1">
      <c r="J234" s="619"/>
      <c r="K234" s="562" t="s">
        <v>979</v>
      </c>
      <c r="L234" s="1242" t="s">
        <v>941</v>
      </c>
      <c r="M234" s="1243"/>
      <c r="N234" s="1243"/>
      <c r="O234" s="1244"/>
      <c r="P234" s="590" t="s">
        <v>1164</v>
      </c>
      <c r="Q234" s="594"/>
      <c r="R234" s="594"/>
      <c r="S234" s="594"/>
      <c r="T234" s="593"/>
      <c r="U234" s="595" t="s">
        <v>1098</v>
      </c>
      <c r="V234" s="594"/>
      <c r="W234" s="594"/>
      <c r="X234" s="1242" t="s">
        <v>1225</v>
      </c>
      <c r="Y234" s="1243"/>
      <c r="Z234" s="1243"/>
      <c r="AA234" s="1244"/>
      <c r="AB234" s="590" t="s">
        <v>955</v>
      </c>
      <c r="AC234" s="589"/>
      <c r="AD234" s="588"/>
      <c r="AE234" s="587" t="s">
        <v>1040</v>
      </c>
      <c r="AF234" s="589"/>
      <c r="AG234" s="589"/>
      <c r="AH234" s="589"/>
      <c r="AI234" s="589"/>
      <c r="AJ234" s="588"/>
      <c r="AK234" s="590" t="s">
        <v>1160</v>
      </c>
      <c r="AL234" s="588"/>
      <c r="AM234" s="695" t="s">
        <v>1046</v>
      </c>
      <c r="AN234" s="695"/>
      <c r="AO234" s="695"/>
      <c r="AP234" s="694"/>
      <c r="AQ234" s="693" t="s">
        <v>1071</v>
      </c>
      <c r="AR234" s="694"/>
      <c r="AS234" s="695" t="s">
        <v>1046</v>
      </c>
      <c r="AT234" s="695"/>
      <c r="AU234" s="695"/>
      <c r="AV234" s="694"/>
      <c r="AW234" s="590" t="s">
        <v>959</v>
      </c>
      <c r="AX234" s="589"/>
      <c r="AY234" s="589"/>
      <c r="AZ234" s="588"/>
      <c r="BA234" s="1242" t="s">
        <v>1163</v>
      </c>
      <c r="BB234" s="1243"/>
      <c r="BC234" s="1244"/>
      <c r="BD234" s="1242" t="s">
        <v>941</v>
      </c>
      <c r="BE234" s="1243"/>
      <c r="BF234" s="1243"/>
      <c r="BG234" s="1244"/>
      <c r="BH234" s="1242" t="s">
        <v>941</v>
      </c>
      <c r="BI234" s="1243"/>
      <c r="BJ234" s="1243"/>
      <c r="BK234" s="1244"/>
      <c r="BL234" s="724"/>
      <c r="BM234" s="694"/>
      <c r="BN234" s="626" t="s">
        <v>1047</v>
      </c>
      <c r="BO234" s="627" t="s">
        <v>1047</v>
      </c>
      <c r="BP234" s="724" t="s">
        <v>1158</v>
      </c>
      <c r="BQ234" s="694"/>
      <c r="BR234" s="590">
        <v>25</v>
      </c>
      <c r="BS234" s="588"/>
      <c r="BT234" s="596"/>
      <c r="BU234" s="573"/>
    </row>
    <row r="235" spans="8:73" ht="18.95" customHeight="1">
      <c r="J235" s="572"/>
      <c r="K235" s="571"/>
      <c r="L235" s="571"/>
      <c r="M235" s="571"/>
      <c r="N235" s="571"/>
      <c r="O235" s="571"/>
      <c r="P235" s="571"/>
      <c r="Q235" s="571"/>
      <c r="R235" s="571"/>
      <c r="S235" s="571"/>
      <c r="T235" s="571"/>
      <c r="U235" s="571"/>
      <c r="V235" s="571"/>
      <c r="W235" s="571"/>
      <c r="X235" s="571"/>
      <c r="Y235" s="571"/>
      <c r="Z235" s="571"/>
      <c r="AA235" s="571"/>
      <c r="AB235" s="571"/>
      <c r="AC235" s="571"/>
      <c r="AD235" s="571"/>
      <c r="AE235" s="571"/>
      <c r="AF235" s="571"/>
      <c r="AG235" s="571"/>
      <c r="AH235" s="571"/>
      <c r="AI235" s="571"/>
      <c r="AJ235" s="571"/>
      <c r="AK235" s="571"/>
      <c r="AL235" s="571"/>
      <c r="AM235" s="571"/>
      <c r="AN235" s="571"/>
      <c r="AO235" s="571"/>
      <c r="AP235" s="571"/>
      <c r="AQ235" s="571"/>
      <c r="AR235" s="571"/>
      <c r="AS235" s="571"/>
      <c r="AT235" s="571"/>
      <c r="AU235" s="571"/>
      <c r="AV235" s="571"/>
      <c r="AW235" s="571"/>
      <c r="AX235" s="571"/>
      <c r="AY235" s="571"/>
      <c r="AZ235" s="571"/>
      <c r="BA235" s="571"/>
      <c r="BB235" s="571"/>
      <c r="BC235" s="571"/>
      <c r="BD235" s="571"/>
      <c r="BE235" s="571"/>
      <c r="BF235" s="571"/>
      <c r="BG235" s="571"/>
      <c r="BH235" s="571"/>
      <c r="BI235" s="571"/>
      <c r="BJ235" s="571"/>
      <c r="BK235" s="571"/>
      <c r="BL235" s="571"/>
      <c r="BM235" s="571"/>
      <c r="BN235" s="571"/>
      <c r="BO235" s="571"/>
      <c r="BP235" s="571"/>
      <c r="BQ235" s="571"/>
      <c r="BR235" s="571"/>
      <c r="BS235" s="571"/>
      <c r="BT235" s="571"/>
      <c r="BU235" s="570"/>
    </row>
    <row r="240" spans="8:73" ht="18.95" customHeight="1">
      <c r="H240" s="601" t="s">
        <v>1155</v>
      </c>
      <c r="I240" s="540"/>
      <c r="J240" s="530" t="s">
        <v>935</v>
      </c>
    </row>
    <row r="242" spans="8:46" ht="18.95" customHeight="1">
      <c r="J242" t="s">
        <v>1170</v>
      </c>
    </row>
    <row r="243" spans="8:46" ht="18.95" customHeight="1" thickBot="1"/>
    <row r="244" spans="8:46" ht="18.95" customHeight="1">
      <c r="J244" s="725"/>
      <c r="K244" s="726"/>
      <c r="L244" s="726"/>
      <c r="M244" s="726"/>
      <c r="N244" s="726"/>
      <c r="O244" s="726"/>
      <c r="P244" s="726"/>
      <c r="Q244" s="726"/>
      <c r="R244" s="726"/>
      <c r="S244" s="726"/>
      <c r="T244" s="726"/>
      <c r="U244" s="726"/>
      <c r="V244" s="726"/>
      <c r="W244" s="726"/>
      <c r="X244" s="726"/>
      <c r="Y244" s="726"/>
      <c r="Z244" s="726"/>
      <c r="AA244" s="726"/>
      <c r="AB244" s="726"/>
      <c r="AC244" s="726"/>
      <c r="AD244" s="726"/>
      <c r="AE244" s="726"/>
      <c r="AF244" s="726"/>
      <c r="AG244" s="726"/>
      <c r="AH244" s="726"/>
      <c r="AI244" s="726"/>
      <c r="AJ244" s="726"/>
      <c r="AK244" s="726"/>
      <c r="AL244" s="726"/>
      <c r="AM244" s="726"/>
      <c r="AN244" s="726"/>
      <c r="AO244" s="726"/>
      <c r="AP244" s="726"/>
      <c r="AQ244" s="726"/>
      <c r="AR244" s="726"/>
      <c r="AS244" s="726"/>
      <c r="AT244" s="727"/>
    </row>
    <row r="245" spans="8:46" ht="18.95" customHeight="1">
      <c r="J245" s="728"/>
      <c r="K245" s="797" t="s">
        <v>1277</v>
      </c>
      <c r="L245" s="729"/>
      <c r="M245" s="729"/>
      <c r="N245" s="729"/>
      <c r="O245" s="729"/>
      <c r="P245" s="729"/>
      <c r="Q245" s="729"/>
      <c r="R245" s="729"/>
      <c r="S245" s="729"/>
      <c r="T245" s="729"/>
      <c r="U245" s="729"/>
      <c r="V245" s="729"/>
      <c r="W245" s="729"/>
      <c r="X245" s="729"/>
      <c r="Y245" s="729"/>
      <c r="Z245" s="729"/>
      <c r="AA245" s="729"/>
      <c r="AB245" s="729"/>
      <c r="AC245" s="729"/>
      <c r="AD245" s="729"/>
      <c r="AE245" s="729"/>
      <c r="AF245" s="729"/>
      <c r="AG245" s="729"/>
      <c r="AH245" s="729"/>
      <c r="AI245" s="729"/>
      <c r="AJ245" s="729"/>
      <c r="AK245" s="729"/>
      <c r="AL245" s="729"/>
      <c r="AM245" s="729"/>
      <c r="AN245" s="729"/>
      <c r="AO245" s="729"/>
      <c r="AP245" s="729"/>
      <c r="AQ245" s="729"/>
      <c r="AR245" s="729"/>
      <c r="AS245" s="729"/>
      <c r="AT245" s="730"/>
    </row>
    <row r="246" spans="8:46" ht="18.95" customHeight="1">
      <c r="J246" s="728"/>
      <c r="K246" s="729"/>
      <c r="L246" s="729"/>
      <c r="M246" s="729"/>
      <c r="N246" s="729"/>
      <c r="O246" s="729"/>
      <c r="P246" s="729"/>
      <c r="Q246" s="729"/>
      <c r="R246" s="729"/>
      <c r="S246" s="729"/>
      <c r="T246" s="729"/>
      <c r="U246" s="729"/>
      <c r="V246" s="729"/>
      <c r="W246" s="729"/>
      <c r="X246" s="729"/>
      <c r="Y246" s="729"/>
      <c r="Z246" s="729"/>
      <c r="AA246" s="729"/>
      <c r="AB246" s="729"/>
      <c r="AC246" s="729"/>
      <c r="AD246" s="729"/>
      <c r="AE246" s="729"/>
      <c r="AF246" s="729"/>
      <c r="AG246" s="729"/>
      <c r="AH246" s="729"/>
      <c r="AI246" s="729"/>
      <c r="AJ246" s="729"/>
      <c r="AK246" s="729"/>
      <c r="AL246" s="729"/>
      <c r="AM246" s="729"/>
      <c r="AN246" s="729"/>
      <c r="AO246" s="729"/>
      <c r="AP246" s="729"/>
      <c r="AQ246" s="729"/>
      <c r="AR246" s="729"/>
      <c r="AS246" s="729"/>
      <c r="AT246" s="730"/>
    </row>
    <row r="247" spans="8:46" ht="18.95" customHeight="1">
      <c r="J247" s="728"/>
      <c r="K247" s="729"/>
      <c r="L247" s="729"/>
      <c r="M247" s="729"/>
      <c r="N247" s="729"/>
      <c r="O247" s="729"/>
      <c r="P247" s="729"/>
      <c r="Q247" s="729"/>
      <c r="R247" s="729"/>
      <c r="S247" s="729"/>
      <c r="T247" s="729"/>
      <c r="U247" s="729"/>
      <c r="V247" s="729"/>
      <c r="W247" s="729"/>
      <c r="X247" s="729"/>
      <c r="Y247" s="729"/>
      <c r="Z247" s="729"/>
      <c r="AA247" s="729"/>
      <c r="AB247" s="729"/>
      <c r="AC247" s="729"/>
      <c r="AD247" s="729"/>
      <c r="AE247" s="729"/>
      <c r="AF247" s="729"/>
      <c r="AG247" s="729"/>
      <c r="AH247" s="729"/>
      <c r="AI247" s="729"/>
      <c r="AJ247" s="729"/>
      <c r="AK247" s="729"/>
      <c r="AL247" s="729"/>
      <c r="AM247" s="729"/>
      <c r="AN247" s="729"/>
      <c r="AO247" s="729"/>
      <c r="AP247" s="729"/>
      <c r="AQ247" s="729"/>
      <c r="AR247" s="729"/>
      <c r="AS247" s="729"/>
      <c r="AT247" s="730"/>
    </row>
    <row r="248" spans="8:46" ht="18.95" customHeight="1">
      <c r="J248" s="728"/>
      <c r="K248" s="729"/>
      <c r="L248" s="729"/>
      <c r="M248" s="729"/>
      <c r="N248" s="729"/>
      <c r="O248" s="729"/>
      <c r="P248" s="729"/>
      <c r="Q248" s="729"/>
      <c r="R248" s="729"/>
      <c r="S248" s="729"/>
      <c r="T248" s="729"/>
      <c r="U248" s="729"/>
      <c r="V248" s="729"/>
      <c r="W248" s="729"/>
      <c r="X248" s="729"/>
      <c r="Y248" s="729"/>
      <c r="Z248" s="729"/>
      <c r="AA248" s="729"/>
      <c r="AB248" s="729"/>
      <c r="AC248" s="729"/>
      <c r="AD248" s="729"/>
      <c r="AE248" s="729"/>
      <c r="AF248" s="729"/>
      <c r="AG248" s="729"/>
      <c r="AH248" s="729"/>
      <c r="AI248" s="729"/>
      <c r="AJ248" s="729"/>
      <c r="AK248" s="729"/>
      <c r="AL248" s="729"/>
      <c r="AM248" s="729"/>
      <c r="AN248" s="729"/>
      <c r="AO248" s="729"/>
      <c r="AP248" s="729"/>
      <c r="AQ248" s="729"/>
      <c r="AR248" s="729"/>
      <c r="AS248" s="729"/>
      <c r="AT248" s="730"/>
    </row>
    <row r="249" spans="8:46" ht="18.95" customHeight="1" thickBot="1">
      <c r="J249" s="731"/>
      <c r="K249" s="732"/>
      <c r="L249" s="732"/>
      <c r="M249" s="732"/>
      <c r="N249" s="732"/>
      <c r="O249" s="732"/>
      <c r="P249" s="732"/>
      <c r="Q249" s="732"/>
      <c r="R249" s="732"/>
      <c r="S249" s="732"/>
      <c r="T249" s="732"/>
      <c r="U249" s="732"/>
      <c r="V249" s="732"/>
      <c r="W249" s="732"/>
      <c r="X249" s="732"/>
      <c r="Y249" s="732"/>
      <c r="Z249" s="732"/>
      <c r="AA249" s="732"/>
      <c r="AB249" s="732"/>
      <c r="AC249" s="732"/>
      <c r="AD249" s="732"/>
      <c r="AE249" s="732"/>
      <c r="AF249" s="732"/>
      <c r="AG249" s="732"/>
      <c r="AH249" s="732"/>
      <c r="AI249" s="732"/>
      <c r="AJ249" s="732"/>
      <c r="AK249" s="732"/>
      <c r="AL249" s="732"/>
      <c r="AM249" s="732"/>
      <c r="AN249" s="732"/>
      <c r="AO249" s="732"/>
      <c r="AP249" s="732"/>
      <c r="AQ249" s="732"/>
      <c r="AR249" s="732"/>
      <c r="AS249" s="732"/>
      <c r="AT249" s="733"/>
    </row>
    <row r="253" spans="8:46" ht="18.95" customHeight="1">
      <c r="H253" s="601" t="s">
        <v>1128</v>
      </c>
      <c r="I253" s="540"/>
      <c r="J253" s="530" t="s">
        <v>1256</v>
      </c>
    </row>
    <row r="255" spans="8:46" ht="18.95" customHeight="1">
      <c r="J255" t="s">
        <v>1262</v>
      </c>
    </row>
    <row r="256" spans="8:46" ht="18.95" customHeight="1">
      <c r="J256" t="s">
        <v>1263</v>
      </c>
    </row>
    <row r="257" spans="3:61" ht="18.95" customHeight="1">
      <c r="J257" s="790" t="s">
        <v>1272</v>
      </c>
      <c r="K257" s="791"/>
      <c r="L257" s="791"/>
      <c r="M257" s="791"/>
      <c r="N257" s="791"/>
      <c r="O257" s="791"/>
      <c r="P257" s="791"/>
      <c r="Q257" s="791"/>
      <c r="R257" s="791"/>
      <c r="S257" s="791"/>
      <c r="T257" s="791"/>
      <c r="U257" s="791"/>
      <c r="V257" s="791"/>
      <c r="W257" s="791"/>
      <c r="X257" s="791"/>
      <c r="Y257" s="791"/>
      <c r="Z257" s="791"/>
      <c r="AA257" s="791"/>
      <c r="AB257" s="791"/>
      <c r="AC257" s="791"/>
      <c r="AD257" s="791"/>
      <c r="AE257" s="791"/>
      <c r="AF257" s="791"/>
      <c r="AG257" s="791"/>
      <c r="AH257" s="791"/>
      <c r="AI257" s="791"/>
      <c r="AJ257" s="791"/>
      <c r="AK257" s="791"/>
      <c r="AL257" s="791"/>
      <c r="AM257" s="791"/>
      <c r="AN257" s="791"/>
      <c r="AO257" s="791"/>
      <c r="AP257" s="791"/>
      <c r="AQ257" s="791"/>
      <c r="AR257" s="791"/>
      <c r="AS257" s="791"/>
      <c r="AT257" s="791"/>
      <c r="AU257" s="791"/>
      <c r="AV257" s="791"/>
      <c r="AW257" s="791"/>
      <c r="AX257" s="791"/>
      <c r="AY257" s="791"/>
      <c r="AZ257" s="791"/>
      <c r="BA257" s="791"/>
      <c r="BB257" s="792"/>
    </row>
    <row r="258" spans="3:61" ht="18.95" customHeight="1">
      <c r="J258" s="793" t="s">
        <v>1400</v>
      </c>
      <c r="K258" s="794"/>
      <c r="L258" s="794"/>
      <c r="M258" s="794"/>
      <c r="N258" s="794"/>
      <c r="O258" s="794"/>
      <c r="P258" s="794"/>
      <c r="Q258" s="794"/>
      <c r="R258" s="794"/>
      <c r="S258" s="794"/>
      <c r="T258" s="794"/>
      <c r="U258" s="794"/>
      <c r="V258" s="794"/>
      <c r="W258" s="794"/>
      <c r="X258" s="794"/>
      <c r="Y258" s="794"/>
      <c r="Z258" s="794"/>
      <c r="AA258" s="794"/>
      <c r="AB258" s="794"/>
      <c r="AC258" s="794"/>
      <c r="AD258" s="794"/>
      <c r="AE258" s="794"/>
      <c r="AF258" s="794"/>
      <c r="AG258" s="794"/>
      <c r="AH258" s="794"/>
      <c r="AI258" s="794"/>
      <c r="AJ258" s="794"/>
      <c r="AK258" s="794"/>
      <c r="AL258" s="794"/>
      <c r="AM258" s="794"/>
      <c r="AN258" s="794"/>
      <c r="AO258" s="794"/>
      <c r="AP258" s="794"/>
      <c r="AQ258" s="794"/>
      <c r="AR258" s="794"/>
      <c r="AS258" s="794"/>
      <c r="AT258" s="794"/>
      <c r="AU258" s="794"/>
      <c r="AV258" s="794"/>
      <c r="AW258" s="794"/>
      <c r="AX258" s="794"/>
      <c r="AY258" s="794"/>
      <c r="AZ258" s="794"/>
      <c r="BA258" s="794"/>
      <c r="BB258" s="795"/>
    </row>
    <row r="260" spans="3:61" s="509" customFormat="1" ht="5.0999999999999996" customHeight="1">
      <c r="C260"/>
      <c r="D260"/>
      <c r="E260"/>
      <c r="F260"/>
      <c r="G260"/>
      <c r="H260"/>
      <c r="I260"/>
      <c r="J260"/>
      <c r="K260" s="613"/>
      <c r="L260" s="612"/>
      <c r="M260" s="612"/>
      <c r="N260" s="612"/>
      <c r="O260" s="612"/>
      <c r="P260" s="612"/>
      <c r="Q260" s="612"/>
      <c r="R260" s="611"/>
      <c r="S260"/>
      <c r="X260"/>
      <c r="Y260"/>
      <c r="Z260"/>
      <c r="AA260"/>
      <c r="AB260"/>
      <c r="AC260" s="617"/>
      <c r="AD260" s="617"/>
      <c r="AE260" s="617"/>
      <c r="AF260" s="617"/>
      <c r="AG260" s="617"/>
      <c r="AH260" s="617"/>
      <c r="AI260" s="617"/>
      <c r="AJ260" s="617"/>
      <c r="AK260" s="617"/>
      <c r="AL260" s="617"/>
      <c r="AM260" s="617"/>
      <c r="AN260" s="617"/>
      <c r="AO260" s="617"/>
      <c r="AP260" s="617"/>
      <c r="AQ260" s="617"/>
      <c r="AR260" s="617"/>
      <c r="AS260" s="617"/>
      <c r="AT260" s="617"/>
      <c r="AU260" s="617"/>
      <c r="AV260" s="617"/>
      <c r="AW260" s="617"/>
      <c r="AX260" s="617"/>
      <c r="AY260" s="617"/>
      <c r="AZ260" s="617"/>
      <c r="BA260" s="617"/>
      <c r="BB260" s="617"/>
      <c r="BC260" s="617"/>
      <c r="BD260" s="617"/>
      <c r="BE260" s="617"/>
      <c r="BF260" s="617"/>
      <c r="BG260" s="617"/>
      <c r="BH260" s="617"/>
      <c r="BI260" s="617"/>
    </row>
    <row r="261" spans="3:61" s="509" customFormat="1" ht="18.95" customHeight="1">
      <c r="C261"/>
      <c r="D261"/>
      <c r="E261"/>
      <c r="F261"/>
      <c r="G261"/>
      <c r="H261"/>
      <c r="I261"/>
      <c r="J261"/>
      <c r="K261" s="610" t="s">
        <v>1229</v>
      </c>
      <c r="L261" s="175"/>
      <c r="M261" s="175"/>
      <c r="N261" s="175"/>
      <c r="O261" s="175"/>
      <c r="P261" s="175"/>
      <c r="Q261" s="175"/>
      <c r="R261" s="609"/>
      <c r="AG261" s="617"/>
      <c r="AH261" s="617"/>
      <c r="AI261" s="617"/>
      <c r="AJ261" s="617"/>
      <c r="AK261" s="617"/>
      <c r="AL261" s="617"/>
      <c r="AM261" s="617"/>
      <c r="AN261" s="617"/>
      <c r="AO261" s="617"/>
      <c r="AS261" s="617"/>
      <c r="AT261" s="617"/>
      <c r="AU261" s="617"/>
      <c r="AV261" s="617"/>
      <c r="AW261" s="617"/>
      <c r="AX261" s="617"/>
      <c r="AY261" s="617"/>
      <c r="AZ261" s="617"/>
    </row>
    <row r="262" spans="3:61" s="509" customFormat="1" ht="9.9499999999999993" customHeight="1">
      <c r="C262"/>
      <c r="D262"/>
      <c r="E262"/>
      <c r="F262"/>
      <c r="G262"/>
      <c r="H262"/>
      <c r="I262"/>
      <c r="J262" s="605"/>
      <c r="K262"/>
      <c r="L262"/>
      <c r="M262"/>
      <c r="N262"/>
      <c r="O262"/>
      <c r="P262"/>
      <c r="Q262"/>
      <c r="R262"/>
      <c r="S262" s="603"/>
      <c r="T262" s="603"/>
      <c r="U262" s="603"/>
      <c r="V262" s="603"/>
      <c r="W262" s="603"/>
      <c r="X262" s="603"/>
      <c r="Y262" s="603"/>
      <c r="Z262" s="603"/>
      <c r="AA262" s="603"/>
      <c r="AB262" s="603"/>
      <c r="AC262" s="603"/>
      <c r="AD262" s="603"/>
      <c r="AE262" s="603"/>
      <c r="AF262" s="603"/>
      <c r="AG262" s="603"/>
      <c r="AH262" s="603"/>
      <c r="AI262" s="603"/>
      <c r="AJ262" s="603"/>
      <c r="AK262" s="603"/>
      <c r="AL262" s="603"/>
      <c r="AM262" s="603"/>
      <c r="AN262" s="603"/>
      <c r="AO262" s="603"/>
      <c r="AP262" s="603"/>
      <c r="AQ262" s="603"/>
      <c r="AR262" s="603"/>
      <c r="AS262" s="603"/>
      <c r="AT262" s="603"/>
      <c r="AU262" s="603"/>
      <c r="AV262" s="603"/>
      <c r="AW262" s="603"/>
      <c r="AX262" s="603"/>
      <c r="AY262" s="603"/>
      <c r="AZ262" s="603"/>
      <c r="BA262" s="603"/>
      <c r="BB262" s="603"/>
      <c r="BC262" s="603"/>
      <c r="BD262" s="603"/>
      <c r="BE262" s="603"/>
      <c r="BF262" s="915"/>
      <c r="BG262" s="915"/>
      <c r="BH262" s="915"/>
      <c r="BI262" s="916"/>
    </row>
    <row r="263" spans="3:61" ht="18.95" customHeight="1">
      <c r="J263" s="619"/>
      <c r="K263" s="600" t="s">
        <v>1232</v>
      </c>
      <c r="L263" s="599"/>
      <c r="M263" s="599"/>
      <c r="N263" s="1242" t="s">
        <v>1230</v>
      </c>
      <c r="O263" s="1243"/>
      <c r="P263" s="1243"/>
      <c r="Q263" s="1244"/>
      <c r="R263" s="598" t="s">
        <v>942</v>
      </c>
      <c r="T263" s="582" t="s">
        <v>1231</v>
      </c>
      <c r="U263" s="581"/>
      <c r="V263" s="581"/>
      <c r="W263" s="580"/>
      <c r="AD263" s="575" t="s">
        <v>1012</v>
      </c>
      <c r="AE263" s="599"/>
      <c r="AF263" s="599"/>
      <c r="AG263" s="590" t="s">
        <v>1254</v>
      </c>
      <c r="AH263" s="594"/>
      <c r="AI263" s="594"/>
      <c r="AJ263" s="594"/>
      <c r="AK263" s="593"/>
      <c r="AW263" s="586" t="s">
        <v>1270</v>
      </c>
      <c r="AX263" s="585"/>
      <c r="AY263" s="585"/>
      <c r="AZ263" s="586" t="s">
        <v>1270</v>
      </c>
      <c r="BA263" s="585"/>
      <c r="BB263" s="585"/>
      <c r="BC263" s="586" t="s">
        <v>1004</v>
      </c>
      <c r="BD263" s="585"/>
      <c r="BE263" s="585"/>
      <c r="BF263" s="586" t="s">
        <v>1002</v>
      </c>
      <c r="BG263" s="585"/>
      <c r="BH263" s="585"/>
      <c r="BI263" s="573"/>
    </row>
    <row r="264" spans="3:61" ht="9.9499999999999993" customHeight="1">
      <c r="J264" s="619"/>
      <c r="BI264" s="573"/>
    </row>
    <row r="265" spans="3:61" ht="18.95" customHeight="1">
      <c r="J265" s="619"/>
      <c r="K265" s="600" t="s">
        <v>1044</v>
      </c>
      <c r="L265" s="563"/>
      <c r="M265" s="563"/>
      <c r="N265" s="595" t="s">
        <v>646</v>
      </c>
      <c r="O265" s="594"/>
      <c r="P265" s="594"/>
      <c r="Q265" s="593"/>
      <c r="R265" s="596" t="s">
        <v>946</v>
      </c>
      <c r="S265" s="575" t="s">
        <v>1097</v>
      </c>
      <c r="T265" s="599"/>
      <c r="U265" s="599"/>
      <c r="V265" s="595" t="s">
        <v>518</v>
      </c>
      <c r="W265" s="594"/>
      <c r="X265" s="594"/>
      <c r="Y265" s="593"/>
      <c r="Z265" s="596" t="s">
        <v>946</v>
      </c>
      <c r="AA265" s="575" t="s">
        <v>1227</v>
      </c>
      <c r="AB265" s="599"/>
      <c r="AC265" s="599"/>
      <c r="AD265" s="1242" t="s">
        <v>539</v>
      </c>
      <c r="AE265" s="1243"/>
      <c r="AF265" s="1243"/>
      <c r="AG265" s="1244"/>
      <c r="AH265" s="596" t="s">
        <v>946</v>
      </c>
      <c r="BI265" s="573"/>
    </row>
    <row r="266" spans="3:61" ht="9.9499999999999993" customHeight="1">
      <c r="J266" s="619"/>
      <c r="BI266" s="573"/>
    </row>
    <row r="267" spans="3:61" ht="18.95" customHeight="1">
      <c r="J267" s="619"/>
      <c r="K267" s="600" t="s">
        <v>952</v>
      </c>
      <c r="L267" s="563"/>
      <c r="M267" s="563"/>
      <c r="N267" s="590" t="s">
        <v>955</v>
      </c>
      <c r="O267" s="589"/>
      <c r="P267" s="588"/>
      <c r="Q267" s="587" t="s">
        <v>956</v>
      </c>
      <c r="R267" s="589"/>
      <c r="S267" s="589"/>
      <c r="T267" s="589"/>
      <c r="U267" s="589"/>
      <c r="V267" s="589"/>
      <c r="W267" s="596" t="s">
        <v>949</v>
      </c>
      <c r="BI267" s="573"/>
    </row>
    <row r="268" spans="3:61" ht="18.95" customHeight="1">
      <c r="J268" s="619"/>
      <c r="BD268" s="789"/>
      <c r="BF268" s="789" t="s">
        <v>1273</v>
      </c>
      <c r="BI268" s="573"/>
    </row>
    <row r="269" spans="3:61" ht="18.95" customHeight="1">
      <c r="J269" s="619"/>
      <c r="K269" s="1245" t="s">
        <v>1233</v>
      </c>
      <c r="L269" s="1225"/>
      <c r="M269" s="1225"/>
      <c r="N269" s="1226"/>
      <c r="O269" s="561" t="s">
        <v>990</v>
      </c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59"/>
      <c r="AB269" s="561"/>
      <c r="AC269" s="560"/>
      <c r="AD269" s="559"/>
      <c r="AE269" s="1219" t="s">
        <v>1234</v>
      </c>
      <c r="AF269" s="1220"/>
      <c r="AG269" s="1221"/>
      <c r="AH269" s="1245" t="s">
        <v>1281</v>
      </c>
      <c r="AI269" s="1226"/>
      <c r="AJ269" s="760" t="s">
        <v>1252</v>
      </c>
      <c r="AK269" s="560"/>
      <c r="AL269" s="560"/>
      <c r="AM269" s="560"/>
      <c r="AN269" s="559"/>
      <c r="AO269" s="760"/>
      <c r="AP269" s="560"/>
      <c r="AQ269" s="560"/>
      <c r="AR269" s="560"/>
      <c r="AS269" s="559"/>
      <c r="AT269" s="760"/>
      <c r="AU269" s="560"/>
      <c r="AV269" s="560"/>
      <c r="AW269" s="560"/>
      <c r="AX269" s="559"/>
      <c r="AY269" s="760"/>
      <c r="AZ269" s="560"/>
      <c r="BA269" s="560"/>
      <c r="BB269" s="560"/>
      <c r="BC269" s="559"/>
      <c r="BD269" s="782" t="s">
        <v>1396</v>
      </c>
      <c r="BE269" s="625"/>
      <c r="BF269" s="917" t="s">
        <v>1259</v>
      </c>
      <c r="BG269" s="918"/>
      <c r="BH269" s="919"/>
      <c r="BI269" s="573"/>
    </row>
    <row r="270" spans="3:61" ht="18.95" customHeight="1">
      <c r="J270" s="619"/>
      <c r="K270" s="1227"/>
      <c r="L270" s="1228"/>
      <c r="M270" s="1228"/>
      <c r="N270" s="1229"/>
      <c r="O270" s="623" t="s">
        <v>1168</v>
      </c>
      <c r="P270" s="624"/>
      <c r="Q270" s="625"/>
      <c r="R270" s="561" t="s">
        <v>1224</v>
      </c>
      <c r="S270" s="560"/>
      <c r="T270" s="560"/>
      <c r="U270" s="559"/>
      <c r="V270" s="561" t="s">
        <v>981</v>
      </c>
      <c r="W270" s="560"/>
      <c r="X270" s="559"/>
      <c r="Y270" s="561" t="s">
        <v>982</v>
      </c>
      <c r="Z270" s="560"/>
      <c r="AA270" s="560"/>
      <c r="AB270" s="560"/>
      <c r="AC270" s="560"/>
      <c r="AD270" s="559"/>
      <c r="AE270" s="1222"/>
      <c r="AF270" s="1223"/>
      <c r="AG270" s="1224"/>
      <c r="AH270" s="1227"/>
      <c r="AI270" s="1229"/>
      <c r="AJ270" s="757" t="s">
        <v>1250</v>
      </c>
      <c r="AK270" s="758"/>
      <c r="AL270" s="758"/>
      <c r="AM270" s="758"/>
      <c r="AN270" s="759"/>
      <c r="AO270" s="757" t="s">
        <v>1251</v>
      </c>
      <c r="AP270" s="758"/>
      <c r="AQ270" s="758"/>
      <c r="AR270" s="758"/>
      <c r="AS270" s="759"/>
      <c r="AT270" s="757" t="s">
        <v>1253</v>
      </c>
      <c r="AU270" s="758"/>
      <c r="AV270" s="758"/>
      <c r="AW270" s="758"/>
      <c r="AX270" s="759"/>
      <c r="AY270" s="757" t="s">
        <v>1275</v>
      </c>
      <c r="AZ270" s="758"/>
      <c r="BA270" s="758"/>
      <c r="BB270" s="758"/>
      <c r="BC270" s="759"/>
      <c r="BD270" s="757" t="s">
        <v>1397</v>
      </c>
      <c r="BE270" s="759"/>
      <c r="BF270" s="757" t="s">
        <v>1271</v>
      </c>
      <c r="BG270" s="759"/>
      <c r="BH270" s="552"/>
      <c r="BI270" s="573"/>
    </row>
    <row r="271" spans="3:61" ht="18.95" customHeight="1">
      <c r="J271" s="619"/>
      <c r="K271" s="1246" t="s">
        <v>1230</v>
      </c>
      <c r="L271" s="1247"/>
      <c r="M271" s="1247"/>
      <c r="N271" s="1248"/>
      <c r="O271" s="750" t="s">
        <v>518</v>
      </c>
      <c r="P271" s="682"/>
      <c r="Q271" s="682"/>
      <c r="R271" s="1246" t="s">
        <v>539</v>
      </c>
      <c r="S271" s="1247"/>
      <c r="T271" s="1247"/>
      <c r="U271" s="1248"/>
      <c r="V271" s="638" t="s">
        <v>955</v>
      </c>
      <c r="W271" s="639"/>
      <c r="X271" s="640"/>
      <c r="Y271" s="751" t="s">
        <v>956</v>
      </c>
      <c r="Z271" s="639"/>
      <c r="AA271" s="639"/>
      <c r="AB271" s="639"/>
      <c r="AC271" s="639"/>
      <c r="AD271" s="640"/>
      <c r="AE271" s="638" t="s">
        <v>1235</v>
      </c>
      <c r="AF271" s="639"/>
      <c r="AG271" s="640"/>
      <c r="AH271" s="862">
        <v>29</v>
      </c>
      <c r="AI271" s="640"/>
      <c r="AJ271" s="864">
        <v>30000000</v>
      </c>
      <c r="AK271" s="865"/>
      <c r="AL271" s="865"/>
      <c r="AM271" s="865"/>
      <c r="AN271" s="866"/>
      <c r="AO271" s="864">
        <v>29000000</v>
      </c>
      <c r="AP271" s="865"/>
      <c r="AQ271" s="865"/>
      <c r="AR271" s="865"/>
      <c r="AS271" s="866"/>
      <c r="AT271" s="864">
        <f>AO271-AJ271</f>
        <v>-1000000</v>
      </c>
      <c r="AU271" s="865"/>
      <c r="AV271" s="865"/>
      <c r="AW271" s="865"/>
      <c r="AX271" s="866"/>
      <c r="AY271" s="867">
        <v>0</v>
      </c>
      <c r="AZ271" s="868"/>
      <c r="BA271" s="865"/>
      <c r="BB271" s="865"/>
      <c r="BC271" s="866"/>
      <c r="BD271" s="1303" t="s">
        <v>1394</v>
      </c>
      <c r="BE271" s="1304"/>
      <c r="BF271" s="1252" t="s">
        <v>1258</v>
      </c>
      <c r="BG271" s="1253"/>
      <c r="BH271" s="920" t="s">
        <v>942</v>
      </c>
      <c r="BI271" s="573"/>
    </row>
    <row r="272" spans="3:61" ht="18.95" customHeight="1">
      <c r="J272" s="619"/>
      <c r="K272" s="783"/>
      <c r="L272" s="784"/>
      <c r="M272" s="784"/>
      <c r="N272" s="785"/>
      <c r="O272" s="752"/>
      <c r="P272" s="620"/>
      <c r="Q272" s="620"/>
      <c r="R272" s="783"/>
      <c r="S272" s="784"/>
      <c r="T272" s="784"/>
      <c r="U272" s="785"/>
      <c r="V272" s="654"/>
      <c r="W272" s="652"/>
      <c r="X272" s="653"/>
      <c r="Y272" s="753"/>
      <c r="Z272" s="652"/>
      <c r="AA272" s="652"/>
      <c r="AB272" s="652"/>
      <c r="AC272" s="652"/>
      <c r="AD272" s="653"/>
      <c r="AE272" s="654"/>
      <c r="AF272" s="652"/>
      <c r="AG272" s="653"/>
      <c r="AH272" s="860">
        <v>30</v>
      </c>
      <c r="AI272" s="653"/>
      <c r="AJ272" s="869">
        <v>0</v>
      </c>
      <c r="AK272" s="870"/>
      <c r="AL272" s="870"/>
      <c r="AM272" s="870"/>
      <c r="AN272" s="871"/>
      <c r="AO272" s="869">
        <v>1000000</v>
      </c>
      <c r="AP272" s="870"/>
      <c r="AQ272" s="870"/>
      <c r="AR272" s="870"/>
      <c r="AS272" s="871"/>
      <c r="AT272" s="869">
        <f>AO272-AJ272</f>
        <v>1000000</v>
      </c>
      <c r="AU272" s="870"/>
      <c r="AV272" s="870"/>
      <c r="AW272" s="870"/>
      <c r="AX272" s="871"/>
      <c r="AY272" s="872">
        <v>0</v>
      </c>
      <c r="AZ272" s="873"/>
      <c r="BA272" s="870"/>
      <c r="BB272" s="870"/>
      <c r="BC272" s="871"/>
      <c r="BD272" s="1260"/>
      <c r="BE272" s="1261"/>
      <c r="BF272" s="1254"/>
      <c r="BG272" s="1255"/>
      <c r="BH272" s="855"/>
      <c r="BI272" s="573"/>
    </row>
    <row r="273" spans="10:61" ht="18.95" customHeight="1">
      <c r="J273" s="619"/>
      <c r="K273" s="783"/>
      <c r="L273" s="784"/>
      <c r="M273" s="784"/>
      <c r="N273" s="785"/>
      <c r="O273" s="752"/>
      <c r="P273" s="620"/>
      <c r="Q273" s="620"/>
      <c r="R273" s="783"/>
      <c r="S273" s="784"/>
      <c r="T273" s="784"/>
      <c r="U273" s="785"/>
      <c r="V273" s="654"/>
      <c r="W273" s="652"/>
      <c r="X273" s="653"/>
      <c r="Y273" s="753"/>
      <c r="Z273" s="652"/>
      <c r="AA273" s="652"/>
      <c r="AB273" s="652"/>
      <c r="AC273" s="652"/>
      <c r="AD273" s="653"/>
      <c r="AE273" s="654"/>
      <c r="AF273" s="652"/>
      <c r="AG273" s="653"/>
      <c r="AH273" s="863">
        <v>35</v>
      </c>
      <c r="AI273" s="667"/>
      <c r="AJ273" s="874">
        <v>5000000</v>
      </c>
      <c r="AK273" s="875"/>
      <c r="AL273" s="875"/>
      <c r="AM273" s="875"/>
      <c r="AN273" s="876"/>
      <c r="AO273" s="874">
        <v>5000000</v>
      </c>
      <c r="AP273" s="875"/>
      <c r="AQ273" s="875"/>
      <c r="AR273" s="875"/>
      <c r="AS273" s="876"/>
      <c r="AT273" s="874">
        <f>AO273-AJ273</f>
        <v>0</v>
      </c>
      <c r="AU273" s="875"/>
      <c r="AV273" s="875"/>
      <c r="AW273" s="875"/>
      <c r="AX273" s="876"/>
      <c r="AY273" s="877">
        <v>0</v>
      </c>
      <c r="AZ273" s="878"/>
      <c r="BA273" s="875"/>
      <c r="BB273" s="875"/>
      <c r="BC273" s="876"/>
      <c r="BD273" s="1260"/>
      <c r="BE273" s="1261"/>
      <c r="BF273" s="1254"/>
      <c r="BG273" s="1255"/>
      <c r="BH273" s="855"/>
      <c r="BI273" s="573"/>
    </row>
    <row r="274" spans="10:61" ht="18.95" customHeight="1">
      <c r="J274" s="619"/>
      <c r="K274" s="1249"/>
      <c r="L274" s="1250"/>
      <c r="M274" s="1250"/>
      <c r="N274" s="1251"/>
      <c r="O274" s="752"/>
      <c r="P274" s="620"/>
      <c r="Q274" s="620"/>
      <c r="R274" s="1249"/>
      <c r="S274" s="1250"/>
      <c r="T274" s="1250"/>
      <c r="U274" s="1251"/>
      <c r="V274" s="654"/>
      <c r="W274" s="652"/>
      <c r="X274" s="653"/>
      <c r="Y274" s="753"/>
      <c r="Z274" s="652"/>
      <c r="AA274" s="652"/>
      <c r="AB274" s="652"/>
      <c r="AC274" s="652"/>
      <c r="AD274" s="653"/>
      <c r="AE274" s="590" t="s">
        <v>1236</v>
      </c>
      <c r="AF274" s="589"/>
      <c r="AG274" s="588"/>
      <c r="AH274" s="806">
        <v>35</v>
      </c>
      <c r="AI274" s="588"/>
      <c r="AJ274" s="879">
        <v>7000000</v>
      </c>
      <c r="AK274" s="880"/>
      <c r="AL274" s="880"/>
      <c r="AM274" s="880"/>
      <c r="AN274" s="881"/>
      <c r="AO274" s="879">
        <v>7000000</v>
      </c>
      <c r="AP274" s="880"/>
      <c r="AQ274" s="880"/>
      <c r="AR274" s="880"/>
      <c r="AS274" s="881"/>
      <c r="AT274" s="879">
        <f t="shared" ref="AT274:AT281" si="0">AO274-AJ274</f>
        <v>0</v>
      </c>
      <c r="AU274" s="880"/>
      <c r="AV274" s="880"/>
      <c r="AW274" s="880"/>
      <c r="AX274" s="881"/>
      <c r="AY274" s="879">
        <v>0</v>
      </c>
      <c r="AZ274" s="880"/>
      <c r="BA274" s="880"/>
      <c r="BB274" s="880"/>
      <c r="BC274" s="881"/>
      <c r="BD274" s="1260"/>
      <c r="BE274" s="1261"/>
      <c r="BF274" s="1254"/>
      <c r="BG274" s="1255"/>
      <c r="BH274" s="618"/>
      <c r="BI274" s="573"/>
    </row>
    <row r="275" spans="10:61" ht="18.95" customHeight="1">
      <c r="J275" s="619"/>
      <c r="K275" s="1276"/>
      <c r="L275" s="1277"/>
      <c r="M275" s="1277"/>
      <c r="N275" s="1278"/>
      <c r="O275" s="754"/>
      <c r="P275" s="755"/>
      <c r="Q275" s="755"/>
      <c r="R275" s="1276"/>
      <c r="S275" s="1277"/>
      <c r="T275" s="1277"/>
      <c r="U275" s="1278"/>
      <c r="V275" s="665"/>
      <c r="W275" s="666"/>
      <c r="X275" s="667"/>
      <c r="Y275" s="756"/>
      <c r="Z275" s="666"/>
      <c r="AA275" s="666"/>
      <c r="AB275" s="666"/>
      <c r="AC275" s="666"/>
      <c r="AD275" s="667"/>
      <c r="AE275" s="556" t="s">
        <v>1237</v>
      </c>
      <c r="AF275" s="555"/>
      <c r="AG275" s="554"/>
      <c r="AH275" s="806">
        <v>35</v>
      </c>
      <c r="AI275" s="588"/>
      <c r="AJ275" s="882">
        <f>SUM(AJ271:AJ274)</f>
        <v>42000000</v>
      </c>
      <c r="AK275" s="883"/>
      <c r="AL275" s="883"/>
      <c r="AM275" s="883"/>
      <c r="AN275" s="884"/>
      <c r="AO275" s="882">
        <f>SUM(AO271:AO274)</f>
        <v>42000000</v>
      </c>
      <c r="AP275" s="883"/>
      <c r="AQ275" s="883"/>
      <c r="AR275" s="883"/>
      <c r="AS275" s="884"/>
      <c r="AT275" s="882">
        <f>SUM(AT271:AT274)</f>
        <v>0</v>
      </c>
      <c r="AU275" s="883"/>
      <c r="AV275" s="883"/>
      <c r="AW275" s="883"/>
      <c r="AX275" s="884"/>
      <c r="AY275" s="882">
        <f>SUM(AY271:AY274)</f>
        <v>0</v>
      </c>
      <c r="AZ275" s="883"/>
      <c r="BA275" s="883"/>
      <c r="BB275" s="883"/>
      <c r="BC275" s="884"/>
      <c r="BD275" s="1262"/>
      <c r="BE275" s="1263"/>
      <c r="BF275" s="1256"/>
      <c r="BG275" s="1257"/>
      <c r="BH275" s="618"/>
      <c r="BI275" s="573"/>
    </row>
    <row r="276" spans="10:61" ht="18.95" customHeight="1">
      <c r="J276" s="619"/>
      <c r="K276" s="1246" t="s">
        <v>1230</v>
      </c>
      <c r="L276" s="1247"/>
      <c r="M276" s="1247"/>
      <c r="N276" s="1248"/>
      <c r="O276" s="750" t="s">
        <v>518</v>
      </c>
      <c r="P276" s="682"/>
      <c r="Q276" s="682"/>
      <c r="R276" s="1246" t="s">
        <v>1242</v>
      </c>
      <c r="S276" s="1247"/>
      <c r="T276" s="1247"/>
      <c r="U276" s="1248"/>
      <c r="V276" s="638" t="s">
        <v>1243</v>
      </c>
      <c r="W276" s="639"/>
      <c r="X276" s="640"/>
      <c r="Y276" s="751" t="s">
        <v>1246</v>
      </c>
      <c r="Z276" s="639"/>
      <c r="AA276" s="639"/>
      <c r="AB276" s="639"/>
      <c r="AC276" s="639"/>
      <c r="AD276" s="640"/>
      <c r="AE276" s="638" t="s">
        <v>1235</v>
      </c>
      <c r="AF276" s="639"/>
      <c r="AG276" s="640"/>
      <c r="AH276" s="806">
        <v>35</v>
      </c>
      <c r="AI276" s="588"/>
      <c r="AJ276" s="864">
        <v>30000000</v>
      </c>
      <c r="AK276" s="865"/>
      <c r="AL276" s="865"/>
      <c r="AM276" s="865"/>
      <c r="AN276" s="866"/>
      <c r="AO276" s="864">
        <v>29000000</v>
      </c>
      <c r="AP276" s="865"/>
      <c r="AQ276" s="865"/>
      <c r="AR276" s="865"/>
      <c r="AS276" s="866"/>
      <c r="AT276" s="864">
        <f t="shared" si="0"/>
        <v>-1000000</v>
      </c>
      <c r="AU276" s="865"/>
      <c r="AV276" s="865"/>
      <c r="AW276" s="865"/>
      <c r="AX276" s="866"/>
      <c r="AY276" s="864">
        <f>AT276</f>
        <v>-1000000</v>
      </c>
      <c r="AZ276" s="865"/>
      <c r="BA276" s="865"/>
      <c r="BB276" s="865"/>
      <c r="BC276" s="866"/>
      <c r="BD276" s="1305" t="s">
        <v>1395</v>
      </c>
      <c r="BE276" s="1306"/>
      <c r="BF276" s="1258" t="s">
        <v>979</v>
      </c>
      <c r="BG276" s="1259"/>
      <c r="BH276" s="618"/>
      <c r="BI276" s="573"/>
    </row>
    <row r="277" spans="10:61" ht="18.95" customHeight="1">
      <c r="J277" s="619"/>
      <c r="K277" s="1249"/>
      <c r="L277" s="1250"/>
      <c r="M277" s="1250"/>
      <c r="N277" s="1251"/>
      <c r="O277" s="752"/>
      <c r="P277" s="620"/>
      <c r="Q277" s="620"/>
      <c r="R277" s="1249"/>
      <c r="S277" s="1250"/>
      <c r="T277" s="1250"/>
      <c r="U277" s="1251"/>
      <c r="V277" s="654"/>
      <c r="W277" s="652"/>
      <c r="X277" s="653"/>
      <c r="Y277" s="753"/>
      <c r="Z277" s="652"/>
      <c r="AA277" s="652"/>
      <c r="AB277" s="652"/>
      <c r="AC277" s="652"/>
      <c r="AD277" s="653"/>
      <c r="AE277" s="654" t="s">
        <v>1236</v>
      </c>
      <c r="AF277" s="652"/>
      <c r="AG277" s="653"/>
      <c r="AH277" s="806">
        <v>35</v>
      </c>
      <c r="AI277" s="588"/>
      <c r="AJ277" s="869">
        <v>7000000</v>
      </c>
      <c r="AK277" s="870"/>
      <c r="AL277" s="870"/>
      <c r="AM277" s="870"/>
      <c r="AN277" s="871"/>
      <c r="AO277" s="869">
        <v>7000000</v>
      </c>
      <c r="AP277" s="870"/>
      <c r="AQ277" s="870"/>
      <c r="AR277" s="870"/>
      <c r="AS277" s="871"/>
      <c r="AT277" s="869">
        <f t="shared" si="0"/>
        <v>0</v>
      </c>
      <c r="AU277" s="870"/>
      <c r="AV277" s="870"/>
      <c r="AW277" s="870"/>
      <c r="AX277" s="871"/>
      <c r="AY277" s="869">
        <v>0</v>
      </c>
      <c r="AZ277" s="870"/>
      <c r="BA277" s="870"/>
      <c r="BB277" s="870"/>
      <c r="BC277" s="871"/>
      <c r="BD277" s="1307"/>
      <c r="BE277" s="1308"/>
      <c r="BF277" s="1260"/>
      <c r="BG277" s="1261"/>
      <c r="BH277" s="618"/>
      <c r="BI277" s="573"/>
    </row>
    <row r="278" spans="10:61" ht="18.95" customHeight="1">
      <c r="J278" s="619"/>
      <c r="K278" s="1276"/>
      <c r="L278" s="1277"/>
      <c r="M278" s="1277"/>
      <c r="N278" s="1278"/>
      <c r="O278" s="754"/>
      <c r="P278" s="755"/>
      <c r="Q278" s="755"/>
      <c r="R278" s="1276"/>
      <c r="S278" s="1277"/>
      <c r="T278" s="1277"/>
      <c r="U278" s="1278"/>
      <c r="V278" s="665"/>
      <c r="W278" s="666"/>
      <c r="X278" s="667"/>
      <c r="Y278" s="756"/>
      <c r="Z278" s="666"/>
      <c r="AA278" s="666"/>
      <c r="AB278" s="666"/>
      <c r="AC278" s="666"/>
      <c r="AD278" s="667"/>
      <c r="AE278" s="556" t="s">
        <v>1237</v>
      </c>
      <c r="AF278" s="555"/>
      <c r="AG278" s="554"/>
      <c r="AH278" s="806">
        <v>35</v>
      </c>
      <c r="AI278" s="588"/>
      <c r="AJ278" s="882">
        <f>AJ276+AJ277</f>
        <v>37000000</v>
      </c>
      <c r="AK278" s="883"/>
      <c r="AL278" s="883"/>
      <c r="AM278" s="883"/>
      <c r="AN278" s="884"/>
      <c r="AO278" s="882">
        <f>AO276+AO277</f>
        <v>36000000</v>
      </c>
      <c r="AP278" s="883"/>
      <c r="AQ278" s="883"/>
      <c r="AR278" s="883"/>
      <c r="AS278" s="884"/>
      <c r="AT278" s="882">
        <f t="shared" si="0"/>
        <v>-1000000</v>
      </c>
      <c r="AU278" s="883"/>
      <c r="AV278" s="883"/>
      <c r="AW278" s="883"/>
      <c r="AX278" s="884"/>
      <c r="AY278" s="882">
        <f>AY277+AY276</f>
        <v>-1000000</v>
      </c>
      <c r="AZ278" s="883"/>
      <c r="BA278" s="883"/>
      <c r="BB278" s="883"/>
      <c r="BC278" s="884"/>
      <c r="BD278" s="1309"/>
      <c r="BE278" s="1310"/>
      <c r="BF278" s="1262"/>
      <c r="BG278" s="1263"/>
      <c r="BH278" s="618"/>
      <c r="BI278" s="573"/>
    </row>
    <row r="279" spans="10:61" ht="18.95" customHeight="1">
      <c r="J279" s="619"/>
      <c r="K279" s="1246" t="s">
        <v>1230</v>
      </c>
      <c r="L279" s="1247"/>
      <c r="M279" s="1247"/>
      <c r="N279" s="1248"/>
      <c r="O279" s="750" t="s">
        <v>518</v>
      </c>
      <c r="P279" s="682"/>
      <c r="Q279" s="682"/>
      <c r="R279" s="1246" t="s">
        <v>1241</v>
      </c>
      <c r="S279" s="1247"/>
      <c r="T279" s="1247"/>
      <c r="U279" s="1248"/>
      <c r="V279" s="638" t="s">
        <v>1244</v>
      </c>
      <c r="W279" s="639"/>
      <c r="X279" s="640"/>
      <c r="Y279" s="751" t="s">
        <v>1247</v>
      </c>
      <c r="Z279" s="639"/>
      <c r="AA279" s="639"/>
      <c r="AB279" s="639"/>
      <c r="AC279" s="639"/>
      <c r="AD279" s="640"/>
      <c r="AE279" s="638" t="s">
        <v>1235</v>
      </c>
      <c r="AF279" s="639"/>
      <c r="AG279" s="640"/>
      <c r="AH279" s="806">
        <v>35</v>
      </c>
      <c r="AI279" s="588"/>
      <c r="AJ279" s="864">
        <v>30000000</v>
      </c>
      <c r="AK279" s="865"/>
      <c r="AL279" s="865"/>
      <c r="AM279" s="865"/>
      <c r="AN279" s="866"/>
      <c r="AO279" s="864">
        <v>30000000</v>
      </c>
      <c r="AP279" s="865"/>
      <c r="AQ279" s="865"/>
      <c r="AR279" s="865"/>
      <c r="AS279" s="866"/>
      <c r="AT279" s="864">
        <f t="shared" si="0"/>
        <v>0</v>
      </c>
      <c r="AU279" s="865"/>
      <c r="AV279" s="865"/>
      <c r="AW279" s="865"/>
      <c r="AX279" s="866"/>
      <c r="AY279" s="864">
        <v>0</v>
      </c>
      <c r="AZ279" s="865"/>
      <c r="BA279" s="865"/>
      <c r="BB279" s="865"/>
      <c r="BC279" s="866"/>
      <c r="BD279" s="1305" t="s">
        <v>1395</v>
      </c>
      <c r="BE279" s="1306"/>
      <c r="BF279" s="1264" t="s">
        <v>1260</v>
      </c>
      <c r="BG279" s="1265"/>
      <c r="BH279" s="618"/>
      <c r="BI279" s="573"/>
    </row>
    <row r="280" spans="10:61" ht="18.95" customHeight="1">
      <c r="J280" s="619"/>
      <c r="K280" s="1249"/>
      <c r="L280" s="1250"/>
      <c r="M280" s="1250"/>
      <c r="N280" s="1251"/>
      <c r="O280" s="752"/>
      <c r="P280" s="620"/>
      <c r="Q280" s="620"/>
      <c r="R280" s="1249"/>
      <c r="S280" s="1250"/>
      <c r="T280" s="1250"/>
      <c r="U280" s="1251"/>
      <c r="V280" s="654"/>
      <c r="W280" s="652"/>
      <c r="X280" s="653"/>
      <c r="Y280" s="753"/>
      <c r="Z280" s="652"/>
      <c r="AA280" s="652"/>
      <c r="AB280" s="652"/>
      <c r="AC280" s="652"/>
      <c r="AD280" s="653"/>
      <c r="AE280" s="654" t="s">
        <v>1236</v>
      </c>
      <c r="AF280" s="652"/>
      <c r="AG280" s="653"/>
      <c r="AH280" s="806">
        <v>35</v>
      </c>
      <c r="AI280" s="588"/>
      <c r="AJ280" s="869">
        <v>7000000</v>
      </c>
      <c r="AK280" s="870"/>
      <c r="AL280" s="870"/>
      <c r="AM280" s="870"/>
      <c r="AN280" s="871"/>
      <c r="AO280" s="869">
        <v>7000000</v>
      </c>
      <c r="AP280" s="870"/>
      <c r="AQ280" s="870"/>
      <c r="AR280" s="870"/>
      <c r="AS280" s="871"/>
      <c r="AT280" s="869">
        <f t="shared" si="0"/>
        <v>0</v>
      </c>
      <c r="AU280" s="870"/>
      <c r="AV280" s="870"/>
      <c r="AW280" s="870"/>
      <c r="AX280" s="871"/>
      <c r="AY280" s="869">
        <v>0</v>
      </c>
      <c r="AZ280" s="870"/>
      <c r="BA280" s="870"/>
      <c r="BB280" s="870"/>
      <c r="BC280" s="871"/>
      <c r="BD280" s="1307"/>
      <c r="BE280" s="1308"/>
      <c r="BF280" s="1266"/>
      <c r="BG280" s="1267"/>
      <c r="BH280" s="618"/>
      <c r="BI280" s="573"/>
    </row>
    <row r="281" spans="10:61" ht="18.95" customHeight="1">
      <c r="J281" s="619"/>
      <c r="K281" s="1276"/>
      <c r="L281" s="1277"/>
      <c r="M281" s="1277"/>
      <c r="N281" s="1278"/>
      <c r="O281" s="754"/>
      <c r="P281" s="755"/>
      <c r="Q281" s="755"/>
      <c r="R281" s="1276"/>
      <c r="S281" s="1277"/>
      <c r="T281" s="1277"/>
      <c r="U281" s="1278"/>
      <c r="V281" s="665"/>
      <c r="W281" s="666"/>
      <c r="X281" s="667"/>
      <c r="Y281" s="756"/>
      <c r="Z281" s="666"/>
      <c r="AA281" s="666"/>
      <c r="AB281" s="666"/>
      <c r="AC281" s="666"/>
      <c r="AD281" s="667"/>
      <c r="AE281" s="556" t="s">
        <v>1237</v>
      </c>
      <c r="AF281" s="555"/>
      <c r="AG281" s="554"/>
      <c r="AH281" s="806">
        <v>35</v>
      </c>
      <c r="AI281" s="588"/>
      <c r="AJ281" s="882">
        <f>AJ279+AJ280</f>
        <v>37000000</v>
      </c>
      <c r="AK281" s="883"/>
      <c r="AL281" s="883"/>
      <c r="AM281" s="883"/>
      <c r="AN281" s="884"/>
      <c r="AO281" s="882">
        <f>AO279+AO280</f>
        <v>37000000</v>
      </c>
      <c r="AP281" s="883"/>
      <c r="AQ281" s="883"/>
      <c r="AR281" s="883"/>
      <c r="AS281" s="884"/>
      <c r="AT281" s="882">
        <f t="shared" si="0"/>
        <v>0</v>
      </c>
      <c r="AU281" s="883"/>
      <c r="AV281" s="883"/>
      <c r="AW281" s="883"/>
      <c r="AX281" s="884"/>
      <c r="AY281" s="882">
        <f>AY280+AY279</f>
        <v>0</v>
      </c>
      <c r="AZ281" s="883"/>
      <c r="BA281" s="883"/>
      <c r="BB281" s="883"/>
      <c r="BC281" s="884"/>
      <c r="BD281" s="1309"/>
      <c r="BE281" s="1310"/>
      <c r="BF281" s="1268"/>
      <c r="BG281" s="1269"/>
      <c r="BH281" s="618"/>
      <c r="BI281" s="573"/>
    </row>
    <row r="282" spans="10:61" ht="18.95" customHeight="1">
      <c r="J282" s="619"/>
      <c r="K282" s="1246" t="s">
        <v>1230</v>
      </c>
      <c r="L282" s="1247"/>
      <c r="M282" s="1247"/>
      <c r="N282" s="1248"/>
      <c r="O282" s="750" t="s">
        <v>1238</v>
      </c>
      <c r="P282" s="682"/>
      <c r="Q282" s="682"/>
      <c r="R282" s="1246" t="s">
        <v>1239</v>
      </c>
      <c r="S282" s="1247"/>
      <c r="T282" s="1247"/>
      <c r="U282" s="1248"/>
      <c r="V282" s="638" t="s">
        <v>1245</v>
      </c>
      <c r="W282" s="639"/>
      <c r="X282" s="640"/>
      <c r="Y282" s="751" t="s">
        <v>1240</v>
      </c>
      <c r="Z282" s="639"/>
      <c r="AA282" s="639"/>
      <c r="AB282" s="639"/>
      <c r="AC282" s="639"/>
      <c r="AD282" s="640"/>
      <c r="AE282" s="638" t="s">
        <v>1235</v>
      </c>
      <c r="AF282" s="639"/>
      <c r="AG282" s="640"/>
      <c r="AH282" s="806">
        <v>35</v>
      </c>
      <c r="AI282" s="588"/>
      <c r="AJ282" s="864">
        <v>30000000</v>
      </c>
      <c r="AK282" s="865"/>
      <c r="AL282" s="865"/>
      <c r="AM282" s="865"/>
      <c r="AN282" s="866"/>
      <c r="AO282" s="885" t="s">
        <v>1248</v>
      </c>
      <c r="AP282" s="886"/>
      <c r="AQ282" s="886"/>
      <c r="AR282" s="886"/>
      <c r="AS282" s="887"/>
      <c r="AT282" s="885">
        <v>0</v>
      </c>
      <c r="AU282" s="886"/>
      <c r="AV282" s="886"/>
      <c r="AW282" s="886"/>
      <c r="AX282" s="887"/>
      <c r="AY282" s="885">
        <v>0</v>
      </c>
      <c r="AZ282" s="886"/>
      <c r="BA282" s="886"/>
      <c r="BB282" s="886"/>
      <c r="BC282" s="887"/>
      <c r="BD282" s="1305" t="s">
        <v>1395</v>
      </c>
      <c r="BE282" s="1306"/>
      <c r="BF282" s="1264" t="s">
        <v>1260</v>
      </c>
      <c r="BG282" s="1265"/>
      <c r="BH282" s="618"/>
      <c r="BI282" s="573"/>
    </row>
    <row r="283" spans="10:61" ht="18.95" customHeight="1">
      <c r="J283" s="619"/>
      <c r="K283" s="1249"/>
      <c r="L283" s="1250"/>
      <c r="M283" s="1250"/>
      <c r="N283" s="1251"/>
      <c r="O283" s="752"/>
      <c r="P283" s="620"/>
      <c r="Q283" s="620"/>
      <c r="R283" s="1249"/>
      <c r="S283" s="1250"/>
      <c r="T283" s="1250"/>
      <c r="U283" s="1251"/>
      <c r="V283" s="654"/>
      <c r="W283" s="652"/>
      <c r="X283" s="653"/>
      <c r="Y283" s="753"/>
      <c r="Z283" s="652"/>
      <c r="AA283" s="652"/>
      <c r="AB283" s="652"/>
      <c r="AC283" s="652"/>
      <c r="AD283" s="653"/>
      <c r="AE283" s="654" t="s">
        <v>1236</v>
      </c>
      <c r="AF283" s="652"/>
      <c r="AG283" s="653"/>
      <c r="AH283" s="806">
        <v>35</v>
      </c>
      <c r="AI283" s="588"/>
      <c r="AJ283" s="869">
        <v>7000000</v>
      </c>
      <c r="AK283" s="870"/>
      <c r="AL283" s="870"/>
      <c r="AM283" s="870"/>
      <c r="AN283" s="871"/>
      <c r="AO283" s="888" t="s">
        <v>1249</v>
      </c>
      <c r="AP283" s="889"/>
      <c r="AQ283" s="889"/>
      <c r="AR283" s="889"/>
      <c r="AS283" s="890"/>
      <c r="AT283" s="888">
        <v>0</v>
      </c>
      <c r="AU283" s="889"/>
      <c r="AV283" s="889"/>
      <c r="AW283" s="889"/>
      <c r="AX283" s="890"/>
      <c r="AY283" s="888">
        <v>0</v>
      </c>
      <c r="AZ283" s="889"/>
      <c r="BA283" s="889"/>
      <c r="BB283" s="889"/>
      <c r="BC283" s="890"/>
      <c r="BD283" s="1307"/>
      <c r="BE283" s="1308"/>
      <c r="BF283" s="1266"/>
      <c r="BG283" s="1267"/>
      <c r="BH283" s="618"/>
      <c r="BI283" s="573"/>
    </row>
    <row r="284" spans="10:61" ht="18.95" customHeight="1" thickBot="1">
      <c r="J284" s="619"/>
      <c r="K284" s="1249"/>
      <c r="L284" s="1250"/>
      <c r="M284" s="1250"/>
      <c r="N284" s="1251"/>
      <c r="O284" s="752"/>
      <c r="P284" s="620"/>
      <c r="Q284" s="620"/>
      <c r="R284" s="1249"/>
      <c r="S284" s="1250"/>
      <c r="T284" s="1250"/>
      <c r="U284" s="1251"/>
      <c r="V284" s="654"/>
      <c r="W284" s="652"/>
      <c r="X284" s="653"/>
      <c r="Y284" s="753"/>
      <c r="Z284" s="652"/>
      <c r="AA284" s="652"/>
      <c r="AB284" s="652"/>
      <c r="AC284" s="652"/>
      <c r="AD284" s="653"/>
      <c r="AE284" s="641" t="s">
        <v>1237</v>
      </c>
      <c r="AF284" s="642"/>
      <c r="AG284" s="643"/>
      <c r="AH284" s="806">
        <v>35</v>
      </c>
      <c r="AI284" s="588"/>
      <c r="AJ284" s="891">
        <f>AJ282+AJ283</f>
        <v>37000000</v>
      </c>
      <c r="AK284" s="892"/>
      <c r="AL284" s="892"/>
      <c r="AM284" s="892"/>
      <c r="AN284" s="893"/>
      <c r="AO284" s="885" t="s">
        <v>1248</v>
      </c>
      <c r="AP284" s="886"/>
      <c r="AQ284" s="886"/>
      <c r="AR284" s="886"/>
      <c r="AS284" s="887"/>
      <c r="AT284" s="885">
        <v>0</v>
      </c>
      <c r="AU284" s="886"/>
      <c r="AV284" s="886"/>
      <c r="AW284" s="886"/>
      <c r="AX284" s="887"/>
      <c r="AY284" s="885">
        <v>0</v>
      </c>
      <c r="AZ284" s="886"/>
      <c r="BA284" s="886"/>
      <c r="BB284" s="886"/>
      <c r="BC284" s="887"/>
      <c r="BD284" s="1309"/>
      <c r="BE284" s="1310"/>
      <c r="BF284" s="1268"/>
      <c r="BG284" s="1269"/>
      <c r="BH284" s="618"/>
      <c r="BI284" s="573"/>
    </row>
    <row r="285" spans="10:61" ht="18.95" customHeight="1">
      <c r="J285" s="619"/>
      <c r="K285" s="767"/>
      <c r="L285" s="768"/>
      <c r="M285" s="768"/>
      <c r="N285" s="768"/>
      <c r="O285" s="769"/>
      <c r="P285" s="768"/>
      <c r="Q285" s="768"/>
      <c r="R285" s="768"/>
      <c r="S285" s="768"/>
      <c r="T285" s="768"/>
      <c r="U285" s="768"/>
      <c r="V285" s="768"/>
      <c r="W285" s="770"/>
      <c r="X285" s="770"/>
      <c r="Y285" s="768"/>
      <c r="Z285" s="770"/>
      <c r="AA285" s="770"/>
      <c r="AB285" s="770"/>
      <c r="AC285" s="770"/>
      <c r="AD285" s="771"/>
      <c r="AE285" s="761" t="s">
        <v>1235</v>
      </c>
      <c r="AF285" s="762"/>
      <c r="AG285" s="763"/>
      <c r="AH285" s="859">
        <v>29</v>
      </c>
      <c r="AI285" s="856"/>
      <c r="AJ285" s="894" t="s">
        <v>15</v>
      </c>
      <c r="AK285" s="895"/>
      <c r="AL285" s="895"/>
      <c r="AM285" s="895"/>
      <c r="AN285" s="896"/>
      <c r="AO285" s="894" t="s">
        <v>15</v>
      </c>
      <c r="AP285" s="895"/>
      <c r="AQ285" s="895"/>
      <c r="AR285" s="895"/>
      <c r="AS285" s="896"/>
      <c r="AT285" s="894" t="s">
        <v>15</v>
      </c>
      <c r="AU285" s="895"/>
      <c r="AV285" s="895"/>
      <c r="AW285" s="895"/>
      <c r="AX285" s="896"/>
      <c r="AY285" s="894" t="s">
        <v>15</v>
      </c>
      <c r="AZ285" s="895"/>
      <c r="BA285" s="895"/>
      <c r="BB285" s="895"/>
      <c r="BC285" s="896"/>
      <c r="BD285" s="1311"/>
      <c r="BE285" s="1312"/>
      <c r="BF285" s="1270"/>
      <c r="BG285" s="1271"/>
      <c r="BH285" s="618"/>
      <c r="BI285" s="573"/>
    </row>
    <row r="286" spans="10:61" ht="18.95" customHeight="1">
      <c r="J286" s="619"/>
      <c r="K286" s="777"/>
      <c r="L286" s="778"/>
      <c r="M286" s="778"/>
      <c r="N286" s="778"/>
      <c r="O286" s="779"/>
      <c r="P286" s="778"/>
      <c r="Q286" s="778"/>
      <c r="R286" s="778"/>
      <c r="S286" s="778"/>
      <c r="T286" s="778"/>
      <c r="U286" s="778"/>
      <c r="V286" s="778"/>
      <c r="W286" s="780"/>
      <c r="X286" s="780"/>
      <c r="Y286" s="778"/>
      <c r="Z286" s="780"/>
      <c r="AA286" s="780"/>
      <c r="AB286" s="780"/>
      <c r="AC286" s="780"/>
      <c r="AD286" s="781"/>
      <c r="AE286" s="654"/>
      <c r="AF286" s="652"/>
      <c r="AG286" s="653"/>
      <c r="AH286" s="860">
        <v>30</v>
      </c>
      <c r="AI286" s="857"/>
      <c r="AJ286" s="869" t="s">
        <v>15</v>
      </c>
      <c r="AK286" s="870"/>
      <c r="AL286" s="870"/>
      <c r="AM286" s="870"/>
      <c r="AN286" s="871"/>
      <c r="AO286" s="869" t="s">
        <v>15</v>
      </c>
      <c r="AP286" s="870"/>
      <c r="AQ286" s="870"/>
      <c r="AR286" s="870"/>
      <c r="AS286" s="871"/>
      <c r="AT286" s="869" t="s">
        <v>15</v>
      </c>
      <c r="AU286" s="870"/>
      <c r="AV286" s="870"/>
      <c r="AW286" s="870"/>
      <c r="AX286" s="871"/>
      <c r="AY286" s="869" t="s">
        <v>15</v>
      </c>
      <c r="AZ286" s="870"/>
      <c r="BA286" s="870"/>
      <c r="BB286" s="870"/>
      <c r="BC286" s="871"/>
      <c r="BD286" s="1272"/>
      <c r="BE286" s="1273"/>
      <c r="BF286" s="1272"/>
      <c r="BG286" s="1273"/>
      <c r="BH286" s="618"/>
      <c r="BI286" s="573"/>
    </row>
    <row r="287" spans="10:61" ht="18.95" customHeight="1">
      <c r="J287" s="619"/>
      <c r="K287" s="777"/>
      <c r="L287" s="778"/>
      <c r="M287" s="778"/>
      <c r="N287" s="778"/>
      <c r="O287" s="779"/>
      <c r="P287" s="778"/>
      <c r="Q287" s="778"/>
      <c r="R287" s="778"/>
      <c r="S287" s="778"/>
      <c r="T287" s="778"/>
      <c r="U287" s="778"/>
      <c r="V287" s="778"/>
      <c r="W287" s="780"/>
      <c r="X287" s="780"/>
      <c r="Y287" s="778"/>
      <c r="Z287" s="780"/>
      <c r="AA287" s="780"/>
      <c r="AB287" s="780"/>
      <c r="AC287" s="780"/>
      <c r="AD287" s="781"/>
      <c r="AE287" s="654"/>
      <c r="AF287" s="652"/>
      <c r="AG287" s="653"/>
      <c r="AH287" s="860">
        <v>35</v>
      </c>
      <c r="AI287" s="857"/>
      <c r="AJ287" s="869" t="s">
        <v>15</v>
      </c>
      <c r="AK287" s="870"/>
      <c r="AL287" s="875"/>
      <c r="AM287" s="875"/>
      <c r="AN287" s="876"/>
      <c r="AO287" s="874" t="s">
        <v>15</v>
      </c>
      <c r="AP287" s="875"/>
      <c r="AQ287" s="875"/>
      <c r="AR287" s="875"/>
      <c r="AS287" s="876"/>
      <c r="AT287" s="874" t="s">
        <v>15</v>
      </c>
      <c r="AU287" s="875"/>
      <c r="AV287" s="875"/>
      <c r="AW287" s="875"/>
      <c r="AX287" s="876"/>
      <c r="AY287" s="874" t="s">
        <v>15</v>
      </c>
      <c r="AZ287" s="875"/>
      <c r="BA287" s="875"/>
      <c r="BB287" s="870"/>
      <c r="BC287" s="871"/>
      <c r="BD287" s="1272"/>
      <c r="BE287" s="1273"/>
      <c r="BF287" s="1272"/>
      <c r="BG287" s="1273"/>
      <c r="BH287" s="618"/>
      <c r="BI287" s="573"/>
    </row>
    <row r="288" spans="10:61" ht="18.95" customHeight="1">
      <c r="J288" s="619"/>
      <c r="K288" s="777" t="s">
        <v>1257</v>
      </c>
      <c r="L288" s="778"/>
      <c r="M288" s="778"/>
      <c r="N288" s="778"/>
      <c r="O288" s="779"/>
      <c r="P288" s="778"/>
      <c r="Q288" s="778"/>
      <c r="R288" s="778"/>
      <c r="S288" s="778"/>
      <c r="T288" s="778"/>
      <c r="U288" s="778"/>
      <c r="V288" s="778"/>
      <c r="W288" s="780"/>
      <c r="X288" s="780"/>
      <c r="Y288" s="778"/>
      <c r="Z288" s="780"/>
      <c r="AA288" s="780"/>
      <c r="AB288" s="780"/>
      <c r="AC288" s="780"/>
      <c r="AD288" s="781"/>
      <c r="AE288" s="590" t="s">
        <v>1236</v>
      </c>
      <c r="AF288" s="589"/>
      <c r="AG288" s="588"/>
      <c r="AH288" s="806">
        <v>35</v>
      </c>
      <c r="AI288" s="900"/>
      <c r="AJ288" s="879" t="s">
        <v>1393</v>
      </c>
      <c r="AK288" s="880"/>
      <c r="AL288" s="880"/>
      <c r="AM288" s="880"/>
      <c r="AN288" s="881"/>
      <c r="AO288" s="879" t="s">
        <v>1393</v>
      </c>
      <c r="AP288" s="880"/>
      <c r="AQ288" s="880"/>
      <c r="AR288" s="880"/>
      <c r="AS288" s="881"/>
      <c r="AT288" s="879" t="s">
        <v>1393</v>
      </c>
      <c r="AU288" s="880"/>
      <c r="AV288" s="880"/>
      <c r="AW288" s="880"/>
      <c r="AX288" s="881"/>
      <c r="AY288" s="879" t="s">
        <v>1393</v>
      </c>
      <c r="AZ288" s="880"/>
      <c r="BA288" s="880"/>
      <c r="BB288" s="880"/>
      <c r="BC288" s="881"/>
      <c r="BD288" s="1272"/>
      <c r="BE288" s="1273"/>
      <c r="BF288" s="1272"/>
      <c r="BG288" s="1273"/>
      <c r="BH288" s="550"/>
      <c r="BI288" s="573"/>
    </row>
    <row r="289" spans="10:61" ht="18.95" customHeight="1" thickBot="1">
      <c r="J289" s="619"/>
      <c r="K289" s="772"/>
      <c r="L289" s="773"/>
      <c r="M289" s="773"/>
      <c r="N289" s="773"/>
      <c r="O289" s="774"/>
      <c r="P289" s="773"/>
      <c r="Q289" s="773"/>
      <c r="R289" s="773"/>
      <c r="S289" s="773"/>
      <c r="T289" s="773"/>
      <c r="U289" s="773"/>
      <c r="V289" s="773"/>
      <c r="W289" s="775"/>
      <c r="X289" s="775"/>
      <c r="Y289" s="773"/>
      <c r="Z289" s="775"/>
      <c r="AA289" s="775"/>
      <c r="AB289" s="775"/>
      <c r="AC289" s="775"/>
      <c r="AD289" s="776"/>
      <c r="AE289" s="764" t="s">
        <v>1237</v>
      </c>
      <c r="AF289" s="765"/>
      <c r="AG289" s="766"/>
      <c r="AH289" s="861">
        <v>35</v>
      </c>
      <c r="AI289" s="858"/>
      <c r="AJ289" s="897" t="s">
        <v>1393</v>
      </c>
      <c r="AK289" s="898"/>
      <c r="AL289" s="898"/>
      <c r="AM289" s="898"/>
      <c r="AN289" s="899"/>
      <c r="AO289" s="897" t="s">
        <v>1393</v>
      </c>
      <c r="AP289" s="898"/>
      <c r="AQ289" s="898"/>
      <c r="AR289" s="898"/>
      <c r="AS289" s="899"/>
      <c r="AT289" s="897" t="s">
        <v>1393</v>
      </c>
      <c r="AU289" s="898"/>
      <c r="AV289" s="898"/>
      <c r="AW289" s="898"/>
      <c r="AX289" s="899"/>
      <c r="AY289" s="897" t="s">
        <v>1393</v>
      </c>
      <c r="AZ289" s="898"/>
      <c r="BA289" s="898"/>
      <c r="BB289" s="898"/>
      <c r="BC289" s="899"/>
      <c r="BD289" s="1274"/>
      <c r="BE289" s="1275"/>
      <c r="BF289" s="1274"/>
      <c r="BG289" s="1275"/>
      <c r="BH289" s="550"/>
      <c r="BI289" s="573"/>
    </row>
    <row r="290" spans="10:61" ht="18.95" customHeight="1">
      <c r="J290" s="572"/>
      <c r="K290" s="571"/>
      <c r="L290" s="571"/>
      <c r="M290" s="571"/>
      <c r="N290" s="571"/>
      <c r="O290" s="571"/>
      <c r="P290" s="571"/>
      <c r="Q290" s="571"/>
      <c r="R290" s="571"/>
      <c r="S290" s="571"/>
      <c r="T290" s="571"/>
      <c r="U290" s="571"/>
      <c r="V290" s="571"/>
      <c r="W290" s="571"/>
      <c r="X290" s="571"/>
      <c r="Y290" s="571"/>
      <c r="Z290" s="571"/>
      <c r="AA290" s="571"/>
      <c r="AB290" s="571"/>
      <c r="AC290" s="571"/>
      <c r="AD290" s="571"/>
      <c r="AE290" s="571"/>
      <c r="AF290" s="571"/>
      <c r="AG290" s="571"/>
      <c r="AH290" s="571"/>
      <c r="AI290" s="571"/>
      <c r="AJ290" s="571"/>
      <c r="AK290" s="571"/>
      <c r="AL290" s="571"/>
      <c r="AM290" s="571"/>
      <c r="AN290" s="571"/>
      <c r="AO290" s="571"/>
      <c r="AP290" s="571"/>
      <c r="AQ290" s="571"/>
      <c r="AR290" s="571"/>
      <c r="AS290" s="571"/>
      <c r="AT290" s="571"/>
      <c r="AU290" s="571"/>
      <c r="AV290" s="571"/>
      <c r="AW290" s="571"/>
      <c r="AX290" s="571"/>
      <c r="AY290" s="571"/>
      <c r="AZ290" s="571"/>
      <c r="BA290" s="571"/>
      <c r="BB290" s="571"/>
      <c r="BC290" s="571"/>
      <c r="BD290" s="571"/>
      <c r="BE290" s="571"/>
      <c r="BF290" s="571"/>
      <c r="BG290" s="571"/>
      <c r="BH290" s="571"/>
      <c r="BI290" s="570"/>
    </row>
    <row r="292" spans="10:61" ht="18.95" customHeight="1">
      <c r="J292" s="389" t="s">
        <v>1261</v>
      </c>
    </row>
    <row r="294" spans="10:61" ht="18.95" customHeight="1">
      <c r="L294" s="542" t="s">
        <v>1268</v>
      </c>
    </row>
    <row r="295" spans="10:61" ht="18.95" customHeight="1">
      <c r="L295" s="147" t="s">
        <v>1269</v>
      </c>
    </row>
    <row r="296" spans="10:61" ht="9.9499999999999993" customHeight="1"/>
    <row r="297" spans="10:61" ht="18.95" customHeight="1">
      <c r="L297" s="561" t="s">
        <v>981</v>
      </c>
      <c r="M297" s="560"/>
      <c r="N297" s="559"/>
      <c r="O297" s="561" t="s">
        <v>1264</v>
      </c>
      <c r="P297" s="560"/>
      <c r="Q297" s="559"/>
      <c r="R297" s="561" t="s">
        <v>1265</v>
      </c>
      <c r="S297" s="560"/>
      <c r="T297" s="559"/>
      <c r="U297" s="561" t="s">
        <v>1276</v>
      </c>
      <c r="V297" s="560"/>
      <c r="W297" s="560"/>
      <c r="X297" s="560"/>
      <c r="Y297" s="559"/>
    </row>
    <row r="298" spans="10:61" ht="18.95" customHeight="1">
      <c r="O298" s="537" t="s">
        <v>1266</v>
      </c>
      <c r="R298" s="537"/>
    </row>
    <row r="299" spans="10:61" ht="18.95" customHeight="1">
      <c r="R299" s="537" t="s">
        <v>1267</v>
      </c>
    </row>
    <row r="301" spans="10:61" ht="18.95" customHeight="1">
      <c r="J301" s="796" t="s">
        <v>1390</v>
      </c>
      <c r="L301" s="542"/>
    </row>
    <row r="302" spans="10:61" ht="18.95" customHeight="1">
      <c r="J302" s="796"/>
      <c r="L302" s="542"/>
    </row>
    <row r="303" spans="10:61" ht="18.95" customHeight="1">
      <c r="J303" s="542" t="s">
        <v>1391</v>
      </c>
      <c r="L303" s="542"/>
    </row>
    <row r="304" spans="10:61" ht="9.9499999999999993" customHeight="1">
      <c r="J304" s="542"/>
      <c r="L304" s="542"/>
    </row>
    <row r="305" spans="10:61" ht="18.95" customHeight="1">
      <c r="J305" s="542"/>
      <c r="K305" s="144" t="s">
        <v>1392</v>
      </c>
      <c r="L305" s="542"/>
      <c r="AK305" s="144" t="s">
        <v>1398</v>
      </c>
      <c r="AL305" s="542"/>
    </row>
    <row r="306" spans="10:61" ht="18.95" customHeight="1">
      <c r="J306" s="796"/>
      <c r="K306" s="1219" t="s">
        <v>1234</v>
      </c>
      <c r="L306" s="1220"/>
      <c r="M306" s="1221"/>
      <c r="N306" s="1245" t="s">
        <v>1281</v>
      </c>
      <c r="O306" s="1226"/>
      <c r="P306" s="760" t="s">
        <v>1252</v>
      </c>
      <c r="Q306" s="560"/>
      <c r="R306" s="560"/>
      <c r="S306" s="560"/>
      <c r="T306" s="559"/>
      <c r="U306" s="760"/>
      <c r="V306" s="560"/>
      <c r="W306" s="560"/>
      <c r="X306" s="560"/>
      <c r="Y306" s="559"/>
      <c r="Z306" s="760"/>
      <c r="AA306" s="560"/>
      <c r="AB306" s="560"/>
      <c r="AC306" s="560"/>
      <c r="AD306" s="559"/>
      <c r="AE306" s="760"/>
      <c r="AF306" s="560"/>
      <c r="AG306" s="560"/>
      <c r="AH306" s="560"/>
      <c r="AI306" s="559"/>
      <c r="AK306" s="1219" t="s">
        <v>1234</v>
      </c>
      <c r="AL306" s="1220"/>
      <c r="AM306" s="1221"/>
      <c r="AN306" s="1245" t="s">
        <v>1281</v>
      </c>
      <c r="AO306" s="1226"/>
      <c r="AP306" s="760" t="s">
        <v>1252</v>
      </c>
      <c r="AQ306" s="560"/>
      <c r="AR306" s="560"/>
      <c r="AS306" s="560"/>
      <c r="AT306" s="559"/>
      <c r="AU306" s="760"/>
      <c r="AV306" s="560"/>
      <c r="AW306" s="560"/>
      <c r="AX306" s="560"/>
      <c r="AY306" s="559"/>
      <c r="AZ306" s="760"/>
      <c r="BA306" s="560"/>
      <c r="BB306" s="560"/>
      <c r="BC306" s="560"/>
      <c r="BD306" s="559"/>
      <c r="BE306" s="760"/>
      <c r="BF306" s="560"/>
      <c r="BG306" s="560"/>
      <c r="BH306" s="560"/>
      <c r="BI306" s="559"/>
    </row>
    <row r="307" spans="10:61" ht="18.95" customHeight="1">
      <c r="J307" s="796"/>
      <c r="K307" s="1222"/>
      <c r="L307" s="1223"/>
      <c r="M307" s="1224"/>
      <c r="N307" s="1227"/>
      <c r="O307" s="1229"/>
      <c r="P307" s="757" t="s">
        <v>1250</v>
      </c>
      <c r="Q307" s="758"/>
      <c r="R307" s="758"/>
      <c r="S307" s="758"/>
      <c r="T307" s="759"/>
      <c r="U307" s="757" t="s">
        <v>1251</v>
      </c>
      <c r="V307" s="758"/>
      <c r="W307" s="758"/>
      <c r="X307" s="758"/>
      <c r="Y307" s="759"/>
      <c r="Z307" s="757" t="s">
        <v>1253</v>
      </c>
      <c r="AA307" s="758"/>
      <c r="AB307" s="758"/>
      <c r="AC307" s="758"/>
      <c r="AD307" s="759"/>
      <c r="AE307" s="757" t="s">
        <v>1275</v>
      </c>
      <c r="AF307" s="758"/>
      <c r="AG307" s="758"/>
      <c r="AH307" s="758"/>
      <c r="AI307" s="759"/>
      <c r="AK307" s="1222"/>
      <c r="AL307" s="1223"/>
      <c r="AM307" s="1224"/>
      <c r="AN307" s="1227"/>
      <c r="AO307" s="1229"/>
      <c r="AP307" s="757" t="s">
        <v>1250</v>
      </c>
      <c r="AQ307" s="758"/>
      <c r="AR307" s="758"/>
      <c r="AS307" s="758"/>
      <c r="AT307" s="759"/>
      <c r="AU307" s="757" t="s">
        <v>1251</v>
      </c>
      <c r="AV307" s="758"/>
      <c r="AW307" s="758"/>
      <c r="AX307" s="758"/>
      <c r="AY307" s="759"/>
      <c r="AZ307" s="757" t="s">
        <v>1253</v>
      </c>
      <c r="BA307" s="758"/>
      <c r="BB307" s="758"/>
      <c r="BC307" s="758"/>
      <c r="BD307" s="759"/>
      <c r="BE307" s="757" t="s">
        <v>1275</v>
      </c>
      <c r="BF307" s="758"/>
      <c r="BG307" s="758"/>
      <c r="BH307" s="758"/>
      <c r="BI307" s="759"/>
    </row>
    <row r="308" spans="10:61" ht="18.95" customHeight="1">
      <c r="J308" s="796"/>
      <c r="K308" s="638" t="s">
        <v>1235</v>
      </c>
      <c r="L308" s="639"/>
      <c r="M308" s="640"/>
      <c r="N308" s="862">
        <v>29</v>
      </c>
      <c r="O308" s="640"/>
      <c r="P308" s="864">
        <v>30000000</v>
      </c>
      <c r="Q308" s="865"/>
      <c r="R308" s="865"/>
      <c r="S308" s="865"/>
      <c r="T308" s="866"/>
      <c r="U308" s="864">
        <v>29000000</v>
      </c>
      <c r="V308" s="865"/>
      <c r="W308" s="865"/>
      <c r="X308" s="865"/>
      <c r="Y308" s="866"/>
      <c r="Z308" s="864">
        <f>U308-P308</f>
        <v>-1000000</v>
      </c>
      <c r="AA308" s="865"/>
      <c r="AB308" s="865"/>
      <c r="AC308" s="865"/>
      <c r="AD308" s="866"/>
      <c r="AE308" s="867">
        <v>0</v>
      </c>
      <c r="AF308" s="868"/>
      <c r="AG308" s="865"/>
      <c r="AH308" s="865"/>
      <c r="AI308" s="866"/>
      <c r="AK308" s="638" t="s">
        <v>1235</v>
      </c>
      <c r="AL308" s="639"/>
      <c r="AM308" s="640"/>
      <c r="AN308" s="862">
        <v>29</v>
      </c>
      <c r="AO308" s="640"/>
      <c r="AP308" s="864">
        <v>29000000</v>
      </c>
      <c r="AQ308" s="865"/>
      <c r="AR308" s="865"/>
      <c r="AS308" s="865"/>
      <c r="AT308" s="866"/>
      <c r="AU308" s="864">
        <v>29000000</v>
      </c>
      <c r="AV308" s="865"/>
      <c r="AW308" s="865"/>
      <c r="AX308" s="865"/>
      <c r="AY308" s="866"/>
      <c r="AZ308" s="864">
        <f>AU308-AP308</f>
        <v>0</v>
      </c>
      <c r="BA308" s="865"/>
      <c r="BB308" s="865"/>
      <c r="BC308" s="865"/>
      <c r="BD308" s="866"/>
      <c r="BE308" s="1068">
        <f>AU308-SUMIF($AU$317:$AU$319,AN308,$AW$317:$AW$319)</f>
        <v>-1000000</v>
      </c>
      <c r="BF308" s="1069"/>
      <c r="BG308" s="1069"/>
      <c r="BH308" s="1069"/>
      <c r="BI308" s="1070"/>
    </row>
    <row r="309" spans="10:61" ht="18.95" customHeight="1">
      <c r="J309" s="796"/>
      <c r="K309" s="654"/>
      <c r="L309" s="652"/>
      <c r="M309" s="653"/>
      <c r="N309" s="860">
        <v>30</v>
      </c>
      <c r="O309" s="653"/>
      <c r="P309" s="869">
        <v>0</v>
      </c>
      <c r="Q309" s="870"/>
      <c r="R309" s="870"/>
      <c r="S309" s="870"/>
      <c r="T309" s="871"/>
      <c r="U309" s="869">
        <v>1000000</v>
      </c>
      <c r="V309" s="870"/>
      <c r="W309" s="870"/>
      <c r="X309" s="870"/>
      <c r="Y309" s="871"/>
      <c r="Z309" s="869">
        <f>U309-P309</f>
        <v>1000000</v>
      </c>
      <c r="AA309" s="870"/>
      <c r="AB309" s="870"/>
      <c r="AC309" s="870"/>
      <c r="AD309" s="871"/>
      <c r="AE309" s="872">
        <v>0</v>
      </c>
      <c r="AF309" s="873"/>
      <c r="AG309" s="870"/>
      <c r="AH309" s="870"/>
      <c r="AI309" s="871"/>
      <c r="AK309" s="654"/>
      <c r="AL309" s="652"/>
      <c r="AM309" s="653"/>
      <c r="AN309" s="860">
        <v>30</v>
      </c>
      <c r="AO309" s="653"/>
      <c r="AP309" s="869">
        <v>1000000</v>
      </c>
      <c r="AQ309" s="870"/>
      <c r="AR309" s="870"/>
      <c r="AS309" s="870"/>
      <c r="AT309" s="871"/>
      <c r="AU309" s="869">
        <v>1000000</v>
      </c>
      <c r="AV309" s="870"/>
      <c r="AW309" s="870"/>
      <c r="AX309" s="870"/>
      <c r="AY309" s="871"/>
      <c r="AZ309" s="869">
        <f>AU309-AP309</f>
        <v>0</v>
      </c>
      <c r="BA309" s="870"/>
      <c r="BB309" s="870"/>
      <c r="BC309" s="870"/>
      <c r="BD309" s="871"/>
      <c r="BE309" s="1071">
        <f>AU309-SUMIF($AU$317:$AU$319,AN309,$AW$317:$AW$319)</f>
        <v>1000000</v>
      </c>
      <c r="BF309" s="870"/>
      <c r="BG309" s="870"/>
      <c r="BH309" s="870"/>
      <c r="BI309" s="871"/>
    </row>
    <row r="310" spans="10:61" ht="18.95" customHeight="1">
      <c r="J310" s="796"/>
      <c r="K310" s="654"/>
      <c r="L310" s="652"/>
      <c r="M310" s="653"/>
      <c r="N310" s="863">
        <v>35</v>
      </c>
      <c r="O310" s="667"/>
      <c r="P310" s="874">
        <v>5000000</v>
      </c>
      <c r="Q310" s="875"/>
      <c r="R310" s="875"/>
      <c r="S310" s="875"/>
      <c r="T310" s="876"/>
      <c r="U310" s="874">
        <v>5000000</v>
      </c>
      <c r="V310" s="875"/>
      <c r="W310" s="875"/>
      <c r="X310" s="875"/>
      <c r="Y310" s="876"/>
      <c r="Z310" s="874">
        <f>U310-P310</f>
        <v>0</v>
      </c>
      <c r="AA310" s="875"/>
      <c r="AB310" s="875"/>
      <c r="AC310" s="875"/>
      <c r="AD310" s="876"/>
      <c r="AE310" s="877">
        <v>0</v>
      </c>
      <c r="AF310" s="878"/>
      <c r="AG310" s="875"/>
      <c r="AH310" s="875"/>
      <c r="AI310" s="876"/>
      <c r="AK310" s="654"/>
      <c r="AL310" s="652"/>
      <c r="AM310" s="653"/>
      <c r="AN310" s="863">
        <v>35</v>
      </c>
      <c r="AO310" s="667"/>
      <c r="AP310" s="874">
        <v>5000000</v>
      </c>
      <c r="AQ310" s="875"/>
      <c r="AR310" s="875"/>
      <c r="AS310" s="875"/>
      <c r="AT310" s="876"/>
      <c r="AU310" s="874">
        <v>5000000</v>
      </c>
      <c r="AV310" s="875"/>
      <c r="AW310" s="875"/>
      <c r="AX310" s="875"/>
      <c r="AY310" s="876"/>
      <c r="AZ310" s="874">
        <f>AU310-AP310</f>
        <v>0</v>
      </c>
      <c r="BA310" s="875"/>
      <c r="BB310" s="875"/>
      <c r="BC310" s="875"/>
      <c r="BD310" s="876"/>
      <c r="BE310" s="874">
        <f>AU310-SUMIF($AU$317:$AU$319,AN310,$AW$317:$AW$319)</f>
        <v>0</v>
      </c>
      <c r="BF310" s="875"/>
      <c r="BG310" s="875"/>
      <c r="BH310" s="875"/>
      <c r="BI310" s="876"/>
    </row>
    <row r="311" spans="10:61" ht="18.95" customHeight="1">
      <c r="J311" s="796"/>
      <c r="K311" s="590" t="s">
        <v>1236</v>
      </c>
      <c r="L311" s="589"/>
      <c r="M311" s="588"/>
      <c r="N311" s="806">
        <v>35</v>
      </c>
      <c r="O311" s="588"/>
      <c r="P311" s="879">
        <v>7000000</v>
      </c>
      <c r="Q311" s="880"/>
      <c r="R311" s="880"/>
      <c r="S311" s="880"/>
      <c r="T311" s="881"/>
      <c r="U311" s="879">
        <v>7000000</v>
      </c>
      <c r="V311" s="880"/>
      <c r="W311" s="880"/>
      <c r="X311" s="880"/>
      <c r="Y311" s="881"/>
      <c r="Z311" s="879">
        <f t="shared" ref="Z311" si="1">U311-P311</f>
        <v>0</v>
      </c>
      <c r="AA311" s="880"/>
      <c r="AB311" s="880"/>
      <c r="AC311" s="880"/>
      <c r="AD311" s="881"/>
      <c r="AE311" s="879">
        <v>0</v>
      </c>
      <c r="AF311" s="880"/>
      <c r="AG311" s="880"/>
      <c r="AH311" s="880"/>
      <c r="AI311" s="881"/>
      <c r="AK311" s="590" t="s">
        <v>1236</v>
      </c>
      <c r="AL311" s="589"/>
      <c r="AM311" s="588"/>
      <c r="AN311" s="806">
        <v>35</v>
      </c>
      <c r="AO311" s="588"/>
      <c r="AP311" s="879">
        <v>7000000</v>
      </c>
      <c r="AQ311" s="880"/>
      <c r="AR311" s="880"/>
      <c r="AS311" s="880"/>
      <c r="AT311" s="881"/>
      <c r="AU311" s="879">
        <v>7000000</v>
      </c>
      <c r="AV311" s="880"/>
      <c r="AW311" s="880"/>
      <c r="AX311" s="880"/>
      <c r="AY311" s="881"/>
      <c r="AZ311" s="879">
        <f t="shared" ref="AZ311" si="2">AU311-AP311</f>
        <v>0</v>
      </c>
      <c r="BA311" s="880"/>
      <c r="BB311" s="880"/>
      <c r="BC311" s="880"/>
      <c r="BD311" s="881"/>
      <c r="BE311" s="879">
        <f>AW320-AU311</f>
        <v>0</v>
      </c>
      <c r="BF311" s="880"/>
      <c r="BG311" s="880"/>
      <c r="BH311" s="880"/>
      <c r="BI311" s="881"/>
    </row>
    <row r="312" spans="10:61" ht="18.95" customHeight="1">
      <c r="J312" s="796"/>
      <c r="K312" s="556" t="s">
        <v>273</v>
      </c>
      <c r="L312" s="555"/>
      <c r="M312" s="554"/>
      <c r="N312" s="806">
        <v>35</v>
      </c>
      <c r="O312" s="588"/>
      <c r="P312" s="882">
        <f>SUM(P308:P311)</f>
        <v>42000000</v>
      </c>
      <c r="Q312" s="883"/>
      <c r="R312" s="883"/>
      <c r="S312" s="883"/>
      <c r="T312" s="884"/>
      <c r="U312" s="882">
        <f>SUM(U308:U311)</f>
        <v>42000000</v>
      </c>
      <c r="V312" s="883"/>
      <c r="W312" s="883"/>
      <c r="X312" s="883"/>
      <c r="Y312" s="884"/>
      <c r="Z312" s="882">
        <f>SUM(Z308:Z311)</f>
        <v>0</v>
      </c>
      <c r="AA312" s="883"/>
      <c r="AB312" s="883"/>
      <c r="AC312" s="883"/>
      <c r="AD312" s="884"/>
      <c r="AE312" s="882">
        <f>SUM(AE308:AE311)</f>
        <v>0</v>
      </c>
      <c r="AF312" s="883"/>
      <c r="AG312" s="883"/>
      <c r="AH312" s="883"/>
      <c r="AI312" s="884"/>
      <c r="AK312" s="556" t="s">
        <v>273</v>
      </c>
      <c r="AL312" s="555"/>
      <c r="AM312" s="554"/>
      <c r="AN312" s="806">
        <v>35</v>
      </c>
      <c r="AO312" s="588"/>
      <c r="AP312" s="882">
        <f>SUM(AP308:AP311)</f>
        <v>42000000</v>
      </c>
      <c r="AQ312" s="883"/>
      <c r="AR312" s="883"/>
      <c r="AS312" s="883"/>
      <c r="AT312" s="884"/>
      <c r="AU312" s="882">
        <f>SUM(AU308:AU311)</f>
        <v>42000000</v>
      </c>
      <c r="AV312" s="883"/>
      <c r="AW312" s="883"/>
      <c r="AX312" s="883"/>
      <c r="AY312" s="884"/>
      <c r="AZ312" s="882">
        <f>SUM(AZ308:AZ311)</f>
        <v>0</v>
      </c>
      <c r="BA312" s="883"/>
      <c r="BB312" s="883"/>
      <c r="BC312" s="883"/>
      <c r="BD312" s="884"/>
      <c r="BE312" s="882">
        <f>SUM(BE308:BE311)</f>
        <v>0</v>
      </c>
      <c r="BF312" s="883"/>
      <c r="BG312" s="883"/>
      <c r="BH312" s="883"/>
      <c r="BI312" s="884"/>
    </row>
    <row r="313" spans="10:61" ht="18.95" customHeight="1">
      <c r="J313" s="796"/>
      <c r="L313" s="542"/>
    </row>
    <row r="314" spans="10:61" ht="18.95" customHeight="1">
      <c r="J314" s="796"/>
      <c r="K314" s="144" t="s">
        <v>1399</v>
      </c>
      <c r="L314" s="542"/>
    </row>
    <row r="315" spans="10:61" ht="18.95" customHeight="1" thickBot="1">
      <c r="J315" s="796"/>
      <c r="K315" s="901"/>
      <c r="L315" s="902"/>
      <c r="M315" s="901"/>
      <c r="N315" s="901"/>
      <c r="O315" s="903"/>
      <c r="P315" s="903"/>
      <c r="Q315" s="903"/>
      <c r="R315" s="903"/>
      <c r="S315" s="903"/>
      <c r="T315" s="903"/>
      <c r="U315" s="903"/>
      <c r="V315" s="903"/>
      <c r="W315" s="903"/>
      <c r="X315" s="901"/>
      <c r="Y315" s="901"/>
      <c r="Z315" s="901"/>
      <c r="AA315" s="901"/>
      <c r="AB315" s="901"/>
      <c r="AC315" s="901"/>
      <c r="AD315" s="901"/>
      <c r="AE315" s="901"/>
      <c r="AF315" s="901"/>
      <c r="AG315" s="901"/>
      <c r="AH315" s="901"/>
      <c r="AI315" s="901"/>
      <c r="AJ315" s="901"/>
      <c r="AK315" s="901"/>
      <c r="AL315" s="901"/>
      <c r="AM315" s="901"/>
      <c r="AN315" s="901"/>
      <c r="AO315" s="901"/>
      <c r="AP315" s="901"/>
      <c r="AQ315" s="901"/>
      <c r="AR315" s="901"/>
      <c r="AS315" s="901"/>
      <c r="AT315" s="901"/>
      <c r="AU315" s="901"/>
      <c r="AV315" s="901"/>
      <c r="AW315" s="901"/>
      <c r="AX315" s="901"/>
      <c r="AY315" s="901"/>
      <c r="AZ315" s="901"/>
      <c r="BA315" s="901"/>
      <c r="BB315" s="901"/>
      <c r="BC315" s="901"/>
      <c r="BD315" s="901"/>
      <c r="BE315" s="901"/>
      <c r="BF315" s="901"/>
      <c r="BG315" s="901"/>
      <c r="BH315" s="901"/>
      <c r="BI315" s="901"/>
    </row>
    <row r="316" spans="10:61" ht="18.95" customHeight="1" thickBot="1">
      <c r="J316" s="796"/>
      <c r="K316" s="901"/>
      <c r="L316" s="905" t="s">
        <v>1408</v>
      </c>
      <c r="M316" s="906"/>
      <c r="N316" s="906"/>
      <c r="O316" s="906" t="s">
        <v>1405</v>
      </c>
      <c r="P316" s="906"/>
      <c r="Q316" s="906"/>
      <c r="R316" s="906"/>
      <c r="S316" s="906" t="s">
        <v>1404</v>
      </c>
      <c r="T316" s="906"/>
      <c r="U316" s="906"/>
      <c r="V316" s="906" t="s">
        <v>1403</v>
      </c>
      <c r="W316" s="906"/>
      <c r="X316" s="906" t="s">
        <v>1407</v>
      </c>
      <c r="Y316" s="906"/>
      <c r="Z316" s="906"/>
      <c r="AA316" s="906"/>
      <c r="AB316" s="901"/>
      <c r="AC316" s="901"/>
      <c r="AD316" s="901"/>
      <c r="AE316" s="901"/>
      <c r="AF316" s="901"/>
      <c r="AG316" s="901"/>
      <c r="AH316" s="901"/>
      <c r="AI316" s="901"/>
      <c r="AJ316" s="901"/>
      <c r="AK316" s="905" t="s">
        <v>1408</v>
      </c>
      <c r="AL316" s="906"/>
      <c r="AM316" s="906"/>
      <c r="AN316" s="906" t="s">
        <v>1405</v>
      </c>
      <c r="AO316" s="906"/>
      <c r="AP316" s="906"/>
      <c r="AQ316" s="906"/>
      <c r="AR316" s="906" t="s">
        <v>1404</v>
      </c>
      <c r="AS316" s="906"/>
      <c r="AT316" s="906"/>
      <c r="AU316" s="906" t="s">
        <v>1403</v>
      </c>
      <c r="AV316" s="906"/>
      <c r="AW316" s="906" t="s">
        <v>1407</v>
      </c>
      <c r="AX316" s="906"/>
      <c r="AY316" s="906"/>
      <c r="AZ316" s="906"/>
      <c r="BA316" s="901"/>
      <c r="BB316" s="901"/>
      <c r="BC316" s="901"/>
      <c r="BD316" s="901"/>
      <c r="BE316" s="901"/>
      <c r="BF316" s="901"/>
      <c r="BG316" s="901"/>
      <c r="BH316" s="901"/>
      <c r="BI316" s="901"/>
    </row>
    <row r="317" spans="10:61" ht="18.95" customHeight="1">
      <c r="J317" s="796"/>
      <c r="K317" s="901"/>
      <c r="L317" s="907" t="s">
        <v>1401</v>
      </c>
      <c r="M317" s="908"/>
      <c r="N317" s="908"/>
      <c r="O317" s="908" t="s">
        <v>1406</v>
      </c>
      <c r="P317" s="908"/>
      <c r="Q317" s="908"/>
      <c r="R317" s="908"/>
      <c r="S317" s="908" t="s">
        <v>1402</v>
      </c>
      <c r="T317" s="908"/>
      <c r="U317" s="908"/>
      <c r="V317" s="908">
        <v>29</v>
      </c>
      <c r="W317" s="908"/>
      <c r="X317" s="1279">
        <v>10000000</v>
      </c>
      <c r="Y317" s="1279"/>
      <c r="Z317" s="1279"/>
      <c r="AA317" s="1279"/>
      <c r="AB317" s="901"/>
      <c r="AC317" s="901"/>
      <c r="AD317" s="901"/>
      <c r="AE317" s="901"/>
      <c r="AF317" s="901"/>
      <c r="AG317" s="901"/>
      <c r="AH317" s="901"/>
      <c r="AI317" s="901"/>
      <c r="AJ317" s="901"/>
      <c r="AK317" s="907" t="s">
        <v>1401</v>
      </c>
      <c r="AL317" s="908"/>
      <c r="AM317" s="908"/>
      <c r="AN317" s="908" t="s">
        <v>1406</v>
      </c>
      <c r="AO317" s="908"/>
      <c r="AP317" s="908"/>
      <c r="AQ317" s="908"/>
      <c r="AR317" s="908" t="s">
        <v>1402</v>
      </c>
      <c r="AS317" s="908"/>
      <c r="AT317" s="908"/>
      <c r="AU317" s="908">
        <v>29</v>
      </c>
      <c r="AV317" s="908"/>
      <c r="AW317" s="1279">
        <v>10000000</v>
      </c>
      <c r="AX317" s="1279"/>
      <c r="AY317" s="1279"/>
      <c r="AZ317" s="1279"/>
      <c r="BA317" s="901"/>
      <c r="BB317" s="901"/>
      <c r="BC317" s="901"/>
      <c r="BD317" s="901"/>
      <c r="BE317" s="901"/>
      <c r="BF317" s="901"/>
      <c r="BG317" s="901"/>
      <c r="BH317" s="901"/>
      <c r="BI317" s="901"/>
    </row>
    <row r="318" spans="10:61" ht="18.95" customHeight="1">
      <c r="J318" s="796"/>
      <c r="K318" s="901"/>
      <c r="L318" s="909" t="s">
        <v>1401</v>
      </c>
      <c r="M318" s="910"/>
      <c r="N318" s="910"/>
      <c r="O318" s="910" t="s">
        <v>1409</v>
      </c>
      <c r="P318" s="910"/>
      <c r="Q318" s="910"/>
      <c r="R318" s="910"/>
      <c r="S318" s="910" t="s">
        <v>1402</v>
      </c>
      <c r="T318" s="910"/>
      <c r="U318" s="910"/>
      <c r="V318" s="910">
        <v>29</v>
      </c>
      <c r="W318" s="910"/>
      <c r="X318" s="1280">
        <v>20000000</v>
      </c>
      <c r="Y318" s="1280"/>
      <c r="Z318" s="1280"/>
      <c r="AA318" s="1280"/>
      <c r="AB318" s="901"/>
      <c r="AC318" s="901"/>
      <c r="AD318" s="901"/>
      <c r="AE318" s="901"/>
      <c r="AF318" s="901"/>
      <c r="AG318" s="901"/>
      <c r="AH318" s="901"/>
      <c r="AI318" s="901"/>
      <c r="AJ318" s="901"/>
      <c r="AK318" s="909" t="s">
        <v>1401</v>
      </c>
      <c r="AL318" s="910"/>
      <c r="AM318" s="910"/>
      <c r="AN318" s="910" t="s">
        <v>1409</v>
      </c>
      <c r="AO318" s="910"/>
      <c r="AP318" s="910"/>
      <c r="AQ318" s="910"/>
      <c r="AR318" s="910" t="s">
        <v>1402</v>
      </c>
      <c r="AS318" s="910"/>
      <c r="AT318" s="910"/>
      <c r="AU318" s="910">
        <v>29</v>
      </c>
      <c r="AV318" s="910"/>
      <c r="AW318" s="1280">
        <v>20000000</v>
      </c>
      <c r="AX318" s="1280"/>
      <c r="AY318" s="1280"/>
      <c r="AZ318" s="1280"/>
      <c r="BA318" s="901"/>
      <c r="BB318" s="901"/>
      <c r="BC318" s="901"/>
      <c r="BD318" s="901"/>
      <c r="BE318" s="901"/>
      <c r="BF318" s="901"/>
      <c r="BG318" s="901"/>
      <c r="BH318" s="901"/>
      <c r="BI318" s="901"/>
    </row>
    <row r="319" spans="10:61" ht="18.95" customHeight="1">
      <c r="J319" s="796"/>
      <c r="K319" s="901"/>
      <c r="L319" s="909" t="s">
        <v>1401</v>
      </c>
      <c r="M319" s="910"/>
      <c r="N319" s="910"/>
      <c r="O319" s="910" t="s">
        <v>1410</v>
      </c>
      <c r="P319" s="910"/>
      <c r="Q319" s="910"/>
      <c r="R319" s="910"/>
      <c r="S319" s="910" t="s">
        <v>1402</v>
      </c>
      <c r="T319" s="910"/>
      <c r="U319" s="910"/>
      <c r="V319" s="910">
        <v>35</v>
      </c>
      <c r="W319" s="910"/>
      <c r="X319" s="1280">
        <v>5000000</v>
      </c>
      <c r="Y319" s="1280"/>
      <c r="Z319" s="1280"/>
      <c r="AA319" s="1280"/>
      <c r="AB319" s="901"/>
      <c r="AC319" s="901"/>
      <c r="AD319" s="901"/>
      <c r="AE319" s="901"/>
      <c r="AF319" s="901"/>
      <c r="AG319" s="901"/>
      <c r="AH319" s="901"/>
      <c r="AI319" s="901"/>
      <c r="AJ319" s="901"/>
      <c r="AK319" s="909" t="s">
        <v>1401</v>
      </c>
      <c r="AL319" s="910"/>
      <c r="AM319" s="910"/>
      <c r="AN319" s="910" t="s">
        <v>1410</v>
      </c>
      <c r="AO319" s="910"/>
      <c r="AP319" s="910"/>
      <c r="AQ319" s="910"/>
      <c r="AR319" s="910" t="s">
        <v>1402</v>
      </c>
      <c r="AS319" s="910"/>
      <c r="AT319" s="910"/>
      <c r="AU319" s="910">
        <v>35</v>
      </c>
      <c r="AV319" s="910"/>
      <c r="AW319" s="1280">
        <v>5000000</v>
      </c>
      <c r="AX319" s="1280"/>
      <c r="AY319" s="1280"/>
      <c r="AZ319" s="1280"/>
      <c r="BA319" s="901"/>
      <c r="BB319" s="901"/>
      <c r="BC319" s="901"/>
      <c r="BD319" s="901"/>
      <c r="BE319" s="901"/>
      <c r="BF319" s="901"/>
      <c r="BG319" s="901"/>
      <c r="BH319" s="901"/>
      <c r="BI319" s="901"/>
    </row>
    <row r="320" spans="10:61" ht="18.95" customHeight="1">
      <c r="J320" s="796"/>
      <c r="K320" s="901"/>
      <c r="L320" s="909" t="s">
        <v>1411</v>
      </c>
      <c r="M320" s="910"/>
      <c r="N320" s="910"/>
      <c r="O320" s="910" t="s">
        <v>1406</v>
      </c>
      <c r="P320" s="910"/>
      <c r="Q320" s="910"/>
      <c r="R320" s="910"/>
      <c r="S320" s="910" t="s">
        <v>1402</v>
      </c>
      <c r="T320" s="910"/>
      <c r="U320" s="910"/>
      <c r="V320" s="910">
        <v>35</v>
      </c>
      <c r="W320" s="910"/>
      <c r="X320" s="1280">
        <v>7000000</v>
      </c>
      <c r="Y320" s="1280"/>
      <c r="Z320" s="1280"/>
      <c r="AA320" s="1280"/>
      <c r="AB320" s="901"/>
      <c r="AC320" s="901"/>
      <c r="AD320" s="901"/>
      <c r="AE320" s="901"/>
      <c r="AF320" s="901"/>
      <c r="AG320" s="901"/>
      <c r="AH320" s="901"/>
      <c r="AI320" s="901"/>
      <c r="AJ320" s="901"/>
      <c r="AK320" s="909" t="s">
        <v>1411</v>
      </c>
      <c r="AL320" s="910"/>
      <c r="AM320" s="910"/>
      <c r="AN320" s="910" t="s">
        <v>1406</v>
      </c>
      <c r="AO320" s="910"/>
      <c r="AP320" s="910"/>
      <c r="AQ320" s="910"/>
      <c r="AR320" s="910" t="s">
        <v>1402</v>
      </c>
      <c r="AS320" s="910"/>
      <c r="AT320" s="910"/>
      <c r="AU320" s="910">
        <v>35</v>
      </c>
      <c r="AV320" s="910"/>
      <c r="AW320" s="1280">
        <v>7000000</v>
      </c>
      <c r="AX320" s="1280"/>
      <c r="AY320" s="1280"/>
      <c r="AZ320" s="1280"/>
      <c r="BA320" s="901"/>
      <c r="BB320" s="901"/>
      <c r="BC320" s="901"/>
      <c r="BD320" s="901"/>
      <c r="BE320" s="901"/>
      <c r="BF320" s="901"/>
      <c r="BG320" s="901"/>
      <c r="BH320" s="901"/>
      <c r="BI320" s="901"/>
    </row>
    <row r="321" spans="4:61" ht="18.95" customHeight="1">
      <c r="J321" s="796"/>
      <c r="K321" s="901"/>
      <c r="L321" s="909"/>
      <c r="M321" s="910"/>
      <c r="N321" s="910"/>
      <c r="O321" s="910"/>
      <c r="P321" s="910"/>
      <c r="Q321" s="910"/>
      <c r="R321" s="910"/>
      <c r="S321" s="910"/>
      <c r="T321" s="910"/>
      <c r="U321" s="910"/>
      <c r="V321" s="910"/>
      <c r="W321" s="910"/>
      <c r="X321" s="1280"/>
      <c r="Y321" s="1280"/>
      <c r="Z321" s="1280"/>
      <c r="AA321" s="1280"/>
      <c r="AB321" s="901"/>
      <c r="AC321" s="901"/>
      <c r="AD321" s="901"/>
      <c r="AE321" s="901"/>
      <c r="AF321" s="901"/>
      <c r="AG321" s="901"/>
      <c r="AH321" s="901"/>
      <c r="AI321" s="901"/>
      <c r="AJ321" s="901"/>
      <c r="AK321" s="911" t="s">
        <v>1401</v>
      </c>
      <c r="AL321" s="912"/>
      <c r="AM321" s="912"/>
      <c r="AN321" s="912" t="s">
        <v>1413</v>
      </c>
      <c r="AO321" s="912"/>
      <c r="AP321" s="912"/>
      <c r="AQ321" s="912"/>
      <c r="AR321" s="912" t="s">
        <v>1412</v>
      </c>
      <c r="AS321" s="912"/>
      <c r="AT321" s="912"/>
      <c r="AU321" s="912">
        <v>29</v>
      </c>
      <c r="AV321" s="912"/>
      <c r="AW321" s="1281">
        <v>-1000000</v>
      </c>
      <c r="AX321" s="1281"/>
      <c r="AY321" s="1281"/>
      <c r="AZ321" s="1281"/>
      <c r="BA321" s="901"/>
      <c r="BB321" s="901"/>
      <c r="BC321" s="901"/>
      <c r="BD321" s="901"/>
      <c r="BE321" s="901"/>
      <c r="BF321" s="901"/>
      <c r="BG321" s="901"/>
      <c r="BH321" s="901"/>
      <c r="BI321" s="901"/>
    </row>
    <row r="322" spans="4:61" ht="18.95" customHeight="1" thickBot="1">
      <c r="J322" s="796"/>
      <c r="K322" s="901"/>
      <c r="L322" s="909"/>
      <c r="M322" s="910"/>
      <c r="N322" s="910"/>
      <c r="O322" s="910"/>
      <c r="P322" s="910"/>
      <c r="Q322" s="910"/>
      <c r="R322" s="910"/>
      <c r="S322" s="910"/>
      <c r="T322" s="910"/>
      <c r="U322" s="910"/>
      <c r="V322" s="910"/>
      <c r="W322" s="910"/>
      <c r="X322" s="1280"/>
      <c r="Y322" s="1280"/>
      <c r="Z322" s="1280"/>
      <c r="AA322" s="1280"/>
      <c r="AB322" s="901"/>
      <c r="AC322" s="901"/>
      <c r="AD322" s="901"/>
      <c r="AE322" s="901"/>
      <c r="AF322" s="901"/>
      <c r="AG322" s="901"/>
      <c r="AH322" s="901"/>
      <c r="AI322" s="901"/>
      <c r="AJ322" s="901"/>
      <c r="AK322" s="911" t="s">
        <v>1401</v>
      </c>
      <c r="AL322" s="912"/>
      <c r="AM322" s="912"/>
      <c r="AN322" s="912" t="s">
        <v>1413</v>
      </c>
      <c r="AO322" s="912"/>
      <c r="AP322" s="912"/>
      <c r="AQ322" s="912"/>
      <c r="AR322" s="912" t="s">
        <v>1412</v>
      </c>
      <c r="AS322" s="912"/>
      <c r="AT322" s="912"/>
      <c r="AU322" s="912">
        <v>30</v>
      </c>
      <c r="AV322" s="912"/>
      <c r="AW322" s="1281">
        <v>1000000</v>
      </c>
      <c r="AX322" s="1281"/>
      <c r="AY322" s="1281"/>
      <c r="AZ322" s="1281"/>
      <c r="BA322" s="901"/>
      <c r="BB322" s="901"/>
      <c r="BC322" s="901"/>
      <c r="BD322" s="901"/>
      <c r="BE322" s="901"/>
      <c r="BF322" s="901"/>
      <c r="BG322" s="901"/>
      <c r="BH322" s="901"/>
      <c r="BI322" s="901"/>
    </row>
    <row r="323" spans="4:61" ht="18.95" customHeight="1" thickBot="1">
      <c r="J323" s="796"/>
      <c r="K323" s="901"/>
      <c r="L323" s="913"/>
      <c r="M323" s="914"/>
      <c r="N323" s="914"/>
      <c r="O323" s="914"/>
      <c r="P323" s="914"/>
      <c r="Q323" s="914"/>
      <c r="R323" s="914"/>
      <c r="S323" s="914"/>
      <c r="T323" s="914"/>
      <c r="U323" s="914"/>
      <c r="V323" s="914"/>
      <c r="W323" s="914"/>
      <c r="X323" s="1282">
        <f>SUM(X317:AA322)</f>
        <v>42000000</v>
      </c>
      <c r="Y323" s="1282"/>
      <c r="Z323" s="1282"/>
      <c r="AA323" s="1282"/>
      <c r="AB323" s="901"/>
      <c r="AC323" s="901"/>
      <c r="AD323" s="901"/>
      <c r="AE323" s="901"/>
      <c r="AF323" s="901"/>
      <c r="AG323" s="901"/>
      <c r="AH323" s="901"/>
      <c r="AI323" s="901"/>
      <c r="AJ323" s="901"/>
      <c r="AK323" s="913"/>
      <c r="AL323" s="914"/>
      <c r="AM323" s="914"/>
      <c r="AN323" s="914"/>
      <c r="AO323" s="914"/>
      <c r="AP323" s="914"/>
      <c r="AQ323" s="914"/>
      <c r="AR323" s="914"/>
      <c r="AS323" s="914"/>
      <c r="AT323" s="914"/>
      <c r="AU323" s="914"/>
      <c r="AV323" s="914"/>
      <c r="AW323" s="1282">
        <f>SUM(AW317:AZ322)</f>
        <v>42000000</v>
      </c>
      <c r="AX323" s="1282"/>
      <c r="AY323" s="1282"/>
      <c r="AZ323" s="1282"/>
      <c r="BA323" s="901"/>
      <c r="BB323" s="901"/>
      <c r="BC323" s="901"/>
      <c r="BD323" s="901"/>
      <c r="BE323" s="901"/>
      <c r="BF323" s="901"/>
      <c r="BG323" s="901"/>
      <c r="BH323" s="901"/>
      <c r="BI323" s="901"/>
    </row>
    <row r="324" spans="4:61" ht="18.95" customHeight="1">
      <c r="J324" s="796"/>
      <c r="K324" s="901"/>
      <c r="L324" s="904"/>
      <c r="M324" s="903"/>
      <c r="N324" s="903"/>
      <c r="O324" s="903"/>
      <c r="P324" s="903"/>
      <c r="Q324" s="903"/>
      <c r="R324" s="903"/>
      <c r="S324" s="903"/>
      <c r="T324" s="903"/>
      <c r="U324" s="903"/>
      <c r="V324" s="903"/>
      <c r="W324" s="903"/>
      <c r="X324" s="901"/>
      <c r="Y324" s="901"/>
      <c r="Z324" s="901"/>
      <c r="AA324" s="901"/>
      <c r="AB324" s="901"/>
      <c r="AC324" s="901"/>
      <c r="AD324" s="901"/>
      <c r="AE324" s="901"/>
      <c r="AF324" s="901"/>
      <c r="AG324" s="901"/>
      <c r="AH324" s="901"/>
      <c r="AI324" s="901"/>
      <c r="AJ324" s="901"/>
      <c r="AK324" s="901"/>
      <c r="AL324" s="901"/>
      <c r="AM324" s="901"/>
      <c r="AN324" s="901"/>
      <c r="AO324" s="901"/>
      <c r="AP324" s="901"/>
      <c r="AQ324" s="901"/>
      <c r="AR324" s="901"/>
      <c r="AS324" s="901"/>
      <c r="AT324" s="901"/>
      <c r="AU324" s="901"/>
      <c r="AV324" s="901"/>
      <c r="AW324" s="901"/>
      <c r="AX324" s="901"/>
      <c r="AY324" s="901"/>
      <c r="AZ324" s="901"/>
      <c r="BA324" s="901"/>
      <c r="BB324" s="901"/>
      <c r="BC324" s="901"/>
      <c r="BD324" s="901"/>
      <c r="BE324" s="901"/>
      <c r="BF324" s="901"/>
      <c r="BG324" s="901"/>
      <c r="BH324" s="901"/>
      <c r="BI324" s="901"/>
    </row>
    <row r="327" spans="4:61" ht="18.95" customHeight="1">
      <c r="H327" s="601" t="s">
        <v>1274</v>
      </c>
      <c r="I327" s="540"/>
      <c r="J327" s="530" t="s">
        <v>1311</v>
      </c>
    </row>
    <row r="329" spans="4:61" s="509" customFormat="1" ht="5.0999999999999996" customHeight="1">
      <c r="D329" s="528"/>
      <c r="E329" s="528"/>
      <c r="F329"/>
      <c r="G329"/>
      <c r="H329"/>
      <c r="I329"/>
      <c r="J329"/>
      <c r="K329" s="613"/>
      <c r="L329" s="612"/>
      <c r="M329" s="612"/>
      <c r="N329" s="612"/>
      <c r="O329" s="612"/>
      <c r="P329" s="612"/>
      <c r="Q329" s="612"/>
      <c r="R329" s="612"/>
      <c r="S329" s="612"/>
      <c r="T329" s="612"/>
      <c r="U329" s="612"/>
      <c r="V329" s="612"/>
      <c r="W329" s="611"/>
      <c r="X329"/>
      <c r="Z329"/>
      <c r="AA329"/>
      <c r="AB329"/>
      <c r="AC329" s="617"/>
      <c r="AD329" s="617"/>
      <c r="AE329" s="617"/>
      <c r="AF329" s="617"/>
      <c r="AG329" s="617"/>
      <c r="AH329" s="617"/>
      <c r="AI329" s="617"/>
      <c r="AJ329" s="617"/>
      <c r="AK329" s="617"/>
      <c r="AL329" s="617"/>
      <c r="AM329" s="617"/>
      <c r="AN329" s="617"/>
      <c r="AO329" s="617"/>
      <c r="AP329" s="617"/>
      <c r="AQ329" s="617"/>
      <c r="AR329" s="617"/>
      <c r="AS329" s="617"/>
      <c r="AT329" s="617"/>
      <c r="AU329" s="617"/>
      <c r="AV329" s="617"/>
      <c r="AW329" s="617"/>
      <c r="AX329" s="617"/>
      <c r="AY329" s="617"/>
      <c r="AZ329" s="617"/>
      <c r="BA329" s="617"/>
      <c r="BB329" s="617"/>
      <c r="BC329" s="617"/>
      <c r="BD329" s="617"/>
      <c r="BE329" s="617"/>
    </row>
    <row r="330" spans="4:61" s="509" customFormat="1" ht="18.95" customHeight="1">
      <c r="D330" s="528"/>
      <c r="E330" s="528"/>
      <c r="F330"/>
      <c r="G330"/>
      <c r="H330"/>
      <c r="I330"/>
      <c r="J330"/>
      <c r="K330" s="610" t="s">
        <v>1315</v>
      </c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609"/>
      <c r="X330" s="808" t="s">
        <v>1316</v>
      </c>
      <c r="Y330" s="445"/>
      <c r="Z330" s="445"/>
      <c r="AA330" s="445"/>
      <c r="AB330" s="445"/>
      <c r="AC330" s="445"/>
      <c r="AD330" s="445"/>
      <c r="AE330" s="445"/>
      <c r="AF330" s="445"/>
      <c r="AG330" s="445"/>
      <c r="AH330" s="445"/>
      <c r="AI330" s="445"/>
      <c r="AJ330" s="445"/>
      <c r="AK330" s="835" t="s">
        <v>1317</v>
      </c>
      <c r="AL330" s="833"/>
      <c r="AM330" s="833"/>
      <c r="AN330" s="833"/>
      <c r="AO330" s="833"/>
      <c r="AP330" s="833"/>
      <c r="AQ330" s="833"/>
      <c r="AR330" s="833"/>
      <c r="AS330" s="833"/>
      <c r="AT330" s="833"/>
      <c r="AU330" s="833"/>
      <c r="AV330" s="833"/>
      <c r="AW330" s="834"/>
      <c r="AX330" s="617"/>
    </row>
    <row r="331" spans="4:61" s="509" customFormat="1" ht="9.9499999999999993" customHeight="1">
      <c r="D331" s="528"/>
      <c r="E331" s="528"/>
      <c r="F331"/>
      <c r="G331"/>
      <c r="H331"/>
      <c r="I331"/>
      <c r="J331" s="605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 s="603"/>
      <c r="Y331" s="603"/>
      <c r="Z331" s="603"/>
      <c r="AA331" s="603"/>
      <c r="AB331" s="603"/>
      <c r="AC331" s="603"/>
      <c r="AD331" s="603"/>
      <c r="AE331" s="603"/>
      <c r="AF331" s="603"/>
      <c r="AG331" s="603"/>
      <c r="AH331" s="603"/>
      <c r="AI331" s="603"/>
      <c r="AJ331" s="603"/>
      <c r="AK331" s="603"/>
      <c r="AL331" s="603"/>
      <c r="AM331" s="603"/>
      <c r="AN331" s="603"/>
      <c r="AO331" s="603"/>
      <c r="AP331" s="603"/>
      <c r="AQ331" s="603"/>
      <c r="AR331" s="603"/>
      <c r="AS331" s="603"/>
      <c r="AT331" s="603"/>
      <c r="AU331" s="603"/>
      <c r="AV331" s="603"/>
      <c r="AW331" s="603"/>
      <c r="AX331" s="603"/>
      <c r="AY331" s="603"/>
      <c r="AZ331" s="603"/>
      <c r="BA331" s="603"/>
      <c r="BB331" s="603"/>
      <c r="BC331" s="603"/>
      <c r="BD331" s="603"/>
      <c r="BE331" s="603"/>
      <c r="BF331" s="603"/>
      <c r="BG331" s="602"/>
    </row>
    <row r="332" spans="4:61" ht="18.95" customHeight="1">
      <c r="J332" s="619"/>
      <c r="K332" s="600" t="s">
        <v>1306</v>
      </c>
      <c r="L332" s="563"/>
      <c r="M332" s="563"/>
      <c r="N332" s="1242" t="s">
        <v>1230</v>
      </c>
      <c r="O332" s="1243"/>
      <c r="P332" s="1243"/>
      <c r="Q332" s="1244"/>
      <c r="R332" s="598" t="s">
        <v>942</v>
      </c>
      <c r="S332" s="575" t="s">
        <v>1044</v>
      </c>
      <c r="T332" s="599"/>
      <c r="U332" s="599"/>
      <c r="V332" s="595" t="s">
        <v>646</v>
      </c>
      <c r="W332" s="594"/>
      <c r="X332" s="594"/>
      <c r="Y332" s="593"/>
      <c r="Z332" s="596" t="s">
        <v>946</v>
      </c>
      <c r="BA332" s="586" t="s">
        <v>1035</v>
      </c>
      <c r="BB332" s="585"/>
      <c r="BC332" s="585"/>
      <c r="BD332" s="586" t="s">
        <v>1004</v>
      </c>
      <c r="BE332" s="585"/>
      <c r="BF332" s="585"/>
      <c r="BG332" s="573"/>
    </row>
    <row r="333" spans="4:61" ht="9.9499999999999993" customHeight="1">
      <c r="J333" s="619"/>
      <c r="BG333" s="573"/>
    </row>
    <row r="334" spans="4:61" ht="18.95" customHeight="1">
      <c r="J334" s="619"/>
      <c r="K334" s="600" t="s">
        <v>1278</v>
      </c>
      <c r="L334" s="563"/>
      <c r="M334" s="563"/>
      <c r="N334" s="595" t="s">
        <v>518</v>
      </c>
      <c r="O334" s="594"/>
      <c r="P334" s="594"/>
      <c r="Q334" s="593"/>
      <c r="R334" s="596" t="s">
        <v>946</v>
      </c>
      <c r="S334" s="575" t="s">
        <v>1227</v>
      </c>
      <c r="T334" s="599"/>
      <c r="U334" s="599"/>
      <c r="V334" s="1242" t="s">
        <v>539</v>
      </c>
      <c r="W334" s="1243"/>
      <c r="X334" s="1243"/>
      <c r="Y334" s="1244"/>
      <c r="Z334" s="596" t="s">
        <v>946</v>
      </c>
      <c r="AA334" s="575" t="s">
        <v>952</v>
      </c>
      <c r="AB334" s="599"/>
      <c r="AC334" s="599"/>
      <c r="AD334" s="590" t="s">
        <v>955</v>
      </c>
      <c r="AE334" s="589"/>
      <c r="AF334" s="588"/>
      <c r="AG334" s="587" t="s">
        <v>956</v>
      </c>
      <c r="AH334" s="589"/>
      <c r="AI334" s="589"/>
      <c r="AJ334" s="589"/>
      <c r="AK334" s="589"/>
      <c r="AL334" s="589"/>
      <c r="AM334" s="596" t="s">
        <v>949</v>
      </c>
      <c r="BG334" s="573"/>
    </row>
    <row r="335" spans="4:61" ht="18.95" customHeight="1">
      <c r="J335" s="619"/>
      <c r="BB335" s="1072" t="s">
        <v>1584</v>
      </c>
      <c r="BG335" s="573"/>
    </row>
    <row r="336" spans="4:61" ht="18.95" customHeight="1">
      <c r="J336" s="619"/>
      <c r="K336" s="1245" t="s">
        <v>1165</v>
      </c>
      <c r="L336" s="1225"/>
      <c r="M336" s="1225"/>
      <c r="N336" s="1226"/>
      <c r="O336" s="561" t="s">
        <v>990</v>
      </c>
      <c r="P336" s="560"/>
      <c r="Q336" s="560"/>
      <c r="R336" s="560"/>
      <c r="S336" s="560"/>
      <c r="T336" s="560"/>
      <c r="U336" s="560"/>
      <c r="V336" s="560"/>
      <c r="W336" s="560"/>
      <c r="X336" s="560"/>
      <c r="Y336" s="560"/>
      <c r="Z336" s="560"/>
      <c r="AA336" s="559"/>
      <c r="AB336" s="561"/>
      <c r="AC336" s="560"/>
      <c r="AD336" s="559"/>
      <c r="AE336" s="1245" t="s">
        <v>1279</v>
      </c>
      <c r="AF336" s="1225"/>
      <c r="AG336" s="1225"/>
      <c r="AH336" s="1226"/>
      <c r="AI336" s="1245" t="s">
        <v>1281</v>
      </c>
      <c r="AJ336" s="1226"/>
      <c r="AK336" s="1245" t="s">
        <v>1283</v>
      </c>
      <c r="AL336" s="1226"/>
      <c r="AM336" s="1219" t="s">
        <v>1285</v>
      </c>
      <c r="AN336" s="1220"/>
      <c r="AO336" s="1221"/>
      <c r="AP336" s="1219" t="s">
        <v>1284</v>
      </c>
      <c r="AQ336" s="1225"/>
      <c r="AR336" s="1225"/>
      <c r="AS336" s="1226"/>
      <c r="AT336" s="1219" t="s">
        <v>1286</v>
      </c>
      <c r="AU336" s="1225"/>
      <c r="AV336" s="1225"/>
      <c r="AW336" s="1226"/>
      <c r="AX336" s="1230" t="s">
        <v>1305</v>
      </c>
      <c r="AY336" s="1231"/>
      <c r="AZ336" s="1231"/>
      <c r="BA336" s="1232"/>
      <c r="BB336" s="1236" t="s">
        <v>1310</v>
      </c>
      <c r="BC336" s="1237"/>
      <c r="BD336" s="1237"/>
      <c r="BE336" s="1238"/>
      <c r="BF336" s="553"/>
      <c r="BG336" s="573"/>
    </row>
    <row r="337" spans="10:59" ht="18.95" customHeight="1">
      <c r="J337" s="619"/>
      <c r="K337" s="1227"/>
      <c r="L337" s="1228"/>
      <c r="M337" s="1228"/>
      <c r="N337" s="1229"/>
      <c r="O337" s="623" t="s">
        <v>1168</v>
      </c>
      <c r="P337" s="624"/>
      <c r="Q337" s="625"/>
      <c r="R337" s="561" t="s">
        <v>1224</v>
      </c>
      <c r="S337" s="560"/>
      <c r="T337" s="560"/>
      <c r="U337" s="559"/>
      <c r="V337" s="561" t="s">
        <v>981</v>
      </c>
      <c r="W337" s="560"/>
      <c r="X337" s="559"/>
      <c r="Y337" s="561" t="s">
        <v>982</v>
      </c>
      <c r="Z337" s="560"/>
      <c r="AA337" s="560"/>
      <c r="AB337" s="560"/>
      <c r="AC337" s="560"/>
      <c r="AD337" s="559"/>
      <c r="AE337" s="1227"/>
      <c r="AF337" s="1228"/>
      <c r="AG337" s="1228"/>
      <c r="AH337" s="1229"/>
      <c r="AI337" s="1227"/>
      <c r="AJ337" s="1229"/>
      <c r="AK337" s="1227"/>
      <c r="AL337" s="1229"/>
      <c r="AM337" s="1222"/>
      <c r="AN337" s="1223"/>
      <c r="AO337" s="1224"/>
      <c r="AP337" s="1227"/>
      <c r="AQ337" s="1228"/>
      <c r="AR337" s="1228"/>
      <c r="AS337" s="1229"/>
      <c r="AT337" s="1227"/>
      <c r="AU337" s="1228"/>
      <c r="AV337" s="1228"/>
      <c r="AW337" s="1229"/>
      <c r="AX337" s="1233"/>
      <c r="AY337" s="1234"/>
      <c r="AZ337" s="1234"/>
      <c r="BA337" s="1235"/>
      <c r="BB337" s="1239"/>
      <c r="BC337" s="1240"/>
      <c r="BD337" s="1240"/>
      <c r="BE337" s="1241"/>
      <c r="BF337" s="552"/>
      <c r="BG337" s="573"/>
    </row>
    <row r="338" spans="10:59" ht="18.95" customHeight="1">
      <c r="J338" s="619"/>
      <c r="K338" s="750" t="s">
        <v>646</v>
      </c>
      <c r="L338" s="682"/>
      <c r="M338" s="682"/>
      <c r="N338" s="679"/>
      <c r="O338" s="750" t="s">
        <v>518</v>
      </c>
      <c r="P338" s="682"/>
      <c r="Q338" s="682"/>
      <c r="R338" s="1246" t="s">
        <v>1225</v>
      </c>
      <c r="S338" s="1247"/>
      <c r="T338" s="1247"/>
      <c r="U338" s="1248"/>
      <c r="V338" s="638" t="s">
        <v>955</v>
      </c>
      <c r="W338" s="639"/>
      <c r="X338" s="640"/>
      <c r="Y338" s="751" t="s">
        <v>1040</v>
      </c>
      <c r="Z338" s="639"/>
      <c r="AA338" s="639"/>
      <c r="AB338" s="639"/>
      <c r="AC338" s="639"/>
      <c r="AD338" s="640"/>
      <c r="AE338" s="750" t="s">
        <v>1280</v>
      </c>
      <c r="AF338" s="682"/>
      <c r="AG338" s="682"/>
      <c r="AH338" s="679"/>
      <c r="AI338" s="806">
        <v>29</v>
      </c>
      <c r="AJ338" s="588"/>
      <c r="AK338" s="806">
        <f>(1-AT338/AP338)*100</f>
        <v>76.208459214501516</v>
      </c>
      <c r="AL338" s="588"/>
      <c r="AM338" s="595">
        <v>77</v>
      </c>
      <c r="AN338" s="594"/>
      <c r="AO338" s="593"/>
      <c r="AP338" s="595">
        <v>15888000</v>
      </c>
      <c r="AQ338" s="594"/>
      <c r="AR338" s="594"/>
      <c r="AS338" s="593"/>
      <c r="AT338" s="595">
        <v>3780000</v>
      </c>
      <c r="AU338" s="594"/>
      <c r="AV338" s="594"/>
      <c r="AW338" s="593"/>
      <c r="AX338" s="595">
        <f>AT338-BB338</f>
        <v>1096200</v>
      </c>
      <c r="AY338" s="594"/>
      <c r="AZ338" s="594"/>
      <c r="BA338" s="593"/>
      <c r="BB338" s="595">
        <f>AT338-(AT338*(AI338/100))</f>
        <v>2683800</v>
      </c>
      <c r="BC338" s="594"/>
      <c r="BD338" s="594"/>
      <c r="BE338" s="593"/>
      <c r="BF338" s="551" t="s">
        <v>942</v>
      </c>
      <c r="BG338" s="573" t="s">
        <v>1282</v>
      </c>
    </row>
    <row r="339" spans="10:59" ht="18.95" customHeight="1">
      <c r="J339" s="619"/>
      <c r="K339" s="752"/>
      <c r="L339" s="620"/>
      <c r="M339" s="620"/>
      <c r="N339" s="680"/>
      <c r="O339" s="752"/>
      <c r="P339" s="620"/>
      <c r="Q339" s="620"/>
      <c r="R339" s="654"/>
      <c r="S339" s="620"/>
      <c r="T339" s="620"/>
      <c r="U339" s="680"/>
      <c r="V339" s="654"/>
      <c r="W339" s="652"/>
      <c r="X339" s="653"/>
      <c r="Y339" s="753"/>
      <c r="Z339" s="652"/>
      <c r="AA339" s="652"/>
      <c r="AB339" s="652"/>
      <c r="AC339" s="652"/>
      <c r="AD339" s="653"/>
      <c r="AE339" s="752"/>
      <c r="AF339" s="620"/>
      <c r="AG339" s="620"/>
      <c r="AH339" s="680"/>
      <c r="AI339" s="806">
        <v>35</v>
      </c>
      <c r="AJ339" s="588"/>
      <c r="AK339" s="806">
        <f t="shared" ref="AK339:AK340" si="3">(1-AT339/AP339)*100</f>
        <v>18.28893442622951</v>
      </c>
      <c r="AL339" s="588"/>
      <c r="AM339" s="595">
        <v>11</v>
      </c>
      <c r="AN339" s="594"/>
      <c r="AO339" s="593"/>
      <c r="AP339" s="595">
        <v>1952000</v>
      </c>
      <c r="AQ339" s="594"/>
      <c r="AR339" s="594"/>
      <c r="AS339" s="593"/>
      <c r="AT339" s="595">
        <v>1595000</v>
      </c>
      <c r="AU339" s="594"/>
      <c r="AV339" s="594"/>
      <c r="AW339" s="593"/>
      <c r="AX339" s="595">
        <f>AT339-BB339</f>
        <v>558250</v>
      </c>
      <c r="AY339" s="594"/>
      <c r="AZ339" s="594"/>
      <c r="BA339" s="593"/>
      <c r="BB339" s="595">
        <f>AT339-(AT339*(AI339/100))</f>
        <v>1036750</v>
      </c>
      <c r="BC339" s="594"/>
      <c r="BD339" s="594"/>
      <c r="BE339" s="593"/>
      <c r="BF339" s="618"/>
      <c r="BG339" s="573"/>
    </row>
    <row r="340" spans="10:59" ht="18.95" customHeight="1">
      <c r="J340" s="619"/>
      <c r="K340" s="799"/>
      <c r="L340" s="787"/>
      <c r="M340" s="787"/>
      <c r="N340" s="788"/>
      <c r="O340" s="799"/>
      <c r="P340" s="787"/>
      <c r="Q340" s="787"/>
      <c r="R340" s="783"/>
      <c r="S340" s="784"/>
      <c r="T340" s="784"/>
      <c r="U340" s="785"/>
      <c r="V340" s="786"/>
      <c r="W340" s="800"/>
      <c r="X340" s="801"/>
      <c r="Y340" s="756"/>
      <c r="Z340" s="800"/>
      <c r="AA340" s="800"/>
      <c r="AB340" s="800"/>
      <c r="AC340" s="800"/>
      <c r="AD340" s="667"/>
      <c r="AE340" s="754"/>
      <c r="AF340" s="755"/>
      <c r="AG340" s="755"/>
      <c r="AH340" s="681"/>
      <c r="AI340" s="807">
        <f>100-(BB340/AT340*100)</f>
        <v>30.780465116279061</v>
      </c>
      <c r="AJ340" s="802"/>
      <c r="AK340" s="807">
        <f t="shared" si="3"/>
        <v>69.871076233183842</v>
      </c>
      <c r="AL340" s="802"/>
      <c r="AM340" s="803">
        <f>AM338+AM339</f>
        <v>88</v>
      </c>
      <c r="AN340" s="804"/>
      <c r="AO340" s="805"/>
      <c r="AP340" s="803">
        <f>AP339+AP338</f>
        <v>17840000</v>
      </c>
      <c r="AQ340" s="804"/>
      <c r="AR340" s="804"/>
      <c r="AS340" s="805"/>
      <c r="AT340" s="803">
        <f>AT338+AT339</f>
        <v>5375000</v>
      </c>
      <c r="AU340" s="804"/>
      <c r="AV340" s="804"/>
      <c r="AW340" s="805"/>
      <c r="AX340" s="803">
        <f>AX338+AX339</f>
        <v>1654450</v>
      </c>
      <c r="AY340" s="804"/>
      <c r="AZ340" s="804"/>
      <c r="BA340" s="805"/>
      <c r="BB340" s="803">
        <f>BB338+BB339</f>
        <v>3720550</v>
      </c>
      <c r="BC340" s="804"/>
      <c r="BD340" s="804"/>
      <c r="BE340" s="805"/>
      <c r="BF340" s="618"/>
      <c r="BG340" s="573"/>
    </row>
    <row r="341" spans="10:59" ht="18.95" customHeight="1">
      <c r="J341" s="619"/>
      <c r="K341" s="750" t="s">
        <v>646</v>
      </c>
      <c r="L341" s="682"/>
      <c r="M341" s="682"/>
      <c r="N341" s="679"/>
      <c r="O341" s="750" t="s">
        <v>518</v>
      </c>
      <c r="P341" s="682"/>
      <c r="Q341" s="682"/>
      <c r="R341" s="1246" t="s">
        <v>1225</v>
      </c>
      <c r="S341" s="1247"/>
      <c r="T341" s="1247"/>
      <c r="U341" s="1248"/>
      <c r="V341" s="638" t="s">
        <v>1287</v>
      </c>
      <c r="W341" s="639"/>
      <c r="X341" s="640"/>
      <c r="Y341" s="751" t="s">
        <v>1288</v>
      </c>
      <c r="Z341" s="639"/>
      <c r="AA341" s="639"/>
      <c r="AB341" s="639"/>
      <c r="AC341" s="639"/>
      <c r="AD341" s="640"/>
      <c r="AE341" s="750" t="s">
        <v>1280</v>
      </c>
      <c r="AF341" s="682"/>
      <c r="AG341" s="682"/>
      <c r="AH341" s="679"/>
      <c r="AI341" s="806">
        <v>25</v>
      </c>
      <c r="AJ341" s="588"/>
      <c r="AK341" s="806">
        <f>(1-AT341/AP341)*100</f>
        <v>68.529707955689815</v>
      </c>
      <c r="AL341" s="588"/>
      <c r="AM341" s="595">
        <v>77</v>
      </c>
      <c r="AN341" s="594"/>
      <c r="AO341" s="593"/>
      <c r="AP341" s="595">
        <v>15888000</v>
      </c>
      <c r="AQ341" s="594"/>
      <c r="AR341" s="594"/>
      <c r="AS341" s="593"/>
      <c r="AT341" s="595">
        <v>5000000</v>
      </c>
      <c r="AU341" s="594"/>
      <c r="AV341" s="594"/>
      <c r="AW341" s="593"/>
      <c r="AX341" s="595">
        <f>AT341-BB341</f>
        <v>1250000</v>
      </c>
      <c r="AY341" s="594"/>
      <c r="AZ341" s="594"/>
      <c r="BA341" s="593"/>
      <c r="BB341" s="595">
        <f>AT341-(AT341*(AI341/100))</f>
        <v>3750000</v>
      </c>
      <c r="BC341" s="594"/>
      <c r="BD341" s="594"/>
      <c r="BE341" s="593"/>
      <c r="BF341" s="618"/>
      <c r="BG341" s="573"/>
    </row>
    <row r="342" spans="10:59" ht="18.95" customHeight="1">
      <c r="J342" s="619"/>
      <c r="K342" s="752"/>
      <c r="L342" s="620"/>
      <c r="M342" s="620"/>
      <c r="N342" s="680"/>
      <c r="O342" s="752"/>
      <c r="P342" s="620"/>
      <c r="Q342" s="620"/>
      <c r="R342" s="654"/>
      <c r="S342" s="620"/>
      <c r="T342" s="620"/>
      <c r="U342" s="680"/>
      <c r="V342" s="654"/>
      <c r="W342" s="652"/>
      <c r="X342" s="653"/>
      <c r="Y342" s="753"/>
      <c r="Z342" s="652"/>
      <c r="AA342" s="652"/>
      <c r="AB342" s="652"/>
      <c r="AC342" s="652"/>
      <c r="AD342" s="653"/>
      <c r="AE342" s="752"/>
      <c r="AF342" s="620"/>
      <c r="AG342" s="620"/>
      <c r="AH342" s="680"/>
      <c r="AI342" s="806">
        <v>30</v>
      </c>
      <c r="AJ342" s="588"/>
      <c r="AK342" s="806">
        <f t="shared" ref="AK342:AK343" si="4">(1-AT342/AP342)*100</f>
        <v>18.28893442622951</v>
      </c>
      <c r="AL342" s="588"/>
      <c r="AM342" s="595">
        <v>11</v>
      </c>
      <c r="AN342" s="594"/>
      <c r="AO342" s="593"/>
      <c r="AP342" s="595">
        <v>1952000</v>
      </c>
      <c r="AQ342" s="594"/>
      <c r="AR342" s="594"/>
      <c r="AS342" s="593"/>
      <c r="AT342" s="595">
        <v>1595000</v>
      </c>
      <c r="AU342" s="594"/>
      <c r="AV342" s="594"/>
      <c r="AW342" s="593"/>
      <c r="AX342" s="595">
        <f>AT342-BB342</f>
        <v>478500</v>
      </c>
      <c r="AY342" s="594"/>
      <c r="AZ342" s="594"/>
      <c r="BA342" s="593"/>
      <c r="BB342" s="595">
        <f>AT342-(AT342*(AI342/100))</f>
        <v>1116500</v>
      </c>
      <c r="BC342" s="594"/>
      <c r="BD342" s="594"/>
      <c r="BE342" s="593"/>
      <c r="BF342" s="618"/>
      <c r="BG342" s="573"/>
    </row>
    <row r="343" spans="10:59" ht="18.95" customHeight="1">
      <c r="J343" s="619"/>
      <c r="K343" s="799"/>
      <c r="L343" s="787"/>
      <c r="M343" s="787"/>
      <c r="N343" s="788"/>
      <c r="O343" s="799"/>
      <c r="P343" s="787"/>
      <c r="Q343" s="787"/>
      <c r="R343" s="783"/>
      <c r="S343" s="784"/>
      <c r="T343" s="784"/>
      <c r="U343" s="785"/>
      <c r="V343" s="786"/>
      <c r="W343" s="800"/>
      <c r="X343" s="801"/>
      <c r="Y343" s="756"/>
      <c r="Z343" s="800"/>
      <c r="AA343" s="800"/>
      <c r="AB343" s="800"/>
      <c r="AC343" s="800"/>
      <c r="AD343" s="667"/>
      <c r="AE343" s="754"/>
      <c r="AF343" s="755"/>
      <c r="AG343" s="755"/>
      <c r="AH343" s="681"/>
      <c r="AI343" s="807">
        <f>100-(BB343/AT343*100)</f>
        <v>26.20924943138742</v>
      </c>
      <c r="AJ343" s="802"/>
      <c r="AK343" s="807">
        <f t="shared" si="4"/>
        <v>63.03251121076233</v>
      </c>
      <c r="AL343" s="802"/>
      <c r="AM343" s="803">
        <f>AM341+AM342</f>
        <v>88</v>
      </c>
      <c r="AN343" s="804"/>
      <c r="AO343" s="805"/>
      <c r="AP343" s="803">
        <f>AP342+AP341</f>
        <v>17840000</v>
      </c>
      <c r="AQ343" s="804"/>
      <c r="AR343" s="804"/>
      <c r="AS343" s="805"/>
      <c r="AT343" s="803">
        <f>AT341+AT342</f>
        <v>6595000</v>
      </c>
      <c r="AU343" s="804"/>
      <c r="AV343" s="804"/>
      <c r="AW343" s="805"/>
      <c r="AX343" s="803">
        <f>AX341+AX342</f>
        <v>1728500</v>
      </c>
      <c r="AY343" s="804"/>
      <c r="AZ343" s="804"/>
      <c r="BA343" s="805"/>
      <c r="BB343" s="803">
        <f>BB341+BB342</f>
        <v>4866500</v>
      </c>
      <c r="BC343" s="804"/>
      <c r="BD343" s="804"/>
      <c r="BE343" s="805"/>
      <c r="BF343" s="618"/>
      <c r="BG343" s="573"/>
    </row>
    <row r="344" spans="10:59" ht="18.95" customHeight="1">
      <c r="J344" s="619"/>
      <c r="K344" s="750" t="s">
        <v>646</v>
      </c>
      <c r="L344" s="682"/>
      <c r="M344" s="682"/>
      <c r="N344" s="679"/>
      <c r="O344" s="750" t="s">
        <v>518</v>
      </c>
      <c r="P344" s="682"/>
      <c r="Q344" s="682"/>
      <c r="R344" s="1246" t="s">
        <v>1225</v>
      </c>
      <c r="S344" s="1247"/>
      <c r="T344" s="1247"/>
      <c r="U344" s="1248"/>
      <c r="V344" s="638" t="s">
        <v>1287</v>
      </c>
      <c r="W344" s="639"/>
      <c r="X344" s="640"/>
      <c r="Y344" s="751" t="s">
        <v>1288</v>
      </c>
      <c r="Z344" s="639"/>
      <c r="AA344" s="639"/>
      <c r="AB344" s="639"/>
      <c r="AC344" s="639"/>
      <c r="AD344" s="640"/>
      <c r="AE344" s="750" t="s">
        <v>1280</v>
      </c>
      <c r="AF344" s="682"/>
      <c r="AG344" s="682"/>
      <c r="AH344" s="679"/>
      <c r="AI344" s="806">
        <v>29</v>
      </c>
      <c r="AJ344" s="588"/>
      <c r="AK344" s="806">
        <f>(1-AT344/AP344)*100</f>
        <v>74.823766364551858</v>
      </c>
      <c r="AL344" s="588"/>
      <c r="AM344" s="595">
        <v>77</v>
      </c>
      <c r="AN344" s="594"/>
      <c r="AO344" s="593"/>
      <c r="AP344" s="595">
        <v>15888000</v>
      </c>
      <c r="AQ344" s="594"/>
      <c r="AR344" s="594"/>
      <c r="AS344" s="593"/>
      <c r="AT344" s="595">
        <v>4000000</v>
      </c>
      <c r="AU344" s="594"/>
      <c r="AV344" s="594"/>
      <c r="AW344" s="593"/>
      <c r="AX344" s="595">
        <f>AT344-BB344</f>
        <v>1160000</v>
      </c>
      <c r="AY344" s="594"/>
      <c r="AZ344" s="594"/>
      <c r="BA344" s="593"/>
      <c r="BB344" s="595">
        <f>AT344-(AT344*(AI344/100))</f>
        <v>2840000</v>
      </c>
      <c r="BC344" s="594"/>
      <c r="BD344" s="594"/>
      <c r="BE344" s="593"/>
      <c r="BF344" s="618"/>
      <c r="BG344" s="573"/>
    </row>
    <row r="345" spans="10:59" ht="18.95" customHeight="1">
      <c r="J345" s="619"/>
      <c r="K345" s="752"/>
      <c r="L345" s="620"/>
      <c r="M345" s="620"/>
      <c r="N345" s="680"/>
      <c r="O345" s="752"/>
      <c r="P345" s="620"/>
      <c r="Q345" s="620"/>
      <c r="R345" s="654"/>
      <c r="S345" s="620"/>
      <c r="T345" s="620"/>
      <c r="U345" s="680"/>
      <c r="V345" s="654"/>
      <c r="W345" s="652"/>
      <c r="X345" s="653"/>
      <c r="Y345" s="753"/>
      <c r="Z345" s="652"/>
      <c r="AA345" s="652"/>
      <c r="AB345" s="652"/>
      <c r="AC345" s="652"/>
      <c r="AD345" s="653"/>
      <c r="AE345" s="752"/>
      <c r="AF345" s="620"/>
      <c r="AG345" s="620"/>
      <c r="AH345" s="680"/>
      <c r="AI345" s="806">
        <v>35</v>
      </c>
      <c r="AJ345" s="588"/>
      <c r="AK345" s="806">
        <f t="shared" ref="AK345:AK350" si="5">(1-AT345/AP345)*100</f>
        <v>18.28893442622951</v>
      </c>
      <c r="AL345" s="588"/>
      <c r="AM345" s="595">
        <v>11</v>
      </c>
      <c r="AN345" s="594"/>
      <c r="AO345" s="593"/>
      <c r="AP345" s="595">
        <v>1952000</v>
      </c>
      <c r="AQ345" s="594"/>
      <c r="AR345" s="594"/>
      <c r="AS345" s="593"/>
      <c r="AT345" s="595">
        <v>1595000</v>
      </c>
      <c r="AU345" s="594"/>
      <c r="AV345" s="594"/>
      <c r="AW345" s="593"/>
      <c r="AX345" s="595">
        <f>AT345-BB345</f>
        <v>558250</v>
      </c>
      <c r="AY345" s="594"/>
      <c r="AZ345" s="594"/>
      <c r="BA345" s="593"/>
      <c r="BB345" s="595">
        <f>AT345-(AT345*(AI345/100))</f>
        <v>1036750</v>
      </c>
      <c r="BC345" s="594"/>
      <c r="BD345" s="594"/>
      <c r="BE345" s="593"/>
      <c r="BF345" s="618"/>
      <c r="BG345" s="573"/>
    </row>
    <row r="346" spans="10:59" ht="18.95" customHeight="1" thickBot="1">
      <c r="J346" s="619"/>
      <c r="K346" s="810"/>
      <c r="L346" s="784"/>
      <c r="M346" s="784"/>
      <c r="N346" s="785"/>
      <c r="O346" s="810"/>
      <c r="P346" s="784"/>
      <c r="Q346" s="784"/>
      <c r="R346" s="783"/>
      <c r="S346" s="784"/>
      <c r="T346" s="784"/>
      <c r="U346" s="785"/>
      <c r="V346" s="783"/>
      <c r="W346" s="811"/>
      <c r="X346" s="812"/>
      <c r="Y346" s="753"/>
      <c r="Z346" s="811"/>
      <c r="AA346" s="811"/>
      <c r="AB346" s="811"/>
      <c r="AC346" s="811"/>
      <c r="AD346" s="653"/>
      <c r="AE346" s="752"/>
      <c r="AF346" s="620"/>
      <c r="AG346" s="620"/>
      <c r="AH346" s="680"/>
      <c r="AI346" s="813">
        <f>100-(BB346/AT346*100)</f>
        <v>30.710455764075064</v>
      </c>
      <c r="AJ346" s="814"/>
      <c r="AK346" s="813">
        <f t="shared" si="5"/>
        <v>68.637892376681606</v>
      </c>
      <c r="AL346" s="814"/>
      <c r="AM346" s="815">
        <f>AM344+AM345</f>
        <v>88</v>
      </c>
      <c r="AN346" s="816"/>
      <c r="AO346" s="817"/>
      <c r="AP346" s="815">
        <f>AP345+AP344</f>
        <v>17840000</v>
      </c>
      <c r="AQ346" s="816"/>
      <c r="AR346" s="816"/>
      <c r="AS346" s="817"/>
      <c r="AT346" s="815">
        <f>AT344+AT345</f>
        <v>5595000</v>
      </c>
      <c r="AU346" s="816"/>
      <c r="AV346" s="816"/>
      <c r="AW346" s="817"/>
      <c r="AX346" s="815">
        <f>AX344+AX345</f>
        <v>1718250</v>
      </c>
      <c r="AY346" s="816"/>
      <c r="AZ346" s="816"/>
      <c r="BA346" s="817"/>
      <c r="BB346" s="815">
        <f>BB344+BB345</f>
        <v>3876750</v>
      </c>
      <c r="BC346" s="816"/>
      <c r="BD346" s="816"/>
      <c r="BE346" s="817"/>
      <c r="BF346" s="618"/>
      <c r="BG346" s="573"/>
    </row>
    <row r="347" spans="10:59" ht="18.95" customHeight="1">
      <c r="J347" s="619"/>
      <c r="K347" s="818" t="s">
        <v>1257</v>
      </c>
      <c r="L347" s="819"/>
      <c r="M347" s="819"/>
      <c r="N347" s="819"/>
      <c r="O347" s="819"/>
      <c r="P347" s="819"/>
      <c r="Q347" s="819"/>
      <c r="R347" s="819"/>
      <c r="S347" s="819"/>
      <c r="T347" s="819"/>
      <c r="U347" s="819"/>
      <c r="V347" s="819"/>
      <c r="W347" s="819"/>
      <c r="X347" s="819"/>
      <c r="Y347" s="819"/>
      <c r="Z347" s="819"/>
      <c r="AA347" s="819"/>
      <c r="AB347" s="819"/>
      <c r="AC347" s="819"/>
      <c r="AD347" s="819"/>
      <c r="AE347" s="819"/>
      <c r="AF347" s="819"/>
      <c r="AG347" s="819"/>
      <c r="AH347" s="837"/>
      <c r="AI347" s="820">
        <v>25</v>
      </c>
      <c r="AJ347" s="821"/>
      <c r="AK347" s="820">
        <f t="shared" si="5"/>
        <v>68.529707955689815</v>
      </c>
      <c r="AL347" s="821"/>
      <c r="AM347" s="822">
        <f>AM341</f>
        <v>77</v>
      </c>
      <c r="AN347" s="823"/>
      <c r="AO347" s="824"/>
      <c r="AP347" s="822">
        <f>AP341</f>
        <v>15888000</v>
      </c>
      <c r="AQ347" s="823"/>
      <c r="AR347" s="823"/>
      <c r="AS347" s="824"/>
      <c r="AT347" s="822">
        <f>AT341</f>
        <v>5000000</v>
      </c>
      <c r="AU347" s="823"/>
      <c r="AV347" s="823"/>
      <c r="AW347" s="824"/>
      <c r="AX347" s="822">
        <f>AX341</f>
        <v>1250000</v>
      </c>
      <c r="AY347" s="823"/>
      <c r="AZ347" s="823"/>
      <c r="BA347" s="824"/>
      <c r="BB347" s="822">
        <f>BB341</f>
        <v>3750000</v>
      </c>
      <c r="BC347" s="823"/>
      <c r="BD347" s="823"/>
      <c r="BE347" s="824"/>
      <c r="BF347" s="618"/>
      <c r="BG347" s="573"/>
    </row>
    <row r="348" spans="10:59" ht="18.95" customHeight="1">
      <c r="J348" s="619"/>
      <c r="K348" s="777"/>
      <c r="L348" s="778"/>
      <c r="M348" s="778"/>
      <c r="N348" s="778"/>
      <c r="O348" s="778"/>
      <c r="P348" s="778"/>
      <c r="Q348" s="778"/>
      <c r="R348" s="778"/>
      <c r="S348" s="778"/>
      <c r="T348" s="778"/>
      <c r="U348" s="778"/>
      <c r="V348" s="778"/>
      <c r="W348" s="778"/>
      <c r="X348" s="778"/>
      <c r="Y348" s="778"/>
      <c r="Z348" s="778"/>
      <c r="AA348" s="778"/>
      <c r="AB348" s="778"/>
      <c r="AC348" s="778"/>
      <c r="AD348" s="778"/>
      <c r="AE348" s="778"/>
      <c r="AF348" s="778"/>
      <c r="AG348" s="778"/>
      <c r="AH348" s="838"/>
      <c r="AI348" s="806">
        <v>29</v>
      </c>
      <c r="AJ348" s="588"/>
      <c r="AK348" s="806">
        <f t="shared" si="5"/>
        <v>75.516112789526687</v>
      </c>
      <c r="AL348" s="588"/>
      <c r="AM348" s="595">
        <f>AM338+AM344</f>
        <v>154</v>
      </c>
      <c r="AN348" s="594"/>
      <c r="AO348" s="593"/>
      <c r="AP348" s="595">
        <f>AP338+AP344</f>
        <v>31776000</v>
      </c>
      <c r="AQ348" s="594"/>
      <c r="AR348" s="594"/>
      <c r="AS348" s="593"/>
      <c r="AT348" s="595">
        <f>AT338+AT344</f>
        <v>7780000</v>
      </c>
      <c r="AU348" s="594"/>
      <c r="AV348" s="594"/>
      <c r="AW348" s="593"/>
      <c r="AX348" s="595">
        <f>AX338+AX344</f>
        <v>2256200</v>
      </c>
      <c r="AY348" s="594"/>
      <c r="AZ348" s="594"/>
      <c r="BA348" s="593"/>
      <c r="BB348" s="595">
        <f>BB338+BB344</f>
        <v>5523800</v>
      </c>
      <c r="BC348" s="594"/>
      <c r="BD348" s="594"/>
      <c r="BE348" s="593"/>
      <c r="BF348" s="618"/>
      <c r="BG348" s="573"/>
    </row>
    <row r="349" spans="10:59" ht="18.95" customHeight="1">
      <c r="J349" s="619"/>
      <c r="K349" s="777"/>
      <c r="L349" s="778"/>
      <c r="M349" s="778"/>
      <c r="N349" s="778"/>
      <c r="O349" s="778"/>
      <c r="P349" s="778"/>
      <c r="Q349" s="778"/>
      <c r="R349" s="778"/>
      <c r="S349" s="778"/>
      <c r="T349" s="778"/>
      <c r="U349" s="778"/>
      <c r="V349" s="778"/>
      <c r="W349" s="778"/>
      <c r="X349" s="778"/>
      <c r="Y349" s="778"/>
      <c r="Z349" s="778"/>
      <c r="AA349" s="778"/>
      <c r="AB349" s="778"/>
      <c r="AC349" s="778"/>
      <c r="AD349" s="778"/>
      <c r="AE349" s="778"/>
      <c r="AF349" s="778"/>
      <c r="AG349" s="778"/>
      <c r="AH349" s="838"/>
      <c r="AI349" s="806">
        <v>30</v>
      </c>
      <c r="AJ349" s="588"/>
      <c r="AK349" s="806">
        <f t="shared" si="5"/>
        <v>18.28893442622951</v>
      </c>
      <c r="AL349" s="588"/>
      <c r="AM349" s="595">
        <f>AM342</f>
        <v>11</v>
      </c>
      <c r="AN349" s="594"/>
      <c r="AO349" s="593"/>
      <c r="AP349" s="595">
        <f>AP342</f>
        <v>1952000</v>
      </c>
      <c r="AQ349" s="594"/>
      <c r="AR349" s="594"/>
      <c r="AS349" s="593"/>
      <c r="AT349" s="595">
        <f>AT342</f>
        <v>1595000</v>
      </c>
      <c r="AU349" s="594"/>
      <c r="AV349" s="594"/>
      <c r="AW349" s="593"/>
      <c r="AX349" s="595">
        <f>AX342</f>
        <v>478500</v>
      </c>
      <c r="AY349" s="594"/>
      <c r="AZ349" s="594"/>
      <c r="BA349" s="593"/>
      <c r="BB349" s="595">
        <f>BB342</f>
        <v>1116500</v>
      </c>
      <c r="BC349" s="594"/>
      <c r="BD349" s="594"/>
      <c r="BE349" s="593"/>
      <c r="BF349" s="618"/>
      <c r="BG349" s="573"/>
    </row>
    <row r="350" spans="10:59" ht="18.95" customHeight="1">
      <c r="J350" s="619"/>
      <c r="K350" s="777"/>
      <c r="L350" s="778"/>
      <c r="M350" s="778"/>
      <c r="N350" s="778"/>
      <c r="O350" s="778"/>
      <c r="P350" s="778"/>
      <c r="Q350" s="778"/>
      <c r="R350" s="778"/>
      <c r="S350" s="778"/>
      <c r="T350" s="778"/>
      <c r="U350" s="778"/>
      <c r="V350" s="778"/>
      <c r="W350" s="778"/>
      <c r="X350" s="778"/>
      <c r="Y350" s="778"/>
      <c r="Z350" s="778"/>
      <c r="AA350" s="778"/>
      <c r="AB350" s="778"/>
      <c r="AC350" s="778"/>
      <c r="AD350" s="778"/>
      <c r="AE350" s="778"/>
      <c r="AF350" s="778"/>
      <c r="AG350" s="778"/>
      <c r="AH350" s="838"/>
      <c r="AI350" s="806">
        <v>35</v>
      </c>
      <c r="AJ350" s="588"/>
      <c r="AK350" s="806">
        <f t="shared" si="5"/>
        <v>18.28893442622951</v>
      </c>
      <c r="AL350" s="588"/>
      <c r="AM350" s="595">
        <f>AM345+AM339</f>
        <v>22</v>
      </c>
      <c r="AN350" s="594"/>
      <c r="AO350" s="593"/>
      <c r="AP350" s="595">
        <f>AP345+AP339</f>
        <v>3904000</v>
      </c>
      <c r="AQ350" s="594"/>
      <c r="AR350" s="594"/>
      <c r="AS350" s="593"/>
      <c r="AT350" s="595">
        <f>AT345+AT339</f>
        <v>3190000</v>
      </c>
      <c r="AU350" s="594"/>
      <c r="AV350" s="594"/>
      <c r="AW350" s="593"/>
      <c r="AX350" s="595">
        <f>AX345+AX339</f>
        <v>1116500</v>
      </c>
      <c r="AY350" s="594"/>
      <c r="AZ350" s="594"/>
      <c r="BA350" s="593"/>
      <c r="BB350" s="595">
        <f>BB345+BB339</f>
        <v>2073500</v>
      </c>
      <c r="BC350" s="594"/>
      <c r="BD350" s="594"/>
      <c r="BE350" s="593"/>
      <c r="BF350" s="618"/>
      <c r="BG350" s="573"/>
    </row>
    <row r="351" spans="10:59" ht="18.95" customHeight="1" thickBot="1">
      <c r="J351" s="619"/>
      <c r="K351" s="825"/>
      <c r="L351" s="826"/>
      <c r="M351" s="826"/>
      <c r="N351" s="826"/>
      <c r="O351" s="826"/>
      <c r="P351" s="826"/>
      <c r="Q351" s="826"/>
      <c r="R351" s="826"/>
      <c r="S351" s="826"/>
      <c r="T351" s="826"/>
      <c r="U351" s="826"/>
      <c r="V351" s="826"/>
      <c r="W351" s="826"/>
      <c r="X351" s="826"/>
      <c r="Y351" s="826"/>
      <c r="Z351" s="826"/>
      <c r="AA351" s="826"/>
      <c r="AB351" s="826"/>
      <c r="AC351" s="826"/>
      <c r="AD351" s="826"/>
      <c r="AE351" s="826"/>
      <c r="AF351" s="826"/>
      <c r="AG351" s="826"/>
      <c r="AH351" s="839"/>
      <c r="AI351" s="827">
        <f>100-(BB351/AT351*100)</f>
        <v>29.041844577284365</v>
      </c>
      <c r="AJ351" s="828"/>
      <c r="AK351" s="827">
        <f t="shared" ref="AK351" si="6">(1-AT351/AP351)*100</f>
        <v>67.180493273542609</v>
      </c>
      <c r="AL351" s="828"/>
      <c r="AM351" s="829">
        <f>AM347+AM348+AM349+AM350</f>
        <v>264</v>
      </c>
      <c r="AN351" s="830"/>
      <c r="AO351" s="831"/>
      <c r="AP351" s="829">
        <f>AP347+AP348+AP349+AP350</f>
        <v>53520000</v>
      </c>
      <c r="AQ351" s="830"/>
      <c r="AR351" s="830"/>
      <c r="AS351" s="831"/>
      <c r="AT351" s="829">
        <f>AT347+AT348+AT349+AT350</f>
        <v>17565000</v>
      </c>
      <c r="AU351" s="830"/>
      <c r="AV351" s="830"/>
      <c r="AW351" s="831"/>
      <c r="AX351" s="829">
        <f>AX347+AX348+AX349+AX350</f>
        <v>5101200</v>
      </c>
      <c r="AY351" s="830"/>
      <c r="AZ351" s="830"/>
      <c r="BA351" s="831"/>
      <c r="BB351" s="829">
        <f>BB347+BB348+BB349+BB350</f>
        <v>12463800</v>
      </c>
      <c r="BC351" s="830"/>
      <c r="BD351" s="830"/>
      <c r="BE351" s="831"/>
      <c r="BF351" s="562"/>
      <c r="BG351" s="573"/>
    </row>
    <row r="352" spans="10:59" ht="18.95" customHeight="1">
      <c r="J352" s="572"/>
      <c r="K352" s="571"/>
      <c r="L352" s="571"/>
      <c r="M352" s="571"/>
      <c r="N352" s="571"/>
      <c r="O352" s="571"/>
      <c r="P352" s="571"/>
      <c r="Q352" s="571"/>
      <c r="R352" s="571"/>
      <c r="S352" s="571"/>
      <c r="T352" s="571"/>
      <c r="U352" s="571"/>
      <c r="V352" s="571"/>
      <c r="W352" s="571"/>
      <c r="X352" s="571"/>
      <c r="Y352" s="571"/>
      <c r="Z352" s="571"/>
      <c r="AA352" s="571"/>
      <c r="AB352" s="571"/>
      <c r="AC352" s="571"/>
      <c r="AD352" s="571"/>
      <c r="AE352" s="571"/>
      <c r="AF352" s="571"/>
      <c r="AG352" s="571"/>
      <c r="AH352" s="571"/>
      <c r="AI352" s="571"/>
      <c r="AJ352" s="571"/>
      <c r="AK352" s="571"/>
      <c r="AL352" s="571"/>
      <c r="AM352" s="571"/>
      <c r="AN352" s="571"/>
      <c r="AO352" s="571"/>
      <c r="AP352" s="571"/>
      <c r="AQ352" s="571"/>
      <c r="AR352" s="571"/>
      <c r="AS352" s="571"/>
      <c r="AT352" s="571"/>
      <c r="AU352" s="571"/>
      <c r="AV352" s="571"/>
      <c r="AW352" s="571"/>
      <c r="AX352" s="571"/>
      <c r="AY352" s="571"/>
      <c r="AZ352" s="571"/>
      <c r="BA352" s="571"/>
      <c r="BB352" s="571"/>
      <c r="BC352" s="571"/>
      <c r="BD352" s="571"/>
      <c r="BE352" s="571"/>
      <c r="BF352" s="571"/>
      <c r="BG352" s="570"/>
    </row>
    <row r="353" spans="10:59" ht="18.95" customHeight="1">
      <c r="J353" s="389" t="s">
        <v>1289</v>
      </c>
    </row>
    <row r="356" spans="10:59" ht="5.0999999999999996" customHeight="1">
      <c r="X356" s="613"/>
      <c r="Y356" s="612"/>
      <c r="Z356" s="612"/>
      <c r="AA356" s="612"/>
      <c r="AB356" s="612"/>
      <c r="AC356" s="612"/>
      <c r="AD356" s="612"/>
      <c r="AE356" s="612"/>
      <c r="AF356" s="612"/>
      <c r="AG356" s="612"/>
      <c r="AH356" s="612"/>
      <c r="AI356" s="612"/>
      <c r="AJ356" s="611"/>
    </row>
    <row r="357" spans="10:59" ht="18.95" customHeight="1">
      <c r="J357" s="571"/>
      <c r="K357" s="832" t="s">
        <v>1318</v>
      </c>
      <c r="L357" s="833"/>
      <c r="M357" s="833"/>
      <c r="N357" s="833"/>
      <c r="O357" s="833"/>
      <c r="P357" s="833"/>
      <c r="Q357" s="833"/>
      <c r="R357" s="833"/>
      <c r="S357" s="833"/>
      <c r="T357" s="833"/>
      <c r="U357" s="833"/>
      <c r="V357" s="833"/>
      <c r="W357" s="834"/>
      <c r="X357" s="836" t="s">
        <v>1319</v>
      </c>
      <c r="Y357" s="175"/>
      <c r="Z357" s="175"/>
      <c r="AA357" s="175"/>
      <c r="AB357" s="175"/>
      <c r="AC357" s="175"/>
      <c r="AD357" s="175"/>
      <c r="AE357" s="175"/>
      <c r="AF357" s="175"/>
      <c r="AG357" s="175"/>
      <c r="AH357" s="175"/>
      <c r="AI357" s="175"/>
      <c r="AJ357" s="609"/>
      <c r="AK357" s="833" t="s">
        <v>1317</v>
      </c>
      <c r="AL357" s="833"/>
      <c r="AM357" s="833"/>
      <c r="AN357" s="833"/>
      <c r="AO357" s="833"/>
      <c r="AP357" s="833"/>
      <c r="AQ357" s="833"/>
      <c r="AR357" s="833"/>
      <c r="AS357" s="833"/>
      <c r="AT357" s="833"/>
      <c r="AU357" s="833"/>
      <c r="AV357" s="833"/>
      <c r="AW357" s="834"/>
      <c r="AX357" s="571"/>
      <c r="AY357" s="571"/>
    </row>
    <row r="358" spans="10:59" ht="9.9499999999999993" customHeight="1">
      <c r="J358" s="619"/>
      <c r="AX358" s="604"/>
      <c r="AY358" s="604"/>
      <c r="AZ358" s="604"/>
      <c r="BA358" s="604"/>
      <c r="BB358" s="604"/>
      <c r="BC358" s="604"/>
      <c r="BD358" s="604"/>
      <c r="BE358" s="604"/>
      <c r="BF358" s="604"/>
      <c r="BG358" s="853"/>
    </row>
    <row r="359" spans="10:59" ht="18.95" customHeight="1">
      <c r="J359" s="619"/>
      <c r="K359" s="600" t="s">
        <v>1232</v>
      </c>
      <c r="L359" s="798"/>
      <c r="M359" s="798"/>
      <c r="N359" s="1242" t="s">
        <v>1230</v>
      </c>
      <c r="O359" s="1243"/>
      <c r="P359" s="1243"/>
      <c r="Q359" s="1244"/>
      <c r="R359" s="598" t="s">
        <v>942</v>
      </c>
      <c r="S359" s="575" t="s">
        <v>1044</v>
      </c>
      <c r="T359" s="599"/>
      <c r="U359" s="599"/>
      <c r="V359" s="595" t="s">
        <v>646</v>
      </c>
      <c r="W359" s="594"/>
      <c r="X359" s="594"/>
      <c r="Y359" s="593"/>
      <c r="Z359" s="596" t="s">
        <v>946</v>
      </c>
      <c r="BA359" s="586" t="s">
        <v>1035</v>
      </c>
      <c r="BB359" s="585"/>
      <c r="BC359" s="585"/>
      <c r="BD359" s="586" t="s">
        <v>1004</v>
      </c>
      <c r="BE359" s="585"/>
      <c r="BF359" s="585"/>
      <c r="BG359" s="573"/>
    </row>
    <row r="360" spans="10:59" ht="9.9499999999999993" customHeight="1">
      <c r="J360" s="619"/>
      <c r="BG360" s="573"/>
    </row>
    <row r="361" spans="10:59" ht="18.95" customHeight="1">
      <c r="J361" s="619"/>
      <c r="K361" s="600" t="s">
        <v>1278</v>
      </c>
      <c r="L361" s="563"/>
      <c r="M361" s="563"/>
      <c r="N361" s="595" t="s">
        <v>518</v>
      </c>
      <c r="O361" s="594"/>
      <c r="P361" s="594"/>
      <c r="Q361" s="593"/>
      <c r="R361" s="596" t="s">
        <v>946</v>
      </c>
      <c r="S361" s="575" t="s">
        <v>1227</v>
      </c>
      <c r="T361" s="599"/>
      <c r="U361" s="599"/>
      <c r="V361" s="1242" t="s">
        <v>539</v>
      </c>
      <c r="W361" s="1243"/>
      <c r="X361" s="1243"/>
      <c r="Y361" s="1244"/>
      <c r="Z361" s="596" t="s">
        <v>946</v>
      </c>
      <c r="AA361" s="575" t="s">
        <v>952</v>
      </c>
      <c r="AB361" s="599"/>
      <c r="AC361" s="599"/>
      <c r="AD361" s="590" t="s">
        <v>955</v>
      </c>
      <c r="AE361" s="589"/>
      <c r="AF361" s="588"/>
      <c r="AG361" s="587" t="s">
        <v>956</v>
      </c>
      <c r="AH361" s="589"/>
      <c r="AI361" s="589"/>
      <c r="AJ361" s="589"/>
      <c r="AK361" s="589"/>
      <c r="AL361" s="589"/>
      <c r="AM361" s="596" t="s">
        <v>949</v>
      </c>
      <c r="BG361" s="573"/>
    </row>
    <row r="362" spans="10:59" ht="18.95" customHeight="1">
      <c r="J362" s="619"/>
      <c r="BB362" s="1072" t="s">
        <v>1584</v>
      </c>
      <c r="BG362" s="573"/>
    </row>
    <row r="363" spans="10:59" ht="18.95" customHeight="1">
      <c r="J363" s="619"/>
      <c r="K363" s="1245" t="s">
        <v>1165</v>
      </c>
      <c r="L363" s="1225"/>
      <c r="M363" s="1225"/>
      <c r="N363" s="1226"/>
      <c r="O363" s="561" t="s">
        <v>990</v>
      </c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59"/>
      <c r="AB363" s="561"/>
      <c r="AC363" s="560"/>
      <c r="AD363" s="559"/>
      <c r="AE363" s="1245" t="s">
        <v>1279</v>
      </c>
      <c r="AF363" s="1225"/>
      <c r="AG363" s="1225"/>
      <c r="AH363" s="1226"/>
      <c r="AI363" s="1245" t="s">
        <v>1281</v>
      </c>
      <c r="AJ363" s="1226"/>
      <c r="AK363" s="1245" t="s">
        <v>1283</v>
      </c>
      <c r="AL363" s="1226"/>
      <c r="AM363" s="1219" t="s">
        <v>1285</v>
      </c>
      <c r="AN363" s="1220"/>
      <c r="AO363" s="1221"/>
      <c r="AP363" s="1219" t="s">
        <v>1284</v>
      </c>
      <c r="AQ363" s="1225"/>
      <c r="AR363" s="1225"/>
      <c r="AS363" s="1226"/>
      <c r="AT363" s="1219" t="s">
        <v>1286</v>
      </c>
      <c r="AU363" s="1225"/>
      <c r="AV363" s="1225"/>
      <c r="AW363" s="1226"/>
      <c r="AX363" s="1230" t="s">
        <v>1305</v>
      </c>
      <c r="AY363" s="1231"/>
      <c r="AZ363" s="1231"/>
      <c r="BA363" s="1232"/>
      <c r="BB363" s="1236" t="s">
        <v>1310</v>
      </c>
      <c r="BC363" s="1237"/>
      <c r="BD363" s="1237"/>
      <c r="BE363" s="1238"/>
      <c r="BF363" s="553"/>
      <c r="BG363" s="573"/>
    </row>
    <row r="364" spans="10:59" ht="18.95" customHeight="1">
      <c r="J364" s="619"/>
      <c r="K364" s="1227"/>
      <c r="L364" s="1228"/>
      <c r="M364" s="1228"/>
      <c r="N364" s="1229"/>
      <c r="O364" s="623" t="s">
        <v>1168</v>
      </c>
      <c r="P364" s="624"/>
      <c r="Q364" s="625"/>
      <c r="R364" s="561" t="s">
        <v>1224</v>
      </c>
      <c r="S364" s="560"/>
      <c r="T364" s="560"/>
      <c r="U364" s="559"/>
      <c r="V364" s="561" t="s">
        <v>981</v>
      </c>
      <c r="W364" s="560"/>
      <c r="X364" s="559"/>
      <c r="Y364" s="561" t="s">
        <v>982</v>
      </c>
      <c r="Z364" s="560"/>
      <c r="AA364" s="560"/>
      <c r="AB364" s="560"/>
      <c r="AC364" s="560"/>
      <c r="AD364" s="559"/>
      <c r="AE364" s="1227"/>
      <c r="AF364" s="1228"/>
      <c r="AG364" s="1228"/>
      <c r="AH364" s="1229"/>
      <c r="AI364" s="1227"/>
      <c r="AJ364" s="1229"/>
      <c r="AK364" s="1227"/>
      <c r="AL364" s="1229"/>
      <c r="AM364" s="1222"/>
      <c r="AN364" s="1223"/>
      <c r="AO364" s="1224"/>
      <c r="AP364" s="1227"/>
      <c r="AQ364" s="1228"/>
      <c r="AR364" s="1228"/>
      <c r="AS364" s="1229"/>
      <c r="AT364" s="1227"/>
      <c r="AU364" s="1228"/>
      <c r="AV364" s="1228"/>
      <c r="AW364" s="1229"/>
      <c r="AX364" s="1233"/>
      <c r="AY364" s="1234"/>
      <c r="AZ364" s="1234"/>
      <c r="BA364" s="1235"/>
      <c r="BB364" s="1239"/>
      <c r="BC364" s="1240"/>
      <c r="BD364" s="1240"/>
      <c r="BE364" s="1241"/>
      <c r="BF364" s="552"/>
      <c r="BG364" s="573"/>
    </row>
    <row r="365" spans="10:59" ht="18.95" customHeight="1">
      <c r="J365" s="619"/>
      <c r="K365" s="750" t="s">
        <v>646</v>
      </c>
      <c r="L365" s="682"/>
      <c r="M365" s="682"/>
      <c r="N365" s="679"/>
      <c r="O365" s="750" t="s">
        <v>518</v>
      </c>
      <c r="P365" s="682"/>
      <c r="Q365" s="682"/>
      <c r="R365" s="1246" t="s">
        <v>1225</v>
      </c>
      <c r="S365" s="1247"/>
      <c r="T365" s="1247"/>
      <c r="U365" s="1248"/>
      <c r="V365" s="638" t="s">
        <v>955</v>
      </c>
      <c r="W365" s="639"/>
      <c r="X365" s="640"/>
      <c r="Y365" s="751" t="s">
        <v>1040</v>
      </c>
      <c r="Z365" s="639"/>
      <c r="AA365" s="639"/>
      <c r="AB365" s="639"/>
      <c r="AC365" s="639"/>
      <c r="AD365" s="640"/>
      <c r="AE365" s="750" t="s">
        <v>1280</v>
      </c>
      <c r="AF365" s="682"/>
      <c r="AG365" s="682"/>
      <c r="AH365" s="679"/>
      <c r="AI365" s="806">
        <v>29</v>
      </c>
      <c r="AJ365" s="588"/>
      <c r="AK365" s="806">
        <f>(1-AT365/AP365)*100</f>
        <v>76.208459214501516</v>
      </c>
      <c r="AL365" s="588"/>
      <c r="AM365" s="595">
        <v>77</v>
      </c>
      <c r="AN365" s="594"/>
      <c r="AO365" s="593"/>
      <c r="AP365" s="595">
        <v>15888000</v>
      </c>
      <c r="AQ365" s="594"/>
      <c r="AR365" s="594"/>
      <c r="AS365" s="593"/>
      <c r="AT365" s="595">
        <v>3780000</v>
      </c>
      <c r="AU365" s="594"/>
      <c r="AV365" s="594"/>
      <c r="AW365" s="593"/>
      <c r="AX365" s="595">
        <f>AT365-BB365</f>
        <v>1096200</v>
      </c>
      <c r="AY365" s="594"/>
      <c r="AZ365" s="594"/>
      <c r="BA365" s="593"/>
      <c r="BB365" s="595">
        <f>AT365-(AT365*(AI365/100))</f>
        <v>2683800</v>
      </c>
      <c r="BC365" s="594"/>
      <c r="BD365" s="594"/>
      <c r="BE365" s="593"/>
      <c r="BF365" s="551" t="s">
        <v>942</v>
      </c>
      <c r="BG365" s="573"/>
    </row>
    <row r="366" spans="10:59" ht="18.95" customHeight="1">
      <c r="J366" s="619"/>
      <c r="K366" s="752"/>
      <c r="L366" s="620"/>
      <c r="M366" s="620"/>
      <c r="N366" s="680"/>
      <c r="O366" s="752"/>
      <c r="P366" s="620"/>
      <c r="Q366" s="620"/>
      <c r="R366" s="654"/>
      <c r="S366" s="620"/>
      <c r="T366" s="620"/>
      <c r="U366" s="680"/>
      <c r="V366" s="654"/>
      <c r="W366" s="652"/>
      <c r="X366" s="653"/>
      <c r="Y366" s="753"/>
      <c r="Z366" s="652"/>
      <c r="AA366" s="652"/>
      <c r="AB366" s="652"/>
      <c r="AC366" s="652"/>
      <c r="AD366" s="653"/>
      <c r="AE366" s="752"/>
      <c r="AF366" s="620"/>
      <c r="AG366" s="620"/>
      <c r="AH366" s="680"/>
      <c r="AI366" s="806">
        <v>35</v>
      </c>
      <c r="AJ366" s="588"/>
      <c r="AK366" s="806">
        <f t="shared" ref="AK366:AK367" si="7">(1-AT366/AP366)*100</f>
        <v>18.28893442622951</v>
      </c>
      <c r="AL366" s="588"/>
      <c r="AM366" s="595">
        <v>11</v>
      </c>
      <c r="AN366" s="594"/>
      <c r="AO366" s="593"/>
      <c r="AP366" s="595">
        <v>1952000</v>
      </c>
      <c r="AQ366" s="594"/>
      <c r="AR366" s="594"/>
      <c r="AS366" s="593"/>
      <c r="AT366" s="595">
        <v>1595000</v>
      </c>
      <c r="AU366" s="594"/>
      <c r="AV366" s="594"/>
      <c r="AW366" s="593"/>
      <c r="AX366" s="595">
        <f>AT366-BB366</f>
        <v>558250</v>
      </c>
      <c r="AY366" s="594"/>
      <c r="AZ366" s="594"/>
      <c r="BA366" s="593"/>
      <c r="BB366" s="595">
        <f>AT366-(AT366*(AI366/100))</f>
        <v>1036750</v>
      </c>
      <c r="BC366" s="594"/>
      <c r="BD366" s="594"/>
      <c r="BE366" s="593"/>
      <c r="BF366" s="618"/>
      <c r="BG366" s="573"/>
    </row>
    <row r="367" spans="10:59" ht="18.95" customHeight="1">
      <c r="J367" s="619"/>
      <c r="K367" s="799"/>
      <c r="L367" s="787"/>
      <c r="M367" s="787"/>
      <c r="N367" s="788"/>
      <c r="O367" s="799"/>
      <c r="P367" s="787"/>
      <c r="Q367" s="787"/>
      <c r="R367" s="783"/>
      <c r="S367" s="784"/>
      <c r="T367" s="784"/>
      <c r="U367" s="785"/>
      <c r="V367" s="786"/>
      <c r="W367" s="800"/>
      <c r="X367" s="801"/>
      <c r="Y367" s="756"/>
      <c r="Z367" s="800"/>
      <c r="AA367" s="800"/>
      <c r="AB367" s="800"/>
      <c r="AC367" s="800"/>
      <c r="AD367" s="667"/>
      <c r="AE367" s="754"/>
      <c r="AF367" s="755"/>
      <c r="AG367" s="755"/>
      <c r="AH367" s="681"/>
      <c r="AI367" s="807">
        <f>100-(BB367/AT367*100)</f>
        <v>30.780465116279061</v>
      </c>
      <c r="AJ367" s="802"/>
      <c r="AK367" s="807">
        <f t="shared" si="7"/>
        <v>69.871076233183842</v>
      </c>
      <c r="AL367" s="802"/>
      <c r="AM367" s="803">
        <f>AM365+AM366</f>
        <v>88</v>
      </c>
      <c r="AN367" s="804"/>
      <c r="AO367" s="805"/>
      <c r="AP367" s="803">
        <f>AP366+AP365</f>
        <v>17840000</v>
      </c>
      <c r="AQ367" s="804"/>
      <c r="AR367" s="804"/>
      <c r="AS367" s="805"/>
      <c r="AT367" s="803">
        <f>AT365+AT366</f>
        <v>5375000</v>
      </c>
      <c r="AU367" s="804"/>
      <c r="AV367" s="804"/>
      <c r="AW367" s="805"/>
      <c r="AX367" s="803">
        <f>AX365+AX366</f>
        <v>1654450</v>
      </c>
      <c r="AY367" s="804"/>
      <c r="AZ367" s="804"/>
      <c r="BA367" s="805"/>
      <c r="BB367" s="803">
        <f>BB365+BB366</f>
        <v>3720550</v>
      </c>
      <c r="BC367" s="804"/>
      <c r="BD367" s="804"/>
      <c r="BE367" s="805"/>
      <c r="BF367" s="618"/>
      <c r="BG367" s="573"/>
    </row>
    <row r="368" spans="10:59" ht="18.95" customHeight="1">
      <c r="J368" s="619"/>
      <c r="K368" s="750" t="s">
        <v>646</v>
      </c>
      <c r="L368" s="682"/>
      <c r="M368" s="682"/>
      <c r="N368" s="679"/>
      <c r="O368" s="750" t="s">
        <v>518</v>
      </c>
      <c r="P368" s="682"/>
      <c r="Q368" s="682"/>
      <c r="R368" s="1246" t="s">
        <v>1225</v>
      </c>
      <c r="S368" s="1247"/>
      <c r="T368" s="1247"/>
      <c r="U368" s="1248"/>
      <c r="V368" s="638" t="s">
        <v>1287</v>
      </c>
      <c r="W368" s="639"/>
      <c r="X368" s="640"/>
      <c r="Y368" s="751" t="s">
        <v>1288</v>
      </c>
      <c r="Z368" s="639"/>
      <c r="AA368" s="639"/>
      <c r="AB368" s="639"/>
      <c r="AC368" s="639"/>
      <c r="AD368" s="640"/>
      <c r="AE368" s="750" t="s">
        <v>1280</v>
      </c>
      <c r="AF368" s="682"/>
      <c r="AG368" s="682"/>
      <c r="AH368" s="679"/>
      <c r="AI368" s="806">
        <v>27</v>
      </c>
      <c r="AJ368" s="588"/>
      <c r="AK368" s="806">
        <f>(1-AT368/AP368)*100</f>
        <v>68.529707955689815</v>
      </c>
      <c r="AL368" s="588"/>
      <c r="AM368" s="595">
        <v>77</v>
      </c>
      <c r="AN368" s="594"/>
      <c r="AO368" s="593"/>
      <c r="AP368" s="595">
        <v>15888000</v>
      </c>
      <c r="AQ368" s="594"/>
      <c r="AR368" s="594"/>
      <c r="AS368" s="593"/>
      <c r="AT368" s="595">
        <v>5000000</v>
      </c>
      <c r="AU368" s="594"/>
      <c r="AV368" s="594"/>
      <c r="AW368" s="593"/>
      <c r="AX368" s="595">
        <f>AT368-BB368</f>
        <v>1350000</v>
      </c>
      <c r="AY368" s="594"/>
      <c r="AZ368" s="594"/>
      <c r="BA368" s="593"/>
      <c r="BB368" s="595">
        <f>AT368-(AT368*(AI368/100))</f>
        <v>3650000</v>
      </c>
      <c r="BC368" s="594"/>
      <c r="BD368" s="594"/>
      <c r="BE368" s="593"/>
      <c r="BF368" s="618"/>
      <c r="BG368" s="573"/>
    </row>
    <row r="369" spans="10:59" ht="18.95" customHeight="1">
      <c r="J369" s="619"/>
      <c r="K369" s="752"/>
      <c r="L369" s="620"/>
      <c r="M369" s="620"/>
      <c r="N369" s="680"/>
      <c r="O369" s="752"/>
      <c r="P369" s="620"/>
      <c r="Q369" s="620"/>
      <c r="R369" s="654"/>
      <c r="S369" s="620"/>
      <c r="T369" s="620"/>
      <c r="U369" s="680"/>
      <c r="V369" s="654"/>
      <c r="W369" s="652"/>
      <c r="X369" s="653"/>
      <c r="Y369" s="753"/>
      <c r="Z369" s="652"/>
      <c r="AA369" s="652"/>
      <c r="AB369" s="652"/>
      <c r="AC369" s="652"/>
      <c r="AD369" s="653"/>
      <c r="AE369" s="752"/>
      <c r="AF369" s="620"/>
      <c r="AG369" s="620"/>
      <c r="AH369" s="680"/>
      <c r="AI369" s="806">
        <v>35</v>
      </c>
      <c r="AJ369" s="588"/>
      <c r="AK369" s="806">
        <f t="shared" ref="AK369:AK370" si="8">(1-AT369/AP369)*100</f>
        <v>18.28893442622951</v>
      </c>
      <c r="AL369" s="588"/>
      <c r="AM369" s="595">
        <v>11</v>
      </c>
      <c r="AN369" s="594"/>
      <c r="AO369" s="593"/>
      <c r="AP369" s="595">
        <v>1952000</v>
      </c>
      <c r="AQ369" s="594"/>
      <c r="AR369" s="594"/>
      <c r="AS369" s="593"/>
      <c r="AT369" s="595">
        <v>1595000</v>
      </c>
      <c r="AU369" s="594"/>
      <c r="AV369" s="594"/>
      <c r="AW369" s="593"/>
      <c r="AX369" s="595">
        <f>AT369-BB369</f>
        <v>558250</v>
      </c>
      <c r="AY369" s="594"/>
      <c r="AZ369" s="594"/>
      <c r="BA369" s="593"/>
      <c r="BB369" s="595">
        <f>AT369-(AT369*(AI369/100))</f>
        <v>1036750</v>
      </c>
      <c r="BC369" s="594"/>
      <c r="BD369" s="594"/>
      <c r="BE369" s="593"/>
      <c r="BF369" s="618"/>
      <c r="BG369" s="573"/>
    </row>
    <row r="370" spans="10:59" ht="18.95" customHeight="1">
      <c r="J370" s="619"/>
      <c r="K370" s="799"/>
      <c r="L370" s="787"/>
      <c r="M370" s="787"/>
      <c r="N370" s="788"/>
      <c r="O370" s="799"/>
      <c r="P370" s="787"/>
      <c r="Q370" s="787"/>
      <c r="R370" s="783"/>
      <c r="S370" s="784"/>
      <c r="T370" s="784"/>
      <c r="U370" s="785"/>
      <c r="V370" s="786"/>
      <c r="W370" s="800"/>
      <c r="X370" s="801"/>
      <c r="Y370" s="756"/>
      <c r="Z370" s="800"/>
      <c r="AA370" s="800"/>
      <c r="AB370" s="800"/>
      <c r="AC370" s="800"/>
      <c r="AD370" s="667"/>
      <c r="AE370" s="754"/>
      <c r="AF370" s="755"/>
      <c r="AG370" s="755"/>
      <c r="AH370" s="681"/>
      <c r="AI370" s="807">
        <f>100-(BB370/AT370*100)</f>
        <v>28.934799090219869</v>
      </c>
      <c r="AJ370" s="802"/>
      <c r="AK370" s="807">
        <f t="shared" si="8"/>
        <v>63.03251121076233</v>
      </c>
      <c r="AL370" s="802"/>
      <c r="AM370" s="803">
        <f>AM368+AM369</f>
        <v>88</v>
      </c>
      <c r="AN370" s="804"/>
      <c r="AO370" s="805"/>
      <c r="AP370" s="803">
        <f>AP369+AP368</f>
        <v>17840000</v>
      </c>
      <c r="AQ370" s="804"/>
      <c r="AR370" s="804"/>
      <c r="AS370" s="805"/>
      <c r="AT370" s="803">
        <f>AT368+AT369</f>
        <v>6595000</v>
      </c>
      <c r="AU370" s="804"/>
      <c r="AV370" s="804"/>
      <c r="AW370" s="805"/>
      <c r="AX370" s="803">
        <f>AX368+AX369</f>
        <v>1908250</v>
      </c>
      <c r="AY370" s="804"/>
      <c r="AZ370" s="804"/>
      <c r="BA370" s="805"/>
      <c r="BB370" s="803">
        <f>BB368+BB369</f>
        <v>4686750</v>
      </c>
      <c r="BC370" s="804"/>
      <c r="BD370" s="804"/>
      <c r="BE370" s="805"/>
      <c r="BF370" s="618"/>
      <c r="BG370" s="573"/>
    </row>
    <row r="371" spans="10:59" ht="18.95" customHeight="1">
      <c r="J371" s="619"/>
      <c r="K371" s="750" t="s">
        <v>646</v>
      </c>
      <c r="L371" s="682"/>
      <c r="M371" s="682"/>
      <c r="N371" s="679"/>
      <c r="O371" s="750" t="s">
        <v>518</v>
      </c>
      <c r="P371" s="682"/>
      <c r="Q371" s="682"/>
      <c r="R371" s="1246" t="s">
        <v>1225</v>
      </c>
      <c r="S371" s="1247"/>
      <c r="T371" s="1247"/>
      <c r="U371" s="1248"/>
      <c r="V371" s="638" t="s">
        <v>1287</v>
      </c>
      <c r="W371" s="639"/>
      <c r="X371" s="640"/>
      <c r="Y371" s="751" t="s">
        <v>1288</v>
      </c>
      <c r="Z371" s="639"/>
      <c r="AA371" s="639"/>
      <c r="AB371" s="639"/>
      <c r="AC371" s="639"/>
      <c r="AD371" s="640"/>
      <c r="AE371" s="750" t="s">
        <v>1280</v>
      </c>
      <c r="AF371" s="682"/>
      <c r="AG371" s="682"/>
      <c r="AH371" s="679"/>
      <c r="AI371" s="806">
        <v>29</v>
      </c>
      <c r="AJ371" s="588"/>
      <c r="AK371" s="806">
        <f>(1-AT371/AP371)*100</f>
        <v>74.823766364551858</v>
      </c>
      <c r="AL371" s="588"/>
      <c r="AM371" s="595">
        <v>77</v>
      </c>
      <c r="AN371" s="594"/>
      <c r="AO371" s="593"/>
      <c r="AP371" s="595">
        <v>15888000</v>
      </c>
      <c r="AQ371" s="594"/>
      <c r="AR371" s="594"/>
      <c r="AS371" s="593"/>
      <c r="AT371" s="595">
        <v>4000000</v>
      </c>
      <c r="AU371" s="594"/>
      <c r="AV371" s="594"/>
      <c r="AW371" s="593"/>
      <c r="AX371" s="595">
        <f>AT371-BB371</f>
        <v>1160000</v>
      </c>
      <c r="AY371" s="594"/>
      <c r="AZ371" s="594"/>
      <c r="BA371" s="593"/>
      <c r="BB371" s="595">
        <f>AT371-(AT371*(AI371/100))</f>
        <v>2840000</v>
      </c>
      <c r="BC371" s="594"/>
      <c r="BD371" s="594"/>
      <c r="BE371" s="593"/>
      <c r="BF371" s="618"/>
      <c r="BG371" s="573"/>
    </row>
    <row r="372" spans="10:59" ht="18.95" customHeight="1">
      <c r="J372" s="619"/>
      <c r="K372" s="752"/>
      <c r="L372" s="620"/>
      <c r="M372" s="620"/>
      <c r="N372" s="680"/>
      <c r="O372" s="752"/>
      <c r="P372" s="620"/>
      <c r="Q372" s="620"/>
      <c r="R372" s="654"/>
      <c r="S372" s="620"/>
      <c r="T372" s="620"/>
      <c r="U372" s="680"/>
      <c r="V372" s="654"/>
      <c r="W372" s="652"/>
      <c r="X372" s="653"/>
      <c r="Y372" s="753"/>
      <c r="Z372" s="652"/>
      <c r="AA372" s="652"/>
      <c r="AB372" s="652"/>
      <c r="AC372" s="652"/>
      <c r="AD372" s="653"/>
      <c r="AE372" s="752"/>
      <c r="AF372" s="620"/>
      <c r="AG372" s="620"/>
      <c r="AH372" s="680"/>
      <c r="AI372" s="806">
        <v>35</v>
      </c>
      <c r="AJ372" s="588"/>
      <c r="AK372" s="806">
        <f t="shared" ref="AK372:AK378" si="9">(1-AT372/AP372)*100</f>
        <v>18.28893442622951</v>
      </c>
      <c r="AL372" s="588"/>
      <c r="AM372" s="595">
        <v>11</v>
      </c>
      <c r="AN372" s="594"/>
      <c r="AO372" s="593"/>
      <c r="AP372" s="595">
        <v>1952000</v>
      </c>
      <c r="AQ372" s="594"/>
      <c r="AR372" s="594"/>
      <c r="AS372" s="593"/>
      <c r="AT372" s="595">
        <v>1595000</v>
      </c>
      <c r="AU372" s="594"/>
      <c r="AV372" s="594"/>
      <c r="AW372" s="593"/>
      <c r="AX372" s="595">
        <f>AT372-BB372</f>
        <v>558250</v>
      </c>
      <c r="AY372" s="594"/>
      <c r="AZ372" s="594"/>
      <c r="BA372" s="593"/>
      <c r="BB372" s="595">
        <f>AT372-(AT372*(AI372/100))</f>
        <v>1036750</v>
      </c>
      <c r="BC372" s="594"/>
      <c r="BD372" s="594"/>
      <c r="BE372" s="593"/>
      <c r="BF372" s="618"/>
      <c r="BG372" s="573"/>
    </row>
    <row r="373" spans="10:59" ht="18.95" customHeight="1" thickBot="1">
      <c r="J373" s="619"/>
      <c r="K373" s="810"/>
      <c r="L373" s="784"/>
      <c r="M373" s="784"/>
      <c r="N373" s="785"/>
      <c r="O373" s="810"/>
      <c r="P373" s="784"/>
      <c r="Q373" s="784"/>
      <c r="R373" s="783"/>
      <c r="S373" s="784"/>
      <c r="T373" s="784"/>
      <c r="U373" s="785"/>
      <c r="V373" s="783"/>
      <c r="W373" s="811"/>
      <c r="X373" s="812"/>
      <c r="Y373" s="753"/>
      <c r="Z373" s="811"/>
      <c r="AA373" s="811"/>
      <c r="AB373" s="811"/>
      <c r="AC373" s="811"/>
      <c r="AD373" s="653"/>
      <c r="AE373" s="752"/>
      <c r="AF373" s="620"/>
      <c r="AG373" s="620"/>
      <c r="AH373" s="680"/>
      <c r="AI373" s="813">
        <f>100-(BB373/AT373*100)</f>
        <v>30.710455764075064</v>
      </c>
      <c r="AJ373" s="814"/>
      <c r="AK373" s="813">
        <f t="shared" si="9"/>
        <v>68.637892376681606</v>
      </c>
      <c r="AL373" s="814"/>
      <c r="AM373" s="815">
        <f>AM371+AM372</f>
        <v>88</v>
      </c>
      <c r="AN373" s="816"/>
      <c r="AO373" s="817"/>
      <c r="AP373" s="815">
        <f>AP372+AP371</f>
        <v>17840000</v>
      </c>
      <c r="AQ373" s="816"/>
      <c r="AR373" s="816"/>
      <c r="AS373" s="817"/>
      <c r="AT373" s="815">
        <f>AT371+AT372</f>
        <v>5595000</v>
      </c>
      <c r="AU373" s="816"/>
      <c r="AV373" s="816"/>
      <c r="AW373" s="817"/>
      <c r="AX373" s="815">
        <f>AX371+AX372</f>
        <v>1718250</v>
      </c>
      <c r="AY373" s="816"/>
      <c r="AZ373" s="816"/>
      <c r="BA373" s="817"/>
      <c r="BB373" s="815">
        <f>BB371+BB372</f>
        <v>3876750</v>
      </c>
      <c r="BC373" s="816"/>
      <c r="BD373" s="816"/>
      <c r="BE373" s="817"/>
      <c r="BF373" s="618"/>
      <c r="BG373" s="573"/>
    </row>
    <row r="374" spans="10:59" ht="18.95" customHeight="1">
      <c r="J374" s="619"/>
      <c r="K374" s="818" t="s">
        <v>1257</v>
      </c>
      <c r="L374" s="819"/>
      <c r="M374" s="819"/>
      <c r="N374" s="819"/>
      <c r="O374" s="819"/>
      <c r="P374" s="819"/>
      <c r="Q374" s="819"/>
      <c r="R374" s="819"/>
      <c r="S374" s="819"/>
      <c r="T374" s="819"/>
      <c r="U374" s="819"/>
      <c r="V374" s="819"/>
      <c r="W374" s="819"/>
      <c r="X374" s="819"/>
      <c r="Y374" s="819"/>
      <c r="Z374" s="819"/>
      <c r="AA374" s="819"/>
      <c r="AB374" s="819"/>
      <c r="AC374" s="819"/>
      <c r="AD374" s="819"/>
      <c r="AE374" s="819"/>
      <c r="AF374" s="819"/>
      <c r="AG374" s="819"/>
      <c r="AH374" s="819"/>
      <c r="AI374" s="820">
        <v>25</v>
      </c>
      <c r="AJ374" s="821"/>
      <c r="AK374" s="820">
        <f t="shared" si="9"/>
        <v>68.529707955689815</v>
      </c>
      <c r="AL374" s="821"/>
      <c r="AM374" s="822">
        <f>AM368</f>
        <v>77</v>
      </c>
      <c r="AN374" s="823"/>
      <c r="AO374" s="824"/>
      <c r="AP374" s="822">
        <f>AP368</f>
        <v>15888000</v>
      </c>
      <c r="AQ374" s="823"/>
      <c r="AR374" s="823"/>
      <c r="AS374" s="824"/>
      <c r="AT374" s="822">
        <f>AT368</f>
        <v>5000000</v>
      </c>
      <c r="AU374" s="823"/>
      <c r="AV374" s="823"/>
      <c r="AW374" s="824"/>
      <c r="AX374" s="822">
        <f>AX368</f>
        <v>1350000</v>
      </c>
      <c r="AY374" s="823"/>
      <c r="AZ374" s="823"/>
      <c r="BA374" s="824"/>
      <c r="BB374" s="822">
        <f>BB368</f>
        <v>3650000</v>
      </c>
      <c r="BC374" s="823"/>
      <c r="BD374" s="823"/>
      <c r="BE374" s="824"/>
      <c r="BF374" s="618"/>
      <c r="BG374" s="573"/>
    </row>
    <row r="375" spans="10:59" ht="18.95" customHeight="1">
      <c r="J375" s="619"/>
      <c r="K375" s="777"/>
      <c r="L375" s="778"/>
      <c r="M375" s="778"/>
      <c r="N375" s="778"/>
      <c r="O375" s="778"/>
      <c r="P375" s="778"/>
      <c r="Q375" s="778"/>
      <c r="R375" s="778"/>
      <c r="S375" s="778"/>
      <c r="T375" s="778"/>
      <c r="U375" s="778"/>
      <c r="V375" s="778"/>
      <c r="W375" s="778"/>
      <c r="X375" s="778"/>
      <c r="Y375" s="778"/>
      <c r="Z375" s="778"/>
      <c r="AA375" s="778"/>
      <c r="AB375" s="778"/>
      <c r="AC375" s="778"/>
      <c r="AD375" s="778"/>
      <c r="AE375" s="778"/>
      <c r="AF375" s="778"/>
      <c r="AG375" s="778"/>
      <c r="AH375" s="778"/>
      <c r="AI375" s="806">
        <v>29</v>
      </c>
      <c r="AJ375" s="588"/>
      <c r="AK375" s="806">
        <f t="shared" si="9"/>
        <v>75.516112789526687</v>
      </c>
      <c r="AL375" s="588"/>
      <c r="AM375" s="595">
        <f>AM365+AM371</f>
        <v>154</v>
      </c>
      <c r="AN375" s="594"/>
      <c r="AO375" s="593"/>
      <c r="AP375" s="595">
        <f>AP365+AP371</f>
        <v>31776000</v>
      </c>
      <c r="AQ375" s="594"/>
      <c r="AR375" s="594"/>
      <c r="AS375" s="593"/>
      <c r="AT375" s="595">
        <f>AT365+AT371</f>
        <v>7780000</v>
      </c>
      <c r="AU375" s="594"/>
      <c r="AV375" s="594"/>
      <c r="AW375" s="593"/>
      <c r="AX375" s="595">
        <f>AX365+AX371</f>
        <v>2256200</v>
      </c>
      <c r="AY375" s="594"/>
      <c r="AZ375" s="594"/>
      <c r="BA375" s="593"/>
      <c r="BB375" s="595">
        <f>BB365+BB371</f>
        <v>5523800</v>
      </c>
      <c r="BC375" s="594"/>
      <c r="BD375" s="594"/>
      <c r="BE375" s="593"/>
      <c r="BF375" s="618"/>
      <c r="BG375" s="573"/>
    </row>
    <row r="376" spans="10:59" ht="18.95" customHeight="1">
      <c r="J376" s="619"/>
      <c r="K376" s="777"/>
      <c r="L376" s="778"/>
      <c r="M376" s="778"/>
      <c r="N376" s="778"/>
      <c r="O376" s="778"/>
      <c r="P376" s="778"/>
      <c r="Q376" s="778"/>
      <c r="R376" s="778"/>
      <c r="S376" s="778"/>
      <c r="T376" s="778"/>
      <c r="U376" s="778"/>
      <c r="V376" s="778"/>
      <c r="W376" s="778"/>
      <c r="X376" s="778"/>
      <c r="Y376" s="778"/>
      <c r="Z376" s="778"/>
      <c r="AA376" s="778"/>
      <c r="AB376" s="778"/>
      <c r="AC376" s="778"/>
      <c r="AD376" s="778"/>
      <c r="AE376" s="778"/>
      <c r="AF376" s="778"/>
      <c r="AG376" s="778"/>
      <c r="AH376" s="778"/>
      <c r="AI376" s="806">
        <v>30</v>
      </c>
      <c r="AJ376" s="588"/>
      <c r="AK376" s="806">
        <f t="shared" si="9"/>
        <v>18.28893442622951</v>
      </c>
      <c r="AL376" s="588"/>
      <c r="AM376" s="595">
        <f>AM369</f>
        <v>11</v>
      </c>
      <c r="AN376" s="594"/>
      <c r="AO376" s="593"/>
      <c r="AP376" s="595">
        <f>AP369</f>
        <v>1952000</v>
      </c>
      <c r="AQ376" s="594"/>
      <c r="AR376" s="594"/>
      <c r="AS376" s="593"/>
      <c r="AT376" s="595">
        <f>AT369</f>
        <v>1595000</v>
      </c>
      <c r="AU376" s="594"/>
      <c r="AV376" s="594"/>
      <c r="AW376" s="593"/>
      <c r="AX376" s="595">
        <f>AX369</f>
        <v>558250</v>
      </c>
      <c r="AY376" s="594"/>
      <c r="AZ376" s="594"/>
      <c r="BA376" s="593"/>
      <c r="BB376" s="595">
        <f>BB369</f>
        <v>1036750</v>
      </c>
      <c r="BC376" s="594"/>
      <c r="BD376" s="594"/>
      <c r="BE376" s="593"/>
      <c r="BF376" s="618"/>
      <c r="BG376" s="573"/>
    </row>
    <row r="377" spans="10:59" ht="18.95" customHeight="1">
      <c r="J377" s="619"/>
      <c r="K377" s="777"/>
      <c r="L377" s="778"/>
      <c r="M377" s="778"/>
      <c r="N377" s="778"/>
      <c r="O377" s="778"/>
      <c r="P377" s="778"/>
      <c r="Q377" s="778"/>
      <c r="R377" s="778"/>
      <c r="S377" s="778"/>
      <c r="T377" s="778"/>
      <c r="U377" s="778"/>
      <c r="V377" s="778"/>
      <c r="W377" s="778"/>
      <c r="X377" s="778"/>
      <c r="Y377" s="778"/>
      <c r="Z377" s="778"/>
      <c r="AA377" s="778"/>
      <c r="AB377" s="778"/>
      <c r="AC377" s="778"/>
      <c r="AD377" s="778"/>
      <c r="AE377" s="778"/>
      <c r="AF377" s="778"/>
      <c r="AG377" s="778"/>
      <c r="AH377" s="778"/>
      <c r="AI377" s="806">
        <v>35</v>
      </c>
      <c r="AJ377" s="588"/>
      <c r="AK377" s="806">
        <f t="shared" si="9"/>
        <v>18.28893442622951</v>
      </c>
      <c r="AL377" s="588"/>
      <c r="AM377" s="595">
        <f>AM372+AM366</f>
        <v>22</v>
      </c>
      <c r="AN377" s="594"/>
      <c r="AO377" s="593"/>
      <c r="AP377" s="595">
        <f>AP372+AP366</f>
        <v>3904000</v>
      </c>
      <c r="AQ377" s="594"/>
      <c r="AR377" s="594"/>
      <c r="AS377" s="593"/>
      <c r="AT377" s="595">
        <f>AT372+AT366</f>
        <v>3190000</v>
      </c>
      <c r="AU377" s="594"/>
      <c r="AV377" s="594"/>
      <c r="AW377" s="593"/>
      <c r="AX377" s="595">
        <f>AX372+AX366</f>
        <v>1116500</v>
      </c>
      <c r="AY377" s="594"/>
      <c r="AZ377" s="594"/>
      <c r="BA377" s="593"/>
      <c r="BB377" s="595">
        <f>BB372+BB366</f>
        <v>2073500</v>
      </c>
      <c r="BC377" s="594"/>
      <c r="BD377" s="594"/>
      <c r="BE377" s="593"/>
      <c r="BF377" s="618"/>
      <c r="BG377" s="573"/>
    </row>
    <row r="378" spans="10:59" ht="18.95" customHeight="1" thickBot="1">
      <c r="J378" s="619"/>
      <c r="K378" s="825"/>
      <c r="L378" s="826"/>
      <c r="M378" s="826"/>
      <c r="N378" s="826"/>
      <c r="O378" s="826"/>
      <c r="P378" s="826"/>
      <c r="Q378" s="826"/>
      <c r="R378" s="826"/>
      <c r="S378" s="826"/>
      <c r="T378" s="826"/>
      <c r="U378" s="826"/>
      <c r="V378" s="826"/>
      <c r="W378" s="826"/>
      <c r="X378" s="826"/>
      <c r="Y378" s="826"/>
      <c r="Z378" s="826"/>
      <c r="AA378" s="826"/>
      <c r="AB378" s="826"/>
      <c r="AC378" s="826"/>
      <c r="AD378" s="826"/>
      <c r="AE378" s="826"/>
      <c r="AF378" s="826"/>
      <c r="AG378" s="826"/>
      <c r="AH378" s="826"/>
      <c r="AI378" s="827">
        <f>100-(BB378/AT378*100)</f>
        <v>30.065186450327346</v>
      </c>
      <c r="AJ378" s="828"/>
      <c r="AK378" s="827">
        <f t="shared" si="9"/>
        <v>67.180493273542609</v>
      </c>
      <c r="AL378" s="828"/>
      <c r="AM378" s="829">
        <f>AM374+AM375+AM376+AM377</f>
        <v>264</v>
      </c>
      <c r="AN378" s="830"/>
      <c r="AO378" s="831"/>
      <c r="AP378" s="829">
        <f>AP374+AP375+AP376+AP377</f>
        <v>53520000</v>
      </c>
      <c r="AQ378" s="830"/>
      <c r="AR378" s="830"/>
      <c r="AS378" s="831"/>
      <c r="AT378" s="829">
        <f>AT374+AT375+AT376+AT377</f>
        <v>17565000</v>
      </c>
      <c r="AU378" s="830"/>
      <c r="AV378" s="830"/>
      <c r="AW378" s="831"/>
      <c r="AX378" s="829">
        <f>AX374+AX375+AX376+AX377</f>
        <v>5280950</v>
      </c>
      <c r="AY378" s="830"/>
      <c r="AZ378" s="830"/>
      <c r="BA378" s="831"/>
      <c r="BB378" s="829">
        <f>BB374+BB375+BB376+BB377</f>
        <v>12284050</v>
      </c>
      <c r="BC378" s="830"/>
      <c r="BD378" s="830"/>
      <c r="BE378" s="831"/>
      <c r="BF378" s="562"/>
      <c r="BG378" s="573"/>
    </row>
    <row r="379" spans="10:59" ht="18.95" customHeight="1">
      <c r="J379" s="572"/>
      <c r="K379" s="571"/>
      <c r="L379" s="571"/>
      <c r="M379" s="571"/>
      <c r="N379" s="571"/>
      <c r="O379" s="571"/>
      <c r="P379" s="571"/>
      <c r="Q379" s="571"/>
      <c r="R379" s="571"/>
      <c r="S379" s="571"/>
      <c r="T379" s="571"/>
      <c r="U379" s="571"/>
      <c r="V379" s="571"/>
      <c r="W379" s="571"/>
      <c r="X379" s="571"/>
      <c r="Y379" s="571"/>
      <c r="Z379" s="571"/>
      <c r="AA379" s="571"/>
      <c r="AB379" s="571"/>
      <c r="AC379" s="571"/>
      <c r="AD379" s="571"/>
      <c r="AE379" s="571"/>
      <c r="AF379" s="571"/>
      <c r="AG379" s="571"/>
      <c r="AH379" s="571"/>
      <c r="AI379" s="571"/>
      <c r="AJ379" s="571"/>
      <c r="AK379" s="571"/>
      <c r="AL379" s="571"/>
      <c r="AM379" s="571"/>
      <c r="AN379" s="571"/>
      <c r="AO379" s="571"/>
      <c r="AP379" s="571"/>
      <c r="AQ379" s="571"/>
      <c r="AR379" s="571"/>
      <c r="AS379" s="571"/>
      <c r="AT379" s="571"/>
      <c r="AU379" s="571"/>
      <c r="AV379" s="571"/>
      <c r="AW379" s="571"/>
      <c r="AX379" s="571"/>
      <c r="AY379" s="571"/>
      <c r="AZ379" s="571"/>
      <c r="BA379" s="571"/>
      <c r="BB379" s="571"/>
      <c r="BC379" s="571"/>
      <c r="BD379" s="571"/>
      <c r="BE379" s="571"/>
      <c r="BF379" s="571"/>
      <c r="BG379" s="570"/>
    </row>
    <row r="380" spans="10:59" ht="18.95" customHeight="1">
      <c r="J380" s="389" t="s">
        <v>1290</v>
      </c>
    </row>
    <row r="381" spans="10:59" ht="18.95" customHeight="1">
      <c r="J381" s="796" t="s">
        <v>1304</v>
      </c>
    </row>
    <row r="382" spans="10:59" ht="18.95" customHeight="1">
      <c r="J382" s="385"/>
    </row>
    <row r="383" spans="10:59" ht="18.95" customHeight="1">
      <c r="J383" s="389" t="s">
        <v>1309</v>
      </c>
    </row>
    <row r="384" spans="10:59" ht="18.95" customHeight="1">
      <c r="J384" s="385"/>
    </row>
    <row r="386" spans="10:59" ht="5.0999999999999996" customHeight="1">
      <c r="AK386" s="613"/>
      <c r="AL386" s="612"/>
      <c r="AM386" s="612"/>
      <c r="AN386" s="612"/>
      <c r="AO386" s="612"/>
      <c r="AP386" s="612"/>
      <c r="AQ386" s="612"/>
      <c r="AR386" s="612"/>
      <c r="AS386" s="612"/>
      <c r="AT386" s="612"/>
      <c r="AU386" s="612"/>
      <c r="AV386" s="612"/>
      <c r="AW386" s="611"/>
    </row>
    <row r="387" spans="10:59" ht="18.95" customHeight="1">
      <c r="J387" s="571"/>
      <c r="K387" s="832" t="s">
        <v>1318</v>
      </c>
      <c r="L387" s="833"/>
      <c r="M387" s="833"/>
      <c r="N387" s="833"/>
      <c r="O387" s="833"/>
      <c r="P387" s="833"/>
      <c r="Q387" s="833"/>
      <c r="R387" s="833"/>
      <c r="S387" s="833"/>
      <c r="T387" s="833"/>
      <c r="U387" s="833"/>
      <c r="V387" s="833"/>
      <c r="W387" s="833"/>
      <c r="X387" s="835" t="s">
        <v>1319</v>
      </c>
      <c r="Y387" s="833"/>
      <c r="Z387" s="833"/>
      <c r="AA387" s="833"/>
      <c r="AB387" s="833"/>
      <c r="AC387" s="833"/>
      <c r="AD387" s="833"/>
      <c r="AE387" s="833"/>
      <c r="AF387" s="833"/>
      <c r="AG387" s="833"/>
      <c r="AH387" s="833"/>
      <c r="AI387" s="833"/>
      <c r="AJ387" s="834"/>
      <c r="AK387" s="836" t="s">
        <v>1317</v>
      </c>
      <c r="AL387" s="175"/>
      <c r="AM387" s="175"/>
      <c r="AN387" s="175"/>
      <c r="AO387" s="175"/>
      <c r="AP387" s="175"/>
      <c r="AQ387" s="175"/>
      <c r="AR387" s="175"/>
      <c r="AS387" s="175"/>
      <c r="AT387" s="175"/>
      <c r="AU387" s="175"/>
      <c r="AV387" s="175"/>
      <c r="AW387" s="609"/>
      <c r="AX387" s="571"/>
      <c r="AY387" s="571"/>
      <c r="AZ387" s="571"/>
      <c r="BA387" s="571"/>
    </row>
    <row r="388" spans="10:59" ht="9.9499999999999993" customHeight="1">
      <c r="J388" s="619"/>
      <c r="BB388" s="604"/>
      <c r="BC388" s="604"/>
      <c r="BD388" s="604"/>
      <c r="BE388" s="604"/>
      <c r="BF388" s="604"/>
      <c r="BG388" s="853"/>
    </row>
    <row r="389" spans="10:59" ht="18.95" customHeight="1">
      <c r="J389" s="619"/>
      <c r="K389" s="600" t="s">
        <v>1308</v>
      </c>
      <c r="L389" s="599"/>
      <c r="M389" s="599"/>
      <c r="N389" s="1242" t="s">
        <v>1307</v>
      </c>
      <c r="O389" s="1243"/>
      <c r="P389" s="1243"/>
      <c r="Q389" s="1244"/>
      <c r="R389" s="598" t="s">
        <v>942</v>
      </c>
      <c r="S389" s="569" t="s">
        <v>968</v>
      </c>
      <c r="T389" s="1242" t="s">
        <v>1307</v>
      </c>
      <c r="U389" s="1243"/>
      <c r="V389" s="1243"/>
      <c r="W389" s="1244"/>
      <c r="X389" s="598" t="s">
        <v>942</v>
      </c>
      <c r="Y389" s="575" t="s">
        <v>1044</v>
      </c>
      <c r="Z389" s="599"/>
      <c r="AA389" s="599"/>
      <c r="AB389" s="595" t="s">
        <v>646</v>
      </c>
      <c r="AC389" s="594"/>
      <c r="AD389" s="594"/>
      <c r="AE389" s="593"/>
      <c r="AF389" s="596" t="s">
        <v>946</v>
      </c>
      <c r="BA389" s="586" t="s">
        <v>1035</v>
      </c>
      <c r="BB389" s="585"/>
      <c r="BC389" s="585"/>
      <c r="BD389" s="586" t="s">
        <v>1004</v>
      </c>
      <c r="BE389" s="585"/>
      <c r="BF389" s="585"/>
      <c r="BG389" s="573"/>
    </row>
    <row r="390" spans="10:59" ht="9.9499999999999993" customHeight="1">
      <c r="J390" s="619"/>
      <c r="BG390" s="573"/>
    </row>
    <row r="391" spans="10:59" ht="18.95" customHeight="1">
      <c r="J391" s="619"/>
      <c r="K391" s="600" t="s">
        <v>1278</v>
      </c>
      <c r="L391" s="563"/>
      <c r="M391" s="563"/>
      <c r="N391" s="595" t="s">
        <v>518</v>
      </c>
      <c r="O391" s="594"/>
      <c r="P391" s="594"/>
      <c r="Q391" s="593"/>
      <c r="R391" s="596" t="s">
        <v>946</v>
      </c>
      <c r="S391" s="575" t="s">
        <v>1227</v>
      </c>
      <c r="T391" s="599"/>
      <c r="U391" s="599"/>
      <c r="V391" s="1242" t="s">
        <v>539</v>
      </c>
      <c r="W391" s="1243"/>
      <c r="X391" s="1243"/>
      <c r="Y391" s="1244"/>
      <c r="Z391" s="596" t="s">
        <v>946</v>
      </c>
      <c r="AA391" s="575" t="s">
        <v>952</v>
      </c>
      <c r="AB391" s="599"/>
      <c r="AC391" s="599"/>
      <c r="AD391" s="590" t="s">
        <v>955</v>
      </c>
      <c r="AE391" s="589"/>
      <c r="AF391" s="588"/>
      <c r="AG391" s="587" t="s">
        <v>956</v>
      </c>
      <c r="AH391" s="589"/>
      <c r="AI391" s="589"/>
      <c r="AJ391" s="589"/>
      <c r="AK391" s="589"/>
      <c r="AL391" s="589"/>
      <c r="AM391" s="596" t="s">
        <v>949</v>
      </c>
      <c r="BG391" s="573"/>
    </row>
    <row r="392" spans="10:59" ht="18.95" customHeight="1">
      <c r="J392" s="619"/>
      <c r="BB392" s="1072" t="s">
        <v>1584</v>
      </c>
      <c r="BG392" s="573"/>
    </row>
    <row r="393" spans="10:59" ht="18.95" customHeight="1">
      <c r="J393" s="619"/>
      <c r="K393" s="1245" t="s">
        <v>1165</v>
      </c>
      <c r="L393" s="1225"/>
      <c r="M393" s="1225"/>
      <c r="N393" s="1226"/>
      <c r="O393" s="561" t="s">
        <v>990</v>
      </c>
      <c r="P393" s="560"/>
      <c r="Q393" s="560"/>
      <c r="R393" s="560"/>
      <c r="S393" s="560"/>
      <c r="T393" s="560"/>
      <c r="U393" s="560"/>
      <c r="V393" s="560"/>
      <c r="W393" s="560"/>
      <c r="X393" s="560"/>
      <c r="Y393" s="560"/>
      <c r="Z393" s="560"/>
      <c r="AA393" s="559"/>
      <c r="AB393" s="561"/>
      <c r="AC393" s="560"/>
      <c r="AD393" s="559"/>
      <c r="AE393" s="1245" t="s">
        <v>1279</v>
      </c>
      <c r="AF393" s="1225"/>
      <c r="AG393" s="1225"/>
      <c r="AH393" s="1226"/>
      <c r="AI393" s="1245" t="s">
        <v>1281</v>
      </c>
      <c r="AJ393" s="1226"/>
      <c r="AK393" s="1245" t="s">
        <v>1283</v>
      </c>
      <c r="AL393" s="1226"/>
      <c r="AM393" s="1219" t="s">
        <v>1285</v>
      </c>
      <c r="AN393" s="1220"/>
      <c r="AO393" s="1221"/>
      <c r="AP393" s="1219" t="s">
        <v>1284</v>
      </c>
      <c r="AQ393" s="1225"/>
      <c r="AR393" s="1225"/>
      <c r="AS393" s="1226"/>
      <c r="AT393" s="1219" t="s">
        <v>1286</v>
      </c>
      <c r="AU393" s="1225"/>
      <c r="AV393" s="1225"/>
      <c r="AW393" s="1226"/>
      <c r="AX393" s="1230" t="s">
        <v>1305</v>
      </c>
      <c r="AY393" s="1231"/>
      <c r="AZ393" s="1231"/>
      <c r="BA393" s="1232"/>
      <c r="BB393" s="1236" t="s">
        <v>1310</v>
      </c>
      <c r="BC393" s="1237"/>
      <c r="BD393" s="1237"/>
      <c r="BE393" s="1238"/>
      <c r="BF393" s="553"/>
      <c r="BG393" s="573"/>
    </row>
    <row r="394" spans="10:59" ht="18.95" customHeight="1">
      <c r="J394" s="619"/>
      <c r="K394" s="1227"/>
      <c r="L394" s="1228"/>
      <c r="M394" s="1228"/>
      <c r="N394" s="1229"/>
      <c r="O394" s="623" t="s">
        <v>1168</v>
      </c>
      <c r="P394" s="624"/>
      <c r="Q394" s="625"/>
      <c r="R394" s="561" t="s">
        <v>1224</v>
      </c>
      <c r="S394" s="560"/>
      <c r="T394" s="560"/>
      <c r="U394" s="559"/>
      <c r="V394" s="561" t="s">
        <v>981</v>
      </c>
      <c r="W394" s="560"/>
      <c r="X394" s="559"/>
      <c r="Y394" s="561" t="s">
        <v>982</v>
      </c>
      <c r="Z394" s="560"/>
      <c r="AA394" s="560"/>
      <c r="AB394" s="560"/>
      <c r="AC394" s="560"/>
      <c r="AD394" s="559"/>
      <c r="AE394" s="1227"/>
      <c r="AF394" s="1228"/>
      <c r="AG394" s="1228"/>
      <c r="AH394" s="1229"/>
      <c r="AI394" s="1227"/>
      <c r="AJ394" s="1229"/>
      <c r="AK394" s="1227"/>
      <c r="AL394" s="1229"/>
      <c r="AM394" s="1222"/>
      <c r="AN394" s="1223"/>
      <c r="AO394" s="1224"/>
      <c r="AP394" s="1227"/>
      <c r="AQ394" s="1228"/>
      <c r="AR394" s="1228"/>
      <c r="AS394" s="1229"/>
      <c r="AT394" s="1227"/>
      <c r="AU394" s="1228"/>
      <c r="AV394" s="1228"/>
      <c r="AW394" s="1229"/>
      <c r="AX394" s="1233"/>
      <c r="AY394" s="1234"/>
      <c r="AZ394" s="1234"/>
      <c r="BA394" s="1235"/>
      <c r="BB394" s="1239"/>
      <c r="BC394" s="1240"/>
      <c r="BD394" s="1240"/>
      <c r="BE394" s="1241"/>
      <c r="BF394" s="552"/>
      <c r="BG394" s="573"/>
    </row>
    <row r="395" spans="10:59" ht="18.95" customHeight="1">
      <c r="J395" s="619"/>
      <c r="K395" s="750" t="s">
        <v>646</v>
      </c>
      <c r="L395" s="682"/>
      <c r="M395" s="682"/>
      <c r="N395" s="679"/>
      <c r="O395" s="750" t="s">
        <v>518</v>
      </c>
      <c r="P395" s="682"/>
      <c r="Q395" s="682"/>
      <c r="R395" s="1246" t="s">
        <v>1225</v>
      </c>
      <c r="S395" s="1247"/>
      <c r="T395" s="1247"/>
      <c r="U395" s="1248"/>
      <c r="V395" s="638" t="s">
        <v>955</v>
      </c>
      <c r="W395" s="639"/>
      <c r="X395" s="640"/>
      <c r="Y395" s="751" t="s">
        <v>1040</v>
      </c>
      <c r="Z395" s="639"/>
      <c r="AA395" s="639"/>
      <c r="AB395" s="639"/>
      <c r="AC395" s="639"/>
      <c r="AD395" s="640"/>
      <c r="AE395" s="750" t="s">
        <v>1280</v>
      </c>
      <c r="AF395" s="682"/>
      <c r="AG395" s="682"/>
      <c r="AH395" s="679"/>
      <c r="AI395" s="806">
        <v>29</v>
      </c>
      <c r="AJ395" s="588"/>
      <c r="AK395" s="806">
        <f>(1-AT395/AP395)*100</f>
        <v>76.208459214501516</v>
      </c>
      <c r="AL395" s="588"/>
      <c r="AM395" s="595">
        <v>77</v>
      </c>
      <c r="AN395" s="594"/>
      <c r="AO395" s="593"/>
      <c r="AP395" s="595">
        <v>15888000</v>
      </c>
      <c r="AQ395" s="594"/>
      <c r="AR395" s="594"/>
      <c r="AS395" s="593"/>
      <c r="AT395" s="595">
        <v>3780000</v>
      </c>
      <c r="AU395" s="594"/>
      <c r="AV395" s="594"/>
      <c r="AW395" s="593"/>
      <c r="AX395" s="595">
        <f>AT395-BB395</f>
        <v>1096200</v>
      </c>
      <c r="AY395" s="594"/>
      <c r="AZ395" s="594"/>
      <c r="BA395" s="593"/>
      <c r="BB395" s="595">
        <f>AT395-(AT395*(AI395/100))</f>
        <v>2683800</v>
      </c>
      <c r="BC395" s="594"/>
      <c r="BD395" s="594"/>
      <c r="BE395" s="593"/>
      <c r="BF395" s="551" t="s">
        <v>942</v>
      </c>
      <c r="BG395" s="573"/>
    </row>
    <row r="396" spans="10:59" ht="18.95" customHeight="1">
      <c r="J396" s="619"/>
      <c r="K396" s="752"/>
      <c r="L396" s="620"/>
      <c r="M396" s="620"/>
      <c r="N396" s="680"/>
      <c r="O396" s="752"/>
      <c r="P396" s="620"/>
      <c r="Q396" s="620"/>
      <c r="R396" s="654"/>
      <c r="S396" s="620"/>
      <c r="T396" s="620"/>
      <c r="U396" s="680"/>
      <c r="V396" s="654"/>
      <c r="W396" s="652"/>
      <c r="X396" s="653"/>
      <c r="Y396" s="753"/>
      <c r="Z396" s="652"/>
      <c r="AA396" s="652"/>
      <c r="AB396" s="652"/>
      <c r="AC396" s="652"/>
      <c r="AD396" s="653"/>
      <c r="AE396" s="752"/>
      <c r="AF396" s="620"/>
      <c r="AG396" s="620"/>
      <c r="AH396" s="680"/>
      <c r="AI396" s="806">
        <v>35</v>
      </c>
      <c r="AJ396" s="588"/>
      <c r="AK396" s="806">
        <f t="shared" ref="AK396:AK397" si="10">(1-AT396/AP396)*100</f>
        <v>18.28893442622951</v>
      </c>
      <c r="AL396" s="588"/>
      <c r="AM396" s="595">
        <v>11</v>
      </c>
      <c r="AN396" s="594"/>
      <c r="AO396" s="593"/>
      <c r="AP396" s="595">
        <v>1952000</v>
      </c>
      <c r="AQ396" s="594"/>
      <c r="AR396" s="594"/>
      <c r="AS396" s="593"/>
      <c r="AT396" s="595">
        <v>1595000</v>
      </c>
      <c r="AU396" s="594"/>
      <c r="AV396" s="594"/>
      <c r="AW396" s="593"/>
      <c r="AX396" s="595">
        <f>AT396-BB396</f>
        <v>558250</v>
      </c>
      <c r="AY396" s="594"/>
      <c r="AZ396" s="594"/>
      <c r="BA396" s="593"/>
      <c r="BB396" s="595">
        <f>AT396-(AT396*(AI396/100))</f>
        <v>1036750</v>
      </c>
      <c r="BC396" s="594"/>
      <c r="BD396" s="594"/>
      <c r="BE396" s="593"/>
      <c r="BF396" s="618"/>
      <c r="BG396" s="573"/>
    </row>
    <row r="397" spans="10:59" ht="18.95" customHeight="1">
      <c r="J397" s="619"/>
      <c r="K397" s="799"/>
      <c r="L397" s="787"/>
      <c r="M397" s="787"/>
      <c r="N397" s="788"/>
      <c r="O397" s="799"/>
      <c r="P397" s="787"/>
      <c r="Q397" s="787"/>
      <c r="R397" s="783"/>
      <c r="S397" s="784"/>
      <c r="T397" s="784"/>
      <c r="U397" s="785"/>
      <c r="V397" s="786"/>
      <c r="W397" s="800"/>
      <c r="X397" s="801"/>
      <c r="Y397" s="756"/>
      <c r="Z397" s="800"/>
      <c r="AA397" s="800"/>
      <c r="AB397" s="800"/>
      <c r="AC397" s="800"/>
      <c r="AD397" s="667"/>
      <c r="AE397" s="754"/>
      <c r="AF397" s="755"/>
      <c r="AG397" s="755"/>
      <c r="AH397" s="681"/>
      <c r="AI397" s="807">
        <f>100-(BB397/AT397*100)</f>
        <v>30.780465116279061</v>
      </c>
      <c r="AJ397" s="802"/>
      <c r="AK397" s="807">
        <f t="shared" si="10"/>
        <v>69.871076233183842</v>
      </c>
      <c r="AL397" s="802"/>
      <c r="AM397" s="803">
        <f>AM395+AM396</f>
        <v>88</v>
      </c>
      <c r="AN397" s="804"/>
      <c r="AO397" s="805"/>
      <c r="AP397" s="803">
        <f>AP396+AP395</f>
        <v>17840000</v>
      </c>
      <c r="AQ397" s="804"/>
      <c r="AR397" s="804"/>
      <c r="AS397" s="805"/>
      <c r="AT397" s="803">
        <f>AT395+AT396</f>
        <v>5375000</v>
      </c>
      <c r="AU397" s="804"/>
      <c r="AV397" s="804"/>
      <c r="AW397" s="805"/>
      <c r="AX397" s="803">
        <f>AX395+AX396</f>
        <v>1654450</v>
      </c>
      <c r="AY397" s="804"/>
      <c r="AZ397" s="804"/>
      <c r="BA397" s="805"/>
      <c r="BB397" s="803">
        <f>BB395+BB396</f>
        <v>3720550</v>
      </c>
      <c r="BC397" s="804"/>
      <c r="BD397" s="804"/>
      <c r="BE397" s="805"/>
      <c r="BF397" s="618"/>
      <c r="BG397" s="573"/>
    </row>
    <row r="398" spans="10:59" ht="18.95" customHeight="1">
      <c r="J398" s="619"/>
      <c r="K398" s="750" t="s">
        <v>646</v>
      </c>
      <c r="L398" s="682"/>
      <c r="M398" s="682"/>
      <c r="N398" s="679"/>
      <c r="O398" s="750" t="s">
        <v>518</v>
      </c>
      <c r="P398" s="682"/>
      <c r="Q398" s="682"/>
      <c r="R398" s="1246" t="s">
        <v>1225</v>
      </c>
      <c r="S398" s="1247"/>
      <c r="T398" s="1247"/>
      <c r="U398" s="1248"/>
      <c r="V398" s="638" t="s">
        <v>1287</v>
      </c>
      <c r="W398" s="639"/>
      <c r="X398" s="640"/>
      <c r="Y398" s="751" t="s">
        <v>1288</v>
      </c>
      <c r="Z398" s="639"/>
      <c r="AA398" s="639"/>
      <c r="AB398" s="639"/>
      <c r="AC398" s="639"/>
      <c r="AD398" s="640"/>
      <c r="AE398" s="750" t="s">
        <v>1280</v>
      </c>
      <c r="AF398" s="682"/>
      <c r="AG398" s="682"/>
      <c r="AH398" s="679"/>
      <c r="AI398" s="806">
        <v>27</v>
      </c>
      <c r="AJ398" s="588"/>
      <c r="AK398" s="806">
        <f>(1-AT398/AP398)*100</f>
        <v>68.529707955689815</v>
      </c>
      <c r="AL398" s="588"/>
      <c r="AM398" s="595">
        <v>77</v>
      </c>
      <c r="AN398" s="594"/>
      <c r="AO398" s="593"/>
      <c r="AP398" s="595">
        <v>15888000</v>
      </c>
      <c r="AQ398" s="594"/>
      <c r="AR398" s="594"/>
      <c r="AS398" s="593"/>
      <c r="AT398" s="595">
        <v>5000000</v>
      </c>
      <c r="AU398" s="594"/>
      <c r="AV398" s="594"/>
      <c r="AW398" s="593"/>
      <c r="AX398" s="595">
        <f>AT398-BB398</f>
        <v>1350000</v>
      </c>
      <c r="AY398" s="594"/>
      <c r="AZ398" s="594"/>
      <c r="BA398" s="593"/>
      <c r="BB398" s="595">
        <f>AT398-(AT398*(AI398/100))</f>
        <v>3650000</v>
      </c>
      <c r="BC398" s="594"/>
      <c r="BD398" s="594"/>
      <c r="BE398" s="593"/>
      <c r="BF398" s="618"/>
      <c r="BG398" s="573"/>
    </row>
    <row r="399" spans="10:59" ht="18.95" customHeight="1">
      <c r="J399" s="619"/>
      <c r="K399" s="752"/>
      <c r="L399" s="620"/>
      <c r="M399" s="620"/>
      <c r="N399" s="680"/>
      <c r="O399" s="752"/>
      <c r="P399" s="620"/>
      <c r="Q399" s="620"/>
      <c r="R399" s="654"/>
      <c r="S399" s="620"/>
      <c r="T399" s="620"/>
      <c r="U399" s="680"/>
      <c r="V399" s="654"/>
      <c r="W399" s="652"/>
      <c r="X399" s="653"/>
      <c r="Y399" s="753"/>
      <c r="Z399" s="652"/>
      <c r="AA399" s="652"/>
      <c r="AB399" s="652"/>
      <c r="AC399" s="652"/>
      <c r="AD399" s="653"/>
      <c r="AE399" s="752"/>
      <c r="AF399" s="620"/>
      <c r="AG399" s="620"/>
      <c r="AH399" s="680"/>
      <c r="AI399" s="806">
        <v>35</v>
      </c>
      <c r="AJ399" s="588"/>
      <c r="AK399" s="806">
        <f t="shared" ref="AK399:AK400" si="11">(1-AT399/AP399)*100</f>
        <v>18.28893442622951</v>
      </c>
      <c r="AL399" s="588"/>
      <c r="AM399" s="595">
        <v>11</v>
      </c>
      <c r="AN399" s="594"/>
      <c r="AO399" s="593"/>
      <c r="AP399" s="595">
        <v>1952000</v>
      </c>
      <c r="AQ399" s="594"/>
      <c r="AR399" s="594"/>
      <c r="AS399" s="593"/>
      <c r="AT399" s="595">
        <v>1595000</v>
      </c>
      <c r="AU399" s="594"/>
      <c r="AV399" s="594"/>
      <c r="AW399" s="593"/>
      <c r="AX399" s="595">
        <f>AT399-BB399</f>
        <v>558250</v>
      </c>
      <c r="AY399" s="594"/>
      <c r="AZ399" s="594"/>
      <c r="BA399" s="593"/>
      <c r="BB399" s="595">
        <f>AT399-(AT399*(AI399/100))</f>
        <v>1036750</v>
      </c>
      <c r="BC399" s="594"/>
      <c r="BD399" s="594"/>
      <c r="BE399" s="593"/>
      <c r="BF399" s="618"/>
      <c r="BG399" s="573"/>
    </row>
    <row r="400" spans="10:59" ht="18.95" customHeight="1">
      <c r="J400" s="619"/>
      <c r="K400" s="799"/>
      <c r="L400" s="787"/>
      <c r="M400" s="787"/>
      <c r="N400" s="788"/>
      <c r="O400" s="799"/>
      <c r="P400" s="787"/>
      <c r="Q400" s="787"/>
      <c r="R400" s="783"/>
      <c r="S400" s="784"/>
      <c r="T400" s="784"/>
      <c r="U400" s="785"/>
      <c r="V400" s="786"/>
      <c r="W400" s="800"/>
      <c r="X400" s="801"/>
      <c r="Y400" s="756"/>
      <c r="Z400" s="800"/>
      <c r="AA400" s="800"/>
      <c r="AB400" s="800"/>
      <c r="AC400" s="800"/>
      <c r="AD400" s="667"/>
      <c r="AE400" s="754"/>
      <c r="AF400" s="755"/>
      <c r="AG400" s="755"/>
      <c r="AH400" s="681"/>
      <c r="AI400" s="807">
        <f>100-(BB400/AT400*100)</f>
        <v>28.934799090219869</v>
      </c>
      <c r="AJ400" s="802"/>
      <c r="AK400" s="807">
        <f t="shared" si="11"/>
        <v>63.03251121076233</v>
      </c>
      <c r="AL400" s="802"/>
      <c r="AM400" s="803">
        <f>AM398+AM399</f>
        <v>88</v>
      </c>
      <c r="AN400" s="804"/>
      <c r="AO400" s="805"/>
      <c r="AP400" s="803">
        <f>AP399+AP398</f>
        <v>17840000</v>
      </c>
      <c r="AQ400" s="804"/>
      <c r="AR400" s="804"/>
      <c r="AS400" s="805"/>
      <c r="AT400" s="803">
        <f>AT398+AT399</f>
        <v>6595000</v>
      </c>
      <c r="AU400" s="804"/>
      <c r="AV400" s="804"/>
      <c r="AW400" s="805"/>
      <c r="AX400" s="803">
        <f>AX398+AX399</f>
        <v>1908250</v>
      </c>
      <c r="AY400" s="804"/>
      <c r="AZ400" s="804"/>
      <c r="BA400" s="805"/>
      <c r="BB400" s="803">
        <f>BB398+BB399</f>
        <v>4686750</v>
      </c>
      <c r="BC400" s="804"/>
      <c r="BD400" s="804"/>
      <c r="BE400" s="805"/>
      <c r="BF400" s="618"/>
      <c r="BG400" s="573"/>
    </row>
    <row r="401" spans="4:61" ht="18.95" customHeight="1">
      <c r="J401" s="619"/>
      <c r="K401" s="750" t="s">
        <v>646</v>
      </c>
      <c r="L401" s="682"/>
      <c r="M401" s="682"/>
      <c r="N401" s="679"/>
      <c r="O401" s="750" t="s">
        <v>518</v>
      </c>
      <c r="P401" s="682"/>
      <c r="Q401" s="682"/>
      <c r="R401" s="1246" t="s">
        <v>1225</v>
      </c>
      <c r="S401" s="1247"/>
      <c r="T401" s="1247"/>
      <c r="U401" s="1248"/>
      <c r="V401" s="638" t="s">
        <v>1287</v>
      </c>
      <c r="W401" s="639"/>
      <c r="X401" s="640"/>
      <c r="Y401" s="751" t="s">
        <v>1288</v>
      </c>
      <c r="Z401" s="639"/>
      <c r="AA401" s="639"/>
      <c r="AB401" s="639"/>
      <c r="AC401" s="639"/>
      <c r="AD401" s="640"/>
      <c r="AE401" s="750" t="s">
        <v>1280</v>
      </c>
      <c r="AF401" s="682"/>
      <c r="AG401" s="682"/>
      <c r="AH401" s="679"/>
      <c r="AI401" s="806">
        <v>29</v>
      </c>
      <c r="AJ401" s="588"/>
      <c r="AK401" s="806">
        <f>(1-AT401/AP401)*100</f>
        <v>74.823766364551858</v>
      </c>
      <c r="AL401" s="588"/>
      <c r="AM401" s="595">
        <v>77</v>
      </c>
      <c r="AN401" s="594"/>
      <c r="AO401" s="593"/>
      <c r="AP401" s="595">
        <v>15888000</v>
      </c>
      <c r="AQ401" s="594"/>
      <c r="AR401" s="594"/>
      <c r="AS401" s="593"/>
      <c r="AT401" s="595">
        <v>4000000</v>
      </c>
      <c r="AU401" s="594"/>
      <c r="AV401" s="594"/>
      <c r="AW401" s="593"/>
      <c r="AX401" s="595">
        <f>AT401-BB401</f>
        <v>1160000</v>
      </c>
      <c r="AY401" s="594"/>
      <c r="AZ401" s="594"/>
      <c r="BA401" s="593"/>
      <c r="BB401" s="595">
        <f>AT401-(AT401*(AI401/100))</f>
        <v>2840000</v>
      </c>
      <c r="BC401" s="594"/>
      <c r="BD401" s="594"/>
      <c r="BE401" s="593"/>
      <c r="BF401" s="618"/>
      <c r="BG401" s="573"/>
    </row>
    <row r="402" spans="4:61" ht="18.95" customHeight="1">
      <c r="J402" s="619"/>
      <c r="K402" s="752"/>
      <c r="L402" s="620"/>
      <c r="M402" s="620"/>
      <c r="N402" s="680"/>
      <c r="O402" s="752"/>
      <c r="P402" s="620"/>
      <c r="Q402" s="620"/>
      <c r="R402" s="654"/>
      <c r="S402" s="620"/>
      <c r="T402" s="620"/>
      <c r="U402" s="680"/>
      <c r="V402" s="654"/>
      <c r="W402" s="652"/>
      <c r="X402" s="653"/>
      <c r="Y402" s="753"/>
      <c r="Z402" s="652"/>
      <c r="AA402" s="652"/>
      <c r="AB402" s="652"/>
      <c r="AC402" s="652"/>
      <c r="AD402" s="653"/>
      <c r="AE402" s="752"/>
      <c r="AF402" s="620"/>
      <c r="AG402" s="620"/>
      <c r="AH402" s="680"/>
      <c r="AI402" s="806">
        <v>35</v>
      </c>
      <c r="AJ402" s="588"/>
      <c r="AK402" s="806">
        <f t="shared" ref="AK402:AK408" si="12">(1-AT402/AP402)*100</f>
        <v>18.28893442622951</v>
      </c>
      <c r="AL402" s="588"/>
      <c r="AM402" s="595">
        <v>11</v>
      </c>
      <c r="AN402" s="594"/>
      <c r="AO402" s="593"/>
      <c r="AP402" s="595">
        <v>1952000</v>
      </c>
      <c r="AQ402" s="594"/>
      <c r="AR402" s="594"/>
      <c r="AS402" s="593"/>
      <c r="AT402" s="595">
        <v>1595000</v>
      </c>
      <c r="AU402" s="594"/>
      <c r="AV402" s="594"/>
      <c r="AW402" s="593"/>
      <c r="AX402" s="595">
        <f>AT402-BB402</f>
        <v>558250</v>
      </c>
      <c r="AY402" s="594"/>
      <c r="AZ402" s="594"/>
      <c r="BA402" s="593"/>
      <c r="BB402" s="595">
        <f>AT402-(AT402*(AI402/100))</f>
        <v>1036750</v>
      </c>
      <c r="BC402" s="594"/>
      <c r="BD402" s="594"/>
      <c r="BE402" s="593"/>
      <c r="BF402" s="618"/>
      <c r="BG402" s="573"/>
    </row>
    <row r="403" spans="4:61" ht="18.95" customHeight="1" thickBot="1">
      <c r="J403" s="619"/>
      <c r="K403" s="810"/>
      <c r="L403" s="784"/>
      <c r="M403" s="784"/>
      <c r="N403" s="785"/>
      <c r="O403" s="810"/>
      <c r="P403" s="784"/>
      <c r="Q403" s="784"/>
      <c r="R403" s="783"/>
      <c r="S403" s="784"/>
      <c r="T403" s="784"/>
      <c r="U403" s="785"/>
      <c r="V403" s="783"/>
      <c r="W403" s="811"/>
      <c r="X403" s="812"/>
      <c r="Y403" s="753"/>
      <c r="Z403" s="811"/>
      <c r="AA403" s="811"/>
      <c r="AB403" s="811"/>
      <c r="AC403" s="811"/>
      <c r="AD403" s="653"/>
      <c r="AE403" s="752"/>
      <c r="AF403" s="620"/>
      <c r="AG403" s="620"/>
      <c r="AH403" s="680"/>
      <c r="AI403" s="813">
        <f>100-(BB403/AT403*100)</f>
        <v>30.710455764075064</v>
      </c>
      <c r="AJ403" s="814"/>
      <c r="AK403" s="813">
        <f t="shared" si="12"/>
        <v>68.637892376681606</v>
      </c>
      <c r="AL403" s="814"/>
      <c r="AM403" s="815">
        <f>AM401+AM402</f>
        <v>88</v>
      </c>
      <c r="AN403" s="816"/>
      <c r="AO403" s="817"/>
      <c r="AP403" s="815">
        <f>AP402+AP401</f>
        <v>17840000</v>
      </c>
      <c r="AQ403" s="816"/>
      <c r="AR403" s="816"/>
      <c r="AS403" s="817"/>
      <c r="AT403" s="815">
        <f>AT401+AT402</f>
        <v>5595000</v>
      </c>
      <c r="AU403" s="816"/>
      <c r="AV403" s="816"/>
      <c r="AW403" s="817"/>
      <c r="AX403" s="815">
        <f>AX401+AX402</f>
        <v>1718250</v>
      </c>
      <c r="AY403" s="816"/>
      <c r="AZ403" s="816"/>
      <c r="BA403" s="817"/>
      <c r="BB403" s="815">
        <f>BB401+BB402</f>
        <v>3876750</v>
      </c>
      <c r="BC403" s="816"/>
      <c r="BD403" s="816"/>
      <c r="BE403" s="817"/>
      <c r="BF403" s="618"/>
      <c r="BG403" s="573"/>
    </row>
    <row r="404" spans="4:61" ht="18.95" customHeight="1">
      <c r="J404" s="619"/>
      <c r="K404" s="818" t="s">
        <v>1257</v>
      </c>
      <c r="L404" s="819"/>
      <c r="M404" s="819"/>
      <c r="N404" s="819"/>
      <c r="O404" s="819"/>
      <c r="P404" s="819"/>
      <c r="Q404" s="819"/>
      <c r="R404" s="819"/>
      <c r="S404" s="819"/>
      <c r="T404" s="819"/>
      <c r="U404" s="819"/>
      <c r="V404" s="819"/>
      <c r="W404" s="819"/>
      <c r="X404" s="819"/>
      <c r="Y404" s="819"/>
      <c r="Z404" s="819"/>
      <c r="AA404" s="819"/>
      <c r="AB404" s="819"/>
      <c r="AC404" s="819"/>
      <c r="AD404" s="819"/>
      <c r="AE404" s="819"/>
      <c r="AF404" s="819"/>
      <c r="AG404" s="819"/>
      <c r="AH404" s="819"/>
      <c r="AI404" s="820">
        <v>25</v>
      </c>
      <c r="AJ404" s="821"/>
      <c r="AK404" s="820">
        <f t="shared" si="12"/>
        <v>68.529707955689815</v>
      </c>
      <c r="AL404" s="821"/>
      <c r="AM404" s="822">
        <f>AM398</f>
        <v>77</v>
      </c>
      <c r="AN404" s="823"/>
      <c r="AO404" s="824"/>
      <c r="AP404" s="822">
        <f>AP398</f>
        <v>15888000</v>
      </c>
      <c r="AQ404" s="823"/>
      <c r="AR404" s="823"/>
      <c r="AS404" s="824"/>
      <c r="AT404" s="822">
        <f>AT398</f>
        <v>5000000</v>
      </c>
      <c r="AU404" s="823"/>
      <c r="AV404" s="823"/>
      <c r="AW404" s="824"/>
      <c r="AX404" s="822">
        <f>AX398</f>
        <v>1350000</v>
      </c>
      <c r="AY404" s="823"/>
      <c r="AZ404" s="823"/>
      <c r="BA404" s="824"/>
      <c r="BB404" s="822">
        <f>BB398</f>
        <v>3650000</v>
      </c>
      <c r="BC404" s="823"/>
      <c r="BD404" s="823"/>
      <c r="BE404" s="824"/>
      <c r="BF404" s="618"/>
      <c r="BG404" s="573"/>
    </row>
    <row r="405" spans="4:61" ht="18.95" customHeight="1">
      <c r="J405" s="619"/>
      <c r="K405" s="777"/>
      <c r="L405" s="778"/>
      <c r="M405" s="778"/>
      <c r="N405" s="778"/>
      <c r="O405" s="778"/>
      <c r="P405" s="778"/>
      <c r="Q405" s="778"/>
      <c r="R405" s="778"/>
      <c r="S405" s="778"/>
      <c r="T405" s="778"/>
      <c r="U405" s="778"/>
      <c r="V405" s="778"/>
      <c r="W405" s="778"/>
      <c r="X405" s="778"/>
      <c r="Y405" s="778"/>
      <c r="Z405" s="778"/>
      <c r="AA405" s="778"/>
      <c r="AB405" s="778"/>
      <c r="AC405" s="778"/>
      <c r="AD405" s="778"/>
      <c r="AE405" s="778"/>
      <c r="AF405" s="778"/>
      <c r="AG405" s="778"/>
      <c r="AH405" s="778"/>
      <c r="AI405" s="806">
        <v>29</v>
      </c>
      <c r="AJ405" s="588"/>
      <c r="AK405" s="806">
        <f t="shared" si="12"/>
        <v>75.516112789526687</v>
      </c>
      <c r="AL405" s="588"/>
      <c r="AM405" s="595">
        <f>AM395+AM401</f>
        <v>154</v>
      </c>
      <c r="AN405" s="594"/>
      <c r="AO405" s="593"/>
      <c r="AP405" s="595">
        <f>AP395+AP401</f>
        <v>31776000</v>
      </c>
      <c r="AQ405" s="594"/>
      <c r="AR405" s="594"/>
      <c r="AS405" s="593"/>
      <c r="AT405" s="595">
        <f>AT395+AT401</f>
        <v>7780000</v>
      </c>
      <c r="AU405" s="594"/>
      <c r="AV405" s="594"/>
      <c r="AW405" s="593"/>
      <c r="AX405" s="595">
        <f>AX395+AX401</f>
        <v>2256200</v>
      </c>
      <c r="AY405" s="594"/>
      <c r="AZ405" s="594"/>
      <c r="BA405" s="593"/>
      <c r="BB405" s="595">
        <f>BB395+BB401</f>
        <v>5523800</v>
      </c>
      <c r="BC405" s="594"/>
      <c r="BD405" s="594"/>
      <c r="BE405" s="593"/>
      <c r="BF405" s="618"/>
      <c r="BG405" s="573"/>
    </row>
    <row r="406" spans="4:61" ht="18.95" customHeight="1">
      <c r="J406" s="619"/>
      <c r="K406" s="777"/>
      <c r="L406" s="778"/>
      <c r="M406" s="778"/>
      <c r="N406" s="778"/>
      <c r="O406" s="778"/>
      <c r="P406" s="778"/>
      <c r="Q406" s="778"/>
      <c r="R406" s="778"/>
      <c r="S406" s="778"/>
      <c r="T406" s="778"/>
      <c r="U406" s="778"/>
      <c r="V406" s="778"/>
      <c r="W406" s="778"/>
      <c r="X406" s="778"/>
      <c r="Y406" s="778"/>
      <c r="Z406" s="778"/>
      <c r="AA406" s="778"/>
      <c r="AB406" s="778"/>
      <c r="AC406" s="778"/>
      <c r="AD406" s="778"/>
      <c r="AE406" s="778"/>
      <c r="AF406" s="778"/>
      <c r="AG406" s="778"/>
      <c r="AH406" s="778"/>
      <c r="AI406" s="806">
        <v>30</v>
      </c>
      <c r="AJ406" s="588"/>
      <c r="AK406" s="806">
        <f t="shared" si="12"/>
        <v>18.28893442622951</v>
      </c>
      <c r="AL406" s="588"/>
      <c r="AM406" s="595">
        <f>AM399</f>
        <v>11</v>
      </c>
      <c r="AN406" s="594"/>
      <c r="AO406" s="593"/>
      <c r="AP406" s="595">
        <f>AP399</f>
        <v>1952000</v>
      </c>
      <c r="AQ406" s="594"/>
      <c r="AR406" s="594"/>
      <c r="AS406" s="593"/>
      <c r="AT406" s="595">
        <f>AT399</f>
        <v>1595000</v>
      </c>
      <c r="AU406" s="594"/>
      <c r="AV406" s="594"/>
      <c r="AW406" s="593"/>
      <c r="AX406" s="595">
        <f>AX399</f>
        <v>558250</v>
      </c>
      <c r="AY406" s="594"/>
      <c r="AZ406" s="594"/>
      <c r="BA406" s="593"/>
      <c r="BB406" s="595">
        <f>BB399</f>
        <v>1036750</v>
      </c>
      <c r="BC406" s="594"/>
      <c r="BD406" s="594"/>
      <c r="BE406" s="593"/>
      <c r="BF406" s="618"/>
      <c r="BG406" s="573"/>
    </row>
    <row r="407" spans="4:61" ht="18.95" customHeight="1">
      <c r="J407" s="619"/>
      <c r="K407" s="777"/>
      <c r="L407" s="778"/>
      <c r="M407" s="778"/>
      <c r="N407" s="778"/>
      <c r="O407" s="778"/>
      <c r="P407" s="778"/>
      <c r="Q407" s="778"/>
      <c r="R407" s="778"/>
      <c r="S407" s="778"/>
      <c r="T407" s="778"/>
      <c r="U407" s="778"/>
      <c r="V407" s="778"/>
      <c r="W407" s="778"/>
      <c r="X407" s="778"/>
      <c r="Y407" s="778"/>
      <c r="Z407" s="778"/>
      <c r="AA407" s="778"/>
      <c r="AB407" s="778"/>
      <c r="AC407" s="778"/>
      <c r="AD407" s="778"/>
      <c r="AE407" s="778"/>
      <c r="AF407" s="778"/>
      <c r="AG407" s="778"/>
      <c r="AH407" s="778"/>
      <c r="AI407" s="806">
        <v>35</v>
      </c>
      <c r="AJ407" s="588"/>
      <c r="AK407" s="806">
        <f t="shared" si="12"/>
        <v>18.28893442622951</v>
      </c>
      <c r="AL407" s="588"/>
      <c r="AM407" s="595">
        <f>AM402+AM396</f>
        <v>22</v>
      </c>
      <c r="AN407" s="594"/>
      <c r="AO407" s="593"/>
      <c r="AP407" s="595">
        <f>AP402+AP396</f>
        <v>3904000</v>
      </c>
      <c r="AQ407" s="594"/>
      <c r="AR407" s="594"/>
      <c r="AS407" s="593"/>
      <c r="AT407" s="595">
        <f>AT402+AT396</f>
        <v>3190000</v>
      </c>
      <c r="AU407" s="594"/>
      <c r="AV407" s="594"/>
      <c r="AW407" s="593"/>
      <c r="AX407" s="595">
        <f>AX402+AX396</f>
        <v>1116500</v>
      </c>
      <c r="AY407" s="594"/>
      <c r="AZ407" s="594"/>
      <c r="BA407" s="593"/>
      <c r="BB407" s="595">
        <f>BB402+BB396</f>
        <v>2073500</v>
      </c>
      <c r="BC407" s="594"/>
      <c r="BD407" s="594"/>
      <c r="BE407" s="593"/>
      <c r="BF407" s="618"/>
      <c r="BG407" s="573"/>
    </row>
    <row r="408" spans="4:61" ht="18.95" customHeight="1" thickBot="1">
      <c r="J408" s="619"/>
      <c r="K408" s="825"/>
      <c r="L408" s="826"/>
      <c r="M408" s="826"/>
      <c r="N408" s="826"/>
      <c r="O408" s="826"/>
      <c r="P408" s="826"/>
      <c r="Q408" s="826"/>
      <c r="R408" s="826"/>
      <c r="S408" s="826"/>
      <c r="T408" s="826"/>
      <c r="U408" s="826"/>
      <c r="V408" s="826"/>
      <c r="W408" s="826"/>
      <c r="X408" s="826"/>
      <c r="Y408" s="826"/>
      <c r="Z408" s="826"/>
      <c r="AA408" s="826"/>
      <c r="AB408" s="826"/>
      <c r="AC408" s="826"/>
      <c r="AD408" s="826"/>
      <c r="AE408" s="826"/>
      <c r="AF408" s="826"/>
      <c r="AG408" s="826"/>
      <c r="AH408" s="826"/>
      <c r="AI408" s="827">
        <f>100-(BB408/AT408*100)</f>
        <v>30.065186450327346</v>
      </c>
      <c r="AJ408" s="828"/>
      <c r="AK408" s="827">
        <f t="shared" si="12"/>
        <v>67.180493273542609</v>
      </c>
      <c r="AL408" s="828"/>
      <c r="AM408" s="829">
        <f>AM404+AM405+AM406+AM407</f>
        <v>264</v>
      </c>
      <c r="AN408" s="830"/>
      <c r="AO408" s="831"/>
      <c r="AP408" s="829">
        <f>AP404+AP405+AP406+AP407</f>
        <v>53520000</v>
      </c>
      <c r="AQ408" s="830"/>
      <c r="AR408" s="830"/>
      <c r="AS408" s="831"/>
      <c r="AT408" s="829">
        <f>AT404+AT405+AT406+AT407</f>
        <v>17565000</v>
      </c>
      <c r="AU408" s="830"/>
      <c r="AV408" s="830"/>
      <c r="AW408" s="831"/>
      <c r="AX408" s="829">
        <f>AX404+AX405+AX406+AX407</f>
        <v>5280950</v>
      </c>
      <c r="AY408" s="830"/>
      <c r="AZ408" s="830"/>
      <c r="BA408" s="831"/>
      <c r="BB408" s="829">
        <f>BB404+BB405+BB406+BB407</f>
        <v>12284050</v>
      </c>
      <c r="BC408" s="830"/>
      <c r="BD408" s="830"/>
      <c r="BE408" s="831"/>
      <c r="BF408" s="562"/>
      <c r="BG408" s="573"/>
    </row>
    <row r="409" spans="4:61" ht="18.95" customHeight="1">
      <c r="J409" s="572"/>
      <c r="K409" s="571"/>
      <c r="L409" s="571"/>
      <c r="M409" s="571"/>
      <c r="N409" s="571"/>
      <c r="O409" s="571"/>
      <c r="P409" s="571"/>
      <c r="Q409" s="571"/>
      <c r="R409" s="571"/>
      <c r="S409" s="571"/>
      <c r="T409" s="571"/>
      <c r="U409" s="571"/>
      <c r="V409" s="571"/>
      <c r="W409" s="571"/>
      <c r="X409" s="571"/>
      <c r="Y409" s="571"/>
      <c r="Z409" s="571"/>
      <c r="AA409" s="571"/>
      <c r="AB409" s="571"/>
      <c r="AC409" s="571"/>
      <c r="AD409" s="571"/>
      <c r="AE409" s="571"/>
      <c r="AF409" s="571"/>
      <c r="AG409" s="571"/>
      <c r="AH409" s="571"/>
      <c r="AI409" s="571"/>
      <c r="AJ409" s="571"/>
      <c r="AK409" s="571"/>
      <c r="AL409" s="571"/>
      <c r="AM409" s="571"/>
      <c r="AN409" s="571"/>
      <c r="AO409" s="571"/>
      <c r="AP409" s="571"/>
      <c r="AQ409" s="571"/>
      <c r="AR409" s="571"/>
      <c r="AS409" s="571"/>
      <c r="AT409" s="571"/>
      <c r="AU409" s="571"/>
      <c r="AV409" s="571"/>
      <c r="AW409" s="571"/>
      <c r="AX409" s="571"/>
      <c r="AY409" s="571"/>
      <c r="AZ409" s="571"/>
      <c r="BA409" s="571"/>
      <c r="BB409" s="571"/>
      <c r="BC409" s="571"/>
      <c r="BD409" s="571"/>
      <c r="BE409" s="571"/>
      <c r="BF409" s="571"/>
      <c r="BG409" s="570"/>
    </row>
    <row r="410" spans="4:61" ht="18.95" customHeight="1">
      <c r="J410" s="389" t="s">
        <v>1323</v>
      </c>
    </row>
    <row r="414" spans="4:61" ht="18.95" customHeight="1">
      <c r="H414" s="601" t="s">
        <v>1274</v>
      </c>
      <c r="I414" s="540"/>
      <c r="J414" s="530" t="s">
        <v>1313</v>
      </c>
    </row>
    <row r="416" spans="4:61" s="509" customFormat="1" ht="5.0999999999999996" customHeight="1">
      <c r="D416" s="528"/>
      <c r="E416" s="528"/>
      <c r="F416"/>
      <c r="G416"/>
      <c r="H416"/>
      <c r="I416"/>
      <c r="J416"/>
      <c r="K416" s="613"/>
      <c r="L416" s="612"/>
      <c r="M416" s="612"/>
      <c r="N416" s="612"/>
      <c r="O416" s="612"/>
      <c r="P416" s="612"/>
      <c r="Q416" s="612"/>
      <c r="R416" s="612"/>
      <c r="S416" s="612"/>
      <c r="T416" s="612"/>
      <c r="U416" s="612"/>
      <c r="V416" s="612"/>
      <c r="W416" s="612"/>
      <c r="X416" s="611"/>
      <c r="Y416"/>
      <c r="AA416"/>
      <c r="AB416"/>
      <c r="AC416" s="617"/>
      <c r="AD416" s="617"/>
      <c r="AE416" s="617"/>
      <c r="AF416" s="617"/>
      <c r="AG416" s="617"/>
      <c r="AH416" s="617"/>
      <c r="AI416" s="617"/>
      <c r="AJ416" s="617"/>
      <c r="AK416" s="617"/>
      <c r="AL416" s="617"/>
      <c r="AM416" s="617"/>
      <c r="AN416" s="617"/>
      <c r="AO416" s="617"/>
      <c r="AP416" s="617"/>
      <c r="AQ416" s="617"/>
      <c r="AR416" s="617"/>
      <c r="AS416" s="617"/>
      <c r="AT416" s="617"/>
      <c r="AU416" s="617"/>
      <c r="AV416" s="617"/>
      <c r="AW416" s="617"/>
      <c r="AX416" s="617"/>
      <c r="AY416" s="617"/>
      <c r="AZ416" s="617"/>
      <c r="BA416" s="617"/>
      <c r="BB416" s="617"/>
      <c r="BC416" s="617"/>
      <c r="BD416" s="617"/>
      <c r="BE416" s="617"/>
      <c r="BF416" s="617"/>
      <c r="BG416" s="617"/>
      <c r="BH416" s="617"/>
      <c r="BI416" s="617"/>
    </row>
    <row r="417" spans="4:61" s="509" customFormat="1" ht="18.95" customHeight="1">
      <c r="D417" s="528"/>
      <c r="E417" s="528"/>
      <c r="F417"/>
      <c r="G417"/>
      <c r="H417"/>
      <c r="I417"/>
      <c r="J417"/>
      <c r="K417" s="610" t="s">
        <v>1320</v>
      </c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609"/>
      <c r="Y417" s="808" t="s">
        <v>1321</v>
      </c>
      <c r="Z417" s="445"/>
      <c r="AA417" s="445"/>
      <c r="AB417" s="445"/>
      <c r="AC417" s="445"/>
      <c r="AD417" s="445"/>
      <c r="AE417" s="445"/>
      <c r="AF417" s="445"/>
      <c r="AG417" s="445"/>
      <c r="AH417" s="445"/>
      <c r="AI417" s="445"/>
      <c r="AJ417" s="445"/>
      <c r="AK417" s="445"/>
      <c r="AL417" s="809"/>
      <c r="AM417" s="835" t="s">
        <v>1322</v>
      </c>
      <c r="AN417" s="833"/>
      <c r="AO417" s="833"/>
      <c r="AP417" s="833"/>
      <c r="AQ417" s="833"/>
      <c r="AR417" s="833"/>
      <c r="AS417" s="833"/>
      <c r="AT417" s="833"/>
      <c r="AU417" s="833"/>
      <c r="AV417" s="833"/>
      <c r="AW417" s="833"/>
      <c r="AX417" s="833"/>
      <c r="AY417" s="834"/>
      <c r="AZ417" s="617"/>
      <c r="BC417" s="617"/>
      <c r="BD417"/>
      <c r="BE417"/>
      <c r="BF417"/>
      <c r="BG417"/>
      <c r="BH417"/>
      <c r="BI417"/>
    </row>
    <row r="418" spans="4:61" s="509" customFormat="1" ht="9.9499999999999993" customHeight="1">
      <c r="D418" s="528"/>
      <c r="E418" s="528"/>
      <c r="F418"/>
      <c r="G418"/>
      <c r="H418"/>
      <c r="I418"/>
      <c r="J418" s="605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 s="603"/>
      <c r="Z418" s="603"/>
      <c r="AA418" s="603"/>
      <c r="AB418" s="603"/>
      <c r="AC418" s="603"/>
      <c r="AD418" s="603"/>
      <c r="AE418" s="603"/>
      <c r="AF418" s="603"/>
      <c r="AG418" s="603"/>
      <c r="AH418" s="603"/>
      <c r="AI418" s="603"/>
      <c r="AJ418" s="603"/>
      <c r="AK418" s="603"/>
      <c r="AL418" s="603"/>
      <c r="AM418" s="603"/>
      <c r="AN418" s="603"/>
      <c r="AO418" s="603"/>
      <c r="AP418" s="603"/>
      <c r="AQ418" s="603"/>
      <c r="AR418" s="603"/>
      <c r="AS418" s="603"/>
      <c r="AT418" s="603"/>
      <c r="AU418" s="603"/>
      <c r="AV418" s="603"/>
      <c r="AW418" s="603"/>
      <c r="AX418" s="603"/>
      <c r="AY418" s="603"/>
      <c r="AZ418" s="603"/>
      <c r="BA418" s="603"/>
      <c r="BB418" s="603"/>
      <c r="BC418" s="603"/>
      <c r="BD418" s="604"/>
      <c r="BE418" s="853"/>
      <c r="BF418"/>
      <c r="BG418"/>
      <c r="BH418"/>
      <c r="BI418"/>
    </row>
    <row r="419" spans="4:61" ht="18.95" customHeight="1">
      <c r="J419" s="619"/>
      <c r="K419" s="600" t="s">
        <v>1306</v>
      </c>
      <c r="L419" s="563"/>
      <c r="M419" s="563"/>
      <c r="N419" s="1242" t="s">
        <v>1230</v>
      </c>
      <c r="O419" s="1243"/>
      <c r="P419" s="1243"/>
      <c r="Q419" s="1244"/>
      <c r="R419" s="598" t="s">
        <v>942</v>
      </c>
      <c r="S419" s="575" t="s">
        <v>1044</v>
      </c>
      <c r="T419" s="599"/>
      <c r="U419" s="599"/>
      <c r="V419" s="595" t="s">
        <v>646</v>
      </c>
      <c r="W419" s="594"/>
      <c r="X419" s="594"/>
      <c r="Y419" s="593"/>
      <c r="Z419" s="596" t="s">
        <v>946</v>
      </c>
      <c r="BE419" s="573"/>
    </row>
    <row r="420" spans="4:61" ht="9.9499999999999993" customHeight="1">
      <c r="J420" s="619"/>
      <c r="BE420" s="573"/>
    </row>
    <row r="421" spans="4:61" ht="18.95" customHeight="1">
      <c r="J421" s="619"/>
      <c r="K421" s="600" t="s">
        <v>1278</v>
      </c>
      <c r="L421" s="563"/>
      <c r="M421" s="563"/>
      <c r="N421" s="595" t="s">
        <v>518</v>
      </c>
      <c r="O421" s="594"/>
      <c r="P421" s="594"/>
      <c r="Q421" s="593"/>
      <c r="R421" s="596" t="s">
        <v>946</v>
      </c>
      <c r="S421" s="575" t="s">
        <v>1227</v>
      </c>
      <c r="T421" s="599"/>
      <c r="U421" s="599"/>
      <c r="V421" s="1242" t="s">
        <v>539</v>
      </c>
      <c r="W421" s="1243"/>
      <c r="X421" s="1243"/>
      <c r="Y421" s="1244"/>
      <c r="Z421" s="596" t="s">
        <v>946</v>
      </c>
      <c r="AA421" s="575" t="s">
        <v>952</v>
      </c>
      <c r="AB421" s="599"/>
      <c r="AC421" s="599"/>
      <c r="AD421" s="590" t="s">
        <v>955</v>
      </c>
      <c r="AE421" s="589"/>
      <c r="AF421" s="588"/>
      <c r="AG421" s="587" t="s">
        <v>956</v>
      </c>
      <c r="AH421" s="589"/>
      <c r="AI421" s="589"/>
      <c r="AJ421" s="589"/>
      <c r="AK421" s="589"/>
      <c r="AL421" s="589"/>
      <c r="AM421" s="596" t="s">
        <v>949</v>
      </c>
      <c r="BE421" s="573"/>
    </row>
    <row r="422" spans="4:61" ht="9.9499999999999993" customHeight="1">
      <c r="J422" s="619"/>
      <c r="BE422" s="573"/>
    </row>
    <row r="423" spans="4:61" ht="18.95" customHeight="1">
      <c r="J423" s="619"/>
      <c r="K423" s="600" t="s">
        <v>958</v>
      </c>
      <c r="L423" s="599"/>
      <c r="M423" s="599"/>
      <c r="N423" s="590" t="s">
        <v>959</v>
      </c>
      <c r="O423" s="589"/>
      <c r="P423" s="589"/>
      <c r="Q423" s="589"/>
      <c r="R423" s="596" t="s">
        <v>949</v>
      </c>
      <c r="S423" s="1242" t="s">
        <v>17</v>
      </c>
      <c r="T423" s="1243"/>
      <c r="U423" s="1244"/>
      <c r="V423" s="583" t="s">
        <v>961</v>
      </c>
      <c r="BE423" s="573"/>
    </row>
    <row r="424" spans="4:61" ht="18.95" customHeight="1">
      <c r="J424" s="619"/>
      <c r="AZ424" s="1072" t="s">
        <v>1584</v>
      </c>
      <c r="BE424" s="573"/>
    </row>
    <row r="425" spans="4:61" ht="18.95" customHeight="1">
      <c r="J425" s="619"/>
      <c r="K425" s="1245" t="s">
        <v>1165</v>
      </c>
      <c r="L425" s="1225"/>
      <c r="M425" s="1225"/>
      <c r="N425" s="1226"/>
      <c r="O425" s="561" t="s">
        <v>990</v>
      </c>
      <c r="P425" s="560"/>
      <c r="Q425" s="560"/>
      <c r="R425" s="560"/>
      <c r="S425" s="560"/>
      <c r="T425" s="560"/>
      <c r="U425" s="560"/>
      <c r="V425" s="560"/>
      <c r="W425" s="559"/>
      <c r="X425" s="561"/>
      <c r="Y425" s="560"/>
      <c r="Z425" s="559"/>
      <c r="AA425" s="1245" t="s">
        <v>989</v>
      </c>
      <c r="AB425" s="1225"/>
      <c r="AC425" s="1225"/>
      <c r="AD425" s="1226"/>
      <c r="AE425" s="1245" t="s">
        <v>1375</v>
      </c>
      <c r="AF425" s="1226"/>
      <c r="AG425" s="1245" t="s">
        <v>1281</v>
      </c>
      <c r="AH425" s="1226"/>
      <c r="AI425" s="1245" t="s">
        <v>1283</v>
      </c>
      <c r="AJ425" s="1226"/>
      <c r="AK425" s="1219" t="s">
        <v>1285</v>
      </c>
      <c r="AL425" s="1220"/>
      <c r="AM425" s="1221"/>
      <c r="AN425" s="1219" t="s">
        <v>1284</v>
      </c>
      <c r="AO425" s="1225"/>
      <c r="AP425" s="1225"/>
      <c r="AQ425" s="1226"/>
      <c r="AR425" s="1219" t="s">
        <v>1286</v>
      </c>
      <c r="AS425" s="1225"/>
      <c r="AT425" s="1225"/>
      <c r="AU425" s="1226"/>
      <c r="AV425" s="1230" t="s">
        <v>1305</v>
      </c>
      <c r="AW425" s="1231"/>
      <c r="AX425" s="1231"/>
      <c r="AY425" s="1232"/>
      <c r="AZ425" s="1236" t="s">
        <v>1310</v>
      </c>
      <c r="BA425" s="1237"/>
      <c r="BB425" s="1237"/>
      <c r="BC425" s="1238"/>
      <c r="BD425" s="553"/>
      <c r="BE425" s="573"/>
    </row>
    <row r="426" spans="4:61" ht="18.95" customHeight="1">
      <c r="J426" s="619"/>
      <c r="K426" s="1227"/>
      <c r="L426" s="1228"/>
      <c r="M426" s="1228"/>
      <c r="N426" s="1229"/>
      <c r="O426" s="623" t="s">
        <v>1168</v>
      </c>
      <c r="P426" s="624"/>
      <c r="Q426" s="625"/>
      <c r="R426" s="561" t="s">
        <v>981</v>
      </c>
      <c r="S426" s="560"/>
      <c r="T426" s="559"/>
      <c r="U426" s="561" t="s">
        <v>982</v>
      </c>
      <c r="V426" s="560"/>
      <c r="W426" s="560"/>
      <c r="X426" s="560"/>
      <c r="Y426" s="560"/>
      <c r="Z426" s="559"/>
      <c r="AA426" s="1227"/>
      <c r="AB426" s="1228"/>
      <c r="AC426" s="1228"/>
      <c r="AD426" s="1229"/>
      <c r="AE426" s="1227"/>
      <c r="AF426" s="1229"/>
      <c r="AG426" s="1227"/>
      <c r="AH426" s="1229"/>
      <c r="AI426" s="1227"/>
      <c r="AJ426" s="1229"/>
      <c r="AK426" s="1222"/>
      <c r="AL426" s="1223"/>
      <c r="AM426" s="1224"/>
      <c r="AN426" s="1227"/>
      <c r="AO426" s="1228"/>
      <c r="AP426" s="1228"/>
      <c r="AQ426" s="1229"/>
      <c r="AR426" s="1227"/>
      <c r="AS426" s="1228"/>
      <c r="AT426" s="1228"/>
      <c r="AU426" s="1229"/>
      <c r="AV426" s="1233"/>
      <c r="AW426" s="1234"/>
      <c r="AX426" s="1234"/>
      <c r="AY426" s="1235"/>
      <c r="AZ426" s="1239"/>
      <c r="BA426" s="1240"/>
      <c r="BB426" s="1240"/>
      <c r="BC426" s="1241"/>
      <c r="BD426" s="552"/>
      <c r="BE426" s="573"/>
    </row>
    <row r="427" spans="4:61" ht="18.95" customHeight="1">
      <c r="J427" s="619"/>
      <c r="K427" s="750" t="s">
        <v>646</v>
      </c>
      <c r="L427" s="682"/>
      <c r="M427" s="682"/>
      <c r="N427" s="679"/>
      <c r="O427" s="750" t="s">
        <v>518</v>
      </c>
      <c r="P427" s="682"/>
      <c r="Q427" s="682"/>
      <c r="R427" s="638" t="s">
        <v>955</v>
      </c>
      <c r="S427" s="639"/>
      <c r="T427" s="640"/>
      <c r="U427" s="751" t="s">
        <v>1040</v>
      </c>
      <c r="V427" s="639"/>
      <c r="W427" s="639"/>
      <c r="X427" s="639"/>
      <c r="Y427" s="639"/>
      <c r="Z427" s="640"/>
      <c r="AA427" s="638" t="s">
        <v>959</v>
      </c>
      <c r="AB427" s="639"/>
      <c r="AC427" s="639"/>
      <c r="AD427" s="640"/>
      <c r="AE427" s="638" t="s">
        <v>1376</v>
      </c>
      <c r="AF427" s="640"/>
      <c r="AG427" s="806">
        <v>29</v>
      </c>
      <c r="AH427" s="588"/>
      <c r="AI427" s="806">
        <f>(1-AR427/AN427)*100</f>
        <v>76.208459214501516</v>
      </c>
      <c r="AJ427" s="588"/>
      <c r="AK427" s="595">
        <v>77</v>
      </c>
      <c r="AL427" s="594"/>
      <c r="AM427" s="593"/>
      <c r="AN427" s="595">
        <v>15888000</v>
      </c>
      <c r="AO427" s="594"/>
      <c r="AP427" s="594"/>
      <c r="AQ427" s="593"/>
      <c r="AR427" s="595">
        <v>3780000</v>
      </c>
      <c r="AS427" s="594"/>
      <c r="AT427" s="594"/>
      <c r="AU427" s="593"/>
      <c r="AV427" s="595">
        <f>AR427-AZ427</f>
        <v>1096200</v>
      </c>
      <c r="AW427" s="594"/>
      <c r="AX427" s="594"/>
      <c r="AY427" s="593"/>
      <c r="AZ427" s="595">
        <f>AR427-(AR427*(AG427/100))</f>
        <v>2683800</v>
      </c>
      <c r="BA427" s="594"/>
      <c r="BB427" s="594"/>
      <c r="BC427" s="593"/>
      <c r="BD427" s="551" t="s">
        <v>942</v>
      </c>
      <c r="BE427" s="573"/>
    </row>
    <row r="428" spans="4:61" ht="18.95" customHeight="1">
      <c r="J428" s="619"/>
      <c r="K428" s="752"/>
      <c r="L428" s="620"/>
      <c r="M428" s="620"/>
      <c r="N428" s="680"/>
      <c r="O428" s="752"/>
      <c r="P428" s="620"/>
      <c r="Q428" s="620"/>
      <c r="R428" s="654"/>
      <c r="S428" s="652"/>
      <c r="T428" s="653"/>
      <c r="U428" s="753"/>
      <c r="V428" s="652"/>
      <c r="W428" s="652"/>
      <c r="X428" s="652"/>
      <c r="Y428" s="652"/>
      <c r="Z428" s="653"/>
      <c r="AA428" s="753"/>
      <c r="AB428" s="652"/>
      <c r="AC428" s="652"/>
      <c r="AD428" s="653"/>
      <c r="AE428" s="753"/>
      <c r="AF428" s="653"/>
      <c r="AG428" s="806">
        <v>35</v>
      </c>
      <c r="AH428" s="588"/>
      <c r="AI428" s="806">
        <f t="shared" ref="AI428:AI429" si="13">(1-AR428/AN428)*100</f>
        <v>18.28893442622951</v>
      </c>
      <c r="AJ428" s="588"/>
      <c r="AK428" s="595">
        <v>11</v>
      </c>
      <c r="AL428" s="594"/>
      <c r="AM428" s="593"/>
      <c r="AN428" s="595">
        <v>1952000</v>
      </c>
      <c r="AO428" s="594"/>
      <c r="AP428" s="594"/>
      <c r="AQ428" s="593"/>
      <c r="AR428" s="595">
        <v>1595000</v>
      </c>
      <c r="AS428" s="594"/>
      <c r="AT428" s="594"/>
      <c r="AU428" s="593"/>
      <c r="AV428" s="595">
        <f>AR428-AZ428</f>
        <v>558250</v>
      </c>
      <c r="AW428" s="594"/>
      <c r="AX428" s="594"/>
      <c r="AY428" s="593"/>
      <c r="AZ428" s="595">
        <f>AR428-(AR428*(AG428/100))</f>
        <v>1036750</v>
      </c>
      <c r="BA428" s="594"/>
      <c r="BB428" s="594"/>
      <c r="BC428" s="593"/>
      <c r="BD428" s="618"/>
      <c r="BE428" s="573"/>
    </row>
    <row r="429" spans="4:61" ht="18.95" customHeight="1">
      <c r="J429" s="619"/>
      <c r="K429" s="799"/>
      <c r="L429" s="787"/>
      <c r="M429" s="787"/>
      <c r="N429" s="788"/>
      <c r="O429" s="799"/>
      <c r="P429" s="787"/>
      <c r="Q429" s="787"/>
      <c r="R429" s="786"/>
      <c r="S429" s="800"/>
      <c r="T429" s="801"/>
      <c r="U429" s="756"/>
      <c r="V429" s="800"/>
      <c r="W429" s="800"/>
      <c r="X429" s="800"/>
      <c r="Y429" s="800"/>
      <c r="Z429" s="667"/>
      <c r="AA429" s="756"/>
      <c r="AB429" s="800"/>
      <c r="AC429" s="800"/>
      <c r="AD429" s="801"/>
      <c r="AE429" s="756"/>
      <c r="AF429" s="801"/>
      <c r="AG429" s="807">
        <f>100-(AZ429/AR429*100)</f>
        <v>30.780465116279061</v>
      </c>
      <c r="AH429" s="802"/>
      <c r="AI429" s="807">
        <f t="shared" si="13"/>
        <v>69.871076233183842</v>
      </c>
      <c r="AJ429" s="802"/>
      <c r="AK429" s="803">
        <f>AK427+AK428</f>
        <v>88</v>
      </c>
      <c r="AL429" s="804"/>
      <c r="AM429" s="805"/>
      <c r="AN429" s="803">
        <f>AN428+AN427</f>
        <v>17840000</v>
      </c>
      <c r="AO429" s="804"/>
      <c r="AP429" s="804"/>
      <c r="AQ429" s="805"/>
      <c r="AR429" s="803">
        <f>AR427+AR428</f>
        <v>5375000</v>
      </c>
      <c r="AS429" s="804"/>
      <c r="AT429" s="804"/>
      <c r="AU429" s="805"/>
      <c r="AV429" s="803">
        <f>AV427+AV428</f>
        <v>1654450</v>
      </c>
      <c r="AW429" s="804"/>
      <c r="AX429" s="804"/>
      <c r="AY429" s="805"/>
      <c r="AZ429" s="803">
        <f>AZ427+AZ428</f>
        <v>3720550</v>
      </c>
      <c r="BA429" s="804"/>
      <c r="BB429" s="804"/>
      <c r="BC429" s="805"/>
      <c r="BD429" s="618"/>
      <c r="BE429" s="573"/>
    </row>
    <row r="430" spans="4:61" ht="18.95" customHeight="1">
      <c r="J430" s="619"/>
      <c r="K430" s="750" t="s">
        <v>646</v>
      </c>
      <c r="L430" s="682"/>
      <c r="M430" s="682"/>
      <c r="N430" s="679"/>
      <c r="O430" s="750" t="s">
        <v>518</v>
      </c>
      <c r="P430" s="682"/>
      <c r="Q430" s="682"/>
      <c r="R430" s="638" t="s">
        <v>955</v>
      </c>
      <c r="S430" s="639"/>
      <c r="T430" s="640"/>
      <c r="U430" s="751" t="s">
        <v>1040</v>
      </c>
      <c r="V430" s="639"/>
      <c r="W430" s="639"/>
      <c r="X430" s="639"/>
      <c r="Y430" s="639"/>
      <c r="Z430" s="640"/>
      <c r="AA430" s="638" t="s">
        <v>959</v>
      </c>
      <c r="AB430" s="639"/>
      <c r="AC430" s="639"/>
      <c r="AD430" s="640"/>
      <c r="AE430" s="638" t="s">
        <v>1377</v>
      </c>
      <c r="AF430" s="640"/>
      <c r="AG430" s="806">
        <v>29</v>
      </c>
      <c r="AH430" s="588"/>
      <c r="AI430" s="806">
        <f>(1-AR430/AN430)*100</f>
        <v>74.823766364551858</v>
      </c>
      <c r="AJ430" s="588"/>
      <c r="AK430" s="595">
        <v>77</v>
      </c>
      <c r="AL430" s="594"/>
      <c r="AM430" s="593"/>
      <c r="AN430" s="595">
        <v>15888000</v>
      </c>
      <c r="AO430" s="594"/>
      <c r="AP430" s="594"/>
      <c r="AQ430" s="593"/>
      <c r="AR430" s="595">
        <v>4000000</v>
      </c>
      <c r="AS430" s="594"/>
      <c r="AT430" s="594"/>
      <c r="AU430" s="593"/>
      <c r="AV430" s="595">
        <f>AR430-AZ430</f>
        <v>1160000</v>
      </c>
      <c r="AW430" s="594"/>
      <c r="AX430" s="594"/>
      <c r="AY430" s="593"/>
      <c r="AZ430" s="595">
        <f>AR430-(AR430*(AG430/100))</f>
        <v>2840000</v>
      </c>
      <c r="BA430" s="594"/>
      <c r="BB430" s="594"/>
      <c r="BC430" s="593"/>
      <c r="BD430" s="618"/>
      <c r="BE430" s="573"/>
    </row>
    <row r="431" spans="4:61" ht="18.95" customHeight="1">
      <c r="J431" s="619"/>
      <c r="K431" s="752"/>
      <c r="L431" s="620"/>
      <c r="M431" s="620"/>
      <c r="N431" s="680"/>
      <c r="O431" s="752"/>
      <c r="P431" s="620"/>
      <c r="Q431" s="620"/>
      <c r="R431" s="654"/>
      <c r="S431" s="652"/>
      <c r="T431" s="653"/>
      <c r="U431" s="753"/>
      <c r="V431" s="652"/>
      <c r="W431" s="652"/>
      <c r="X431" s="652"/>
      <c r="Y431" s="652"/>
      <c r="Z431" s="653"/>
      <c r="AA431" s="753"/>
      <c r="AB431" s="652"/>
      <c r="AC431" s="652"/>
      <c r="AD431" s="653"/>
      <c r="AE431" s="753"/>
      <c r="AF431" s="653"/>
      <c r="AG431" s="806">
        <v>35</v>
      </c>
      <c r="AH431" s="588"/>
      <c r="AI431" s="806">
        <f t="shared" ref="AI431:AI432" si="14">(1-AR431/AN431)*100</f>
        <v>18.28893442622951</v>
      </c>
      <c r="AJ431" s="588"/>
      <c r="AK431" s="595">
        <v>11</v>
      </c>
      <c r="AL431" s="594"/>
      <c r="AM431" s="593"/>
      <c r="AN431" s="595">
        <v>1952000</v>
      </c>
      <c r="AO431" s="594"/>
      <c r="AP431" s="594"/>
      <c r="AQ431" s="593"/>
      <c r="AR431" s="595">
        <v>1595000</v>
      </c>
      <c r="AS431" s="594"/>
      <c r="AT431" s="594"/>
      <c r="AU431" s="593"/>
      <c r="AV431" s="595">
        <f>AR431-AZ431</f>
        <v>558250</v>
      </c>
      <c r="AW431" s="594"/>
      <c r="AX431" s="594"/>
      <c r="AY431" s="593"/>
      <c r="AZ431" s="595">
        <f>AR431-(AR431*(AG431/100))</f>
        <v>1036750</v>
      </c>
      <c r="BA431" s="594"/>
      <c r="BB431" s="594"/>
      <c r="BC431" s="593"/>
      <c r="BD431" s="618"/>
      <c r="BE431" s="573"/>
    </row>
    <row r="432" spans="4:61" ht="18.95" customHeight="1" thickBot="1">
      <c r="J432" s="619"/>
      <c r="K432" s="799"/>
      <c r="L432" s="787"/>
      <c r="M432" s="787"/>
      <c r="N432" s="788"/>
      <c r="O432" s="799"/>
      <c r="P432" s="787"/>
      <c r="Q432" s="787"/>
      <c r="R432" s="786"/>
      <c r="S432" s="800"/>
      <c r="T432" s="801"/>
      <c r="U432" s="756"/>
      <c r="V432" s="800"/>
      <c r="W432" s="800"/>
      <c r="X432" s="800"/>
      <c r="Y432" s="800"/>
      <c r="Z432" s="667"/>
      <c r="AA432" s="756"/>
      <c r="AB432" s="800"/>
      <c r="AC432" s="800"/>
      <c r="AD432" s="801"/>
      <c r="AE432" s="756"/>
      <c r="AF432" s="801"/>
      <c r="AG432" s="807">
        <f>100-(AZ432/AR432*100)</f>
        <v>30.710455764075064</v>
      </c>
      <c r="AH432" s="802"/>
      <c r="AI432" s="807">
        <f t="shared" si="14"/>
        <v>68.637892376681606</v>
      </c>
      <c r="AJ432" s="802"/>
      <c r="AK432" s="803">
        <f>AK430+AK431</f>
        <v>88</v>
      </c>
      <c r="AL432" s="804"/>
      <c r="AM432" s="805"/>
      <c r="AN432" s="803">
        <f>AN431+AN430</f>
        <v>17840000</v>
      </c>
      <c r="AO432" s="804"/>
      <c r="AP432" s="804"/>
      <c r="AQ432" s="805"/>
      <c r="AR432" s="803">
        <f>AR430+AR431</f>
        <v>5595000</v>
      </c>
      <c r="AS432" s="804"/>
      <c r="AT432" s="804"/>
      <c r="AU432" s="805"/>
      <c r="AV432" s="803">
        <f>AV430+AV431</f>
        <v>1718250</v>
      </c>
      <c r="AW432" s="804"/>
      <c r="AX432" s="804"/>
      <c r="AY432" s="805"/>
      <c r="AZ432" s="803">
        <f>AZ430+AZ431</f>
        <v>3876750</v>
      </c>
      <c r="BA432" s="804"/>
      <c r="BB432" s="804"/>
      <c r="BC432" s="805"/>
      <c r="BD432" s="618"/>
      <c r="BE432" s="573"/>
    </row>
    <row r="433" spans="4:98" ht="18.95" customHeight="1">
      <c r="J433" s="619"/>
      <c r="K433" s="818" t="s">
        <v>1257</v>
      </c>
      <c r="L433" s="819"/>
      <c r="M433" s="819"/>
      <c r="N433" s="819"/>
      <c r="O433" s="819"/>
      <c r="P433" s="819"/>
      <c r="Q433" s="819"/>
      <c r="R433" s="819"/>
      <c r="S433" s="819"/>
      <c r="T433" s="819"/>
      <c r="U433" s="819"/>
      <c r="V433" s="819"/>
      <c r="W433" s="819"/>
      <c r="X433" s="819"/>
      <c r="Y433" s="819"/>
      <c r="Z433" s="819"/>
      <c r="AA433" s="819"/>
      <c r="AB433" s="819"/>
      <c r="AC433" s="819"/>
      <c r="AD433" s="819"/>
      <c r="AE433" s="819"/>
      <c r="AF433" s="819"/>
      <c r="AG433" s="806">
        <v>29</v>
      </c>
      <c r="AH433" s="588"/>
      <c r="AI433" s="806">
        <f>(1-AR433/AN433)*100</f>
        <v>75.516112789526687</v>
      </c>
      <c r="AJ433" s="588"/>
      <c r="AK433" s="595">
        <f>AK430+AK427</f>
        <v>154</v>
      </c>
      <c r="AL433" s="594"/>
      <c r="AM433" s="593"/>
      <c r="AN433" s="595">
        <f>AN430+AN427</f>
        <v>31776000</v>
      </c>
      <c r="AO433" s="594"/>
      <c r="AP433" s="594"/>
      <c r="AQ433" s="593"/>
      <c r="AR433" s="595">
        <f>AR430+AR427</f>
        <v>7780000</v>
      </c>
      <c r="AS433" s="594"/>
      <c r="AT433" s="594"/>
      <c r="AU433" s="593"/>
      <c r="AV433" s="595">
        <f>AR433-AZ433</f>
        <v>2256200</v>
      </c>
      <c r="AW433" s="594"/>
      <c r="AX433" s="594"/>
      <c r="AY433" s="593"/>
      <c r="AZ433" s="595">
        <f>AZ430+AZ427</f>
        <v>5523800</v>
      </c>
      <c r="BA433" s="594"/>
      <c r="BB433" s="594"/>
      <c r="BC433" s="593"/>
      <c r="BD433" s="618"/>
      <c r="BE433" s="573"/>
    </row>
    <row r="434" spans="4:98" ht="18.95" customHeight="1">
      <c r="J434" s="619"/>
      <c r="K434" s="777"/>
      <c r="L434" s="778"/>
      <c r="M434" s="778"/>
      <c r="N434" s="778"/>
      <c r="O434" s="778"/>
      <c r="P434" s="778"/>
      <c r="Q434" s="778"/>
      <c r="R434" s="778"/>
      <c r="S434" s="778"/>
      <c r="T434" s="778"/>
      <c r="U434" s="778"/>
      <c r="V434" s="778"/>
      <c r="W434" s="778"/>
      <c r="X434" s="778"/>
      <c r="Y434" s="778"/>
      <c r="Z434" s="778"/>
      <c r="AA434" s="778"/>
      <c r="AB434" s="778"/>
      <c r="AC434" s="778"/>
      <c r="AD434" s="778"/>
      <c r="AE434" s="778"/>
      <c r="AF434" s="778"/>
      <c r="AG434" s="806">
        <v>35</v>
      </c>
      <c r="AH434" s="588"/>
      <c r="AI434" s="806">
        <f t="shared" ref="AI434:AI435" si="15">(1-AR434/AN434)*100</f>
        <v>18.28893442622951</v>
      </c>
      <c r="AJ434" s="588"/>
      <c r="AK434" s="595">
        <f>AK431+AK428</f>
        <v>22</v>
      </c>
      <c r="AL434" s="594"/>
      <c r="AM434" s="593"/>
      <c r="AN434" s="595">
        <f>AN431+AN428</f>
        <v>3904000</v>
      </c>
      <c r="AO434" s="594"/>
      <c r="AP434" s="594"/>
      <c r="AQ434" s="593"/>
      <c r="AR434" s="595">
        <f>AR431+AR428</f>
        <v>3190000</v>
      </c>
      <c r="AS434" s="594"/>
      <c r="AT434" s="594"/>
      <c r="AU434" s="593"/>
      <c r="AV434" s="595">
        <f>AR434-AZ434</f>
        <v>1116500</v>
      </c>
      <c r="AW434" s="594"/>
      <c r="AX434" s="594"/>
      <c r="AY434" s="593"/>
      <c r="AZ434" s="595">
        <f>AZ431+AZ428</f>
        <v>2073500</v>
      </c>
      <c r="BA434" s="594"/>
      <c r="BB434" s="594"/>
      <c r="BC434" s="593"/>
      <c r="BD434" s="618"/>
      <c r="BE434" s="573"/>
    </row>
    <row r="435" spans="4:98" ht="18.95" customHeight="1" thickBot="1">
      <c r="J435" s="619"/>
      <c r="K435" s="825"/>
      <c r="L435" s="826"/>
      <c r="M435" s="826"/>
      <c r="N435" s="826"/>
      <c r="O435" s="826"/>
      <c r="P435" s="826"/>
      <c r="Q435" s="826"/>
      <c r="R435" s="826"/>
      <c r="S435" s="826"/>
      <c r="T435" s="826"/>
      <c r="U435" s="826"/>
      <c r="V435" s="826"/>
      <c r="W435" s="826"/>
      <c r="X435" s="826"/>
      <c r="Y435" s="826"/>
      <c r="Z435" s="826"/>
      <c r="AA435" s="826"/>
      <c r="AB435" s="826"/>
      <c r="AC435" s="826"/>
      <c r="AD435" s="826"/>
      <c r="AE435" s="826"/>
      <c r="AF435" s="826"/>
      <c r="AG435" s="807">
        <f>100-(AZ435/AR435*100)</f>
        <v>30.744758432087522</v>
      </c>
      <c r="AH435" s="802"/>
      <c r="AI435" s="807">
        <f t="shared" si="15"/>
        <v>69.254484304932731</v>
      </c>
      <c r="AJ435" s="802"/>
      <c r="AK435" s="803">
        <f>AK433+AK434</f>
        <v>176</v>
      </c>
      <c r="AL435" s="804"/>
      <c r="AM435" s="805"/>
      <c r="AN435" s="803">
        <f>AN434+AN433</f>
        <v>35680000</v>
      </c>
      <c r="AO435" s="804"/>
      <c r="AP435" s="804"/>
      <c r="AQ435" s="805"/>
      <c r="AR435" s="803">
        <f>AR433+AR434</f>
        <v>10970000</v>
      </c>
      <c r="AS435" s="804"/>
      <c r="AT435" s="804"/>
      <c r="AU435" s="805"/>
      <c r="AV435" s="803">
        <f>AV433+AV434</f>
        <v>3372700</v>
      </c>
      <c r="AW435" s="804"/>
      <c r="AX435" s="804"/>
      <c r="AY435" s="805"/>
      <c r="AZ435" s="803">
        <f>AZ433+AZ434</f>
        <v>7597300</v>
      </c>
      <c r="BA435" s="804"/>
      <c r="BB435" s="804"/>
      <c r="BC435" s="805"/>
      <c r="BD435" s="562"/>
      <c r="BE435" s="573"/>
    </row>
    <row r="436" spans="4:98" ht="18.95" customHeight="1">
      <c r="J436" s="572"/>
      <c r="K436" s="571"/>
      <c r="L436" s="571"/>
      <c r="M436" s="571"/>
      <c r="N436" s="571"/>
      <c r="O436" s="571"/>
      <c r="P436" s="571"/>
      <c r="Q436" s="571"/>
      <c r="R436" s="571"/>
      <c r="S436" s="571"/>
      <c r="T436" s="571"/>
      <c r="U436" s="571"/>
      <c r="V436" s="571"/>
      <c r="W436" s="571"/>
      <c r="X436" s="571"/>
      <c r="Y436" s="571"/>
      <c r="Z436" s="571"/>
      <c r="AA436" s="571"/>
      <c r="AB436" s="571"/>
      <c r="AC436" s="571"/>
      <c r="AD436" s="571"/>
      <c r="AE436" s="571"/>
      <c r="AF436" s="571"/>
      <c r="AG436" s="571"/>
      <c r="AH436" s="571"/>
      <c r="AI436" s="571"/>
      <c r="AJ436" s="571"/>
      <c r="AK436" s="571"/>
      <c r="AL436" s="571"/>
      <c r="AM436" s="571"/>
      <c r="AN436" s="571"/>
      <c r="AO436" s="571"/>
      <c r="AP436" s="571"/>
      <c r="AQ436" s="571"/>
      <c r="AR436" s="571"/>
      <c r="AS436" s="571"/>
      <c r="AT436" s="571"/>
      <c r="AU436" s="571"/>
      <c r="AV436" s="571"/>
      <c r="AW436" s="571"/>
      <c r="AX436" s="571"/>
      <c r="AY436" s="571"/>
      <c r="AZ436" s="571"/>
      <c r="BA436" s="571"/>
      <c r="BB436" s="571"/>
      <c r="BC436" s="571"/>
      <c r="BD436" s="571"/>
      <c r="BE436" s="570"/>
    </row>
    <row r="440" spans="4:98" ht="18.95" customHeight="1">
      <c r="H440" s="601" t="s">
        <v>1274</v>
      </c>
      <c r="I440" s="540"/>
      <c r="J440" s="530" t="s">
        <v>1324</v>
      </c>
    </row>
    <row r="442" spans="4:98" ht="18.95" customHeight="1">
      <c r="J442" t="s">
        <v>1326</v>
      </c>
    </row>
    <row r="443" spans="4:98" ht="18.95" customHeight="1">
      <c r="J443" s="840" t="s">
        <v>1327</v>
      </c>
    </row>
    <row r="445" spans="4:98" s="509" customFormat="1" ht="5.0999999999999996" customHeight="1">
      <c r="D445" s="528"/>
      <c r="E445" s="528"/>
      <c r="F445"/>
      <c r="G445"/>
      <c r="H445"/>
      <c r="I445"/>
      <c r="J445"/>
      <c r="K445" s="613"/>
      <c r="L445" s="612"/>
      <c r="M445" s="612"/>
      <c r="N445" s="612"/>
      <c r="O445" s="612"/>
      <c r="P445" s="612"/>
      <c r="Q445" s="612"/>
      <c r="R445" s="612"/>
      <c r="S445" s="612"/>
      <c r="T445" s="612"/>
      <c r="U445" s="611"/>
      <c r="V445" s="617"/>
      <c r="X445"/>
      <c r="Y445"/>
      <c r="Z445" s="617"/>
      <c r="AA445" s="617"/>
      <c r="AB445" s="617"/>
      <c r="AC445" s="617"/>
      <c r="AD445" s="617"/>
      <c r="AE445" s="617"/>
      <c r="AF445" s="617"/>
      <c r="AG445" s="617"/>
      <c r="AH445" s="617"/>
      <c r="AI445" s="617"/>
      <c r="AJ445" s="617"/>
      <c r="AK445" s="617"/>
      <c r="AL445" s="617"/>
      <c r="AM445" s="617"/>
      <c r="AN445" s="617"/>
      <c r="AO445" s="617"/>
      <c r="AP445" s="617"/>
      <c r="AQ445" s="617"/>
      <c r="AR445" s="617"/>
      <c r="AS445" s="617"/>
      <c r="AT445" s="617"/>
      <c r="AU445" s="617"/>
      <c r="AV445" s="617"/>
      <c r="AW445" s="617"/>
      <c r="AX445" s="617"/>
      <c r="AY445" s="617"/>
      <c r="AZ445" s="617"/>
      <c r="BA445" s="617"/>
      <c r="BB445" s="617"/>
      <c r="BC445" s="617"/>
      <c r="BD445" s="617"/>
      <c r="BE445" s="617"/>
      <c r="BF445" s="617"/>
    </row>
    <row r="446" spans="4:98" s="509" customFormat="1" ht="18.95" customHeight="1">
      <c r="D446" s="528"/>
      <c r="E446" s="528"/>
      <c r="F446"/>
      <c r="G446"/>
      <c r="H446"/>
      <c r="I446"/>
      <c r="J446"/>
      <c r="K446" s="610" t="s">
        <v>1324</v>
      </c>
      <c r="L446" s="175"/>
      <c r="M446" s="175"/>
      <c r="N446" s="175"/>
      <c r="O446" s="175"/>
      <c r="P446" s="175"/>
      <c r="Q446" s="175"/>
      <c r="R446" s="175"/>
      <c r="S446" s="175"/>
      <c r="T446" s="175"/>
      <c r="U446" s="609"/>
      <c r="V446" s="617"/>
      <c r="W446" s="617"/>
      <c r="X446" s="617"/>
      <c r="Y446" s="617"/>
      <c r="Z446" s="617"/>
      <c r="AA446" s="617"/>
      <c r="AB446" s="841" t="s">
        <v>1331</v>
      </c>
      <c r="AC446" s="617"/>
      <c r="AD446" s="617"/>
      <c r="AE446" s="617"/>
      <c r="AF446" s="617"/>
      <c r="AG446" s="617"/>
      <c r="AH446" s="617"/>
      <c r="AI446" s="617"/>
      <c r="AJ446" s="617"/>
      <c r="AK446" s="617"/>
      <c r="AL446" s="617"/>
      <c r="AM446" s="617"/>
      <c r="AN446" s="617"/>
      <c r="AO446" s="617"/>
      <c r="AP446" s="617"/>
      <c r="AQ446" s="617"/>
      <c r="AR446" s="617"/>
      <c r="AS446" s="617"/>
      <c r="AT446" s="617"/>
      <c r="AU446" s="617"/>
      <c r="AV446" s="617"/>
      <c r="AW446" s="617"/>
      <c r="AX446" s="617"/>
      <c r="AY446" s="617"/>
      <c r="AZ446" s="617"/>
      <c r="BA446" s="617"/>
      <c r="BB446" s="617"/>
      <c r="BC446" s="617"/>
      <c r="BD446" s="617"/>
      <c r="BE446" s="617"/>
      <c r="BF446" s="617"/>
      <c r="BG446" s="617"/>
      <c r="BH446"/>
      <c r="BI446"/>
      <c r="BJ446"/>
      <c r="BK446"/>
      <c r="BL446"/>
      <c r="BM446"/>
    </row>
    <row r="447" spans="4:98" s="509" customFormat="1" ht="9.9499999999999993" customHeight="1">
      <c r="D447" s="528"/>
      <c r="E447" s="528"/>
      <c r="F447"/>
      <c r="G447"/>
      <c r="H447"/>
      <c r="I447"/>
      <c r="J447" s="605"/>
      <c r="K447"/>
      <c r="L447"/>
      <c r="M447"/>
      <c r="N447"/>
      <c r="O447"/>
      <c r="P447"/>
      <c r="Q447"/>
      <c r="R447"/>
      <c r="S447"/>
      <c r="T447"/>
      <c r="U447"/>
      <c r="V447" s="603"/>
      <c r="W447" s="603"/>
      <c r="X447" s="603"/>
      <c r="Y447" s="603"/>
      <c r="Z447" s="603"/>
      <c r="AA447" s="603"/>
      <c r="AB447" s="603"/>
      <c r="AC447" s="603"/>
      <c r="AD447" s="603"/>
      <c r="AE447" s="603"/>
      <c r="AF447" s="603"/>
      <c r="AG447" s="603"/>
      <c r="AH447" s="603"/>
      <c r="AI447" s="603"/>
      <c r="AJ447" s="603"/>
      <c r="AK447" s="603"/>
      <c r="AL447" s="603"/>
      <c r="AM447" s="603"/>
      <c r="AN447" s="603"/>
      <c r="AO447" s="603"/>
      <c r="AP447" s="603"/>
      <c r="AQ447" s="603"/>
      <c r="AR447" s="603"/>
      <c r="AS447" s="603"/>
      <c r="AT447" s="603"/>
      <c r="AU447" s="603"/>
      <c r="AV447" s="603"/>
      <c r="AW447" s="603"/>
      <c r="AX447" s="603"/>
      <c r="AY447" s="603"/>
      <c r="AZ447" s="603"/>
      <c r="BA447" s="603"/>
      <c r="BB447" s="603"/>
      <c r="BC447" s="603"/>
      <c r="BD447" s="603"/>
      <c r="BE447" s="603"/>
      <c r="BF447" s="603"/>
      <c r="BG447" s="603"/>
      <c r="BH447" s="604"/>
      <c r="BI447" s="604"/>
      <c r="BJ447" s="604"/>
      <c r="BK447" s="604"/>
      <c r="BL447" s="604"/>
      <c r="BM447" s="604"/>
      <c r="BN447" s="603"/>
      <c r="BO447" s="603"/>
      <c r="BP447" s="603"/>
      <c r="BQ447" s="603"/>
      <c r="BR447" s="603"/>
      <c r="BS447" s="603"/>
      <c r="BT447" s="603"/>
      <c r="BU447" s="603"/>
      <c r="BV447" s="603"/>
      <c r="BW447" s="603"/>
      <c r="BX447" s="603"/>
      <c r="BY447" s="603"/>
      <c r="BZ447" s="603"/>
      <c r="CA447" s="603"/>
      <c r="CB447" s="603"/>
      <c r="CC447" s="603"/>
      <c r="CD447" s="603"/>
      <c r="CE447" s="603"/>
      <c r="CF447" s="603"/>
      <c r="CG447" s="603"/>
      <c r="CH447" s="603"/>
      <c r="CI447" s="603"/>
      <c r="CJ447" s="603"/>
      <c r="CK447" s="603"/>
      <c r="CL447" s="603"/>
      <c r="CM447" s="603"/>
      <c r="CN447" s="603"/>
      <c r="CO447" s="603"/>
      <c r="CP447" s="603"/>
      <c r="CQ447" s="603"/>
      <c r="CR447" s="603"/>
      <c r="CS447" s="603"/>
      <c r="CT447" s="602"/>
    </row>
    <row r="448" spans="4:98" ht="18.95" customHeight="1">
      <c r="J448" s="619"/>
      <c r="K448" s="600" t="s">
        <v>1328</v>
      </c>
      <c r="L448" s="599"/>
      <c r="M448" s="599"/>
      <c r="N448" s="1242" t="s">
        <v>1369</v>
      </c>
      <c r="O448" s="1243"/>
      <c r="P448" s="1243"/>
      <c r="Q448" s="1244"/>
      <c r="R448" s="598" t="s">
        <v>942</v>
      </c>
      <c r="S448" s="569" t="s">
        <v>968</v>
      </c>
      <c r="T448" s="1242" t="s">
        <v>1369</v>
      </c>
      <c r="U448" s="1243"/>
      <c r="V448" s="1243"/>
      <c r="W448" s="1244"/>
      <c r="X448" s="598" t="s">
        <v>942</v>
      </c>
      <c r="Z448" s="600" t="s">
        <v>1367</v>
      </c>
      <c r="AA448" s="599"/>
      <c r="AB448" s="599"/>
      <c r="AC448" s="852">
        <v>0.45833333333333331</v>
      </c>
      <c r="AD448" s="594"/>
      <c r="AE448" s="594"/>
      <c r="AF448" s="598" t="s">
        <v>942</v>
      </c>
      <c r="AG448" s="569" t="s">
        <v>968</v>
      </c>
      <c r="AH448" s="852">
        <v>0.58333333333333337</v>
      </c>
      <c r="AI448" s="594"/>
      <c r="AJ448" s="594"/>
      <c r="AK448" s="598" t="s">
        <v>942</v>
      </c>
      <c r="CT448" s="573"/>
    </row>
    <row r="449" spans="10:98" ht="9.9499999999999993" customHeight="1">
      <c r="J449" s="619"/>
      <c r="CT449" s="573"/>
    </row>
    <row r="450" spans="10:98" ht="20.100000000000001" customHeight="1">
      <c r="J450" s="619"/>
      <c r="K450" s="600" t="s">
        <v>1044</v>
      </c>
      <c r="L450" s="563"/>
      <c r="M450" s="563"/>
      <c r="N450" s="803" t="s">
        <v>646</v>
      </c>
      <c r="O450" s="804"/>
      <c r="P450" s="804"/>
      <c r="Q450" s="805"/>
      <c r="R450" s="596" t="s">
        <v>946</v>
      </c>
      <c r="T450" s="600" t="s">
        <v>948</v>
      </c>
      <c r="U450" s="798"/>
      <c r="V450" s="798"/>
      <c r="W450" s="595" t="s">
        <v>950</v>
      </c>
      <c r="X450" s="594"/>
      <c r="Y450" s="596" t="s">
        <v>946</v>
      </c>
      <c r="Z450" s="595" t="s">
        <v>951</v>
      </c>
      <c r="AA450" s="594"/>
      <c r="AB450" s="594"/>
      <c r="AC450" s="593"/>
      <c r="AD450" s="596" t="s">
        <v>949</v>
      </c>
      <c r="AE450" s="575" t="s">
        <v>1362</v>
      </c>
      <c r="AF450" s="599"/>
      <c r="AG450" s="599"/>
      <c r="AH450" s="590" t="s">
        <v>955</v>
      </c>
      <c r="AI450" s="589"/>
      <c r="AJ450" s="588"/>
      <c r="AL450" s="575" t="s">
        <v>1371</v>
      </c>
      <c r="AM450" s="599"/>
      <c r="AN450" s="599"/>
      <c r="AO450" s="590" t="s">
        <v>1372</v>
      </c>
      <c r="AP450" s="589"/>
      <c r="AQ450" s="589"/>
      <c r="AR450" s="588"/>
      <c r="CT450" s="573"/>
    </row>
    <row r="451" spans="10:98" ht="9.9499999999999993" customHeight="1">
      <c r="J451" s="619"/>
      <c r="CT451" s="573"/>
    </row>
    <row r="452" spans="10:98" ht="18.95" customHeight="1">
      <c r="J452" s="619"/>
      <c r="K452" s="600" t="s">
        <v>1278</v>
      </c>
      <c r="L452" s="563"/>
      <c r="M452" s="563"/>
      <c r="N452" s="595" t="s">
        <v>518</v>
      </c>
      <c r="O452" s="594"/>
      <c r="P452" s="594"/>
      <c r="Q452" s="593"/>
      <c r="R452" s="596" t="s">
        <v>946</v>
      </c>
      <c r="S452" s="575" t="s">
        <v>1227</v>
      </c>
      <c r="T452" s="599"/>
      <c r="U452" s="599"/>
      <c r="V452" s="1242" t="s">
        <v>539</v>
      </c>
      <c r="W452" s="1243"/>
      <c r="X452" s="1243"/>
      <c r="Y452" s="1244"/>
      <c r="Z452" s="596" t="s">
        <v>946</v>
      </c>
      <c r="AA452" s="575" t="s">
        <v>1381</v>
      </c>
      <c r="AB452" s="599"/>
      <c r="AC452" s="599"/>
      <c r="AD452" s="1242" t="s">
        <v>1382</v>
      </c>
      <c r="AE452" s="1243"/>
      <c r="AF452" s="1243"/>
      <c r="AG452" s="1244"/>
      <c r="AH452" s="596" t="s">
        <v>946</v>
      </c>
      <c r="AI452" s="575" t="s">
        <v>952</v>
      </c>
      <c r="AJ452" s="599"/>
      <c r="AK452" s="599"/>
      <c r="AL452" s="590" t="s">
        <v>955</v>
      </c>
      <c r="AM452" s="589"/>
      <c r="AN452" s="588"/>
      <c r="AO452" s="587" t="s">
        <v>956</v>
      </c>
      <c r="AP452" s="589"/>
      <c r="AQ452" s="589"/>
      <c r="AR452" s="589"/>
      <c r="AS452" s="589"/>
      <c r="AT452" s="589"/>
      <c r="AU452" s="596" t="s">
        <v>949</v>
      </c>
      <c r="AV452" s="145" t="s">
        <v>1329</v>
      </c>
      <c r="AW452" t="s">
        <v>1330</v>
      </c>
      <c r="AY452" s="537" t="s">
        <v>1332</v>
      </c>
      <c r="CT452" s="573"/>
    </row>
    <row r="453" spans="10:98" ht="9.9499999999999993" customHeight="1">
      <c r="J453" s="619"/>
      <c r="CT453" s="573"/>
    </row>
    <row r="454" spans="10:98" ht="18.95" customHeight="1">
      <c r="J454" s="619"/>
      <c r="K454" s="600" t="s">
        <v>1358</v>
      </c>
      <c r="L454" s="563"/>
      <c r="M454" s="563"/>
      <c r="N454" s="590" t="s">
        <v>1359</v>
      </c>
      <c r="O454" s="589"/>
      <c r="P454" s="588"/>
      <c r="Q454" s="575" t="s">
        <v>1360</v>
      </c>
      <c r="R454" s="599"/>
      <c r="S454" s="590" t="s">
        <v>1361</v>
      </c>
      <c r="T454" s="588"/>
      <c r="U454" s="575" t="s">
        <v>1363</v>
      </c>
      <c r="V454" s="599"/>
      <c r="W454" s="599"/>
      <c r="X454" s="851" t="s">
        <v>1364</v>
      </c>
      <c r="Y454" s="849"/>
      <c r="Z454" s="849"/>
      <c r="AA454" s="849"/>
      <c r="AB454" s="850"/>
      <c r="AD454" s="575" t="s">
        <v>958</v>
      </c>
      <c r="AE454" s="599"/>
      <c r="AF454" s="599"/>
      <c r="AG454" s="590" t="s">
        <v>959</v>
      </c>
      <c r="AH454" s="589"/>
      <c r="AI454" s="589"/>
      <c r="AJ454" s="589"/>
      <c r="AK454" s="596" t="s">
        <v>949</v>
      </c>
      <c r="AL454" s="1242" t="s">
        <v>17</v>
      </c>
      <c r="AM454" s="1243"/>
      <c r="AN454" s="1244"/>
      <c r="AO454" s="583" t="s">
        <v>946</v>
      </c>
      <c r="AP454" s="1242">
        <v>100</v>
      </c>
      <c r="AQ454" s="1243"/>
      <c r="AR454" s="1244"/>
      <c r="AS454" s="583" t="s">
        <v>946</v>
      </c>
      <c r="CT454" s="573"/>
    </row>
    <row r="455" spans="10:98" ht="9.9499999999999993" customHeight="1">
      <c r="J455" s="619"/>
      <c r="CT455" s="573"/>
    </row>
    <row r="456" spans="10:98" ht="18.95" customHeight="1">
      <c r="J456" s="619"/>
      <c r="BY456" s="1072" t="s">
        <v>1584</v>
      </c>
      <c r="CT456" s="573"/>
    </row>
    <row r="457" spans="10:98" ht="18.95" customHeight="1">
      <c r="J457" s="619"/>
      <c r="K457" s="1245" t="s">
        <v>1370</v>
      </c>
      <c r="L457" s="1225"/>
      <c r="M457" s="1225"/>
      <c r="N457" s="1226"/>
      <c r="O457" s="1245" t="s">
        <v>1366</v>
      </c>
      <c r="P457" s="1225"/>
      <c r="Q457" s="1225"/>
      <c r="R457" s="1226"/>
      <c r="S457" s="1245" t="s">
        <v>1368</v>
      </c>
      <c r="T457" s="1225"/>
      <c r="U457" s="1226"/>
      <c r="V457" s="1245" t="s">
        <v>1165</v>
      </c>
      <c r="W457" s="1225"/>
      <c r="X457" s="1225"/>
      <c r="Y457" s="1226"/>
      <c r="Z457" s="1245" t="s">
        <v>1064</v>
      </c>
      <c r="AA457" s="1225"/>
      <c r="AB457" s="1225"/>
      <c r="AC457" s="1226"/>
      <c r="AD457" s="1245" t="s">
        <v>1383</v>
      </c>
      <c r="AE457" s="1225"/>
      <c r="AF457" s="1226"/>
      <c r="AG457" s="561" t="s">
        <v>990</v>
      </c>
      <c r="AH457" s="560"/>
      <c r="AI457" s="560"/>
      <c r="AJ457" s="560"/>
      <c r="AK457" s="560"/>
      <c r="AL457" s="560"/>
      <c r="AM457" s="560"/>
      <c r="AN457" s="560"/>
      <c r="AO457" s="559"/>
      <c r="AP457" s="561"/>
      <c r="AQ457" s="560"/>
      <c r="AR457" s="559"/>
      <c r="AS457" s="561" t="s">
        <v>1388</v>
      </c>
      <c r="AT457" s="560"/>
      <c r="AU457" s="560"/>
      <c r="AV457" s="560"/>
      <c r="AW457" s="560"/>
      <c r="AX457" s="560"/>
      <c r="AY457" s="560"/>
      <c r="AZ457" s="560"/>
      <c r="BA457" s="1245" t="s">
        <v>1283</v>
      </c>
      <c r="BB457" s="1226"/>
      <c r="BC457" s="1245" t="s">
        <v>1387</v>
      </c>
      <c r="BD457" s="1226"/>
      <c r="BE457" s="1219" t="s">
        <v>1284</v>
      </c>
      <c r="BF457" s="1225"/>
      <c r="BG457" s="1225"/>
      <c r="BH457" s="1226"/>
      <c r="BI457" s="1219" t="s">
        <v>1286</v>
      </c>
      <c r="BJ457" s="1225"/>
      <c r="BK457" s="1225"/>
      <c r="BL457" s="1226"/>
      <c r="BM457" s="1219" t="s">
        <v>1380</v>
      </c>
      <c r="BN457" s="1220"/>
      <c r="BO457" s="1220"/>
      <c r="BP457" s="1221"/>
      <c r="BQ457" s="1219" t="s">
        <v>1379</v>
      </c>
      <c r="BR457" s="1220"/>
      <c r="BS457" s="1220"/>
      <c r="BT457" s="1221"/>
      <c r="BU457" s="1230" t="s">
        <v>1305</v>
      </c>
      <c r="BV457" s="1231"/>
      <c r="BW457" s="1231"/>
      <c r="BX457" s="1232"/>
      <c r="BY457" s="1236" t="s">
        <v>1310</v>
      </c>
      <c r="BZ457" s="1237"/>
      <c r="CA457" s="1237"/>
      <c r="CB457" s="1238"/>
      <c r="CC457" s="1302" t="s">
        <v>1373</v>
      </c>
      <c r="CD457" s="1237"/>
      <c r="CE457" s="1238"/>
      <c r="CF457" s="1302" t="s">
        <v>1385</v>
      </c>
      <c r="CG457" s="1237"/>
      <c r="CH457" s="1237"/>
      <c r="CI457" s="1237"/>
      <c r="CJ457" s="1238"/>
      <c r="CK457" s="1302" t="s">
        <v>1389</v>
      </c>
      <c r="CL457" s="1237"/>
      <c r="CM457" s="1237"/>
      <c r="CN457" s="1237"/>
      <c r="CO457" s="1238"/>
      <c r="CP457" s="1245" t="s">
        <v>1386</v>
      </c>
      <c r="CQ457" s="1225"/>
      <c r="CR457" s="1226"/>
      <c r="CS457" s="553"/>
      <c r="CT457" s="573"/>
    </row>
    <row r="458" spans="10:98" ht="18.95" customHeight="1">
      <c r="J458" s="619"/>
      <c r="K458" s="1227"/>
      <c r="L458" s="1228"/>
      <c r="M458" s="1228"/>
      <c r="N458" s="1229"/>
      <c r="O458" s="1227"/>
      <c r="P458" s="1228"/>
      <c r="Q458" s="1228"/>
      <c r="R458" s="1229"/>
      <c r="S458" s="1227"/>
      <c r="T458" s="1228"/>
      <c r="U458" s="1229"/>
      <c r="V458" s="1227"/>
      <c r="W458" s="1228"/>
      <c r="X458" s="1228"/>
      <c r="Y458" s="1229"/>
      <c r="Z458" s="1227"/>
      <c r="AA458" s="1228"/>
      <c r="AB458" s="1228"/>
      <c r="AC458" s="1229"/>
      <c r="AD458" s="1227"/>
      <c r="AE458" s="1228"/>
      <c r="AF458" s="1229"/>
      <c r="AG458" s="623" t="s">
        <v>1168</v>
      </c>
      <c r="AH458" s="624"/>
      <c r="AI458" s="625"/>
      <c r="AJ458" s="561" t="s">
        <v>981</v>
      </c>
      <c r="AK458" s="560"/>
      <c r="AL458" s="559"/>
      <c r="AM458" s="561" t="s">
        <v>982</v>
      </c>
      <c r="AN458" s="560"/>
      <c r="AO458" s="560"/>
      <c r="AP458" s="560"/>
      <c r="AQ458" s="560"/>
      <c r="AR458" s="559"/>
      <c r="AS458" s="623" t="s">
        <v>989</v>
      </c>
      <c r="AT458" s="624"/>
      <c r="AU458" s="624"/>
      <c r="AV458" s="625"/>
      <c r="AW458" s="623" t="s">
        <v>1375</v>
      </c>
      <c r="AX458" s="625"/>
      <c r="AY458" s="623" t="s">
        <v>1378</v>
      </c>
      <c r="AZ458" s="625"/>
      <c r="BA458" s="1227"/>
      <c r="BB458" s="1229"/>
      <c r="BC458" s="1227"/>
      <c r="BD458" s="1229"/>
      <c r="BE458" s="1227"/>
      <c r="BF458" s="1228"/>
      <c r="BG458" s="1228"/>
      <c r="BH458" s="1229"/>
      <c r="BI458" s="1227"/>
      <c r="BJ458" s="1228"/>
      <c r="BK458" s="1228"/>
      <c r="BL458" s="1229"/>
      <c r="BM458" s="1222"/>
      <c r="BN458" s="1223"/>
      <c r="BO458" s="1223"/>
      <c r="BP458" s="1224"/>
      <c r="BQ458" s="1222"/>
      <c r="BR458" s="1223"/>
      <c r="BS458" s="1223"/>
      <c r="BT458" s="1224"/>
      <c r="BU458" s="1233"/>
      <c r="BV458" s="1234"/>
      <c r="BW458" s="1234"/>
      <c r="BX458" s="1235"/>
      <c r="BY458" s="1239"/>
      <c r="BZ458" s="1240"/>
      <c r="CA458" s="1240"/>
      <c r="CB458" s="1241"/>
      <c r="CC458" s="1239"/>
      <c r="CD458" s="1240"/>
      <c r="CE458" s="1241"/>
      <c r="CF458" s="1239"/>
      <c r="CG458" s="1240"/>
      <c r="CH458" s="1240"/>
      <c r="CI458" s="1240"/>
      <c r="CJ458" s="1241"/>
      <c r="CK458" s="1239"/>
      <c r="CL458" s="1240"/>
      <c r="CM458" s="1240"/>
      <c r="CN458" s="1240"/>
      <c r="CO458" s="1241"/>
      <c r="CP458" s="1227"/>
      <c r="CQ458" s="1228"/>
      <c r="CR458" s="1229"/>
      <c r="CS458" s="552"/>
      <c r="CT458" s="573"/>
    </row>
    <row r="459" spans="10:98" ht="18.95" customHeight="1">
      <c r="J459" s="619"/>
      <c r="K459" s="590" t="s">
        <v>1372</v>
      </c>
      <c r="L459" s="589"/>
      <c r="M459" s="589"/>
      <c r="N459" s="588"/>
      <c r="O459" s="1242" t="s">
        <v>1369</v>
      </c>
      <c r="P459" s="1243"/>
      <c r="Q459" s="1243"/>
      <c r="R459" s="1244"/>
      <c r="S459" s="852">
        <v>0.45833333333333331</v>
      </c>
      <c r="T459" s="594"/>
      <c r="U459" s="593"/>
      <c r="V459" s="595" t="s">
        <v>646</v>
      </c>
      <c r="W459" s="594"/>
      <c r="X459" s="594"/>
      <c r="Y459" s="593"/>
      <c r="Z459" s="595" t="s">
        <v>1365</v>
      </c>
      <c r="AA459" s="594"/>
      <c r="AB459" s="594"/>
      <c r="AC459" s="593"/>
      <c r="AD459" s="852" t="s">
        <v>1384</v>
      </c>
      <c r="AE459" s="594"/>
      <c r="AF459" s="593"/>
      <c r="AG459" s="595" t="s">
        <v>518</v>
      </c>
      <c r="AH459" s="594"/>
      <c r="AI459" s="594"/>
      <c r="AJ459" s="590" t="s">
        <v>955</v>
      </c>
      <c r="AK459" s="589"/>
      <c r="AL459" s="588"/>
      <c r="AM459" s="587" t="s">
        <v>1040</v>
      </c>
      <c r="AN459" s="589"/>
      <c r="AO459" s="589"/>
      <c r="AP459" s="589"/>
      <c r="AQ459" s="589"/>
      <c r="AR459" s="588"/>
      <c r="AS459" s="590" t="s">
        <v>959</v>
      </c>
      <c r="AT459" s="589"/>
      <c r="AU459" s="589"/>
      <c r="AV459" s="588"/>
      <c r="AW459" s="590" t="s">
        <v>1376</v>
      </c>
      <c r="AX459" s="588"/>
      <c r="AY459" s="590">
        <v>100</v>
      </c>
      <c r="AZ459" s="588"/>
      <c r="BA459" s="806">
        <f>(1-(BI459/BE459))*100</f>
        <v>30.000000000000004</v>
      </c>
      <c r="BB459" s="588"/>
      <c r="BC459" s="806">
        <v>30</v>
      </c>
      <c r="BD459" s="588"/>
      <c r="BE459" s="595">
        <v>100000</v>
      </c>
      <c r="BF459" s="594"/>
      <c r="BG459" s="594"/>
      <c r="BH459" s="593"/>
      <c r="BI459" s="595">
        <v>70000</v>
      </c>
      <c r="BJ459" s="594"/>
      <c r="BK459" s="594"/>
      <c r="BL459" s="593"/>
      <c r="BM459" s="595">
        <f>BI459/1.1</f>
        <v>63636.363636363632</v>
      </c>
      <c r="BN459" s="594"/>
      <c r="BO459" s="594"/>
      <c r="BP459" s="593"/>
      <c r="BQ459" s="595">
        <f>BI459-BM459</f>
        <v>6363.6363636363676</v>
      </c>
      <c r="BR459" s="594"/>
      <c r="BS459" s="594"/>
      <c r="BT459" s="593"/>
      <c r="BU459" s="595">
        <f>BI459*(BC459/100)</f>
        <v>21000</v>
      </c>
      <c r="BV459" s="594"/>
      <c r="BW459" s="594"/>
      <c r="BX459" s="593"/>
      <c r="BY459" s="595">
        <v>70000</v>
      </c>
      <c r="BZ459" s="594"/>
      <c r="CA459" s="594"/>
      <c r="CB459" s="593"/>
      <c r="CC459" s="854" t="s">
        <v>1374</v>
      </c>
      <c r="CD459" s="847"/>
      <c r="CE459" s="848"/>
      <c r="CF459" s="851" t="s">
        <v>1364</v>
      </c>
      <c r="CG459" s="849"/>
      <c r="CH459" s="849"/>
      <c r="CI459" s="849"/>
      <c r="CJ459" s="850"/>
      <c r="CK459" s="851" t="s">
        <v>1364</v>
      </c>
      <c r="CL459" s="849"/>
      <c r="CM459" s="849"/>
      <c r="CN459" s="849"/>
      <c r="CO459" s="850"/>
      <c r="CP459" s="852" t="s">
        <v>1374</v>
      </c>
      <c r="CQ459" s="594"/>
      <c r="CR459" s="593"/>
      <c r="CS459" s="596" t="s">
        <v>942</v>
      </c>
      <c r="CT459" s="573"/>
    </row>
    <row r="460" spans="10:98" ht="18.95" customHeight="1">
      <c r="J460" s="619"/>
      <c r="K460" s="590" t="s">
        <v>1372</v>
      </c>
      <c r="L460" s="589"/>
      <c r="M460" s="589"/>
      <c r="N460" s="588"/>
      <c r="O460" s="1242" t="s">
        <v>1369</v>
      </c>
      <c r="P460" s="1243"/>
      <c r="Q460" s="1243"/>
      <c r="R460" s="1244"/>
      <c r="S460" s="852">
        <v>0.45833333333333331</v>
      </c>
      <c r="T460" s="594"/>
      <c r="U460" s="593"/>
      <c r="V460" s="595" t="s">
        <v>646</v>
      </c>
      <c r="W460" s="594"/>
      <c r="X460" s="594"/>
      <c r="Y460" s="593"/>
      <c r="Z460" s="595" t="s">
        <v>1365</v>
      </c>
      <c r="AA460" s="594"/>
      <c r="AB460" s="594"/>
      <c r="AC460" s="593"/>
      <c r="AD460" s="852" t="s">
        <v>1384</v>
      </c>
      <c r="AE460" s="594"/>
      <c r="AF460" s="593"/>
      <c r="AG460" s="595" t="s">
        <v>518</v>
      </c>
      <c r="AH460" s="594"/>
      <c r="AI460" s="594"/>
      <c r="AJ460" s="590" t="s">
        <v>955</v>
      </c>
      <c r="AK460" s="589"/>
      <c r="AL460" s="588"/>
      <c r="AM460" s="587" t="s">
        <v>1040</v>
      </c>
      <c r="AN460" s="589"/>
      <c r="AO460" s="589"/>
      <c r="AP460" s="589"/>
      <c r="AQ460" s="589"/>
      <c r="AR460" s="588"/>
      <c r="AS460" s="590" t="s">
        <v>959</v>
      </c>
      <c r="AT460" s="589"/>
      <c r="AU460" s="589"/>
      <c r="AV460" s="588"/>
      <c r="AW460" s="590" t="s">
        <v>1376</v>
      </c>
      <c r="AX460" s="588"/>
      <c r="AY460" s="590">
        <v>100</v>
      </c>
      <c r="AZ460" s="588"/>
      <c r="BA460" s="806">
        <f>(1-(BI460/BE460))*100</f>
        <v>30.000000000000004</v>
      </c>
      <c r="BB460" s="588"/>
      <c r="BC460" s="806">
        <v>30</v>
      </c>
      <c r="BD460" s="588"/>
      <c r="BE460" s="595">
        <v>100000</v>
      </c>
      <c r="BF460" s="594"/>
      <c r="BG460" s="594"/>
      <c r="BH460" s="593"/>
      <c r="BI460" s="595">
        <v>70000</v>
      </c>
      <c r="BJ460" s="594"/>
      <c r="BK460" s="594"/>
      <c r="BL460" s="593"/>
      <c r="BM460" s="595">
        <f>BI460/1.1</f>
        <v>63636.363636363632</v>
      </c>
      <c r="BN460" s="594"/>
      <c r="BO460" s="594"/>
      <c r="BP460" s="593"/>
      <c r="BQ460" s="595">
        <f>BI460-BM460</f>
        <v>6363.6363636363676</v>
      </c>
      <c r="BR460" s="594"/>
      <c r="BS460" s="594"/>
      <c r="BT460" s="593"/>
      <c r="BU460" s="595">
        <f>BI460*(BC460/100)</f>
        <v>21000</v>
      </c>
      <c r="BV460" s="594"/>
      <c r="BW460" s="594"/>
      <c r="BX460" s="593"/>
      <c r="BY460" s="595">
        <v>70000</v>
      </c>
      <c r="BZ460" s="594"/>
      <c r="CA460" s="594"/>
      <c r="CB460" s="593"/>
      <c r="CC460" s="854" t="s">
        <v>1374</v>
      </c>
      <c r="CD460" s="847"/>
      <c r="CE460" s="848"/>
      <c r="CF460" s="851" t="s">
        <v>1364</v>
      </c>
      <c r="CG460" s="849"/>
      <c r="CH460" s="849"/>
      <c r="CI460" s="849"/>
      <c r="CJ460" s="850"/>
      <c r="CK460" s="851" t="s">
        <v>1364</v>
      </c>
      <c r="CL460" s="849"/>
      <c r="CM460" s="849"/>
      <c r="CN460" s="849"/>
      <c r="CO460" s="850"/>
      <c r="CP460" s="852" t="s">
        <v>1374</v>
      </c>
      <c r="CQ460" s="594"/>
      <c r="CR460" s="593"/>
      <c r="CS460" s="562"/>
      <c r="CT460" s="573"/>
    </row>
    <row r="461" spans="10:98" ht="18.95" customHeight="1">
      <c r="J461" s="572"/>
      <c r="K461" s="571"/>
      <c r="L461" s="571"/>
      <c r="M461" s="571"/>
      <c r="N461" s="571"/>
      <c r="O461" s="571"/>
      <c r="P461" s="571"/>
      <c r="Q461" s="571"/>
      <c r="R461" s="571"/>
      <c r="S461" s="571"/>
      <c r="T461" s="571"/>
      <c r="U461" s="571"/>
      <c r="V461" s="571"/>
      <c r="W461" s="571"/>
      <c r="X461" s="571"/>
      <c r="Y461" s="571"/>
      <c r="Z461" s="571"/>
      <c r="AA461" s="571"/>
      <c r="AB461" s="571"/>
      <c r="AC461" s="571"/>
      <c r="AD461" s="571"/>
      <c r="AE461" s="571"/>
      <c r="AF461" s="571"/>
      <c r="AG461" s="571"/>
      <c r="AH461" s="571"/>
      <c r="AI461" s="571"/>
      <c r="AJ461" s="571"/>
      <c r="AK461" s="571"/>
      <c r="AL461" s="571"/>
      <c r="AM461" s="571"/>
      <c r="AN461" s="571"/>
      <c r="AO461" s="571"/>
      <c r="AP461" s="571"/>
      <c r="AQ461" s="571"/>
      <c r="AR461" s="571"/>
      <c r="AS461" s="571"/>
      <c r="AT461" s="571"/>
      <c r="AU461" s="571"/>
      <c r="AV461" s="571"/>
      <c r="AW461" s="571"/>
      <c r="AX461" s="571"/>
      <c r="AY461" s="571"/>
      <c r="AZ461" s="571"/>
      <c r="BA461" s="571"/>
      <c r="BB461" s="571"/>
      <c r="BC461" s="571"/>
      <c r="BD461" s="571"/>
      <c r="BE461" s="571"/>
      <c r="BF461" s="571"/>
      <c r="BG461" s="571"/>
      <c r="BH461" s="571"/>
      <c r="BI461" s="571"/>
      <c r="BJ461" s="571"/>
      <c r="BK461" s="571"/>
      <c r="BL461" s="571"/>
      <c r="BM461" s="571"/>
      <c r="BN461" s="571"/>
      <c r="BO461" s="571"/>
      <c r="BP461" s="571"/>
      <c r="BQ461" s="571"/>
      <c r="BR461" s="571"/>
      <c r="BS461" s="571"/>
      <c r="BT461" s="571"/>
      <c r="BU461" s="571"/>
      <c r="BV461" s="571"/>
      <c r="BW461" s="571"/>
      <c r="BX461" s="571"/>
      <c r="BY461" s="571"/>
      <c r="BZ461" s="571"/>
      <c r="CA461" s="571"/>
      <c r="CB461" s="571"/>
      <c r="CC461" s="571"/>
      <c r="CD461" s="571"/>
      <c r="CE461" s="571"/>
      <c r="CF461" s="571"/>
      <c r="CG461" s="571"/>
      <c r="CH461" s="571"/>
      <c r="CI461" s="571"/>
      <c r="CJ461" s="571"/>
      <c r="CK461" s="571"/>
      <c r="CL461" s="571"/>
      <c r="CM461" s="571"/>
      <c r="CN461" s="571"/>
      <c r="CO461" s="571"/>
      <c r="CP461" s="571"/>
      <c r="CQ461" s="571"/>
      <c r="CR461" s="571"/>
      <c r="CS461" s="571"/>
      <c r="CT461" s="570"/>
    </row>
  </sheetData>
  <sortState xmlns:xlrd2="http://schemas.microsoft.com/office/spreadsheetml/2017/richdata2" ref="BF75:BF79">
    <sortCondition descending="1" ref="BF75:BF79"/>
  </sortState>
  <mergeCells count="302">
    <mergeCell ref="O460:R460"/>
    <mergeCell ref="AH269:AI270"/>
    <mergeCell ref="K306:M307"/>
    <mergeCell ref="N306:O307"/>
    <mergeCell ref="AK306:AM307"/>
    <mergeCell ref="AN306:AO307"/>
    <mergeCell ref="BD271:BE275"/>
    <mergeCell ref="BD276:BE278"/>
    <mergeCell ref="BD279:BE281"/>
    <mergeCell ref="BD282:BE284"/>
    <mergeCell ref="BD285:BE289"/>
    <mergeCell ref="AD452:AG452"/>
    <mergeCell ref="AD457:AF458"/>
    <mergeCell ref="K275:N275"/>
    <mergeCell ref="K276:N276"/>
    <mergeCell ref="K277:N277"/>
    <mergeCell ref="K278:N278"/>
    <mergeCell ref="K279:N279"/>
    <mergeCell ref="K280:N280"/>
    <mergeCell ref="K281:N281"/>
    <mergeCell ref="K282:N282"/>
    <mergeCell ref="K283:N283"/>
    <mergeCell ref="AT363:AW364"/>
    <mergeCell ref="AM336:AO337"/>
    <mergeCell ref="CP457:CR458"/>
    <mergeCell ref="BA457:BB458"/>
    <mergeCell ref="BC457:BD458"/>
    <mergeCell ref="AL454:AN454"/>
    <mergeCell ref="AP454:AR454"/>
    <mergeCell ref="V452:Y452"/>
    <mergeCell ref="V457:Y458"/>
    <mergeCell ref="Z457:AC458"/>
    <mergeCell ref="O457:R458"/>
    <mergeCell ref="CK457:CO458"/>
    <mergeCell ref="BU457:BX458"/>
    <mergeCell ref="BI457:BL458"/>
    <mergeCell ref="BQ457:BT458"/>
    <mergeCell ref="BM457:BP458"/>
    <mergeCell ref="BY457:CB458"/>
    <mergeCell ref="CF457:CJ458"/>
    <mergeCell ref="BD230:BG230"/>
    <mergeCell ref="BH230:BK230"/>
    <mergeCell ref="L231:O231"/>
    <mergeCell ref="BA231:BC231"/>
    <mergeCell ref="BD231:BG231"/>
    <mergeCell ref="O459:R459"/>
    <mergeCell ref="S457:U458"/>
    <mergeCell ref="K457:N458"/>
    <mergeCell ref="CC457:CE458"/>
    <mergeCell ref="BE457:BH458"/>
    <mergeCell ref="N448:Q448"/>
    <mergeCell ref="T448:W448"/>
    <mergeCell ref="BA234:BC234"/>
    <mergeCell ref="BD234:BG234"/>
    <mergeCell ref="BH234:BK234"/>
    <mergeCell ref="AE425:AF426"/>
    <mergeCell ref="AD265:AG265"/>
    <mergeCell ref="K269:N270"/>
    <mergeCell ref="K271:N271"/>
    <mergeCell ref="K274:N274"/>
    <mergeCell ref="R271:U271"/>
    <mergeCell ref="R274:U274"/>
    <mergeCell ref="AE269:AG270"/>
    <mergeCell ref="R281:U281"/>
    <mergeCell ref="BD232:BG232"/>
    <mergeCell ref="BH232:BK232"/>
    <mergeCell ref="X230:AA230"/>
    <mergeCell ref="X231:AA231"/>
    <mergeCell ref="X232:AA232"/>
    <mergeCell ref="X233:AA233"/>
    <mergeCell ref="BV118:BY118"/>
    <mergeCell ref="BV119:BY119"/>
    <mergeCell ref="BV120:BY120"/>
    <mergeCell ref="BV121:BY121"/>
    <mergeCell ref="BV122:BY122"/>
    <mergeCell ref="BD224:BG224"/>
    <mergeCell ref="X224:AA224"/>
    <mergeCell ref="X225:AA225"/>
    <mergeCell ref="BA233:BC233"/>
    <mergeCell ref="BD233:BG233"/>
    <mergeCell ref="BH233:BK233"/>
    <mergeCell ref="BH231:BK231"/>
    <mergeCell ref="BA229:BC229"/>
    <mergeCell ref="BD229:BG229"/>
    <mergeCell ref="BH229:BK229"/>
    <mergeCell ref="BA228:BC228"/>
    <mergeCell ref="BD228:BG228"/>
    <mergeCell ref="BH228:BK228"/>
    <mergeCell ref="K222:K223"/>
    <mergeCell ref="AK222:AL223"/>
    <mergeCell ref="BR222:BS223"/>
    <mergeCell ref="BH224:BK224"/>
    <mergeCell ref="BD225:BG225"/>
    <mergeCell ref="BH225:BK225"/>
    <mergeCell ref="BD226:BG226"/>
    <mergeCell ref="BH226:BK226"/>
    <mergeCell ref="BD227:BG227"/>
    <mergeCell ref="BH227:BK227"/>
    <mergeCell ref="P222:T223"/>
    <mergeCell ref="L222:O223"/>
    <mergeCell ref="L224:O224"/>
    <mergeCell ref="BA224:BC224"/>
    <mergeCell ref="BA225:BC225"/>
    <mergeCell ref="BA226:BC226"/>
    <mergeCell ref="BA227:BC227"/>
    <mergeCell ref="L225:O225"/>
    <mergeCell ref="L226:O226"/>
    <mergeCell ref="L227:O227"/>
    <mergeCell ref="CI121:CL121"/>
    <mergeCell ref="CI122:CL122"/>
    <mergeCell ref="BT115:BU116"/>
    <mergeCell ref="CI115:CL116"/>
    <mergeCell ref="CI117:CL117"/>
    <mergeCell ref="CI118:CL118"/>
    <mergeCell ref="CI119:CL119"/>
    <mergeCell ref="AF122:AH122"/>
    <mergeCell ref="BL117:BO117"/>
    <mergeCell ref="BP117:BS117"/>
    <mergeCell ref="BL118:BO118"/>
    <mergeCell ref="BP118:BS118"/>
    <mergeCell ref="BL119:BO119"/>
    <mergeCell ref="BP119:BS119"/>
    <mergeCell ref="BL120:BO120"/>
    <mergeCell ref="BP120:BS120"/>
    <mergeCell ref="BL121:BO121"/>
    <mergeCell ref="BP121:BS121"/>
    <mergeCell ref="BL122:BO122"/>
    <mergeCell ref="BP122:BS122"/>
    <mergeCell ref="AF117:AH117"/>
    <mergeCell ref="AF118:AH118"/>
    <mergeCell ref="AF119:AH119"/>
    <mergeCell ref="AF120:AH120"/>
    <mergeCell ref="CI120:CL120"/>
    <mergeCell ref="AY42:AZ43"/>
    <mergeCell ref="L115:M116"/>
    <mergeCell ref="S115:W116"/>
    <mergeCell ref="P47:R47"/>
    <mergeCell ref="AQ47:AT47"/>
    <mergeCell ref="AU47:AX47"/>
    <mergeCell ref="P48:R48"/>
    <mergeCell ref="AQ48:AT48"/>
    <mergeCell ref="AU48:AX48"/>
    <mergeCell ref="P49:R49"/>
    <mergeCell ref="AQ49:AT49"/>
    <mergeCell ref="AU49:AX49"/>
    <mergeCell ref="X115:AA116"/>
    <mergeCell ref="BA112:BC112"/>
    <mergeCell ref="AQ44:AT44"/>
    <mergeCell ref="AU44:AX44"/>
    <mergeCell ref="AQ45:AT45"/>
    <mergeCell ref="AU45:AX45"/>
    <mergeCell ref="AQ46:AT46"/>
    <mergeCell ref="AU46:AX46"/>
    <mergeCell ref="AB42:AD43"/>
    <mergeCell ref="N115:R116"/>
    <mergeCell ref="BV117:BY117"/>
    <mergeCell ref="K158:K159"/>
    <mergeCell ref="Y158:Z159"/>
    <mergeCell ref="AN160:AQ160"/>
    <mergeCell ref="AR160:AU160"/>
    <mergeCell ref="AN161:AQ161"/>
    <mergeCell ref="AR161:AU161"/>
    <mergeCell ref="AN162:AQ162"/>
    <mergeCell ref="AR162:AU162"/>
    <mergeCell ref="AN163:AQ163"/>
    <mergeCell ref="AK160:AM160"/>
    <mergeCell ref="AK161:AM161"/>
    <mergeCell ref="AK162:AM162"/>
    <mergeCell ref="AK163:AM163"/>
    <mergeCell ref="L160:O160"/>
    <mergeCell ref="L161:O161"/>
    <mergeCell ref="L162:O162"/>
    <mergeCell ref="L163:O163"/>
    <mergeCell ref="K42:K43"/>
    <mergeCell ref="P44:R44"/>
    <mergeCell ref="N23:Q23"/>
    <mergeCell ref="W34:Y34"/>
    <mergeCell ref="O29:R29"/>
    <mergeCell ref="U29:X29"/>
    <mergeCell ref="P45:R45"/>
    <mergeCell ref="P46:R46"/>
    <mergeCell ref="N138:Q138"/>
    <mergeCell ref="K115:K116"/>
    <mergeCell ref="X117:AA117"/>
    <mergeCell ref="X120:AA120"/>
    <mergeCell ref="N106:Q106"/>
    <mergeCell ref="T106:W106"/>
    <mergeCell ref="N110:Q110"/>
    <mergeCell ref="T110:W110"/>
    <mergeCell ref="AA23:AD23"/>
    <mergeCell ref="AQ112:AS112"/>
    <mergeCell ref="AC106:AF106"/>
    <mergeCell ref="AR163:AU163"/>
    <mergeCell ref="BB158:BC159"/>
    <mergeCell ref="N140:Q140"/>
    <mergeCell ref="T140:W140"/>
    <mergeCell ref="S144:U144"/>
    <mergeCell ref="AF121:AH121"/>
    <mergeCell ref="N214:Q214"/>
    <mergeCell ref="T214:W214"/>
    <mergeCell ref="AC214:AF214"/>
    <mergeCell ref="N218:Q218"/>
    <mergeCell ref="T218:W218"/>
    <mergeCell ref="AZ220:BB220"/>
    <mergeCell ref="X226:AA226"/>
    <mergeCell ref="X227:AA227"/>
    <mergeCell ref="X228:AA228"/>
    <mergeCell ref="X229:AA229"/>
    <mergeCell ref="W220:Z220"/>
    <mergeCell ref="N263:Q263"/>
    <mergeCell ref="L229:O229"/>
    <mergeCell ref="L233:O233"/>
    <mergeCell ref="L234:O234"/>
    <mergeCell ref="X234:AA234"/>
    <mergeCell ref="L232:O232"/>
    <mergeCell ref="BA232:BC232"/>
    <mergeCell ref="L228:O228"/>
    <mergeCell ref="L230:O230"/>
    <mergeCell ref="BA230:BC230"/>
    <mergeCell ref="AI336:AJ337"/>
    <mergeCell ref="AK336:AL337"/>
    <mergeCell ref="AP336:AS337"/>
    <mergeCell ref="AT336:AW337"/>
    <mergeCell ref="X322:AA322"/>
    <mergeCell ref="AW317:AZ317"/>
    <mergeCell ref="AW318:AZ318"/>
    <mergeCell ref="AW319:AZ319"/>
    <mergeCell ref="AW320:AZ320"/>
    <mergeCell ref="AW321:AZ321"/>
    <mergeCell ref="AW322:AZ322"/>
    <mergeCell ref="AW323:AZ323"/>
    <mergeCell ref="X323:AA323"/>
    <mergeCell ref="X321:AA321"/>
    <mergeCell ref="R282:U282"/>
    <mergeCell ref="R283:U283"/>
    <mergeCell ref="BB336:BE337"/>
    <mergeCell ref="N332:Q332"/>
    <mergeCell ref="AM222:AP223"/>
    <mergeCell ref="K336:N337"/>
    <mergeCell ref="AE336:AH337"/>
    <mergeCell ref="BF271:BG275"/>
    <mergeCell ref="BF276:BG278"/>
    <mergeCell ref="BF279:BG281"/>
    <mergeCell ref="BF282:BG284"/>
    <mergeCell ref="BF285:BG289"/>
    <mergeCell ref="K284:N284"/>
    <mergeCell ref="R284:U284"/>
    <mergeCell ref="R275:U275"/>
    <mergeCell ref="R276:U276"/>
    <mergeCell ref="R277:U277"/>
    <mergeCell ref="R278:U278"/>
    <mergeCell ref="R279:U279"/>
    <mergeCell ref="R280:U280"/>
    <mergeCell ref="X317:AA317"/>
    <mergeCell ref="X318:AA318"/>
    <mergeCell ref="X319:AA319"/>
    <mergeCell ref="X320:AA320"/>
    <mergeCell ref="V391:Y391"/>
    <mergeCell ref="R395:U395"/>
    <mergeCell ref="R398:U398"/>
    <mergeCell ref="R401:U401"/>
    <mergeCell ref="BB393:BE394"/>
    <mergeCell ref="AX336:BA337"/>
    <mergeCell ref="AX363:BA364"/>
    <mergeCell ref="N389:Q389"/>
    <mergeCell ref="K393:N394"/>
    <mergeCell ref="AE393:AH394"/>
    <mergeCell ref="AI393:AJ394"/>
    <mergeCell ref="AK393:AL394"/>
    <mergeCell ref="AM393:AO394"/>
    <mergeCell ref="AP393:AS394"/>
    <mergeCell ref="AT393:AW394"/>
    <mergeCell ref="AX393:BA394"/>
    <mergeCell ref="BB363:BE364"/>
    <mergeCell ref="N359:Q359"/>
    <mergeCell ref="K363:N364"/>
    <mergeCell ref="AE363:AH364"/>
    <mergeCell ref="AI363:AJ364"/>
    <mergeCell ref="AK363:AL364"/>
    <mergeCell ref="AM363:AO364"/>
    <mergeCell ref="AP363:AS364"/>
    <mergeCell ref="T389:W389"/>
    <mergeCell ref="R338:U338"/>
    <mergeCell ref="R341:U341"/>
    <mergeCell ref="R344:U344"/>
    <mergeCell ref="V361:Y361"/>
    <mergeCell ref="V334:Y334"/>
    <mergeCell ref="R365:U365"/>
    <mergeCell ref="R368:U368"/>
    <mergeCell ref="R371:U371"/>
    <mergeCell ref="AK425:AM426"/>
    <mergeCell ref="AN425:AQ426"/>
    <mergeCell ref="AR425:AU426"/>
    <mergeCell ref="AV425:AY426"/>
    <mergeCell ref="AZ425:BC426"/>
    <mergeCell ref="N419:Q419"/>
    <mergeCell ref="V421:Y421"/>
    <mergeCell ref="S423:U423"/>
    <mergeCell ref="K425:N426"/>
    <mergeCell ref="AA425:AD426"/>
    <mergeCell ref="AG425:AH426"/>
    <mergeCell ref="AI425:AJ426"/>
  </mergeCells>
  <phoneticPr fontId="2" type="noConversion"/>
  <pageMargins left="0.7" right="0.7" top="0.75" bottom="0.75" header="0.3" footer="0.3"/>
  <pageSetup paperSize="9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D2:BK29"/>
  <sheetViews>
    <sheetView showGridLines="0" zoomScaleNormal="100" workbookViewId="0">
      <selection activeCell="AW30" sqref="AW30"/>
    </sheetView>
  </sheetViews>
  <sheetFormatPr defaultColWidth="3.7109375" defaultRowHeight="18.95" customHeight="1"/>
  <cols>
    <col min="2" max="4" width="3.7109375" customWidth="1"/>
    <col min="31" max="44" width="3.7109375" customWidth="1"/>
  </cols>
  <sheetData>
    <row r="2" spans="4:29" ht="27.75" customHeight="1">
      <c r="E2" s="353" t="s">
        <v>931</v>
      </c>
    </row>
    <row r="4" spans="4:29" s="509" customFormat="1" ht="18.95" customHeight="1">
      <c r="D4" s="528"/>
      <c r="E4" s="528"/>
      <c r="F4" s="529" t="s">
        <v>932</v>
      </c>
    </row>
    <row r="6" spans="4:29" ht="18.95" customHeight="1">
      <c r="G6" s="530" t="s">
        <v>1414</v>
      </c>
      <c r="H6" s="509"/>
      <c r="I6" s="509"/>
      <c r="J6" s="509"/>
      <c r="K6" s="509"/>
      <c r="L6" s="509"/>
      <c r="M6" s="509"/>
      <c r="N6" s="531" t="s">
        <v>933</v>
      </c>
      <c r="O6" s="531"/>
      <c r="P6" s="532" t="s">
        <v>1534</v>
      </c>
      <c r="Q6" s="533"/>
      <c r="R6" s="533"/>
      <c r="S6" s="533"/>
      <c r="T6" s="533"/>
      <c r="U6" s="533"/>
      <c r="V6" s="533"/>
      <c r="W6" s="525"/>
      <c r="X6" s="525"/>
      <c r="Y6" s="525"/>
      <c r="Z6" s="525"/>
      <c r="AA6" s="525"/>
      <c r="AB6" s="525"/>
      <c r="AC6" s="509"/>
    </row>
    <row r="7" spans="4:29" ht="18.95" customHeight="1">
      <c r="G7" s="530"/>
      <c r="H7" s="509"/>
      <c r="I7" s="509"/>
      <c r="J7" s="509"/>
      <c r="K7" s="509"/>
      <c r="L7" s="509"/>
      <c r="M7" s="509"/>
      <c r="N7" s="531" t="s">
        <v>1133</v>
      </c>
      <c r="O7" s="531"/>
      <c r="P7" s="532"/>
      <c r="Q7" s="533"/>
      <c r="R7" s="533"/>
      <c r="S7" s="533"/>
      <c r="T7" s="533"/>
      <c r="U7" s="533"/>
      <c r="V7" s="533"/>
      <c r="W7" s="525"/>
      <c r="X7" s="525"/>
      <c r="Y7" s="525"/>
      <c r="Z7" s="525"/>
      <c r="AA7" s="525"/>
      <c r="AB7" s="525"/>
      <c r="AC7" s="509"/>
    </row>
    <row r="8" spans="4:29" ht="18.95" customHeight="1">
      <c r="N8" s="531" t="s">
        <v>1155</v>
      </c>
      <c r="O8" s="531"/>
      <c r="P8" s="616"/>
      <c r="Q8" s="533"/>
      <c r="R8" s="533"/>
      <c r="S8" s="533"/>
      <c r="T8" s="533"/>
      <c r="U8" s="533"/>
      <c r="V8" s="533"/>
      <c r="W8" s="525"/>
      <c r="X8" s="525"/>
      <c r="Y8" s="525"/>
      <c r="Z8" s="525"/>
      <c r="AA8" s="525"/>
      <c r="AB8" s="525"/>
    </row>
    <row r="9" spans="4:29" ht="18.95" customHeight="1">
      <c r="G9" s="530"/>
      <c r="H9" s="509"/>
      <c r="I9" s="509"/>
      <c r="J9" s="509"/>
      <c r="K9" s="509"/>
      <c r="L9" s="509"/>
      <c r="M9" s="509"/>
      <c r="N9" s="531" t="s">
        <v>1128</v>
      </c>
      <c r="O9" s="531"/>
      <c r="P9" s="532"/>
      <c r="Q9" s="533"/>
      <c r="R9" s="533"/>
      <c r="S9" s="533"/>
      <c r="T9" s="533"/>
      <c r="U9" s="533"/>
      <c r="V9" s="533"/>
      <c r="W9" s="525"/>
      <c r="X9" s="525"/>
      <c r="Y9" s="525"/>
      <c r="Z9" s="525"/>
      <c r="AA9" s="525"/>
      <c r="AB9" s="525"/>
      <c r="AC9" s="509"/>
    </row>
    <row r="10" spans="4:29" ht="9.9499999999999993" customHeight="1"/>
    <row r="11" spans="4:29" ht="18.95" customHeight="1">
      <c r="N11" s="526" t="s">
        <v>847</v>
      </c>
      <c r="O11" s="527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7"/>
      <c r="AB11" s="527"/>
    </row>
    <row r="12" spans="4:29" ht="18.95" customHeight="1">
      <c r="N12" s="526" t="s">
        <v>847</v>
      </c>
      <c r="O12" s="527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7"/>
      <c r="AB12" s="527"/>
    </row>
    <row r="13" spans="4:29" ht="9.9499999999999993" customHeight="1"/>
    <row r="14" spans="4:29" ht="18.95" customHeight="1">
      <c r="N14" s="615" t="s">
        <v>936</v>
      </c>
      <c r="O14" s="614"/>
      <c r="P14" s="614"/>
      <c r="Q14" s="614"/>
      <c r="R14" s="614"/>
      <c r="S14" s="614"/>
      <c r="T14" s="614"/>
      <c r="U14" s="614"/>
      <c r="V14" s="614"/>
      <c r="W14" s="614"/>
      <c r="X14" s="614"/>
      <c r="Y14" s="614"/>
      <c r="Z14" s="614"/>
      <c r="AA14" s="614"/>
      <c r="AB14" s="614"/>
    </row>
    <row r="17" spans="4:63" ht="18.95" customHeight="1">
      <c r="H17" s="601" t="s">
        <v>1533</v>
      </c>
      <c r="I17" s="540"/>
      <c r="J17" s="530" t="s">
        <v>1535</v>
      </c>
    </row>
    <row r="19" spans="4:63" s="509" customFormat="1" ht="5.0999999999999996" customHeight="1">
      <c r="D19" s="528"/>
      <c r="E19" s="528"/>
      <c r="F19"/>
      <c r="G19"/>
      <c r="H19"/>
      <c r="I19"/>
      <c r="J19"/>
      <c r="K19" s="613"/>
      <c r="L19" s="612"/>
      <c r="M19" s="612"/>
      <c r="N19" s="612"/>
      <c r="O19" s="612"/>
      <c r="P19" s="612"/>
      <c r="Q19" s="612"/>
      <c r="R19" s="612"/>
      <c r="S19" s="611"/>
      <c r="T19"/>
      <c r="U19"/>
      <c r="V19"/>
      <c r="W19"/>
      <c r="X19"/>
      <c r="Y19"/>
      <c r="Z19"/>
      <c r="AA19"/>
      <c r="AB19"/>
      <c r="AC19" s="617"/>
      <c r="AD19" s="617"/>
      <c r="AE19" s="617"/>
      <c r="AF19" s="617"/>
      <c r="AG19" s="617"/>
      <c r="AH19" s="617"/>
      <c r="AI19" s="617"/>
      <c r="AJ19" s="617"/>
      <c r="AK19" s="617"/>
      <c r="AL19" s="617"/>
      <c r="AM19" s="617"/>
      <c r="AN19" s="617"/>
      <c r="AO19" s="617"/>
      <c r="AP19" s="617"/>
      <c r="AQ19" s="617"/>
      <c r="AR19" s="617"/>
      <c r="AS19" s="617"/>
      <c r="AT19" s="617"/>
      <c r="AU19" s="617"/>
      <c r="AV19" s="617"/>
      <c r="AW19" s="617"/>
      <c r="AX19" s="617"/>
      <c r="AY19" s="617"/>
      <c r="AZ19" s="617"/>
      <c r="BA19" s="617"/>
      <c r="BB19" s="617"/>
      <c r="BC19" s="617"/>
      <c r="BD19" s="617"/>
      <c r="BE19" s="617"/>
      <c r="BF19" s="617"/>
      <c r="BG19" s="617"/>
      <c r="BH19" s="617"/>
      <c r="BI19" s="617"/>
    </row>
    <row r="20" spans="4:63" s="509" customFormat="1" ht="18.95" customHeight="1">
      <c r="D20" s="528"/>
      <c r="E20" s="528"/>
      <c r="F20"/>
      <c r="G20"/>
      <c r="H20"/>
      <c r="I20"/>
      <c r="J20"/>
      <c r="K20" s="610" t="s">
        <v>1536</v>
      </c>
      <c r="L20" s="175"/>
      <c r="M20" s="175"/>
      <c r="N20" s="175"/>
      <c r="O20" s="175"/>
      <c r="P20" s="175"/>
      <c r="Q20" s="175"/>
      <c r="R20" s="175"/>
      <c r="S20" s="609"/>
      <c r="T20" s="608" t="s">
        <v>1010</v>
      </c>
      <c r="U20" s="607"/>
      <c r="V20" s="607"/>
      <c r="W20" s="607"/>
      <c r="X20" s="607"/>
      <c r="Y20" s="607"/>
      <c r="Z20" s="607"/>
      <c r="AA20" s="606"/>
      <c r="AG20" s="617"/>
      <c r="AH20" s="617"/>
      <c r="AI20" s="617"/>
      <c r="AJ20" s="617"/>
      <c r="AK20" s="617"/>
      <c r="AL20" s="617"/>
      <c r="AM20" s="617"/>
      <c r="AN20" s="617"/>
      <c r="AO20" s="617"/>
      <c r="AS20" s="617"/>
      <c r="AT20" s="617"/>
      <c r="AU20" s="617"/>
      <c r="AV20" s="617"/>
      <c r="AW20" s="617"/>
      <c r="BA20" s="617"/>
      <c r="BB20" s="617"/>
      <c r="BC20" s="617"/>
      <c r="BD20" s="617"/>
      <c r="BE20" s="617"/>
      <c r="BF20" s="617"/>
      <c r="BG20" s="617"/>
    </row>
    <row r="21" spans="4:63" s="509" customFormat="1" ht="9.9499999999999993" customHeight="1">
      <c r="D21" s="528"/>
      <c r="E21" s="528"/>
      <c r="F21"/>
      <c r="G21"/>
      <c r="H21"/>
      <c r="I21"/>
      <c r="J21" s="605"/>
      <c r="K21"/>
      <c r="L21"/>
      <c r="M21"/>
      <c r="N21"/>
      <c r="O21"/>
      <c r="P21"/>
      <c r="Q21"/>
      <c r="R21"/>
      <c r="S21"/>
      <c r="T21" s="604"/>
      <c r="U21" s="604"/>
      <c r="V21" s="604"/>
      <c r="W21" s="604"/>
      <c r="X21" s="604"/>
      <c r="Y21" s="604"/>
      <c r="Z21" s="604"/>
      <c r="AA21" s="604"/>
      <c r="AB21" s="604"/>
      <c r="AC21" s="603"/>
      <c r="AD21" s="603"/>
      <c r="AE21" s="603"/>
      <c r="AF21" s="603"/>
      <c r="AG21" s="603"/>
      <c r="AH21" s="603"/>
      <c r="AI21" s="603"/>
      <c r="AJ21" s="603"/>
      <c r="AK21" s="603"/>
      <c r="AL21" s="603"/>
      <c r="AM21" s="603"/>
      <c r="AN21" s="603"/>
      <c r="AO21" s="603"/>
      <c r="AP21" s="603"/>
      <c r="AQ21" s="603"/>
      <c r="AR21" s="603"/>
      <c r="AS21" s="603"/>
      <c r="AT21" s="603"/>
      <c r="AU21" s="603"/>
      <c r="AV21" s="603"/>
      <c r="AW21" s="603"/>
      <c r="AX21" s="603"/>
      <c r="AY21" s="603"/>
      <c r="AZ21" s="603"/>
      <c r="BA21" s="603"/>
      <c r="BB21" s="603"/>
      <c r="BC21" s="603"/>
      <c r="BD21" s="603"/>
      <c r="BE21" s="603"/>
      <c r="BF21" s="603"/>
      <c r="BG21" s="603"/>
      <c r="BH21" s="603"/>
      <c r="BI21" s="603"/>
      <c r="BJ21" s="603"/>
      <c r="BK21" s="602"/>
    </row>
    <row r="22" spans="4:63" ht="18.95" customHeight="1">
      <c r="K22" s="600" t="s">
        <v>1232</v>
      </c>
      <c r="L22" s="599"/>
      <c r="M22" s="599"/>
      <c r="N22" s="1242" t="s">
        <v>1230</v>
      </c>
      <c r="O22" s="1243"/>
      <c r="P22" s="1243"/>
      <c r="Q22" s="1244"/>
      <c r="R22" s="598" t="s">
        <v>942</v>
      </c>
      <c r="S22" s="575" t="s">
        <v>1044</v>
      </c>
      <c r="T22" s="599"/>
      <c r="U22" s="599"/>
      <c r="V22" s="595" t="s">
        <v>646</v>
      </c>
      <c r="W22" s="594"/>
      <c r="X22" s="594"/>
      <c r="Y22" s="593"/>
      <c r="Z22" s="596" t="s">
        <v>946</v>
      </c>
      <c r="AA22" s="575" t="s">
        <v>1097</v>
      </c>
      <c r="AB22" s="599"/>
      <c r="AC22" s="599"/>
      <c r="AD22" s="595" t="s">
        <v>518</v>
      </c>
      <c r="AE22" s="594"/>
      <c r="AF22" s="594"/>
      <c r="AG22" s="593"/>
      <c r="AH22" s="596" t="s">
        <v>946</v>
      </c>
      <c r="AI22" s="575" t="s">
        <v>1227</v>
      </c>
      <c r="AJ22" s="599"/>
      <c r="AK22" s="599"/>
      <c r="AL22" s="1242" t="s">
        <v>539</v>
      </c>
      <c r="AM22" s="1243"/>
      <c r="AN22" s="1243"/>
      <c r="AO22" s="1244"/>
      <c r="AP22" s="596" t="s">
        <v>946</v>
      </c>
      <c r="AQ22" s="575" t="s">
        <v>1537</v>
      </c>
      <c r="AR22" s="599"/>
      <c r="AS22" s="599"/>
      <c r="AT22" s="540"/>
      <c r="AU22" s="590" t="s">
        <v>1538</v>
      </c>
      <c r="AV22" s="594"/>
      <c r="AW22" s="594"/>
      <c r="AX22" s="596" t="s">
        <v>946</v>
      </c>
    </row>
    <row r="23" spans="4:63" ht="9.9499999999999993" customHeight="1"/>
    <row r="25" spans="4:63" ht="18.95" customHeight="1">
      <c r="K25" s="1290" t="s">
        <v>140</v>
      </c>
      <c r="L25" s="1245" t="s">
        <v>1165</v>
      </c>
      <c r="M25" s="1225"/>
      <c r="N25" s="1225"/>
      <c r="O25" s="1226"/>
      <c r="P25" s="561" t="s">
        <v>990</v>
      </c>
      <c r="Q25" s="560"/>
      <c r="R25" s="560"/>
      <c r="S25" s="560"/>
      <c r="T25" s="560"/>
      <c r="U25" s="560"/>
      <c r="V25" s="560"/>
      <c r="W25" s="560"/>
      <c r="X25" s="560"/>
      <c r="Y25" s="560"/>
      <c r="Z25" s="560"/>
      <c r="AA25" s="560"/>
      <c r="AB25" s="559"/>
      <c r="AC25" s="561"/>
      <c r="AD25" s="560"/>
      <c r="AE25" s="559"/>
      <c r="AF25" s="760" t="s">
        <v>1540</v>
      </c>
      <c r="AG25" s="560"/>
      <c r="AH25" s="560"/>
      <c r="AI25" s="560"/>
      <c r="AJ25" s="560"/>
      <c r="AK25" s="559"/>
      <c r="AL25" s="1245" t="s">
        <v>1265</v>
      </c>
      <c r="AM25" s="1226"/>
    </row>
    <row r="26" spans="4:63" ht="18.95" customHeight="1">
      <c r="K26" s="1291"/>
      <c r="L26" s="1227"/>
      <c r="M26" s="1228"/>
      <c r="N26" s="1228"/>
      <c r="O26" s="1229"/>
      <c r="P26" s="623" t="s">
        <v>1168</v>
      </c>
      <c r="Q26" s="624"/>
      <c r="R26" s="625"/>
      <c r="S26" s="561" t="s">
        <v>1224</v>
      </c>
      <c r="T26" s="560"/>
      <c r="U26" s="560"/>
      <c r="V26" s="559"/>
      <c r="W26" s="561" t="s">
        <v>981</v>
      </c>
      <c r="X26" s="560"/>
      <c r="Y26" s="559"/>
      <c r="Z26" s="561" t="s">
        <v>982</v>
      </c>
      <c r="AA26" s="560"/>
      <c r="AB26" s="560"/>
      <c r="AC26" s="560"/>
      <c r="AD26" s="560"/>
      <c r="AE26" s="559"/>
      <c r="AF26" s="561" t="s">
        <v>1542</v>
      </c>
      <c r="AG26" s="559"/>
      <c r="AH26" s="561" t="s">
        <v>1541</v>
      </c>
      <c r="AI26" s="560"/>
      <c r="AJ26" s="560"/>
      <c r="AK26" s="559"/>
      <c r="AL26" s="1227"/>
      <c r="AM26" s="1229"/>
    </row>
    <row r="27" spans="4:63" ht="18.95" customHeight="1">
      <c r="K27" s="562" t="s">
        <v>979</v>
      </c>
      <c r="L27" s="595" t="s">
        <v>646</v>
      </c>
      <c r="M27" s="594"/>
      <c r="N27" s="594"/>
      <c r="O27" s="593"/>
      <c r="P27" s="595" t="s">
        <v>518</v>
      </c>
      <c r="Q27" s="594"/>
      <c r="R27" s="594"/>
      <c r="S27" s="1242" t="s">
        <v>539</v>
      </c>
      <c r="T27" s="1243"/>
      <c r="U27" s="1243"/>
      <c r="V27" s="1244"/>
      <c r="W27" s="590" t="s">
        <v>955</v>
      </c>
      <c r="X27" s="589"/>
      <c r="Y27" s="588"/>
      <c r="Z27" s="587" t="s">
        <v>956</v>
      </c>
      <c r="AA27" s="589"/>
      <c r="AB27" s="589"/>
      <c r="AC27" s="589"/>
      <c r="AD27" s="589"/>
      <c r="AE27" s="588"/>
      <c r="AF27" s="1012" t="s">
        <v>1539</v>
      </c>
      <c r="AG27" s="588"/>
      <c r="AH27" s="1242" t="s">
        <v>941</v>
      </c>
      <c r="AI27" s="1243"/>
      <c r="AJ27" s="1243"/>
      <c r="AK27" s="1244"/>
      <c r="AL27" s="806">
        <v>29</v>
      </c>
      <c r="AM27" s="588"/>
    </row>
    <row r="28" spans="4:63" ht="18.95" customHeight="1">
      <c r="K28" s="562"/>
      <c r="L28" s="595"/>
      <c r="M28" s="594"/>
      <c r="N28" s="594"/>
      <c r="O28" s="593"/>
      <c r="P28" s="595"/>
      <c r="Q28" s="594"/>
      <c r="R28" s="594"/>
      <c r="S28" s="1242"/>
      <c r="T28" s="1243"/>
      <c r="U28" s="1243"/>
      <c r="V28" s="1244"/>
      <c r="W28" s="590"/>
      <c r="X28" s="589"/>
      <c r="Y28" s="588"/>
      <c r="Z28" s="587"/>
      <c r="AA28" s="589"/>
      <c r="AB28" s="589"/>
      <c r="AC28" s="589"/>
      <c r="AD28" s="589"/>
      <c r="AE28" s="588"/>
      <c r="AF28" s="1012"/>
      <c r="AG28" s="588"/>
      <c r="AH28" s="1242"/>
      <c r="AI28" s="1243"/>
      <c r="AJ28" s="1243"/>
      <c r="AK28" s="1244"/>
      <c r="AL28" s="860">
        <v>30</v>
      </c>
      <c r="AM28" s="653"/>
    </row>
    <row r="29" spans="4:63" ht="18.95" customHeight="1">
      <c r="K29" s="562"/>
      <c r="L29" s="595"/>
      <c r="M29" s="594"/>
      <c r="N29" s="594"/>
      <c r="O29" s="593"/>
      <c r="P29" s="595"/>
      <c r="Q29" s="594"/>
      <c r="R29" s="594"/>
      <c r="S29" s="1242"/>
      <c r="T29" s="1243"/>
      <c r="U29" s="1243"/>
      <c r="V29" s="1244"/>
      <c r="W29" s="590"/>
      <c r="X29" s="589"/>
      <c r="Y29" s="588"/>
      <c r="Z29" s="587"/>
      <c r="AA29" s="589"/>
      <c r="AB29" s="589"/>
      <c r="AC29" s="589"/>
      <c r="AD29" s="589"/>
      <c r="AE29" s="588"/>
      <c r="AF29" s="1012"/>
      <c r="AG29" s="588"/>
      <c r="AH29" s="1242"/>
      <c r="AI29" s="1243"/>
      <c r="AJ29" s="1243"/>
      <c r="AK29" s="1244"/>
      <c r="AL29" s="863">
        <v>35</v>
      </c>
      <c r="AM29" s="667"/>
    </row>
  </sheetData>
  <mergeCells count="11">
    <mergeCell ref="S28:V28"/>
    <mergeCell ref="S29:V29"/>
    <mergeCell ref="AH27:AK27"/>
    <mergeCell ref="AH28:AK28"/>
    <mergeCell ref="AH29:AK29"/>
    <mergeCell ref="N22:Q22"/>
    <mergeCell ref="AL22:AO22"/>
    <mergeCell ref="S27:V27"/>
    <mergeCell ref="L25:O26"/>
    <mergeCell ref="K25:K26"/>
    <mergeCell ref="AL25:AM26"/>
  </mergeCells>
  <phoneticPr fontId="2" type="noConversion"/>
  <pageMargins left="0.7" right="0.7" top="0.75" bottom="0.75" header="0.3" footer="0.3"/>
  <pageSetup paperSize="9" scale="5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D2:DX119"/>
  <sheetViews>
    <sheetView showGridLines="0" topLeftCell="A66" zoomScaleNormal="100" workbookViewId="0">
      <selection activeCell="BK75" sqref="BK75"/>
    </sheetView>
  </sheetViews>
  <sheetFormatPr defaultColWidth="3.7109375" defaultRowHeight="18.95" customHeight="1"/>
  <cols>
    <col min="2" max="4" width="3.7109375" customWidth="1"/>
    <col min="31" max="44" width="3.7109375" customWidth="1"/>
    <col min="47" max="47" width="3.7109375" customWidth="1"/>
  </cols>
  <sheetData>
    <row r="2" spans="4:55" ht="27.75" customHeight="1">
      <c r="E2" s="353" t="s">
        <v>931</v>
      </c>
    </row>
    <row r="4" spans="4:55" s="509" customFormat="1" ht="18.95" customHeight="1">
      <c r="D4" s="528"/>
      <c r="E4" s="528"/>
      <c r="F4" s="529" t="s">
        <v>932</v>
      </c>
    </row>
    <row r="6" spans="4:55" ht="18.95" customHeight="1">
      <c r="G6" s="530" t="s">
        <v>1415</v>
      </c>
      <c r="H6" s="509"/>
      <c r="I6" s="509"/>
      <c r="J6" s="509"/>
      <c r="K6" s="509"/>
      <c r="L6" s="509"/>
      <c r="M6" s="509"/>
      <c r="N6" s="531" t="s">
        <v>819</v>
      </c>
      <c r="O6" s="531"/>
      <c r="P6" s="532" t="s">
        <v>1416</v>
      </c>
      <c r="Q6" s="533"/>
      <c r="R6" s="533"/>
      <c r="S6" s="533"/>
      <c r="T6" s="533"/>
      <c r="U6" s="533"/>
      <c r="V6" s="533"/>
      <c r="W6" s="525"/>
      <c r="X6" s="525"/>
      <c r="Y6" s="525"/>
      <c r="Z6" s="525"/>
      <c r="AA6" s="525"/>
      <c r="AB6" s="525"/>
      <c r="AC6" s="509"/>
      <c r="AE6" s="165"/>
      <c r="AF6" s="491" t="s">
        <v>695</v>
      </c>
      <c r="AG6" s="165" t="s">
        <v>848</v>
      </c>
      <c r="AH6" s="165"/>
      <c r="AI6" s="165"/>
      <c r="AJ6" s="165"/>
      <c r="AK6" s="165"/>
      <c r="AL6" s="165"/>
      <c r="AM6" s="165"/>
      <c r="AN6" s="165"/>
      <c r="AR6" s="493" t="s">
        <v>837</v>
      </c>
      <c r="AS6" s="493"/>
      <c r="AT6" s="494" t="s">
        <v>833</v>
      </c>
      <c r="AU6" s="495"/>
      <c r="AV6" s="495"/>
      <c r="AW6" s="495"/>
      <c r="AX6" s="495"/>
      <c r="AY6" s="495"/>
      <c r="AZ6" s="495"/>
      <c r="BA6" s="495"/>
      <c r="BB6" s="495"/>
      <c r="BC6" s="495"/>
    </row>
    <row r="7" spans="4:55" ht="18.95" customHeight="1">
      <c r="G7" s="530"/>
      <c r="H7" s="509"/>
      <c r="I7" s="509"/>
      <c r="J7" s="509"/>
      <c r="K7" s="509"/>
      <c r="L7" s="509"/>
      <c r="M7" s="509"/>
      <c r="N7" s="531" t="s">
        <v>1417</v>
      </c>
      <c r="O7" s="531"/>
      <c r="P7" s="532" t="s">
        <v>1494</v>
      </c>
      <c r="Q7" s="533"/>
      <c r="R7" s="533"/>
      <c r="S7" s="533"/>
      <c r="T7" s="533"/>
      <c r="U7" s="533"/>
      <c r="V7" s="533"/>
      <c r="W7" s="525"/>
      <c r="X7" s="525"/>
      <c r="Y7" s="525"/>
      <c r="Z7" s="525"/>
      <c r="AA7" s="525"/>
      <c r="AB7" s="525"/>
      <c r="AC7" s="509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</row>
    <row r="8" spans="4:55" ht="18.95" customHeight="1">
      <c r="N8" s="531"/>
      <c r="O8" s="531"/>
      <c r="P8" s="922"/>
      <c r="Q8" s="531"/>
      <c r="R8" s="531"/>
      <c r="S8" s="533"/>
      <c r="T8" s="533"/>
      <c r="U8" s="533"/>
      <c r="V8" s="533"/>
      <c r="W8" s="525"/>
      <c r="X8" s="525"/>
      <c r="Y8" s="525"/>
      <c r="Z8" s="525"/>
      <c r="AA8" s="525"/>
      <c r="AB8" s="525"/>
      <c r="AE8" s="165"/>
      <c r="AF8" s="491" t="s">
        <v>695</v>
      </c>
      <c r="AG8" s="165" t="s">
        <v>821</v>
      </c>
      <c r="AH8" s="165"/>
      <c r="AI8" s="165"/>
      <c r="AJ8" s="165"/>
      <c r="AK8" s="165"/>
      <c r="AL8" s="165"/>
      <c r="AM8" s="165"/>
      <c r="AN8" s="165"/>
      <c r="AR8" s="78"/>
      <c r="AS8" s="489" t="s">
        <v>838</v>
      </c>
      <c r="AT8" s="489"/>
      <c r="AU8" s="92" t="s">
        <v>921</v>
      </c>
      <c r="AV8" s="92"/>
      <c r="AW8" s="92"/>
      <c r="AX8" s="92"/>
      <c r="AY8" s="92"/>
      <c r="AZ8" s="92"/>
      <c r="BA8" s="92"/>
      <c r="BB8" s="92"/>
      <c r="BC8" s="92"/>
    </row>
    <row r="9" spans="4:55" ht="18.95" customHeight="1">
      <c r="G9" s="530"/>
      <c r="H9" s="509"/>
      <c r="I9" s="509"/>
      <c r="J9" s="509"/>
      <c r="K9" s="509"/>
      <c r="L9" s="509"/>
      <c r="M9" s="509"/>
      <c r="N9" s="531"/>
      <c r="O9" s="531"/>
      <c r="P9" s="922"/>
      <c r="Q9" s="533"/>
      <c r="R9" s="533"/>
      <c r="S9" s="533"/>
      <c r="T9" s="533"/>
      <c r="U9" s="533"/>
      <c r="V9" s="533"/>
      <c r="W9" s="525"/>
      <c r="X9" s="525"/>
      <c r="Y9" s="525"/>
      <c r="Z9" s="525"/>
      <c r="AA9" s="525"/>
      <c r="AB9" s="525"/>
      <c r="AC9" s="509"/>
      <c r="AE9" s="165"/>
      <c r="AF9" s="491" t="s">
        <v>695</v>
      </c>
      <c r="AG9" s="165" t="s">
        <v>823</v>
      </c>
      <c r="AH9" s="165"/>
      <c r="AI9" s="165"/>
      <c r="AJ9" s="165"/>
      <c r="AK9" s="165"/>
      <c r="AL9" s="165"/>
      <c r="AM9" s="165"/>
      <c r="AN9" s="165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</row>
    <row r="10" spans="4:55" ht="18.95" customHeight="1">
      <c r="G10" s="530"/>
      <c r="H10" s="509"/>
      <c r="I10" s="509"/>
      <c r="J10" s="509"/>
      <c r="K10" s="509"/>
      <c r="L10" s="509"/>
      <c r="M10" s="509"/>
      <c r="N10" s="531"/>
      <c r="O10" s="531"/>
      <c r="P10" s="922" t="s">
        <v>1419</v>
      </c>
      <c r="Q10" s="533"/>
      <c r="R10" s="533"/>
      <c r="S10" s="533"/>
      <c r="T10" s="533"/>
      <c r="U10" s="533"/>
      <c r="V10" s="533"/>
      <c r="W10" s="525"/>
      <c r="X10" s="525"/>
      <c r="Y10" s="525"/>
      <c r="Z10" s="525"/>
      <c r="AA10" s="525"/>
      <c r="AB10" s="525"/>
      <c r="AC10" s="509"/>
      <c r="AE10" s="165"/>
      <c r="AF10" s="491" t="s">
        <v>695</v>
      </c>
      <c r="AG10" s="165" t="s">
        <v>825</v>
      </c>
      <c r="AH10" s="165"/>
      <c r="AI10" s="165"/>
      <c r="AJ10" s="165"/>
      <c r="AK10" s="165"/>
      <c r="AL10" s="165"/>
      <c r="AM10" s="165"/>
      <c r="AN10" s="165"/>
      <c r="AR10" s="78"/>
      <c r="AS10" s="165"/>
      <c r="AT10" s="491" t="s">
        <v>695</v>
      </c>
      <c r="AU10" s="165" t="s">
        <v>922</v>
      </c>
      <c r="AV10" s="165"/>
      <c r="AW10" s="165"/>
      <c r="AX10" s="165"/>
      <c r="AY10" s="165"/>
      <c r="AZ10" s="165"/>
      <c r="BA10" s="165"/>
      <c r="BB10" s="165"/>
      <c r="BC10" s="165"/>
    </row>
    <row r="11" spans="4:55" ht="18.95" customHeight="1">
      <c r="G11" s="530"/>
      <c r="H11" s="509"/>
      <c r="I11" s="509"/>
      <c r="J11" s="509"/>
      <c r="K11" s="509"/>
      <c r="L11" s="509"/>
      <c r="M11" s="509"/>
      <c r="N11" s="531"/>
      <c r="O11" s="531"/>
      <c r="P11" s="922" t="s">
        <v>1420</v>
      </c>
      <c r="Q11" s="533"/>
      <c r="R11" s="533"/>
      <c r="S11" s="533"/>
      <c r="T11" s="533"/>
      <c r="U11" s="533"/>
      <c r="V11" s="533"/>
      <c r="W11" s="525"/>
      <c r="X11" s="525"/>
      <c r="Y11" s="525"/>
      <c r="Z11" s="525"/>
      <c r="AA11" s="525"/>
      <c r="AB11" s="525"/>
      <c r="AC11" s="509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</row>
    <row r="12" spans="4:55" ht="18.95" customHeight="1">
      <c r="G12" s="530"/>
      <c r="H12" s="509"/>
      <c r="I12" s="509"/>
      <c r="J12" s="509"/>
      <c r="K12" s="509"/>
      <c r="L12" s="509"/>
      <c r="M12" s="509"/>
      <c r="N12" s="531"/>
      <c r="O12" s="531"/>
      <c r="P12" s="922" t="s">
        <v>1421</v>
      </c>
      <c r="Q12" s="533"/>
      <c r="R12" s="533"/>
      <c r="S12" s="533"/>
      <c r="T12" s="533"/>
      <c r="U12" s="533"/>
      <c r="V12" s="533"/>
      <c r="W12" s="525"/>
      <c r="X12" s="525"/>
      <c r="Y12" s="525"/>
      <c r="Z12" s="525"/>
      <c r="AA12" s="525"/>
      <c r="AB12" s="525"/>
      <c r="AC12" s="509"/>
      <c r="AE12" s="165"/>
      <c r="AF12" s="491" t="s">
        <v>695</v>
      </c>
      <c r="AG12" s="165" t="s">
        <v>828</v>
      </c>
      <c r="AH12" s="165"/>
      <c r="AI12" s="165"/>
      <c r="AJ12" s="165"/>
      <c r="AK12" s="165"/>
      <c r="AL12" s="165"/>
      <c r="AM12" s="165"/>
      <c r="AN12" s="165"/>
      <c r="AR12" s="493" t="s">
        <v>842</v>
      </c>
      <c r="AS12" s="493"/>
      <c r="AT12" s="494" t="s">
        <v>888</v>
      </c>
      <c r="AU12" s="495"/>
      <c r="AV12" s="495"/>
      <c r="AW12" s="495"/>
      <c r="AX12" s="495"/>
      <c r="AY12" s="495"/>
      <c r="AZ12" s="495"/>
      <c r="BA12" s="495"/>
      <c r="BB12" s="495"/>
      <c r="BC12" s="495"/>
    </row>
    <row r="13" spans="4:55" ht="9.9499999999999993" customHeight="1"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</row>
    <row r="14" spans="4:55" ht="18.95" customHeight="1">
      <c r="N14" s="526" t="s">
        <v>695</v>
      </c>
      <c r="O14" s="527" t="s">
        <v>1422</v>
      </c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7"/>
      <c r="AB14" s="527"/>
      <c r="AR14" s="78"/>
      <c r="AS14" s="489" t="s">
        <v>843</v>
      </c>
      <c r="AT14" s="489"/>
      <c r="AU14" s="92" t="s">
        <v>890</v>
      </c>
      <c r="AV14" s="92"/>
      <c r="AW14" s="92"/>
      <c r="AX14" s="92"/>
      <c r="AY14" s="92"/>
      <c r="AZ14" s="92"/>
      <c r="BA14" s="92"/>
      <c r="BB14" s="92"/>
      <c r="BC14" s="92"/>
    </row>
    <row r="15" spans="4:55" ht="18.95" customHeight="1">
      <c r="N15" s="526" t="s">
        <v>695</v>
      </c>
      <c r="O15" s="527" t="s">
        <v>1423</v>
      </c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7"/>
      <c r="AB15" s="527"/>
      <c r="AR15" s="78"/>
      <c r="AS15" s="489" t="s">
        <v>844</v>
      </c>
      <c r="AT15" s="489"/>
      <c r="AU15" s="92" t="s">
        <v>891</v>
      </c>
      <c r="AV15" s="92"/>
      <c r="AW15" s="92"/>
      <c r="AX15" s="92"/>
      <c r="AY15" s="92"/>
      <c r="AZ15" s="92"/>
      <c r="BA15" s="92"/>
      <c r="BB15" s="92"/>
      <c r="BC15" s="92"/>
    </row>
    <row r="16" spans="4:55" ht="9.9499999999999993" customHeight="1"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</row>
    <row r="17" spans="4:63" ht="18.95" customHeight="1">
      <c r="AR17" s="78"/>
      <c r="AS17" s="165"/>
      <c r="AT17" s="491" t="s">
        <v>695</v>
      </c>
      <c r="AU17" s="165" t="s">
        <v>892</v>
      </c>
      <c r="AV17" s="165"/>
      <c r="AW17" s="165"/>
      <c r="AX17" s="165"/>
      <c r="AY17" s="165"/>
      <c r="AZ17" s="165"/>
      <c r="BA17" s="165"/>
      <c r="BB17" s="165"/>
      <c r="BC17" s="165"/>
    </row>
    <row r="18" spans="4:63" ht="18.95" customHeight="1"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</row>
    <row r="19" spans="4:63" ht="18.95" customHeight="1">
      <c r="AR19" s="489" t="s">
        <v>846</v>
      </c>
      <c r="AS19" s="489"/>
      <c r="AT19" s="92" t="s">
        <v>897</v>
      </c>
      <c r="AU19" s="92"/>
      <c r="AV19" s="92"/>
      <c r="AW19" s="92"/>
      <c r="AX19" s="92"/>
      <c r="AY19" s="92"/>
      <c r="AZ19" s="92"/>
      <c r="BA19" s="92"/>
      <c r="BB19" s="92"/>
      <c r="BC19" s="92"/>
    </row>
    <row r="21" spans="4:63" ht="20.100000000000001" customHeight="1"/>
    <row r="23" spans="4:63" ht="18.95" customHeight="1">
      <c r="H23" s="601" t="s">
        <v>1424</v>
      </c>
      <c r="I23" s="540"/>
      <c r="J23" s="530" t="s">
        <v>1425</v>
      </c>
    </row>
    <row r="25" spans="4:63" s="509" customFormat="1" ht="5.0999999999999996" customHeight="1">
      <c r="D25" s="528"/>
      <c r="E25" s="528"/>
      <c r="F25"/>
      <c r="G25"/>
      <c r="H25"/>
      <c r="I25"/>
      <c r="J25"/>
      <c r="K25" s="613"/>
      <c r="L25" s="612"/>
      <c r="M25" s="612"/>
      <c r="N25" s="612"/>
      <c r="O25" s="612"/>
      <c r="P25" s="612"/>
      <c r="Q25" s="612"/>
      <c r="R25" s="611"/>
      <c r="S25"/>
      <c r="T25"/>
      <c r="U25"/>
      <c r="V25"/>
      <c r="W25"/>
      <c r="X25"/>
      <c r="Y25"/>
      <c r="Z25"/>
      <c r="AA25"/>
      <c r="AB25"/>
      <c r="AC25" s="617"/>
      <c r="AD25" s="617"/>
      <c r="AE25" s="617"/>
      <c r="AF25" s="617"/>
      <c r="AG25" s="617"/>
      <c r="AH25" s="617"/>
      <c r="AI25" s="617"/>
      <c r="AJ25" s="617"/>
      <c r="AK25" s="617"/>
      <c r="AL25" s="617"/>
      <c r="AM25" s="617"/>
      <c r="AN25" s="617"/>
      <c r="AO25" s="617"/>
      <c r="AP25" s="617"/>
      <c r="AQ25" s="617"/>
      <c r="AR25" s="617"/>
      <c r="AS25" s="617"/>
      <c r="AT25" s="617"/>
      <c r="AU25" s="617"/>
      <c r="AV25" s="617"/>
      <c r="AW25" s="617"/>
      <c r="AX25" s="617"/>
      <c r="AY25" s="617"/>
      <c r="AZ25" s="617"/>
      <c r="BA25" s="617"/>
      <c r="BB25" s="617"/>
      <c r="BC25" s="617"/>
      <c r="BD25" s="617"/>
      <c r="BE25" s="617"/>
      <c r="BF25" s="617"/>
      <c r="BG25" s="617"/>
      <c r="BH25" s="617"/>
      <c r="BI25" s="617"/>
    </row>
    <row r="26" spans="4:63" s="509" customFormat="1" ht="18.95" customHeight="1">
      <c r="D26" s="528"/>
      <c r="E26" s="528"/>
      <c r="F26"/>
      <c r="G26"/>
      <c r="H26"/>
      <c r="I26"/>
      <c r="J26"/>
      <c r="K26" s="610" t="s">
        <v>1426</v>
      </c>
      <c r="L26" s="175"/>
      <c r="M26" s="175"/>
      <c r="N26" s="175"/>
      <c r="O26" s="175"/>
      <c r="P26" s="175"/>
      <c r="Q26" s="175"/>
      <c r="R26" s="609"/>
      <c r="S26" s="608" t="s">
        <v>1427</v>
      </c>
      <c r="T26" s="607"/>
      <c r="U26" s="607"/>
      <c r="V26" s="607"/>
      <c r="W26" s="607"/>
      <c r="X26" s="607"/>
      <c r="Y26" s="607"/>
      <c r="Z26" s="606"/>
      <c r="AG26" s="617"/>
      <c r="AH26" s="617"/>
      <c r="AI26" s="617"/>
      <c r="AJ26" s="617"/>
      <c r="AK26" s="617"/>
      <c r="AL26" s="617"/>
      <c r="AM26" s="617"/>
      <c r="AN26" s="617"/>
      <c r="AO26" s="617"/>
      <c r="AS26" s="617"/>
      <c r="AT26" s="617"/>
      <c r="AU26" s="617"/>
      <c r="AV26" s="617"/>
      <c r="AW26" s="617"/>
      <c r="BA26" s="617"/>
      <c r="BB26" s="617"/>
      <c r="BC26" s="617"/>
      <c r="BD26" s="617"/>
      <c r="BE26" s="617"/>
      <c r="BF26" s="617"/>
      <c r="BG26" s="617"/>
    </row>
    <row r="27" spans="4:63" s="509" customFormat="1" ht="9.9499999999999993" customHeight="1">
      <c r="D27" s="528"/>
      <c r="E27" s="528"/>
      <c r="F27"/>
      <c r="G27"/>
      <c r="H27"/>
      <c r="I27"/>
      <c r="J27" s="605"/>
      <c r="K27"/>
      <c r="L27"/>
      <c r="M27"/>
      <c r="N27"/>
      <c r="O27"/>
      <c r="P27"/>
      <c r="Q27"/>
      <c r="R27"/>
      <c r="S27" s="604"/>
      <c r="T27" s="604"/>
      <c r="U27" s="604"/>
      <c r="V27" s="604"/>
      <c r="W27" s="604"/>
      <c r="X27" s="604"/>
      <c r="Y27" s="604"/>
      <c r="Z27" s="604"/>
      <c r="AA27" s="604"/>
      <c r="AB27" s="604"/>
      <c r="AC27" s="603"/>
      <c r="AD27" s="603"/>
      <c r="AE27" s="603"/>
      <c r="AF27" s="603"/>
      <c r="AG27" s="603"/>
      <c r="AH27" s="603"/>
      <c r="AI27" s="603"/>
      <c r="AJ27" s="603"/>
      <c r="AK27" s="603"/>
      <c r="AL27" s="603"/>
      <c r="AM27" s="603"/>
      <c r="AN27" s="603"/>
      <c r="AO27" s="603"/>
      <c r="AP27" s="603"/>
      <c r="AQ27" s="603"/>
      <c r="AR27" s="603"/>
      <c r="AS27" s="603"/>
      <c r="AT27" s="603"/>
      <c r="AU27" s="603"/>
      <c r="AV27" s="603"/>
      <c r="AW27" s="603"/>
      <c r="AX27" s="603"/>
      <c r="AY27" s="603"/>
      <c r="AZ27" s="603"/>
      <c r="BA27" s="603"/>
      <c r="BB27" s="603"/>
      <c r="BC27" s="603"/>
      <c r="BD27" s="603"/>
      <c r="BE27" s="603"/>
      <c r="BF27" s="603"/>
      <c r="BG27" s="603"/>
      <c r="BH27" s="603"/>
      <c r="BI27" s="603"/>
      <c r="BJ27" s="603"/>
      <c r="BK27" s="602"/>
    </row>
    <row r="28" spans="4:63" ht="20.100000000000001" customHeight="1">
      <c r="J28" s="619"/>
      <c r="BK28" s="573"/>
    </row>
    <row r="29" spans="4:63" ht="20.100000000000001" customHeight="1">
      <c r="J29" s="619"/>
      <c r="BK29" s="573"/>
    </row>
    <row r="30" spans="4:63" ht="20.100000000000001" customHeight="1">
      <c r="J30" s="619"/>
      <c r="BK30" s="573"/>
    </row>
    <row r="31" spans="4:63" ht="20.100000000000001" customHeight="1">
      <c r="J31" s="619"/>
      <c r="BK31" s="573"/>
    </row>
    <row r="32" spans="4:63" ht="20.100000000000001" customHeight="1">
      <c r="J32" s="619"/>
      <c r="BK32" s="573"/>
    </row>
    <row r="33" spans="4:63" ht="20.100000000000001" customHeight="1">
      <c r="J33" s="619"/>
      <c r="BK33" s="573"/>
    </row>
    <row r="34" spans="4:63" ht="20.100000000000001" customHeight="1">
      <c r="J34" s="619"/>
      <c r="BK34" s="573"/>
    </row>
    <row r="35" spans="4:63" ht="20.100000000000001" customHeight="1">
      <c r="J35" s="619"/>
      <c r="BK35" s="573"/>
    </row>
    <row r="36" spans="4:63" ht="20.100000000000001" customHeight="1">
      <c r="J36" s="619"/>
      <c r="BK36" s="573"/>
    </row>
    <row r="37" spans="4:63" ht="20.100000000000001" customHeight="1">
      <c r="J37" s="619"/>
      <c r="BK37" s="573"/>
    </row>
    <row r="38" spans="4:63" ht="20.100000000000001" customHeight="1">
      <c r="J38" s="619"/>
      <c r="BK38" s="573"/>
    </row>
    <row r="39" spans="4:63" ht="20.100000000000001" customHeight="1">
      <c r="J39" s="572"/>
      <c r="K39" s="571"/>
      <c r="L39" s="571"/>
      <c r="M39" s="571"/>
      <c r="N39" s="571"/>
      <c r="O39" s="571"/>
      <c r="P39" s="571"/>
      <c r="Q39" s="571"/>
      <c r="R39" s="571"/>
      <c r="S39" s="571"/>
      <c r="T39" s="571"/>
      <c r="U39" s="571"/>
      <c r="V39" s="571"/>
      <c r="W39" s="571"/>
      <c r="X39" s="571"/>
      <c r="Y39" s="571"/>
      <c r="Z39" s="571"/>
      <c r="AA39" s="571"/>
      <c r="AB39" s="571"/>
      <c r="AC39" s="571"/>
      <c r="AD39" s="571"/>
      <c r="AE39" s="571"/>
      <c r="AF39" s="571"/>
      <c r="AG39" s="571"/>
      <c r="AH39" s="571"/>
      <c r="AI39" s="571"/>
      <c r="AJ39" s="571"/>
      <c r="AK39" s="571"/>
      <c r="AL39" s="571"/>
      <c r="AM39" s="571"/>
      <c r="AN39" s="571"/>
      <c r="AO39" s="571"/>
      <c r="AP39" s="571"/>
      <c r="AQ39" s="571"/>
      <c r="AR39" s="571"/>
      <c r="AS39" s="571"/>
      <c r="AT39" s="571"/>
      <c r="AU39" s="571"/>
      <c r="AV39" s="571"/>
      <c r="AW39" s="571"/>
      <c r="AX39" s="571"/>
      <c r="AY39" s="571"/>
      <c r="AZ39" s="571"/>
      <c r="BA39" s="571"/>
      <c r="BB39" s="571"/>
      <c r="BC39" s="571"/>
      <c r="BD39" s="571"/>
      <c r="BE39" s="571"/>
      <c r="BF39" s="571"/>
      <c r="BG39" s="571"/>
      <c r="BH39" s="571"/>
      <c r="BI39" s="571"/>
      <c r="BJ39" s="571"/>
      <c r="BK39" s="570"/>
    </row>
    <row r="40" spans="4:63" ht="20.100000000000001" customHeight="1"/>
    <row r="41" spans="4:63" ht="20.100000000000001" customHeight="1"/>
    <row r="42" spans="4:63" ht="20.100000000000001" customHeight="1"/>
    <row r="43" spans="4:63" ht="18.95" customHeight="1">
      <c r="H43" s="601" t="s">
        <v>1428</v>
      </c>
      <c r="I43" s="540"/>
      <c r="J43" s="530" t="s">
        <v>1493</v>
      </c>
    </row>
    <row r="45" spans="4:63" s="509" customFormat="1" ht="5.0999999999999996" customHeight="1">
      <c r="D45" s="528"/>
      <c r="E45" s="528"/>
      <c r="F45"/>
      <c r="G45"/>
      <c r="H45"/>
      <c r="I45"/>
      <c r="J45"/>
      <c r="K45" s="613"/>
      <c r="L45" s="612"/>
      <c r="M45" s="612"/>
      <c r="N45" s="612"/>
      <c r="O45" s="612"/>
      <c r="P45" s="612"/>
      <c r="Q45" s="612"/>
      <c r="R45" s="611"/>
      <c r="S45"/>
      <c r="T45"/>
      <c r="U45"/>
      <c r="V45"/>
      <c r="W45"/>
      <c r="X45"/>
      <c r="Y45"/>
      <c r="Z45"/>
      <c r="AA45"/>
      <c r="AB45"/>
      <c r="AC45" s="617"/>
      <c r="AD45" s="617"/>
      <c r="AE45" s="617"/>
      <c r="AF45" s="617"/>
      <c r="AG45" s="617"/>
      <c r="AH45" s="617"/>
      <c r="AI45" s="617"/>
      <c r="AJ45" s="617"/>
      <c r="AK45" s="617"/>
      <c r="AL45" s="617"/>
      <c r="AM45" s="617"/>
      <c r="AN45" s="617"/>
      <c r="AO45" s="617"/>
      <c r="AP45" s="617"/>
      <c r="AQ45" s="617"/>
      <c r="AR45" s="617"/>
      <c r="AS45" s="617"/>
      <c r="AT45" s="617"/>
      <c r="AU45" s="617"/>
      <c r="AV45" s="617"/>
      <c r="AW45" s="617"/>
      <c r="AX45" s="617"/>
      <c r="AY45" s="617"/>
      <c r="AZ45" s="617"/>
      <c r="BA45" s="617"/>
      <c r="BB45" s="617"/>
      <c r="BC45" s="617"/>
      <c r="BD45" s="617"/>
      <c r="BE45" s="617"/>
      <c r="BF45" s="617"/>
      <c r="BG45" s="617"/>
      <c r="BH45" s="617"/>
      <c r="BI45" s="617"/>
    </row>
    <row r="46" spans="4:63" s="509" customFormat="1" ht="18.95" customHeight="1">
      <c r="D46" s="528"/>
      <c r="E46" s="528"/>
      <c r="F46"/>
      <c r="G46"/>
      <c r="H46"/>
      <c r="I46"/>
      <c r="J46"/>
      <c r="K46" s="610" t="s">
        <v>1493</v>
      </c>
      <c r="L46" s="175"/>
      <c r="M46" s="175"/>
      <c r="N46" s="175"/>
      <c r="O46" s="175"/>
      <c r="P46" s="175"/>
      <c r="Q46" s="175"/>
      <c r="R46" s="609"/>
      <c r="S46" s="608" t="s">
        <v>1429</v>
      </c>
      <c r="T46" s="607"/>
      <c r="U46" s="607"/>
      <c r="V46" s="607"/>
      <c r="W46" s="607"/>
      <c r="X46" s="607"/>
      <c r="Y46" s="607"/>
      <c r="Z46" s="606"/>
      <c r="AG46" s="617"/>
      <c r="AH46" s="617"/>
      <c r="AI46" s="617"/>
      <c r="AJ46" s="617"/>
      <c r="AK46" s="617"/>
      <c r="AL46" s="617"/>
      <c r="AM46" s="617"/>
      <c r="AN46" s="617"/>
      <c r="AO46" s="617"/>
      <c r="AS46" s="617"/>
      <c r="AT46" s="617"/>
      <c r="AU46" s="617"/>
      <c r="AV46" s="617"/>
      <c r="AW46" s="617"/>
      <c r="BA46" s="617"/>
      <c r="BB46" s="617"/>
    </row>
    <row r="47" spans="4:63" s="509" customFormat="1" ht="9.9499999999999993" customHeight="1">
      <c r="D47" s="528"/>
      <c r="E47" s="528"/>
      <c r="F47"/>
      <c r="G47"/>
      <c r="H47"/>
      <c r="I47"/>
      <c r="J47" s="605"/>
      <c r="K47"/>
      <c r="L47"/>
      <c r="M47"/>
      <c r="N47"/>
      <c r="O47"/>
      <c r="P47"/>
      <c r="Q47"/>
      <c r="R47"/>
      <c r="S47" s="604"/>
      <c r="T47" s="604"/>
      <c r="U47" s="604"/>
      <c r="V47" s="604"/>
      <c r="W47" s="604"/>
      <c r="X47" s="604"/>
      <c r="Y47" s="604"/>
      <c r="Z47" s="604"/>
      <c r="AA47" s="604"/>
      <c r="AB47" s="604"/>
      <c r="AC47" s="603"/>
      <c r="AD47" s="603"/>
      <c r="AE47" s="603"/>
      <c r="AF47" s="603"/>
      <c r="AG47" s="603"/>
      <c r="AH47" s="603"/>
      <c r="AI47" s="603"/>
      <c r="AJ47" s="603"/>
      <c r="AK47" s="603"/>
      <c r="AL47" s="603"/>
      <c r="AM47" s="603"/>
      <c r="AN47" s="603"/>
      <c r="AO47" s="603"/>
      <c r="AP47" s="603"/>
      <c r="AQ47" s="603"/>
      <c r="AR47" s="603"/>
      <c r="AS47" s="603"/>
      <c r="AT47" s="603"/>
      <c r="AU47" s="603"/>
      <c r="AV47" s="603"/>
      <c r="AW47" s="603"/>
      <c r="AX47" s="603"/>
      <c r="AY47" s="603"/>
      <c r="AZ47" s="603"/>
      <c r="BA47" s="603"/>
      <c r="BB47" s="603"/>
      <c r="BC47" s="602"/>
    </row>
    <row r="48" spans="4:63" ht="20.100000000000001" customHeight="1">
      <c r="J48" s="619"/>
      <c r="K48" s="600" t="s">
        <v>943</v>
      </c>
      <c r="L48" s="599"/>
      <c r="M48" s="599"/>
      <c r="N48" s="1292" t="s">
        <v>941</v>
      </c>
      <c r="O48" s="1293"/>
      <c r="P48" s="1293"/>
      <c r="Q48" s="1294"/>
      <c r="R48" s="598" t="s">
        <v>942</v>
      </c>
      <c r="AW48" s="586" t="s">
        <v>1449</v>
      </c>
      <c r="AX48" s="585"/>
      <c r="AY48" s="585"/>
      <c r="AZ48" s="586" t="s">
        <v>1002</v>
      </c>
      <c r="BA48" s="585"/>
      <c r="BB48" s="585"/>
      <c r="BC48" s="573"/>
    </row>
    <row r="49" spans="10:55" ht="9.9499999999999993" customHeight="1">
      <c r="J49" s="619"/>
      <c r="BC49" s="573"/>
    </row>
    <row r="50" spans="10:55" ht="20.100000000000001" customHeight="1">
      <c r="J50" s="619"/>
      <c r="K50" s="600" t="s">
        <v>1433</v>
      </c>
      <c r="L50" s="599"/>
      <c r="M50" s="599"/>
      <c r="N50" s="540"/>
      <c r="O50" s="1343" t="s">
        <v>1430</v>
      </c>
      <c r="P50" s="1344"/>
      <c r="Q50" s="1344"/>
      <c r="R50" s="1345"/>
      <c r="S50" s="575" t="s">
        <v>1431</v>
      </c>
      <c r="T50" s="599"/>
      <c r="U50" s="599"/>
      <c r="V50" s="540"/>
      <c r="W50" s="1242" t="s">
        <v>1432</v>
      </c>
      <c r="X50" s="1243"/>
      <c r="Y50" s="1243"/>
      <c r="Z50" s="1244"/>
      <c r="AA50" s="575" t="s">
        <v>1435</v>
      </c>
      <c r="AB50" s="599"/>
      <c r="AC50" s="599"/>
      <c r="AD50" s="1346" t="s">
        <v>1436</v>
      </c>
      <c r="AE50" s="1347"/>
      <c r="AF50" s="1347"/>
      <c r="AG50" s="1347"/>
      <c r="AH50" s="1347"/>
      <c r="AI50" s="1348"/>
      <c r="AJ50" s="575" t="s">
        <v>1437</v>
      </c>
      <c r="AK50" s="599"/>
      <c r="AL50" s="599"/>
      <c r="AM50" s="1346" t="s">
        <v>1438</v>
      </c>
      <c r="AN50" s="1347"/>
      <c r="AO50" s="1347"/>
      <c r="AP50" s="1347"/>
      <c r="AQ50" s="1348"/>
      <c r="BC50" s="573"/>
    </row>
    <row r="51" spans="10:55" ht="20.100000000000001" customHeight="1">
      <c r="J51" s="619"/>
      <c r="BC51" s="573"/>
    </row>
    <row r="52" spans="10:55" ht="20.100000000000001" customHeight="1">
      <c r="J52" s="619"/>
      <c r="K52" s="584" t="s">
        <v>1450</v>
      </c>
      <c r="L52" s="924" t="s">
        <v>1434</v>
      </c>
      <c r="M52" s="599"/>
      <c r="N52" s="540"/>
      <c r="AD52" s="586" t="s">
        <v>1448</v>
      </c>
      <c r="AE52" s="585"/>
      <c r="AF52" s="585"/>
      <c r="AG52" s="586" t="s">
        <v>1060</v>
      </c>
      <c r="AH52" s="585"/>
      <c r="AI52" s="585"/>
      <c r="BC52" s="573"/>
    </row>
    <row r="53" spans="10:55" ht="5.0999999999999996" customHeight="1">
      <c r="J53" s="619"/>
      <c r="K53" s="600"/>
      <c r="L53" s="599"/>
      <c r="M53" s="599"/>
      <c r="N53" s="540"/>
      <c r="BC53" s="573"/>
    </row>
    <row r="54" spans="10:55" ht="20.100000000000001" customHeight="1">
      <c r="J54" s="619"/>
      <c r="K54" s="1349" t="s">
        <v>140</v>
      </c>
      <c r="L54" s="1332" t="s">
        <v>1443</v>
      </c>
      <c r="M54" s="1351"/>
      <c r="N54" s="561" t="s">
        <v>997</v>
      </c>
      <c r="O54" s="560"/>
      <c r="P54" s="560"/>
      <c r="Q54" s="559"/>
      <c r="R54" s="561"/>
      <c r="S54" s="560"/>
      <c r="T54" s="560"/>
      <c r="U54" s="559"/>
      <c r="V54" s="1335" t="s">
        <v>1439</v>
      </c>
      <c r="W54" s="1225"/>
      <c r="X54" s="1225"/>
      <c r="Y54" s="1225"/>
      <c r="Z54" s="1351"/>
      <c r="AA54" s="1335" t="s">
        <v>1440</v>
      </c>
      <c r="AB54" s="1225"/>
      <c r="AC54" s="1225"/>
      <c r="AD54" s="1225"/>
      <c r="AE54" s="1351"/>
      <c r="AF54" s="1332" t="s">
        <v>1484</v>
      </c>
      <c r="AG54" s="1220"/>
      <c r="AH54" s="1220"/>
      <c r="AI54" s="1333"/>
      <c r="AK54" s="537" t="s">
        <v>1610</v>
      </c>
      <c r="BC54" s="573"/>
    </row>
    <row r="55" spans="10:55" ht="20.100000000000001" customHeight="1">
      <c r="J55" s="619"/>
      <c r="K55" s="1291"/>
      <c r="L55" s="1227"/>
      <c r="M55" s="1229"/>
      <c r="N55" s="561" t="s">
        <v>995</v>
      </c>
      <c r="O55" s="560"/>
      <c r="P55" s="560"/>
      <c r="Q55" s="559"/>
      <c r="R55" s="561" t="s">
        <v>996</v>
      </c>
      <c r="S55" s="560"/>
      <c r="T55" s="560"/>
      <c r="U55" s="559"/>
      <c r="V55" s="1227"/>
      <c r="W55" s="1228"/>
      <c r="X55" s="1228"/>
      <c r="Y55" s="1228"/>
      <c r="Z55" s="1229"/>
      <c r="AA55" s="1227"/>
      <c r="AB55" s="1228"/>
      <c r="AC55" s="1228"/>
      <c r="AD55" s="1228"/>
      <c r="AE55" s="1229"/>
      <c r="AF55" s="1222"/>
      <c r="AG55" s="1223"/>
      <c r="AH55" s="1223"/>
      <c r="AI55" s="1224"/>
      <c r="AK55" s="1132" t="s">
        <v>1611</v>
      </c>
      <c r="BC55" s="573"/>
    </row>
    <row r="56" spans="10:55" ht="20.100000000000001" customHeight="1">
      <c r="J56" s="619"/>
      <c r="K56" s="562" t="s">
        <v>944</v>
      </c>
      <c r="L56" s="595" t="s">
        <v>1444</v>
      </c>
      <c r="M56" s="593"/>
      <c r="N56" s="1327">
        <v>44562</v>
      </c>
      <c r="O56" s="1243"/>
      <c r="P56" s="1243"/>
      <c r="Q56" s="1244"/>
      <c r="R56" s="1350" t="s">
        <v>1447</v>
      </c>
      <c r="S56" s="1243"/>
      <c r="T56" s="1243"/>
      <c r="U56" s="1244"/>
      <c r="V56" s="590" t="s">
        <v>1442</v>
      </c>
      <c r="W56" s="594"/>
      <c r="X56" s="594"/>
      <c r="Y56" s="594"/>
      <c r="Z56" s="593"/>
      <c r="AA56" s="590" t="s">
        <v>1441</v>
      </c>
      <c r="AB56" s="594"/>
      <c r="AC56" s="594"/>
      <c r="AD56" s="594"/>
      <c r="AE56" s="593"/>
      <c r="AF56" s="965" t="s">
        <v>1485</v>
      </c>
      <c r="AG56" s="964"/>
      <c r="AH56" s="963" t="s">
        <v>1483</v>
      </c>
      <c r="AI56" s="962"/>
      <c r="BC56" s="573"/>
    </row>
    <row r="57" spans="10:55" ht="20.100000000000001" customHeight="1">
      <c r="J57" s="619"/>
      <c r="K57" s="562" t="s">
        <v>944</v>
      </c>
      <c r="L57" s="595" t="s">
        <v>1445</v>
      </c>
      <c r="M57" s="593"/>
      <c r="N57" s="1327">
        <v>43831</v>
      </c>
      <c r="O57" s="1243"/>
      <c r="P57" s="1243"/>
      <c r="Q57" s="1244"/>
      <c r="R57" s="1327">
        <v>44561</v>
      </c>
      <c r="S57" s="1243"/>
      <c r="T57" s="1243"/>
      <c r="U57" s="1244"/>
      <c r="V57" s="590" t="s">
        <v>1442</v>
      </c>
      <c r="W57" s="594"/>
      <c r="X57" s="594"/>
      <c r="Y57" s="594"/>
      <c r="Z57" s="593"/>
      <c r="AA57" s="590" t="s">
        <v>1441</v>
      </c>
      <c r="AB57" s="594"/>
      <c r="AC57" s="594"/>
      <c r="AD57" s="594"/>
      <c r="AE57" s="593"/>
      <c r="AF57" s="965" t="s">
        <v>1485</v>
      </c>
      <c r="AG57" s="964"/>
      <c r="AH57" s="963" t="s">
        <v>1483</v>
      </c>
      <c r="AI57" s="962"/>
      <c r="BC57" s="573"/>
    </row>
    <row r="58" spans="10:55" ht="20.100000000000001" customHeight="1">
      <c r="J58" s="619"/>
      <c r="AF58" s="537" t="s">
        <v>1486</v>
      </c>
      <c r="AG58" s="537"/>
      <c r="BC58" s="573"/>
    </row>
    <row r="59" spans="10:55" ht="20.100000000000001" customHeight="1">
      <c r="J59" s="619"/>
      <c r="K59" s="584" t="s">
        <v>1450</v>
      </c>
      <c r="L59" s="924" t="s">
        <v>1451</v>
      </c>
      <c r="M59" s="599"/>
      <c r="N59" s="540"/>
      <c r="AW59" s="586" t="s">
        <v>1448</v>
      </c>
      <c r="AX59" s="585"/>
      <c r="AY59" s="585"/>
      <c r="AZ59" s="586" t="s">
        <v>1060</v>
      </c>
      <c r="BA59" s="585"/>
      <c r="BB59" s="585"/>
      <c r="BC59" s="573"/>
    </row>
    <row r="60" spans="10:55" ht="5.0999999999999996" customHeight="1">
      <c r="J60" s="619"/>
      <c r="BC60" s="573"/>
    </row>
    <row r="61" spans="10:55" ht="20.100000000000001" customHeight="1">
      <c r="J61" s="619"/>
      <c r="K61" s="1349" t="s">
        <v>140</v>
      </c>
      <c r="L61" s="1332" t="s">
        <v>1443</v>
      </c>
      <c r="M61" s="1351"/>
      <c r="N61" s="561" t="s">
        <v>1452</v>
      </c>
      <c r="O61" s="560"/>
      <c r="P61" s="560"/>
      <c r="Q61" s="560"/>
      <c r="R61" s="560"/>
      <c r="S61" s="560"/>
      <c r="T61" s="560"/>
      <c r="U61" s="560"/>
      <c r="V61" s="559"/>
      <c r="W61" s="561" t="s">
        <v>1457</v>
      </c>
      <c r="X61" s="560"/>
      <c r="Y61" s="560"/>
      <c r="Z61" s="559"/>
      <c r="AA61" s="561"/>
      <c r="AB61" s="560"/>
      <c r="AC61" s="560"/>
      <c r="AD61" s="559"/>
      <c r="AE61" s="951" t="s">
        <v>1524</v>
      </c>
      <c r="AF61" s="947"/>
      <c r="AG61" s="947"/>
      <c r="AH61" s="947"/>
      <c r="AI61" s="947"/>
      <c r="AJ61" s="950"/>
      <c r="AK61" s="951" t="s">
        <v>615</v>
      </c>
      <c r="AL61" s="947"/>
      <c r="AM61" s="947"/>
      <c r="AN61" s="947"/>
      <c r="AO61" s="947"/>
      <c r="AP61" s="950"/>
      <c r="AQ61" s="558" t="s">
        <v>1461</v>
      </c>
      <c r="AR61" s="579"/>
      <c r="AS61" s="557"/>
      <c r="AT61" s="558"/>
      <c r="AU61" s="579"/>
      <c r="AV61" s="557"/>
      <c r="AW61" s="558"/>
      <c r="AX61" s="579"/>
      <c r="AY61" s="557"/>
      <c r="AZ61" s="937" t="s">
        <v>1465</v>
      </c>
      <c r="BA61" s="938"/>
      <c r="BB61" s="919"/>
      <c r="BC61" s="573"/>
    </row>
    <row r="62" spans="10:55" ht="20.100000000000001" customHeight="1">
      <c r="J62" s="619"/>
      <c r="K62" s="1291"/>
      <c r="L62" s="1227"/>
      <c r="M62" s="1229"/>
      <c r="N62" s="561" t="s">
        <v>981</v>
      </c>
      <c r="O62" s="560"/>
      <c r="P62" s="559"/>
      <c r="Q62" s="561" t="s">
        <v>982</v>
      </c>
      <c r="R62" s="560"/>
      <c r="S62" s="560"/>
      <c r="T62" s="560"/>
      <c r="U62" s="560"/>
      <c r="V62" s="559"/>
      <c r="W62" s="561" t="s">
        <v>995</v>
      </c>
      <c r="X62" s="560"/>
      <c r="Y62" s="560"/>
      <c r="Z62" s="559"/>
      <c r="AA62" s="561" t="s">
        <v>996</v>
      </c>
      <c r="AB62" s="560"/>
      <c r="AC62" s="560"/>
      <c r="AD62" s="559"/>
      <c r="AE62" s="558" t="s">
        <v>1066</v>
      </c>
      <c r="AF62" s="557"/>
      <c r="AG62" s="558" t="s">
        <v>1067</v>
      </c>
      <c r="AH62" s="579"/>
      <c r="AI62" s="579"/>
      <c r="AJ62" s="557"/>
      <c r="AK62" s="558" t="s">
        <v>1066</v>
      </c>
      <c r="AL62" s="557"/>
      <c r="AM62" s="558" t="s">
        <v>1067</v>
      </c>
      <c r="AN62" s="579"/>
      <c r="AO62" s="579"/>
      <c r="AP62" s="557"/>
      <c r="AQ62" s="942" t="s">
        <v>1462</v>
      </c>
      <c r="AR62" s="943"/>
      <c r="AS62" s="944"/>
      <c r="AT62" s="942" t="s">
        <v>1463</v>
      </c>
      <c r="AU62" s="943"/>
      <c r="AV62" s="944"/>
      <c r="AW62" s="942" t="s">
        <v>1464</v>
      </c>
      <c r="AX62" s="943"/>
      <c r="AY62" s="944"/>
      <c r="AZ62" s="939" t="s">
        <v>1466</v>
      </c>
      <c r="BA62" s="940"/>
      <c r="BB62" s="552"/>
      <c r="BC62" s="573"/>
    </row>
    <row r="63" spans="10:55" ht="20.100000000000001" customHeight="1">
      <c r="J63" s="619"/>
      <c r="K63" s="562" t="s">
        <v>944</v>
      </c>
      <c r="L63" s="595" t="s">
        <v>1469</v>
      </c>
      <c r="M63" s="593"/>
      <c r="N63" s="590" t="s">
        <v>1453</v>
      </c>
      <c r="O63" s="589"/>
      <c r="P63" s="588"/>
      <c r="Q63" s="587" t="s">
        <v>1454</v>
      </c>
      <c r="R63" s="589"/>
      <c r="S63" s="589"/>
      <c r="T63" s="589"/>
      <c r="U63" s="589"/>
      <c r="V63" s="588"/>
      <c r="W63" s="1327">
        <v>44593</v>
      </c>
      <c r="X63" s="1243"/>
      <c r="Y63" s="1243"/>
      <c r="Z63" s="1244"/>
      <c r="AA63" s="1331" t="s">
        <v>1460</v>
      </c>
      <c r="AB63" s="1243"/>
      <c r="AC63" s="1243"/>
      <c r="AD63" s="1244"/>
      <c r="AE63" s="595" t="s">
        <v>1525</v>
      </c>
      <c r="AF63" s="588"/>
      <c r="AG63" s="595" t="s">
        <v>646</v>
      </c>
      <c r="AH63" s="594"/>
      <c r="AI63" s="594"/>
      <c r="AJ63" s="593"/>
      <c r="AK63" s="693" t="s">
        <v>15</v>
      </c>
      <c r="AL63" s="694"/>
      <c r="AM63" s="695" t="s">
        <v>15</v>
      </c>
      <c r="AN63" s="695"/>
      <c r="AO63" s="695"/>
      <c r="AP63" s="694"/>
      <c r="AQ63" s="925">
        <v>10</v>
      </c>
      <c r="AR63" s="926"/>
      <c r="AS63" s="927"/>
      <c r="AT63" s="932">
        <v>5</v>
      </c>
      <c r="AU63" s="933"/>
      <c r="AV63" s="934"/>
      <c r="AW63" s="929" t="s">
        <v>15</v>
      </c>
      <c r="AX63" s="930"/>
      <c r="AY63" s="931"/>
      <c r="AZ63" s="925" t="s">
        <v>1467</v>
      </c>
      <c r="BA63" s="941"/>
      <c r="BB63" s="920" t="s">
        <v>942</v>
      </c>
      <c r="BC63" s="573"/>
    </row>
    <row r="64" spans="10:55" ht="20.100000000000001" customHeight="1">
      <c r="J64" s="619"/>
      <c r="K64" s="562" t="s">
        <v>944</v>
      </c>
      <c r="L64" s="595" t="s">
        <v>1458</v>
      </c>
      <c r="M64" s="593"/>
      <c r="N64" s="590" t="s">
        <v>1453</v>
      </c>
      <c r="O64" s="589"/>
      <c r="P64" s="588"/>
      <c r="Q64" s="587" t="s">
        <v>1454</v>
      </c>
      <c r="R64" s="589"/>
      <c r="S64" s="589"/>
      <c r="T64" s="589"/>
      <c r="U64" s="589"/>
      <c r="V64" s="588"/>
      <c r="W64" s="1327">
        <v>44562</v>
      </c>
      <c r="X64" s="1243"/>
      <c r="Y64" s="1243"/>
      <c r="Z64" s="1244"/>
      <c r="AA64" s="1331" t="s">
        <v>1460</v>
      </c>
      <c r="AB64" s="1243"/>
      <c r="AC64" s="1243"/>
      <c r="AD64" s="1244"/>
      <c r="AE64" s="695" t="s">
        <v>15</v>
      </c>
      <c r="AF64" s="695"/>
      <c r="AG64" s="695"/>
      <c r="AH64" s="694"/>
      <c r="AI64" s="695"/>
      <c r="AJ64" s="695"/>
      <c r="AK64" s="595" t="s">
        <v>950</v>
      </c>
      <c r="AL64" s="588"/>
      <c r="AM64" s="595" t="s">
        <v>951</v>
      </c>
      <c r="AN64" s="594"/>
      <c r="AO64" s="594"/>
      <c r="AP64" s="593"/>
      <c r="AQ64" s="925">
        <v>10</v>
      </c>
      <c r="AR64" s="926"/>
      <c r="AS64" s="927"/>
      <c r="AT64" s="932">
        <v>5</v>
      </c>
      <c r="AU64" s="933"/>
      <c r="AV64" s="934"/>
      <c r="AW64" s="929" t="s">
        <v>15</v>
      </c>
      <c r="AX64" s="930"/>
      <c r="AY64" s="931"/>
      <c r="AZ64" s="925" t="s">
        <v>1467</v>
      </c>
      <c r="BA64" s="941"/>
      <c r="BB64" s="855"/>
      <c r="BC64" s="573"/>
    </row>
    <row r="65" spans="10:55" ht="20.100000000000001" customHeight="1">
      <c r="J65" s="619"/>
      <c r="K65" s="562" t="s">
        <v>944</v>
      </c>
      <c r="L65" s="595" t="s">
        <v>1444</v>
      </c>
      <c r="M65" s="593"/>
      <c r="N65" s="590" t="s">
        <v>1455</v>
      </c>
      <c r="O65" s="589"/>
      <c r="P65" s="588"/>
      <c r="Q65" s="587" t="s">
        <v>1456</v>
      </c>
      <c r="R65" s="589"/>
      <c r="S65" s="589"/>
      <c r="T65" s="589"/>
      <c r="U65" s="589"/>
      <c r="V65" s="588"/>
      <c r="W65" s="1327">
        <v>44562</v>
      </c>
      <c r="X65" s="1243"/>
      <c r="Y65" s="1243"/>
      <c r="Z65" s="1244"/>
      <c r="AA65" s="1331" t="s">
        <v>1459</v>
      </c>
      <c r="AB65" s="1243"/>
      <c r="AC65" s="1243"/>
      <c r="AD65" s="1244"/>
      <c r="AE65" s="595" t="s">
        <v>1525</v>
      </c>
      <c r="AF65" s="588"/>
      <c r="AG65" s="595" t="s">
        <v>646</v>
      </c>
      <c r="AH65" s="594"/>
      <c r="AI65" s="594"/>
      <c r="AJ65" s="593"/>
      <c r="AK65" s="693" t="s">
        <v>15</v>
      </c>
      <c r="AL65" s="694"/>
      <c r="AM65" s="695" t="s">
        <v>15</v>
      </c>
      <c r="AN65" s="695"/>
      <c r="AO65" s="695"/>
      <c r="AP65" s="694"/>
      <c r="AQ65" s="929" t="s">
        <v>1609</v>
      </c>
      <c r="AR65" s="930"/>
      <c r="AS65" s="931"/>
      <c r="AT65" s="928">
        <v>7</v>
      </c>
      <c r="AU65" s="926"/>
      <c r="AV65" s="927"/>
      <c r="AW65" s="929" t="s">
        <v>15</v>
      </c>
      <c r="AX65" s="930"/>
      <c r="AY65" s="931"/>
      <c r="AZ65" s="925" t="s">
        <v>1467</v>
      </c>
      <c r="BA65" s="941"/>
      <c r="BB65" s="946"/>
      <c r="BC65" s="573"/>
    </row>
    <row r="66" spans="10:55" ht="20.100000000000001" customHeight="1">
      <c r="J66" s="619"/>
      <c r="K66" s="562" t="s">
        <v>944</v>
      </c>
      <c r="L66" s="595" t="s">
        <v>1445</v>
      </c>
      <c r="M66" s="593"/>
      <c r="N66" s="590" t="s">
        <v>1453</v>
      </c>
      <c r="O66" s="589"/>
      <c r="P66" s="588"/>
      <c r="Q66" s="587" t="s">
        <v>1454</v>
      </c>
      <c r="R66" s="589"/>
      <c r="S66" s="589"/>
      <c r="T66" s="589"/>
      <c r="U66" s="589"/>
      <c r="V66" s="588"/>
      <c r="W66" s="1327">
        <v>43831</v>
      </c>
      <c r="X66" s="1243"/>
      <c r="Y66" s="1243"/>
      <c r="Z66" s="1244"/>
      <c r="AA66" s="1327">
        <v>44561</v>
      </c>
      <c r="AB66" s="1243"/>
      <c r="AC66" s="1243"/>
      <c r="AD66" s="1244"/>
      <c r="AE66" s="595" t="s">
        <v>1525</v>
      </c>
      <c r="AF66" s="588"/>
      <c r="AG66" s="595" t="s">
        <v>646</v>
      </c>
      <c r="AH66" s="594"/>
      <c r="AI66" s="594"/>
      <c r="AJ66" s="593"/>
      <c r="AK66" s="693" t="s">
        <v>15</v>
      </c>
      <c r="AL66" s="694"/>
      <c r="AM66" s="695" t="s">
        <v>15</v>
      </c>
      <c r="AN66" s="695"/>
      <c r="AO66" s="695"/>
      <c r="AP66" s="694"/>
      <c r="AQ66" s="925">
        <v>12</v>
      </c>
      <c r="AR66" s="926"/>
      <c r="AS66" s="927"/>
      <c r="AT66" s="935">
        <v>5</v>
      </c>
      <c r="AU66" s="933"/>
      <c r="AV66" s="934"/>
      <c r="AW66" s="929" t="s">
        <v>15</v>
      </c>
      <c r="AX66" s="930"/>
      <c r="AY66" s="931"/>
      <c r="AZ66" s="925" t="s">
        <v>1467</v>
      </c>
      <c r="BA66" s="941"/>
      <c r="BB66" s="562"/>
      <c r="BC66" s="573"/>
    </row>
    <row r="67" spans="10:55" ht="20.100000000000001" customHeight="1">
      <c r="J67" s="619"/>
      <c r="AQ67" s="945" t="s">
        <v>1468</v>
      </c>
      <c r="BC67" s="573"/>
    </row>
    <row r="68" spans="10:55" ht="20.100000000000001" customHeight="1">
      <c r="J68" s="619"/>
      <c r="K68" s="584" t="s">
        <v>1450</v>
      </c>
      <c r="L68" s="924" t="s">
        <v>1474</v>
      </c>
      <c r="M68" s="599"/>
      <c r="N68" s="540"/>
      <c r="AH68" s="586" t="s">
        <v>1448</v>
      </c>
      <c r="AI68" s="585"/>
      <c r="AJ68" s="585"/>
      <c r="AK68" s="586" t="s">
        <v>1060</v>
      </c>
      <c r="AL68" s="585"/>
      <c r="AM68" s="585"/>
      <c r="AV68" s="945"/>
      <c r="AW68" s="945" t="s">
        <v>1617</v>
      </c>
      <c r="BC68" s="573"/>
    </row>
    <row r="69" spans="10:55" ht="5.0999999999999996" customHeight="1">
      <c r="J69" s="619"/>
      <c r="AV69" s="945"/>
      <c r="BC69" s="573"/>
    </row>
    <row r="70" spans="10:55" ht="20.100000000000001" customHeight="1">
      <c r="J70" s="619"/>
      <c r="K70" s="1349" t="s">
        <v>140</v>
      </c>
      <c r="L70" s="1332" t="s">
        <v>1443</v>
      </c>
      <c r="M70" s="1351"/>
      <c r="N70" s="561" t="s">
        <v>1452</v>
      </c>
      <c r="O70" s="560"/>
      <c r="P70" s="560"/>
      <c r="Q70" s="560"/>
      <c r="R70" s="560"/>
      <c r="S70" s="560"/>
      <c r="T70" s="560"/>
      <c r="U70" s="560"/>
      <c r="V70" s="559"/>
      <c r="W70" s="561" t="s">
        <v>1475</v>
      </c>
      <c r="X70" s="560"/>
      <c r="Y70" s="560"/>
      <c r="Z70" s="559"/>
      <c r="AA70" s="561"/>
      <c r="AB70" s="560"/>
      <c r="AC70" s="560"/>
      <c r="AD70" s="560"/>
      <c r="AE70" s="560"/>
      <c r="AF70" s="560"/>
      <c r="AG70" s="560"/>
      <c r="AH70" s="559"/>
      <c r="AI70" s="1332" t="s">
        <v>1480</v>
      </c>
      <c r="AJ70" s="1220"/>
      <c r="AK70" s="1220"/>
      <c r="AL70" s="1333"/>
      <c r="AM70" s="919"/>
      <c r="AV70" s="945"/>
      <c r="BC70" s="573"/>
    </row>
    <row r="71" spans="10:55" ht="20.100000000000001" customHeight="1">
      <c r="J71" s="619"/>
      <c r="K71" s="1291"/>
      <c r="L71" s="1227"/>
      <c r="M71" s="1229"/>
      <c r="N71" s="561" t="s">
        <v>981</v>
      </c>
      <c r="O71" s="560"/>
      <c r="P71" s="559"/>
      <c r="Q71" s="561" t="s">
        <v>982</v>
      </c>
      <c r="R71" s="560"/>
      <c r="S71" s="560"/>
      <c r="T71" s="560"/>
      <c r="U71" s="560"/>
      <c r="V71" s="559"/>
      <c r="W71" s="561" t="s">
        <v>995</v>
      </c>
      <c r="X71" s="560"/>
      <c r="Y71" s="560"/>
      <c r="Z71" s="559"/>
      <c r="AA71" s="561" t="s">
        <v>996</v>
      </c>
      <c r="AB71" s="560"/>
      <c r="AC71" s="560"/>
      <c r="AD71" s="559"/>
      <c r="AE71" s="936" t="s">
        <v>1477</v>
      </c>
      <c r="AF71" s="624"/>
      <c r="AG71" s="624"/>
      <c r="AH71" s="559"/>
      <c r="AI71" s="1222"/>
      <c r="AJ71" s="1223"/>
      <c r="AK71" s="1223"/>
      <c r="AL71" s="1224"/>
      <c r="AM71" s="552"/>
      <c r="AV71" s="945"/>
      <c r="BC71" s="573"/>
    </row>
    <row r="72" spans="10:55" ht="20.100000000000001" customHeight="1">
      <c r="J72" s="619"/>
      <c r="K72" s="562" t="s">
        <v>944</v>
      </c>
      <c r="L72" s="595" t="s">
        <v>1444</v>
      </c>
      <c r="M72" s="593"/>
      <c r="N72" s="590" t="s">
        <v>1455</v>
      </c>
      <c r="O72" s="589"/>
      <c r="P72" s="588"/>
      <c r="Q72" s="587" t="s">
        <v>1456</v>
      </c>
      <c r="R72" s="589"/>
      <c r="S72" s="589"/>
      <c r="T72" s="589"/>
      <c r="U72" s="589"/>
      <c r="V72" s="588"/>
      <c r="W72" s="1327" t="s">
        <v>1476</v>
      </c>
      <c r="X72" s="1243"/>
      <c r="Y72" s="1243"/>
      <c r="Z72" s="1244"/>
      <c r="AA72" s="1327" t="s">
        <v>1476</v>
      </c>
      <c r="AB72" s="1243"/>
      <c r="AC72" s="1243"/>
      <c r="AD72" s="1244"/>
      <c r="AE72" s="923" t="s">
        <v>1479</v>
      </c>
      <c r="AF72" s="967"/>
      <c r="AG72" s="968"/>
      <c r="AH72" s="596" t="s">
        <v>946</v>
      </c>
      <c r="AI72" s="1328">
        <v>300000</v>
      </c>
      <c r="AJ72" s="1329"/>
      <c r="AK72" s="1329"/>
      <c r="AL72" s="1330"/>
      <c r="AM72" s="920" t="s">
        <v>942</v>
      </c>
      <c r="AV72" s="945"/>
      <c r="BC72" s="573"/>
    </row>
    <row r="73" spans="10:55" ht="20.100000000000001" customHeight="1">
      <c r="J73" s="619"/>
      <c r="K73" s="562" t="s">
        <v>944</v>
      </c>
      <c r="L73" s="595" t="s">
        <v>1445</v>
      </c>
      <c r="M73" s="593"/>
      <c r="N73" s="590" t="s">
        <v>1453</v>
      </c>
      <c r="O73" s="589"/>
      <c r="P73" s="588"/>
      <c r="Q73" s="587" t="s">
        <v>1454</v>
      </c>
      <c r="R73" s="589"/>
      <c r="S73" s="589"/>
      <c r="T73" s="589"/>
      <c r="U73" s="589"/>
      <c r="V73" s="588"/>
      <c r="W73" s="1327" t="s">
        <v>1476</v>
      </c>
      <c r="X73" s="1243"/>
      <c r="Y73" s="1243"/>
      <c r="Z73" s="1244"/>
      <c r="AA73" s="1327" t="s">
        <v>1476</v>
      </c>
      <c r="AB73" s="1243"/>
      <c r="AC73" s="1243"/>
      <c r="AD73" s="1244"/>
      <c r="AE73" s="923" t="s">
        <v>1478</v>
      </c>
      <c r="AF73" s="967"/>
      <c r="AG73" s="968"/>
      <c r="AH73" s="596" t="s">
        <v>946</v>
      </c>
      <c r="AI73" s="1328">
        <v>500000</v>
      </c>
      <c r="AJ73" s="1329"/>
      <c r="AK73" s="1329"/>
      <c r="AL73" s="1330"/>
      <c r="AM73" s="562"/>
      <c r="AV73" s="945"/>
      <c r="BC73" s="573"/>
    </row>
    <row r="74" spans="10:55" ht="20.100000000000001" customHeight="1">
      <c r="J74" s="619"/>
      <c r="AE74" s="537" t="s">
        <v>1481</v>
      </c>
      <c r="AU74" s="945"/>
      <c r="BC74" s="573"/>
    </row>
    <row r="75" spans="10:55" ht="20.100000000000001" customHeight="1">
      <c r="J75" s="619"/>
      <c r="K75" s="584" t="s">
        <v>1450</v>
      </c>
      <c r="L75" s="924" t="s">
        <v>1487</v>
      </c>
      <c r="M75" s="599"/>
      <c r="N75" s="540"/>
      <c r="AH75" s="586" t="s">
        <v>1448</v>
      </c>
      <c r="AI75" s="585"/>
      <c r="AJ75" s="585"/>
      <c r="AK75" s="586" t="s">
        <v>1060</v>
      </c>
      <c r="AL75" s="585"/>
      <c r="AM75" s="585"/>
      <c r="AV75" s="945"/>
      <c r="BC75" s="573"/>
    </row>
    <row r="76" spans="10:55" ht="5.0999999999999996" customHeight="1">
      <c r="J76" s="619"/>
      <c r="AV76" s="945"/>
      <c r="BC76" s="573"/>
    </row>
    <row r="77" spans="10:55" ht="20.100000000000001" customHeight="1">
      <c r="J77" s="619"/>
      <c r="K77" s="1349" t="s">
        <v>140</v>
      </c>
      <c r="L77" s="1332" t="s">
        <v>1443</v>
      </c>
      <c r="M77" s="1351"/>
      <c r="N77" s="561" t="s">
        <v>1452</v>
      </c>
      <c r="O77" s="560"/>
      <c r="P77" s="560"/>
      <c r="Q77" s="560"/>
      <c r="R77" s="560"/>
      <c r="S77" s="560"/>
      <c r="T77" s="560"/>
      <c r="U77" s="560"/>
      <c r="V77" s="559"/>
      <c r="W77" s="561" t="s">
        <v>1475</v>
      </c>
      <c r="X77" s="560"/>
      <c r="Y77" s="560"/>
      <c r="Z77" s="559"/>
      <c r="AA77" s="561"/>
      <c r="AB77" s="560"/>
      <c r="AC77" s="560"/>
      <c r="AD77" s="560"/>
      <c r="AE77" s="560"/>
      <c r="AF77" s="560"/>
      <c r="AG77" s="560"/>
      <c r="AH77" s="559"/>
      <c r="AI77" s="1332" t="s">
        <v>1480</v>
      </c>
      <c r="AJ77" s="1220"/>
      <c r="AK77" s="1220"/>
      <c r="AL77" s="1333"/>
      <c r="AM77" s="919"/>
      <c r="AV77" s="945"/>
      <c r="BC77" s="573"/>
    </row>
    <row r="78" spans="10:55" ht="20.100000000000001" customHeight="1">
      <c r="J78" s="619"/>
      <c r="K78" s="1291"/>
      <c r="L78" s="1227"/>
      <c r="M78" s="1229"/>
      <c r="N78" s="561" t="s">
        <v>981</v>
      </c>
      <c r="O78" s="560"/>
      <c r="P78" s="559"/>
      <c r="Q78" s="561" t="s">
        <v>982</v>
      </c>
      <c r="R78" s="560"/>
      <c r="S78" s="560"/>
      <c r="T78" s="560"/>
      <c r="U78" s="560"/>
      <c r="V78" s="559"/>
      <c r="W78" s="561" t="s">
        <v>995</v>
      </c>
      <c r="X78" s="560"/>
      <c r="Y78" s="560"/>
      <c r="Z78" s="559"/>
      <c r="AA78" s="561" t="s">
        <v>996</v>
      </c>
      <c r="AB78" s="560"/>
      <c r="AC78" s="560"/>
      <c r="AD78" s="559"/>
      <c r="AE78" s="936" t="s">
        <v>1477</v>
      </c>
      <c r="AF78" s="624"/>
      <c r="AG78" s="624"/>
      <c r="AH78" s="559"/>
      <c r="AI78" s="1222"/>
      <c r="AJ78" s="1223"/>
      <c r="AK78" s="1223"/>
      <c r="AL78" s="1224"/>
      <c r="AM78" s="552"/>
      <c r="AV78" s="945"/>
      <c r="BC78" s="573"/>
    </row>
    <row r="79" spans="10:55" ht="20.100000000000001" customHeight="1">
      <c r="J79" s="619"/>
      <c r="K79" s="961" t="s">
        <v>944</v>
      </c>
      <c r="L79" s="960" t="s">
        <v>1444</v>
      </c>
      <c r="M79" s="848"/>
      <c r="N79" s="959" t="s">
        <v>1455</v>
      </c>
      <c r="O79" s="958"/>
      <c r="P79" s="957"/>
      <c r="Q79" s="956" t="s">
        <v>1456</v>
      </c>
      <c r="R79" s="958"/>
      <c r="S79" s="958"/>
      <c r="T79" s="958"/>
      <c r="U79" s="958"/>
      <c r="V79" s="957"/>
      <c r="W79" s="1342" t="s">
        <v>1476</v>
      </c>
      <c r="X79" s="1288"/>
      <c r="Y79" s="1288"/>
      <c r="Z79" s="1289"/>
      <c r="AA79" s="1342" t="s">
        <v>1476</v>
      </c>
      <c r="AB79" s="1288"/>
      <c r="AC79" s="1288"/>
      <c r="AD79" s="1289"/>
      <c r="AE79" s="955" t="s">
        <v>1479</v>
      </c>
      <c r="AF79" s="954"/>
      <c r="AG79" s="953"/>
      <c r="AH79" s="952" t="s">
        <v>946</v>
      </c>
      <c r="AI79" s="1339">
        <v>300000</v>
      </c>
      <c r="AJ79" s="1340"/>
      <c r="AK79" s="1340"/>
      <c r="AL79" s="1341"/>
      <c r="AM79" s="949" t="s">
        <v>942</v>
      </c>
      <c r="AV79" s="945"/>
      <c r="BC79" s="573"/>
    </row>
    <row r="80" spans="10:55" ht="20.100000000000001" customHeight="1">
      <c r="J80" s="619"/>
      <c r="K80" s="961" t="s">
        <v>944</v>
      </c>
      <c r="L80" s="960" t="s">
        <v>1445</v>
      </c>
      <c r="M80" s="848"/>
      <c r="N80" s="959" t="s">
        <v>1453</v>
      </c>
      <c r="O80" s="958"/>
      <c r="P80" s="957"/>
      <c r="Q80" s="956" t="s">
        <v>1454</v>
      </c>
      <c r="R80" s="958"/>
      <c r="S80" s="958"/>
      <c r="T80" s="958"/>
      <c r="U80" s="958"/>
      <c r="V80" s="957"/>
      <c r="W80" s="1342" t="s">
        <v>1476</v>
      </c>
      <c r="X80" s="1288"/>
      <c r="Y80" s="1288"/>
      <c r="Z80" s="1289"/>
      <c r="AA80" s="1342" t="s">
        <v>1476</v>
      </c>
      <c r="AB80" s="1288"/>
      <c r="AC80" s="1288"/>
      <c r="AD80" s="1289"/>
      <c r="AE80" s="955" t="s">
        <v>1478</v>
      </c>
      <c r="AF80" s="954"/>
      <c r="AG80" s="953"/>
      <c r="AH80" s="952" t="s">
        <v>946</v>
      </c>
      <c r="AI80" s="1339">
        <v>500000</v>
      </c>
      <c r="AJ80" s="1340"/>
      <c r="AK80" s="1340"/>
      <c r="AL80" s="1341"/>
      <c r="AM80" s="961"/>
      <c r="AV80" s="945"/>
      <c r="BC80" s="573"/>
    </row>
    <row r="81" spans="10:55" ht="20.100000000000001" customHeight="1">
      <c r="J81" s="619"/>
      <c r="AE81" s="537"/>
      <c r="AU81" s="945"/>
      <c r="BC81" s="573"/>
    </row>
    <row r="82" spans="10:55" ht="20.100000000000001" customHeight="1">
      <c r="J82" s="619"/>
      <c r="K82" s="584" t="s">
        <v>1450</v>
      </c>
      <c r="L82" s="924" t="s">
        <v>1488</v>
      </c>
      <c r="M82" s="599"/>
      <c r="AA82" s="586" t="s">
        <v>1448</v>
      </c>
      <c r="AB82" s="585"/>
      <c r="AC82" s="585"/>
      <c r="AD82" s="586" t="s">
        <v>1060</v>
      </c>
      <c r="AE82" s="585"/>
      <c r="AF82" s="585"/>
      <c r="AO82" s="945"/>
      <c r="BC82" s="573"/>
    </row>
    <row r="83" spans="10:55" ht="5.0999999999999996" customHeight="1">
      <c r="J83" s="619"/>
      <c r="AO83" s="945"/>
      <c r="BC83" s="573"/>
    </row>
    <row r="84" spans="10:55" ht="20.100000000000001" customHeight="1">
      <c r="J84" s="619"/>
      <c r="K84" s="1349" t="s">
        <v>140</v>
      </c>
      <c r="L84" s="1332" t="s">
        <v>1443</v>
      </c>
      <c r="M84" s="1351"/>
      <c r="N84" s="1335" t="s">
        <v>1491</v>
      </c>
      <c r="O84" s="1225"/>
      <c r="P84" s="1225"/>
      <c r="Q84" s="1225"/>
      <c r="R84" s="1225"/>
      <c r="S84" s="1351"/>
      <c r="T84" s="561" t="s">
        <v>1489</v>
      </c>
      <c r="U84" s="560"/>
      <c r="V84" s="560"/>
      <c r="W84" s="559"/>
      <c r="X84" s="561"/>
      <c r="Y84" s="560"/>
      <c r="Z84" s="560"/>
      <c r="AA84" s="560"/>
      <c r="AB84" s="1332" t="s">
        <v>1490</v>
      </c>
      <c r="AC84" s="1220"/>
      <c r="AD84" s="1220"/>
      <c r="AE84" s="1333"/>
      <c r="AF84" s="919"/>
      <c r="AO84" s="945"/>
      <c r="BC84" s="573"/>
    </row>
    <row r="85" spans="10:55" ht="20.100000000000001" customHeight="1">
      <c r="J85" s="619"/>
      <c r="K85" s="1291"/>
      <c r="L85" s="1227"/>
      <c r="M85" s="1229"/>
      <c r="N85" s="1227"/>
      <c r="O85" s="1228"/>
      <c r="P85" s="1228"/>
      <c r="Q85" s="1228"/>
      <c r="R85" s="1228"/>
      <c r="S85" s="1229"/>
      <c r="T85" s="561" t="s">
        <v>995</v>
      </c>
      <c r="U85" s="560"/>
      <c r="V85" s="560"/>
      <c r="W85" s="559"/>
      <c r="X85" s="561" t="s">
        <v>996</v>
      </c>
      <c r="Y85" s="560"/>
      <c r="Z85" s="560"/>
      <c r="AA85" s="559"/>
      <c r="AB85" s="1222"/>
      <c r="AC85" s="1223"/>
      <c r="AD85" s="1223"/>
      <c r="AE85" s="1224"/>
      <c r="AF85" s="552"/>
      <c r="AO85" s="945"/>
      <c r="BC85" s="573"/>
    </row>
    <row r="86" spans="10:55" ht="20.100000000000001" customHeight="1">
      <c r="J86" s="619"/>
      <c r="K86" s="961" t="s">
        <v>944</v>
      </c>
      <c r="L86" s="960" t="s">
        <v>1444</v>
      </c>
      <c r="M86" s="848"/>
      <c r="N86" s="959" t="s">
        <v>1492</v>
      </c>
      <c r="O86" s="958"/>
      <c r="P86" s="958"/>
      <c r="Q86" s="958"/>
      <c r="R86" s="958"/>
      <c r="S86" s="957"/>
      <c r="T86" s="1342" t="s">
        <v>1476</v>
      </c>
      <c r="U86" s="1288"/>
      <c r="V86" s="1288"/>
      <c r="W86" s="1289"/>
      <c r="X86" s="1342" t="s">
        <v>1476</v>
      </c>
      <c r="Y86" s="1288"/>
      <c r="Z86" s="1288"/>
      <c r="AA86" s="1289"/>
      <c r="AB86" s="1339">
        <v>300000</v>
      </c>
      <c r="AC86" s="1340"/>
      <c r="AD86" s="1340"/>
      <c r="AE86" s="1341"/>
      <c r="AF86" s="949" t="s">
        <v>942</v>
      </c>
      <c r="AO86" s="945"/>
      <c r="BC86" s="573"/>
    </row>
    <row r="87" spans="10:55" ht="20.100000000000001" customHeight="1">
      <c r="J87" s="619"/>
      <c r="K87" s="961" t="s">
        <v>944</v>
      </c>
      <c r="L87" s="960" t="s">
        <v>1445</v>
      </c>
      <c r="M87" s="848"/>
      <c r="N87" s="959" t="s">
        <v>1492</v>
      </c>
      <c r="O87" s="958"/>
      <c r="P87" s="958"/>
      <c r="Q87" s="958"/>
      <c r="R87" s="958"/>
      <c r="S87" s="957"/>
      <c r="T87" s="1342" t="s">
        <v>1476</v>
      </c>
      <c r="U87" s="1288"/>
      <c r="V87" s="1288"/>
      <c r="W87" s="1289"/>
      <c r="X87" s="1342" t="s">
        <v>1476</v>
      </c>
      <c r="Y87" s="1288"/>
      <c r="Z87" s="1288"/>
      <c r="AA87" s="1289"/>
      <c r="AB87" s="1339">
        <v>500000</v>
      </c>
      <c r="AC87" s="1340"/>
      <c r="AD87" s="1340"/>
      <c r="AE87" s="1341"/>
      <c r="AF87" s="961"/>
      <c r="AO87" s="945"/>
      <c r="BC87" s="573"/>
    </row>
    <row r="88" spans="10:55" ht="20.100000000000001" customHeight="1">
      <c r="J88" s="572"/>
      <c r="K88" s="571"/>
      <c r="L88" s="571"/>
      <c r="M88" s="571"/>
      <c r="N88" s="571"/>
      <c r="O88" s="571"/>
      <c r="P88" s="571"/>
      <c r="Q88" s="571"/>
      <c r="R88" s="571"/>
      <c r="S88" s="571"/>
      <c r="T88" s="571"/>
      <c r="U88" s="571"/>
      <c r="V88" s="571"/>
      <c r="W88" s="571"/>
      <c r="X88" s="571"/>
      <c r="Y88" s="571"/>
      <c r="Z88" s="571"/>
      <c r="AA88" s="571"/>
      <c r="AB88" s="571"/>
      <c r="AC88" s="571"/>
      <c r="AD88" s="571"/>
      <c r="AE88" s="571"/>
      <c r="AF88" s="571"/>
      <c r="AG88" s="571"/>
      <c r="AH88" s="571"/>
      <c r="AI88" s="571"/>
      <c r="AJ88" s="571"/>
      <c r="AK88" s="571"/>
      <c r="AL88" s="571"/>
      <c r="AM88" s="571"/>
      <c r="AN88" s="571"/>
      <c r="AO88" s="948"/>
      <c r="AP88" s="571"/>
      <c r="AQ88" s="571"/>
      <c r="AR88" s="571"/>
      <c r="AS88" s="571"/>
      <c r="AT88" s="571"/>
      <c r="AU88" s="571"/>
      <c r="AV88" s="571"/>
      <c r="AW88" s="571"/>
      <c r="AX88" s="571"/>
      <c r="AY88" s="571"/>
      <c r="AZ88" s="571"/>
      <c r="BA88" s="571"/>
      <c r="BB88" s="571"/>
      <c r="BC88" s="570"/>
    </row>
    <row r="89" spans="10:55" ht="20.100000000000001" customHeight="1">
      <c r="AO89" s="945"/>
    </row>
    <row r="90" spans="10:55" ht="20.100000000000001" customHeight="1">
      <c r="AV90" s="945"/>
    </row>
    <row r="91" spans="10:55" ht="20.100000000000001" customHeight="1">
      <c r="K91" s="629" t="s">
        <v>1470</v>
      </c>
    </row>
    <row r="92" spans="10:55" ht="20.100000000000001" customHeight="1"/>
    <row r="93" spans="10:55" ht="20.100000000000001" customHeight="1">
      <c r="K93" s="977" t="s">
        <v>1418</v>
      </c>
      <c r="L93" s="976"/>
      <c r="M93" s="975"/>
      <c r="N93" s="975"/>
      <c r="O93" s="975"/>
      <c r="P93" s="975"/>
      <c r="Q93" s="975"/>
      <c r="R93" s="974"/>
      <c r="S93" s="974"/>
      <c r="T93" s="974"/>
      <c r="U93" s="974"/>
      <c r="V93" s="974"/>
      <c r="W93" s="974"/>
      <c r="X93" s="974"/>
      <c r="Y93" s="974"/>
    </row>
    <row r="94" spans="10:55" ht="20.100000000000001" customHeight="1">
      <c r="K94" s="975"/>
      <c r="L94" s="976"/>
      <c r="M94" s="975"/>
      <c r="N94" s="975"/>
      <c r="O94" s="975"/>
      <c r="P94" s="975"/>
      <c r="Q94" s="975"/>
      <c r="R94" s="974"/>
      <c r="S94" s="974"/>
      <c r="T94" s="974"/>
      <c r="U94" s="974"/>
      <c r="V94" s="974"/>
      <c r="W94" s="974"/>
      <c r="X94" s="974"/>
      <c r="Y94" s="974"/>
    </row>
    <row r="95" spans="10:55" ht="20.100000000000001" customHeight="1">
      <c r="K95" s="974"/>
      <c r="L95" s="973" t="s">
        <v>1446</v>
      </c>
      <c r="M95" s="972" t="s">
        <v>1471</v>
      </c>
      <c r="N95" s="974"/>
      <c r="O95" s="974"/>
      <c r="P95" s="971" t="s">
        <v>1472</v>
      </c>
      <c r="Q95" s="970"/>
      <c r="R95" s="969"/>
      <c r="S95" s="969"/>
      <c r="T95" s="969"/>
      <c r="U95" s="969"/>
      <c r="V95" s="969"/>
      <c r="W95" s="969"/>
      <c r="X95" s="969"/>
      <c r="Y95" s="969"/>
      <c r="Z95" s="385" t="s">
        <v>1473</v>
      </c>
    </row>
    <row r="97" spans="4:128" ht="18.95" customHeight="1">
      <c r="K97" s="966" t="s">
        <v>1482</v>
      </c>
    </row>
    <row r="98" spans="4:128" ht="18.95" customHeight="1">
      <c r="K98" s="966" t="s">
        <v>1495</v>
      </c>
    </row>
    <row r="103" spans="4:128" s="509" customFormat="1" ht="5.0999999999999996" customHeight="1">
      <c r="D103" s="528"/>
      <c r="E103" s="528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 s="613"/>
      <c r="T103" s="612"/>
      <c r="U103" s="612"/>
      <c r="V103" s="612"/>
      <c r="W103" s="612"/>
      <c r="X103" s="612"/>
      <c r="Y103" s="612"/>
      <c r="Z103" s="611"/>
      <c r="AA103" s="617"/>
      <c r="AB103" s="617"/>
      <c r="AC103" s="617"/>
      <c r="AD103" s="617"/>
      <c r="AE103" s="617"/>
      <c r="AF103" s="617"/>
      <c r="AG103" s="617"/>
      <c r="AH103" s="617"/>
      <c r="AI103" s="617"/>
      <c r="AJ103" s="617"/>
      <c r="AK103" s="617"/>
      <c r="AL103" s="617"/>
      <c r="AM103" s="617"/>
      <c r="AN103" s="617"/>
      <c r="AO103" s="617"/>
      <c r="AP103" s="617"/>
      <c r="AQ103" s="617"/>
      <c r="AR103" s="617"/>
      <c r="AS103" s="617"/>
      <c r="AT103" s="617"/>
      <c r="AU103" s="617"/>
      <c r="AV103" s="617"/>
      <c r="AW103" s="617"/>
      <c r="AX103" s="617"/>
      <c r="AY103" s="617"/>
      <c r="AZ103" s="617"/>
      <c r="BA103" s="617"/>
    </row>
    <row r="104" spans="4:128" s="509" customFormat="1" ht="18.95" customHeight="1">
      <c r="D104" s="528"/>
      <c r="E104" s="528"/>
      <c r="F104"/>
      <c r="G104"/>
      <c r="H104"/>
      <c r="I104"/>
      <c r="J104"/>
      <c r="K104" s="608" t="s">
        <v>1496</v>
      </c>
      <c r="L104" s="607"/>
      <c r="M104" s="607"/>
      <c r="N104" s="607"/>
      <c r="O104" s="607"/>
      <c r="P104" s="607"/>
      <c r="Q104" s="607"/>
      <c r="R104" s="606"/>
      <c r="S104" s="610" t="s">
        <v>1497</v>
      </c>
      <c r="T104" s="175"/>
      <c r="U104" s="175"/>
      <c r="V104" s="175"/>
      <c r="W104" s="175"/>
      <c r="X104" s="175"/>
      <c r="Y104" s="175"/>
      <c r="Z104" s="609"/>
      <c r="AA104" s="617"/>
      <c r="AB104" s="617"/>
      <c r="AC104" s="617"/>
      <c r="AD104" s="617"/>
      <c r="AE104" s="617"/>
      <c r="AF104" s="617"/>
      <c r="AG104" s="617"/>
      <c r="AK104" s="617"/>
      <c r="AL104" s="617"/>
      <c r="AM104" s="617"/>
      <c r="AN104" s="617"/>
      <c r="AO104" s="617"/>
      <c r="AS104" s="617"/>
      <c r="AT104" s="617"/>
      <c r="AU104" s="617"/>
      <c r="AV104" s="617"/>
      <c r="AW104" s="617"/>
      <c r="AX104" s="617"/>
      <c r="AY104" s="617"/>
      <c r="BA104"/>
      <c r="BB104"/>
      <c r="BC104"/>
      <c r="BD104"/>
      <c r="BE104"/>
      <c r="BF104"/>
    </row>
    <row r="105" spans="4:128" s="509" customFormat="1" ht="9.9499999999999993" customHeight="1">
      <c r="D105" s="528"/>
      <c r="E105" s="528"/>
      <c r="F105"/>
      <c r="G105"/>
      <c r="H105"/>
      <c r="I105"/>
      <c r="J105" s="605"/>
      <c r="K105" s="604"/>
      <c r="L105" s="604"/>
      <c r="M105" s="604"/>
      <c r="N105" s="604"/>
      <c r="O105" s="604"/>
      <c r="P105" s="604"/>
      <c r="Q105" s="604"/>
      <c r="R105" s="604"/>
      <c r="S105"/>
      <c r="T105"/>
      <c r="U105"/>
      <c r="V105"/>
      <c r="W105"/>
      <c r="X105"/>
      <c r="Y105"/>
      <c r="Z105"/>
      <c r="AA105" s="603"/>
      <c r="AB105" s="603"/>
      <c r="AC105" s="603"/>
      <c r="AD105" s="603"/>
      <c r="AE105" s="603"/>
      <c r="AF105" s="603"/>
      <c r="AG105" s="603"/>
      <c r="AH105" s="603"/>
      <c r="AI105" s="603"/>
      <c r="AJ105" s="603"/>
      <c r="AK105" s="603"/>
      <c r="AL105" s="603"/>
      <c r="AM105" s="603"/>
      <c r="AN105" s="603"/>
      <c r="AO105" s="603"/>
      <c r="AP105" s="603"/>
      <c r="AQ105" s="603"/>
      <c r="AR105" s="603"/>
      <c r="AS105" s="603"/>
      <c r="AT105" s="603"/>
      <c r="AU105" s="603"/>
      <c r="AV105" s="603"/>
      <c r="AW105" s="603"/>
      <c r="AX105" s="603"/>
      <c r="AY105" s="603"/>
      <c r="AZ105" s="603"/>
      <c r="BA105" s="1003"/>
      <c r="BB105" s="1003"/>
      <c r="BC105" s="1003"/>
      <c r="BD105" s="1003"/>
      <c r="BE105" s="1003"/>
      <c r="BF105" s="1003"/>
      <c r="BG105" s="1004"/>
      <c r="BH105" s="1004"/>
      <c r="BI105" s="1004"/>
      <c r="BJ105" s="1004"/>
      <c r="BK105" s="1004"/>
      <c r="BL105" s="1004"/>
      <c r="BM105" s="1004"/>
      <c r="BN105" s="1004"/>
      <c r="BO105" s="1004"/>
      <c r="BP105" s="1004"/>
      <c r="BQ105" s="1004"/>
      <c r="BR105" s="1004"/>
      <c r="BS105" s="1004"/>
      <c r="BT105" s="1004"/>
      <c r="BU105" s="1004"/>
      <c r="BV105" s="1004"/>
      <c r="BW105" s="1004"/>
      <c r="BX105" s="1004"/>
      <c r="BY105" s="1004"/>
      <c r="BZ105" s="1004"/>
      <c r="CA105" s="1004"/>
      <c r="CB105" s="1004"/>
      <c r="CC105" s="1004"/>
      <c r="CD105" s="1004"/>
      <c r="CE105" s="1004"/>
      <c r="CF105" s="1004"/>
      <c r="CG105" s="1004"/>
      <c r="CH105" s="1004"/>
      <c r="CI105" s="1004"/>
      <c r="CJ105" s="1004"/>
      <c r="CK105" s="1004"/>
      <c r="CL105" s="1004"/>
      <c r="CM105" s="1004"/>
      <c r="CN105" s="1004"/>
      <c r="CO105" s="1004"/>
      <c r="CP105" s="1004"/>
      <c r="CQ105" s="1004"/>
      <c r="CR105" s="1004"/>
      <c r="CS105" s="1004"/>
      <c r="CT105" s="1004"/>
      <c r="CU105" s="1004"/>
      <c r="CV105" s="1004"/>
      <c r="CW105" s="1004"/>
      <c r="CX105" s="1004"/>
      <c r="CY105" s="1004"/>
      <c r="CZ105" s="1004"/>
      <c r="DA105" s="1004"/>
      <c r="DB105" s="1004"/>
      <c r="DC105" s="1004"/>
      <c r="DD105" s="1004"/>
      <c r="DE105" s="1004"/>
      <c r="DF105" s="1004"/>
      <c r="DG105" s="1004"/>
      <c r="DH105" s="1004"/>
      <c r="DI105" s="1004"/>
      <c r="DJ105" s="1004"/>
      <c r="DK105" s="1004"/>
      <c r="DL105" s="1004"/>
      <c r="DM105" s="1004"/>
      <c r="DN105" s="1004"/>
      <c r="DO105" s="1004"/>
      <c r="DP105" s="1004"/>
      <c r="DQ105" s="1004"/>
      <c r="DR105" s="1004"/>
      <c r="DS105" s="1004"/>
      <c r="DT105" s="1004"/>
      <c r="DU105" s="1004"/>
      <c r="DV105" s="1004"/>
      <c r="DW105" s="1004"/>
      <c r="DX105" s="1005"/>
    </row>
    <row r="106" spans="4:128" ht="18.95" customHeight="1">
      <c r="J106" s="619"/>
      <c r="K106" s="600" t="s">
        <v>1044</v>
      </c>
      <c r="L106" s="563"/>
      <c r="M106" s="563"/>
      <c r="O106" s="595" t="s">
        <v>646</v>
      </c>
      <c r="P106" s="594"/>
      <c r="Q106" s="593"/>
      <c r="R106" s="596" t="s">
        <v>946</v>
      </c>
      <c r="S106" s="575" t="s">
        <v>1522</v>
      </c>
      <c r="T106" s="599"/>
      <c r="U106" s="599"/>
      <c r="V106" s="540"/>
      <c r="W106" s="590" t="s">
        <v>1520</v>
      </c>
      <c r="X106" s="589"/>
      <c r="Y106" s="588"/>
      <c r="Z106" s="587" t="s">
        <v>1521</v>
      </c>
      <c r="AA106" s="589"/>
      <c r="AB106" s="589"/>
      <c r="AC106" s="589"/>
      <c r="AD106" s="589"/>
      <c r="AE106" s="589"/>
      <c r="AF106" s="596" t="s">
        <v>949</v>
      </c>
      <c r="AK106" s="1000" t="s">
        <v>1515</v>
      </c>
      <c r="AL106" s="1001"/>
      <c r="AM106" s="1002"/>
      <c r="AN106" s="596" t="s">
        <v>946</v>
      </c>
      <c r="AO106" s="1242" t="s">
        <v>1369</v>
      </c>
      <c r="AP106" s="1243"/>
      <c r="AQ106" s="1243"/>
      <c r="AR106" s="1244"/>
      <c r="AS106" s="598" t="s">
        <v>942</v>
      </c>
      <c r="AT106" s="569" t="s">
        <v>968</v>
      </c>
      <c r="AU106" s="1242" t="s">
        <v>1369</v>
      </c>
      <c r="AV106" s="1243"/>
      <c r="AW106" s="1243"/>
      <c r="AX106" s="1244"/>
      <c r="AY106" s="598" t="s">
        <v>942</v>
      </c>
      <c r="BB106" s="586" t="s">
        <v>1035</v>
      </c>
      <c r="BC106" s="585"/>
      <c r="BD106" s="585"/>
      <c r="BE106" s="586" t="s">
        <v>1004</v>
      </c>
      <c r="BF106" s="585"/>
      <c r="BG106" s="585"/>
      <c r="DX106" s="573"/>
    </row>
    <row r="107" spans="4:128" ht="9.9499999999999993" customHeight="1">
      <c r="J107" s="619"/>
      <c r="DX107" s="573"/>
    </row>
    <row r="108" spans="4:128" ht="18.95" customHeight="1">
      <c r="J108" s="619"/>
      <c r="K108" s="600" t="s">
        <v>1433</v>
      </c>
      <c r="L108" s="599"/>
      <c r="M108" s="599"/>
      <c r="N108" s="540"/>
      <c r="O108" s="1242" t="s">
        <v>1430</v>
      </c>
      <c r="P108" s="1243"/>
      <c r="Q108" s="1243"/>
      <c r="R108" s="1244"/>
      <c r="S108" s="575" t="s">
        <v>1431</v>
      </c>
      <c r="T108" s="599"/>
      <c r="U108" s="599"/>
      <c r="V108" s="540"/>
      <c r="W108" s="1242" t="s">
        <v>1432</v>
      </c>
      <c r="X108" s="1243"/>
      <c r="Y108" s="1243"/>
      <c r="Z108" s="1244"/>
      <c r="AB108" s="540"/>
      <c r="AC108" s="540"/>
      <c r="AD108" s="540"/>
      <c r="AE108" s="540"/>
      <c r="AF108" s="145"/>
      <c r="AK108" s="537" t="s">
        <v>1523</v>
      </c>
      <c r="DX108" s="573"/>
    </row>
    <row r="109" spans="4:128" ht="9.9499999999999993" customHeight="1">
      <c r="J109" s="619"/>
      <c r="DX109" s="573"/>
    </row>
    <row r="110" spans="4:128" ht="18.95" customHeight="1">
      <c r="J110" s="619"/>
      <c r="K110" s="600" t="s">
        <v>1532</v>
      </c>
      <c r="L110" s="599"/>
      <c r="M110" s="599"/>
      <c r="N110" s="540"/>
      <c r="O110" s="1009" t="s">
        <v>1530</v>
      </c>
      <c r="P110" s="599"/>
      <c r="Q110" s="599"/>
      <c r="R110" s="145" t="s">
        <v>1329</v>
      </c>
      <c r="S110" s="575" t="s">
        <v>1527</v>
      </c>
      <c r="T110" s="599"/>
      <c r="U110" s="599"/>
      <c r="V110" s="145" t="s">
        <v>1329</v>
      </c>
      <c r="W110" s="575" t="s">
        <v>1528</v>
      </c>
      <c r="X110" s="599"/>
      <c r="Y110" s="599"/>
      <c r="Z110" s="145" t="s">
        <v>1329</v>
      </c>
      <c r="AA110" s="575" t="s">
        <v>1529</v>
      </c>
      <c r="AB110" s="599"/>
      <c r="AC110" s="599"/>
      <c r="AD110" s="145" t="s">
        <v>1329</v>
      </c>
      <c r="DX110" s="573"/>
    </row>
    <row r="111" spans="4:128" ht="18.95" customHeight="1">
      <c r="J111" s="619"/>
      <c r="R111" s="537" t="s">
        <v>1531</v>
      </c>
      <c r="V111" s="537" t="s">
        <v>1531</v>
      </c>
      <c r="Z111" s="537" t="s">
        <v>1531</v>
      </c>
      <c r="AD111" s="537" t="s">
        <v>1531</v>
      </c>
      <c r="DX111" s="573"/>
    </row>
    <row r="112" spans="4:128" ht="18.95" customHeight="1">
      <c r="J112" s="619"/>
      <c r="K112" s="1335" t="s">
        <v>1498</v>
      </c>
      <c r="L112" s="1336"/>
      <c r="M112" s="1336"/>
      <c r="N112" s="1337"/>
      <c r="O112" s="1335" t="s">
        <v>1499</v>
      </c>
      <c r="P112" s="1336"/>
      <c r="Q112" s="1336"/>
      <c r="R112" s="1337"/>
      <c r="S112" s="561" t="s">
        <v>1501</v>
      </c>
      <c r="T112" s="560"/>
      <c r="U112" s="560"/>
      <c r="V112" s="560"/>
      <c r="W112" s="560"/>
      <c r="X112" s="560"/>
      <c r="Y112" s="560"/>
      <c r="Z112" s="560"/>
      <c r="AA112" s="560"/>
      <c r="AB112" s="560"/>
      <c r="AC112" s="560"/>
      <c r="AD112" s="560"/>
      <c r="AE112" s="560"/>
      <c r="AF112" s="560"/>
      <c r="AG112" s="560"/>
      <c r="AH112" s="559"/>
      <c r="AI112" s="560"/>
      <c r="AJ112" s="560"/>
      <c r="AK112" s="560"/>
      <c r="AL112" s="560"/>
      <c r="AM112" s="559"/>
      <c r="AN112" s="560"/>
      <c r="AO112" s="560"/>
      <c r="AP112" s="560"/>
      <c r="AQ112" s="559"/>
      <c r="AR112" s="561" t="s">
        <v>1457</v>
      </c>
      <c r="AS112" s="560"/>
      <c r="AT112" s="560"/>
      <c r="AU112" s="559"/>
      <c r="AV112" s="561"/>
      <c r="AW112" s="560"/>
      <c r="AX112" s="560"/>
      <c r="AY112" s="559"/>
      <c r="AZ112" s="561" t="s">
        <v>1452</v>
      </c>
      <c r="BA112" s="560"/>
      <c r="BB112" s="560"/>
      <c r="BC112" s="560"/>
      <c r="BD112" s="560"/>
      <c r="BE112" s="560"/>
      <c r="BF112" s="560"/>
      <c r="BG112" s="560"/>
      <c r="BH112" s="559"/>
      <c r="BI112" s="951" t="s">
        <v>1524</v>
      </c>
      <c r="BJ112" s="1006"/>
      <c r="BK112" s="1006"/>
      <c r="BL112" s="1006"/>
      <c r="BM112" s="1006"/>
      <c r="BN112" s="1007"/>
      <c r="BO112" s="951" t="s">
        <v>615</v>
      </c>
      <c r="BP112" s="1006"/>
      <c r="BQ112" s="1006"/>
      <c r="BR112" s="1006"/>
      <c r="BS112" s="1006"/>
      <c r="BT112" s="1007"/>
      <c r="BU112" s="558" t="s">
        <v>1169</v>
      </c>
      <c r="BV112" s="579"/>
      <c r="BW112" s="579"/>
      <c r="BX112" s="557"/>
      <c r="BY112" s="558" t="s">
        <v>1461</v>
      </c>
      <c r="BZ112" s="579"/>
      <c r="CA112" s="557"/>
      <c r="CB112" s="558"/>
      <c r="CC112" s="579"/>
      <c r="CD112" s="557"/>
      <c r="CE112" s="558"/>
      <c r="CF112" s="579"/>
      <c r="CG112" s="557"/>
      <c r="CH112" s="937" t="s">
        <v>1465</v>
      </c>
      <c r="CI112" s="1008"/>
      <c r="CJ112" s="561" t="s">
        <v>1526</v>
      </c>
      <c r="CK112" s="560"/>
      <c r="CL112" s="560"/>
      <c r="CM112" s="559"/>
      <c r="CN112" s="561"/>
      <c r="CO112" s="560"/>
      <c r="CP112" s="560"/>
      <c r="CQ112" s="560"/>
      <c r="CR112" s="560"/>
      <c r="CS112" s="560"/>
      <c r="CT112" s="560"/>
      <c r="CU112" s="987"/>
      <c r="CV112" s="987"/>
      <c r="CW112" s="987"/>
      <c r="CX112" s="995"/>
      <c r="CY112" s="561" t="s">
        <v>1510</v>
      </c>
      <c r="CZ112" s="560"/>
      <c r="DA112" s="560"/>
      <c r="DB112" s="559"/>
      <c r="DC112" s="561"/>
      <c r="DD112" s="560"/>
      <c r="DE112" s="560"/>
      <c r="DF112" s="560"/>
      <c r="DG112" s="560"/>
      <c r="DH112" s="560"/>
      <c r="DI112" s="560"/>
      <c r="DJ112" s="560"/>
      <c r="DK112" s="561" t="s">
        <v>1511</v>
      </c>
      <c r="DL112" s="560"/>
      <c r="DM112" s="560"/>
      <c r="DN112" s="559"/>
      <c r="DO112" s="561"/>
      <c r="DP112" s="560"/>
      <c r="DQ112" s="560"/>
      <c r="DR112" s="560"/>
      <c r="DS112" s="560"/>
      <c r="DT112" s="560"/>
      <c r="DU112" s="560"/>
      <c r="DV112" s="559"/>
      <c r="DW112" s="919"/>
      <c r="DX112" s="573"/>
    </row>
    <row r="113" spans="10:128" ht="18.95" customHeight="1">
      <c r="J113" s="619"/>
      <c r="K113" s="1227"/>
      <c r="L113" s="1228"/>
      <c r="M113" s="1228"/>
      <c r="N113" s="1229"/>
      <c r="O113" s="1227"/>
      <c r="P113" s="1228"/>
      <c r="Q113" s="1228"/>
      <c r="R113" s="1229"/>
      <c r="S113" s="561" t="s">
        <v>1500</v>
      </c>
      <c r="T113" s="560"/>
      <c r="U113" s="559"/>
      <c r="V113" s="561" t="s">
        <v>1503</v>
      </c>
      <c r="W113" s="560"/>
      <c r="X113" s="559"/>
      <c r="Y113" s="561" t="s">
        <v>1505</v>
      </c>
      <c r="Z113" s="560"/>
      <c r="AA113" s="560"/>
      <c r="AB113" s="560"/>
      <c r="AC113" s="560"/>
      <c r="AD113" s="561" t="s">
        <v>1506</v>
      </c>
      <c r="AE113" s="560"/>
      <c r="AF113" s="560"/>
      <c r="AG113" s="560"/>
      <c r="AH113" s="559"/>
      <c r="AI113" s="561" t="s">
        <v>1516</v>
      </c>
      <c r="AJ113" s="560"/>
      <c r="AK113" s="560"/>
      <c r="AL113" s="560"/>
      <c r="AM113" s="559"/>
      <c r="AN113" s="560" t="s">
        <v>1517</v>
      </c>
      <c r="AO113" s="560"/>
      <c r="AP113" s="560"/>
      <c r="AQ113" s="559"/>
      <c r="AR113" s="561" t="s">
        <v>995</v>
      </c>
      <c r="AS113" s="560"/>
      <c r="AT113" s="560"/>
      <c r="AU113" s="559"/>
      <c r="AV113" s="561" t="s">
        <v>996</v>
      </c>
      <c r="AW113" s="560"/>
      <c r="AX113" s="560"/>
      <c r="AY113" s="559"/>
      <c r="AZ113" s="561" t="s">
        <v>981</v>
      </c>
      <c r="BA113" s="560"/>
      <c r="BB113" s="559"/>
      <c r="BC113" s="561" t="s">
        <v>982</v>
      </c>
      <c r="BD113" s="560"/>
      <c r="BE113" s="560"/>
      <c r="BF113" s="560"/>
      <c r="BG113" s="560"/>
      <c r="BH113" s="559"/>
      <c r="BI113" s="558" t="s">
        <v>1066</v>
      </c>
      <c r="BJ113" s="557"/>
      <c r="BK113" s="558" t="s">
        <v>1067</v>
      </c>
      <c r="BL113" s="579"/>
      <c r="BM113" s="579"/>
      <c r="BN113" s="557"/>
      <c r="BO113" s="558" t="s">
        <v>1066</v>
      </c>
      <c r="BP113" s="557"/>
      <c r="BQ113" s="558" t="s">
        <v>1067</v>
      </c>
      <c r="BR113" s="579"/>
      <c r="BS113" s="579"/>
      <c r="BT113" s="557"/>
      <c r="BU113" s="558" t="s">
        <v>989</v>
      </c>
      <c r="BV113" s="579"/>
      <c r="BW113" s="579"/>
      <c r="BX113" s="557"/>
      <c r="BY113" s="942" t="s">
        <v>1462</v>
      </c>
      <c r="BZ113" s="943"/>
      <c r="CA113" s="944"/>
      <c r="CB113" s="942" t="s">
        <v>1463</v>
      </c>
      <c r="CC113" s="943"/>
      <c r="CD113" s="944"/>
      <c r="CE113" s="942" t="s">
        <v>1464</v>
      </c>
      <c r="CF113" s="943"/>
      <c r="CG113" s="944"/>
      <c r="CH113" s="939" t="s">
        <v>1466</v>
      </c>
      <c r="CI113" s="940"/>
      <c r="CJ113" s="561" t="s">
        <v>995</v>
      </c>
      <c r="CK113" s="560"/>
      <c r="CL113" s="560"/>
      <c r="CM113" s="559"/>
      <c r="CN113" s="561" t="s">
        <v>996</v>
      </c>
      <c r="CO113" s="560"/>
      <c r="CP113" s="560"/>
      <c r="CQ113" s="559"/>
      <c r="CR113" s="936" t="s">
        <v>1477</v>
      </c>
      <c r="CS113" s="987"/>
      <c r="CT113" s="987"/>
      <c r="CU113" s="917" t="s">
        <v>1480</v>
      </c>
      <c r="CV113" s="996"/>
      <c r="CW113" s="996"/>
      <c r="CX113" s="997"/>
      <c r="CY113" s="561" t="s">
        <v>1507</v>
      </c>
      <c r="CZ113" s="560"/>
      <c r="DA113" s="560"/>
      <c r="DB113" s="559"/>
      <c r="DC113" s="760" t="s">
        <v>1508</v>
      </c>
      <c r="DD113" s="998"/>
      <c r="DE113" s="998"/>
      <c r="DF113" s="999"/>
      <c r="DG113" s="760" t="s">
        <v>1509</v>
      </c>
      <c r="DH113" s="998"/>
      <c r="DI113" s="998"/>
      <c r="DJ113" s="999"/>
      <c r="DK113" s="561" t="s">
        <v>1512</v>
      </c>
      <c r="DL113" s="560"/>
      <c r="DM113" s="560"/>
      <c r="DN113" s="559"/>
      <c r="DO113" s="760" t="s">
        <v>1508</v>
      </c>
      <c r="DP113" s="998"/>
      <c r="DQ113" s="998"/>
      <c r="DR113" s="999"/>
      <c r="DS113" s="760" t="s">
        <v>1509</v>
      </c>
      <c r="DT113" s="998"/>
      <c r="DU113" s="998"/>
      <c r="DV113" s="999"/>
      <c r="DW113" s="552"/>
      <c r="DX113" s="573"/>
    </row>
    <row r="114" spans="10:128" ht="18.95" customHeight="1">
      <c r="J114" s="619"/>
      <c r="K114" s="1334" t="s">
        <v>1369</v>
      </c>
      <c r="L114" s="1247"/>
      <c r="M114" s="1247"/>
      <c r="N114" s="1315"/>
      <c r="O114" s="1334" t="s">
        <v>1369</v>
      </c>
      <c r="P114" s="1247"/>
      <c r="Q114" s="1247"/>
      <c r="R114" s="1315"/>
      <c r="S114" s="978" t="s">
        <v>1502</v>
      </c>
      <c r="T114" s="639"/>
      <c r="U114" s="980"/>
      <c r="V114" s="978" t="s">
        <v>1504</v>
      </c>
      <c r="W114" s="639"/>
      <c r="X114" s="980"/>
      <c r="Y114" s="978" t="s">
        <v>1442</v>
      </c>
      <c r="Z114" s="682"/>
      <c r="AA114" s="682"/>
      <c r="AB114" s="682"/>
      <c r="AC114" s="981"/>
      <c r="AD114" s="978" t="s">
        <v>1441</v>
      </c>
      <c r="AE114" s="682"/>
      <c r="AF114" s="682"/>
      <c r="AG114" s="682"/>
      <c r="AH114" s="981"/>
      <c r="AI114" s="1142" t="s">
        <v>1519</v>
      </c>
      <c r="AJ114" s="682"/>
      <c r="AK114" s="682"/>
      <c r="AL114" s="682"/>
      <c r="AM114" s="981"/>
      <c r="AN114" s="1143" t="s">
        <v>1518</v>
      </c>
      <c r="AO114" s="682"/>
      <c r="AP114" s="682"/>
      <c r="AQ114" s="981"/>
      <c r="AR114" s="1313">
        <v>44593</v>
      </c>
      <c r="AS114" s="1314"/>
      <c r="AT114" s="1314"/>
      <c r="AU114" s="1315"/>
      <c r="AV114" s="1338" t="s">
        <v>1460</v>
      </c>
      <c r="AW114" s="1314"/>
      <c r="AX114" s="1314"/>
      <c r="AY114" s="1315"/>
      <c r="AZ114" s="978" t="s">
        <v>1453</v>
      </c>
      <c r="BA114" s="979"/>
      <c r="BB114" s="980"/>
      <c r="BC114" s="982" t="s">
        <v>1454</v>
      </c>
      <c r="BD114" s="979"/>
      <c r="BE114" s="979"/>
      <c r="BF114" s="979"/>
      <c r="BG114" s="979"/>
      <c r="BH114" s="980"/>
      <c r="BI114" s="595" t="s">
        <v>1525</v>
      </c>
      <c r="BJ114" s="588"/>
      <c r="BK114" s="595" t="s">
        <v>646</v>
      </c>
      <c r="BL114" s="594"/>
      <c r="BM114" s="594"/>
      <c r="BN114" s="593"/>
      <c r="BO114" s="693" t="s">
        <v>15</v>
      </c>
      <c r="BP114" s="694"/>
      <c r="BQ114" s="695" t="s">
        <v>15</v>
      </c>
      <c r="BR114" s="695"/>
      <c r="BS114" s="695"/>
      <c r="BT114" s="694"/>
      <c r="BU114" s="724" t="s">
        <v>15</v>
      </c>
      <c r="BV114" s="695"/>
      <c r="BW114" s="695"/>
      <c r="BX114" s="694"/>
      <c r="BY114" s="925">
        <v>12</v>
      </c>
      <c r="BZ114" s="926"/>
      <c r="CA114" s="927"/>
      <c r="CB114" s="935">
        <v>5</v>
      </c>
      <c r="CC114" s="933"/>
      <c r="CD114" s="934"/>
      <c r="CE114" s="929" t="s">
        <v>15</v>
      </c>
      <c r="CF114" s="930"/>
      <c r="CG114" s="931"/>
      <c r="CH114" s="925" t="s">
        <v>1467</v>
      </c>
      <c r="CI114" s="941"/>
      <c r="CJ114" s="1313" t="s">
        <v>1476</v>
      </c>
      <c r="CK114" s="1314"/>
      <c r="CL114" s="1314"/>
      <c r="CM114" s="1315"/>
      <c r="CN114" s="1313" t="s">
        <v>1476</v>
      </c>
      <c r="CO114" s="1314"/>
      <c r="CP114" s="1314"/>
      <c r="CQ114" s="1315"/>
      <c r="CR114" s="988" t="s">
        <v>1478</v>
      </c>
      <c r="CS114" s="989"/>
      <c r="CT114" s="990"/>
      <c r="CU114" s="1316">
        <v>500000</v>
      </c>
      <c r="CV114" s="1317"/>
      <c r="CW114" s="1317"/>
      <c r="CX114" s="1318"/>
      <c r="CY114" s="1313" t="s">
        <v>1513</v>
      </c>
      <c r="CZ114" s="1314"/>
      <c r="DA114" s="1314"/>
      <c r="DB114" s="1315"/>
      <c r="DC114" s="1313" t="s">
        <v>1476</v>
      </c>
      <c r="DD114" s="1314"/>
      <c r="DE114" s="1314"/>
      <c r="DF114" s="1315"/>
      <c r="DG114" s="1316">
        <v>500000</v>
      </c>
      <c r="DH114" s="1317"/>
      <c r="DI114" s="1317"/>
      <c r="DJ114" s="1318"/>
      <c r="DK114" s="1313" t="s">
        <v>1513</v>
      </c>
      <c r="DL114" s="1314"/>
      <c r="DM114" s="1314"/>
      <c r="DN114" s="1315"/>
      <c r="DO114" s="1313" t="s">
        <v>1476</v>
      </c>
      <c r="DP114" s="1314"/>
      <c r="DQ114" s="1314"/>
      <c r="DR114" s="1315"/>
      <c r="DS114" s="1316">
        <v>500000</v>
      </c>
      <c r="DT114" s="1317"/>
      <c r="DU114" s="1317"/>
      <c r="DV114" s="1318"/>
      <c r="DW114" s="920" t="s">
        <v>942</v>
      </c>
      <c r="DX114" s="573"/>
    </row>
    <row r="115" spans="10:128" ht="18.95" customHeight="1">
      <c r="J115" s="619"/>
      <c r="K115" s="1144"/>
      <c r="L115" s="784"/>
      <c r="M115" s="784"/>
      <c r="N115" s="785"/>
      <c r="O115" s="1144"/>
      <c r="P115" s="784"/>
      <c r="Q115" s="784"/>
      <c r="R115" s="785"/>
      <c r="S115" s="651"/>
      <c r="T115" s="652"/>
      <c r="U115" s="653"/>
      <c r="V115" s="651"/>
      <c r="W115" s="652"/>
      <c r="X115" s="653"/>
      <c r="Y115" s="651"/>
      <c r="Z115" s="620"/>
      <c r="AA115" s="620"/>
      <c r="AB115" s="620"/>
      <c r="AC115" s="680"/>
      <c r="AD115" s="651"/>
      <c r="AE115" s="620"/>
      <c r="AF115" s="620"/>
      <c r="AG115" s="620"/>
      <c r="AH115" s="680"/>
      <c r="AI115" s="651"/>
      <c r="AJ115" s="620"/>
      <c r="AK115" s="620"/>
      <c r="AL115" s="620"/>
      <c r="AM115" s="680"/>
      <c r="AN115" s="620"/>
      <c r="AO115" s="620"/>
      <c r="AP115" s="620"/>
      <c r="AQ115" s="680"/>
      <c r="AR115" s="983"/>
      <c r="AS115" s="784"/>
      <c r="AT115" s="784"/>
      <c r="AU115" s="785"/>
      <c r="AV115" s="984"/>
      <c r="AW115" s="784"/>
      <c r="AX115" s="784"/>
      <c r="AY115" s="785"/>
      <c r="AZ115" s="654"/>
      <c r="BA115" s="652"/>
      <c r="BB115" s="653"/>
      <c r="BC115" s="753"/>
      <c r="BD115" s="652"/>
      <c r="BE115" s="652"/>
      <c r="BF115" s="652"/>
      <c r="BG115" s="652"/>
      <c r="BH115" s="653"/>
      <c r="BI115" s="693" t="s">
        <v>15</v>
      </c>
      <c r="BJ115" s="694"/>
      <c r="BK115" s="695" t="s">
        <v>15</v>
      </c>
      <c r="BL115" s="695"/>
      <c r="BM115" s="695"/>
      <c r="BN115" s="694"/>
      <c r="BO115" s="595" t="s">
        <v>950</v>
      </c>
      <c r="BP115" s="588"/>
      <c r="BQ115" s="595" t="s">
        <v>951</v>
      </c>
      <c r="BR115" s="594"/>
      <c r="BS115" s="594"/>
      <c r="BT115" s="593"/>
      <c r="BU115" s="724" t="s">
        <v>15</v>
      </c>
      <c r="BV115" s="695"/>
      <c r="BW115" s="695"/>
      <c r="BX115" s="694"/>
      <c r="BY115" s="925">
        <v>10</v>
      </c>
      <c r="BZ115" s="926"/>
      <c r="CA115" s="927"/>
      <c r="CB115" s="932">
        <v>5</v>
      </c>
      <c r="CC115" s="933"/>
      <c r="CD115" s="934"/>
      <c r="CE115" s="929" t="s">
        <v>15</v>
      </c>
      <c r="CF115" s="930"/>
      <c r="CG115" s="931"/>
      <c r="CH115" s="925" t="s">
        <v>1467</v>
      </c>
      <c r="CI115" s="941"/>
      <c r="CJ115" s="1319"/>
      <c r="CK115" s="1250"/>
      <c r="CL115" s="1250"/>
      <c r="CM115" s="1251"/>
      <c r="CN115" s="1319"/>
      <c r="CO115" s="1250"/>
      <c r="CP115" s="1250"/>
      <c r="CQ115" s="1251"/>
      <c r="CR115" s="991"/>
      <c r="CS115" s="540"/>
      <c r="CT115" s="992"/>
      <c r="CU115" s="1320"/>
      <c r="CV115" s="1321"/>
      <c r="CW115" s="1321"/>
      <c r="CX115" s="1322"/>
      <c r="CY115" s="1319"/>
      <c r="CZ115" s="1250"/>
      <c r="DA115" s="1250"/>
      <c r="DB115" s="1251"/>
      <c r="DC115" s="1319"/>
      <c r="DD115" s="1250"/>
      <c r="DE115" s="1250"/>
      <c r="DF115" s="1251"/>
      <c r="DG115" s="1320"/>
      <c r="DH115" s="1321"/>
      <c r="DI115" s="1321"/>
      <c r="DJ115" s="1322"/>
      <c r="DK115" s="1319"/>
      <c r="DL115" s="1250"/>
      <c r="DM115" s="1250"/>
      <c r="DN115" s="1251"/>
      <c r="DO115" s="1319"/>
      <c r="DP115" s="1250"/>
      <c r="DQ115" s="1250"/>
      <c r="DR115" s="1251"/>
      <c r="DS115" s="1320"/>
      <c r="DT115" s="1321"/>
      <c r="DU115" s="1321"/>
      <c r="DV115" s="1322"/>
      <c r="DW115" s="855"/>
      <c r="DX115" s="573"/>
    </row>
    <row r="116" spans="10:128" ht="18.95" customHeight="1">
      <c r="J116" s="619"/>
      <c r="K116" s="1144"/>
      <c r="L116" s="784"/>
      <c r="M116" s="784"/>
      <c r="N116" s="785"/>
      <c r="O116" s="1144"/>
      <c r="P116" s="784"/>
      <c r="Q116" s="784"/>
      <c r="R116" s="785"/>
      <c r="S116" s="651"/>
      <c r="T116" s="652"/>
      <c r="U116" s="653"/>
      <c r="V116" s="651"/>
      <c r="W116" s="652"/>
      <c r="X116" s="653"/>
      <c r="Y116" s="651"/>
      <c r="Z116" s="620"/>
      <c r="AA116" s="620"/>
      <c r="AB116" s="620"/>
      <c r="AC116" s="680"/>
      <c r="AD116" s="651"/>
      <c r="AE116" s="620"/>
      <c r="AF116" s="620"/>
      <c r="AG116" s="620"/>
      <c r="AH116" s="680"/>
      <c r="AI116" s="651"/>
      <c r="AJ116" s="620"/>
      <c r="AK116" s="620"/>
      <c r="AL116" s="620"/>
      <c r="AM116" s="680"/>
      <c r="AN116" s="620"/>
      <c r="AO116" s="620"/>
      <c r="AP116" s="620"/>
      <c r="AQ116" s="680"/>
      <c r="AR116" s="985"/>
      <c r="AS116" s="787"/>
      <c r="AT116" s="787"/>
      <c r="AU116" s="788"/>
      <c r="AV116" s="986"/>
      <c r="AW116" s="787"/>
      <c r="AX116" s="787"/>
      <c r="AY116" s="788"/>
      <c r="AZ116" s="665"/>
      <c r="BA116" s="666"/>
      <c r="BB116" s="667"/>
      <c r="BC116" s="756"/>
      <c r="BD116" s="666"/>
      <c r="BE116" s="666"/>
      <c r="BF116" s="666"/>
      <c r="BG116" s="666"/>
      <c r="BH116" s="667"/>
      <c r="BI116" s="693" t="s">
        <v>15</v>
      </c>
      <c r="BJ116" s="694"/>
      <c r="BK116" s="695" t="s">
        <v>15</v>
      </c>
      <c r="BL116" s="695"/>
      <c r="BM116" s="695"/>
      <c r="BN116" s="694"/>
      <c r="BO116" s="693" t="s">
        <v>15</v>
      </c>
      <c r="BP116" s="694"/>
      <c r="BQ116" s="695" t="s">
        <v>15</v>
      </c>
      <c r="BR116" s="695"/>
      <c r="BS116" s="695"/>
      <c r="BT116" s="694"/>
      <c r="BU116" s="590" t="s">
        <v>959</v>
      </c>
      <c r="BV116" s="589"/>
      <c r="BW116" s="589"/>
      <c r="BX116" s="588"/>
      <c r="BY116" s="925">
        <v>10</v>
      </c>
      <c r="BZ116" s="926"/>
      <c r="CA116" s="927"/>
      <c r="CB116" s="932">
        <v>5</v>
      </c>
      <c r="CC116" s="933"/>
      <c r="CD116" s="934"/>
      <c r="CE116" s="929" t="s">
        <v>15</v>
      </c>
      <c r="CF116" s="930"/>
      <c r="CG116" s="931"/>
      <c r="CH116" s="925" t="s">
        <v>1467</v>
      </c>
      <c r="CI116" s="941"/>
      <c r="CJ116" s="1323"/>
      <c r="CK116" s="1277"/>
      <c r="CL116" s="1277"/>
      <c r="CM116" s="1278"/>
      <c r="CN116" s="1323"/>
      <c r="CO116" s="1277"/>
      <c r="CP116" s="1277"/>
      <c r="CQ116" s="1278"/>
      <c r="CR116" s="993"/>
      <c r="CS116" s="268"/>
      <c r="CT116" s="994"/>
      <c r="CU116" s="1324"/>
      <c r="CV116" s="1325"/>
      <c r="CW116" s="1325"/>
      <c r="CX116" s="1326"/>
      <c r="CY116" s="1323"/>
      <c r="CZ116" s="1277"/>
      <c r="DA116" s="1277"/>
      <c r="DB116" s="1278"/>
      <c r="DC116" s="1323"/>
      <c r="DD116" s="1277"/>
      <c r="DE116" s="1277"/>
      <c r="DF116" s="1278"/>
      <c r="DG116" s="1324"/>
      <c r="DH116" s="1325"/>
      <c r="DI116" s="1325"/>
      <c r="DJ116" s="1326"/>
      <c r="DK116" s="1323"/>
      <c r="DL116" s="1277"/>
      <c r="DM116" s="1277"/>
      <c r="DN116" s="1278"/>
      <c r="DO116" s="1323"/>
      <c r="DP116" s="1277"/>
      <c r="DQ116" s="1277"/>
      <c r="DR116" s="1278"/>
      <c r="DS116" s="1324"/>
      <c r="DT116" s="1325"/>
      <c r="DU116" s="1325"/>
      <c r="DV116" s="1326"/>
      <c r="DW116" s="946"/>
      <c r="DX116" s="573"/>
    </row>
    <row r="117" spans="10:128" ht="18.95" customHeight="1">
      <c r="J117" s="619"/>
      <c r="K117" s="786"/>
      <c r="L117" s="787"/>
      <c r="M117" s="787"/>
      <c r="N117" s="788"/>
      <c r="O117" s="786"/>
      <c r="P117" s="787"/>
      <c r="Q117" s="787"/>
      <c r="R117" s="788"/>
      <c r="S117" s="665"/>
      <c r="T117" s="666"/>
      <c r="U117" s="667"/>
      <c r="V117" s="665"/>
      <c r="W117" s="666"/>
      <c r="X117" s="667"/>
      <c r="Y117" s="665"/>
      <c r="Z117" s="755"/>
      <c r="AA117" s="755"/>
      <c r="AB117" s="755"/>
      <c r="AC117" s="681"/>
      <c r="AD117" s="665"/>
      <c r="AE117" s="755"/>
      <c r="AF117" s="755"/>
      <c r="AG117" s="755"/>
      <c r="AH117" s="681"/>
      <c r="AI117" s="665"/>
      <c r="AJ117" s="755"/>
      <c r="AK117" s="755"/>
      <c r="AL117" s="755"/>
      <c r="AM117" s="681"/>
      <c r="AN117" s="755"/>
      <c r="AO117" s="755"/>
      <c r="AP117" s="755"/>
      <c r="AQ117" s="681"/>
      <c r="AR117" s="1327">
        <v>44562</v>
      </c>
      <c r="AS117" s="1243"/>
      <c r="AT117" s="1243"/>
      <c r="AU117" s="1244"/>
      <c r="AV117" s="1331" t="s">
        <v>1459</v>
      </c>
      <c r="AW117" s="1243"/>
      <c r="AX117" s="1243"/>
      <c r="AY117" s="1244"/>
      <c r="AZ117" s="590" t="s">
        <v>1455</v>
      </c>
      <c r="BA117" s="589"/>
      <c r="BB117" s="588"/>
      <c r="BC117" s="587" t="s">
        <v>1456</v>
      </c>
      <c r="BD117" s="589"/>
      <c r="BE117" s="589"/>
      <c r="BF117" s="589"/>
      <c r="BG117" s="589"/>
      <c r="BH117" s="588"/>
      <c r="BI117" s="595" t="s">
        <v>1525</v>
      </c>
      <c r="BJ117" s="588"/>
      <c r="BK117" s="595" t="s">
        <v>646</v>
      </c>
      <c r="BL117" s="594"/>
      <c r="BM117" s="594"/>
      <c r="BN117" s="593"/>
      <c r="BO117" s="693" t="s">
        <v>15</v>
      </c>
      <c r="BP117" s="694"/>
      <c r="BQ117" s="695" t="s">
        <v>15</v>
      </c>
      <c r="BR117" s="695"/>
      <c r="BS117" s="695"/>
      <c r="BT117" s="694"/>
      <c r="BU117" s="724" t="s">
        <v>15</v>
      </c>
      <c r="BV117" s="695"/>
      <c r="BW117" s="695"/>
      <c r="BX117" s="694"/>
      <c r="BY117" s="929"/>
      <c r="BZ117" s="930"/>
      <c r="CA117" s="931"/>
      <c r="CB117" s="928">
        <v>7</v>
      </c>
      <c r="CC117" s="926"/>
      <c r="CD117" s="927"/>
      <c r="CE117" s="929" t="s">
        <v>15</v>
      </c>
      <c r="CF117" s="930"/>
      <c r="CG117" s="931"/>
      <c r="CH117" s="925" t="s">
        <v>1467</v>
      </c>
      <c r="CI117" s="941"/>
      <c r="CJ117" s="1327" t="s">
        <v>1476</v>
      </c>
      <c r="CK117" s="1243"/>
      <c r="CL117" s="1243"/>
      <c r="CM117" s="1244"/>
      <c r="CN117" s="1327" t="s">
        <v>1476</v>
      </c>
      <c r="CO117" s="1243"/>
      <c r="CP117" s="1243"/>
      <c r="CQ117" s="1244"/>
      <c r="CR117" s="923" t="s">
        <v>1479</v>
      </c>
      <c r="CS117" s="967"/>
      <c r="CT117" s="968"/>
      <c r="CU117" s="1328">
        <v>300000</v>
      </c>
      <c r="CV117" s="1329"/>
      <c r="CW117" s="1329"/>
      <c r="CX117" s="1330"/>
      <c r="CY117" s="1327" t="s">
        <v>1513</v>
      </c>
      <c r="CZ117" s="1243"/>
      <c r="DA117" s="1243"/>
      <c r="DB117" s="1244"/>
      <c r="DC117" s="1327" t="s">
        <v>1476</v>
      </c>
      <c r="DD117" s="1243"/>
      <c r="DE117" s="1243"/>
      <c r="DF117" s="1244"/>
      <c r="DG117" s="1328">
        <v>300000</v>
      </c>
      <c r="DH117" s="1329"/>
      <c r="DI117" s="1329"/>
      <c r="DJ117" s="1330"/>
      <c r="DK117" s="1327" t="s">
        <v>1513</v>
      </c>
      <c r="DL117" s="1243"/>
      <c r="DM117" s="1243"/>
      <c r="DN117" s="1244"/>
      <c r="DO117" s="1327" t="s">
        <v>1476</v>
      </c>
      <c r="DP117" s="1243"/>
      <c r="DQ117" s="1243"/>
      <c r="DR117" s="1244"/>
      <c r="DS117" s="1328">
        <v>300000</v>
      </c>
      <c r="DT117" s="1329"/>
      <c r="DU117" s="1329"/>
      <c r="DV117" s="1330"/>
      <c r="DW117" s="562"/>
      <c r="DX117" s="573"/>
    </row>
    <row r="118" spans="10:128" ht="18.95" customHeight="1">
      <c r="J118" s="619"/>
      <c r="K118" s="537" t="s">
        <v>1514</v>
      </c>
      <c r="DX118" s="573"/>
    </row>
    <row r="119" spans="10:128" ht="18.95" customHeight="1">
      <c r="J119" s="572"/>
      <c r="K119" s="571"/>
      <c r="L119" s="571"/>
      <c r="M119" s="571"/>
      <c r="N119" s="571"/>
      <c r="O119" s="571"/>
      <c r="P119" s="571"/>
      <c r="Q119" s="571"/>
      <c r="R119" s="571"/>
      <c r="S119" s="571"/>
      <c r="T119" s="571"/>
      <c r="U119" s="571"/>
      <c r="V119" s="571"/>
      <c r="W119" s="571"/>
      <c r="X119" s="571"/>
      <c r="Y119" s="571"/>
      <c r="Z119" s="571"/>
      <c r="AA119" s="571"/>
      <c r="AB119" s="571"/>
      <c r="AC119" s="571"/>
      <c r="AD119" s="571"/>
      <c r="AE119" s="571"/>
      <c r="AF119" s="571"/>
      <c r="AG119" s="571"/>
      <c r="AH119" s="571"/>
      <c r="AI119" s="571"/>
      <c r="AJ119" s="571"/>
      <c r="AK119" s="571"/>
      <c r="AL119" s="571"/>
      <c r="AM119" s="571"/>
      <c r="AN119" s="571"/>
      <c r="AO119" s="571"/>
      <c r="AP119" s="571"/>
      <c r="AQ119" s="571"/>
      <c r="AR119" s="571"/>
      <c r="AS119" s="571"/>
      <c r="AT119" s="571"/>
      <c r="AU119" s="571"/>
      <c r="AV119" s="571"/>
      <c r="AW119" s="571"/>
      <c r="AX119" s="571"/>
      <c r="AY119" s="571"/>
      <c r="AZ119" s="571"/>
      <c r="BA119" s="571"/>
      <c r="BB119" s="571"/>
      <c r="BC119" s="571"/>
      <c r="BD119" s="571"/>
      <c r="BE119" s="571"/>
      <c r="BF119" s="571"/>
      <c r="BG119" s="571"/>
      <c r="BH119" s="571"/>
      <c r="BI119" s="571"/>
      <c r="BJ119" s="571"/>
      <c r="BK119" s="571"/>
      <c r="BL119" s="571"/>
      <c r="BM119" s="571"/>
      <c r="BN119" s="571"/>
      <c r="BO119" s="571"/>
      <c r="BP119" s="571"/>
      <c r="BQ119" s="571"/>
      <c r="BR119" s="571"/>
      <c r="BS119" s="571"/>
      <c r="BT119" s="571"/>
      <c r="BU119" s="571"/>
      <c r="BV119" s="571"/>
      <c r="BW119" s="571"/>
      <c r="BX119" s="571"/>
      <c r="BY119" s="571"/>
      <c r="BZ119" s="571"/>
      <c r="CA119" s="571"/>
      <c r="CB119" s="571"/>
      <c r="CC119" s="571"/>
      <c r="CD119" s="571"/>
      <c r="CE119" s="571"/>
      <c r="CF119" s="571"/>
      <c r="CG119" s="571"/>
      <c r="CH119" s="571"/>
      <c r="CI119" s="571"/>
      <c r="CJ119" s="571"/>
      <c r="CK119" s="571"/>
      <c r="CL119" s="571"/>
      <c r="CM119" s="571"/>
      <c r="CN119" s="571"/>
      <c r="CO119" s="571"/>
      <c r="CP119" s="571"/>
      <c r="CQ119" s="571"/>
      <c r="CR119" s="571"/>
      <c r="CS119" s="571"/>
      <c r="CT119" s="571"/>
      <c r="CU119" s="571"/>
      <c r="CV119" s="571"/>
      <c r="CW119" s="571"/>
      <c r="CX119" s="571"/>
      <c r="CY119" s="571"/>
      <c r="CZ119" s="571"/>
      <c r="DA119" s="571"/>
      <c r="DB119" s="571"/>
      <c r="DC119" s="571"/>
      <c r="DD119" s="571"/>
      <c r="DE119" s="571"/>
      <c r="DF119" s="571"/>
      <c r="DG119" s="571"/>
      <c r="DH119" s="571"/>
      <c r="DI119" s="571"/>
      <c r="DJ119" s="571"/>
      <c r="DK119" s="571"/>
      <c r="DL119" s="571"/>
      <c r="DM119" s="571"/>
      <c r="DN119" s="571"/>
      <c r="DO119" s="571"/>
      <c r="DP119" s="571"/>
      <c r="DQ119" s="571"/>
      <c r="DR119" s="571"/>
      <c r="DS119" s="571"/>
      <c r="DT119" s="571"/>
      <c r="DU119" s="571"/>
      <c r="DV119" s="571"/>
      <c r="DW119" s="571"/>
      <c r="DX119" s="570"/>
    </row>
  </sheetData>
  <mergeCells count="100">
    <mergeCell ref="T87:W87"/>
    <mergeCell ref="X87:AA87"/>
    <mergeCell ref="AB87:AE87"/>
    <mergeCell ref="K77:K78"/>
    <mergeCell ref="L77:M78"/>
    <mergeCell ref="K84:K85"/>
    <mergeCell ref="L84:M85"/>
    <mergeCell ref="AB84:AE85"/>
    <mergeCell ref="N84:S85"/>
    <mergeCell ref="T86:W86"/>
    <mergeCell ref="X86:AA86"/>
    <mergeCell ref="AB86:AE86"/>
    <mergeCell ref="W79:Z79"/>
    <mergeCell ref="AA79:AD79"/>
    <mergeCell ref="AI80:AL80"/>
    <mergeCell ref="AF54:AI55"/>
    <mergeCell ref="W73:Z73"/>
    <mergeCell ref="AA73:AD73"/>
    <mergeCell ref="AI73:AL73"/>
    <mergeCell ref="AI72:AL72"/>
    <mergeCell ref="AI70:AL71"/>
    <mergeCell ref="AA64:AD64"/>
    <mergeCell ref="K70:K71"/>
    <mergeCell ref="L70:M71"/>
    <mergeCell ref="N57:Q57"/>
    <mergeCell ref="R57:U57"/>
    <mergeCell ref="K61:K62"/>
    <mergeCell ref="L61:M62"/>
    <mergeCell ref="AM50:AQ50"/>
    <mergeCell ref="K54:K55"/>
    <mergeCell ref="N56:Q56"/>
    <mergeCell ref="R56:U56"/>
    <mergeCell ref="V54:Z55"/>
    <mergeCell ref="AA54:AE55"/>
    <mergeCell ref="L54:M55"/>
    <mergeCell ref="N48:Q48"/>
    <mergeCell ref="O50:R50"/>
    <mergeCell ref="W50:Z50"/>
    <mergeCell ref="AD50:AI50"/>
    <mergeCell ref="K112:N113"/>
    <mergeCell ref="O108:R108"/>
    <mergeCell ref="W108:Z108"/>
    <mergeCell ref="W72:Z72"/>
    <mergeCell ref="AA72:AD72"/>
    <mergeCell ref="W63:Z63"/>
    <mergeCell ref="AA63:AD63"/>
    <mergeCell ref="W65:Z65"/>
    <mergeCell ref="AA65:AD65"/>
    <mergeCell ref="W66:Z66"/>
    <mergeCell ref="AA66:AD66"/>
    <mergeCell ref="W64:Z64"/>
    <mergeCell ref="AR117:AU117"/>
    <mergeCell ref="AV117:AY117"/>
    <mergeCell ref="AI77:AL78"/>
    <mergeCell ref="K114:N114"/>
    <mergeCell ref="CY117:DB117"/>
    <mergeCell ref="CY114:DB114"/>
    <mergeCell ref="CY116:DB116"/>
    <mergeCell ref="O112:R113"/>
    <mergeCell ref="O114:R114"/>
    <mergeCell ref="AR114:AU114"/>
    <mergeCell ref="AV114:AY114"/>
    <mergeCell ref="AO106:AR106"/>
    <mergeCell ref="AU106:AX106"/>
    <mergeCell ref="AI79:AL79"/>
    <mergeCell ref="W80:Z80"/>
    <mergeCell ref="AA80:AD80"/>
    <mergeCell ref="CJ117:CM117"/>
    <mergeCell ref="CN117:CQ117"/>
    <mergeCell ref="CU117:CX117"/>
    <mergeCell ref="CJ114:CM114"/>
    <mergeCell ref="CN114:CQ114"/>
    <mergeCell ref="CU114:CX114"/>
    <mergeCell ref="CJ115:CM115"/>
    <mergeCell ref="CN115:CQ115"/>
    <mergeCell ref="CU115:CX115"/>
    <mergeCell ref="CJ116:CM116"/>
    <mergeCell ref="CN116:CQ116"/>
    <mergeCell ref="CU116:CX116"/>
    <mergeCell ref="DC114:DF114"/>
    <mergeCell ref="DG114:DJ114"/>
    <mergeCell ref="CY115:DB115"/>
    <mergeCell ref="DC115:DF115"/>
    <mergeCell ref="DG115:DJ115"/>
    <mergeCell ref="DC116:DF116"/>
    <mergeCell ref="DG116:DJ116"/>
    <mergeCell ref="DO116:DR116"/>
    <mergeCell ref="DS116:DV116"/>
    <mergeCell ref="DK117:DN117"/>
    <mergeCell ref="DO117:DR117"/>
    <mergeCell ref="DS117:DV117"/>
    <mergeCell ref="DC117:DF117"/>
    <mergeCell ref="DG117:DJ117"/>
    <mergeCell ref="DK116:DN116"/>
    <mergeCell ref="DO114:DR114"/>
    <mergeCell ref="DS114:DV114"/>
    <mergeCell ref="DK115:DN115"/>
    <mergeCell ref="DO115:DR115"/>
    <mergeCell ref="DS115:DV115"/>
    <mergeCell ref="DK114:DN114"/>
  </mergeCells>
  <phoneticPr fontId="2" type="noConversion"/>
  <pageMargins left="0.7" right="0.7" top="0.75" bottom="0.75" header="0.3" footer="0.3"/>
  <pageSetup paperSize="9" scale="52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K7:V27"/>
  <sheetViews>
    <sheetView workbookViewId="0">
      <selection activeCell="S17" sqref="S17"/>
    </sheetView>
  </sheetViews>
  <sheetFormatPr defaultColWidth="3.7109375" defaultRowHeight="18.95" customHeight="1"/>
  <sheetData>
    <row r="7" spans="11:22" ht="18.95" customHeight="1">
      <c r="K7" s="144"/>
      <c r="V7" s="1011"/>
    </row>
    <row r="8" spans="11:22" ht="18.95" customHeight="1">
      <c r="K8" s="144"/>
      <c r="V8" s="1011"/>
    </row>
    <row r="9" spans="11:22" ht="18.95" customHeight="1">
      <c r="K9" s="144"/>
      <c r="V9" s="1011"/>
    </row>
    <row r="10" spans="11:22" ht="18.95" customHeight="1">
      <c r="K10" s="144"/>
      <c r="V10" s="1011"/>
    </row>
    <row r="11" spans="11:22" ht="18.95" customHeight="1">
      <c r="K11" s="144"/>
      <c r="V11" s="1011"/>
    </row>
    <row r="12" spans="11:22" ht="18.95" customHeight="1">
      <c r="K12" s="144"/>
      <c r="V12" s="1011"/>
    </row>
    <row r="13" spans="11:22" ht="18.95" customHeight="1">
      <c r="K13" s="144"/>
      <c r="V13" s="1011"/>
    </row>
    <row r="14" spans="11:22" ht="18.95" customHeight="1">
      <c r="K14" s="144"/>
      <c r="V14" s="1011"/>
    </row>
    <row r="15" spans="11:22" ht="18.95" customHeight="1">
      <c r="K15" s="144"/>
      <c r="V15" s="1011"/>
    </row>
    <row r="16" spans="11:22" ht="18.95" customHeight="1">
      <c r="K16" s="144"/>
      <c r="V16" s="1011"/>
    </row>
    <row r="17" spans="11:22" ht="18.95" customHeight="1">
      <c r="K17" s="144"/>
      <c r="V17" s="1011"/>
    </row>
    <row r="18" spans="11:22" ht="18.95" customHeight="1">
      <c r="K18" s="144"/>
      <c r="V18" s="1011"/>
    </row>
    <row r="19" spans="11:22" ht="18.95" customHeight="1">
      <c r="K19" s="144"/>
      <c r="V19" s="1011"/>
    </row>
    <row r="20" spans="11:22" ht="18.95" customHeight="1">
      <c r="K20" s="144"/>
      <c r="V20" s="1011"/>
    </row>
    <row r="21" spans="11:22" ht="18.95" customHeight="1">
      <c r="K21" s="144"/>
      <c r="V21" s="1011"/>
    </row>
    <row r="22" spans="11:22" ht="18.95" customHeight="1">
      <c r="K22" s="144"/>
      <c r="V22" s="1011"/>
    </row>
    <row r="23" spans="11:22" ht="18.95" customHeight="1">
      <c r="K23" s="144"/>
      <c r="V23" s="1011"/>
    </row>
    <row r="24" spans="11:22" ht="18.95" customHeight="1">
      <c r="K24" s="144"/>
      <c r="V24" s="1011"/>
    </row>
    <row r="25" spans="11:22" ht="18.95" customHeight="1">
      <c r="K25" s="144"/>
      <c r="V25" s="1011"/>
    </row>
    <row r="26" spans="11:22" ht="18.95" customHeight="1">
      <c r="K26" s="144"/>
      <c r="V26" s="1011"/>
    </row>
    <row r="27" spans="11:22" ht="18.95" customHeight="1">
      <c r="K27" s="144"/>
      <c r="V27" s="1011"/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C2:AO444"/>
  <sheetViews>
    <sheetView workbookViewId="0"/>
  </sheetViews>
  <sheetFormatPr defaultRowHeight="20.100000000000001" customHeight="1" outlineLevelRow="1" outlineLevelCol="1"/>
  <cols>
    <col min="3" max="3" width="45.140625" customWidth="1"/>
    <col min="4" max="4" width="18.42578125" customWidth="1"/>
    <col min="5" max="6" width="12" customWidth="1"/>
    <col min="7" max="14" width="12" customWidth="1" outlineLevel="1"/>
    <col min="15" max="20" width="12" customWidth="1"/>
    <col min="21" max="27" width="12" customWidth="1" outlineLevel="1"/>
    <col min="28" max="39" width="12" customWidth="1"/>
    <col min="40" max="40" width="11.140625" bestFit="1" customWidth="1"/>
  </cols>
  <sheetData>
    <row r="2" spans="3:41" ht="34.5" customHeight="1">
      <c r="C2" s="119" t="s">
        <v>84</v>
      </c>
    </row>
    <row r="4" spans="3:41" ht="20.100000000000001" customHeight="1">
      <c r="C4" s="86" t="s">
        <v>55</v>
      </c>
    </row>
    <row r="5" spans="3:41" ht="20.100000000000001" customHeight="1">
      <c r="C5" s="86" t="s">
        <v>56</v>
      </c>
    </row>
    <row r="6" spans="3:41" ht="20.100000000000001" customHeight="1">
      <c r="C6" s="120" t="s">
        <v>93</v>
      </c>
    </row>
    <row r="7" spans="3:41" ht="20.100000000000001" customHeight="1">
      <c r="C7" s="86" t="s">
        <v>86</v>
      </c>
    </row>
    <row r="9" spans="3:41" s="79" customFormat="1" ht="20.100000000000001" customHeight="1">
      <c r="C9" s="96"/>
      <c r="D9" s="96"/>
      <c r="E9" s="106"/>
      <c r="F9" s="108" t="s">
        <v>5</v>
      </c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9"/>
      <c r="T9" s="108" t="s">
        <v>10</v>
      </c>
      <c r="U9" s="100"/>
      <c r="V9" s="100"/>
      <c r="W9" s="100"/>
      <c r="X9" s="100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9"/>
      <c r="AM9" s="106"/>
      <c r="AO9"/>
    </row>
    <row r="10" spans="3:41" s="79" customFormat="1" ht="20.100000000000001" customHeight="1">
      <c r="C10" s="100" t="s">
        <v>57</v>
      </c>
      <c r="D10" s="100" t="s">
        <v>58</v>
      </c>
      <c r="E10" s="106" t="s">
        <v>1</v>
      </c>
      <c r="F10" s="110" t="s">
        <v>43</v>
      </c>
      <c r="G10" s="112" t="s">
        <v>29</v>
      </c>
      <c r="H10" s="112"/>
      <c r="I10" s="113"/>
      <c r="J10" s="112" t="s">
        <v>49</v>
      </c>
      <c r="K10" s="115"/>
      <c r="L10" s="115"/>
      <c r="M10" s="116"/>
      <c r="N10" s="117"/>
      <c r="O10" s="118" t="s">
        <v>6</v>
      </c>
      <c r="P10" s="112" t="s">
        <v>7</v>
      </c>
      <c r="Q10" s="112"/>
      <c r="R10" s="113"/>
      <c r="S10" s="1179" t="s">
        <v>31</v>
      </c>
      <c r="T10" s="110" t="s">
        <v>11</v>
      </c>
      <c r="U10" s="112" t="s">
        <v>48</v>
      </c>
      <c r="V10" s="115"/>
      <c r="W10" s="115"/>
      <c r="X10" s="115"/>
      <c r="Y10" s="116"/>
      <c r="Z10" s="116"/>
      <c r="AA10" s="117"/>
      <c r="AB10" s="118" t="s">
        <v>12</v>
      </c>
      <c r="AC10" s="112" t="s">
        <v>39</v>
      </c>
      <c r="AD10" s="112"/>
      <c r="AE10" s="112"/>
      <c r="AF10" s="112"/>
      <c r="AG10" s="113"/>
      <c r="AH10" s="112" t="s">
        <v>40</v>
      </c>
      <c r="AI10" s="112"/>
      <c r="AJ10" s="112"/>
      <c r="AK10" s="113"/>
      <c r="AL10" s="1179" t="s">
        <v>32</v>
      </c>
      <c r="AM10" s="106" t="s">
        <v>16</v>
      </c>
      <c r="AO10"/>
    </row>
    <row r="11" spans="3:41" s="79" customFormat="1" ht="20.100000000000001" customHeight="1">
      <c r="C11" s="96"/>
      <c r="D11" s="96"/>
      <c r="E11" s="107"/>
      <c r="F11" s="111" t="s">
        <v>42</v>
      </c>
      <c r="G11" s="102" t="s">
        <v>53</v>
      </c>
      <c r="H11" s="102" t="s">
        <v>54</v>
      </c>
      <c r="I11" s="114" t="s">
        <v>30</v>
      </c>
      <c r="J11" s="102" t="s">
        <v>50</v>
      </c>
      <c r="K11" s="102" t="s">
        <v>51</v>
      </c>
      <c r="L11" s="102" t="s">
        <v>72</v>
      </c>
      <c r="M11" s="103" t="s">
        <v>46</v>
      </c>
      <c r="N11" s="114" t="s">
        <v>30</v>
      </c>
      <c r="O11" s="114" t="s">
        <v>41</v>
      </c>
      <c r="P11" s="103" t="s">
        <v>8</v>
      </c>
      <c r="Q11" s="102" t="s">
        <v>38</v>
      </c>
      <c r="R11" s="114" t="s">
        <v>30</v>
      </c>
      <c r="S11" s="1179"/>
      <c r="T11" s="111"/>
      <c r="U11" s="103" t="s">
        <v>212</v>
      </c>
      <c r="V11" s="102" t="s">
        <v>47</v>
      </c>
      <c r="W11" s="102" t="s">
        <v>73</v>
      </c>
      <c r="X11" s="102" t="s">
        <v>64</v>
      </c>
      <c r="Y11" s="102" t="s">
        <v>45</v>
      </c>
      <c r="Z11" s="102" t="s">
        <v>52</v>
      </c>
      <c r="AA11" s="114" t="s">
        <v>30</v>
      </c>
      <c r="AB11" s="114" t="s">
        <v>41</v>
      </c>
      <c r="AC11" s="103" t="s">
        <v>33</v>
      </c>
      <c r="AD11" s="102" t="s">
        <v>34</v>
      </c>
      <c r="AE11" s="102" t="s">
        <v>35</v>
      </c>
      <c r="AF11" s="102" t="s">
        <v>36</v>
      </c>
      <c r="AG11" s="114" t="s">
        <v>30</v>
      </c>
      <c r="AH11" s="102" t="s">
        <v>37</v>
      </c>
      <c r="AI11" s="102" t="s">
        <v>8</v>
      </c>
      <c r="AJ11" s="102" t="s">
        <v>38</v>
      </c>
      <c r="AK11" s="114" t="s">
        <v>30</v>
      </c>
      <c r="AL11" s="1179"/>
      <c r="AM11" s="107"/>
      <c r="AO11"/>
    </row>
    <row r="12" spans="3:41" s="78" customFormat="1" ht="20.100000000000001" customHeight="1" outlineLevel="1">
      <c r="I12" s="78">
        <f t="shared" ref="I12:I17" si="0">SUM(G12:H12)</f>
        <v>0</v>
      </c>
      <c r="N12" s="78">
        <f t="shared" ref="N12:N17" si="1">SUM(J12:M12)</f>
        <v>0</v>
      </c>
      <c r="R12" s="78">
        <f t="shared" ref="R12:R17" si="2">SUM(P12:Q12)</f>
        <v>0</v>
      </c>
      <c r="S12" s="78">
        <f t="shared" ref="S12:S17" si="3">F12+I12+N12+O12+R12</f>
        <v>0</v>
      </c>
      <c r="AA12" s="78">
        <f t="shared" ref="AA12:AA17" si="4">SUM(U12:Z12)</f>
        <v>0</v>
      </c>
      <c r="AG12" s="78">
        <f t="shared" ref="AG12:AG17" si="5">SUM(AC12:AF12)</f>
        <v>0</v>
      </c>
      <c r="AK12" s="78">
        <f t="shared" ref="AK12:AK17" si="6">SUM(AH12:AJ12)</f>
        <v>0</v>
      </c>
      <c r="AL12" s="78">
        <f t="shared" ref="AL12:AL17" si="7">T12+AA12+AB12+AG12+AK12</f>
        <v>0</v>
      </c>
      <c r="AM12" s="78">
        <f t="shared" ref="AM12:AM17" si="8">E12+S12-AL12</f>
        <v>0</v>
      </c>
    </row>
    <row r="13" spans="3:41" s="78" customFormat="1" ht="20.100000000000001" customHeight="1" outlineLevel="1">
      <c r="I13" s="78">
        <f t="shared" si="0"/>
        <v>0</v>
      </c>
      <c r="N13" s="78">
        <f t="shared" si="1"/>
        <v>0</v>
      </c>
      <c r="R13" s="78">
        <f t="shared" si="2"/>
        <v>0</v>
      </c>
      <c r="S13" s="78">
        <f t="shared" si="3"/>
        <v>0</v>
      </c>
      <c r="AA13" s="78">
        <f t="shared" si="4"/>
        <v>0</v>
      </c>
      <c r="AG13" s="78">
        <f t="shared" si="5"/>
        <v>0</v>
      </c>
      <c r="AK13" s="78">
        <f t="shared" si="6"/>
        <v>0</v>
      </c>
      <c r="AL13" s="78">
        <f t="shared" si="7"/>
        <v>0</v>
      </c>
      <c r="AM13" s="78">
        <f t="shared" si="8"/>
        <v>0</v>
      </c>
    </row>
    <row r="14" spans="3:41" s="78" customFormat="1" ht="20.100000000000001" customHeight="1" outlineLevel="1">
      <c r="I14" s="78">
        <f t="shared" si="0"/>
        <v>0</v>
      </c>
      <c r="N14" s="78">
        <f t="shared" si="1"/>
        <v>0</v>
      </c>
      <c r="R14" s="78">
        <f t="shared" si="2"/>
        <v>0</v>
      </c>
      <c r="S14" s="78">
        <f t="shared" si="3"/>
        <v>0</v>
      </c>
      <c r="AA14" s="78">
        <f t="shared" si="4"/>
        <v>0</v>
      </c>
      <c r="AG14" s="78">
        <f t="shared" si="5"/>
        <v>0</v>
      </c>
      <c r="AK14" s="78">
        <f t="shared" si="6"/>
        <v>0</v>
      </c>
      <c r="AL14" s="78">
        <f t="shared" si="7"/>
        <v>0</v>
      </c>
      <c r="AM14" s="78">
        <f t="shared" si="8"/>
        <v>0</v>
      </c>
    </row>
    <row r="15" spans="3:41" s="78" customFormat="1" ht="20.100000000000001" customHeight="1" outlineLevel="1">
      <c r="I15" s="78">
        <f t="shared" si="0"/>
        <v>0</v>
      </c>
      <c r="N15" s="78">
        <f t="shared" si="1"/>
        <v>0</v>
      </c>
      <c r="R15" s="78">
        <f t="shared" si="2"/>
        <v>0</v>
      </c>
      <c r="S15" s="78">
        <f t="shared" si="3"/>
        <v>0</v>
      </c>
      <c r="AA15" s="78">
        <f t="shared" si="4"/>
        <v>0</v>
      </c>
      <c r="AG15" s="78">
        <f t="shared" si="5"/>
        <v>0</v>
      </c>
      <c r="AK15" s="78">
        <f t="shared" si="6"/>
        <v>0</v>
      </c>
      <c r="AL15" s="78">
        <f t="shared" si="7"/>
        <v>0</v>
      </c>
      <c r="AM15" s="78">
        <f t="shared" si="8"/>
        <v>0</v>
      </c>
    </row>
    <row r="16" spans="3:41" s="78" customFormat="1" ht="20.100000000000001" customHeight="1" outlineLevel="1">
      <c r="I16" s="78">
        <f t="shared" si="0"/>
        <v>0</v>
      </c>
      <c r="N16" s="78">
        <f t="shared" si="1"/>
        <v>0</v>
      </c>
      <c r="R16" s="78">
        <f t="shared" si="2"/>
        <v>0</v>
      </c>
      <c r="S16" s="78">
        <f t="shared" si="3"/>
        <v>0</v>
      </c>
      <c r="AA16" s="78">
        <f t="shared" si="4"/>
        <v>0</v>
      </c>
      <c r="AG16" s="78">
        <f t="shared" si="5"/>
        <v>0</v>
      </c>
      <c r="AK16" s="78">
        <f t="shared" si="6"/>
        <v>0</v>
      </c>
      <c r="AL16" s="78">
        <f t="shared" si="7"/>
        <v>0</v>
      </c>
      <c r="AM16" s="78">
        <f t="shared" si="8"/>
        <v>0</v>
      </c>
    </row>
    <row r="17" spans="3:39" s="78" customFormat="1" ht="20.100000000000001" customHeight="1" outlineLevel="1">
      <c r="I17" s="78">
        <f t="shared" si="0"/>
        <v>0</v>
      </c>
      <c r="N17" s="78">
        <f t="shared" si="1"/>
        <v>0</v>
      </c>
      <c r="R17" s="78">
        <f t="shared" si="2"/>
        <v>0</v>
      </c>
      <c r="S17" s="78">
        <f t="shared" si="3"/>
        <v>0</v>
      </c>
      <c r="AA17" s="78">
        <f t="shared" si="4"/>
        <v>0</v>
      </c>
      <c r="AG17" s="78">
        <f t="shared" si="5"/>
        <v>0</v>
      </c>
      <c r="AK17" s="78">
        <f t="shared" si="6"/>
        <v>0</v>
      </c>
      <c r="AL17" s="78">
        <f t="shared" si="7"/>
        <v>0</v>
      </c>
      <c r="AM17" s="78">
        <f t="shared" si="8"/>
        <v>0</v>
      </c>
    </row>
    <row r="18" spans="3:39" s="78" customFormat="1" ht="20.100000000000001" customHeight="1"/>
    <row r="19" spans="3:39" s="78" customFormat="1" ht="20.100000000000001" customHeight="1">
      <c r="C19" s="81" t="s">
        <v>71</v>
      </c>
      <c r="D19" s="104" t="s">
        <v>62</v>
      </c>
      <c r="E19" s="104">
        <f>AM12</f>
        <v>0</v>
      </c>
      <c r="F19" s="104"/>
      <c r="G19" s="104"/>
      <c r="H19" s="104"/>
      <c r="I19" s="104">
        <f t="shared" ref="I19:I24" si="9">SUM(G19:H19)</f>
        <v>0</v>
      </c>
      <c r="J19" s="104"/>
      <c r="K19" s="104"/>
      <c r="L19" s="104"/>
      <c r="M19" s="104"/>
      <c r="N19" s="104">
        <f t="shared" ref="N19:N24" si="10">SUM(J19:M19)</f>
        <v>0</v>
      </c>
      <c r="O19" s="104"/>
      <c r="P19" s="104"/>
      <c r="Q19" s="104"/>
      <c r="R19" s="104">
        <f t="shared" ref="R19:R24" si="11">SUM(P19:Q19)</f>
        <v>0</v>
      </c>
      <c r="S19" s="104">
        <f t="shared" ref="S19:S24" si="12">F19+I19+N19+O19+R19</f>
        <v>0</v>
      </c>
      <c r="T19" s="104"/>
      <c r="U19" s="104"/>
      <c r="V19" s="104"/>
      <c r="W19" s="104"/>
      <c r="X19" s="104"/>
      <c r="Y19" s="104"/>
      <c r="Z19" s="104"/>
      <c r="AA19" s="104">
        <f t="shared" ref="AA19:AA24" si="13">SUM(U19:Z19)</f>
        <v>0</v>
      </c>
      <c r="AB19" s="104"/>
      <c r="AC19" s="104"/>
      <c r="AD19" s="104"/>
      <c r="AE19" s="104"/>
      <c r="AF19" s="104"/>
      <c r="AG19" s="104">
        <f t="shared" ref="AG19:AG24" si="14">SUM(AC19:AF19)</f>
        <v>0</v>
      </c>
      <c r="AH19" s="104"/>
      <c r="AI19" s="104"/>
      <c r="AJ19" s="104"/>
      <c r="AK19" s="104">
        <f t="shared" ref="AK19:AK24" si="15">SUM(AH19:AJ19)</f>
        <v>0</v>
      </c>
      <c r="AL19" s="104">
        <f t="shared" ref="AL19:AL24" si="16">T19+AA19+AB19+AG19+AK19</f>
        <v>0</v>
      </c>
      <c r="AM19" s="104">
        <f t="shared" ref="AM19:AM24" si="17">E19+S19-AL19</f>
        <v>0</v>
      </c>
    </row>
    <row r="20" spans="3:39" s="78" customFormat="1" ht="20.100000000000001" customHeight="1">
      <c r="D20" s="104" t="s">
        <v>63</v>
      </c>
      <c r="E20" s="104">
        <f t="shared" ref="E20:E24" si="18">AM13</f>
        <v>0</v>
      </c>
      <c r="F20" s="104"/>
      <c r="G20" s="104"/>
      <c r="H20" s="104"/>
      <c r="I20" s="104">
        <f t="shared" si="9"/>
        <v>0</v>
      </c>
      <c r="J20" s="104"/>
      <c r="K20" s="104"/>
      <c r="L20" s="104"/>
      <c r="M20" s="104"/>
      <c r="N20" s="104">
        <f t="shared" si="10"/>
        <v>0</v>
      </c>
      <c r="O20" s="104"/>
      <c r="P20" s="104"/>
      <c r="Q20" s="104"/>
      <c r="R20" s="104">
        <f t="shared" si="11"/>
        <v>0</v>
      </c>
      <c r="S20" s="104">
        <f t="shared" si="12"/>
        <v>0</v>
      </c>
      <c r="T20" s="104"/>
      <c r="U20" s="104"/>
      <c r="V20" s="104"/>
      <c r="W20" s="104"/>
      <c r="X20" s="104"/>
      <c r="Y20" s="104"/>
      <c r="Z20" s="104"/>
      <c r="AA20" s="104">
        <f t="shared" si="13"/>
        <v>0</v>
      </c>
      <c r="AB20" s="104"/>
      <c r="AC20" s="104"/>
      <c r="AD20" s="104"/>
      <c r="AE20" s="104"/>
      <c r="AF20" s="104"/>
      <c r="AG20" s="104">
        <f t="shared" si="14"/>
        <v>0</v>
      </c>
      <c r="AH20" s="104"/>
      <c r="AI20" s="104"/>
      <c r="AJ20" s="104"/>
      <c r="AK20" s="104">
        <f t="shared" si="15"/>
        <v>0</v>
      </c>
      <c r="AL20" s="104">
        <f t="shared" si="16"/>
        <v>0</v>
      </c>
      <c r="AM20" s="104">
        <f t="shared" si="17"/>
        <v>0</v>
      </c>
    </row>
    <row r="21" spans="3:39" s="78" customFormat="1" ht="20.100000000000001" customHeight="1">
      <c r="D21" s="104" t="s">
        <v>59</v>
      </c>
      <c r="E21" s="104">
        <f t="shared" si="18"/>
        <v>0</v>
      </c>
      <c r="F21" s="104"/>
      <c r="G21" s="104"/>
      <c r="H21" s="104"/>
      <c r="I21" s="104">
        <f t="shared" si="9"/>
        <v>0</v>
      </c>
      <c r="J21" s="104"/>
      <c r="K21" s="104"/>
      <c r="L21" s="104"/>
      <c r="M21" s="104"/>
      <c r="N21" s="104">
        <f t="shared" si="10"/>
        <v>0</v>
      </c>
      <c r="O21" s="104"/>
      <c r="P21" s="104"/>
      <c r="Q21" s="104"/>
      <c r="R21" s="104">
        <f t="shared" si="11"/>
        <v>0</v>
      </c>
      <c r="S21" s="104">
        <f t="shared" si="12"/>
        <v>0</v>
      </c>
      <c r="T21" s="104"/>
      <c r="U21" s="104"/>
      <c r="V21" s="104"/>
      <c r="W21" s="104"/>
      <c r="X21" s="104"/>
      <c r="Y21" s="104"/>
      <c r="Z21" s="104"/>
      <c r="AA21" s="104">
        <f t="shared" si="13"/>
        <v>0</v>
      </c>
      <c r="AB21" s="104"/>
      <c r="AC21" s="104"/>
      <c r="AD21" s="104"/>
      <c r="AE21" s="104"/>
      <c r="AF21" s="104"/>
      <c r="AG21" s="104">
        <f t="shared" si="14"/>
        <v>0</v>
      </c>
      <c r="AH21" s="104"/>
      <c r="AI21" s="104"/>
      <c r="AJ21" s="104"/>
      <c r="AK21" s="104">
        <f t="shared" si="15"/>
        <v>0</v>
      </c>
      <c r="AL21" s="104">
        <f t="shared" si="16"/>
        <v>0</v>
      </c>
      <c r="AM21" s="104">
        <f t="shared" si="17"/>
        <v>0</v>
      </c>
    </row>
    <row r="22" spans="3:39" s="78" customFormat="1" ht="20.100000000000001" customHeight="1">
      <c r="D22" s="105" t="s">
        <v>66</v>
      </c>
      <c r="E22" s="105">
        <f t="shared" si="18"/>
        <v>0</v>
      </c>
      <c r="F22" s="105"/>
      <c r="G22" s="105"/>
      <c r="H22" s="105"/>
      <c r="I22" s="105">
        <f t="shared" si="9"/>
        <v>0</v>
      </c>
      <c r="J22" s="105"/>
      <c r="K22" s="105"/>
      <c r="L22" s="105"/>
      <c r="M22" s="105"/>
      <c r="N22" s="105">
        <f t="shared" si="10"/>
        <v>0</v>
      </c>
      <c r="O22" s="105"/>
      <c r="P22" s="105"/>
      <c r="Q22" s="105"/>
      <c r="R22" s="105">
        <f t="shared" si="11"/>
        <v>0</v>
      </c>
      <c r="S22" s="105">
        <f t="shared" si="12"/>
        <v>0</v>
      </c>
      <c r="T22" s="105"/>
      <c r="U22" s="105"/>
      <c r="V22" s="105"/>
      <c r="W22" s="105"/>
      <c r="X22" s="105"/>
      <c r="Y22" s="105"/>
      <c r="Z22" s="105"/>
      <c r="AA22" s="105">
        <f t="shared" si="13"/>
        <v>0</v>
      </c>
      <c r="AB22" s="105"/>
      <c r="AC22" s="105"/>
      <c r="AD22" s="105"/>
      <c r="AE22" s="105"/>
      <c r="AF22" s="105"/>
      <c r="AG22" s="105">
        <f t="shared" si="14"/>
        <v>0</v>
      </c>
      <c r="AH22" s="105"/>
      <c r="AI22" s="105"/>
      <c r="AJ22" s="105"/>
      <c r="AK22" s="105">
        <f t="shared" si="15"/>
        <v>0</v>
      </c>
      <c r="AL22" s="105">
        <f t="shared" si="16"/>
        <v>0</v>
      </c>
      <c r="AM22" s="105">
        <f t="shared" si="17"/>
        <v>0</v>
      </c>
    </row>
    <row r="23" spans="3:39" s="78" customFormat="1" ht="20.100000000000001" customHeight="1">
      <c r="D23" s="105" t="s">
        <v>67</v>
      </c>
      <c r="E23" s="105">
        <f t="shared" si="18"/>
        <v>0</v>
      </c>
      <c r="F23" s="105"/>
      <c r="G23" s="105"/>
      <c r="H23" s="105"/>
      <c r="I23" s="105">
        <f t="shared" si="9"/>
        <v>0</v>
      </c>
      <c r="J23" s="105"/>
      <c r="K23" s="105"/>
      <c r="L23" s="105"/>
      <c r="M23" s="105"/>
      <c r="N23" s="105">
        <f t="shared" si="10"/>
        <v>0</v>
      </c>
      <c r="O23" s="105"/>
      <c r="P23" s="105"/>
      <c r="Q23" s="105"/>
      <c r="R23" s="105">
        <f t="shared" si="11"/>
        <v>0</v>
      </c>
      <c r="S23" s="105">
        <f t="shared" si="12"/>
        <v>0</v>
      </c>
      <c r="T23" s="105"/>
      <c r="U23" s="105"/>
      <c r="V23" s="105"/>
      <c r="W23" s="105"/>
      <c r="X23" s="105"/>
      <c r="Y23" s="105"/>
      <c r="Z23" s="105"/>
      <c r="AA23" s="105">
        <f t="shared" si="13"/>
        <v>0</v>
      </c>
      <c r="AB23" s="105"/>
      <c r="AC23" s="105"/>
      <c r="AD23" s="105"/>
      <c r="AE23" s="105"/>
      <c r="AF23" s="105"/>
      <c r="AG23" s="105">
        <f t="shared" si="14"/>
        <v>0</v>
      </c>
      <c r="AH23" s="105"/>
      <c r="AI23" s="105"/>
      <c r="AJ23" s="105"/>
      <c r="AK23" s="105">
        <f t="shared" si="15"/>
        <v>0</v>
      </c>
      <c r="AL23" s="105">
        <f t="shared" si="16"/>
        <v>0</v>
      </c>
      <c r="AM23" s="105">
        <f t="shared" si="17"/>
        <v>0</v>
      </c>
    </row>
    <row r="24" spans="3:39" s="78" customFormat="1" ht="20.100000000000001" customHeight="1">
      <c r="D24" s="105" t="s">
        <v>60</v>
      </c>
      <c r="E24" s="105">
        <f t="shared" si="18"/>
        <v>0</v>
      </c>
      <c r="F24" s="105"/>
      <c r="G24" s="105"/>
      <c r="H24" s="105"/>
      <c r="I24" s="105">
        <f t="shared" si="9"/>
        <v>0</v>
      </c>
      <c r="J24" s="105"/>
      <c r="K24" s="105"/>
      <c r="L24" s="105"/>
      <c r="M24" s="105"/>
      <c r="N24" s="105">
        <f t="shared" si="10"/>
        <v>0</v>
      </c>
      <c r="O24" s="105"/>
      <c r="P24" s="105"/>
      <c r="Q24" s="105"/>
      <c r="R24" s="105">
        <f t="shared" si="11"/>
        <v>0</v>
      </c>
      <c r="S24" s="105">
        <f t="shared" si="12"/>
        <v>0</v>
      </c>
      <c r="T24" s="105"/>
      <c r="U24" s="105"/>
      <c r="V24" s="105"/>
      <c r="W24" s="105"/>
      <c r="X24" s="105"/>
      <c r="Y24" s="105"/>
      <c r="Z24" s="105"/>
      <c r="AA24" s="105">
        <f t="shared" si="13"/>
        <v>0</v>
      </c>
      <c r="AB24" s="105"/>
      <c r="AC24" s="105"/>
      <c r="AD24" s="105"/>
      <c r="AE24" s="105"/>
      <c r="AF24" s="105"/>
      <c r="AG24" s="105">
        <f t="shared" si="14"/>
        <v>0</v>
      </c>
      <c r="AH24" s="105"/>
      <c r="AI24" s="105"/>
      <c r="AJ24" s="105"/>
      <c r="AK24" s="105">
        <f t="shared" si="15"/>
        <v>0</v>
      </c>
      <c r="AL24" s="105">
        <f t="shared" si="16"/>
        <v>0</v>
      </c>
      <c r="AM24" s="105">
        <f t="shared" si="17"/>
        <v>0</v>
      </c>
    </row>
    <row r="25" spans="3:39" s="78" customFormat="1" ht="20.100000000000001" customHeight="1"/>
    <row r="26" spans="3:39" s="78" customFormat="1" ht="20.100000000000001" customHeight="1">
      <c r="C26" s="81" t="s">
        <v>61</v>
      </c>
      <c r="D26" s="104" t="s">
        <v>62</v>
      </c>
      <c r="E26" s="104">
        <f>AM19</f>
        <v>0</v>
      </c>
      <c r="F26" s="104">
        <v>10000</v>
      </c>
      <c r="G26" s="104"/>
      <c r="H26" s="104"/>
      <c r="I26" s="104">
        <f t="shared" ref="I26:I31" si="19">SUM(G26:H26)</f>
        <v>0</v>
      </c>
      <c r="J26" s="104"/>
      <c r="K26" s="104"/>
      <c r="L26" s="104"/>
      <c r="M26" s="104"/>
      <c r="N26" s="104">
        <f t="shared" ref="N26:N31" si="20">SUM(J26:M26)</f>
        <v>0</v>
      </c>
      <c r="O26" s="104"/>
      <c r="P26" s="104"/>
      <c r="Q26" s="104"/>
      <c r="R26" s="104">
        <f t="shared" ref="R26:R31" si="21">SUM(P26:Q26)</f>
        <v>0</v>
      </c>
      <c r="S26" s="104">
        <f t="shared" ref="S26:S31" si="22">F26+I26+N26+O26+R26</f>
        <v>10000</v>
      </c>
      <c r="T26" s="104"/>
      <c r="U26" s="104"/>
      <c r="V26" s="104"/>
      <c r="W26" s="104"/>
      <c r="X26" s="104"/>
      <c r="Y26" s="104"/>
      <c r="Z26" s="104"/>
      <c r="AA26" s="104">
        <f t="shared" ref="AA26:AA31" si="23">SUM(U26:Z26)</f>
        <v>0</v>
      </c>
      <c r="AB26" s="104"/>
      <c r="AC26" s="104"/>
      <c r="AD26" s="104"/>
      <c r="AE26" s="104"/>
      <c r="AF26" s="104"/>
      <c r="AG26" s="104">
        <f t="shared" ref="AG26:AG31" si="24">SUM(AC26:AF26)</f>
        <v>0</v>
      </c>
      <c r="AH26" s="104"/>
      <c r="AI26" s="104"/>
      <c r="AJ26" s="104"/>
      <c r="AK26" s="104">
        <f t="shared" ref="AK26:AK31" si="25">SUM(AH26:AJ26)</f>
        <v>0</v>
      </c>
      <c r="AL26" s="104">
        <f t="shared" ref="AL26:AL31" si="26">T26+AA26+AB26+AG26+AK26</f>
        <v>0</v>
      </c>
      <c r="AM26" s="104">
        <f t="shared" ref="AM26:AM31" si="27">E26+S26-AL26</f>
        <v>10000</v>
      </c>
    </row>
    <row r="27" spans="3:39" s="78" customFormat="1" ht="20.100000000000001" customHeight="1">
      <c r="D27" s="104" t="s">
        <v>63</v>
      </c>
      <c r="E27" s="104">
        <f t="shared" ref="E27:E31" si="28">AM20</f>
        <v>0</v>
      </c>
      <c r="F27" s="104"/>
      <c r="G27" s="104"/>
      <c r="H27" s="104"/>
      <c r="I27" s="104">
        <f t="shared" si="19"/>
        <v>0</v>
      </c>
      <c r="J27" s="104"/>
      <c r="K27" s="104"/>
      <c r="L27" s="104"/>
      <c r="M27" s="104"/>
      <c r="N27" s="104">
        <f t="shared" si="20"/>
        <v>0</v>
      </c>
      <c r="O27" s="104"/>
      <c r="P27" s="104"/>
      <c r="Q27" s="104"/>
      <c r="R27" s="104">
        <f t="shared" si="21"/>
        <v>0</v>
      </c>
      <c r="S27" s="104">
        <f t="shared" si="22"/>
        <v>0</v>
      </c>
      <c r="T27" s="104"/>
      <c r="U27" s="104"/>
      <c r="V27" s="104"/>
      <c r="W27" s="104"/>
      <c r="X27" s="104"/>
      <c r="Y27" s="104"/>
      <c r="Z27" s="104"/>
      <c r="AA27" s="104">
        <f t="shared" si="23"/>
        <v>0</v>
      </c>
      <c r="AB27" s="104"/>
      <c r="AC27" s="104"/>
      <c r="AD27" s="104"/>
      <c r="AE27" s="104"/>
      <c r="AF27" s="104"/>
      <c r="AG27" s="104">
        <f t="shared" si="24"/>
        <v>0</v>
      </c>
      <c r="AH27" s="104"/>
      <c r="AI27" s="104"/>
      <c r="AJ27" s="104"/>
      <c r="AK27" s="104">
        <f t="shared" si="25"/>
        <v>0</v>
      </c>
      <c r="AL27" s="104">
        <f t="shared" si="26"/>
        <v>0</v>
      </c>
      <c r="AM27" s="104">
        <f t="shared" si="27"/>
        <v>0</v>
      </c>
    </row>
    <row r="28" spans="3:39" s="78" customFormat="1" ht="20.100000000000001" customHeight="1">
      <c r="D28" s="104" t="s">
        <v>59</v>
      </c>
      <c r="E28" s="104">
        <f t="shared" si="28"/>
        <v>0</v>
      </c>
      <c r="F28" s="104">
        <v>7000</v>
      </c>
      <c r="G28" s="104"/>
      <c r="H28" s="104"/>
      <c r="I28" s="104">
        <f t="shared" si="19"/>
        <v>0</v>
      </c>
      <c r="J28" s="104"/>
      <c r="K28" s="104"/>
      <c r="L28" s="104"/>
      <c r="M28" s="104"/>
      <c r="N28" s="104">
        <f t="shared" si="20"/>
        <v>0</v>
      </c>
      <c r="O28" s="104"/>
      <c r="P28" s="104"/>
      <c r="Q28" s="104"/>
      <c r="R28" s="104">
        <f t="shared" si="21"/>
        <v>0</v>
      </c>
      <c r="S28" s="104">
        <f t="shared" si="22"/>
        <v>7000</v>
      </c>
      <c r="T28" s="104"/>
      <c r="U28" s="104"/>
      <c r="V28" s="104"/>
      <c r="W28" s="104"/>
      <c r="X28" s="104"/>
      <c r="Y28" s="104"/>
      <c r="Z28" s="104"/>
      <c r="AA28" s="104">
        <f t="shared" si="23"/>
        <v>0</v>
      </c>
      <c r="AB28" s="104"/>
      <c r="AC28" s="104"/>
      <c r="AD28" s="104"/>
      <c r="AE28" s="104"/>
      <c r="AF28" s="104"/>
      <c r="AG28" s="104">
        <f t="shared" si="24"/>
        <v>0</v>
      </c>
      <c r="AH28" s="104"/>
      <c r="AI28" s="104"/>
      <c r="AJ28" s="104"/>
      <c r="AK28" s="104">
        <f t="shared" si="25"/>
        <v>0</v>
      </c>
      <c r="AL28" s="104">
        <f t="shared" si="26"/>
        <v>0</v>
      </c>
      <c r="AM28" s="104">
        <f t="shared" si="27"/>
        <v>7000</v>
      </c>
    </row>
    <row r="29" spans="3:39" s="78" customFormat="1" ht="20.100000000000001" customHeight="1">
      <c r="D29" s="105" t="s">
        <v>66</v>
      </c>
      <c r="E29" s="105">
        <f t="shared" si="28"/>
        <v>0</v>
      </c>
      <c r="F29" s="105"/>
      <c r="G29" s="105"/>
      <c r="H29" s="105"/>
      <c r="I29" s="105">
        <f t="shared" si="19"/>
        <v>0</v>
      </c>
      <c r="J29" s="105"/>
      <c r="K29" s="105"/>
      <c r="L29" s="105"/>
      <c r="M29" s="105"/>
      <c r="N29" s="105">
        <f t="shared" si="20"/>
        <v>0</v>
      </c>
      <c r="O29" s="105"/>
      <c r="P29" s="105"/>
      <c r="Q29" s="105"/>
      <c r="R29" s="105">
        <f t="shared" si="21"/>
        <v>0</v>
      </c>
      <c r="S29" s="105">
        <f t="shared" si="22"/>
        <v>0</v>
      </c>
      <c r="T29" s="105"/>
      <c r="U29" s="105"/>
      <c r="V29" s="105"/>
      <c r="W29" s="105"/>
      <c r="X29" s="105"/>
      <c r="Y29" s="105"/>
      <c r="Z29" s="105"/>
      <c r="AA29" s="105">
        <f t="shared" si="23"/>
        <v>0</v>
      </c>
      <c r="AB29" s="105"/>
      <c r="AC29" s="105"/>
      <c r="AD29" s="105"/>
      <c r="AE29" s="105"/>
      <c r="AF29" s="105"/>
      <c r="AG29" s="105">
        <f t="shared" si="24"/>
        <v>0</v>
      </c>
      <c r="AH29" s="105"/>
      <c r="AI29" s="105"/>
      <c r="AJ29" s="105"/>
      <c r="AK29" s="105">
        <f t="shared" si="25"/>
        <v>0</v>
      </c>
      <c r="AL29" s="105">
        <f t="shared" si="26"/>
        <v>0</v>
      </c>
      <c r="AM29" s="105">
        <f t="shared" si="27"/>
        <v>0</v>
      </c>
    </row>
    <row r="30" spans="3:39" s="78" customFormat="1" ht="20.100000000000001" customHeight="1">
      <c r="D30" s="105" t="s">
        <v>67</v>
      </c>
      <c r="E30" s="105">
        <f t="shared" si="28"/>
        <v>0</v>
      </c>
      <c r="F30" s="105"/>
      <c r="G30" s="105"/>
      <c r="H30" s="105"/>
      <c r="I30" s="105">
        <f t="shared" si="19"/>
        <v>0</v>
      </c>
      <c r="J30" s="105"/>
      <c r="K30" s="105"/>
      <c r="L30" s="105"/>
      <c r="M30" s="105"/>
      <c r="N30" s="105">
        <f t="shared" si="20"/>
        <v>0</v>
      </c>
      <c r="O30" s="105"/>
      <c r="P30" s="105"/>
      <c r="Q30" s="105"/>
      <c r="R30" s="105">
        <f t="shared" si="21"/>
        <v>0</v>
      </c>
      <c r="S30" s="105">
        <f t="shared" si="22"/>
        <v>0</v>
      </c>
      <c r="T30" s="105"/>
      <c r="U30" s="105"/>
      <c r="V30" s="105"/>
      <c r="W30" s="105"/>
      <c r="X30" s="105"/>
      <c r="Y30" s="105"/>
      <c r="Z30" s="105"/>
      <c r="AA30" s="105">
        <f t="shared" si="23"/>
        <v>0</v>
      </c>
      <c r="AB30" s="105"/>
      <c r="AC30" s="105"/>
      <c r="AD30" s="105"/>
      <c r="AE30" s="105"/>
      <c r="AF30" s="105"/>
      <c r="AG30" s="105">
        <f t="shared" si="24"/>
        <v>0</v>
      </c>
      <c r="AH30" s="105"/>
      <c r="AI30" s="105"/>
      <c r="AJ30" s="105"/>
      <c r="AK30" s="105">
        <f t="shared" si="25"/>
        <v>0</v>
      </c>
      <c r="AL30" s="105">
        <f t="shared" si="26"/>
        <v>0</v>
      </c>
      <c r="AM30" s="105">
        <f t="shared" si="27"/>
        <v>0</v>
      </c>
    </row>
    <row r="31" spans="3:39" s="78" customFormat="1" ht="20.100000000000001" customHeight="1">
      <c r="D31" s="105" t="s">
        <v>60</v>
      </c>
      <c r="E31" s="105">
        <f t="shared" si="28"/>
        <v>0</v>
      </c>
      <c r="F31" s="105"/>
      <c r="G31" s="105"/>
      <c r="H31" s="105"/>
      <c r="I31" s="105">
        <f t="shared" si="19"/>
        <v>0</v>
      </c>
      <c r="J31" s="105"/>
      <c r="K31" s="105"/>
      <c r="L31" s="105"/>
      <c r="M31" s="105"/>
      <c r="N31" s="105">
        <f t="shared" si="20"/>
        <v>0</v>
      </c>
      <c r="O31" s="105"/>
      <c r="P31" s="105"/>
      <c r="Q31" s="105"/>
      <c r="R31" s="105">
        <f t="shared" si="21"/>
        <v>0</v>
      </c>
      <c r="S31" s="105">
        <f t="shared" si="22"/>
        <v>0</v>
      </c>
      <c r="T31" s="105"/>
      <c r="U31" s="105"/>
      <c r="V31" s="105"/>
      <c r="W31" s="105"/>
      <c r="X31" s="105"/>
      <c r="Y31" s="105"/>
      <c r="Z31" s="105"/>
      <c r="AA31" s="105">
        <f t="shared" si="23"/>
        <v>0</v>
      </c>
      <c r="AB31" s="105"/>
      <c r="AC31" s="105"/>
      <c r="AD31" s="105"/>
      <c r="AE31" s="105"/>
      <c r="AF31" s="105"/>
      <c r="AG31" s="105">
        <f t="shared" si="24"/>
        <v>0</v>
      </c>
      <c r="AH31" s="105"/>
      <c r="AI31" s="105"/>
      <c r="AJ31" s="105"/>
      <c r="AK31" s="105">
        <f t="shared" si="25"/>
        <v>0</v>
      </c>
      <c r="AL31" s="105">
        <f t="shared" si="26"/>
        <v>0</v>
      </c>
      <c r="AM31" s="105">
        <f t="shared" si="27"/>
        <v>0</v>
      </c>
    </row>
    <row r="32" spans="3:39" s="78" customFormat="1" ht="20.100000000000001" customHeight="1"/>
    <row r="33" spans="3:39" s="78" customFormat="1" ht="20.100000000000001" customHeight="1">
      <c r="C33" s="81" t="s">
        <v>68</v>
      </c>
      <c r="D33" s="104" t="s">
        <v>62</v>
      </c>
      <c r="E33" s="104">
        <f>AM26</f>
        <v>10000</v>
      </c>
      <c r="F33" s="104"/>
      <c r="G33" s="104"/>
      <c r="H33" s="104"/>
      <c r="I33" s="104">
        <f t="shared" ref="I33:I38" si="29">SUM(G33:H33)</f>
        <v>0</v>
      </c>
      <c r="J33" s="104"/>
      <c r="K33" s="104"/>
      <c r="L33" s="104"/>
      <c r="M33" s="104"/>
      <c r="N33" s="104">
        <f t="shared" ref="N33:N38" si="30">SUM(J33:M33)</f>
        <v>0</v>
      </c>
      <c r="O33" s="104"/>
      <c r="P33" s="104"/>
      <c r="Q33" s="104"/>
      <c r="R33" s="104">
        <f t="shared" ref="R33:R38" si="31">SUM(P33:Q33)</f>
        <v>0</v>
      </c>
      <c r="S33" s="104">
        <f t="shared" ref="S33:S38" si="32">F33+I33+N33+O33+R33</f>
        <v>0</v>
      </c>
      <c r="T33" s="104"/>
      <c r="U33" s="104">
        <v>6000</v>
      </c>
      <c r="V33" s="104"/>
      <c r="W33" s="104"/>
      <c r="X33" s="104"/>
      <c r="Y33" s="104"/>
      <c r="Z33" s="104"/>
      <c r="AA33" s="104">
        <f t="shared" ref="AA33:AA38" si="33">SUM(U33:Z33)</f>
        <v>6000</v>
      </c>
      <c r="AB33" s="104"/>
      <c r="AC33" s="104"/>
      <c r="AD33" s="104"/>
      <c r="AE33" s="104"/>
      <c r="AF33" s="104"/>
      <c r="AG33" s="104">
        <f t="shared" ref="AG33:AG38" si="34">SUM(AC33:AF33)</f>
        <v>0</v>
      </c>
      <c r="AH33" s="104"/>
      <c r="AI33" s="104"/>
      <c r="AJ33" s="104"/>
      <c r="AK33" s="104">
        <f t="shared" ref="AK33:AK38" si="35">SUM(AH33:AJ33)</f>
        <v>0</v>
      </c>
      <c r="AL33" s="104">
        <f t="shared" ref="AL33:AL38" si="36">T33+AA33+AB33+AG33+AK33</f>
        <v>6000</v>
      </c>
      <c r="AM33" s="104">
        <f t="shared" ref="AM33:AM38" si="37">E33+S33-AL33</f>
        <v>4000</v>
      </c>
    </row>
    <row r="34" spans="3:39" s="78" customFormat="1" ht="20.100000000000001" customHeight="1">
      <c r="C34" s="81"/>
      <c r="D34" s="104" t="s">
        <v>63</v>
      </c>
      <c r="E34" s="104">
        <f t="shared" ref="E34:E38" si="38">AM27</f>
        <v>0</v>
      </c>
      <c r="F34" s="104"/>
      <c r="G34" s="104"/>
      <c r="H34" s="104"/>
      <c r="I34" s="104">
        <f t="shared" si="29"/>
        <v>0</v>
      </c>
      <c r="J34" s="104">
        <f>U33</f>
        <v>6000</v>
      </c>
      <c r="K34" s="104"/>
      <c r="L34" s="104"/>
      <c r="M34" s="104"/>
      <c r="N34" s="104">
        <f t="shared" si="30"/>
        <v>6000</v>
      </c>
      <c r="O34" s="104"/>
      <c r="P34" s="104"/>
      <c r="Q34" s="104"/>
      <c r="R34" s="104">
        <f t="shared" si="31"/>
        <v>0</v>
      </c>
      <c r="S34" s="104">
        <f t="shared" si="32"/>
        <v>6000</v>
      </c>
      <c r="T34" s="104"/>
      <c r="U34" s="104"/>
      <c r="V34" s="104"/>
      <c r="W34" s="104"/>
      <c r="X34" s="104"/>
      <c r="Y34" s="104"/>
      <c r="Z34" s="104"/>
      <c r="AA34" s="104">
        <f t="shared" si="33"/>
        <v>0</v>
      </c>
      <c r="AB34" s="104"/>
      <c r="AC34" s="104"/>
      <c r="AD34" s="104"/>
      <c r="AE34" s="104"/>
      <c r="AF34" s="104"/>
      <c r="AG34" s="104">
        <f t="shared" si="34"/>
        <v>0</v>
      </c>
      <c r="AH34" s="104"/>
      <c r="AI34" s="104"/>
      <c r="AJ34" s="104"/>
      <c r="AK34" s="104">
        <f t="shared" si="35"/>
        <v>0</v>
      </c>
      <c r="AL34" s="104">
        <f t="shared" si="36"/>
        <v>0</v>
      </c>
      <c r="AM34" s="104">
        <f t="shared" si="37"/>
        <v>6000</v>
      </c>
    </row>
    <row r="35" spans="3:39" s="78" customFormat="1" ht="20.100000000000001" customHeight="1">
      <c r="D35" s="104" t="s">
        <v>59</v>
      </c>
      <c r="E35" s="104">
        <f t="shared" si="38"/>
        <v>7000</v>
      </c>
      <c r="F35" s="104"/>
      <c r="G35" s="104"/>
      <c r="H35" s="104"/>
      <c r="I35" s="104">
        <f t="shared" si="29"/>
        <v>0</v>
      </c>
      <c r="J35" s="104"/>
      <c r="K35" s="104"/>
      <c r="L35" s="104"/>
      <c r="M35" s="104"/>
      <c r="N35" s="104">
        <f t="shared" si="30"/>
        <v>0</v>
      </c>
      <c r="O35" s="104"/>
      <c r="P35" s="104"/>
      <c r="Q35" s="104"/>
      <c r="R35" s="104">
        <f t="shared" si="31"/>
        <v>0</v>
      </c>
      <c r="S35" s="104">
        <f t="shared" si="32"/>
        <v>0</v>
      </c>
      <c r="T35" s="104"/>
      <c r="U35" s="104"/>
      <c r="V35" s="104"/>
      <c r="W35" s="104"/>
      <c r="X35" s="104"/>
      <c r="Y35" s="104"/>
      <c r="Z35" s="104"/>
      <c r="AA35" s="104">
        <f t="shared" si="33"/>
        <v>0</v>
      </c>
      <c r="AB35" s="104"/>
      <c r="AC35" s="104"/>
      <c r="AD35" s="104"/>
      <c r="AE35" s="104"/>
      <c r="AF35" s="104"/>
      <c r="AG35" s="104">
        <f t="shared" si="34"/>
        <v>0</v>
      </c>
      <c r="AH35" s="104"/>
      <c r="AI35" s="104"/>
      <c r="AJ35" s="104"/>
      <c r="AK35" s="104">
        <f t="shared" si="35"/>
        <v>0</v>
      </c>
      <c r="AL35" s="104">
        <f t="shared" si="36"/>
        <v>0</v>
      </c>
      <c r="AM35" s="104">
        <f t="shared" si="37"/>
        <v>7000</v>
      </c>
    </row>
    <row r="36" spans="3:39" s="78" customFormat="1" ht="20.100000000000001" customHeight="1">
      <c r="D36" s="105" t="s">
        <v>66</v>
      </c>
      <c r="E36" s="105">
        <f t="shared" si="38"/>
        <v>0</v>
      </c>
      <c r="F36" s="105"/>
      <c r="G36" s="105"/>
      <c r="H36" s="105"/>
      <c r="I36" s="105">
        <f t="shared" si="29"/>
        <v>0</v>
      </c>
      <c r="J36" s="105"/>
      <c r="K36" s="105"/>
      <c r="L36" s="105"/>
      <c r="M36" s="105"/>
      <c r="N36" s="105">
        <f t="shared" si="30"/>
        <v>0</v>
      </c>
      <c r="O36" s="105"/>
      <c r="P36" s="105"/>
      <c r="Q36" s="105"/>
      <c r="R36" s="105">
        <f t="shared" si="31"/>
        <v>0</v>
      </c>
      <c r="S36" s="105">
        <f t="shared" si="32"/>
        <v>0</v>
      </c>
      <c r="T36" s="105"/>
      <c r="U36" s="105"/>
      <c r="V36" s="105"/>
      <c r="W36" s="105"/>
      <c r="X36" s="105"/>
      <c r="Y36" s="105"/>
      <c r="Z36" s="105"/>
      <c r="AA36" s="105">
        <f t="shared" si="33"/>
        <v>0</v>
      </c>
      <c r="AB36" s="105"/>
      <c r="AC36" s="105"/>
      <c r="AD36" s="105"/>
      <c r="AE36" s="105"/>
      <c r="AF36" s="105"/>
      <c r="AG36" s="105">
        <f t="shared" si="34"/>
        <v>0</v>
      </c>
      <c r="AH36" s="105"/>
      <c r="AI36" s="105"/>
      <c r="AJ36" s="105"/>
      <c r="AK36" s="105">
        <f t="shared" si="35"/>
        <v>0</v>
      </c>
      <c r="AL36" s="105">
        <f t="shared" si="36"/>
        <v>0</v>
      </c>
      <c r="AM36" s="105">
        <f t="shared" si="37"/>
        <v>0</v>
      </c>
    </row>
    <row r="37" spans="3:39" s="78" customFormat="1" ht="20.100000000000001" customHeight="1">
      <c r="D37" s="105" t="s">
        <v>67</v>
      </c>
      <c r="E37" s="105">
        <f t="shared" si="38"/>
        <v>0</v>
      </c>
      <c r="F37" s="105"/>
      <c r="G37" s="105"/>
      <c r="H37" s="105"/>
      <c r="I37" s="105">
        <f t="shared" si="29"/>
        <v>0</v>
      </c>
      <c r="J37" s="105"/>
      <c r="K37" s="105"/>
      <c r="L37" s="105"/>
      <c r="M37" s="105"/>
      <c r="N37" s="105">
        <f t="shared" si="30"/>
        <v>0</v>
      </c>
      <c r="O37" s="105"/>
      <c r="P37" s="105"/>
      <c r="Q37" s="105"/>
      <c r="R37" s="105">
        <f t="shared" si="31"/>
        <v>0</v>
      </c>
      <c r="S37" s="105">
        <f t="shared" si="32"/>
        <v>0</v>
      </c>
      <c r="T37" s="105"/>
      <c r="U37" s="105"/>
      <c r="V37" s="105"/>
      <c r="W37" s="105"/>
      <c r="X37" s="105"/>
      <c r="Y37" s="105"/>
      <c r="Z37" s="105"/>
      <c r="AA37" s="105">
        <f t="shared" si="33"/>
        <v>0</v>
      </c>
      <c r="AB37" s="105"/>
      <c r="AC37" s="105"/>
      <c r="AD37" s="105"/>
      <c r="AE37" s="105"/>
      <c r="AF37" s="105"/>
      <c r="AG37" s="105">
        <f t="shared" si="34"/>
        <v>0</v>
      </c>
      <c r="AH37" s="105"/>
      <c r="AI37" s="105"/>
      <c r="AJ37" s="105"/>
      <c r="AK37" s="105">
        <f t="shared" si="35"/>
        <v>0</v>
      </c>
      <c r="AL37" s="105">
        <f t="shared" si="36"/>
        <v>0</v>
      </c>
      <c r="AM37" s="105">
        <f t="shared" si="37"/>
        <v>0</v>
      </c>
    </row>
    <row r="38" spans="3:39" s="78" customFormat="1" ht="20.100000000000001" customHeight="1">
      <c r="D38" s="105" t="s">
        <v>60</v>
      </c>
      <c r="E38" s="105">
        <f t="shared" si="38"/>
        <v>0</v>
      </c>
      <c r="F38" s="105"/>
      <c r="G38" s="105"/>
      <c r="H38" s="105"/>
      <c r="I38" s="105">
        <f t="shared" si="29"/>
        <v>0</v>
      </c>
      <c r="J38" s="105"/>
      <c r="K38" s="105"/>
      <c r="L38" s="105"/>
      <c r="M38" s="105"/>
      <c r="N38" s="105">
        <f t="shared" si="30"/>
        <v>0</v>
      </c>
      <c r="O38" s="105"/>
      <c r="P38" s="105"/>
      <c r="Q38" s="105"/>
      <c r="R38" s="105">
        <f t="shared" si="31"/>
        <v>0</v>
      </c>
      <c r="S38" s="105">
        <f t="shared" si="32"/>
        <v>0</v>
      </c>
      <c r="T38" s="105"/>
      <c r="U38" s="105"/>
      <c r="V38" s="105"/>
      <c r="W38" s="105"/>
      <c r="X38" s="105"/>
      <c r="Y38" s="105"/>
      <c r="Z38" s="105"/>
      <c r="AA38" s="105">
        <f t="shared" si="33"/>
        <v>0</v>
      </c>
      <c r="AB38" s="105"/>
      <c r="AC38" s="105"/>
      <c r="AD38" s="105"/>
      <c r="AE38" s="105"/>
      <c r="AF38" s="105"/>
      <c r="AG38" s="105">
        <f t="shared" si="34"/>
        <v>0</v>
      </c>
      <c r="AH38" s="105"/>
      <c r="AI38" s="105"/>
      <c r="AJ38" s="105"/>
      <c r="AK38" s="105">
        <f t="shared" si="35"/>
        <v>0</v>
      </c>
      <c r="AL38" s="105">
        <f t="shared" si="36"/>
        <v>0</v>
      </c>
      <c r="AM38" s="105">
        <f t="shared" si="37"/>
        <v>0</v>
      </c>
    </row>
    <row r="39" spans="3:39" s="78" customFormat="1" ht="20.100000000000001" customHeight="1"/>
    <row r="40" spans="3:39" s="78" customFormat="1" ht="20.100000000000001" customHeight="1">
      <c r="C40" s="81" t="s">
        <v>69</v>
      </c>
      <c r="D40" s="104" t="s">
        <v>62</v>
      </c>
      <c r="E40" s="104">
        <f>AM33</f>
        <v>4000</v>
      </c>
      <c r="F40" s="104"/>
      <c r="G40" s="104"/>
      <c r="H40" s="104"/>
      <c r="I40" s="104">
        <f t="shared" ref="I40:I45" si="39">SUM(G40:H40)</f>
        <v>0</v>
      </c>
      <c r="J40" s="104"/>
      <c r="K40" s="104"/>
      <c r="L40" s="104"/>
      <c r="M40" s="104"/>
      <c r="N40" s="104">
        <f t="shared" ref="N40:N45" si="40">SUM(J40:M40)</f>
        <v>0</v>
      </c>
      <c r="O40" s="104"/>
      <c r="P40" s="104"/>
      <c r="Q40" s="104"/>
      <c r="R40" s="104">
        <f t="shared" ref="R40:R45" si="41">SUM(P40:Q40)</f>
        <v>0</v>
      </c>
      <c r="S40" s="104">
        <f t="shared" ref="S40:S45" si="42">F40+I40+N40+O40+R40</f>
        <v>0</v>
      </c>
      <c r="T40" s="104"/>
      <c r="U40" s="104"/>
      <c r="V40" s="104">
        <v>3000</v>
      </c>
      <c r="W40" s="104"/>
      <c r="X40" s="104"/>
      <c r="Y40" s="104"/>
      <c r="Z40" s="104"/>
      <c r="AA40" s="104">
        <f t="shared" ref="AA40:AA45" si="43">SUM(U40:Z40)</f>
        <v>3000</v>
      </c>
      <c r="AB40" s="104"/>
      <c r="AC40" s="104"/>
      <c r="AD40" s="104"/>
      <c r="AE40" s="104"/>
      <c r="AF40" s="104"/>
      <c r="AG40" s="104">
        <f t="shared" ref="AG40:AG45" si="44">SUM(AC40:AF40)</f>
        <v>0</v>
      </c>
      <c r="AH40" s="104"/>
      <c r="AI40" s="104"/>
      <c r="AJ40" s="104"/>
      <c r="AK40" s="104">
        <f t="shared" ref="AK40:AK45" si="45">SUM(AH40:AJ40)</f>
        <v>0</v>
      </c>
      <c r="AL40" s="104">
        <f t="shared" ref="AL40:AL45" si="46">T40+AA40+AB40+AG40+AK40</f>
        <v>3000</v>
      </c>
      <c r="AM40" s="104">
        <f t="shared" ref="AM40:AM45" si="47">E40+S40-AL40</f>
        <v>1000</v>
      </c>
    </row>
    <row r="41" spans="3:39" s="78" customFormat="1" ht="20.100000000000001" customHeight="1">
      <c r="D41" s="104" t="s">
        <v>63</v>
      </c>
      <c r="E41" s="104">
        <f t="shared" ref="E41:E45" si="48">AM34</f>
        <v>6000</v>
      </c>
      <c r="F41" s="104"/>
      <c r="G41" s="104"/>
      <c r="H41" s="104"/>
      <c r="I41" s="104">
        <f t="shared" si="39"/>
        <v>0</v>
      </c>
      <c r="J41" s="104"/>
      <c r="K41" s="104"/>
      <c r="L41" s="104"/>
      <c r="M41" s="104"/>
      <c r="N41" s="104">
        <f t="shared" si="40"/>
        <v>0</v>
      </c>
      <c r="O41" s="104"/>
      <c r="P41" s="104"/>
      <c r="Q41" s="104"/>
      <c r="R41" s="104">
        <f t="shared" si="41"/>
        <v>0</v>
      </c>
      <c r="S41" s="104">
        <f t="shared" si="42"/>
        <v>0</v>
      </c>
      <c r="T41" s="104"/>
      <c r="U41" s="104"/>
      <c r="V41" s="104">
        <v>4000</v>
      </c>
      <c r="W41" s="104"/>
      <c r="X41" s="104"/>
      <c r="Y41" s="104"/>
      <c r="Z41" s="104"/>
      <c r="AA41" s="104">
        <f t="shared" si="43"/>
        <v>4000</v>
      </c>
      <c r="AB41" s="104"/>
      <c r="AC41" s="104"/>
      <c r="AD41" s="104"/>
      <c r="AE41" s="104"/>
      <c r="AF41" s="104"/>
      <c r="AG41" s="104">
        <f t="shared" si="44"/>
        <v>0</v>
      </c>
      <c r="AH41" s="104"/>
      <c r="AI41" s="104"/>
      <c r="AJ41" s="104"/>
      <c r="AK41" s="104">
        <f t="shared" si="45"/>
        <v>0</v>
      </c>
      <c r="AL41" s="104">
        <f t="shared" si="46"/>
        <v>4000</v>
      </c>
      <c r="AM41" s="104">
        <f t="shared" si="47"/>
        <v>2000</v>
      </c>
    </row>
    <row r="42" spans="3:39" s="78" customFormat="1" ht="20.100000000000001" customHeight="1">
      <c r="D42" s="104" t="s">
        <v>59</v>
      </c>
      <c r="E42" s="104">
        <f t="shared" si="48"/>
        <v>7000</v>
      </c>
      <c r="F42" s="104"/>
      <c r="G42" s="104"/>
      <c r="H42" s="104"/>
      <c r="I42" s="104">
        <f t="shared" si="39"/>
        <v>0</v>
      </c>
      <c r="J42" s="104"/>
      <c r="K42" s="104"/>
      <c r="L42" s="104"/>
      <c r="M42" s="104"/>
      <c r="N42" s="104">
        <f t="shared" si="40"/>
        <v>0</v>
      </c>
      <c r="O42" s="104"/>
      <c r="P42" s="104"/>
      <c r="Q42" s="104"/>
      <c r="R42" s="104">
        <f t="shared" si="41"/>
        <v>0</v>
      </c>
      <c r="S42" s="104">
        <f t="shared" si="42"/>
        <v>0</v>
      </c>
      <c r="T42" s="104"/>
      <c r="U42" s="104"/>
      <c r="V42" s="104"/>
      <c r="W42" s="104"/>
      <c r="X42" s="104"/>
      <c r="Y42" s="104"/>
      <c r="Z42" s="104"/>
      <c r="AA42" s="104">
        <f t="shared" si="43"/>
        <v>0</v>
      </c>
      <c r="AB42" s="104"/>
      <c r="AC42" s="104"/>
      <c r="AD42" s="104"/>
      <c r="AE42" s="104"/>
      <c r="AF42" s="104"/>
      <c r="AG42" s="104">
        <f t="shared" si="44"/>
        <v>0</v>
      </c>
      <c r="AH42" s="104"/>
      <c r="AI42" s="104"/>
      <c r="AJ42" s="104"/>
      <c r="AK42" s="104">
        <f t="shared" si="45"/>
        <v>0</v>
      </c>
      <c r="AL42" s="104">
        <f t="shared" si="46"/>
        <v>0</v>
      </c>
      <c r="AM42" s="104">
        <f t="shared" si="47"/>
        <v>7000</v>
      </c>
    </row>
    <row r="43" spans="3:39" s="78" customFormat="1" ht="20.100000000000001" customHeight="1">
      <c r="D43" s="105" t="s">
        <v>66</v>
      </c>
      <c r="E43" s="105">
        <f t="shared" si="48"/>
        <v>0</v>
      </c>
      <c r="F43" s="105"/>
      <c r="G43" s="105"/>
      <c r="H43" s="105"/>
      <c r="I43" s="105">
        <f t="shared" si="39"/>
        <v>0</v>
      </c>
      <c r="J43" s="105"/>
      <c r="K43" s="105">
        <f>V40</f>
        <v>3000</v>
      </c>
      <c r="L43" s="105"/>
      <c r="M43" s="105"/>
      <c r="N43" s="105">
        <f t="shared" si="40"/>
        <v>3000</v>
      </c>
      <c r="O43" s="105"/>
      <c r="P43" s="105"/>
      <c r="Q43" s="105"/>
      <c r="R43" s="105">
        <f t="shared" si="41"/>
        <v>0</v>
      </c>
      <c r="S43" s="105">
        <f t="shared" si="42"/>
        <v>3000</v>
      </c>
      <c r="T43" s="105"/>
      <c r="U43" s="105"/>
      <c r="V43" s="105"/>
      <c r="W43" s="105"/>
      <c r="X43" s="105"/>
      <c r="Y43" s="105"/>
      <c r="Z43" s="105"/>
      <c r="AA43" s="105">
        <f t="shared" si="43"/>
        <v>0</v>
      </c>
      <c r="AB43" s="105"/>
      <c r="AC43" s="105"/>
      <c r="AD43" s="105"/>
      <c r="AE43" s="105"/>
      <c r="AF43" s="105"/>
      <c r="AG43" s="105">
        <f t="shared" si="44"/>
        <v>0</v>
      </c>
      <c r="AH43" s="105"/>
      <c r="AI43" s="105"/>
      <c r="AJ43" s="105"/>
      <c r="AK43" s="105">
        <f t="shared" si="45"/>
        <v>0</v>
      </c>
      <c r="AL43" s="105">
        <f t="shared" si="46"/>
        <v>0</v>
      </c>
      <c r="AM43" s="105">
        <f t="shared" si="47"/>
        <v>3000</v>
      </c>
    </row>
    <row r="44" spans="3:39" s="78" customFormat="1" ht="20.100000000000001" customHeight="1">
      <c r="D44" s="105" t="s">
        <v>67</v>
      </c>
      <c r="E44" s="105">
        <f t="shared" si="48"/>
        <v>0</v>
      </c>
      <c r="F44" s="105"/>
      <c r="G44" s="105"/>
      <c r="H44" s="105"/>
      <c r="I44" s="105">
        <f t="shared" si="39"/>
        <v>0</v>
      </c>
      <c r="J44" s="105"/>
      <c r="K44" s="105">
        <f>V41</f>
        <v>4000</v>
      </c>
      <c r="L44" s="105"/>
      <c r="M44" s="105"/>
      <c r="N44" s="105">
        <f t="shared" si="40"/>
        <v>4000</v>
      </c>
      <c r="O44" s="105"/>
      <c r="P44" s="105"/>
      <c r="Q44" s="105"/>
      <c r="R44" s="105">
        <f t="shared" si="41"/>
        <v>0</v>
      </c>
      <c r="S44" s="105">
        <f t="shared" si="42"/>
        <v>4000</v>
      </c>
      <c r="T44" s="105"/>
      <c r="U44" s="105"/>
      <c r="V44" s="105"/>
      <c r="W44" s="105"/>
      <c r="X44" s="105"/>
      <c r="Y44" s="105"/>
      <c r="Z44" s="105"/>
      <c r="AA44" s="105">
        <f t="shared" si="43"/>
        <v>0</v>
      </c>
      <c r="AB44" s="105"/>
      <c r="AC44" s="105"/>
      <c r="AD44" s="105"/>
      <c r="AE44" s="105"/>
      <c r="AF44" s="105"/>
      <c r="AG44" s="105">
        <f t="shared" si="44"/>
        <v>0</v>
      </c>
      <c r="AH44" s="105"/>
      <c r="AI44" s="105"/>
      <c r="AJ44" s="105"/>
      <c r="AK44" s="105">
        <f t="shared" si="45"/>
        <v>0</v>
      </c>
      <c r="AL44" s="105">
        <f t="shared" si="46"/>
        <v>0</v>
      </c>
      <c r="AM44" s="105">
        <f t="shared" si="47"/>
        <v>4000</v>
      </c>
    </row>
    <row r="45" spans="3:39" s="78" customFormat="1" ht="20.100000000000001" customHeight="1">
      <c r="D45" s="105" t="s">
        <v>60</v>
      </c>
      <c r="E45" s="105">
        <f t="shared" si="48"/>
        <v>0</v>
      </c>
      <c r="F45" s="105"/>
      <c r="G45" s="105"/>
      <c r="H45" s="105"/>
      <c r="I45" s="105">
        <f t="shared" si="39"/>
        <v>0</v>
      </c>
      <c r="J45" s="105"/>
      <c r="K45" s="105"/>
      <c r="L45" s="105"/>
      <c r="M45" s="105"/>
      <c r="N45" s="105">
        <f t="shared" si="40"/>
        <v>0</v>
      </c>
      <c r="O45" s="105"/>
      <c r="P45" s="105"/>
      <c r="Q45" s="105"/>
      <c r="R45" s="105">
        <f t="shared" si="41"/>
        <v>0</v>
      </c>
      <c r="S45" s="105">
        <f t="shared" si="42"/>
        <v>0</v>
      </c>
      <c r="T45" s="105"/>
      <c r="U45" s="105"/>
      <c r="V45" s="105"/>
      <c r="W45" s="105"/>
      <c r="X45" s="105"/>
      <c r="Y45" s="105"/>
      <c r="Z45" s="105"/>
      <c r="AA45" s="105">
        <f t="shared" si="43"/>
        <v>0</v>
      </c>
      <c r="AB45" s="105"/>
      <c r="AC45" s="105"/>
      <c r="AD45" s="105"/>
      <c r="AE45" s="105"/>
      <c r="AF45" s="105"/>
      <c r="AG45" s="105">
        <f t="shared" si="44"/>
        <v>0</v>
      </c>
      <c r="AH45" s="105"/>
      <c r="AI45" s="105"/>
      <c r="AJ45" s="105"/>
      <c r="AK45" s="105">
        <f t="shared" si="45"/>
        <v>0</v>
      </c>
      <c r="AL45" s="105">
        <f t="shared" si="46"/>
        <v>0</v>
      </c>
      <c r="AM45" s="105">
        <f t="shared" si="47"/>
        <v>0</v>
      </c>
    </row>
    <row r="46" spans="3:39" s="78" customFormat="1" ht="20.100000000000001" customHeight="1"/>
    <row r="47" spans="3:39" s="78" customFormat="1" ht="20.100000000000001" customHeight="1">
      <c r="C47" s="81" t="s">
        <v>70</v>
      </c>
      <c r="D47" s="104" t="s">
        <v>62</v>
      </c>
      <c r="E47" s="104">
        <f>AM40</f>
        <v>1000</v>
      </c>
      <c r="F47" s="104"/>
      <c r="G47" s="104"/>
      <c r="H47" s="104"/>
      <c r="I47" s="104">
        <f t="shared" ref="I47:I52" si="49">SUM(G47:H47)</f>
        <v>0</v>
      </c>
      <c r="J47" s="104"/>
      <c r="K47" s="104"/>
      <c r="L47" s="104"/>
      <c r="M47" s="104"/>
      <c r="N47" s="104">
        <f t="shared" ref="N47:N52" si="50">SUM(J47:M47)</f>
        <v>0</v>
      </c>
      <c r="O47" s="104"/>
      <c r="P47" s="104"/>
      <c r="Q47" s="104"/>
      <c r="R47" s="104">
        <f t="shared" ref="R47:R52" si="51">SUM(P47:Q47)</f>
        <v>0</v>
      </c>
      <c r="S47" s="104">
        <f t="shared" ref="S47:S52" si="52">F47+I47+N47+O47+R47</f>
        <v>0</v>
      </c>
      <c r="T47" s="104"/>
      <c r="U47" s="104"/>
      <c r="V47" s="104"/>
      <c r="W47" s="104"/>
      <c r="X47" s="104"/>
      <c r="Y47" s="104"/>
      <c r="Z47" s="104"/>
      <c r="AA47" s="104">
        <f t="shared" ref="AA47:AA52" si="53">SUM(U47:Z47)</f>
        <v>0</v>
      </c>
      <c r="AB47" s="104"/>
      <c r="AC47" s="104"/>
      <c r="AD47" s="104"/>
      <c r="AE47" s="104"/>
      <c r="AF47" s="104"/>
      <c r="AG47" s="104">
        <f t="shared" ref="AG47:AG52" si="54">SUM(AC47:AF47)</f>
        <v>0</v>
      </c>
      <c r="AH47" s="104"/>
      <c r="AI47" s="104"/>
      <c r="AJ47" s="104"/>
      <c r="AK47" s="104">
        <f t="shared" ref="AK47:AK52" si="55">SUM(AH47:AJ47)</f>
        <v>0</v>
      </c>
      <c r="AL47" s="104">
        <f t="shared" ref="AL47:AL52" si="56">T47+AA47+AB47+AG47+AK47</f>
        <v>0</v>
      </c>
      <c r="AM47" s="104">
        <f t="shared" ref="AM47:AM52" si="57">E47+S47-AL47</f>
        <v>1000</v>
      </c>
    </row>
    <row r="48" spans="3:39" s="78" customFormat="1" ht="20.100000000000001" customHeight="1">
      <c r="D48" s="104" t="s">
        <v>63</v>
      </c>
      <c r="E48" s="104">
        <f t="shared" ref="E48:E52" si="58">AM41</f>
        <v>2000</v>
      </c>
      <c r="F48" s="104"/>
      <c r="G48" s="104"/>
      <c r="H48" s="104"/>
      <c r="I48" s="104">
        <f t="shared" si="49"/>
        <v>0</v>
      </c>
      <c r="J48" s="104"/>
      <c r="K48" s="104"/>
      <c r="L48" s="104"/>
      <c r="M48" s="104"/>
      <c r="N48" s="104">
        <f t="shared" si="50"/>
        <v>0</v>
      </c>
      <c r="O48" s="104"/>
      <c r="P48" s="104"/>
      <c r="Q48" s="104"/>
      <c r="R48" s="104">
        <f t="shared" si="51"/>
        <v>0</v>
      </c>
      <c r="S48" s="104">
        <f t="shared" si="52"/>
        <v>0</v>
      </c>
      <c r="T48" s="104"/>
      <c r="U48" s="104"/>
      <c r="V48" s="104"/>
      <c r="W48" s="104"/>
      <c r="X48" s="104"/>
      <c r="Y48" s="104"/>
      <c r="Z48" s="104"/>
      <c r="AA48" s="104">
        <f t="shared" si="53"/>
        <v>0</v>
      </c>
      <c r="AB48" s="104"/>
      <c r="AC48" s="104"/>
      <c r="AD48" s="104"/>
      <c r="AE48" s="104"/>
      <c r="AF48" s="104"/>
      <c r="AG48" s="104">
        <f t="shared" si="54"/>
        <v>0</v>
      </c>
      <c r="AH48" s="104"/>
      <c r="AI48" s="104"/>
      <c r="AJ48" s="104"/>
      <c r="AK48" s="104">
        <f t="shared" si="55"/>
        <v>0</v>
      </c>
      <c r="AL48" s="104">
        <f t="shared" si="56"/>
        <v>0</v>
      </c>
      <c r="AM48" s="104">
        <f t="shared" si="57"/>
        <v>2000</v>
      </c>
    </row>
    <row r="49" spans="3:39" s="78" customFormat="1" ht="20.100000000000001" customHeight="1">
      <c r="D49" s="104" t="s">
        <v>59</v>
      </c>
      <c r="E49" s="104">
        <f t="shared" si="58"/>
        <v>7000</v>
      </c>
      <c r="F49" s="104"/>
      <c r="G49" s="104"/>
      <c r="H49" s="104"/>
      <c r="I49" s="104">
        <f t="shared" si="49"/>
        <v>0</v>
      </c>
      <c r="J49" s="104"/>
      <c r="K49" s="104"/>
      <c r="L49" s="104"/>
      <c r="M49" s="104"/>
      <c r="N49" s="104">
        <f t="shared" si="50"/>
        <v>0</v>
      </c>
      <c r="O49" s="104"/>
      <c r="P49" s="104"/>
      <c r="Q49" s="104"/>
      <c r="R49" s="104">
        <f t="shared" si="51"/>
        <v>0</v>
      </c>
      <c r="S49" s="104">
        <f t="shared" si="52"/>
        <v>0</v>
      </c>
      <c r="T49" s="104"/>
      <c r="U49" s="104"/>
      <c r="V49" s="104"/>
      <c r="W49" s="104"/>
      <c r="X49" s="104"/>
      <c r="Y49" s="104"/>
      <c r="Z49" s="104"/>
      <c r="AA49" s="104">
        <f t="shared" si="53"/>
        <v>0</v>
      </c>
      <c r="AB49" s="104"/>
      <c r="AC49" s="104"/>
      <c r="AD49" s="104"/>
      <c r="AE49" s="104"/>
      <c r="AF49" s="104"/>
      <c r="AG49" s="104">
        <f t="shared" si="54"/>
        <v>0</v>
      </c>
      <c r="AH49" s="104"/>
      <c r="AI49" s="104"/>
      <c r="AJ49" s="104"/>
      <c r="AK49" s="104">
        <f t="shared" si="55"/>
        <v>0</v>
      </c>
      <c r="AL49" s="104">
        <f t="shared" si="56"/>
        <v>0</v>
      </c>
      <c r="AM49" s="104">
        <f t="shared" si="57"/>
        <v>7000</v>
      </c>
    </row>
    <row r="50" spans="3:39" s="78" customFormat="1" ht="20.100000000000001" customHeight="1">
      <c r="D50" s="105" t="s">
        <v>66</v>
      </c>
      <c r="E50" s="105">
        <f t="shared" si="58"/>
        <v>3000</v>
      </c>
      <c r="F50" s="105"/>
      <c r="G50" s="105"/>
      <c r="H50" s="105"/>
      <c r="I50" s="105">
        <f t="shared" si="49"/>
        <v>0</v>
      </c>
      <c r="J50" s="105"/>
      <c r="K50" s="105"/>
      <c r="L50" s="105"/>
      <c r="M50" s="105"/>
      <c r="N50" s="105">
        <f t="shared" si="50"/>
        <v>0</v>
      </c>
      <c r="O50" s="105"/>
      <c r="P50" s="105"/>
      <c r="Q50" s="105"/>
      <c r="R50" s="105">
        <f t="shared" si="51"/>
        <v>0</v>
      </c>
      <c r="S50" s="105">
        <f t="shared" si="52"/>
        <v>0</v>
      </c>
      <c r="T50" s="105">
        <v>2700</v>
      </c>
      <c r="U50" s="105"/>
      <c r="V50" s="105"/>
      <c r="W50" s="105"/>
      <c r="X50" s="105"/>
      <c r="Y50" s="105"/>
      <c r="Z50" s="105"/>
      <c r="AA50" s="105">
        <f t="shared" si="53"/>
        <v>0</v>
      </c>
      <c r="AB50" s="105"/>
      <c r="AC50" s="105"/>
      <c r="AD50" s="105"/>
      <c r="AE50" s="105"/>
      <c r="AF50" s="105"/>
      <c r="AG50" s="105">
        <f t="shared" si="54"/>
        <v>0</v>
      </c>
      <c r="AH50" s="105"/>
      <c r="AI50" s="105"/>
      <c r="AJ50" s="105"/>
      <c r="AK50" s="105">
        <f t="shared" si="55"/>
        <v>0</v>
      </c>
      <c r="AL50" s="105">
        <f t="shared" si="56"/>
        <v>2700</v>
      </c>
      <c r="AM50" s="105">
        <f t="shared" si="57"/>
        <v>300</v>
      </c>
    </row>
    <row r="51" spans="3:39" s="78" customFormat="1" ht="20.100000000000001" customHeight="1">
      <c r="D51" s="105" t="s">
        <v>67</v>
      </c>
      <c r="E51" s="105">
        <f t="shared" si="58"/>
        <v>4000</v>
      </c>
      <c r="F51" s="105"/>
      <c r="G51" s="105"/>
      <c r="H51" s="105"/>
      <c r="I51" s="105">
        <f t="shared" si="49"/>
        <v>0</v>
      </c>
      <c r="J51" s="105"/>
      <c r="K51" s="105"/>
      <c r="L51" s="105"/>
      <c r="M51" s="105"/>
      <c r="N51" s="105">
        <f t="shared" si="50"/>
        <v>0</v>
      </c>
      <c r="O51" s="105"/>
      <c r="P51" s="105"/>
      <c r="Q51" s="105"/>
      <c r="R51" s="105">
        <f t="shared" si="51"/>
        <v>0</v>
      </c>
      <c r="S51" s="105">
        <f t="shared" si="52"/>
        <v>0</v>
      </c>
      <c r="T51" s="105"/>
      <c r="U51" s="105"/>
      <c r="V51" s="105"/>
      <c r="W51" s="105"/>
      <c r="X51" s="105"/>
      <c r="Y51" s="105"/>
      <c r="Z51" s="105"/>
      <c r="AA51" s="105">
        <f t="shared" si="53"/>
        <v>0</v>
      </c>
      <c r="AB51" s="105"/>
      <c r="AC51" s="105"/>
      <c r="AD51" s="105"/>
      <c r="AE51" s="105"/>
      <c r="AF51" s="105"/>
      <c r="AG51" s="105">
        <f t="shared" si="54"/>
        <v>0</v>
      </c>
      <c r="AH51" s="105"/>
      <c r="AI51" s="105"/>
      <c r="AJ51" s="105"/>
      <c r="AK51" s="105">
        <f t="shared" si="55"/>
        <v>0</v>
      </c>
      <c r="AL51" s="105">
        <f t="shared" si="56"/>
        <v>0</v>
      </c>
      <c r="AM51" s="105">
        <f t="shared" si="57"/>
        <v>4000</v>
      </c>
    </row>
    <row r="52" spans="3:39" s="78" customFormat="1" ht="20.100000000000001" customHeight="1">
      <c r="D52" s="105" t="s">
        <v>60</v>
      </c>
      <c r="E52" s="105">
        <f t="shared" si="58"/>
        <v>0</v>
      </c>
      <c r="F52" s="105"/>
      <c r="G52" s="105"/>
      <c r="H52" s="105"/>
      <c r="I52" s="105">
        <f t="shared" si="49"/>
        <v>0</v>
      </c>
      <c r="J52" s="105"/>
      <c r="K52" s="105"/>
      <c r="L52" s="105"/>
      <c r="M52" s="105"/>
      <c r="N52" s="105">
        <f t="shared" si="50"/>
        <v>0</v>
      </c>
      <c r="O52" s="105"/>
      <c r="P52" s="105"/>
      <c r="Q52" s="105"/>
      <c r="R52" s="105">
        <f t="shared" si="51"/>
        <v>0</v>
      </c>
      <c r="S52" s="105">
        <f t="shared" si="52"/>
        <v>0</v>
      </c>
      <c r="T52" s="105"/>
      <c r="U52" s="105"/>
      <c r="V52" s="105"/>
      <c r="W52" s="105"/>
      <c r="X52" s="105"/>
      <c r="Y52" s="105"/>
      <c r="Z52" s="105"/>
      <c r="AA52" s="105">
        <f t="shared" si="53"/>
        <v>0</v>
      </c>
      <c r="AB52" s="105"/>
      <c r="AC52" s="105"/>
      <c r="AD52" s="105"/>
      <c r="AE52" s="105"/>
      <c r="AF52" s="105"/>
      <c r="AG52" s="105">
        <f t="shared" si="54"/>
        <v>0</v>
      </c>
      <c r="AH52" s="105"/>
      <c r="AI52" s="105"/>
      <c r="AJ52" s="105"/>
      <c r="AK52" s="105">
        <f t="shared" si="55"/>
        <v>0</v>
      </c>
      <c r="AL52" s="105">
        <f t="shared" si="56"/>
        <v>0</v>
      </c>
      <c r="AM52" s="105">
        <f t="shared" si="57"/>
        <v>0</v>
      </c>
    </row>
    <row r="53" spans="3:39" s="78" customFormat="1" ht="20.100000000000001" customHeight="1"/>
    <row r="54" spans="3:39" s="78" customFormat="1" ht="20.100000000000001" customHeight="1">
      <c r="C54" s="81" t="s">
        <v>65</v>
      </c>
      <c r="D54" s="104" t="s">
        <v>62</v>
      </c>
      <c r="E54" s="104">
        <f>AM47</f>
        <v>1000</v>
      </c>
      <c r="F54" s="104"/>
      <c r="G54" s="104"/>
      <c r="H54" s="104"/>
      <c r="I54" s="104">
        <f t="shared" ref="I54:I59" si="59">SUM(G54:H54)</f>
        <v>0</v>
      </c>
      <c r="J54" s="104"/>
      <c r="K54" s="104"/>
      <c r="L54" s="104"/>
      <c r="M54" s="104"/>
      <c r="N54" s="104">
        <f t="shared" ref="N54:N59" si="60">SUM(J54:M54)</f>
        <v>0</v>
      </c>
      <c r="O54" s="104"/>
      <c r="P54" s="104"/>
      <c r="Q54" s="104"/>
      <c r="R54" s="104">
        <f t="shared" ref="R54:R59" si="61">SUM(P54:Q54)</f>
        <v>0</v>
      </c>
      <c r="S54" s="104">
        <f t="shared" ref="S54:S59" si="62">F54+I54+N54+O54+R54</f>
        <v>0</v>
      </c>
      <c r="T54" s="104"/>
      <c r="U54" s="104"/>
      <c r="V54" s="104"/>
      <c r="W54" s="104"/>
      <c r="X54" s="104"/>
      <c r="Y54" s="104"/>
      <c r="Z54" s="104"/>
      <c r="AA54" s="104">
        <f t="shared" ref="AA54:AA59" si="63">SUM(U54:Z54)</f>
        <v>0</v>
      </c>
      <c r="AB54" s="104"/>
      <c r="AC54" s="104"/>
      <c r="AD54" s="104"/>
      <c r="AE54" s="104"/>
      <c r="AF54" s="104"/>
      <c r="AG54" s="104">
        <f t="shared" ref="AG54:AG59" si="64">SUM(AC54:AF54)</f>
        <v>0</v>
      </c>
      <c r="AH54" s="104"/>
      <c r="AI54" s="104"/>
      <c r="AJ54" s="104"/>
      <c r="AK54" s="104">
        <f t="shared" ref="AK54:AK59" si="65">SUM(AH54:AJ54)</f>
        <v>0</v>
      </c>
      <c r="AL54" s="104">
        <f t="shared" ref="AL54:AL59" si="66">T54+AA54+AB54+AG54+AK54</f>
        <v>0</v>
      </c>
      <c r="AM54" s="104">
        <f t="shared" ref="AM54:AM59" si="67">E54+S54-AL54</f>
        <v>1000</v>
      </c>
    </row>
    <row r="55" spans="3:39" s="78" customFormat="1" ht="20.100000000000001" customHeight="1">
      <c r="D55" s="104" t="s">
        <v>63</v>
      </c>
      <c r="E55" s="104">
        <f t="shared" ref="E55:E59" si="68">AM48</f>
        <v>2000</v>
      </c>
      <c r="F55" s="104"/>
      <c r="G55" s="104"/>
      <c r="H55" s="104"/>
      <c r="I55" s="104">
        <f t="shared" si="59"/>
        <v>0</v>
      </c>
      <c r="J55" s="104"/>
      <c r="K55" s="104"/>
      <c r="L55" s="104"/>
      <c r="M55" s="104"/>
      <c r="N55" s="104">
        <f t="shared" si="60"/>
        <v>0</v>
      </c>
      <c r="O55" s="104"/>
      <c r="P55" s="104"/>
      <c r="Q55" s="104"/>
      <c r="R55" s="104">
        <f t="shared" si="61"/>
        <v>0</v>
      </c>
      <c r="S55" s="104">
        <f t="shared" si="62"/>
        <v>0</v>
      </c>
      <c r="T55" s="104"/>
      <c r="U55" s="104"/>
      <c r="V55" s="104"/>
      <c r="W55" s="104"/>
      <c r="X55" s="104"/>
      <c r="Y55" s="104"/>
      <c r="Z55" s="104"/>
      <c r="AA55" s="104">
        <f t="shared" si="63"/>
        <v>0</v>
      </c>
      <c r="AB55" s="104"/>
      <c r="AC55" s="104"/>
      <c r="AD55" s="104"/>
      <c r="AE55" s="104"/>
      <c r="AF55" s="104"/>
      <c r="AG55" s="104">
        <f t="shared" si="64"/>
        <v>0</v>
      </c>
      <c r="AH55" s="104"/>
      <c r="AI55" s="104"/>
      <c r="AJ55" s="104"/>
      <c r="AK55" s="104">
        <f t="shared" si="65"/>
        <v>0</v>
      </c>
      <c r="AL55" s="104">
        <f t="shared" si="66"/>
        <v>0</v>
      </c>
      <c r="AM55" s="104">
        <f t="shared" si="67"/>
        <v>2000</v>
      </c>
    </row>
    <row r="56" spans="3:39" s="78" customFormat="1" ht="20.100000000000001" customHeight="1">
      <c r="D56" s="104" t="s">
        <v>59</v>
      </c>
      <c r="E56" s="104">
        <f t="shared" si="68"/>
        <v>7000</v>
      </c>
      <c r="F56" s="104"/>
      <c r="G56" s="104"/>
      <c r="H56" s="104"/>
      <c r="I56" s="104">
        <f t="shared" si="59"/>
        <v>0</v>
      </c>
      <c r="J56" s="104"/>
      <c r="K56" s="104"/>
      <c r="L56" s="104"/>
      <c r="M56" s="104"/>
      <c r="N56" s="104">
        <f t="shared" si="60"/>
        <v>0</v>
      </c>
      <c r="O56" s="104"/>
      <c r="P56" s="104"/>
      <c r="Q56" s="104"/>
      <c r="R56" s="104">
        <f t="shared" si="61"/>
        <v>0</v>
      </c>
      <c r="S56" s="104">
        <f t="shared" si="62"/>
        <v>0</v>
      </c>
      <c r="T56" s="104"/>
      <c r="U56" s="104"/>
      <c r="V56" s="104"/>
      <c r="W56" s="104"/>
      <c r="X56" s="104"/>
      <c r="Y56" s="104"/>
      <c r="Z56" s="104"/>
      <c r="AA56" s="104">
        <f t="shared" si="63"/>
        <v>0</v>
      </c>
      <c r="AB56" s="104"/>
      <c r="AC56" s="104"/>
      <c r="AD56" s="104"/>
      <c r="AE56" s="104"/>
      <c r="AF56" s="104"/>
      <c r="AG56" s="104">
        <f t="shared" si="64"/>
        <v>0</v>
      </c>
      <c r="AH56" s="104"/>
      <c r="AI56" s="104"/>
      <c r="AJ56" s="104"/>
      <c r="AK56" s="104">
        <f t="shared" si="65"/>
        <v>0</v>
      </c>
      <c r="AL56" s="104">
        <f t="shared" si="66"/>
        <v>0</v>
      </c>
      <c r="AM56" s="104">
        <f t="shared" si="67"/>
        <v>7000</v>
      </c>
    </row>
    <row r="57" spans="3:39" s="78" customFormat="1" ht="20.100000000000001" customHeight="1">
      <c r="D57" s="105" t="s">
        <v>66</v>
      </c>
      <c r="E57" s="105">
        <f t="shared" si="68"/>
        <v>300</v>
      </c>
      <c r="F57" s="105"/>
      <c r="G57" s="105"/>
      <c r="H57" s="105"/>
      <c r="I57" s="105">
        <f t="shared" si="59"/>
        <v>0</v>
      </c>
      <c r="J57" s="105"/>
      <c r="K57" s="105"/>
      <c r="L57" s="105">
        <f>W58</f>
        <v>2000</v>
      </c>
      <c r="M57" s="105"/>
      <c r="N57" s="105">
        <f t="shared" si="60"/>
        <v>2000</v>
      </c>
      <c r="O57" s="105"/>
      <c r="P57" s="105"/>
      <c r="Q57" s="105"/>
      <c r="R57" s="105">
        <f t="shared" si="61"/>
        <v>0</v>
      </c>
      <c r="S57" s="105">
        <f t="shared" si="62"/>
        <v>2000</v>
      </c>
      <c r="T57" s="105"/>
      <c r="U57" s="105"/>
      <c r="V57" s="105"/>
      <c r="W57" s="105"/>
      <c r="X57" s="105"/>
      <c r="Y57" s="105"/>
      <c r="Z57" s="105"/>
      <c r="AA57" s="105">
        <f t="shared" si="63"/>
        <v>0</v>
      </c>
      <c r="AB57" s="105"/>
      <c r="AC57" s="105"/>
      <c r="AD57" s="105"/>
      <c r="AE57" s="105"/>
      <c r="AF57" s="105"/>
      <c r="AG57" s="105">
        <f t="shared" si="64"/>
        <v>0</v>
      </c>
      <c r="AH57" s="105"/>
      <c r="AI57" s="105"/>
      <c r="AJ57" s="105"/>
      <c r="AK57" s="105">
        <f t="shared" si="65"/>
        <v>0</v>
      </c>
      <c r="AL57" s="105">
        <f t="shared" si="66"/>
        <v>0</v>
      </c>
      <c r="AM57" s="105">
        <f t="shared" si="67"/>
        <v>2300</v>
      </c>
    </row>
    <row r="58" spans="3:39" s="78" customFormat="1" ht="20.100000000000001" customHeight="1">
      <c r="D58" s="105" t="s">
        <v>67</v>
      </c>
      <c r="E58" s="105">
        <f t="shared" si="68"/>
        <v>4000</v>
      </c>
      <c r="F58" s="105"/>
      <c r="G58" s="105"/>
      <c r="H58" s="105"/>
      <c r="I58" s="105">
        <f t="shared" si="59"/>
        <v>0</v>
      </c>
      <c r="J58" s="105"/>
      <c r="K58" s="105"/>
      <c r="L58" s="105"/>
      <c r="M58" s="105"/>
      <c r="N58" s="105">
        <f t="shared" si="60"/>
        <v>0</v>
      </c>
      <c r="O58" s="105"/>
      <c r="P58" s="105"/>
      <c r="Q58" s="105"/>
      <c r="R58" s="105">
        <f t="shared" si="61"/>
        <v>0</v>
      </c>
      <c r="S58" s="105">
        <f t="shared" si="62"/>
        <v>0</v>
      </c>
      <c r="T58" s="105"/>
      <c r="U58" s="105"/>
      <c r="V58" s="105"/>
      <c r="W58" s="105">
        <v>2000</v>
      </c>
      <c r="X58" s="105"/>
      <c r="Y58" s="105"/>
      <c r="Z58" s="105"/>
      <c r="AA58" s="105">
        <f t="shared" si="63"/>
        <v>2000</v>
      </c>
      <c r="AB58" s="105"/>
      <c r="AC58" s="105"/>
      <c r="AD58" s="105"/>
      <c r="AE58" s="105"/>
      <c r="AF58" s="105"/>
      <c r="AG58" s="105">
        <f t="shared" si="64"/>
        <v>0</v>
      </c>
      <c r="AH58" s="105"/>
      <c r="AI58" s="105"/>
      <c r="AJ58" s="105"/>
      <c r="AK58" s="105">
        <f t="shared" si="65"/>
        <v>0</v>
      </c>
      <c r="AL58" s="105">
        <f t="shared" si="66"/>
        <v>2000</v>
      </c>
      <c r="AM58" s="105">
        <f t="shared" si="67"/>
        <v>2000</v>
      </c>
    </row>
    <row r="59" spans="3:39" s="78" customFormat="1" ht="20.100000000000001" customHeight="1">
      <c r="D59" s="105" t="s">
        <v>60</v>
      </c>
      <c r="E59" s="105">
        <f t="shared" si="68"/>
        <v>0</v>
      </c>
      <c r="F59" s="105"/>
      <c r="G59" s="105"/>
      <c r="H59" s="105"/>
      <c r="I59" s="105">
        <f t="shared" si="59"/>
        <v>0</v>
      </c>
      <c r="J59" s="105"/>
      <c r="K59" s="105"/>
      <c r="L59" s="105"/>
      <c r="M59" s="105"/>
      <c r="N59" s="105">
        <f t="shared" si="60"/>
        <v>0</v>
      </c>
      <c r="O59" s="105"/>
      <c r="P59" s="105"/>
      <c r="Q59" s="105"/>
      <c r="R59" s="105">
        <f t="shared" si="61"/>
        <v>0</v>
      </c>
      <c r="S59" s="105">
        <f t="shared" si="62"/>
        <v>0</v>
      </c>
      <c r="T59" s="105"/>
      <c r="U59" s="105"/>
      <c r="V59" s="105"/>
      <c r="W59" s="105"/>
      <c r="X59" s="105"/>
      <c r="Y59" s="105"/>
      <c r="Z59" s="105"/>
      <c r="AA59" s="105">
        <f t="shared" si="63"/>
        <v>0</v>
      </c>
      <c r="AB59" s="105"/>
      <c r="AC59" s="105"/>
      <c r="AD59" s="105"/>
      <c r="AE59" s="105"/>
      <c r="AF59" s="105"/>
      <c r="AG59" s="105">
        <f t="shared" si="64"/>
        <v>0</v>
      </c>
      <c r="AH59" s="105"/>
      <c r="AI59" s="105"/>
      <c r="AJ59" s="105"/>
      <c r="AK59" s="105">
        <f t="shared" si="65"/>
        <v>0</v>
      </c>
      <c r="AL59" s="105">
        <f t="shared" si="66"/>
        <v>0</v>
      </c>
      <c r="AM59" s="105">
        <f t="shared" si="67"/>
        <v>0</v>
      </c>
    </row>
    <row r="60" spans="3:39" s="78" customFormat="1" ht="20.100000000000001" customHeight="1"/>
    <row r="61" spans="3:39" s="78" customFormat="1" ht="20.100000000000001" customHeight="1">
      <c r="C61" s="81" t="s">
        <v>74</v>
      </c>
      <c r="D61" s="104" t="s">
        <v>62</v>
      </c>
      <c r="E61" s="104">
        <f>AM54</f>
        <v>1000</v>
      </c>
      <c r="F61" s="104"/>
      <c r="G61" s="104">
        <f>X64+X65</f>
        <v>3500</v>
      </c>
      <c r="H61" s="104"/>
      <c r="I61" s="104">
        <f t="shared" ref="I61:I66" si="69">SUM(G61:H61)</f>
        <v>3500</v>
      </c>
      <c r="J61" s="104"/>
      <c r="K61" s="104"/>
      <c r="L61" s="104"/>
      <c r="M61" s="104"/>
      <c r="N61" s="104">
        <f t="shared" ref="N61:N66" si="70">SUM(J61:M61)</f>
        <v>0</v>
      </c>
      <c r="O61" s="104"/>
      <c r="P61" s="104"/>
      <c r="Q61" s="104"/>
      <c r="R61" s="104">
        <f t="shared" ref="R61:R66" si="71">SUM(P61:Q61)</f>
        <v>0</v>
      </c>
      <c r="S61" s="104">
        <f t="shared" ref="S61:S66" si="72">F61+I61+N61+O61+R61</f>
        <v>3500</v>
      </c>
      <c r="T61" s="104"/>
      <c r="U61" s="104"/>
      <c r="V61" s="104"/>
      <c r="W61" s="104"/>
      <c r="X61" s="104"/>
      <c r="Y61" s="104"/>
      <c r="Z61" s="104"/>
      <c r="AA61" s="104">
        <f t="shared" ref="AA61:AA66" si="73">SUM(U61:Z61)</f>
        <v>0</v>
      </c>
      <c r="AB61" s="104"/>
      <c r="AC61" s="104"/>
      <c r="AD61" s="104"/>
      <c r="AE61" s="104"/>
      <c r="AF61" s="104"/>
      <c r="AG61" s="104">
        <f t="shared" ref="AG61:AG66" si="74">SUM(AC61:AF61)</f>
        <v>0</v>
      </c>
      <c r="AH61" s="104"/>
      <c r="AI61" s="104"/>
      <c r="AJ61" s="104"/>
      <c r="AK61" s="104">
        <f t="shared" ref="AK61:AK66" si="75">SUM(AH61:AJ61)</f>
        <v>0</v>
      </c>
      <c r="AL61" s="104">
        <f t="shared" ref="AL61:AL66" si="76">T61+AA61+AB61+AG61+AK61</f>
        <v>0</v>
      </c>
      <c r="AM61" s="104">
        <f t="shared" ref="AM61:AM66" si="77">E61+S61-AL61</f>
        <v>4500</v>
      </c>
    </row>
    <row r="62" spans="3:39" s="78" customFormat="1" ht="20.100000000000001" customHeight="1">
      <c r="D62" s="104" t="s">
        <v>63</v>
      </c>
      <c r="E62" s="104">
        <f t="shared" ref="E62:E66" si="78">AM55</f>
        <v>2000</v>
      </c>
      <c r="F62" s="104"/>
      <c r="G62" s="104"/>
      <c r="H62" s="104"/>
      <c r="I62" s="104">
        <f t="shared" si="69"/>
        <v>0</v>
      </c>
      <c r="J62" s="104"/>
      <c r="K62" s="104"/>
      <c r="L62" s="104"/>
      <c r="M62" s="104"/>
      <c r="N62" s="104">
        <f t="shared" si="70"/>
        <v>0</v>
      </c>
      <c r="O62" s="104"/>
      <c r="P62" s="104"/>
      <c r="Q62" s="104"/>
      <c r="R62" s="104">
        <f t="shared" si="71"/>
        <v>0</v>
      </c>
      <c r="S62" s="104">
        <f t="shared" si="72"/>
        <v>0</v>
      </c>
      <c r="T62" s="104"/>
      <c r="U62" s="104"/>
      <c r="V62" s="104"/>
      <c r="W62" s="104"/>
      <c r="X62" s="104"/>
      <c r="Y62" s="104"/>
      <c r="Z62" s="104"/>
      <c r="AA62" s="104">
        <f t="shared" si="73"/>
        <v>0</v>
      </c>
      <c r="AB62" s="104"/>
      <c r="AC62" s="104"/>
      <c r="AD62" s="104"/>
      <c r="AE62" s="104"/>
      <c r="AF62" s="104"/>
      <c r="AG62" s="104">
        <f t="shared" si="74"/>
        <v>0</v>
      </c>
      <c r="AH62" s="104"/>
      <c r="AI62" s="104"/>
      <c r="AJ62" s="104"/>
      <c r="AK62" s="104">
        <f t="shared" si="75"/>
        <v>0</v>
      </c>
      <c r="AL62" s="104">
        <f t="shared" si="76"/>
        <v>0</v>
      </c>
      <c r="AM62" s="104">
        <f t="shared" si="77"/>
        <v>2000</v>
      </c>
    </row>
    <row r="63" spans="3:39" s="78" customFormat="1" ht="20.100000000000001" customHeight="1">
      <c r="D63" s="104" t="s">
        <v>59</v>
      </c>
      <c r="E63" s="104">
        <f t="shared" si="78"/>
        <v>7000</v>
      </c>
      <c r="F63" s="104"/>
      <c r="G63" s="104"/>
      <c r="H63" s="104"/>
      <c r="I63" s="104">
        <f t="shared" si="69"/>
        <v>0</v>
      </c>
      <c r="J63" s="104"/>
      <c r="K63" s="104"/>
      <c r="L63" s="104"/>
      <c r="M63" s="104"/>
      <c r="N63" s="104">
        <f t="shared" si="70"/>
        <v>0</v>
      </c>
      <c r="O63" s="104"/>
      <c r="P63" s="104"/>
      <c r="Q63" s="104"/>
      <c r="R63" s="104">
        <f t="shared" si="71"/>
        <v>0</v>
      </c>
      <c r="S63" s="104">
        <f t="shared" si="72"/>
        <v>0</v>
      </c>
      <c r="T63" s="104"/>
      <c r="U63" s="104"/>
      <c r="V63" s="104"/>
      <c r="W63" s="104"/>
      <c r="X63" s="104"/>
      <c r="Y63" s="104"/>
      <c r="Z63" s="104"/>
      <c r="AA63" s="104">
        <f t="shared" si="73"/>
        <v>0</v>
      </c>
      <c r="AB63" s="104"/>
      <c r="AC63" s="104"/>
      <c r="AD63" s="104"/>
      <c r="AE63" s="104"/>
      <c r="AF63" s="104"/>
      <c r="AG63" s="104">
        <f t="shared" si="74"/>
        <v>0</v>
      </c>
      <c r="AH63" s="104"/>
      <c r="AI63" s="104"/>
      <c r="AJ63" s="104"/>
      <c r="AK63" s="104">
        <f t="shared" si="75"/>
        <v>0</v>
      </c>
      <c r="AL63" s="104">
        <f t="shared" si="76"/>
        <v>0</v>
      </c>
      <c r="AM63" s="104">
        <f t="shared" si="77"/>
        <v>7000</v>
      </c>
    </row>
    <row r="64" spans="3:39" s="78" customFormat="1" ht="20.100000000000001" customHeight="1">
      <c r="D64" s="105" t="s">
        <v>66</v>
      </c>
      <c r="E64" s="105">
        <f t="shared" si="78"/>
        <v>2300</v>
      </c>
      <c r="F64" s="105"/>
      <c r="G64" s="105"/>
      <c r="H64" s="105"/>
      <c r="I64" s="105">
        <f t="shared" si="69"/>
        <v>0</v>
      </c>
      <c r="J64" s="105"/>
      <c r="K64" s="105"/>
      <c r="L64" s="105"/>
      <c r="M64" s="105"/>
      <c r="N64" s="105">
        <f t="shared" si="70"/>
        <v>0</v>
      </c>
      <c r="O64" s="105"/>
      <c r="P64" s="105"/>
      <c r="Q64" s="105"/>
      <c r="R64" s="105">
        <f t="shared" si="71"/>
        <v>0</v>
      </c>
      <c r="S64" s="105">
        <f t="shared" si="72"/>
        <v>0</v>
      </c>
      <c r="T64" s="105"/>
      <c r="U64" s="105"/>
      <c r="V64" s="105"/>
      <c r="W64" s="105"/>
      <c r="X64" s="105">
        <v>2000</v>
      </c>
      <c r="Y64" s="105"/>
      <c r="Z64" s="105"/>
      <c r="AA64" s="105">
        <f t="shared" si="73"/>
        <v>2000</v>
      </c>
      <c r="AB64" s="105"/>
      <c r="AC64" s="105"/>
      <c r="AD64" s="105"/>
      <c r="AE64" s="105"/>
      <c r="AF64" s="105"/>
      <c r="AG64" s="105">
        <f t="shared" si="74"/>
        <v>0</v>
      </c>
      <c r="AH64" s="105"/>
      <c r="AI64" s="105"/>
      <c r="AJ64" s="105"/>
      <c r="AK64" s="105">
        <f t="shared" si="75"/>
        <v>0</v>
      </c>
      <c r="AL64" s="105">
        <f t="shared" si="76"/>
        <v>2000</v>
      </c>
      <c r="AM64" s="105">
        <f t="shared" si="77"/>
        <v>300</v>
      </c>
    </row>
    <row r="65" spans="3:39" s="78" customFormat="1" ht="20.100000000000001" customHeight="1">
      <c r="D65" s="105" t="s">
        <v>67</v>
      </c>
      <c r="E65" s="105">
        <f t="shared" si="78"/>
        <v>2000</v>
      </c>
      <c r="F65" s="105"/>
      <c r="G65" s="105"/>
      <c r="H65" s="105"/>
      <c r="I65" s="105">
        <f t="shared" si="69"/>
        <v>0</v>
      </c>
      <c r="J65" s="105"/>
      <c r="K65" s="105"/>
      <c r="L65" s="105"/>
      <c r="M65" s="105"/>
      <c r="N65" s="105">
        <f t="shared" si="70"/>
        <v>0</v>
      </c>
      <c r="O65" s="105"/>
      <c r="P65" s="105"/>
      <c r="Q65" s="105"/>
      <c r="R65" s="105">
        <f t="shared" si="71"/>
        <v>0</v>
      </c>
      <c r="S65" s="105">
        <f t="shared" si="72"/>
        <v>0</v>
      </c>
      <c r="T65" s="105"/>
      <c r="U65" s="105"/>
      <c r="V65" s="105"/>
      <c r="W65" s="105"/>
      <c r="X65" s="105">
        <v>1500</v>
      </c>
      <c r="Y65" s="105"/>
      <c r="Z65" s="105"/>
      <c r="AA65" s="105">
        <f t="shared" si="73"/>
        <v>1500</v>
      </c>
      <c r="AB65" s="105"/>
      <c r="AC65" s="105"/>
      <c r="AD65" s="105"/>
      <c r="AE65" s="105"/>
      <c r="AF65" s="105"/>
      <c r="AG65" s="105">
        <f t="shared" si="74"/>
        <v>0</v>
      </c>
      <c r="AH65" s="105"/>
      <c r="AI65" s="105"/>
      <c r="AJ65" s="105"/>
      <c r="AK65" s="105">
        <f t="shared" si="75"/>
        <v>0</v>
      </c>
      <c r="AL65" s="105">
        <f t="shared" si="76"/>
        <v>1500</v>
      </c>
      <c r="AM65" s="105">
        <f t="shared" si="77"/>
        <v>500</v>
      </c>
    </row>
    <row r="66" spans="3:39" s="78" customFormat="1" ht="20.100000000000001" customHeight="1">
      <c r="D66" s="105" t="s">
        <v>60</v>
      </c>
      <c r="E66" s="105">
        <f t="shared" si="78"/>
        <v>0</v>
      </c>
      <c r="F66" s="105"/>
      <c r="G66" s="105"/>
      <c r="H66" s="105"/>
      <c r="I66" s="105">
        <f t="shared" si="69"/>
        <v>0</v>
      </c>
      <c r="J66" s="105"/>
      <c r="K66" s="105"/>
      <c r="L66" s="105"/>
      <c r="M66" s="105"/>
      <c r="N66" s="105">
        <f t="shared" si="70"/>
        <v>0</v>
      </c>
      <c r="O66" s="105"/>
      <c r="P66" s="105"/>
      <c r="Q66" s="105"/>
      <c r="R66" s="105">
        <f t="shared" si="71"/>
        <v>0</v>
      </c>
      <c r="S66" s="105">
        <f t="shared" si="72"/>
        <v>0</v>
      </c>
      <c r="T66" s="105"/>
      <c r="U66" s="105"/>
      <c r="V66" s="105"/>
      <c r="W66" s="105"/>
      <c r="X66" s="105"/>
      <c r="Y66" s="105"/>
      <c r="Z66" s="105"/>
      <c r="AA66" s="105">
        <f t="shared" si="73"/>
        <v>0</v>
      </c>
      <c r="AB66" s="105"/>
      <c r="AC66" s="105"/>
      <c r="AD66" s="105"/>
      <c r="AE66" s="105"/>
      <c r="AF66" s="105"/>
      <c r="AG66" s="105">
        <f t="shared" si="74"/>
        <v>0</v>
      </c>
      <c r="AH66" s="105"/>
      <c r="AI66" s="105"/>
      <c r="AJ66" s="105"/>
      <c r="AK66" s="105">
        <f t="shared" si="75"/>
        <v>0</v>
      </c>
      <c r="AL66" s="105">
        <f t="shared" si="76"/>
        <v>0</v>
      </c>
      <c r="AM66" s="105">
        <f t="shared" si="77"/>
        <v>0</v>
      </c>
    </row>
    <row r="67" spans="3:39" s="78" customFormat="1" ht="20.100000000000001" customHeight="1"/>
    <row r="68" spans="3:39" s="78" customFormat="1" ht="20.100000000000001" customHeight="1">
      <c r="C68" s="81" t="s">
        <v>75</v>
      </c>
      <c r="D68" s="104" t="s">
        <v>62</v>
      </c>
      <c r="E68" s="104">
        <f>AM61</f>
        <v>4500</v>
      </c>
      <c r="F68" s="104"/>
      <c r="G68" s="104"/>
      <c r="H68" s="104"/>
      <c r="I68" s="104">
        <f t="shared" ref="I68:I73" si="79">SUM(G68:H68)</f>
        <v>0</v>
      </c>
      <c r="J68" s="104"/>
      <c r="K68" s="104"/>
      <c r="L68" s="104"/>
      <c r="M68" s="104"/>
      <c r="N68" s="104">
        <f t="shared" ref="N68:N73" si="80">SUM(J68:M68)</f>
        <v>0</v>
      </c>
      <c r="O68" s="104"/>
      <c r="P68" s="104"/>
      <c r="Q68" s="104"/>
      <c r="R68" s="104">
        <f t="shared" ref="R68:R73" si="81">SUM(P68:Q68)</f>
        <v>0</v>
      </c>
      <c r="S68" s="104">
        <f t="shared" ref="S68:S73" si="82">F68+I68+N68+O68+R68</f>
        <v>0</v>
      </c>
      <c r="T68" s="104"/>
      <c r="U68" s="104"/>
      <c r="V68" s="104"/>
      <c r="W68" s="104"/>
      <c r="X68" s="104"/>
      <c r="Y68" s="104"/>
      <c r="Z68" s="104"/>
      <c r="AA68" s="104">
        <f t="shared" ref="AA68:AA73" si="83">SUM(U68:Z68)</f>
        <v>0</v>
      </c>
      <c r="AB68" s="104"/>
      <c r="AC68" s="104"/>
      <c r="AD68" s="104"/>
      <c r="AE68" s="104"/>
      <c r="AF68" s="104"/>
      <c r="AG68" s="104">
        <f t="shared" ref="AG68:AG73" si="84">SUM(AC68:AF68)</f>
        <v>0</v>
      </c>
      <c r="AH68" s="104"/>
      <c r="AI68" s="104"/>
      <c r="AJ68" s="104"/>
      <c r="AK68" s="104">
        <f t="shared" ref="AK68:AK73" si="85">SUM(AH68:AJ68)</f>
        <v>0</v>
      </c>
      <c r="AL68" s="104">
        <f t="shared" ref="AL68:AL73" si="86">T68+AA68+AB68+AG68+AK68</f>
        <v>0</v>
      </c>
      <c r="AM68" s="104">
        <f t="shared" ref="AM68:AM73" si="87">E68+S68-AL68</f>
        <v>4500</v>
      </c>
    </row>
    <row r="69" spans="3:39" s="78" customFormat="1" ht="20.100000000000001" customHeight="1">
      <c r="D69" s="104" t="s">
        <v>63</v>
      </c>
      <c r="E69" s="104">
        <f t="shared" ref="E69:E73" si="88">AM62</f>
        <v>2000</v>
      </c>
      <c r="F69" s="104"/>
      <c r="G69" s="104"/>
      <c r="H69" s="104"/>
      <c r="I69" s="104">
        <f t="shared" si="79"/>
        <v>0</v>
      </c>
      <c r="J69" s="104"/>
      <c r="K69" s="104"/>
      <c r="L69" s="104"/>
      <c r="M69" s="104"/>
      <c r="N69" s="104">
        <f t="shared" si="80"/>
        <v>0</v>
      </c>
      <c r="O69" s="104"/>
      <c r="P69" s="104"/>
      <c r="Q69" s="104"/>
      <c r="R69" s="104">
        <f t="shared" si="81"/>
        <v>0</v>
      </c>
      <c r="S69" s="104">
        <f t="shared" si="82"/>
        <v>0</v>
      </c>
      <c r="T69" s="104"/>
      <c r="U69" s="104"/>
      <c r="V69" s="104"/>
      <c r="W69" s="104"/>
      <c r="X69" s="104"/>
      <c r="Y69" s="104"/>
      <c r="Z69" s="104"/>
      <c r="AA69" s="104">
        <f t="shared" si="83"/>
        <v>0</v>
      </c>
      <c r="AB69" s="104"/>
      <c r="AC69" s="104"/>
      <c r="AD69" s="104"/>
      <c r="AE69" s="104"/>
      <c r="AF69" s="104"/>
      <c r="AG69" s="104">
        <f t="shared" si="84"/>
        <v>0</v>
      </c>
      <c r="AH69" s="104"/>
      <c r="AI69" s="104"/>
      <c r="AJ69" s="104"/>
      <c r="AK69" s="104">
        <f t="shared" si="85"/>
        <v>0</v>
      </c>
      <c r="AL69" s="104">
        <f t="shared" si="86"/>
        <v>0</v>
      </c>
      <c r="AM69" s="104">
        <f t="shared" si="87"/>
        <v>2000</v>
      </c>
    </row>
    <row r="70" spans="3:39" s="78" customFormat="1" ht="20.100000000000001" customHeight="1">
      <c r="D70" s="104" t="s">
        <v>59</v>
      </c>
      <c r="E70" s="104">
        <f t="shared" si="88"/>
        <v>7000</v>
      </c>
      <c r="F70" s="104"/>
      <c r="G70" s="104"/>
      <c r="H70" s="104"/>
      <c r="I70" s="104">
        <f t="shared" si="79"/>
        <v>0</v>
      </c>
      <c r="J70" s="104"/>
      <c r="K70" s="104"/>
      <c r="L70" s="104"/>
      <c r="M70" s="104"/>
      <c r="N70" s="104">
        <f t="shared" si="80"/>
        <v>0</v>
      </c>
      <c r="O70" s="104"/>
      <c r="P70" s="104"/>
      <c r="Q70" s="104"/>
      <c r="R70" s="104">
        <f t="shared" si="81"/>
        <v>0</v>
      </c>
      <c r="S70" s="104">
        <f t="shared" si="82"/>
        <v>0</v>
      </c>
      <c r="T70" s="104"/>
      <c r="U70" s="104"/>
      <c r="V70" s="104"/>
      <c r="W70" s="104"/>
      <c r="X70" s="104"/>
      <c r="Y70" s="104"/>
      <c r="Z70" s="104"/>
      <c r="AA70" s="104">
        <f t="shared" si="83"/>
        <v>0</v>
      </c>
      <c r="AB70" s="104"/>
      <c r="AC70" s="104"/>
      <c r="AD70" s="104"/>
      <c r="AE70" s="104"/>
      <c r="AF70" s="104"/>
      <c r="AG70" s="104">
        <f t="shared" si="84"/>
        <v>0</v>
      </c>
      <c r="AH70" s="104"/>
      <c r="AI70" s="104"/>
      <c r="AJ70" s="104"/>
      <c r="AK70" s="104">
        <f t="shared" si="85"/>
        <v>0</v>
      </c>
      <c r="AL70" s="104">
        <f t="shared" si="86"/>
        <v>0</v>
      </c>
      <c r="AM70" s="104">
        <f t="shared" si="87"/>
        <v>7000</v>
      </c>
    </row>
    <row r="71" spans="3:39" s="78" customFormat="1" ht="20.100000000000001" customHeight="1">
      <c r="D71" s="105" t="s">
        <v>66</v>
      </c>
      <c r="E71" s="105">
        <f t="shared" si="88"/>
        <v>300</v>
      </c>
      <c r="F71" s="105"/>
      <c r="G71" s="105"/>
      <c r="H71" s="105"/>
      <c r="I71" s="105">
        <f t="shared" si="79"/>
        <v>0</v>
      </c>
      <c r="J71" s="105"/>
      <c r="K71" s="105"/>
      <c r="L71" s="105"/>
      <c r="M71" s="105"/>
      <c r="N71" s="105">
        <f t="shared" si="80"/>
        <v>0</v>
      </c>
      <c r="O71" s="105"/>
      <c r="P71" s="105"/>
      <c r="Q71" s="105"/>
      <c r="R71" s="105">
        <f t="shared" si="81"/>
        <v>0</v>
      </c>
      <c r="S71" s="105">
        <f t="shared" si="82"/>
        <v>0</v>
      </c>
      <c r="T71" s="105"/>
      <c r="U71" s="105"/>
      <c r="V71" s="105"/>
      <c r="W71" s="105"/>
      <c r="X71" s="105"/>
      <c r="Y71" s="105"/>
      <c r="Z71" s="105"/>
      <c r="AA71" s="105">
        <f t="shared" si="83"/>
        <v>0</v>
      </c>
      <c r="AB71" s="105"/>
      <c r="AC71" s="105"/>
      <c r="AD71" s="105"/>
      <c r="AE71" s="105"/>
      <c r="AF71" s="105"/>
      <c r="AG71" s="105">
        <f t="shared" si="84"/>
        <v>0</v>
      </c>
      <c r="AH71" s="105"/>
      <c r="AI71" s="105"/>
      <c r="AJ71" s="105"/>
      <c r="AK71" s="105">
        <f t="shared" si="85"/>
        <v>0</v>
      </c>
      <c r="AL71" s="105">
        <f t="shared" si="86"/>
        <v>0</v>
      </c>
      <c r="AM71" s="105">
        <f t="shared" si="87"/>
        <v>300</v>
      </c>
    </row>
    <row r="72" spans="3:39" s="78" customFormat="1" ht="20.100000000000001" customHeight="1">
      <c r="D72" s="105" t="s">
        <v>67</v>
      </c>
      <c r="E72" s="105">
        <f t="shared" si="88"/>
        <v>500</v>
      </c>
      <c r="F72" s="105"/>
      <c r="G72" s="105"/>
      <c r="H72" s="105"/>
      <c r="I72" s="105">
        <f t="shared" si="79"/>
        <v>0</v>
      </c>
      <c r="J72" s="105"/>
      <c r="K72" s="105"/>
      <c r="L72" s="105"/>
      <c r="M72" s="105"/>
      <c r="N72" s="105">
        <f t="shared" si="80"/>
        <v>0</v>
      </c>
      <c r="O72" s="105"/>
      <c r="P72" s="105"/>
      <c r="Q72" s="105"/>
      <c r="R72" s="105">
        <f t="shared" si="81"/>
        <v>0</v>
      </c>
      <c r="S72" s="105">
        <f t="shared" si="82"/>
        <v>0</v>
      </c>
      <c r="T72" s="105"/>
      <c r="U72" s="105"/>
      <c r="V72" s="105"/>
      <c r="W72" s="105"/>
      <c r="X72" s="105"/>
      <c r="Y72" s="105">
        <v>20</v>
      </c>
      <c r="Z72" s="105"/>
      <c r="AA72" s="105">
        <f t="shared" si="83"/>
        <v>20</v>
      </c>
      <c r="AB72" s="105"/>
      <c r="AC72" s="105"/>
      <c r="AD72" s="105"/>
      <c r="AE72" s="105"/>
      <c r="AF72" s="105"/>
      <c r="AG72" s="105">
        <f t="shared" si="84"/>
        <v>0</v>
      </c>
      <c r="AH72" s="105"/>
      <c r="AI72" s="105"/>
      <c r="AJ72" s="105"/>
      <c r="AK72" s="105">
        <f t="shared" si="85"/>
        <v>0</v>
      </c>
      <c r="AL72" s="105">
        <f t="shared" si="86"/>
        <v>20</v>
      </c>
      <c r="AM72" s="105">
        <f t="shared" si="87"/>
        <v>480</v>
      </c>
    </row>
    <row r="73" spans="3:39" s="78" customFormat="1" ht="20.100000000000001" customHeight="1">
      <c r="D73" s="105" t="s">
        <v>60</v>
      </c>
      <c r="E73" s="105">
        <f t="shared" si="88"/>
        <v>0</v>
      </c>
      <c r="F73" s="105"/>
      <c r="G73" s="105"/>
      <c r="H73" s="105"/>
      <c r="I73" s="105">
        <f t="shared" si="79"/>
        <v>0</v>
      </c>
      <c r="J73" s="105"/>
      <c r="K73" s="105"/>
      <c r="L73" s="105"/>
      <c r="M73" s="105">
        <f>Y72</f>
        <v>20</v>
      </c>
      <c r="N73" s="105">
        <f t="shared" si="80"/>
        <v>20</v>
      </c>
      <c r="O73" s="105"/>
      <c r="P73" s="105"/>
      <c r="Q73" s="105"/>
      <c r="R73" s="105">
        <f t="shared" si="81"/>
        <v>0</v>
      </c>
      <c r="S73" s="105">
        <f t="shared" si="82"/>
        <v>20</v>
      </c>
      <c r="T73" s="105"/>
      <c r="U73" s="105"/>
      <c r="V73" s="105"/>
      <c r="W73" s="105"/>
      <c r="X73" s="105"/>
      <c r="Y73" s="105"/>
      <c r="Z73" s="105"/>
      <c r="AA73" s="105">
        <f t="shared" si="83"/>
        <v>0</v>
      </c>
      <c r="AB73" s="105"/>
      <c r="AC73" s="105"/>
      <c r="AD73" s="105"/>
      <c r="AE73" s="105"/>
      <c r="AF73" s="105"/>
      <c r="AG73" s="105">
        <f t="shared" si="84"/>
        <v>0</v>
      </c>
      <c r="AH73" s="105"/>
      <c r="AI73" s="105"/>
      <c r="AJ73" s="105"/>
      <c r="AK73" s="105">
        <f t="shared" si="85"/>
        <v>0</v>
      </c>
      <c r="AL73" s="105">
        <f t="shared" si="86"/>
        <v>0</v>
      </c>
      <c r="AM73" s="105">
        <f t="shared" si="87"/>
        <v>20</v>
      </c>
    </row>
    <row r="74" spans="3:39" s="78" customFormat="1" ht="20.100000000000001" customHeight="1"/>
    <row r="75" spans="3:39" s="78" customFormat="1" ht="20.100000000000001" customHeight="1">
      <c r="C75" s="81" t="s">
        <v>76</v>
      </c>
      <c r="D75" s="104" t="s">
        <v>62</v>
      </c>
      <c r="E75" s="104">
        <f>AM68</f>
        <v>4500</v>
      </c>
      <c r="F75" s="104"/>
      <c r="G75" s="104"/>
      <c r="H75" s="104"/>
      <c r="I75" s="104">
        <f t="shared" ref="I75:I80" si="89">SUM(G75:H75)</f>
        <v>0</v>
      </c>
      <c r="J75" s="104"/>
      <c r="K75" s="104"/>
      <c r="L75" s="104"/>
      <c r="M75" s="104"/>
      <c r="N75" s="104">
        <f t="shared" ref="N75:N80" si="90">SUM(J75:M75)</f>
        <v>0</v>
      </c>
      <c r="O75" s="104"/>
      <c r="P75" s="104"/>
      <c r="Q75" s="104"/>
      <c r="R75" s="104">
        <f t="shared" ref="R75:R80" si="91">SUM(P75:Q75)</f>
        <v>0</v>
      </c>
      <c r="S75" s="104">
        <f t="shared" ref="S75:S80" si="92">F75+I75+N75+O75+R75</f>
        <v>0</v>
      </c>
      <c r="T75" s="104"/>
      <c r="U75" s="104"/>
      <c r="V75" s="104"/>
      <c r="W75" s="104"/>
      <c r="X75" s="104"/>
      <c r="Y75" s="104"/>
      <c r="Z75" s="104"/>
      <c r="AA75" s="104">
        <f t="shared" ref="AA75:AA80" si="93">SUM(U75:Z75)</f>
        <v>0</v>
      </c>
      <c r="AB75" s="104"/>
      <c r="AC75" s="104"/>
      <c r="AD75" s="104"/>
      <c r="AE75" s="104"/>
      <c r="AF75" s="104"/>
      <c r="AG75" s="104">
        <f t="shared" ref="AG75:AG80" si="94">SUM(AC75:AF75)</f>
        <v>0</v>
      </c>
      <c r="AH75" s="104"/>
      <c r="AI75" s="104"/>
      <c r="AJ75" s="104"/>
      <c r="AK75" s="104">
        <f t="shared" ref="AK75:AK80" si="95">SUM(AH75:AJ75)</f>
        <v>0</v>
      </c>
      <c r="AL75" s="104">
        <f t="shared" ref="AL75:AL80" si="96">T75+AA75+AB75+AG75+AK75</f>
        <v>0</v>
      </c>
      <c r="AM75" s="104">
        <f t="shared" ref="AM75:AM80" si="97">E75+S75-AL75</f>
        <v>4500</v>
      </c>
    </row>
    <row r="76" spans="3:39" s="78" customFormat="1" ht="20.100000000000001" customHeight="1">
      <c r="D76" s="104" t="s">
        <v>63</v>
      </c>
      <c r="E76" s="104">
        <f t="shared" ref="E76:E80" si="98">AM69</f>
        <v>2000</v>
      </c>
      <c r="F76" s="104"/>
      <c r="G76" s="104"/>
      <c r="H76" s="104"/>
      <c r="I76" s="104">
        <f t="shared" si="89"/>
        <v>0</v>
      </c>
      <c r="J76" s="104"/>
      <c r="K76" s="104"/>
      <c r="L76" s="104"/>
      <c r="M76" s="104"/>
      <c r="N76" s="104">
        <f t="shared" si="90"/>
        <v>0</v>
      </c>
      <c r="O76" s="104"/>
      <c r="P76" s="104"/>
      <c r="Q76" s="104"/>
      <c r="R76" s="104">
        <f t="shared" si="91"/>
        <v>0</v>
      </c>
      <c r="S76" s="104">
        <f t="shared" si="92"/>
        <v>0</v>
      </c>
      <c r="T76" s="104"/>
      <c r="U76" s="104"/>
      <c r="V76" s="104"/>
      <c r="W76" s="104"/>
      <c r="X76" s="104"/>
      <c r="Y76" s="104"/>
      <c r="Z76" s="104"/>
      <c r="AA76" s="104">
        <f t="shared" si="93"/>
        <v>0</v>
      </c>
      <c r="AB76" s="104"/>
      <c r="AC76" s="104"/>
      <c r="AD76" s="104"/>
      <c r="AE76" s="104"/>
      <c r="AF76" s="104"/>
      <c r="AG76" s="104">
        <f t="shared" si="94"/>
        <v>0</v>
      </c>
      <c r="AH76" s="104"/>
      <c r="AI76" s="104"/>
      <c r="AJ76" s="104"/>
      <c r="AK76" s="104">
        <f t="shared" si="95"/>
        <v>0</v>
      </c>
      <c r="AL76" s="104">
        <f t="shared" si="96"/>
        <v>0</v>
      </c>
      <c r="AM76" s="104">
        <f t="shared" si="97"/>
        <v>2000</v>
      </c>
    </row>
    <row r="77" spans="3:39" s="78" customFormat="1" ht="20.100000000000001" customHeight="1">
      <c r="D77" s="104" t="s">
        <v>59</v>
      </c>
      <c r="E77" s="104">
        <f t="shared" si="98"/>
        <v>7000</v>
      </c>
      <c r="F77" s="104"/>
      <c r="G77" s="104"/>
      <c r="H77" s="104"/>
      <c r="I77" s="104">
        <f t="shared" si="89"/>
        <v>0</v>
      </c>
      <c r="J77" s="104"/>
      <c r="K77" s="104"/>
      <c r="L77" s="104"/>
      <c r="M77" s="104"/>
      <c r="N77" s="104">
        <f t="shared" si="90"/>
        <v>0</v>
      </c>
      <c r="O77" s="104"/>
      <c r="P77" s="104"/>
      <c r="Q77" s="104"/>
      <c r="R77" s="104">
        <f t="shared" si="91"/>
        <v>0</v>
      </c>
      <c r="S77" s="104">
        <f t="shared" si="92"/>
        <v>0</v>
      </c>
      <c r="T77" s="104"/>
      <c r="U77" s="104"/>
      <c r="V77" s="104"/>
      <c r="W77" s="104"/>
      <c r="X77" s="104"/>
      <c r="Y77" s="104"/>
      <c r="Z77" s="104"/>
      <c r="AA77" s="104">
        <f t="shared" si="93"/>
        <v>0</v>
      </c>
      <c r="AB77" s="104"/>
      <c r="AC77" s="104"/>
      <c r="AD77" s="104"/>
      <c r="AE77" s="104"/>
      <c r="AF77" s="104"/>
      <c r="AG77" s="104">
        <f t="shared" si="94"/>
        <v>0</v>
      </c>
      <c r="AH77" s="104"/>
      <c r="AI77" s="104"/>
      <c r="AJ77" s="104"/>
      <c r="AK77" s="104">
        <f t="shared" si="95"/>
        <v>0</v>
      </c>
      <c r="AL77" s="104">
        <f t="shared" si="96"/>
        <v>0</v>
      </c>
      <c r="AM77" s="104">
        <f t="shared" si="97"/>
        <v>7000</v>
      </c>
    </row>
    <row r="78" spans="3:39" s="78" customFormat="1" ht="20.100000000000001" customHeight="1">
      <c r="D78" s="105" t="s">
        <v>66</v>
      </c>
      <c r="E78" s="105">
        <f t="shared" si="98"/>
        <v>300</v>
      </c>
      <c r="F78" s="105"/>
      <c r="G78" s="105"/>
      <c r="H78" s="105"/>
      <c r="I78" s="105">
        <f t="shared" si="89"/>
        <v>0</v>
      </c>
      <c r="J78" s="105"/>
      <c r="K78" s="105"/>
      <c r="L78" s="105"/>
      <c r="M78" s="105"/>
      <c r="N78" s="105">
        <f t="shared" si="90"/>
        <v>0</v>
      </c>
      <c r="O78" s="105"/>
      <c r="P78" s="105"/>
      <c r="Q78" s="105"/>
      <c r="R78" s="105">
        <f t="shared" si="91"/>
        <v>0</v>
      </c>
      <c r="S78" s="105">
        <f t="shared" si="92"/>
        <v>0</v>
      </c>
      <c r="T78" s="105"/>
      <c r="U78" s="105"/>
      <c r="V78" s="105"/>
      <c r="W78" s="105"/>
      <c r="X78" s="105"/>
      <c r="Y78" s="105"/>
      <c r="Z78" s="105"/>
      <c r="AA78" s="105">
        <f t="shared" si="93"/>
        <v>0</v>
      </c>
      <c r="AB78" s="105"/>
      <c r="AC78" s="105"/>
      <c r="AD78" s="105"/>
      <c r="AE78" s="105"/>
      <c r="AF78" s="105"/>
      <c r="AG78" s="105">
        <f t="shared" si="94"/>
        <v>0</v>
      </c>
      <c r="AH78" s="105"/>
      <c r="AI78" s="105"/>
      <c r="AJ78" s="105"/>
      <c r="AK78" s="105">
        <f t="shared" si="95"/>
        <v>0</v>
      </c>
      <c r="AL78" s="105">
        <f t="shared" si="96"/>
        <v>0</v>
      </c>
      <c r="AM78" s="105">
        <f t="shared" si="97"/>
        <v>300</v>
      </c>
    </row>
    <row r="79" spans="3:39" s="78" customFormat="1" ht="20.100000000000001" customHeight="1">
      <c r="D79" s="105" t="s">
        <v>67</v>
      </c>
      <c r="E79" s="105">
        <f t="shared" si="98"/>
        <v>480</v>
      </c>
      <c r="F79" s="105"/>
      <c r="G79" s="105"/>
      <c r="H79" s="105"/>
      <c r="I79" s="105">
        <f t="shared" si="89"/>
        <v>0</v>
      </c>
      <c r="J79" s="105"/>
      <c r="K79" s="105"/>
      <c r="L79" s="105"/>
      <c r="M79" s="105"/>
      <c r="N79" s="105">
        <f t="shared" si="90"/>
        <v>0</v>
      </c>
      <c r="O79" s="105"/>
      <c r="P79" s="105"/>
      <c r="Q79" s="105"/>
      <c r="R79" s="105">
        <f t="shared" si="91"/>
        <v>0</v>
      </c>
      <c r="S79" s="105">
        <f t="shared" si="92"/>
        <v>0</v>
      </c>
      <c r="T79" s="105"/>
      <c r="U79" s="105"/>
      <c r="V79" s="105"/>
      <c r="W79" s="105"/>
      <c r="X79" s="105"/>
      <c r="Y79" s="105"/>
      <c r="Z79" s="105"/>
      <c r="AA79" s="105">
        <f t="shared" si="93"/>
        <v>0</v>
      </c>
      <c r="AB79" s="105"/>
      <c r="AC79" s="105"/>
      <c r="AD79" s="105"/>
      <c r="AE79" s="105"/>
      <c r="AF79" s="105"/>
      <c r="AG79" s="105">
        <f t="shared" si="94"/>
        <v>0</v>
      </c>
      <c r="AH79" s="105"/>
      <c r="AI79" s="105"/>
      <c r="AJ79" s="105"/>
      <c r="AK79" s="105">
        <f t="shared" si="95"/>
        <v>0</v>
      </c>
      <c r="AL79" s="105">
        <f t="shared" si="96"/>
        <v>0</v>
      </c>
      <c r="AM79" s="105">
        <f t="shared" si="97"/>
        <v>480</v>
      </c>
    </row>
    <row r="80" spans="3:39" s="78" customFormat="1" ht="20.100000000000001" customHeight="1">
      <c r="D80" s="105" t="s">
        <v>60</v>
      </c>
      <c r="E80" s="105">
        <f t="shared" si="98"/>
        <v>20</v>
      </c>
      <c r="F80" s="105"/>
      <c r="G80" s="105"/>
      <c r="H80" s="105"/>
      <c r="I80" s="105">
        <f t="shared" si="89"/>
        <v>0</v>
      </c>
      <c r="J80" s="105"/>
      <c r="K80" s="105"/>
      <c r="L80" s="105"/>
      <c r="M80" s="105"/>
      <c r="N80" s="105">
        <f t="shared" si="90"/>
        <v>0</v>
      </c>
      <c r="O80" s="105"/>
      <c r="P80" s="105"/>
      <c r="Q80" s="105"/>
      <c r="R80" s="105">
        <f t="shared" si="91"/>
        <v>0</v>
      </c>
      <c r="S80" s="105">
        <f t="shared" si="92"/>
        <v>0</v>
      </c>
      <c r="T80" s="105">
        <v>20</v>
      </c>
      <c r="U80" s="105"/>
      <c r="V80" s="105"/>
      <c r="W80" s="105"/>
      <c r="X80" s="105"/>
      <c r="Y80" s="105"/>
      <c r="Z80" s="105"/>
      <c r="AA80" s="105">
        <f t="shared" si="93"/>
        <v>0</v>
      </c>
      <c r="AB80" s="105"/>
      <c r="AC80" s="105"/>
      <c r="AD80" s="105"/>
      <c r="AE80" s="105"/>
      <c r="AF80" s="105"/>
      <c r="AG80" s="105">
        <f t="shared" si="94"/>
        <v>0</v>
      </c>
      <c r="AH80" s="105"/>
      <c r="AI80" s="105"/>
      <c r="AJ80" s="105"/>
      <c r="AK80" s="105">
        <f t="shared" si="95"/>
        <v>0</v>
      </c>
      <c r="AL80" s="105">
        <f t="shared" si="96"/>
        <v>20</v>
      </c>
      <c r="AM80" s="105">
        <f t="shared" si="97"/>
        <v>0</v>
      </c>
    </row>
    <row r="81" spans="3:39" s="78" customFormat="1" ht="20.100000000000001" customHeight="1"/>
    <row r="82" spans="3:39" s="78" customFormat="1" ht="20.100000000000001" customHeight="1">
      <c r="C82" s="81" t="s">
        <v>77</v>
      </c>
      <c r="D82" s="104" t="s">
        <v>62</v>
      </c>
      <c r="E82" s="104">
        <f>AM75</f>
        <v>4500</v>
      </c>
      <c r="F82" s="104"/>
      <c r="G82" s="104"/>
      <c r="H82" s="104"/>
      <c r="I82" s="104">
        <f t="shared" ref="I82:I87" si="99">SUM(G82:H82)</f>
        <v>0</v>
      </c>
      <c r="J82" s="104"/>
      <c r="K82" s="104"/>
      <c r="L82" s="104"/>
      <c r="M82" s="104"/>
      <c r="N82" s="104">
        <f t="shared" ref="N82:N87" si="100">SUM(J82:M82)</f>
        <v>0</v>
      </c>
      <c r="O82" s="104"/>
      <c r="P82" s="104"/>
      <c r="Q82" s="104"/>
      <c r="R82" s="104">
        <f t="shared" ref="R82:R87" si="101">SUM(P82:Q82)</f>
        <v>0</v>
      </c>
      <c r="S82" s="104">
        <f t="shared" ref="S82:S87" si="102">F82+I82+N82+O82+R82</f>
        <v>0</v>
      </c>
      <c r="T82" s="104"/>
      <c r="U82" s="104"/>
      <c r="V82" s="104"/>
      <c r="W82" s="104"/>
      <c r="X82" s="104"/>
      <c r="Y82" s="104"/>
      <c r="Z82" s="104"/>
      <c r="AA82" s="104">
        <f t="shared" ref="AA82:AA87" si="103">SUM(U82:Z82)</f>
        <v>0</v>
      </c>
      <c r="AB82" s="104"/>
      <c r="AC82" s="104"/>
      <c r="AD82" s="104"/>
      <c r="AE82" s="104"/>
      <c r="AF82" s="104"/>
      <c r="AG82" s="104">
        <f t="shared" ref="AG82:AG87" si="104">SUM(AC82:AF82)</f>
        <v>0</v>
      </c>
      <c r="AH82" s="104"/>
      <c r="AI82" s="104"/>
      <c r="AJ82" s="104"/>
      <c r="AK82" s="104">
        <f t="shared" ref="AK82:AK87" si="105">SUM(AH82:AJ82)</f>
        <v>0</v>
      </c>
      <c r="AL82" s="104">
        <f t="shared" ref="AL82:AL87" si="106">T82+AA82+AB82+AG82+AK82</f>
        <v>0</v>
      </c>
      <c r="AM82" s="104">
        <f t="shared" ref="AM82:AM87" si="107">E82+S82-AL82</f>
        <v>4500</v>
      </c>
    </row>
    <row r="83" spans="3:39" s="78" customFormat="1" ht="20.100000000000001" customHeight="1">
      <c r="D83" s="104" t="s">
        <v>63</v>
      </c>
      <c r="E83" s="104">
        <f t="shared" ref="E83:E87" si="108">AM76</f>
        <v>2000</v>
      </c>
      <c r="F83" s="104"/>
      <c r="G83" s="104"/>
      <c r="H83" s="104"/>
      <c r="I83" s="104">
        <f t="shared" si="99"/>
        <v>0</v>
      </c>
      <c r="J83" s="104"/>
      <c r="K83" s="104"/>
      <c r="L83" s="104"/>
      <c r="M83" s="104"/>
      <c r="N83" s="104">
        <f t="shared" si="100"/>
        <v>0</v>
      </c>
      <c r="O83" s="104"/>
      <c r="P83" s="104"/>
      <c r="Q83" s="104"/>
      <c r="R83" s="104">
        <f t="shared" si="101"/>
        <v>0</v>
      </c>
      <c r="S83" s="104">
        <f t="shared" si="102"/>
        <v>0</v>
      </c>
      <c r="T83" s="104"/>
      <c r="U83" s="104"/>
      <c r="V83" s="104"/>
      <c r="W83" s="104"/>
      <c r="X83" s="104"/>
      <c r="Y83" s="104"/>
      <c r="Z83" s="104"/>
      <c r="AA83" s="104">
        <f t="shared" si="103"/>
        <v>0</v>
      </c>
      <c r="AB83" s="104"/>
      <c r="AC83" s="104"/>
      <c r="AD83" s="104"/>
      <c r="AE83" s="104"/>
      <c r="AF83" s="104"/>
      <c r="AG83" s="104">
        <f t="shared" si="104"/>
        <v>0</v>
      </c>
      <c r="AH83" s="104"/>
      <c r="AI83" s="104"/>
      <c r="AJ83" s="104"/>
      <c r="AK83" s="104">
        <f t="shared" si="105"/>
        <v>0</v>
      </c>
      <c r="AL83" s="104">
        <f t="shared" si="106"/>
        <v>0</v>
      </c>
      <c r="AM83" s="104">
        <f t="shared" si="107"/>
        <v>2000</v>
      </c>
    </row>
    <row r="84" spans="3:39" s="78" customFormat="1" ht="20.100000000000001" customHeight="1">
      <c r="D84" s="104" t="s">
        <v>59</v>
      </c>
      <c r="E84" s="104">
        <f t="shared" si="108"/>
        <v>7000</v>
      </c>
      <c r="F84" s="104"/>
      <c r="G84" s="104"/>
      <c r="H84" s="104"/>
      <c r="I84" s="104">
        <f t="shared" si="99"/>
        <v>0</v>
      </c>
      <c r="J84" s="104"/>
      <c r="K84" s="104"/>
      <c r="L84" s="104"/>
      <c r="M84" s="104"/>
      <c r="N84" s="104">
        <f t="shared" si="100"/>
        <v>0</v>
      </c>
      <c r="O84" s="104"/>
      <c r="P84" s="104"/>
      <c r="Q84" s="104"/>
      <c r="R84" s="104">
        <f t="shared" si="101"/>
        <v>0</v>
      </c>
      <c r="S84" s="104">
        <f t="shared" si="102"/>
        <v>0</v>
      </c>
      <c r="T84" s="104"/>
      <c r="U84" s="104"/>
      <c r="V84" s="104"/>
      <c r="W84" s="104"/>
      <c r="X84" s="104"/>
      <c r="Y84" s="104">
        <v>1200</v>
      </c>
      <c r="Z84" s="104"/>
      <c r="AA84" s="104">
        <f t="shared" si="103"/>
        <v>1200</v>
      </c>
      <c r="AB84" s="104"/>
      <c r="AC84" s="104"/>
      <c r="AD84" s="104"/>
      <c r="AE84" s="104"/>
      <c r="AF84" s="104"/>
      <c r="AG84" s="104">
        <f t="shared" si="104"/>
        <v>0</v>
      </c>
      <c r="AH84" s="104"/>
      <c r="AI84" s="104"/>
      <c r="AJ84" s="104"/>
      <c r="AK84" s="104">
        <f t="shared" si="105"/>
        <v>0</v>
      </c>
      <c r="AL84" s="104">
        <f t="shared" si="106"/>
        <v>1200</v>
      </c>
      <c r="AM84" s="104">
        <f t="shared" si="107"/>
        <v>5800</v>
      </c>
    </row>
    <row r="85" spans="3:39" s="78" customFormat="1" ht="20.100000000000001" customHeight="1">
      <c r="D85" s="105" t="s">
        <v>66</v>
      </c>
      <c r="E85" s="105">
        <f t="shared" si="108"/>
        <v>300</v>
      </c>
      <c r="F85" s="105"/>
      <c r="G85" s="105"/>
      <c r="H85" s="105"/>
      <c r="I85" s="105">
        <f t="shared" si="99"/>
        <v>0</v>
      </c>
      <c r="J85" s="105"/>
      <c r="K85" s="105"/>
      <c r="L85" s="105"/>
      <c r="M85" s="105"/>
      <c r="N85" s="105">
        <f t="shared" si="100"/>
        <v>0</v>
      </c>
      <c r="O85" s="105"/>
      <c r="P85" s="105"/>
      <c r="Q85" s="105"/>
      <c r="R85" s="105">
        <f t="shared" si="101"/>
        <v>0</v>
      </c>
      <c r="S85" s="105">
        <f t="shared" si="102"/>
        <v>0</v>
      </c>
      <c r="T85" s="105"/>
      <c r="U85" s="105"/>
      <c r="V85" s="105"/>
      <c r="W85" s="105"/>
      <c r="X85" s="105"/>
      <c r="Y85" s="105"/>
      <c r="Z85" s="105"/>
      <c r="AA85" s="105">
        <f t="shared" si="103"/>
        <v>0</v>
      </c>
      <c r="AB85" s="105"/>
      <c r="AC85" s="105"/>
      <c r="AD85" s="105"/>
      <c r="AE85" s="105"/>
      <c r="AF85" s="105"/>
      <c r="AG85" s="105">
        <f t="shared" si="104"/>
        <v>0</v>
      </c>
      <c r="AH85" s="105"/>
      <c r="AI85" s="105"/>
      <c r="AJ85" s="105"/>
      <c r="AK85" s="105">
        <f t="shared" si="105"/>
        <v>0</v>
      </c>
      <c r="AL85" s="105">
        <f t="shared" si="106"/>
        <v>0</v>
      </c>
      <c r="AM85" s="105">
        <f t="shared" si="107"/>
        <v>300</v>
      </c>
    </row>
    <row r="86" spans="3:39" s="78" customFormat="1" ht="20.100000000000001" customHeight="1">
      <c r="D86" s="105" t="s">
        <v>67</v>
      </c>
      <c r="E86" s="105">
        <f t="shared" si="108"/>
        <v>480</v>
      </c>
      <c r="F86" s="105"/>
      <c r="G86" s="105"/>
      <c r="H86" s="105"/>
      <c r="I86" s="105">
        <f t="shared" si="99"/>
        <v>0</v>
      </c>
      <c r="J86" s="105"/>
      <c r="K86" s="105"/>
      <c r="L86" s="105"/>
      <c r="M86" s="105"/>
      <c r="N86" s="105">
        <f t="shared" si="100"/>
        <v>0</v>
      </c>
      <c r="O86" s="105"/>
      <c r="P86" s="105"/>
      <c r="Q86" s="105"/>
      <c r="R86" s="105">
        <f t="shared" si="101"/>
        <v>0</v>
      </c>
      <c r="S86" s="105">
        <f t="shared" si="102"/>
        <v>0</v>
      </c>
      <c r="T86" s="105"/>
      <c r="U86" s="105"/>
      <c r="V86" s="105"/>
      <c r="W86" s="105"/>
      <c r="X86" s="105"/>
      <c r="Y86" s="105"/>
      <c r="Z86" s="105"/>
      <c r="AA86" s="105">
        <f t="shared" si="103"/>
        <v>0</v>
      </c>
      <c r="AB86" s="105"/>
      <c r="AC86" s="105"/>
      <c r="AD86" s="105"/>
      <c r="AE86" s="105"/>
      <c r="AF86" s="105"/>
      <c r="AG86" s="105">
        <f t="shared" si="104"/>
        <v>0</v>
      </c>
      <c r="AH86" s="105"/>
      <c r="AI86" s="105"/>
      <c r="AJ86" s="105"/>
      <c r="AK86" s="105">
        <f t="shared" si="105"/>
        <v>0</v>
      </c>
      <c r="AL86" s="105">
        <f t="shared" si="106"/>
        <v>0</v>
      </c>
      <c r="AM86" s="105">
        <f t="shared" si="107"/>
        <v>480</v>
      </c>
    </row>
    <row r="87" spans="3:39" s="78" customFormat="1" ht="20.100000000000001" customHeight="1">
      <c r="D87" s="105" t="s">
        <v>60</v>
      </c>
      <c r="E87" s="105">
        <f t="shared" si="108"/>
        <v>0</v>
      </c>
      <c r="F87" s="105"/>
      <c r="G87" s="105"/>
      <c r="H87" s="105"/>
      <c r="I87" s="105">
        <f t="shared" si="99"/>
        <v>0</v>
      </c>
      <c r="J87" s="105"/>
      <c r="K87" s="105"/>
      <c r="L87" s="105"/>
      <c r="M87" s="105">
        <f>Y84</f>
        <v>1200</v>
      </c>
      <c r="N87" s="105">
        <f t="shared" si="100"/>
        <v>1200</v>
      </c>
      <c r="O87" s="105"/>
      <c r="P87" s="105"/>
      <c r="Q87" s="105"/>
      <c r="R87" s="105">
        <f t="shared" si="101"/>
        <v>0</v>
      </c>
      <c r="S87" s="105">
        <f t="shared" si="102"/>
        <v>1200</v>
      </c>
      <c r="T87" s="105"/>
      <c r="U87" s="105"/>
      <c r="V87" s="105"/>
      <c r="W87" s="105"/>
      <c r="X87" s="105"/>
      <c r="Y87" s="105"/>
      <c r="Z87" s="105"/>
      <c r="AA87" s="105">
        <f t="shared" si="103"/>
        <v>0</v>
      </c>
      <c r="AB87" s="105"/>
      <c r="AC87" s="105"/>
      <c r="AD87" s="105"/>
      <c r="AE87" s="105"/>
      <c r="AF87" s="105"/>
      <c r="AG87" s="105">
        <f t="shared" si="104"/>
        <v>0</v>
      </c>
      <c r="AH87" s="105"/>
      <c r="AI87" s="105"/>
      <c r="AJ87" s="105"/>
      <c r="AK87" s="105">
        <f t="shared" si="105"/>
        <v>0</v>
      </c>
      <c r="AL87" s="105">
        <f t="shared" si="106"/>
        <v>0</v>
      </c>
      <c r="AM87" s="105">
        <f t="shared" si="107"/>
        <v>1200</v>
      </c>
    </row>
    <row r="88" spans="3:39" s="78" customFormat="1" ht="20.100000000000001" customHeight="1"/>
    <row r="89" spans="3:39" s="78" customFormat="1" ht="20.100000000000001" customHeight="1">
      <c r="C89" s="81" t="s">
        <v>78</v>
      </c>
      <c r="D89" s="104" t="s">
        <v>62</v>
      </c>
      <c r="E89" s="104">
        <f>AM82</f>
        <v>4500</v>
      </c>
      <c r="F89" s="104"/>
      <c r="G89" s="104"/>
      <c r="H89" s="104"/>
      <c r="I89" s="104">
        <f t="shared" ref="I89:I94" si="109">SUM(G89:H89)</f>
        <v>0</v>
      </c>
      <c r="J89" s="104"/>
      <c r="K89" s="104"/>
      <c r="L89" s="104"/>
      <c r="M89" s="104"/>
      <c r="N89" s="104">
        <f t="shared" ref="N89:N94" si="110">SUM(J89:M89)</f>
        <v>0</v>
      </c>
      <c r="O89" s="104"/>
      <c r="P89" s="104"/>
      <c r="Q89" s="104"/>
      <c r="R89" s="104">
        <f t="shared" ref="R89:R94" si="111">SUM(P89:Q89)</f>
        <v>0</v>
      </c>
      <c r="S89" s="104">
        <f t="shared" ref="S89:S94" si="112">F89+I89+N89+O89+R89</f>
        <v>0</v>
      </c>
      <c r="T89" s="104"/>
      <c r="U89" s="104"/>
      <c r="V89" s="104"/>
      <c r="W89" s="104"/>
      <c r="X89" s="104"/>
      <c r="Y89" s="104"/>
      <c r="Z89" s="104"/>
      <c r="AA89" s="104">
        <f t="shared" ref="AA89:AA94" si="113">SUM(U89:Z89)</f>
        <v>0</v>
      </c>
      <c r="AB89" s="104"/>
      <c r="AC89" s="104"/>
      <c r="AD89" s="104"/>
      <c r="AE89" s="104"/>
      <c r="AF89" s="104"/>
      <c r="AG89" s="104">
        <f t="shared" ref="AG89:AG94" si="114">SUM(AC89:AF89)</f>
        <v>0</v>
      </c>
      <c r="AH89" s="104"/>
      <c r="AI89" s="104"/>
      <c r="AJ89" s="104"/>
      <c r="AK89" s="104">
        <f t="shared" ref="AK89:AK94" si="115">SUM(AH89:AJ89)</f>
        <v>0</v>
      </c>
      <c r="AL89" s="104">
        <f t="shared" ref="AL89:AL94" si="116">T89+AA89+AB89+AG89+AK89</f>
        <v>0</v>
      </c>
      <c r="AM89" s="104">
        <f t="shared" ref="AM89:AM94" si="117">E89+S89-AL89</f>
        <v>4500</v>
      </c>
    </row>
    <row r="90" spans="3:39" s="78" customFormat="1" ht="20.100000000000001" customHeight="1">
      <c r="D90" s="104" t="s">
        <v>63</v>
      </c>
      <c r="E90" s="104">
        <f t="shared" ref="E90:E94" si="118">AM83</f>
        <v>2000</v>
      </c>
      <c r="F90" s="104"/>
      <c r="G90" s="104"/>
      <c r="H90" s="104"/>
      <c r="I90" s="104">
        <f t="shared" si="109"/>
        <v>0</v>
      </c>
      <c r="J90" s="104"/>
      <c r="K90" s="104"/>
      <c r="L90" s="104"/>
      <c r="M90" s="104"/>
      <c r="N90" s="104">
        <f t="shared" si="110"/>
        <v>0</v>
      </c>
      <c r="O90" s="104"/>
      <c r="P90" s="104"/>
      <c r="Q90" s="104"/>
      <c r="R90" s="104">
        <f t="shared" si="111"/>
        <v>0</v>
      </c>
      <c r="S90" s="104">
        <f t="shared" si="112"/>
        <v>0</v>
      </c>
      <c r="T90" s="104"/>
      <c r="U90" s="104"/>
      <c r="V90" s="104"/>
      <c r="W90" s="104"/>
      <c r="X90" s="104"/>
      <c r="Y90" s="104"/>
      <c r="Z90" s="104"/>
      <c r="AA90" s="104">
        <f t="shared" si="113"/>
        <v>0</v>
      </c>
      <c r="AB90" s="104"/>
      <c r="AC90" s="104"/>
      <c r="AD90" s="104"/>
      <c r="AE90" s="104"/>
      <c r="AF90" s="104"/>
      <c r="AG90" s="104">
        <f t="shared" si="114"/>
        <v>0</v>
      </c>
      <c r="AH90" s="104"/>
      <c r="AI90" s="104"/>
      <c r="AJ90" s="104"/>
      <c r="AK90" s="104">
        <f t="shared" si="115"/>
        <v>0</v>
      </c>
      <c r="AL90" s="104">
        <f t="shared" si="116"/>
        <v>0</v>
      </c>
      <c r="AM90" s="104">
        <f t="shared" si="117"/>
        <v>2000</v>
      </c>
    </row>
    <row r="91" spans="3:39" s="78" customFormat="1" ht="20.100000000000001" customHeight="1">
      <c r="D91" s="104" t="s">
        <v>59</v>
      </c>
      <c r="E91" s="104">
        <f t="shared" si="118"/>
        <v>5800</v>
      </c>
      <c r="F91" s="104"/>
      <c r="G91" s="104"/>
      <c r="H91" s="104"/>
      <c r="I91" s="104">
        <f t="shared" si="109"/>
        <v>0</v>
      </c>
      <c r="J91" s="104"/>
      <c r="K91" s="104"/>
      <c r="L91" s="104"/>
      <c r="M91" s="104"/>
      <c r="N91" s="104">
        <f t="shared" si="110"/>
        <v>0</v>
      </c>
      <c r="O91" s="104"/>
      <c r="P91" s="104"/>
      <c r="Q91" s="104"/>
      <c r="R91" s="104">
        <f t="shared" si="111"/>
        <v>0</v>
      </c>
      <c r="S91" s="104">
        <f t="shared" si="112"/>
        <v>0</v>
      </c>
      <c r="T91" s="104"/>
      <c r="U91" s="104"/>
      <c r="V91" s="104"/>
      <c r="W91" s="104"/>
      <c r="X91" s="104"/>
      <c r="Y91" s="104"/>
      <c r="Z91" s="104"/>
      <c r="AA91" s="104">
        <f t="shared" si="113"/>
        <v>0</v>
      </c>
      <c r="AB91" s="104"/>
      <c r="AC91" s="104"/>
      <c r="AD91" s="104"/>
      <c r="AE91" s="104"/>
      <c r="AF91" s="104"/>
      <c r="AG91" s="104">
        <f t="shared" si="114"/>
        <v>0</v>
      </c>
      <c r="AH91" s="104"/>
      <c r="AI91" s="104"/>
      <c r="AJ91" s="104"/>
      <c r="AK91" s="104">
        <f t="shared" si="115"/>
        <v>0</v>
      </c>
      <c r="AL91" s="104">
        <f t="shared" si="116"/>
        <v>0</v>
      </c>
      <c r="AM91" s="104">
        <f t="shared" si="117"/>
        <v>5800</v>
      </c>
    </row>
    <row r="92" spans="3:39" s="78" customFormat="1" ht="20.100000000000001" customHeight="1">
      <c r="D92" s="105" t="s">
        <v>66</v>
      </c>
      <c r="E92" s="105">
        <f t="shared" si="118"/>
        <v>300</v>
      </c>
      <c r="F92" s="105"/>
      <c r="G92" s="105"/>
      <c r="H92" s="105"/>
      <c r="I92" s="105">
        <f t="shared" si="109"/>
        <v>0</v>
      </c>
      <c r="J92" s="105"/>
      <c r="K92" s="105"/>
      <c r="L92" s="105"/>
      <c r="M92" s="105"/>
      <c r="N92" s="105">
        <f t="shared" si="110"/>
        <v>0</v>
      </c>
      <c r="O92" s="105"/>
      <c r="P92" s="105"/>
      <c r="Q92" s="105"/>
      <c r="R92" s="105">
        <f t="shared" si="111"/>
        <v>0</v>
      </c>
      <c r="S92" s="105">
        <f t="shared" si="112"/>
        <v>0</v>
      </c>
      <c r="T92" s="105"/>
      <c r="U92" s="105"/>
      <c r="V92" s="105"/>
      <c r="W92" s="105"/>
      <c r="X92" s="105"/>
      <c r="Y92" s="105"/>
      <c r="Z92" s="105"/>
      <c r="AA92" s="105">
        <f t="shared" si="113"/>
        <v>0</v>
      </c>
      <c r="AB92" s="105"/>
      <c r="AC92" s="105"/>
      <c r="AD92" s="105"/>
      <c r="AE92" s="105"/>
      <c r="AF92" s="105"/>
      <c r="AG92" s="105">
        <f t="shared" si="114"/>
        <v>0</v>
      </c>
      <c r="AH92" s="105"/>
      <c r="AI92" s="105"/>
      <c r="AJ92" s="105"/>
      <c r="AK92" s="105">
        <f t="shared" si="115"/>
        <v>0</v>
      </c>
      <c r="AL92" s="105">
        <f t="shared" si="116"/>
        <v>0</v>
      </c>
      <c r="AM92" s="105">
        <f t="shared" si="117"/>
        <v>300</v>
      </c>
    </row>
    <row r="93" spans="3:39" s="78" customFormat="1" ht="20.100000000000001" customHeight="1">
      <c r="D93" s="105" t="s">
        <v>67</v>
      </c>
      <c r="E93" s="105">
        <f t="shared" si="118"/>
        <v>480</v>
      </c>
      <c r="F93" s="105"/>
      <c r="G93" s="105"/>
      <c r="H93" s="105"/>
      <c r="I93" s="105">
        <f t="shared" si="109"/>
        <v>0</v>
      </c>
      <c r="J93" s="105"/>
      <c r="K93" s="105"/>
      <c r="L93" s="105"/>
      <c r="M93" s="105"/>
      <c r="N93" s="105">
        <f t="shared" si="110"/>
        <v>0</v>
      </c>
      <c r="O93" s="105"/>
      <c r="P93" s="105"/>
      <c r="Q93" s="105"/>
      <c r="R93" s="105">
        <f t="shared" si="111"/>
        <v>0</v>
      </c>
      <c r="S93" s="105">
        <f t="shared" si="112"/>
        <v>0</v>
      </c>
      <c r="T93" s="105"/>
      <c r="U93" s="105"/>
      <c r="V93" s="105"/>
      <c r="W93" s="105"/>
      <c r="X93" s="105"/>
      <c r="Y93" s="105"/>
      <c r="Z93" s="105"/>
      <c r="AA93" s="105">
        <f t="shared" si="113"/>
        <v>0</v>
      </c>
      <c r="AB93" s="105"/>
      <c r="AC93" s="105"/>
      <c r="AD93" s="105"/>
      <c r="AE93" s="105"/>
      <c r="AF93" s="105"/>
      <c r="AG93" s="105">
        <f t="shared" si="114"/>
        <v>0</v>
      </c>
      <c r="AH93" s="105"/>
      <c r="AI93" s="105"/>
      <c r="AJ93" s="105"/>
      <c r="AK93" s="105">
        <f t="shared" si="115"/>
        <v>0</v>
      </c>
      <c r="AL93" s="105">
        <f t="shared" si="116"/>
        <v>0</v>
      </c>
      <c r="AM93" s="105">
        <f t="shared" si="117"/>
        <v>480</v>
      </c>
    </row>
    <row r="94" spans="3:39" s="78" customFormat="1" ht="20.100000000000001" customHeight="1">
      <c r="D94" s="105" t="s">
        <v>60</v>
      </c>
      <c r="E94" s="105">
        <f t="shared" si="118"/>
        <v>1200</v>
      </c>
      <c r="F94" s="105"/>
      <c r="G94" s="105"/>
      <c r="H94" s="105"/>
      <c r="I94" s="105">
        <f t="shared" si="109"/>
        <v>0</v>
      </c>
      <c r="J94" s="105"/>
      <c r="K94" s="105"/>
      <c r="L94" s="105"/>
      <c r="M94" s="105"/>
      <c r="N94" s="105">
        <f t="shared" si="110"/>
        <v>0</v>
      </c>
      <c r="O94" s="105"/>
      <c r="P94" s="105"/>
      <c r="Q94" s="105"/>
      <c r="R94" s="105">
        <f t="shared" si="111"/>
        <v>0</v>
      </c>
      <c r="S94" s="105">
        <f t="shared" si="112"/>
        <v>0</v>
      </c>
      <c r="T94" s="105">
        <v>1180</v>
      </c>
      <c r="U94" s="105"/>
      <c r="V94" s="105"/>
      <c r="W94" s="105"/>
      <c r="X94" s="105"/>
      <c r="Y94" s="105"/>
      <c r="Z94" s="105"/>
      <c r="AA94" s="105">
        <f t="shared" si="113"/>
        <v>0</v>
      </c>
      <c r="AB94" s="105"/>
      <c r="AC94" s="105"/>
      <c r="AD94" s="105"/>
      <c r="AE94" s="105"/>
      <c r="AF94" s="105"/>
      <c r="AG94" s="105">
        <f t="shared" si="114"/>
        <v>0</v>
      </c>
      <c r="AH94" s="105"/>
      <c r="AI94" s="105"/>
      <c r="AJ94" s="105"/>
      <c r="AK94" s="105">
        <f t="shared" si="115"/>
        <v>0</v>
      </c>
      <c r="AL94" s="105">
        <f t="shared" si="116"/>
        <v>1180</v>
      </c>
      <c r="AM94" s="105">
        <f t="shared" si="117"/>
        <v>20</v>
      </c>
    </row>
    <row r="95" spans="3:39" s="78" customFormat="1" ht="20.100000000000001" customHeight="1"/>
    <row r="96" spans="3:39" s="78" customFormat="1" ht="20.100000000000001" customHeight="1">
      <c r="C96" s="81" t="s">
        <v>80</v>
      </c>
      <c r="D96" s="104" t="s">
        <v>62</v>
      </c>
      <c r="E96" s="104">
        <f>AM89</f>
        <v>4500</v>
      </c>
      <c r="F96" s="104"/>
      <c r="G96" s="104"/>
      <c r="H96" s="104"/>
      <c r="I96" s="104">
        <f t="shared" ref="I96:I101" si="119">SUM(G96:H96)</f>
        <v>0</v>
      </c>
      <c r="J96" s="104"/>
      <c r="K96" s="104"/>
      <c r="L96" s="104"/>
      <c r="M96" s="104"/>
      <c r="N96" s="104">
        <f t="shared" ref="N96:N101" si="120">SUM(J96:M96)</f>
        <v>0</v>
      </c>
      <c r="O96" s="104"/>
      <c r="P96" s="104"/>
      <c r="Q96" s="104"/>
      <c r="R96" s="104">
        <f t="shared" ref="R96:R101" si="121">SUM(P96:Q96)</f>
        <v>0</v>
      </c>
      <c r="S96" s="104">
        <f t="shared" ref="S96:S101" si="122">F96+I96+N96+O96+R96</f>
        <v>0</v>
      </c>
      <c r="T96" s="104"/>
      <c r="U96" s="104"/>
      <c r="V96" s="104"/>
      <c r="W96" s="104"/>
      <c r="X96" s="104"/>
      <c r="Y96" s="104"/>
      <c r="Z96" s="104"/>
      <c r="AA96" s="104">
        <f t="shared" ref="AA96:AA101" si="123">SUM(U96:Z96)</f>
        <v>0</v>
      </c>
      <c r="AB96" s="104"/>
      <c r="AC96" s="104"/>
      <c r="AD96" s="104"/>
      <c r="AE96" s="104"/>
      <c r="AF96" s="104"/>
      <c r="AG96" s="104">
        <f t="shared" ref="AG96:AG101" si="124">SUM(AC96:AF96)</f>
        <v>0</v>
      </c>
      <c r="AH96" s="104"/>
      <c r="AI96" s="104"/>
      <c r="AJ96" s="104"/>
      <c r="AK96" s="104">
        <f t="shared" ref="AK96:AK101" si="125">SUM(AH96:AJ96)</f>
        <v>0</v>
      </c>
      <c r="AL96" s="104">
        <f t="shared" ref="AL96:AL101" si="126">T96+AA96+AB96+AG96+AK96</f>
        <v>0</v>
      </c>
      <c r="AM96" s="104">
        <f t="shared" ref="AM96:AM101" si="127">E96+S96-AL96</f>
        <v>4500</v>
      </c>
    </row>
    <row r="97" spans="3:39" s="78" customFormat="1" ht="20.100000000000001" customHeight="1">
      <c r="C97" s="78" t="s">
        <v>79</v>
      </c>
      <c r="D97" s="104" t="s">
        <v>63</v>
      </c>
      <c r="E97" s="104">
        <f t="shared" ref="E97:E101" si="128">AM90</f>
        <v>2000</v>
      </c>
      <c r="F97" s="104"/>
      <c r="G97" s="104"/>
      <c r="H97" s="104"/>
      <c r="I97" s="104">
        <f t="shared" si="119"/>
        <v>0</v>
      </c>
      <c r="J97" s="104"/>
      <c r="K97" s="104"/>
      <c r="L97" s="104"/>
      <c r="M97" s="104"/>
      <c r="N97" s="104">
        <f t="shared" si="120"/>
        <v>0</v>
      </c>
      <c r="O97" s="104"/>
      <c r="P97" s="104"/>
      <c r="Q97" s="104"/>
      <c r="R97" s="104">
        <f t="shared" si="121"/>
        <v>0</v>
      </c>
      <c r="S97" s="104">
        <f t="shared" si="122"/>
        <v>0</v>
      </c>
      <c r="T97" s="104"/>
      <c r="U97" s="104"/>
      <c r="V97" s="104"/>
      <c r="W97" s="104"/>
      <c r="X97" s="104"/>
      <c r="Y97" s="104"/>
      <c r="Z97" s="104"/>
      <c r="AA97" s="104">
        <f t="shared" si="123"/>
        <v>0</v>
      </c>
      <c r="AB97" s="104"/>
      <c r="AC97" s="104"/>
      <c r="AD97" s="104"/>
      <c r="AE97" s="104"/>
      <c r="AF97" s="104"/>
      <c r="AG97" s="104">
        <f t="shared" si="124"/>
        <v>0</v>
      </c>
      <c r="AH97" s="104"/>
      <c r="AI97" s="104"/>
      <c r="AJ97" s="104"/>
      <c r="AK97" s="104">
        <f t="shared" si="125"/>
        <v>0</v>
      </c>
      <c r="AL97" s="104">
        <f t="shared" si="126"/>
        <v>0</v>
      </c>
      <c r="AM97" s="104">
        <f t="shared" si="127"/>
        <v>2000</v>
      </c>
    </row>
    <row r="98" spans="3:39" s="78" customFormat="1" ht="20.100000000000001" customHeight="1">
      <c r="D98" s="104" t="s">
        <v>59</v>
      </c>
      <c r="E98" s="104">
        <f t="shared" si="128"/>
        <v>5800</v>
      </c>
      <c r="F98" s="104"/>
      <c r="G98" s="104"/>
      <c r="H98" s="104"/>
      <c r="I98" s="104">
        <f t="shared" si="119"/>
        <v>0</v>
      </c>
      <c r="J98" s="104"/>
      <c r="K98" s="104"/>
      <c r="L98" s="104"/>
      <c r="M98" s="104"/>
      <c r="N98" s="104">
        <f t="shared" si="120"/>
        <v>0</v>
      </c>
      <c r="O98" s="104"/>
      <c r="P98" s="104"/>
      <c r="Q98" s="104"/>
      <c r="R98" s="104">
        <f t="shared" si="121"/>
        <v>0</v>
      </c>
      <c r="S98" s="104">
        <f t="shared" si="122"/>
        <v>0</v>
      </c>
      <c r="T98" s="104"/>
      <c r="U98" s="104"/>
      <c r="V98" s="104"/>
      <c r="W98" s="104"/>
      <c r="X98" s="104"/>
      <c r="Y98" s="104"/>
      <c r="Z98" s="104"/>
      <c r="AA98" s="104">
        <f t="shared" si="123"/>
        <v>0</v>
      </c>
      <c r="AB98" s="104"/>
      <c r="AC98" s="104"/>
      <c r="AD98" s="104"/>
      <c r="AE98" s="104"/>
      <c r="AF98" s="104"/>
      <c r="AG98" s="104">
        <f t="shared" si="124"/>
        <v>0</v>
      </c>
      <c r="AH98" s="104"/>
      <c r="AI98" s="104"/>
      <c r="AJ98" s="104"/>
      <c r="AK98" s="104">
        <f t="shared" si="125"/>
        <v>0</v>
      </c>
      <c r="AL98" s="104">
        <f t="shared" si="126"/>
        <v>0</v>
      </c>
      <c r="AM98" s="104">
        <f t="shared" si="127"/>
        <v>5800</v>
      </c>
    </row>
    <row r="99" spans="3:39" s="78" customFormat="1" ht="20.100000000000001" customHeight="1">
      <c r="D99" s="105" t="s">
        <v>66</v>
      </c>
      <c r="E99" s="105">
        <f t="shared" si="128"/>
        <v>300</v>
      </c>
      <c r="F99" s="105"/>
      <c r="G99" s="105"/>
      <c r="H99" s="105"/>
      <c r="I99" s="105">
        <f t="shared" si="119"/>
        <v>0</v>
      </c>
      <c r="J99" s="105"/>
      <c r="K99" s="105"/>
      <c r="L99" s="105"/>
      <c r="M99" s="105"/>
      <c r="N99" s="105">
        <f t="shared" si="120"/>
        <v>0</v>
      </c>
      <c r="O99" s="105"/>
      <c r="P99" s="105"/>
      <c r="Q99" s="105"/>
      <c r="R99" s="105">
        <f t="shared" si="121"/>
        <v>0</v>
      </c>
      <c r="S99" s="105">
        <f t="shared" si="122"/>
        <v>0</v>
      </c>
      <c r="T99" s="105"/>
      <c r="U99" s="105"/>
      <c r="V99" s="105"/>
      <c r="W99" s="105"/>
      <c r="X99" s="105"/>
      <c r="Y99" s="105"/>
      <c r="Z99" s="105"/>
      <c r="AA99" s="105">
        <f t="shared" si="123"/>
        <v>0</v>
      </c>
      <c r="AB99" s="105"/>
      <c r="AC99" s="105"/>
      <c r="AD99" s="105"/>
      <c r="AE99" s="105"/>
      <c r="AF99" s="105"/>
      <c r="AG99" s="105">
        <f t="shared" si="124"/>
        <v>0</v>
      </c>
      <c r="AH99" s="105"/>
      <c r="AI99" s="105"/>
      <c r="AJ99" s="105"/>
      <c r="AK99" s="105">
        <f t="shared" si="125"/>
        <v>0</v>
      </c>
      <c r="AL99" s="105">
        <f t="shared" si="126"/>
        <v>0</v>
      </c>
      <c r="AM99" s="105">
        <f t="shared" si="127"/>
        <v>300</v>
      </c>
    </row>
    <row r="100" spans="3:39" s="78" customFormat="1" ht="20.100000000000001" customHeight="1">
      <c r="D100" s="105" t="s">
        <v>67</v>
      </c>
      <c r="E100" s="105">
        <f t="shared" si="128"/>
        <v>480</v>
      </c>
      <c r="F100" s="105"/>
      <c r="G100" s="105"/>
      <c r="H100" s="105"/>
      <c r="I100" s="105">
        <f t="shared" si="119"/>
        <v>0</v>
      </c>
      <c r="J100" s="105"/>
      <c r="K100" s="105"/>
      <c r="L100" s="105"/>
      <c r="M100" s="105"/>
      <c r="N100" s="105">
        <f t="shared" si="120"/>
        <v>0</v>
      </c>
      <c r="O100" s="105"/>
      <c r="P100" s="105"/>
      <c r="Q100" s="105"/>
      <c r="R100" s="105">
        <f t="shared" si="121"/>
        <v>0</v>
      </c>
      <c r="S100" s="105">
        <f t="shared" si="122"/>
        <v>0</v>
      </c>
      <c r="T100" s="105"/>
      <c r="U100" s="105"/>
      <c r="V100" s="105"/>
      <c r="W100" s="105"/>
      <c r="X100" s="105"/>
      <c r="Y100" s="105"/>
      <c r="Z100" s="105"/>
      <c r="AA100" s="105">
        <f t="shared" si="123"/>
        <v>0</v>
      </c>
      <c r="AB100" s="105"/>
      <c r="AC100" s="105"/>
      <c r="AD100" s="105"/>
      <c r="AE100" s="105"/>
      <c r="AF100" s="105"/>
      <c r="AG100" s="105">
        <f t="shared" si="124"/>
        <v>0</v>
      </c>
      <c r="AH100" s="105"/>
      <c r="AI100" s="105"/>
      <c r="AJ100" s="105"/>
      <c r="AK100" s="105">
        <f t="shared" si="125"/>
        <v>0</v>
      </c>
      <c r="AL100" s="105">
        <f t="shared" si="126"/>
        <v>0</v>
      </c>
      <c r="AM100" s="105">
        <f t="shared" si="127"/>
        <v>480</v>
      </c>
    </row>
    <row r="101" spans="3:39" s="78" customFormat="1" ht="20.100000000000001" customHeight="1">
      <c r="D101" s="105" t="s">
        <v>60</v>
      </c>
      <c r="E101" s="105">
        <f t="shared" si="128"/>
        <v>20</v>
      </c>
      <c r="F101" s="105"/>
      <c r="G101" s="105"/>
      <c r="H101" s="105"/>
      <c r="I101" s="105">
        <f t="shared" si="119"/>
        <v>0</v>
      </c>
      <c r="J101" s="105"/>
      <c r="K101" s="105"/>
      <c r="L101" s="105"/>
      <c r="M101" s="105"/>
      <c r="N101" s="105">
        <f t="shared" si="120"/>
        <v>0</v>
      </c>
      <c r="O101" s="105"/>
      <c r="P101" s="105"/>
      <c r="Q101" s="105"/>
      <c r="R101" s="105">
        <f t="shared" si="121"/>
        <v>0</v>
      </c>
      <c r="S101" s="105">
        <f t="shared" si="122"/>
        <v>0</v>
      </c>
      <c r="T101" s="105"/>
      <c r="U101" s="105"/>
      <c r="V101" s="105"/>
      <c r="W101" s="105"/>
      <c r="X101" s="105"/>
      <c r="Y101" s="105"/>
      <c r="Z101" s="105"/>
      <c r="AA101" s="105">
        <f t="shared" si="123"/>
        <v>0</v>
      </c>
      <c r="AB101" s="105"/>
      <c r="AC101" s="105"/>
      <c r="AD101" s="105"/>
      <c r="AE101" s="105"/>
      <c r="AF101" s="105"/>
      <c r="AG101" s="105">
        <f t="shared" si="124"/>
        <v>0</v>
      </c>
      <c r="AH101" s="105"/>
      <c r="AI101" s="105"/>
      <c r="AJ101" s="105"/>
      <c r="AK101" s="105">
        <f t="shared" si="125"/>
        <v>0</v>
      </c>
      <c r="AL101" s="105">
        <f t="shared" si="126"/>
        <v>0</v>
      </c>
      <c r="AM101" s="105">
        <f t="shared" si="127"/>
        <v>20</v>
      </c>
    </row>
    <row r="102" spans="3:39" s="78" customFormat="1" ht="20.100000000000001" customHeight="1"/>
    <row r="103" spans="3:39" s="78" customFormat="1" ht="20.100000000000001" customHeight="1">
      <c r="C103" s="81" t="s">
        <v>81</v>
      </c>
      <c r="D103" s="104" t="s">
        <v>62</v>
      </c>
      <c r="E103" s="104">
        <f>AM96</f>
        <v>4500</v>
      </c>
      <c r="F103" s="104"/>
      <c r="G103" s="104"/>
      <c r="H103" s="104"/>
      <c r="I103" s="104">
        <f t="shared" ref="I103:I108" si="129">SUM(G103:H103)</f>
        <v>0</v>
      </c>
      <c r="J103" s="104"/>
      <c r="K103" s="104"/>
      <c r="L103" s="104"/>
      <c r="M103" s="104"/>
      <c r="N103" s="104">
        <f t="shared" ref="N103:N108" si="130">SUM(J103:M103)</f>
        <v>0</v>
      </c>
      <c r="O103" s="104"/>
      <c r="P103" s="104"/>
      <c r="Q103" s="104"/>
      <c r="R103" s="104">
        <f t="shared" ref="R103:R108" si="131">SUM(P103:Q103)</f>
        <v>0</v>
      </c>
      <c r="S103" s="104">
        <f t="shared" ref="S103:S108" si="132">F103+I103+N103+O103+R103</f>
        <v>0</v>
      </c>
      <c r="T103" s="104"/>
      <c r="U103" s="104"/>
      <c r="V103" s="104"/>
      <c r="W103" s="104"/>
      <c r="X103" s="104"/>
      <c r="Y103" s="104"/>
      <c r="Z103" s="104"/>
      <c r="AA103" s="104">
        <f t="shared" ref="AA103:AA108" si="133">SUM(U103:Z103)</f>
        <v>0</v>
      </c>
      <c r="AB103" s="104"/>
      <c r="AC103" s="104"/>
      <c r="AD103" s="104"/>
      <c r="AE103" s="104"/>
      <c r="AF103" s="104"/>
      <c r="AG103" s="104">
        <f t="shared" ref="AG103:AG108" si="134">SUM(AC103:AF103)</f>
        <v>0</v>
      </c>
      <c r="AH103" s="104"/>
      <c r="AI103" s="104"/>
      <c r="AJ103" s="104"/>
      <c r="AK103" s="104">
        <f t="shared" ref="AK103:AK108" si="135">SUM(AH103:AJ103)</f>
        <v>0</v>
      </c>
      <c r="AL103" s="104">
        <f t="shared" ref="AL103:AL108" si="136">T103+AA103+AB103+AG103+AK103</f>
        <v>0</v>
      </c>
      <c r="AM103" s="104">
        <f t="shared" ref="AM103:AM108" si="137">E103+S103-AL103</f>
        <v>4500</v>
      </c>
    </row>
    <row r="104" spans="3:39" s="78" customFormat="1" ht="20.100000000000001" customHeight="1">
      <c r="C104" s="86" t="s">
        <v>82</v>
      </c>
      <c r="D104" s="104" t="s">
        <v>63</v>
      </c>
      <c r="E104" s="104">
        <f t="shared" ref="E104:E108" si="138">AM97</f>
        <v>2000</v>
      </c>
      <c r="F104" s="104"/>
      <c r="G104" s="104"/>
      <c r="H104" s="104"/>
      <c r="I104" s="104">
        <f t="shared" si="129"/>
        <v>0</v>
      </c>
      <c r="J104" s="104"/>
      <c r="K104" s="104"/>
      <c r="L104" s="104"/>
      <c r="M104" s="104"/>
      <c r="N104" s="104">
        <f t="shared" si="130"/>
        <v>0</v>
      </c>
      <c r="O104" s="104"/>
      <c r="P104" s="104"/>
      <c r="Q104" s="104"/>
      <c r="R104" s="104">
        <f t="shared" si="131"/>
        <v>0</v>
      </c>
      <c r="S104" s="104">
        <f t="shared" si="132"/>
        <v>0</v>
      </c>
      <c r="T104" s="104"/>
      <c r="U104" s="104"/>
      <c r="V104" s="104"/>
      <c r="W104" s="104"/>
      <c r="X104" s="104"/>
      <c r="Y104" s="104"/>
      <c r="Z104" s="104"/>
      <c r="AA104" s="104">
        <f t="shared" si="133"/>
        <v>0</v>
      </c>
      <c r="AB104" s="104"/>
      <c r="AC104" s="104"/>
      <c r="AD104" s="104"/>
      <c r="AE104" s="104"/>
      <c r="AF104" s="104"/>
      <c r="AG104" s="104">
        <f t="shared" si="134"/>
        <v>0</v>
      </c>
      <c r="AH104" s="104"/>
      <c r="AI104" s="104"/>
      <c r="AJ104" s="104"/>
      <c r="AK104" s="104">
        <f t="shared" si="135"/>
        <v>0</v>
      </c>
      <c r="AL104" s="104">
        <f t="shared" si="136"/>
        <v>0</v>
      </c>
      <c r="AM104" s="104">
        <f t="shared" si="137"/>
        <v>2000</v>
      </c>
    </row>
    <row r="105" spans="3:39" s="78" customFormat="1" ht="20.100000000000001" customHeight="1">
      <c r="C105" s="142" t="s">
        <v>94</v>
      </c>
      <c r="D105" s="104" t="s">
        <v>59</v>
      </c>
      <c r="E105" s="104">
        <f t="shared" si="138"/>
        <v>5800</v>
      </c>
      <c r="F105" s="104"/>
      <c r="G105" s="104"/>
      <c r="H105" s="104">
        <v>19</v>
      </c>
      <c r="I105" s="104">
        <f t="shared" si="129"/>
        <v>19</v>
      </c>
      <c r="J105" s="104"/>
      <c r="K105" s="104"/>
      <c r="L105" s="104"/>
      <c r="M105" s="104"/>
      <c r="N105" s="104">
        <f t="shared" si="130"/>
        <v>0</v>
      </c>
      <c r="O105" s="104"/>
      <c r="P105" s="104"/>
      <c r="Q105" s="104"/>
      <c r="R105" s="104">
        <f t="shared" si="131"/>
        <v>0</v>
      </c>
      <c r="S105" s="104">
        <f t="shared" si="132"/>
        <v>19</v>
      </c>
      <c r="T105" s="104"/>
      <c r="U105" s="104"/>
      <c r="V105" s="104"/>
      <c r="W105" s="104"/>
      <c r="X105" s="104"/>
      <c r="Y105" s="104"/>
      <c r="Z105" s="104"/>
      <c r="AA105" s="104">
        <f t="shared" si="133"/>
        <v>0</v>
      </c>
      <c r="AB105" s="104"/>
      <c r="AC105" s="104"/>
      <c r="AD105" s="104"/>
      <c r="AE105" s="104"/>
      <c r="AF105" s="104"/>
      <c r="AG105" s="104">
        <f t="shared" si="134"/>
        <v>0</v>
      </c>
      <c r="AH105" s="104"/>
      <c r="AI105" s="104"/>
      <c r="AJ105" s="104"/>
      <c r="AK105" s="104">
        <f t="shared" si="135"/>
        <v>0</v>
      </c>
      <c r="AL105" s="104">
        <f t="shared" si="136"/>
        <v>0</v>
      </c>
      <c r="AM105" s="104">
        <f t="shared" si="137"/>
        <v>5819</v>
      </c>
    </row>
    <row r="106" spans="3:39" s="78" customFormat="1" ht="20.100000000000001" customHeight="1">
      <c r="D106" s="105" t="s">
        <v>66</v>
      </c>
      <c r="E106" s="105">
        <f t="shared" si="138"/>
        <v>300</v>
      </c>
      <c r="F106" s="105"/>
      <c r="G106" s="105"/>
      <c r="H106" s="105"/>
      <c r="I106" s="105">
        <f t="shared" si="129"/>
        <v>0</v>
      </c>
      <c r="J106" s="105"/>
      <c r="K106" s="105"/>
      <c r="L106" s="105"/>
      <c r="M106" s="105"/>
      <c r="N106" s="105">
        <f t="shared" si="130"/>
        <v>0</v>
      </c>
      <c r="O106" s="105"/>
      <c r="P106" s="105"/>
      <c r="Q106" s="105"/>
      <c r="R106" s="105">
        <f t="shared" si="131"/>
        <v>0</v>
      </c>
      <c r="S106" s="105">
        <f t="shared" si="132"/>
        <v>0</v>
      </c>
      <c r="T106" s="105"/>
      <c r="U106" s="105"/>
      <c r="V106" s="105"/>
      <c r="W106" s="105"/>
      <c r="X106" s="105"/>
      <c r="Y106" s="105"/>
      <c r="Z106" s="105"/>
      <c r="AA106" s="105">
        <f t="shared" si="133"/>
        <v>0</v>
      </c>
      <c r="AB106" s="105"/>
      <c r="AC106" s="105"/>
      <c r="AD106" s="105"/>
      <c r="AE106" s="105"/>
      <c r="AF106" s="105"/>
      <c r="AG106" s="105">
        <f t="shared" si="134"/>
        <v>0</v>
      </c>
      <c r="AH106" s="105"/>
      <c r="AI106" s="105"/>
      <c r="AJ106" s="105"/>
      <c r="AK106" s="105">
        <f t="shared" si="135"/>
        <v>0</v>
      </c>
      <c r="AL106" s="105">
        <f t="shared" si="136"/>
        <v>0</v>
      </c>
      <c r="AM106" s="105">
        <f t="shared" si="137"/>
        <v>300</v>
      </c>
    </row>
    <row r="107" spans="3:39" s="78" customFormat="1" ht="20.100000000000001" customHeight="1">
      <c r="D107" s="105" t="s">
        <v>67</v>
      </c>
      <c r="E107" s="105">
        <f t="shared" si="138"/>
        <v>480</v>
      </c>
      <c r="F107" s="105"/>
      <c r="G107" s="105"/>
      <c r="H107" s="105"/>
      <c r="I107" s="105">
        <f t="shared" si="129"/>
        <v>0</v>
      </c>
      <c r="J107" s="105"/>
      <c r="K107" s="105"/>
      <c r="L107" s="105"/>
      <c r="M107" s="105"/>
      <c r="N107" s="105">
        <f t="shared" si="130"/>
        <v>0</v>
      </c>
      <c r="O107" s="105"/>
      <c r="P107" s="105"/>
      <c r="Q107" s="105"/>
      <c r="R107" s="105">
        <f t="shared" si="131"/>
        <v>0</v>
      </c>
      <c r="S107" s="105">
        <f t="shared" si="132"/>
        <v>0</v>
      </c>
      <c r="T107" s="105"/>
      <c r="U107" s="105"/>
      <c r="V107" s="105"/>
      <c r="W107" s="105"/>
      <c r="X107" s="105"/>
      <c r="Y107" s="105"/>
      <c r="Z107" s="105"/>
      <c r="AA107" s="105">
        <f t="shared" si="133"/>
        <v>0</v>
      </c>
      <c r="AB107" s="105"/>
      <c r="AC107" s="105"/>
      <c r="AD107" s="105"/>
      <c r="AE107" s="105"/>
      <c r="AF107" s="105"/>
      <c r="AG107" s="105">
        <f t="shared" si="134"/>
        <v>0</v>
      </c>
      <c r="AH107" s="105"/>
      <c r="AI107" s="105"/>
      <c r="AJ107" s="105"/>
      <c r="AK107" s="105">
        <f t="shared" si="135"/>
        <v>0</v>
      </c>
      <c r="AL107" s="105">
        <f t="shared" si="136"/>
        <v>0</v>
      </c>
      <c r="AM107" s="105">
        <f t="shared" si="137"/>
        <v>480</v>
      </c>
    </row>
    <row r="108" spans="3:39" s="78" customFormat="1" ht="20.100000000000001" customHeight="1">
      <c r="D108" s="105" t="s">
        <v>60</v>
      </c>
      <c r="E108" s="105">
        <f t="shared" si="138"/>
        <v>20</v>
      </c>
      <c r="F108" s="105"/>
      <c r="G108" s="105"/>
      <c r="H108" s="105"/>
      <c r="I108" s="105">
        <f t="shared" si="129"/>
        <v>0</v>
      </c>
      <c r="J108" s="105"/>
      <c r="K108" s="105"/>
      <c r="L108" s="105"/>
      <c r="M108" s="105"/>
      <c r="N108" s="105">
        <f t="shared" si="130"/>
        <v>0</v>
      </c>
      <c r="O108" s="105"/>
      <c r="P108" s="105"/>
      <c r="Q108" s="105"/>
      <c r="R108" s="105">
        <f t="shared" si="131"/>
        <v>0</v>
      </c>
      <c r="S108" s="105">
        <f t="shared" si="132"/>
        <v>0</v>
      </c>
      <c r="T108" s="105"/>
      <c r="U108" s="105"/>
      <c r="V108" s="105"/>
      <c r="W108" s="105"/>
      <c r="X108" s="105"/>
      <c r="Y108" s="105"/>
      <c r="Z108" s="105">
        <f>H105</f>
        <v>19</v>
      </c>
      <c r="AA108" s="105">
        <f t="shared" si="133"/>
        <v>19</v>
      </c>
      <c r="AB108" s="105"/>
      <c r="AC108" s="105"/>
      <c r="AD108" s="105"/>
      <c r="AE108" s="105"/>
      <c r="AF108" s="105"/>
      <c r="AG108" s="105">
        <f t="shared" si="134"/>
        <v>0</v>
      </c>
      <c r="AH108" s="105"/>
      <c r="AI108" s="105"/>
      <c r="AJ108" s="105"/>
      <c r="AK108" s="105">
        <f t="shared" si="135"/>
        <v>0</v>
      </c>
      <c r="AL108" s="105">
        <f t="shared" si="136"/>
        <v>19</v>
      </c>
      <c r="AM108" s="105">
        <f t="shared" si="137"/>
        <v>1</v>
      </c>
    </row>
    <row r="109" spans="3:39" s="78" customFormat="1" ht="20.100000000000001" customHeight="1"/>
    <row r="110" spans="3:39" s="78" customFormat="1" ht="20.100000000000001" customHeight="1">
      <c r="C110" s="81" t="s">
        <v>83</v>
      </c>
      <c r="D110" s="104" t="s">
        <v>62</v>
      </c>
      <c r="E110" s="104">
        <f>AM103</f>
        <v>4500</v>
      </c>
      <c r="F110" s="104"/>
      <c r="G110" s="104"/>
      <c r="H110" s="104"/>
      <c r="I110" s="104">
        <f t="shared" ref="I110:I115" si="139">SUM(G110:H110)</f>
        <v>0</v>
      </c>
      <c r="J110" s="104"/>
      <c r="K110" s="104"/>
      <c r="L110" s="104"/>
      <c r="M110" s="104"/>
      <c r="N110" s="104">
        <f t="shared" ref="N110:N115" si="140">SUM(J110:M110)</f>
        <v>0</v>
      </c>
      <c r="O110" s="104"/>
      <c r="P110" s="104"/>
      <c r="Q110" s="104"/>
      <c r="R110" s="104">
        <f t="shared" ref="R110:R115" si="141">SUM(P110:Q110)</f>
        <v>0</v>
      </c>
      <c r="S110" s="104">
        <f t="shared" ref="S110:S115" si="142">F110+I110+N110+O110+R110</f>
        <v>0</v>
      </c>
      <c r="T110" s="104"/>
      <c r="U110" s="104"/>
      <c r="V110" s="104"/>
      <c r="W110" s="104"/>
      <c r="X110" s="104"/>
      <c r="Y110" s="104"/>
      <c r="Z110" s="104"/>
      <c r="AA110" s="104">
        <f t="shared" ref="AA110:AA115" si="143">SUM(U110:Z110)</f>
        <v>0</v>
      </c>
      <c r="AB110" s="104"/>
      <c r="AC110" s="104"/>
      <c r="AD110" s="104"/>
      <c r="AE110" s="104"/>
      <c r="AF110" s="104"/>
      <c r="AG110" s="104">
        <f t="shared" ref="AG110:AG115" si="144">SUM(AC110:AF110)</f>
        <v>0</v>
      </c>
      <c r="AH110" s="104"/>
      <c r="AI110" s="104"/>
      <c r="AJ110" s="104"/>
      <c r="AK110" s="104">
        <f t="shared" ref="AK110:AK115" si="145">SUM(AH110:AJ110)</f>
        <v>0</v>
      </c>
      <c r="AL110" s="104">
        <f t="shared" ref="AL110:AL115" si="146">T110+AA110+AB110+AG110+AK110</f>
        <v>0</v>
      </c>
      <c r="AM110" s="104">
        <f t="shared" ref="AM110:AM115" si="147">E110+S110-AL110</f>
        <v>4500</v>
      </c>
    </row>
    <row r="111" spans="3:39" s="78" customFormat="1" ht="20.100000000000001" customHeight="1">
      <c r="D111" s="104" t="s">
        <v>63</v>
      </c>
      <c r="E111" s="104">
        <f t="shared" ref="E111:E115" si="148">AM104</f>
        <v>2000</v>
      </c>
      <c r="F111" s="104"/>
      <c r="G111" s="104"/>
      <c r="H111" s="104"/>
      <c r="I111" s="104">
        <f t="shared" si="139"/>
        <v>0</v>
      </c>
      <c r="J111" s="104"/>
      <c r="K111" s="104"/>
      <c r="L111" s="104"/>
      <c r="M111" s="104"/>
      <c r="N111" s="104">
        <f t="shared" si="140"/>
        <v>0</v>
      </c>
      <c r="O111" s="104"/>
      <c r="P111" s="104"/>
      <c r="Q111" s="104"/>
      <c r="R111" s="104">
        <f t="shared" si="141"/>
        <v>0</v>
      </c>
      <c r="S111" s="104">
        <f t="shared" si="142"/>
        <v>0</v>
      </c>
      <c r="T111" s="104"/>
      <c r="U111" s="104"/>
      <c r="V111" s="104"/>
      <c r="W111" s="104"/>
      <c r="X111" s="104"/>
      <c r="Y111" s="104"/>
      <c r="Z111" s="104"/>
      <c r="AA111" s="104">
        <f t="shared" si="143"/>
        <v>0</v>
      </c>
      <c r="AB111" s="104"/>
      <c r="AC111" s="104"/>
      <c r="AD111" s="104"/>
      <c r="AE111" s="104"/>
      <c r="AF111" s="104"/>
      <c r="AG111" s="104">
        <f t="shared" si="144"/>
        <v>0</v>
      </c>
      <c r="AH111" s="104"/>
      <c r="AI111" s="104"/>
      <c r="AJ111" s="104"/>
      <c r="AK111" s="104">
        <f t="shared" si="145"/>
        <v>0</v>
      </c>
      <c r="AL111" s="104">
        <f t="shared" si="146"/>
        <v>0</v>
      </c>
      <c r="AM111" s="104">
        <f t="shared" si="147"/>
        <v>2000</v>
      </c>
    </row>
    <row r="112" spans="3:39" s="78" customFormat="1" ht="20.100000000000001" customHeight="1">
      <c r="D112" s="104" t="s">
        <v>59</v>
      </c>
      <c r="E112" s="104">
        <f t="shared" si="148"/>
        <v>5819</v>
      </c>
      <c r="F112" s="104"/>
      <c r="G112" s="104"/>
      <c r="H112" s="104"/>
      <c r="I112" s="104">
        <f t="shared" si="139"/>
        <v>0</v>
      </c>
      <c r="J112" s="104"/>
      <c r="K112" s="104"/>
      <c r="L112" s="104"/>
      <c r="M112" s="104"/>
      <c r="N112" s="104">
        <f t="shared" si="140"/>
        <v>0</v>
      </c>
      <c r="O112" s="104"/>
      <c r="P112" s="104"/>
      <c r="Q112" s="104"/>
      <c r="R112" s="104">
        <f t="shared" si="141"/>
        <v>0</v>
      </c>
      <c r="S112" s="104">
        <f t="shared" si="142"/>
        <v>0</v>
      </c>
      <c r="T112" s="104"/>
      <c r="U112" s="104"/>
      <c r="V112" s="104"/>
      <c r="W112" s="104"/>
      <c r="X112" s="104"/>
      <c r="Y112" s="104"/>
      <c r="Z112" s="104"/>
      <c r="AA112" s="104">
        <f t="shared" si="143"/>
        <v>0</v>
      </c>
      <c r="AB112" s="104"/>
      <c r="AC112" s="104"/>
      <c r="AD112" s="104"/>
      <c r="AE112" s="104"/>
      <c r="AF112" s="104"/>
      <c r="AG112" s="104">
        <f t="shared" si="144"/>
        <v>0</v>
      </c>
      <c r="AH112" s="104"/>
      <c r="AI112" s="104"/>
      <c r="AJ112" s="104"/>
      <c r="AK112" s="104">
        <f t="shared" si="145"/>
        <v>0</v>
      </c>
      <c r="AL112" s="104">
        <f t="shared" si="146"/>
        <v>0</v>
      </c>
      <c r="AM112" s="104">
        <f t="shared" si="147"/>
        <v>5819</v>
      </c>
    </row>
    <row r="113" spans="3:40" s="78" customFormat="1" ht="20.100000000000001" customHeight="1">
      <c r="D113" s="105" t="s">
        <v>66</v>
      </c>
      <c r="E113" s="105">
        <f t="shared" si="148"/>
        <v>300</v>
      </c>
      <c r="F113" s="105"/>
      <c r="G113" s="105"/>
      <c r="H113" s="105"/>
      <c r="I113" s="105">
        <f t="shared" si="139"/>
        <v>0</v>
      </c>
      <c r="J113" s="105"/>
      <c r="K113" s="105"/>
      <c r="L113" s="105"/>
      <c r="M113" s="105"/>
      <c r="N113" s="105">
        <f t="shared" si="140"/>
        <v>0</v>
      </c>
      <c r="O113" s="105"/>
      <c r="P113" s="105"/>
      <c r="Q113" s="105"/>
      <c r="R113" s="105">
        <f t="shared" si="141"/>
        <v>0</v>
      </c>
      <c r="S113" s="105">
        <f t="shared" si="142"/>
        <v>0</v>
      </c>
      <c r="T113" s="105"/>
      <c r="U113" s="105"/>
      <c r="V113" s="105"/>
      <c r="W113" s="105"/>
      <c r="X113" s="105"/>
      <c r="Y113" s="105"/>
      <c r="Z113" s="105"/>
      <c r="AA113" s="105">
        <f t="shared" si="143"/>
        <v>0</v>
      </c>
      <c r="AB113" s="105"/>
      <c r="AC113" s="105"/>
      <c r="AD113" s="105"/>
      <c r="AE113" s="105"/>
      <c r="AF113" s="105"/>
      <c r="AG113" s="105">
        <f t="shared" si="144"/>
        <v>0</v>
      </c>
      <c r="AH113" s="105"/>
      <c r="AI113" s="105"/>
      <c r="AJ113" s="105"/>
      <c r="AK113" s="105">
        <f t="shared" si="145"/>
        <v>0</v>
      </c>
      <c r="AL113" s="105">
        <f t="shared" si="146"/>
        <v>0</v>
      </c>
      <c r="AM113" s="105">
        <f t="shared" si="147"/>
        <v>300</v>
      </c>
    </row>
    <row r="114" spans="3:40" s="78" customFormat="1" ht="20.100000000000001" customHeight="1">
      <c r="D114" s="105" t="s">
        <v>67</v>
      </c>
      <c r="E114" s="105">
        <f t="shared" si="148"/>
        <v>480</v>
      </c>
      <c r="F114" s="105"/>
      <c r="G114" s="105"/>
      <c r="H114" s="105"/>
      <c r="I114" s="105">
        <f t="shared" si="139"/>
        <v>0</v>
      </c>
      <c r="J114" s="105"/>
      <c r="K114" s="105"/>
      <c r="L114" s="105"/>
      <c r="M114" s="105"/>
      <c r="N114" s="105">
        <f t="shared" si="140"/>
        <v>0</v>
      </c>
      <c r="O114" s="105"/>
      <c r="P114" s="105"/>
      <c r="Q114" s="105"/>
      <c r="R114" s="105">
        <f t="shared" si="141"/>
        <v>0</v>
      </c>
      <c r="S114" s="105">
        <f t="shared" si="142"/>
        <v>0</v>
      </c>
      <c r="T114" s="105"/>
      <c r="U114" s="105"/>
      <c r="V114" s="105"/>
      <c r="W114" s="105"/>
      <c r="X114" s="105"/>
      <c r="Y114" s="105"/>
      <c r="Z114" s="105"/>
      <c r="AA114" s="105">
        <f t="shared" si="143"/>
        <v>0</v>
      </c>
      <c r="AB114" s="105"/>
      <c r="AC114" s="105"/>
      <c r="AD114" s="105"/>
      <c r="AE114" s="105"/>
      <c r="AF114" s="105"/>
      <c r="AG114" s="105">
        <f t="shared" si="144"/>
        <v>0</v>
      </c>
      <c r="AH114" s="105"/>
      <c r="AI114" s="105"/>
      <c r="AJ114" s="105"/>
      <c r="AK114" s="105">
        <f t="shared" si="145"/>
        <v>0</v>
      </c>
      <c r="AL114" s="105">
        <f t="shared" si="146"/>
        <v>0</v>
      </c>
      <c r="AM114" s="105">
        <f t="shared" si="147"/>
        <v>480</v>
      </c>
    </row>
    <row r="115" spans="3:40" s="78" customFormat="1" ht="20.100000000000001" customHeight="1">
      <c r="D115" s="105" t="s">
        <v>60</v>
      </c>
      <c r="E115" s="105">
        <f t="shared" si="148"/>
        <v>1</v>
      </c>
      <c r="F115" s="105"/>
      <c r="G115" s="105"/>
      <c r="H115" s="105"/>
      <c r="I115" s="105">
        <f t="shared" si="139"/>
        <v>0</v>
      </c>
      <c r="J115" s="105"/>
      <c r="K115" s="105"/>
      <c r="L115" s="105"/>
      <c r="M115" s="105"/>
      <c r="N115" s="105">
        <f t="shared" si="140"/>
        <v>0</v>
      </c>
      <c r="O115" s="105"/>
      <c r="P115" s="105"/>
      <c r="Q115" s="105"/>
      <c r="R115" s="105">
        <f t="shared" si="141"/>
        <v>0</v>
      </c>
      <c r="S115" s="105">
        <f t="shared" si="142"/>
        <v>0</v>
      </c>
      <c r="T115" s="105"/>
      <c r="U115" s="105"/>
      <c r="V115" s="105"/>
      <c r="W115" s="105"/>
      <c r="X115" s="105"/>
      <c r="Y115" s="105"/>
      <c r="Z115" s="105"/>
      <c r="AA115" s="105">
        <f t="shared" si="143"/>
        <v>0</v>
      </c>
      <c r="AB115" s="105"/>
      <c r="AC115" s="105"/>
      <c r="AD115" s="105"/>
      <c r="AE115" s="105"/>
      <c r="AF115" s="105"/>
      <c r="AG115" s="105">
        <f t="shared" si="144"/>
        <v>0</v>
      </c>
      <c r="AH115" s="105">
        <v>1</v>
      </c>
      <c r="AI115" s="105"/>
      <c r="AJ115" s="105"/>
      <c r="AK115" s="105">
        <f t="shared" si="145"/>
        <v>1</v>
      </c>
      <c r="AL115" s="105">
        <f t="shared" si="146"/>
        <v>1</v>
      </c>
      <c r="AM115" s="105">
        <f t="shared" si="147"/>
        <v>0</v>
      </c>
    </row>
    <row r="116" spans="3:40" s="78" customFormat="1" ht="20.100000000000001" customHeight="1" thickBot="1"/>
    <row r="117" spans="3:40" s="78" customFormat="1" ht="20.100000000000001" customHeight="1">
      <c r="C117" s="128" t="s">
        <v>90</v>
      </c>
      <c r="D117" s="129" t="s">
        <v>87</v>
      </c>
      <c r="E117" s="130">
        <f>SUM(E19:E24)</f>
        <v>0</v>
      </c>
      <c r="F117" s="131">
        <f>SUM(F19:F116)</f>
        <v>17000</v>
      </c>
      <c r="G117" s="132"/>
      <c r="H117" s="132"/>
      <c r="I117" s="132"/>
      <c r="J117" s="132"/>
      <c r="K117" s="132"/>
      <c r="L117" s="132"/>
      <c r="M117" s="132"/>
      <c r="N117" s="132"/>
      <c r="O117" s="131">
        <f>SUM(O19:O116)</f>
        <v>0</v>
      </c>
      <c r="P117" s="131">
        <f>SUM(P19:P116)</f>
        <v>0</v>
      </c>
      <c r="Q117" s="131">
        <f>SUM(Q19:Q116)</f>
        <v>0</v>
      </c>
      <c r="R117" s="131">
        <f>SUM(P117:Q117)</f>
        <v>0</v>
      </c>
      <c r="S117" s="130">
        <f>F117+O117+R117</f>
        <v>17000</v>
      </c>
      <c r="T117" s="131">
        <f>SUM(T19:T116)</f>
        <v>3900</v>
      </c>
      <c r="U117" s="132"/>
      <c r="V117" s="132"/>
      <c r="W117" s="132"/>
      <c r="X117" s="132"/>
      <c r="Y117" s="132"/>
      <c r="Z117" s="132"/>
      <c r="AA117" s="132"/>
      <c r="AB117" s="131">
        <f>SUM(AB19:AB116)</f>
        <v>0</v>
      </c>
      <c r="AC117" s="131">
        <f>SUM(AC19:AC116)</f>
        <v>0</v>
      </c>
      <c r="AD117" s="131">
        <f>SUM(AD19:AD116)</f>
        <v>0</v>
      </c>
      <c r="AE117" s="131">
        <f>SUM(AE19:AE116)</f>
        <v>0</v>
      </c>
      <c r="AF117" s="131">
        <f>SUM(AF19:AF116)</f>
        <v>0</v>
      </c>
      <c r="AG117" s="131">
        <f>SUM(AC117:AF117)</f>
        <v>0</v>
      </c>
      <c r="AH117" s="131">
        <f>SUM(AH19:AH116)</f>
        <v>1</v>
      </c>
      <c r="AI117" s="131">
        <f>SUM(AI19:AI116)</f>
        <v>0</v>
      </c>
      <c r="AJ117" s="131">
        <f>SUM(AJ19:AJ116)</f>
        <v>0</v>
      </c>
      <c r="AK117" s="131">
        <f>SUM(AH117:AJ117)</f>
        <v>1</v>
      </c>
      <c r="AL117" s="130">
        <f>T117+AB117+AG117+AK117</f>
        <v>3901</v>
      </c>
      <c r="AM117" s="133">
        <f>E117+S117-AL117</f>
        <v>13099</v>
      </c>
      <c r="AN117" s="78">
        <f>E117+F117-AL117-AM117</f>
        <v>0</v>
      </c>
    </row>
    <row r="118" spans="3:40" s="78" customFormat="1" ht="20.100000000000001" customHeight="1">
      <c r="C118" s="134"/>
      <c r="D118" s="78" t="s">
        <v>88</v>
      </c>
      <c r="F118" s="78">
        <f>F119/F117</f>
        <v>1000</v>
      </c>
      <c r="G118" s="87"/>
      <c r="H118" s="87"/>
      <c r="I118" s="87"/>
      <c r="J118" s="87"/>
      <c r="K118" s="87"/>
      <c r="L118" s="87"/>
      <c r="M118" s="87"/>
      <c r="N118" s="87"/>
      <c r="O118" s="135"/>
      <c r="P118" s="87"/>
      <c r="Q118" s="87"/>
      <c r="R118" s="87"/>
      <c r="S118" s="78">
        <f>S119/S117</f>
        <v>1000</v>
      </c>
      <c r="T118" s="78">
        <f>T119/T117</f>
        <v>1000</v>
      </c>
      <c r="U118" s="87"/>
      <c r="V118" s="87"/>
      <c r="W118" s="87"/>
      <c r="X118" s="87"/>
      <c r="Y118" s="87"/>
      <c r="Z118" s="87"/>
      <c r="AA118" s="87"/>
      <c r="AB118" s="135"/>
      <c r="AC118" s="78">
        <f>$AM118</f>
        <v>1000</v>
      </c>
      <c r="AD118" s="78">
        <f>$AM118</f>
        <v>1000</v>
      </c>
      <c r="AE118" s="78">
        <f>$AM118</f>
        <v>1000</v>
      </c>
      <c r="AF118" s="78">
        <f>$AM118</f>
        <v>1000</v>
      </c>
      <c r="AG118" s="78">
        <f>IF(AG117=0,0,AG119/AG117)</f>
        <v>0</v>
      </c>
      <c r="AH118" s="78">
        <f>$AM118</f>
        <v>1000</v>
      </c>
      <c r="AI118" s="78">
        <f>$AM118</f>
        <v>1000</v>
      </c>
      <c r="AJ118" s="78">
        <f>$AM118</f>
        <v>1000</v>
      </c>
      <c r="AK118" s="78">
        <f>AK119/AK117</f>
        <v>1000</v>
      </c>
      <c r="AL118" s="78">
        <f>IF(AL117=0,0,AL119/AL117)</f>
        <v>1000</v>
      </c>
      <c r="AM118" s="136">
        <f>(E119+S119)/(E117+S117)</f>
        <v>1000</v>
      </c>
    </row>
    <row r="119" spans="3:40" s="78" customFormat="1" ht="20.100000000000001" customHeight="1" thickBot="1">
      <c r="C119" s="137"/>
      <c r="D119" s="138" t="s">
        <v>89</v>
      </c>
      <c r="E119" s="138"/>
      <c r="F119" s="138">
        <v>17000000</v>
      </c>
      <c r="G119" s="139"/>
      <c r="H119" s="139"/>
      <c r="I119" s="139"/>
      <c r="J119" s="139"/>
      <c r="K119" s="139"/>
      <c r="L119" s="139"/>
      <c r="M119" s="139"/>
      <c r="N119" s="139"/>
      <c r="O119" s="140"/>
      <c r="P119" s="139"/>
      <c r="Q119" s="139"/>
      <c r="R119" s="139"/>
      <c r="S119" s="138">
        <f>F119+O119+R119</f>
        <v>17000000</v>
      </c>
      <c r="T119" s="138">
        <f>E119+S119-AB119-AG119-AK119-AM119</f>
        <v>3900000</v>
      </c>
      <c r="U119" s="139"/>
      <c r="V119" s="139"/>
      <c r="W119" s="139"/>
      <c r="X119" s="139"/>
      <c r="Y119" s="139"/>
      <c r="Z119" s="139"/>
      <c r="AA119" s="139"/>
      <c r="AB119" s="140"/>
      <c r="AC119" s="138">
        <f>AC117*AC118</f>
        <v>0</v>
      </c>
      <c r="AD119" s="138">
        <f>AD117*AD118</f>
        <v>0</v>
      </c>
      <c r="AE119" s="138">
        <f>AE117*AE118</f>
        <v>0</v>
      </c>
      <c r="AF119" s="138">
        <f>AF117*AF118</f>
        <v>0</v>
      </c>
      <c r="AG119" s="138">
        <f>SUM(AC119:AF119)</f>
        <v>0</v>
      </c>
      <c r="AH119" s="138">
        <f>AH117*AH118</f>
        <v>1000</v>
      </c>
      <c r="AI119" s="138">
        <f>AI117*AI118</f>
        <v>0</v>
      </c>
      <c r="AJ119" s="138">
        <f>AJ117*AJ118</f>
        <v>0</v>
      </c>
      <c r="AK119" s="138">
        <f>SUM(AH119:AJ119)</f>
        <v>1000</v>
      </c>
      <c r="AL119" s="138">
        <f>T119+AB119+AG119+AK119</f>
        <v>3901000</v>
      </c>
      <c r="AM119" s="141">
        <f>AM117*AM118</f>
        <v>13099000</v>
      </c>
      <c r="AN119" s="78">
        <f>E119+F119-AL119-AM119</f>
        <v>0</v>
      </c>
    </row>
    <row r="120" spans="3:40" s="78" customFormat="1" ht="20.100000000000001" customHeight="1"/>
    <row r="121" spans="3:40" s="78" customFormat="1" ht="20.100000000000001" customHeight="1"/>
    <row r="122" spans="3:40" s="78" customFormat="1" ht="20.100000000000001" customHeight="1"/>
    <row r="123" spans="3:40" s="78" customFormat="1" ht="20.100000000000001" customHeight="1"/>
    <row r="124" spans="3:40" s="78" customFormat="1" ht="20.100000000000001" customHeight="1"/>
    <row r="125" spans="3:40" s="78" customFormat="1" ht="20.100000000000001" customHeight="1"/>
    <row r="126" spans="3:40" s="78" customFormat="1" ht="20.100000000000001" customHeight="1"/>
    <row r="127" spans="3:40" s="78" customFormat="1" ht="20.100000000000001" customHeight="1"/>
    <row r="128" spans="3:40" s="78" customFormat="1" ht="20.100000000000001" customHeight="1"/>
    <row r="129" s="78" customFormat="1" ht="20.100000000000001" customHeight="1"/>
    <row r="130" s="78" customFormat="1" ht="20.100000000000001" customHeight="1"/>
    <row r="131" s="78" customFormat="1" ht="20.100000000000001" customHeight="1"/>
    <row r="132" s="78" customFormat="1" ht="20.100000000000001" customHeight="1"/>
    <row r="133" s="78" customFormat="1" ht="20.100000000000001" customHeight="1"/>
    <row r="134" s="78" customFormat="1" ht="20.100000000000001" customHeight="1"/>
    <row r="135" s="78" customFormat="1" ht="20.100000000000001" customHeight="1"/>
    <row r="136" s="78" customFormat="1" ht="20.100000000000001" customHeight="1"/>
    <row r="137" s="78" customFormat="1" ht="20.100000000000001" customHeight="1"/>
    <row r="138" s="78" customFormat="1" ht="20.100000000000001" customHeight="1"/>
    <row r="139" s="78" customFormat="1" ht="20.100000000000001" customHeight="1"/>
    <row r="140" s="78" customFormat="1" ht="20.100000000000001" customHeight="1"/>
    <row r="141" s="78" customFormat="1" ht="20.100000000000001" customHeight="1"/>
    <row r="142" s="78" customFormat="1" ht="20.100000000000001" customHeight="1"/>
    <row r="143" s="78" customFormat="1" ht="20.100000000000001" customHeight="1"/>
    <row r="144" s="78" customFormat="1" ht="20.100000000000001" customHeight="1"/>
    <row r="145" s="78" customFormat="1" ht="20.100000000000001" customHeight="1"/>
    <row r="146" s="78" customFormat="1" ht="20.100000000000001" customHeight="1"/>
    <row r="147" s="78" customFormat="1" ht="20.100000000000001" customHeight="1"/>
    <row r="148" s="78" customFormat="1" ht="20.100000000000001" customHeight="1"/>
    <row r="149" s="78" customFormat="1" ht="20.100000000000001" customHeight="1"/>
    <row r="150" s="78" customFormat="1" ht="20.100000000000001" customHeight="1"/>
    <row r="151" s="78" customFormat="1" ht="20.100000000000001" customHeight="1"/>
    <row r="152" s="78" customFormat="1" ht="20.100000000000001" customHeight="1"/>
    <row r="153" s="78" customFormat="1" ht="20.100000000000001" customHeight="1"/>
    <row r="154" s="78" customFormat="1" ht="20.100000000000001" customHeight="1"/>
    <row r="155" s="78" customFormat="1" ht="20.100000000000001" customHeight="1"/>
    <row r="156" s="78" customFormat="1" ht="20.100000000000001" customHeight="1"/>
    <row r="157" s="78" customFormat="1" ht="20.100000000000001" customHeight="1"/>
    <row r="158" s="78" customFormat="1" ht="20.100000000000001" customHeight="1"/>
    <row r="159" s="78" customFormat="1" ht="20.100000000000001" customHeight="1"/>
    <row r="160" s="78" customFormat="1" ht="20.100000000000001" customHeight="1"/>
    <row r="161" s="78" customFormat="1" ht="20.100000000000001" customHeight="1"/>
    <row r="162" s="78" customFormat="1" ht="20.100000000000001" customHeight="1"/>
    <row r="163" s="78" customFormat="1" ht="20.100000000000001" customHeight="1"/>
    <row r="164" s="78" customFormat="1" ht="20.100000000000001" customHeight="1"/>
    <row r="165" s="78" customFormat="1" ht="20.100000000000001" customHeight="1"/>
    <row r="166" s="78" customFormat="1" ht="20.100000000000001" customHeight="1"/>
    <row r="167" s="78" customFormat="1" ht="20.100000000000001" customHeight="1"/>
    <row r="168" s="78" customFormat="1" ht="20.100000000000001" customHeight="1"/>
    <row r="169" s="78" customFormat="1" ht="20.100000000000001" customHeight="1"/>
    <row r="170" s="78" customFormat="1" ht="20.100000000000001" customHeight="1"/>
    <row r="171" s="78" customFormat="1" ht="20.100000000000001" customHeight="1"/>
    <row r="172" s="78" customFormat="1" ht="20.100000000000001" customHeight="1"/>
    <row r="173" s="78" customFormat="1" ht="20.100000000000001" customHeight="1"/>
    <row r="174" s="78" customFormat="1" ht="20.100000000000001" customHeight="1"/>
    <row r="175" s="78" customFormat="1" ht="20.100000000000001" customHeight="1"/>
    <row r="176" s="78" customFormat="1" ht="20.100000000000001" customHeight="1"/>
    <row r="177" s="78" customFormat="1" ht="20.100000000000001" customHeight="1"/>
    <row r="178" s="78" customFormat="1" ht="20.100000000000001" customHeight="1"/>
    <row r="179" s="78" customFormat="1" ht="20.100000000000001" customHeight="1"/>
    <row r="180" s="78" customFormat="1" ht="20.100000000000001" customHeight="1"/>
    <row r="181" s="78" customFormat="1" ht="20.100000000000001" customHeight="1"/>
    <row r="182" s="78" customFormat="1" ht="20.100000000000001" customHeight="1"/>
    <row r="183" s="78" customFormat="1" ht="20.100000000000001" customHeight="1"/>
    <row r="184" s="78" customFormat="1" ht="20.100000000000001" customHeight="1"/>
    <row r="185" s="78" customFormat="1" ht="20.100000000000001" customHeight="1"/>
    <row r="186" s="78" customFormat="1" ht="20.100000000000001" customHeight="1"/>
    <row r="187" s="78" customFormat="1" ht="20.100000000000001" customHeight="1"/>
    <row r="188" s="78" customFormat="1" ht="20.100000000000001" customHeight="1"/>
    <row r="189" s="78" customFormat="1" ht="20.100000000000001" customHeight="1"/>
    <row r="190" s="78" customFormat="1" ht="20.100000000000001" customHeight="1"/>
    <row r="191" s="78" customFormat="1" ht="20.100000000000001" customHeight="1"/>
    <row r="192" s="78" customFormat="1" ht="20.100000000000001" customHeight="1"/>
    <row r="193" s="78" customFormat="1" ht="20.100000000000001" customHeight="1"/>
    <row r="194" s="78" customFormat="1" ht="20.100000000000001" customHeight="1"/>
    <row r="195" s="78" customFormat="1" ht="20.100000000000001" customHeight="1"/>
    <row r="196" s="78" customFormat="1" ht="20.100000000000001" customHeight="1"/>
    <row r="197" s="78" customFormat="1" ht="20.100000000000001" customHeight="1"/>
    <row r="198" s="78" customFormat="1" ht="20.100000000000001" customHeight="1"/>
    <row r="199" s="78" customFormat="1" ht="20.100000000000001" customHeight="1"/>
    <row r="200" s="78" customFormat="1" ht="20.100000000000001" customHeight="1"/>
    <row r="201" s="78" customFormat="1" ht="20.100000000000001" customHeight="1"/>
    <row r="202" s="78" customFormat="1" ht="20.100000000000001" customHeight="1"/>
    <row r="203" s="78" customFormat="1" ht="20.100000000000001" customHeight="1"/>
    <row r="204" s="78" customFormat="1" ht="20.100000000000001" customHeight="1"/>
    <row r="205" s="78" customFormat="1" ht="20.100000000000001" customHeight="1"/>
    <row r="206" s="78" customFormat="1" ht="20.100000000000001" customHeight="1"/>
    <row r="207" s="78" customFormat="1" ht="20.100000000000001" customHeight="1"/>
    <row r="208" s="78" customFormat="1" ht="20.100000000000001" customHeight="1"/>
    <row r="209" s="78" customFormat="1" ht="20.100000000000001" customHeight="1"/>
    <row r="210" s="78" customFormat="1" ht="20.100000000000001" customHeight="1"/>
    <row r="211" s="78" customFormat="1" ht="20.100000000000001" customHeight="1"/>
    <row r="212" s="78" customFormat="1" ht="20.100000000000001" customHeight="1"/>
    <row r="213" s="78" customFormat="1" ht="20.100000000000001" customHeight="1"/>
    <row r="214" s="78" customFormat="1" ht="20.100000000000001" customHeight="1"/>
    <row r="215" s="78" customFormat="1" ht="20.100000000000001" customHeight="1"/>
    <row r="216" s="78" customFormat="1" ht="20.100000000000001" customHeight="1"/>
    <row r="217" s="78" customFormat="1" ht="20.100000000000001" customHeight="1"/>
    <row r="218" s="78" customFormat="1" ht="20.100000000000001" customHeight="1"/>
    <row r="219" s="78" customFormat="1" ht="20.100000000000001" customHeight="1"/>
    <row r="220" s="78" customFormat="1" ht="20.100000000000001" customHeight="1"/>
    <row r="221" s="78" customFormat="1" ht="20.100000000000001" customHeight="1"/>
    <row r="222" s="78" customFormat="1" ht="20.100000000000001" customHeight="1"/>
    <row r="223" s="78" customFormat="1" ht="20.100000000000001" customHeight="1"/>
    <row r="224" s="78" customFormat="1" ht="20.100000000000001" customHeight="1"/>
    <row r="225" s="78" customFormat="1" ht="20.100000000000001" customHeight="1"/>
    <row r="226" s="78" customFormat="1" ht="20.100000000000001" customHeight="1"/>
    <row r="227" s="78" customFormat="1" ht="20.100000000000001" customHeight="1"/>
    <row r="228" s="78" customFormat="1" ht="20.100000000000001" customHeight="1"/>
    <row r="229" s="78" customFormat="1" ht="20.100000000000001" customHeight="1"/>
    <row r="230" s="78" customFormat="1" ht="20.100000000000001" customHeight="1"/>
    <row r="231" s="78" customFormat="1" ht="20.100000000000001" customHeight="1"/>
    <row r="232" s="78" customFormat="1" ht="20.100000000000001" customHeight="1"/>
    <row r="233" s="78" customFormat="1" ht="20.100000000000001" customHeight="1"/>
    <row r="234" s="78" customFormat="1" ht="20.100000000000001" customHeight="1"/>
    <row r="235" s="78" customFormat="1" ht="20.100000000000001" customHeight="1"/>
    <row r="236" s="78" customFormat="1" ht="20.100000000000001" customHeight="1"/>
    <row r="237" s="78" customFormat="1" ht="20.100000000000001" customHeight="1"/>
    <row r="238" s="78" customFormat="1" ht="20.100000000000001" customHeight="1"/>
    <row r="239" s="78" customFormat="1" ht="20.100000000000001" customHeight="1"/>
    <row r="240" s="78" customFormat="1" ht="20.100000000000001" customHeight="1"/>
    <row r="241" s="78" customFormat="1" ht="20.100000000000001" customHeight="1"/>
    <row r="242" s="78" customFormat="1" ht="20.100000000000001" customHeight="1"/>
    <row r="243" s="78" customFormat="1" ht="20.100000000000001" customHeight="1"/>
    <row r="244" s="78" customFormat="1" ht="20.100000000000001" customHeight="1"/>
    <row r="245" s="78" customFormat="1" ht="20.100000000000001" customHeight="1"/>
    <row r="246" s="78" customFormat="1" ht="20.100000000000001" customHeight="1"/>
    <row r="247" s="78" customFormat="1" ht="20.100000000000001" customHeight="1"/>
    <row r="248" s="78" customFormat="1" ht="20.100000000000001" customHeight="1"/>
    <row r="249" s="78" customFormat="1" ht="20.100000000000001" customHeight="1"/>
    <row r="250" s="78" customFormat="1" ht="20.100000000000001" customHeight="1"/>
    <row r="251" s="78" customFormat="1" ht="20.100000000000001" customHeight="1"/>
    <row r="252" s="78" customFormat="1" ht="20.100000000000001" customHeight="1"/>
    <row r="253" s="78" customFormat="1" ht="20.100000000000001" customHeight="1"/>
    <row r="254" s="78" customFormat="1" ht="20.100000000000001" customHeight="1"/>
    <row r="255" s="78" customFormat="1" ht="20.100000000000001" customHeight="1"/>
    <row r="256" s="78" customFormat="1" ht="20.100000000000001" customHeight="1"/>
    <row r="257" s="78" customFormat="1" ht="20.100000000000001" customHeight="1"/>
    <row r="258" s="78" customFormat="1" ht="20.100000000000001" customHeight="1"/>
    <row r="259" s="78" customFormat="1" ht="20.100000000000001" customHeight="1"/>
    <row r="260" s="78" customFormat="1" ht="20.100000000000001" customHeight="1"/>
    <row r="261" s="78" customFormat="1" ht="20.100000000000001" customHeight="1"/>
    <row r="262" s="78" customFormat="1" ht="20.100000000000001" customHeight="1"/>
    <row r="263" s="78" customFormat="1" ht="20.100000000000001" customHeight="1"/>
    <row r="264" s="78" customFormat="1" ht="20.100000000000001" customHeight="1"/>
    <row r="265" s="78" customFormat="1" ht="20.100000000000001" customHeight="1"/>
    <row r="266" s="78" customFormat="1" ht="20.100000000000001" customHeight="1"/>
    <row r="267" s="78" customFormat="1" ht="20.100000000000001" customHeight="1"/>
    <row r="268" s="78" customFormat="1" ht="20.100000000000001" customHeight="1"/>
    <row r="269" s="78" customFormat="1" ht="20.100000000000001" customHeight="1"/>
    <row r="270" s="78" customFormat="1" ht="20.100000000000001" customHeight="1"/>
    <row r="271" s="78" customFormat="1" ht="20.100000000000001" customHeight="1"/>
    <row r="272" s="78" customFormat="1" ht="20.100000000000001" customHeight="1"/>
    <row r="273" s="78" customFormat="1" ht="20.100000000000001" customHeight="1"/>
    <row r="274" s="78" customFormat="1" ht="20.100000000000001" customHeight="1"/>
    <row r="275" s="78" customFormat="1" ht="20.100000000000001" customHeight="1"/>
    <row r="276" s="78" customFormat="1" ht="20.100000000000001" customHeight="1"/>
    <row r="277" s="78" customFormat="1" ht="20.100000000000001" customHeight="1"/>
    <row r="278" s="78" customFormat="1" ht="20.100000000000001" customHeight="1"/>
    <row r="279" s="78" customFormat="1" ht="20.100000000000001" customHeight="1"/>
    <row r="280" s="78" customFormat="1" ht="20.100000000000001" customHeight="1"/>
    <row r="281" s="78" customFormat="1" ht="20.100000000000001" customHeight="1"/>
    <row r="282" s="78" customFormat="1" ht="20.100000000000001" customHeight="1"/>
    <row r="283" s="78" customFormat="1" ht="20.100000000000001" customHeight="1"/>
    <row r="284" s="78" customFormat="1" ht="20.100000000000001" customHeight="1"/>
    <row r="285" s="78" customFormat="1" ht="20.100000000000001" customHeight="1"/>
    <row r="286" s="78" customFormat="1" ht="20.100000000000001" customHeight="1"/>
    <row r="287" s="78" customFormat="1" ht="20.100000000000001" customHeight="1"/>
    <row r="288" s="78" customFormat="1" ht="20.100000000000001" customHeight="1"/>
    <row r="289" s="78" customFormat="1" ht="20.100000000000001" customHeight="1"/>
    <row r="290" s="78" customFormat="1" ht="20.100000000000001" customHeight="1"/>
    <row r="291" s="78" customFormat="1" ht="20.100000000000001" customHeight="1"/>
    <row r="292" s="78" customFormat="1" ht="20.100000000000001" customHeight="1"/>
    <row r="293" s="78" customFormat="1" ht="20.100000000000001" customHeight="1"/>
    <row r="294" s="78" customFormat="1" ht="20.100000000000001" customHeight="1"/>
    <row r="295" s="78" customFormat="1" ht="20.100000000000001" customHeight="1"/>
    <row r="296" s="78" customFormat="1" ht="20.100000000000001" customHeight="1"/>
    <row r="297" s="78" customFormat="1" ht="20.100000000000001" customHeight="1"/>
    <row r="298" s="78" customFormat="1" ht="20.100000000000001" customHeight="1"/>
    <row r="299" s="78" customFormat="1" ht="20.100000000000001" customHeight="1"/>
    <row r="300" s="78" customFormat="1" ht="20.100000000000001" customHeight="1"/>
    <row r="301" s="78" customFormat="1" ht="20.100000000000001" customHeight="1"/>
    <row r="302" s="78" customFormat="1" ht="20.100000000000001" customHeight="1"/>
    <row r="303" s="78" customFormat="1" ht="20.100000000000001" customHeight="1"/>
    <row r="304" s="78" customFormat="1" ht="20.100000000000001" customHeight="1"/>
    <row r="305" s="78" customFormat="1" ht="20.100000000000001" customHeight="1"/>
    <row r="306" s="78" customFormat="1" ht="20.100000000000001" customHeight="1"/>
    <row r="307" s="78" customFormat="1" ht="20.100000000000001" customHeight="1"/>
    <row r="308" s="78" customFormat="1" ht="20.100000000000001" customHeight="1"/>
    <row r="309" s="78" customFormat="1" ht="20.100000000000001" customHeight="1"/>
    <row r="310" s="78" customFormat="1" ht="20.100000000000001" customHeight="1"/>
    <row r="311" s="78" customFormat="1" ht="20.100000000000001" customHeight="1"/>
    <row r="312" s="78" customFormat="1" ht="20.100000000000001" customHeight="1"/>
    <row r="313" s="78" customFormat="1" ht="20.100000000000001" customHeight="1"/>
    <row r="314" s="78" customFormat="1" ht="20.100000000000001" customHeight="1"/>
    <row r="315" s="78" customFormat="1" ht="20.100000000000001" customHeight="1"/>
    <row r="316" s="78" customFormat="1" ht="20.100000000000001" customHeight="1"/>
    <row r="317" s="78" customFormat="1" ht="20.100000000000001" customHeight="1"/>
    <row r="318" s="78" customFormat="1" ht="20.100000000000001" customHeight="1"/>
    <row r="319" s="78" customFormat="1" ht="20.100000000000001" customHeight="1"/>
    <row r="320" s="78" customFormat="1" ht="20.100000000000001" customHeight="1"/>
    <row r="321" s="78" customFormat="1" ht="20.100000000000001" customHeight="1"/>
    <row r="322" s="78" customFormat="1" ht="20.100000000000001" customHeight="1"/>
    <row r="323" s="78" customFormat="1" ht="20.100000000000001" customHeight="1"/>
    <row r="324" s="78" customFormat="1" ht="20.100000000000001" customHeight="1"/>
    <row r="325" s="78" customFormat="1" ht="20.100000000000001" customHeight="1"/>
    <row r="326" s="78" customFormat="1" ht="20.100000000000001" customHeight="1"/>
    <row r="327" s="78" customFormat="1" ht="20.100000000000001" customHeight="1"/>
    <row r="328" s="78" customFormat="1" ht="20.100000000000001" customHeight="1"/>
    <row r="329" s="78" customFormat="1" ht="20.100000000000001" customHeight="1"/>
    <row r="330" s="78" customFormat="1" ht="20.100000000000001" customHeight="1"/>
    <row r="331" s="78" customFormat="1" ht="20.100000000000001" customHeight="1"/>
    <row r="332" s="78" customFormat="1" ht="20.100000000000001" customHeight="1"/>
    <row r="333" s="78" customFormat="1" ht="20.100000000000001" customHeight="1"/>
    <row r="334" s="78" customFormat="1" ht="20.100000000000001" customHeight="1"/>
    <row r="335" s="78" customFormat="1" ht="20.100000000000001" customHeight="1"/>
    <row r="336" s="78" customFormat="1" ht="20.100000000000001" customHeight="1"/>
    <row r="337" s="78" customFormat="1" ht="20.100000000000001" customHeight="1"/>
    <row r="338" s="78" customFormat="1" ht="20.100000000000001" customHeight="1"/>
    <row r="339" s="78" customFormat="1" ht="20.100000000000001" customHeight="1"/>
    <row r="340" s="78" customFormat="1" ht="20.100000000000001" customHeight="1"/>
    <row r="341" s="78" customFormat="1" ht="20.100000000000001" customHeight="1"/>
    <row r="342" s="78" customFormat="1" ht="20.100000000000001" customHeight="1"/>
    <row r="343" s="78" customFormat="1" ht="20.100000000000001" customHeight="1"/>
    <row r="344" s="78" customFormat="1" ht="20.100000000000001" customHeight="1"/>
    <row r="345" s="78" customFormat="1" ht="20.100000000000001" customHeight="1"/>
    <row r="346" s="78" customFormat="1" ht="20.100000000000001" customHeight="1"/>
    <row r="347" s="78" customFormat="1" ht="20.100000000000001" customHeight="1"/>
    <row r="348" s="78" customFormat="1" ht="20.100000000000001" customHeight="1"/>
    <row r="349" s="78" customFormat="1" ht="20.100000000000001" customHeight="1"/>
    <row r="350" s="78" customFormat="1" ht="20.100000000000001" customHeight="1"/>
    <row r="351" s="78" customFormat="1" ht="20.100000000000001" customHeight="1"/>
    <row r="352" s="78" customFormat="1" ht="20.100000000000001" customHeight="1"/>
    <row r="353" s="78" customFormat="1" ht="20.100000000000001" customHeight="1"/>
    <row r="354" s="78" customFormat="1" ht="20.100000000000001" customHeight="1"/>
    <row r="355" s="78" customFormat="1" ht="20.100000000000001" customHeight="1"/>
    <row r="356" s="78" customFormat="1" ht="20.100000000000001" customHeight="1"/>
    <row r="357" s="78" customFormat="1" ht="20.100000000000001" customHeight="1"/>
    <row r="358" s="78" customFormat="1" ht="20.100000000000001" customHeight="1"/>
    <row r="359" s="78" customFormat="1" ht="20.100000000000001" customHeight="1"/>
    <row r="360" s="78" customFormat="1" ht="20.100000000000001" customHeight="1"/>
    <row r="361" s="78" customFormat="1" ht="20.100000000000001" customHeight="1"/>
    <row r="362" s="78" customFormat="1" ht="20.100000000000001" customHeight="1"/>
    <row r="363" s="78" customFormat="1" ht="20.100000000000001" customHeight="1"/>
    <row r="364" s="78" customFormat="1" ht="20.100000000000001" customHeight="1"/>
    <row r="365" s="78" customFormat="1" ht="20.100000000000001" customHeight="1"/>
    <row r="366" s="78" customFormat="1" ht="20.100000000000001" customHeight="1"/>
    <row r="367" s="78" customFormat="1" ht="20.100000000000001" customHeight="1"/>
    <row r="368" s="78" customFormat="1" ht="20.100000000000001" customHeight="1"/>
    <row r="369" s="78" customFormat="1" ht="20.100000000000001" customHeight="1"/>
    <row r="370" s="78" customFormat="1" ht="20.100000000000001" customHeight="1"/>
    <row r="371" s="78" customFormat="1" ht="20.100000000000001" customHeight="1"/>
    <row r="372" s="78" customFormat="1" ht="20.100000000000001" customHeight="1"/>
    <row r="373" s="78" customFormat="1" ht="20.100000000000001" customHeight="1"/>
    <row r="374" s="78" customFormat="1" ht="20.100000000000001" customHeight="1"/>
    <row r="375" s="78" customFormat="1" ht="20.100000000000001" customHeight="1"/>
    <row r="376" s="78" customFormat="1" ht="20.100000000000001" customHeight="1"/>
    <row r="377" s="78" customFormat="1" ht="20.100000000000001" customHeight="1"/>
    <row r="378" s="78" customFormat="1" ht="20.100000000000001" customHeight="1"/>
    <row r="379" s="78" customFormat="1" ht="20.100000000000001" customHeight="1"/>
    <row r="380" s="78" customFormat="1" ht="20.100000000000001" customHeight="1"/>
    <row r="381" s="78" customFormat="1" ht="20.100000000000001" customHeight="1"/>
    <row r="382" s="78" customFormat="1" ht="20.100000000000001" customHeight="1"/>
    <row r="383" s="78" customFormat="1" ht="20.100000000000001" customHeight="1"/>
    <row r="384" s="78" customFormat="1" ht="20.100000000000001" customHeight="1"/>
    <row r="385" s="78" customFormat="1" ht="20.100000000000001" customHeight="1"/>
    <row r="386" s="78" customFormat="1" ht="20.100000000000001" customHeight="1"/>
    <row r="387" s="78" customFormat="1" ht="20.100000000000001" customHeight="1"/>
    <row r="388" s="78" customFormat="1" ht="20.100000000000001" customHeight="1"/>
    <row r="389" s="78" customFormat="1" ht="20.100000000000001" customHeight="1"/>
    <row r="390" s="78" customFormat="1" ht="20.100000000000001" customHeight="1"/>
    <row r="391" s="78" customFormat="1" ht="20.100000000000001" customHeight="1"/>
    <row r="392" s="78" customFormat="1" ht="20.100000000000001" customHeight="1"/>
    <row r="393" s="78" customFormat="1" ht="20.100000000000001" customHeight="1"/>
    <row r="394" s="78" customFormat="1" ht="20.100000000000001" customHeight="1"/>
    <row r="395" s="78" customFormat="1" ht="20.100000000000001" customHeight="1"/>
    <row r="396" s="78" customFormat="1" ht="20.100000000000001" customHeight="1"/>
    <row r="397" s="78" customFormat="1" ht="20.100000000000001" customHeight="1"/>
    <row r="398" s="78" customFormat="1" ht="20.100000000000001" customHeight="1"/>
    <row r="399" s="78" customFormat="1" ht="20.100000000000001" customHeight="1"/>
    <row r="400" s="78" customFormat="1" ht="20.100000000000001" customHeight="1"/>
    <row r="401" s="78" customFormat="1" ht="20.100000000000001" customHeight="1"/>
    <row r="402" s="78" customFormat="1" ht="20.100000000000001" customHeight="1"/>
    <row r="403" s="78" customFormat="1" ht="20.100000000000001" customHeight="1"/>
    <row r="404" s="78" customFormat="1" ht="20.100000000000001" customHeight="1"/>
    <row r="405" s="78" customFormat="1" ht="20.100000000000001" customHeight="1"/>
    <row r="406" s="78" customFormat="1" ht="20.100000000000001" customHeight="1"/>
    <row r="407" s="78" customFormat="1" ht="20.100000000000001" customHeight="1"/>
    <row r="408" s="78" customFormat="1" ht="20.100000000000001" customHeight="1"/>
    <row r="409" s="78" customFormat="1" ht="20.100000000000001" customHeight="1"/>
    <row r="410" s="78" customFormat="1" ht="20.100000000000001" customHeight="1"/>
    <row r="411" s="78" customFormat="1" ht="20.100000000000001" customHeight="1"/>
    <row r="412" s="78" customFormat="1" ht="20.100000000000001" customHeight="1"/>
    <row r="413" s="78" customFormat="1" ht="20.100000000000001" customHeight="1"/>
    <row r="414" s="78" customFormat="1" ht="20.100000000000001" customHeight="1"/>
    <row r="415" s="78" customFormat="1" ht="20.100000000000001" customHeight="1"/>
    <row r="416" s="78" customFormat="1" ht="20.100000000000001" customHeight="1"/>
    <row r="417" s="78" customFormat="1" ht="20.100000000000001" customHeight="1"/>
    <row r="418" s="78" customFormat="1" ht="20.100000000000001" customHeight="1"/>
    <row r="419" s="78" customFormat="1" ht="20.100000000000001" customHeight="1"/>
    <row r="420" s="78" customFormat="1" ht="20.100000000000001" customHeight="1"/>
    <row r="421" s="78" customFormat="1" ht="20.100000000000001" customHeight="1"/>
    <row r="422" s="78" customFormat="1" ht="20.100000000000001" customHeight="1"/>
    <row r="423" s="78" customFormat="1" ht="20.100000000000001" customHeight="1"/>
    <row r="424" s="78" customFormat="1" ht="20.100000000000001" customHeight="1"/>
    <row r="425" s="78" customFormat="1" ht="20.100000000000001" customHeight="1"/>
    <row r="426" s="78" customFormat="1" ht="20.100000000000001" customHeight="1"/>
    <row r="427" s="78" customFormat="1" ht="20.100000000000001" customHeight="1"/>
    <row r="428" s="78" customFormat="1" ht="20.100000000000001" customHeight="1"/>
    <row r="429" s="78" customFormat="1" ht="20.100000000000001" customHeight="1"/>
    <row r="430" s="78" customFormat="1" ht="20.100000000000001" customHeight="1"/>
    <row r="431" s="78" customFormat="1" ht="20.100000000000001" customHeight="1"/>
    <row r="432" s="78" customFormat="1" ht="20.100000000000001" customHeight="1"/>
    <row r="433" s="78" customFormat="1" ht="20.100000000000001" customHeight="1"/>
    <row r="434" s="78" customFormat="1" ht="20.100000000000001" customHeight="1"/>
    <row r="435" s="78" customFormat="1" ht="20.100000000000001" customHeight="1"/>
    <row r="436" s="78" customFormat="1" ht="20.100000000000001" customHeight="1"/>
    <row r="437" s="78" customFormat="1" ht="20.100000000000001" customHeight="1"/>
    <row r="438" s="78" customFormat="1" ht="20.100000000000001" customHeight="1"/>
    <row r="439" s="78" customFormat="1" ht="20.100000000000001" customHeight="1"/>
    <row r="440" s="78" customFormat="1" ht="20.100000000000001" customHeight="1"/>
    <row r="441" s="78" customFormat="1" ht="20.100000000000001" customHeight="1"/>
    <row r="442" s="78" customFormat="1" ht="20.100000000000001" customHeight="1"/>
    <row r="443" s="78" customFormat="1" ht="20.100000000000001" customHeight="1"/>
    <row r="444" s="78" customFormat="1" ht="20.100000000000001" customHeight="1"/>
  </sheetData>
  <mergeCells count="2">
    <mergeCell ref="S10:S11"/>
    <mergeCell ref="AL10:AL11"/>
  </mergeCells>
  <phoneticPr fontId="2" type="noConversion"/>
  <pageMargins left="0.39370078740157483" right="0.39370078740157483" top="0.39370078740157483" bottom="0.39370078740157483" header="0" footer="0"/>
  <pageSetup paperSize="9" scale="86" orientation="landscape" r:id="rId1"/>
  <colBreaks count="1" manualBreakCount="1">
    <brk id="14" min="1" max="23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C2:AO483"/>
  <sheetViews>
    <sheetView topLeftCell="A31" workbookViewId="0"/>
  </sheetViews>
  <sheetFormatPr defaultRowHeight="20.100000000000001" customHeight="1" outlineLevelRow="1"/>
  <cols>
    <col min="3" max="3" width="12" customWidth="1"/>
    <col min="4" max="4" width="17.7109375" customWidth="1"/>
    <col min="5" max="40" width="12" customWidth="1"/>
    <col min="41" max="41" width="11.140625" customWidth="1"/>
    <col min="42" max="43" width="9.140625" customWidth="1"/>
  </cols>
  <sheetData>
    <row r="2" spans="3:18" ht="34.5" customHeight="1">
      <c r="C2" s="119" t="s">
        <v>84</v>
      </c>
      <c r="D2" s="119"/>
      <c r="E2" s="119"/>
      <c r="F2" s="119"/>
    </row>
    <row r="4" spans="3:18" ht="20.100000000000001" customHeight="1">
      <c r="C4" s="86" t="s">
        <v>55</v>
      </c>
      <c r="D4" s="86"/>
      <c r="E4" s="86"/>
      <c r="F4" s="86"/>
    </row>
    <row r="5" spans="3:18" ht="20.100000000000001" customHeight="1">
      <c r="C5" s="86" t="s">
        <v>215</v>
      </c>
      <c r="D5" s="86"/>
      <c r="E5" s="86"/>
      <c r="F5" s="86"/>
    </row>
    <row r="6" spans="3:18" ht="20.100000000000001" customHeight="1">
      <c r="C6" s="86" t="s">
        <v>301</v>
      </c>
      <c r="D6" s="86"/>
      <c r="E6" s="86"/>
      <c r="F6" s="86"/>
    </row>
    <row r="7" spans="3:18" ht="20.100000000000001" customHeight="1">
      <c r="C7" s="86" t="s">
        <v>223</v>
      </c>
      <c r="D7" s="86"/>
      <c r="E7" s="86"/>
      <c r="F7" s="86"/>
    </row>
    <row r="8" spans="3:18" ht="20.100000000000001" customHeight="1">
      <c r="C8" s="200" t="s">
        <v>221</v>
      </c>
      <c r="D8" s="200"/>
      <c r="E8" s="200"/>
      <c r="F8" s="200"/>
      <c r="G8" s="226"/>
      <c r="H8" s="226"/>
      <c r="I8" s="226"/>
      <c r="J8" s="226"/>
      <c r="K8" s="226"/>
      <c r="L8" s="226"/>
      <c r="M8" s="226"/>
      <c r="N8" s="226"/>
      <c r="O8" s="226"/>
      <c r="P8" s="226"/>
    </row>
    <row r="9" spans="3:18" ht="20.100000000000001" customHeight="1">
      <c r="C9" s="86" t="s">
        <v>302</v>
      </c>
      <c r="D9" s="86"/>
      <c r="E9" s="86"/>
      <c r="F9" s="86"/>
    </row>
    <row r="10" spans="3:18" ht="20.100000000000001" customHeight="1">
      <c r="C10" s="86" t="s">
        <v>267</v>
      </c>
      <c r="D10" s="86"/>
      <c r="E10" s="86"/>
      <c r="F10" s="86"/>
    </row>
    <row r="12" spans="3:18" ht="20.100000000000001" customHeight="1">
      <c r="C12" s="81" t="s">
        <v>251</v>
      </c>
    </row>
    <row r="13" spans="3:18" ht="20.100000000000001" customHeight="1">
      <c r="R13" t="s">
        <v>15</v>
      </c>
    </row>
    <row r="14" spans="3:18" ht="20.100000000000001" customHeight="1">
      <c r="C14" s="209" t="s">
        <v>224</v>
      </c>
    </row>
    <row r="15" spans="3:18" s="145" customFormat="1" ht="20.100000000000001" customHeight="1">
      <c r="C15" s="1352" t="s">
        <v>225</v>
      </c>
      <c r="D15" s="1352" t="s">
        <v>266</v>
      </c>
      <c r="E15" s="210" t="s">
        <v>226</v>
      </c>
      <c r="F15" s="210"/>
      <c r="G15" s="210" t="s">
        <v>229</v>
      </c>
      <c r="H15" s="210"/>
      <c r="I15" s="210"/>
      <c r="J15" s="223" t="s">
        <v>287</v>
      </c>
      <c r="K15" s="223"/>
      <c r="L15" s="223"/>
    </row>
    <row r="16" spans="3:18" s="145" customFormat="1" ht="20.100000000000001" customHeight="1">
      <c r="C16" s="1352"/>
      <c r="D16" s="1352"/>
      <c r="E16" s="211" t="s">
        <v>227</v>
      </c>
      <c r="F16" s="211" t="s">
        <v>228</v>
      </c>
      <c r="G16" s="211" t="s">
        <v>230</v>
      </c>
      <c r="H16" s="211" t="s">
        <v>231</v>
      </c>
      <c r="I16" s="211" t="s">
        <v>232</v>
      </c>
      <c r="J16" s="224" t="s">
        <v>255</v>
      </c>
      <c r="K16" s="224" t="s">
        <v>253</v>
      </c>
      <c r="L16" s="224" t="s">
        <v>254</v>
      </c>
    </row>
    <row r="17" spans="3:41" ht="20.100000000000001" customHeight="1">
      <c r="C17" s="145" t="s">
        <v>233</v>
      </c>
      <c r="D17" s="145" t="s">
        <v>47</v>
      </c>
      <c r="E17" s="145" t="s">
        <v>234</v>
      </c>
      <c r="F17" s="145" t="s">
        <v>252</v>
      </c>
      <c r="G17" s="145" t="s">
        <v>235</v>
      </c>
      <c r="H17" s="145" t="s">
        <v>236</v>
      </c>
      <c r="I17" s="145">
        <v>100</v>
      </c>
      <c r="J17" s="78">
        <v>1000</v>
      </c>
      <c r="K17" s="144">
        <v>990</v>
      </c>
      <c r="L17" s="225">
        <f>J17-K17</f>
        <v>10</v>
      </c>
    </row>
    <row r="19" spans="3:41" ht="20.100000000000001" customHeight="1">
      <c r="C19" s="209" t="s">
        <v>256</v>
      </c>
    </row>
    <row r="20" spans="3:41" s="145" customFormat="1" ht="20.100000000000001" customHeight="1">
      <c r="C20" s="1353" t="s">
        <v>237</v>
      </c>
      <c r="D20" s="215" t="s">
        <v>229</v>
      </c>
      <c r="E20" s="215"/>
      <c r="F20" s="215"/>
      <c r="G20" s="215" t="s">
        <v>238</v>
      </c>
      <c r="H20" s="215" t="s">
        <v>239</v>
      </c>
      <c r="I20" s="215"/>
      <c r="J20" s="215"/>
      <c r="K20" s="215"/>
      <c r="L20" s="215"/>
      <c r="M20" s="215"/>
      <c r="N20" s="215" t="s">
        <v>245</v>
      </c>
      <c r="O20" s="215"/>
      <c r="P20" s="215"/>
      <c r="Q20" s="215"/>
      <c r="R20" s="215"/>
      <c r="S20" s="215"/>
      <c r="T20" s="215"/>
      <c r="U20" s="215"/>
      <c r="V20" s="215" t="s">
        <v>250</v>
      </c>
    </row>
    <row r="21" spans="3:41" s="145" customFormat="1" ht="20.100000000000001" customHeight="1">
      <c r="C21" s="1353"/>
      <c r="D21" s="216" t="s">
        <v>230</v>
      </c>
      <c r="E21" s="216" t="s">
        <v>231</v>
      </c>
      <c r="F21" s="216" t="s">
        <v>232</v>
      </c>
      <c r="G21" s="216"/>
      <c r="H21" s="145" t="s">
        <v>240</v>
      </c>
      <c r="I21" s="145" t="s">
        <v>241</v>
      </c>
      <c r="J21" s="145" t="s">
        <v>242</v>
      </c>
      <c r="K21" s="145" t="s">
        <v>243</v>
      </c>
      <c r="L21" s="145" t="s">
        <v>244</v>
      </c>
      <c r="M21" s="216" t="s">
        <v>13</v>
      </c>
      <c r="N21" s="145" t="s">
        <v>47</v>
      </c>
      <c r="O21" s="145" t="s">
        <v>246</v>
      </c>
      <c r="P21" s="145" t="s">
        <v>247</v>
      </c>
      <c r="Q21" s="145" t="s">
        <v>248</v>
      </c>
      <c r="R21" s="145" t="s">
        <v>12</v>
      </c>
      <c r="S21" s="145" t="s">
        <v>21</v>
      </c>
      <c r="T21" s="145" t="s">
        <v>244</v>
      </c>
      <c r="U21" s="216" t="s">
        <v>249</v>
      </c>
      <c r="V21" s="216"/>
    </row>
    <row r="22" spans="3:41" ht="20.100000000000001" customHeight="1">
      <c r="C22" s="145" t="s">
        <v>234</v>
      </c>
      <c r="D22" s="145" t="s">
        <v>235</v>
      </c>
      <c r="E22" s="145" t="s">
        <v>236</v>
      </c>
      <c r="F22" s="145">
        <v>100</v>
      </c>
      <c r="G22" s="78">
        <v>10000</v>
      </c>
      <c r="H22" s="78">
        <v>2000</v>
      </c>
      <c r="I22" s="78"/>
      <c r="J22" s="78"/>
      <c r="K22" s="78"/>
      <c r="L22" s="78"/>
      <c r="M22" s="78">
        <f>SUM(H22:L22)</f>
        <v>2000</v>
      </c>
      <c r="N22" s="78">
        <v>1000</v>
      </c>
      <c r="O22" s="78"/>
      <c r="P22" s="78"/>
      <c r="Q22" s="78"/>
      <c r="R22" s="78"/>
      <c r="S22" s="78"/>
      <c r="T22" s="78"/>
      <c r="U22" s="78">
        <f>SUM(N22:T22)</f>
        <v>1000</v>
      </c>
      <c r="V22" s="78">
        <f>G22+M22-U22</f>
        <v>11000</v>
      </c>
    </row>
    <row r="24" spans="3:41" ht="20.100000000000001" customHeight="1">
      <c r="C24" s="209" t="s">
        <v>258</v>
      </c>
    </row>
    <row r="25" spans="3:41" s="144" customFormat="1" ht="20.100000000000001" customHeight="1">
      <c r="C25" s="202"/>
      <c r="D25" s="210" t="s">
        <v>229</v>
      </c>
      <c r="E25" s="210"/>
      <c r="F25" s="210"/>
      <c r="G25" s="100" t="s">
        <v>1</v>
      </c>
      <c r="H25" s="100"/>
      <c r="I25" s="100"/>
      <c r="J25" s="100" t="s">
        <v>5</v>
      </c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 t="s">
        <v>10</v>
      </c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 t="s">
        <v>222</v>
      </c>
      <c r="AN25" s="100"/>
      <c r="AO25" s="100"/>
    </row>
    <row r="26" spans="3:41" s="144" customFormat="1" ht="20.100000000000001" customHeight="1">
      <c r="C26" s="214" t="s">
        <v>226</v>
      </c>
      <c r="D26" s="211"/>
      <c r="E26" s="211"/>
      <c r="F26" s="211"/>
      <c r="G26" s="102" t="s">
        <v>303</v>
      </c>
      <c r="H26" s="102" t="s">
        <v>217</v>
      </c>
      <c r="I26" s="202" t="s">
        <v>216</v>
      </c>
      <c r="J26" s="99" t="s">
        <v>43</v>
      </c>
      <c r="K26" s="212" t="s">
        <v>29</v>
      </c>
      <c r="L26" s="212"/>
      <c r="M26" s="212"/>
      <c r="N26" s="212" t="s">
        <v>49</v>
      </c>
      <c r="O26" s="213"/>
      <c r="P26" s="213"/>
      <c r="Q26" s="99" t="s">
        <v>6</v>
      </c>
      <c r="R26" s="212" t="s">
        <v>7</v>
      </c>
      <c r="S26" s="212"/>
      <c r="T26" s="212"/>
      <c r="U26" s="1354" t="s">
        <v>13</v>
      </c>
      <c r="V26" s="99" t="s">
        <v>11</v>
      </c>
      <c r="W26" s="212" t="s">
        <v>48</v>
      </c>
      <c r="X26" s="213"/>
      <c r="Y26" s="213"/>
      <c r="Z26" s="213"/>
      <c r="AA26" s="213"/>
      <c r="AB26" s="99" t="s">
        <v>12</v>
      </c>
      <c r="AC26" s="212" t="s">
        <v>21</v>
      </c>
      <c r="AD26" s="212"/>
      <c r="AE26" s="212"/>
      <c r="AF26" s="212"/>
      <c r="AG26" s="212"/>
      <c r="AH26" s="212" t="s">
        <v>265</v>
      </c>
      <c r="AI26" s="212"/>
      <c r="AJ26" s="212"/>
      <c r="AK26" s="212"/>
      <c r="AL26" s="1354" t="s">
        <v>14</v>
      </c>
      <c r="AM26" s="102" t="s">
        <v>303</v>
      </c>
      <c r="AN26" s="102" t="s">
        <v>217</v>
      </c>
      <c r="AO26" s="202" t="s">
        <v>216</v>
      </c>
    </row>
    <row r="27" spans="3:41" s="144" customFormat="1" ht="20.100000000000001" customHeight="1">
      <c r="C27" s="202"/>
      <c r="D27" s="211" t="s">
        <v>230</v>
      </c>
      <c r="E27" s="211" t="s">
        <v>231</v>
      </c>
      <c r="F27" s="211" t="s">
        <v>232</v>
      </c>
      <c r="G27" s="102" t="s">
        <v>218</v>
      </c>
      <c r="H27" s="102" t="s">
        <v>219</v>
      </c>
      <c r="I27" s="202"/>
      <c r="J27" s="99" t="s">
        <v>42</v>
      </c>
      <c r="K27" s="102" t="s">
        <v>269</v>
      </c>
      <c r="L27" s="102" t="s">
        <v>211</v>
      </c>
      <c r="M27" s="99" t="s">
        <v>30</v>
      </c>
      <c r="N27" s="102" t="s">
        <v>213</v>
      </c>
      <c r="O27" s="102" t="s">
        <v>46</v>
      </c>
      <c r="P27" s="99" t="s">
        <v>30</v>
      </c>
      <c r="Q27" s="323"/>
      <c r="R27" s="102" t="s">
        <v>288</v>
      </c>
      <c r="S27" s="102" t="s">
        <v>38</v>
      </c>
      <c r="T27" s="99" t="s">
        <v>30</v>
      </c>
      <c r="U27" s="1354"/>
      <c r="V27" s="99"/>
      <c r="W27" s="102" t="s">
        <v>212</v>
      </c>
      <c r="X27" s="102" t="s">
        <v>45</v>
      </c>
      <c r="Y27" s="102" t="s">
        <v>270</v>
      </c>
      <c r="Z27" s="102" t="s">
        <v>52</v>
      </c>
      <c r="AA27" s="99" t="s">
        <v>30</v>
      </c>
      <c r="AB27" s="99"/>
      <c r="AC27" s="102" t="s">
        <v>33</v>
      </c>
      <c r="AD27" s="102" t="s">
        <v>34</v>
      </c>
      <c r="AE27" s="102" t="s">
        <v>35</v>
      </c>
      <c r="AF27" s="102" t="s">
        <v>36</v>
      </c>
      <c r="AG27" s="99" t="s">
        <v>30</v>
      </c>
      <c r="AH27" s="102" t="s">
        <v>37</v>
      </c>
      <c r="AI27" s="102" t="s">
        <v>214</v>
      </c>
      <c r="AJ27" s="102" t="s">
        <v>38</v>
      </c>
      <c r="AK27" s="99" t="s">
        <v>30</v>
      </c>
      <c r="AL27" s="1354"/>
      <c r="AM27" s="102" t="s">
        <v>261</v>
      </c>
      <c r="AN27" s="102" t="s">
        <v>259</v>
      </c>
      <c r="AO27" s="202" t="s">
        <v>260</v>
      </c>
    </row>
    <row r="28" spans="3:41" ht="20.100000000000001" customHeight="1">
      <c r="C28" s="145" t="s">
        <v>234</v>
      </c>
      <c r="D28" s="145" t="s">
        <v>235</v>
      </c>
      <c r="E28" s="145" t="s">
        <v>236</v>
      </c>
      <c r="F28" s="145">
        <v>100</v>
      </c>
      <c r="G28" s="78">
        <f>G22</f>
        <v>10000</v>
      </c>
      <c r="H28" s="78"/>
      <c r="I28" s="78">
        <f>G28+H28</f>
        <v>10000</v>
      </c>
      <c r="J28" s="78">
        <f>H22</f>
        <v>2000</v>
      </c>
      <c r="K28" s="78"/>
      <c r="L28" s="78"/>
      <c r="M28" s="78">
        <f>SUM(K28:L28)</f>
        <v>0</v>
      </c>
      <c r="N28" s="78">
        <f>J11</f>
        <v>0</v>
      </c>
      <c r="O28" s="78"/>
      <c r="P28" s="78">
        <f>SUM(N28:O28)</f>
        <v>0</v>
      </c>
      <c r="Q28" s="78"/>
      <c r="R28" s="78"/>
      <c r="S28" s="78"/>
      <c r="T28" s="78">
        <f>SUM(R28:S28)</f>
        <v>0</v>
      </c>
      <c r="U28" s="78">
        <f>J28+M28+P28+Q28+T28</f>
        <v>2000</v>
      </c>
      <c r="V28" s="78"/>
      <c r="W28" s="78">
        <f>K17</f>
        <v>990</v>
      </c>
      <c r="X28" s="78"/>
      <c r="Y28" s="78"/>
      <c r="Z28" s="78"/>
      <c r="AA28" s="78">
        <f>SUM(W28:Z28)</f>
        <v>990</v>
      </c>
      <c r="AB28" s="78"/>
      <c r="AC28" s="78"/>
      <c r="AD28" s="78"/>
      <c r="AE28" s="78"/>
      <c r="AF28" s="78"/>
      <c r="AG28" s="78">
        <f>SUM(AC28:AF28)</f>
        <v>0</v>
      </c>
      <c r="AH28" s="78"/>
      <c r="AI28" s="78"/>
      <c r="AJ28" s="78"/>
      <c r="AK28" s="78">
        <f>SUM(AH28:AJ28)</f>
        <v>0</v>
      </c>
      <c r="AL28" s="78">
        <f>V28+AA28+AB28+AG28+AK28</f>
        <v>990</v>
      </c>
      <c r="AM28" s="78">
        <f>AO28-AN28</f>
        <v>11000</v>
      </c>
      <c r="AN28" s="78">
        <f>L17</f>
        <v>10</v>
      </c>
      <c r="AO28" s="78">
        <f>I28+U28-AL28</f>
        <v>11010</v>
      </c>
    </row>
    <row r="30" spans="3:41" ht="20.100000000000001" customHeight="1">
      <c r="C30" s="209" t="s">
        <v>257</v>
      </c>
    </row>
    <row r="31" spans="3:41" s="144" customFormat="1" ht="20.100000000000001" customHeight="1">
      <c r="C31" s="202"/>
      <c r="D31" s="210" t="s">
        <v>229</v>
      </c>
      <c r="E31" s="210"/>
      <c r="F31" s="210"/>
      <c r="G31" s="100" t="s">
        <v>1</v>
      </c>
      <c r="H31" s="100"/>
      <c r="I31" s="100"/>
      <c r="J31" s="100" t="s">
        <v>5</v>
      </c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 t="s">
        <v>10</v>
      </c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 t="s">
        <v>222</v>
      </c>
      <c r="AN31" s="100"/>
      <c r="AO31" s="100"/>
    </row>
    <row r="32" spans="3:41" s="144" customFormat="1" ht="20.100000000000001" customHeight="1">
      <c r="C32" s="214" t="s">
        <v>226</v>
      </c>
      <c r="D32" s="211"/>
      <c r="E32" s="211"/>
      <c r="F32" s="211"/>
      <c r="G32" s="102" t="s">
        <v>303</v>
      </c>
      <c r="H32" s="102" t="s">
        <v>217</v>
      </c>
      <c r="I32" s="202" t="s">
        <v>216</v>
      </c>
      <c r="J32" s="99" t="s">
        <v>43</v>
      </c>
      <c r="K32" s="212" t="s">
        <v>29</v>
      </c>
      <c r="L32" s="212"/>
      <c r="M32" s="212"/>
      <c r="N32" s="212" t="s">
        <v>49</v>
      </c>
      <c r="O32" s="213"/>
      <c r="P32" s="213"/>
      <c r="Q32" s="99" t="s">
        <v>6</v>
      </c>
      <c r="R32" s="212" t="s">
        <v>7</v>
      </c>
      <c r="S32" s="212"/>
      <c r="T32" s="212"/>
      <c r="U32" s="1354" t="s">
        <v>13</v>
      </c>
      <c r="V32" s="99" t="s">
        <v>11</v>
      </c>
      <c r="W32" s="212" t="s">
        <v>48</v>
      </c>
      <c r="X32" s="213"/>
      <c r="Y32" s="213"/>
      <c r="Z32" s="213"/>
      <c r="AA32" s="213"/>
      <c r="AB32" s="99" t="s">
        <v>12</v>
      </c>
      <c r="AC32" s="212" t="s">
        <v>21</v>
      </c>
      <c r="AD32" s="212"/>
      <c r="AE32" s="212"/>
      <c r="AF32" s="212"/>
      <c r="AG32" s="212"/>
      <c r="AH32" s="212" t="s">
        <v>265</v>
      </c>
      <c r="AI32" s="212"/>
      <c r="AJ32" s="212"/>
      <c r="AK32" s="212"/>
      <c r="AL32" s="1354" t="s">
        <v>14</v>
      </c>
      <c r="AM32" s="102" t="s">
        <v>303</v>
      </c>
      <c r="AN32" s="102" t="s">
        <v>217</v>
      </c>
      <c r="AO32" s="202" t="s">
        <v>216</v>
      </c>
    </row>
    <row r="33" spans="3:41" s="144" customFormat="1" ht="20.100000000000001" customHeight="1">
      <c r="C33" s="202"/>
      <c r="D33" s="211" t="s">
        <v>230</v>
      </c>
      <c r="E33" s="211" t="s">
        <v>231</v>
      </c>
      <c r="F33" s="211" t="s">
        <v>232</v>
      </c>
      <c r="G33" s="102" t="s">
        <v>218</v>
      </c>
      <c r="H33" s="102" t="s">
        <v>219</v>
      </c>
      <c r="I33" s="202" t="s">
        <v>220</v>
      </c>
      <c r="J33" s="99" t="s">
        <v>42</v>
      </c>
      <c r="K33" s="102" t="s">
        <v>269</v>
      </c>
      <c r="L33" s="102" t="s">
        <v>211</v>
      </c>
      <c r="M33" s="99" t="s">
        <v>30</v>
      </c>
      <c r="N33" s="102" t="s">
        <v>213</v>
      </c>
      <c r="O33" s="102" t="s">
        <v>46</v>
      </c>
      <c r="P33" s="99" t="s">
        <v>30</v>
      </c>
      <c r="Q33" s="323"/>
      <c r="R33" s="102" t="s">
        <v>288</v>
      </c>
      <c r="S33" s="102" t="s">
        <v>38</v>
      </c>
      <c r="T33" s="99" t="s">
        <v>30</v>
      </c>
      <c r="U33" s="1354"/>
      <c r="V33" s="99"/>
      <c r="W33" s="102" t="s">
        <v>212</v>
      </c>
      <c r="X33" s="102" t="s">
        <v>45</v>
      </c>
      <c r="Y33" s="102" t="s">
        <v>270</v>
      </c>
      <c r="Z33" s="102" t="s">
        <v>52</v>
      </c>
      <c r="AA33" s="99" t="s">
        <v>30</v>
      </c>
      <c r="AB33" s="99"/>
      <c r="AC33" s="102" t="s">
        <v>33</v>
      </c>
      <c r="AD33" s="102" t="s">
        <v>34</v>
      </c>
      <c r="AE33" s="102" t="s">
        <v>35</v>
      </c>
      <c r="AF33" s="102" t="s">
        <v>36</v>
      </c>
      <c r="AG33" s="99" t="s">
        <v>30</v>
      </c>
      <c r="AH33" s="102" t="s">
        <v>37</v>
      </c>
      <c r="AI33" s="102" t="s">
        <v>214</v>
      </c>
      <c r="AJ33" s="102" t="s">
        <v>38</v>
      </c>
      <c r="AK33" s="99" t="s">
        <v>30</v>
      </c>
      <c r="AL33" s="1354"/>
      <c r="AM33" s="102" t="s">
        <v>261</v>
      </c>
      <c r="AN33" s="102" t="s">
        <v>259</v>
      </c>
      <c r="AO33" s="202" t="s">
        <v>260</v>
      </c>
    </row>
    <row r="34" spans="3:41" ht="20.100000000000001" customHeight="1">
      <c r="C34" s="145" t="s">
        <v>252</v>
      </c>
      <c r="D34" s="145" t="s">
        <v>235</v>
      </c>
      <c r="E34" s="145" t="s">
        <v>236</v>
      </c>
      <c r="F34" s="145">
        <v>100</v>
      </c>
      <c r="G34" s="78"/>
      <c r="H34" s="78"/>
      <c r="I34" s="78">
        <f>G34+H34</f>
        <v>0</v>
      </c>
      <c r="J34" s="78"/>
      <c r="K34" s="78"/>
      <c r="L34" s="78"/>
      <c r="M34" s="78">
        <f>SUM(K34:L34)</f>
        <v>0</v>
      </c>
      <c r="N34" s="78">
        <f>K17</f>
        <v>990</v>
      </c>
      <c r="O34" s="78"/>
      <c r="P34" s="78">
        <f>SUM(N34:O34)</f>
        <v>990</v>
      </c>
      <c r="Q34" s="78"/>
      <c r="R34" s="78"/>
      <c r="S34" s="78"/>
      <c r="T34" s="78">
        <f>SUM(R34:S34)</f>
        <v>0</v>
      </c>
      <c r="U34" s="78">
        <f>J34+M34+P34+Q34+T34</f>
        <v>990</v>
      </c>
      <c r="V34" s="78"/>
      <c r="W34" s="78"/>
      <c r="X34" s="78"/>
      <c r="Y34" s="78"/>
      <c r="Z34" s="78"/>
      <c r="AA34" s="78">
        <f>SUM(W34:Z34)</f>
        <v>0</v>
      </c>
      <c r="AB34" s="78"/>
      <c r="AC34" s="78"/>
      <c r="AD34" s="78"/>
      <c r="AE34" s="78"/>
      <c r="AF34" s="78"/>
      <c r="AG34" s="78">
        <f>SUM(AC34:AF34)</f>
        <v>0</v>
      </c>
      <c r="AH34" s="78"/>
      <c r="AI34" s="78"/>
      <c r="AJ34" s="78"/>
      <c r="AK34" s="78">
        <f>SUM(AH34:AJ34)</f>
        <v>0</v>
      </c>
      <c r="AL34" s="78">
        <f>V34+AA34+AB34+AG34+AK34</f>
        <v>0</v>
      </c>
      <c r="AM34" s="78">
        <f>AO34-AN34</f>
        <v>990</v>
      </c>
      <c r="AN34" s="78"/>
      <c r="AO34" s="78">
        <f>I34+U34-AL34</f>
        <v>990</v>
      </c>
    </row>
    <row r="36" spans="3:41" ht="20.100000000000001" customHeight="1">
      <c r="C36" s="209" t="s">
        <v>262</v>
      </c>
    </row>
    <row r="37" spans="3:41" s="144" customFormat="1" ht="20.100000000000001" customHeight="1">
      <c r="C37" s="217"/>
      <c r="D37" s="215" t="s">
        <v>229</v>
      </c>
      <c r="E37" s="215"/>
      <c r="F37" s="215"/>
      <c r="G37" s="219" t="s">
        <v>1</v>
      </c>
      <c r="H37" s="219"/>
      <c r="I37" s="219"/>
      <c r="J37" s="219" t="s">
        <v>5</v>
      </c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 t="s">
        <v>10</v>
      </c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  <c r="AG37" s="219"/>
      <c r="AH37" s="219"/>
      <c r="AI37" s="219"/>
      <c r="AJ37" s="219"/>
      <c r="AK37" s="219"/>
      <c r="AL37" s="219"/>
      <c r="AM37" s="219" t="s">
        <v>222</v>
      </c>
      <c r="AN37" s="219"/>
      <c r="AO37" s="219"/>
    </row>
    <row r="38" spans="3:41" s="144" customFormat="1" ht="20.100000000000001" customHeight="1">
      <c r="C38" s="218" t="s">
        <v>226</v>
      </c>
      <c r="D38" s="216"/>
      <c r="E38" s="216"/>
      <c r="F38" s="216"/>
      <c r="G38" s="102" t="s">
        <v>303</v>
      </c>
      <c r="H38" s="102" t="s">
        <v>217</v>
      </c>
      <c r="I38" s="217" t="s">
        <v>216</v>
      </c>
      <c r="J38" s="220" t="s">
        <v>43</v>
      </c>
      <c r="K38" s="221" t="s">
        <v>29</v>
      </c>
      <c r="L38" s="221"/>
      <c r="M38" s="221"/>
      <c r="N38" s="221" t="s">
        <v>49</v>
      </c>
      <c r="O38" s="222"/>
      <c r="P38" s="222"/>
      <c r="Q38" s="220" t="s">
        <v>6</v>
      </c>
      <c r="R38" s="221" t="s">
        <v>7</v>
      </c>
      <c r="S38" s="221"/>
      <c r="T38" s="221"/>
      <c r="U38" s="1355" t="s">
        <v>13</v>
      </c>
      <c r="V38" s="220" t="s">
        <v>11</v>
      </c>
      <c r="W38" s="221" t="s">
        <v>48</v>
      </c>
      <c r="X38" s="222"/>
      <c r="Y38" s="222"/>
      <c r="Z38" s="222"/>
      <c r="AA38" s="222"/>
      <c r="AB38" s="220" t="s">
        <v>12</v>
      </c>
      <c r="AC38" s="221" t="s">
        <v>21</v>
      </c>
      <c r="AD38" s="221"/>
      <c r="AE38" s="221"/>
      <c r="AF38" s="221"/>
      <c r="AG38" s="221"/>
      <c r="AH38" s="221" t="s">
        <v>264</v>
      </c>
      <c r="AI38" s="221"/>
      <c r="AJ38" s="221"/>
      <c r="AK38" s="221"/>
      <c r="AL38" s="1355" t="s">
        <v>14</v>
      </c>
      <c r="AM38" s="102" t="s">
        <v>303</v>
      </c>
      <c r="AN38" s="102" t="s">
        <v>217</v>
      </c>
      <c r="AO38" s="217" t="s">
        <v>216</v>
      </c>
    </row>
    <row r="39" spans="3:41" s="144" customFormat="1" ht="20.100000000000001" customHeight="1">
      <c r="C39" s="217"/>
      <c r="D39" s="216" t="s">
        <v>230</v>
      </c>
      <c r="E39" s="216" t="s">
        <v>231</v>
      </c>
      <c r="F39" s="216" t="s">
        <v>232</v>
      </c>
      <c r="G39" s="102"/>
      <c r="H39" s="102"/>
      <c r="I39" s="217"/>
      <c r="J39" s="220" t="s">
        <v>42</v>
      </c>
      <c r="K39" s="102" t="s">
        <v>269</v>
      </c>
      <c r="L39" s="102" t="s">
        <v>211</v>
      </c>
      <c r="M39" s="220" t="s">
        <v>30</v>
      </c>
      <c r="N39" s="102" t="s">
        <v>213</v>
      </c>
      <c r="O39" s="102" t="s">
        <v>46</v>
      </c>
      <c r="P39" s="220" t="s">
        <v>30</v>
      </c>
      <c r="Q39" s="220"/>
      <c r="R39" s="102" t="s">
        <v>288</v>
      </c>
      <c r="S39" s="102" t="s">
        <v>38</v>
      </c>
      <c r="T39" s="220" t="s">
        <v>30</v>
      </c>
      <c r="U39" s="1355"/>
      <c r="V39" s="220"/>
      <c r="W39" s="102" t="s">
        <v>212</v>
      </c>
      <c r="X39" s="102" t="s">
        <v>45</v>
      </c>
      <c r="Y39" s="102" t="s">
        <v>270</v>
      </c>
      <c r="Z39" s="102" t="s">
        <v>52</v>
      </c>
      <c r="AA39" s="220" t="s">
        <v>30</v>
      </c>
      <c r="AB39" s="220"/>
      <c r="AC39" s="102" t="s">
        <v>33</v>
      </c>
      <c r="AD39" s="102" t="s">
        <v>34</v>
      </c>
      <c r="AE39" s="102" t="s">
        <v>35</v>
      </c>
      <c r="AF39" s="102" t="s">
        <v>36</v>
      </c>
      <c r="AG39" s="220" t="s">
        <v>30</v>
      </c>
      <c r="AH39" s="102" t="s">
        <v>37</v>
      </c>
      <c r="AI39" s="102" t="s">
        <v>214</v>
      </c>
      <c r="AJ39" s="102" t="s">
        <v>38</v>
      </c>
      <c r="AK39" s="220" t="s">
        <v>30</v>
      </c>
      <c r="AL39" s="1355"/>
      <c r="AM39" s="102"/>
      <c r="AN39" s="102"/>
      <c r="AO39" s="217"/>
    </row>
    <row r="40" spans="3:41" ht="20.100000000000001" customHeight="1">
      <c r="C40" s="145" t="s">
        <v>263</v>
      </c>
      <c r="D40" s="145" t="s">
        <v>235</v>
      </c>
      <c r="E40" s="145" t="s">
        <v>236</v>
      </c>
      <c r="F40" s="145">
        <v>100</v>
      </c>
      <c r="G40" s="78">
        <f>G34+G28</f>
        <v>10000</v>
      </c>
      <c r="H40" s="78">
        <f>H34+H28</f>
        <v>0</v>
      </c>
      <c r="I40" s="78">
        <f>G40+H40</f>
        <v>10000</v>
      </c>
      <c r="J40" s="78">
        <f>J34+J28</f>
        <v>2000</v>
      </c>
      <c r="K40" s="78">
        <f>K34+K28</f>
        <v>0</v>
      </c>
      <c r="L40" s="78">
        <f>L34+L28</f>
        <v>0</v>
      </c>
      <c r="M40" s="78">
        <f>SUM(K40:L40)</f>
        <v>0</v>
      </c>
      <c r="N40" s="78">
        <f>N34+N28</f>
        <v>990</v>
      </c>
      <c r="O40" s="78">
        <f>O34+O28</f>
        <v>0</v>
      </c>
      <c r="P40" s="78">
        <f>SUM(N40:O40)</f>
        <v>990</v>
      </c>
      <c r="Q40" s="78">
        <f>Q34+Q28</f>
        <v>0</v>
      </c>
      <c r="R40" s="78">
        <f>R34+R28</f>
        <v>0</v>
      </c>
      <c r="S40" s="78">
        <f>S34+S28</f>
        <v>0</v>
      </c>
      <c r="T40" s="78">
        <f>SUM(R40:S40)</f>
        <v>0</v>
      </c>
      <c r="U40" s="78">
        <f>J40+M40+P40+Q40+T40</f>
        <v>2990</v>
      </c>
      <c r="V40" s="78">
        <f>V34+V28</f>
        <v>0</v>
      </c>
      <c r="W40" s="78">
        <f>W34+W28</f>
        <v>990</v>
      </c>
      <c r="X40" s="78">
        <f>X34+X28</f>
        <v>0</v>
      </c>
      <c r="Y40" s="78">
        <f>Y34+Y28</f>
        <v>0</v>
      </c>
      <c r="Z40" s="78">
        <f>Z34+Z28</f>
        <v>0</v>
      </c>
      <c r="AA40" s="78">
        <f>SUM(W40:Z40)</f>
        <v>990</v>
      </c>
      <c r="AB40" s="78">
        <f>AB34+AB28</f>
        <v>0</v>
      </c>
      <c r="AC40" s="78">
        <f>AC34+AC28</f>
        <v>0</v>
      </c>
      <c r="AD40" s="78">
        <f>AD34+AD28</f>
        <v>0</v>
      </c>
      <c r="AE40" s="78">
        <f>AE34+AE28</f>
        <v>0</v>
      </c>
      <c r="AF40" s="78">
        <f>AF34+AF28</f>
        <v>0</v>
      </c>
      <c r="AG40" s="78">
        <f>SUM(AC40:AF40)</f>
        <v>0</v>
      </c>
      <c r="AH40" s="78">
        <f>AH34+AH28</f>
        <v>0</v>
      </c>
      <c r="AI40" s="78">
        <f>AI34+AI28</f>
        <v>0</v>
      </c>
      <c r="AJ40" s="78">
        <f>AJ34+AJ28</f>
        <v>0</v>
      </c>
      <c r="AK40" s="78">
        <f>SUM(AH40:AJ40)</f>
        <v>0</v>
      </c>
      <c r="AL40" s="78">
        <f>V40+AA40+AB40+AG40+AK40</f>
        <v>990</v>
      </c>
      <c r="AM40" s="78">
        <f>AM34+AM28</f>
        <v>11990</v>
      </c>
      <c r="AN40" s="78">
        <f>AN34+AN28</f>
        <v>10</v>
      </c>
      <c r="AO40" s="78">
        <f>I40+U40-AL40</f>
        <v>12000</v>
      </c>
    </row>
    <row r="46" spans="3:41" s="79" customFormat="1" ht="20.100000000000001" customHeight="1">
      <c r="C46" s="96"/>
      <c r="D46" s="96"/>
      <c r="E46" s="96"/>
      <c r="F46" s="107"/>
      <c r="G46" s="108" t="s">
        <v>1</v>
      </c>
      <c r="H46" s="100"/>
      <c r="I46" s="204"/>
      <c r="J46" s="108" t="s">
        <v>5</v>
      </c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9"/>
      <c r="V46" s="108" t="s">
        <v>10</v>
      </c>
      <c r="W46" s="100"/>
      <c r="X46" s="101"/>
      <c r="Y46" s="100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9"/>
      <c r="AM46" s="108" t="s">
        <v>222</v>
      </c>
      <c r="AN46" s="100"/>
      <c r="AO46" s="204"/>
    </row>
    <row r="47" spans="3:41" s="79" customFormat="1" ht="20.100000000000001" customHeight="1">
      <c r="C47" s="100" t="s">
        <v>57</v>
      </c>
      <c r="D47" s="100"/>
      <c r="E47" s="100"/>
      <c r="F47" s="208" t="s">
        <v>58</v>
      </c>
      <c r="G47" s="205" t="s">
        <v>303</v>
      </c>
      <c r="H47" s="102" t="s">
        <v>217</v>
      </c>
      <c r="I47" s="203" t="s">
        <v>216</v>
      </c>
      <c r="J47" s="110" t="s">
        <v>43</v>
      </c>
      <c r="K47" s="112" t="s">
        <v>29</v>
      </c>
      <c r="L47" s="112"/>
      <c r="M47" s="113"/>
      <c r="N47" s="112" t="s">
        <v>49</v>
      </c>
      <c r="O47" s="116"/>
      <c r="P47" s="117"/>
      <c r="Q47" s="118" t="s">
        <v>6</v>
      </c>
      <c r="R47" s="112" t="s">
        <v>7</v>
      </c>
      <c r="S47" s="112"/>
      <c r="T47" s="113"/>
      <c r="U47" s="1179" t="s">
        <v>13</v>
      </c>
      <c r="V47" s="110" t="s">
        <v>11</v>
      </c>
      <c r="W47" s="112" t="s">
        <v>48</v>
      </c>
      <c r="X47" s="116"/>
      <c r="Y47" s="115"/>
      <c r="Z47" s="116"/>
      <c r="AA47" s="117"/>
      <c r="AB47" s="118" t="s">
        <v>12</v>
      </c>
      <c r="AC47" s="112" t="s">
        <v>21</v>
      </c>
      <c r="AD47" s="112"/>
      <c r="AE47" s="112"/>
      <c r="AF47" s="112"/>
      <c r="AG47" s="113"/>
      <c r="AH47" s="112" t="s">
        <v>40</v>
      </c>
      <c r="AI47" s="112"/>
      <c r="AJ47" s="112"/>
      <c r="AK47" s="113"/>
      <c r="AL47" s="1179" t="s">
        <v>14</v>
      </c>
      <c r="AM47" s="205" t="s">
        <v>303</v>
      </c>
      <c r="AN47" s="102" t="s">
        <v>217</v>
      </c>
      <c r="AO47" s="203" t="s">
        <v>216</v>
      </c>
    </row>
    <row r="48" spans="3:41" s="79" customFormat="1" ht="20.100000000000001" customHeight="1">
      <c r="C48" s="96"/>
      <c r="D48" s="96"/>
      <c r="E48" s="96"/>
      <c r="F48" s="107"/>
      <c r="G48" s="206" t="s">
        <v>218</v>
      </c>
      <c r="H48" s="102" t="s">
        <v>219</v>
      </c>
      <c r="I48" s="207" t="s">
        <v>220</v>
      </c>
      <c r="J48" s="111" t="s">
        <v>42</v>
      </c>
      <c r="K48" s="102" t="s">
        <v>268</v>
      </c>
      <c r="L48" s="102" t="s">
        <v>54</v>
      </c>
      <c r="M48" s="114" t="s">
        <v>30</v>
      </c>
      <c r="N48" s="102" t="s">
        <v>213</v>
      </c>
      <c r="O48" s="103" t="s">
        <v>46</v>
      </c>
      <c r="P48" s="114" t="s">
        <v>30</v>
      </c>
      <c r="Q48" s="114"/>
      <c r="R48" s="102" t="s">
        <v>288</v>
      </c>
      <c r="S48" s="102" t="s">
        <v>38</v>
      </c>
      <c r="T48" s="114" t="s">
        <v>30</v>
      </c>
      <c r="U48" s="1179"/>
      <c r="V48" s="111"/>
      <c r="W48" s="103" t="s">
        <v>212</v>
      </c>
      <c r="X48" s="102" t="s">
        <v>45</v>
      </c>
      <c r="Y48" s="102" t="s">
        <v>270</v>
      </c>
      <c r="Z48" s="102" t="s">
        <v>52</v>
      </c>
      <c r="AA48" s="114" t="s">
        <v>30</v>
      </c>
      <c r="AB48" s="114"/>
      <c r="AC48" s="103" t="s">
        <v>33</v>
      </c>
      <c r="AD48" s="102" t="s">
        <v>34</v>
      </c>
      <c r="AE48" s="102" t="s">
        <v>35</v>
      </c>
      <c r="AF48" s="102" t="s">
        <v>36</v>
      </c>
      <c r="AG48" s="114" t="s">
        <v>30</v>
      </c>
      <c r="AH48" s="102" t="s">
        <v>37</v>
      </c>
      <c r="AI48" s="102" t="s">
        <v>214</v>
      </c>
      <c r="AJ48" s="102" t="s">
        <v>38</v>
      </c>
      <c r="AK48" s="114" t="s">
        <v>30</v>
      </c>
      <c r="AL48" s="1179"/>
      <c r="AM48" s="206"/>
      <c r="AN48" s="102"/>
      <c r="AO48" s="207"/>
    </row>
    <row r="49" spans="3:41" s="78" customFormat="1" ht="20.100000000000001" hidden="1" customHeight="1" outlineLevel="1">
      <c r="M49" s="78">
        <f t="shared" ref="M49:M54" si="0">SUM(K49:L49)</f>
        <v>0</v>
      </c>
      <c r="P49" s="78">
        <f t="shared" ref="P49:P54" si="1">SUM(N49:O49)</f>
        <v>0</v>
      </c>
      <c r="T49" s="78">
        <f t="shared" ref="T49:T54" si="2">SUM(R49:S49)</f>
        <v>0</v>
      </c>
      <c r="U49" s="78">
        <f t="shared" ref="U49:U54" si="3">J49+M49+P49+Q49+T49</f>
        <v>0</v>
      </c>
      <c r="AA49" s="78">
        <f t="shared" ref="AA49:AA54" si="4">SUM(W49:Z49)</f>
        <v>0</v>
      </c>
      <c r="AG49" s="78">
        <f t="shared" ref="AG49:AG54" si="5">SUM(AC49:AF49)</f>
        <v>0</v>
      </c>
      <c r="AK49" s="78">
        <f t="shared" ref="AK49:AK54" si="6">SUM(AH49:AJ49)</f>
        <v>0</v>
      </c>
      <c r="AL49" s="78">
        <f t="shared" ref="AL49:AL54" si="7">V49+AA49+AB49+AG49+AK49</f>
        <v>0</v>
      </c>
      <c r="AM49" s="78">
        <f t="shared" ref="AM49:AM54" si="8">G49+U49-AL49</f>
        <v>0</v>
      </c>
    </row>
    <row r="50" spans="3:41" s="78" customFormat="1" ht="20.100000000000001" hidden="1" customHeight="1" outlineLevel="1">
      <c r="M50" s="78">
        <f t="shared" si="0"/>
        <v>0</v>
      </c>
      <c r="P50" s="78">
        <f t="shared" si="1"/>
        <v>0</v>
      </c>
      <c r="T50" s="78">
        <f t="shared" si="2"/>
        <v>0</v>
      </c>
      <c r="U50" s="78">
        <f t="shared" si="3"/>
        <v>0</v>
      </c>
      <c r="AA50" s="78">
        <f t="shared" si="4"/>
        <v>0</v>
      </c>
      <c r="AG50" s="78">
        <f t="shared" si="5"/>
        <v>0</v>
      </c>
      <c r="AK50" s="78">
        <f t="shared" si="6"/>
        <v>0</v>
      </c>
      <c r="AL50" s="78">
        <f t="shared" si="7"/>
        <v>0</v>
      </c>
      <c r="AM50" s="78">
        <f t="shared" si="8"/>
        <v>0</v>
      </c>
    </row>
    <row r="51" spans="3:41" s="78" customFormat="1" ht="20.100000000000001" hidden="1" customHeight="1" outlineLevel="1">
      <c r="M51" s="78">
        <f t="shared" si="0"/>
        <v>0</v>
      </c>
      <c r="P51" s="78">
        <f t="shared" si="1"/>
        <v>0</v>
      </c>
      <c r="T51" s="78">
        <f t="shared" si="2"/>
        <v>0</v>
      </c>
      <c r="U51" s="78">
        <f t="shared" si="3"/>
        <v>0</v>
      </c>
      <c r="AA51" s="78">
        <f t="shared" si="4"/>
        <v>0</v>
      </c>
      <c r="AG51" s="78">
        <f t="shared" si="5"/>
        <v>0</v>
      </c>
      <c r="AK51" s="78">
        <f t="shared" si="6"/>
        <v>0</v>
      </c>
      <c r="AL51" s="78">
        <f t="shared" si="7"/>
        <v>0</v>
      </c>
      <c r="AM51" s="78">
        <f t="shared" si="8"/>
        <v>0</v>
      </c>
    </row>
    <row r="52" spans="3:41" s="78" customFormat="1" ht="20.100000000000001" hidden="1" customHeight="1" outlineLevel="1">
      <c r="M52" s="78">
        <f t="shared" si="0"/>
        <v>0</v>
      </c>
      <c r="P52" s="78">
        <f t="shared" si="1"/>
        <v>0</v>
      </c>
      <c r="T52" s="78">
        <f t="shared" si="2"/>
        <v>0</v>
      </c>
      <c r="U52" s="78">
        <f t="shared" si="3"/>
        <v>0</v>
      </c>
      <c r="AA52" s="78">
        <f t="shared" si="4"/>
        <v>0</v>
      </c>
      <c r="AG52" s="78">
        <f t="shared" si="5"/>
        <v>0</v>
      </c>
      <c r="AK52" s="78">
        <f t="shared" si="6"/>
        <v>0</v>
      </c>
      <c r="AL52" s="78">
        <f t="shared" si="7"/>
        <v>0</v>
      </c>
      <c r="AM52" s="78">
        <f t="shared" si="8"/>
        <v>0</v>
      </c>
    </row>
    <row r="53" spans="3:41" s="78" customFormat="1" ht="20.100000000000001" hidden="1" customHeight="1" outlineLevel="1">
      <c r="M53" s="78">
        <f t="shared" si="0"/>
        <v>0</v>
      </c>
      <c r="P53" s="78">
        <f t="shared" si="1"/>
        <v>0</v>
      </c>
      <c r="T53" s="78">
        <f t="shared" si="2"/>
        <v>0</v>
      </c>
      <c r="U53" s="78">
        <f t="shared" si="3"/>
        <v>0</v>
      </c>
      <c r="AA53" s="78">
        <f t="shared" si="4"/>
        <v>0</v>
      </c>
      <c r="AG53" s="78">
        <f t="shared" si="5"/>
        <v>0</v>
      </c>
      <c r="AK53" s="78">
        <f t="shared" si="6"/>
        <v>0</v>
      </c>
      <c r="AL53" s="78">
        <f t="shared" si="7"/>
        <v>0</v>
      </c>
      <c r="AM53" s="78">
        <f t="shared" si="8"/>
        <v>0</v>
      </c>
    </row>
    <row r="54" spans="3:41" s="78" customFormat="1" ht="20.100000000000001" hidden="1" customHeight="1" outlineLevel="1">
      <c r="M54" s="78">
        <f t="shared" si="0"/>
        <v>0</v>
      </c>
      <c r="P54" s="78">
        <f t="shared" si="1"/>
        <v>0</v>
      </c>
      <c r="T54" s="78">
        <f t="shared" si="2"/>
        <v>0</v>
      </c>
      <c r="U54" s="78">
        <f t="shared" si="3"/>
        <v>0</v>
      </c>
      <c r="AA54" s="78">
        <f t="shared" si="4"/>
        <v>0</v>
      </c>
      <c r="AG54" s="78">
        <f t="shared" si="5"/>
        <v>0</v>
      </c>
      <c r="AK54" s="78">
        <f t="shared" si="6"/>
        <v>0</v>
      </c>
      <c r="AL54" s="78">
        <f t="shared" si="7"/>
        <v>0</v>
      </c>
      <c r="AM54" s="78">
        <f t="shared" si="8"/>
        <v>0</v>
      </c>
    </row>
    <row r="55" spans="3:41" s="78" customFormat="1" ht="20.100000000000001" customHeight="1" collapsed="1"/>
    <row r="56" spans="3:41" s="78" customFormat="1" ht="20.100000000000001" customHeight="1">
      <c r="C56" s="81" t="s">
        <v>71</v>
      </c>
      <c r="D56" s="81"/>
      <c r="E56" s="81"/>
      <c r="F56" s="104" t="s">
        <v>62</v>
      </c>
      <c r="G56" s="324">
        <f>AM49</f>
        <v>0</v>
      </c>
      <c r="H56" s="324">
        <f>AN49</f>
        <v>0</v>
      </c>
      <c r="I56" s="324">
        <f>SUM(G56:H56)</f>
        <v>0</v>
      </c>
      <c r="J56" s="324"/>
      <c r="K56" s="324"/>
      <c r="L56" s="324"/>
      <c r="M56" s="324">
        <f t="shared" ref="M56:M61" si="9">SUM(K56:L56)</f>
        <v>0</v>
      </c>
      <c r="N56" s="324"/>
      <c r="O56" s="324"/>
      <c r="P56" s="324">
        <f t="shared" ref="P56:P61" si="10">SUM(N56:O56)</f>
        <v>0</v>
      </c>
      <c r="Q56" s="324"/>
      <c r="R56" s="324"/>
      <c r="S56" s="324"/>
      <c r="T56" s="324">
        <f t="shared" ref="T56:T61" si="11">SUM(R56:S56)</f>
        <v>0</v>
      </c>
      <c r="U56" s="324">
        <f t="shared" ref="U56:U61" si="12">J56+M56+P56+Q56+T56</f>
        <v>0</v>
      </c>
      <c r="V56" s="324"/>
      <c r="W56" s="324"/>
      <c r="X56" s="324"/>
      <c r="Y56" s="324"/>
      <c r="Z56" s="324"/>
      <c r="AA56" s="324">
        <f t="shared" ref="AA56:AA61" si="13">SUM(W56:Z56)</f>
        <v>0</v>
      </c>
      <c r="AB56" s="324"/>
      <c r="AC56" s="324"/>
      <c r="AD56" s="324"/>
      <c r="AE56" s="324"/>
      <c r="AF56" s="324"/>
      <c r="AG56" s="324">
        <f t="shared" ref="AG56:AG61" si="14">SUM(AC56:AF56)</f>
        <v>0</v>
      </c>
      <c r="AH56" s="324"/>
      <c r="AI56" s="324"/>
      <c r="AJ56" s="324"/>
      <c r="AK56" s="324">
        <f t="shared" ref="AK56:AK61" si="15">SUM(AH56:AJ56)</f>
        <v>0</v>
      </c>
      <c r="AL56" s="324">
        <f t="shared" ref="AL56:AL61" si="16">V56+AA56+AB56+AG56+AK56</f>
        <v>0</v>
      </c>
      <c r="AM56" s="324">
        <f>AO56-AN56</f>
        <v>0</v>
      </c>
      <c r="AN56" s="324"/>
      <c r="AO56" s="324">
        <f>I56+U56-AL56</f>
        <v>0</v>
      </c>
    </row>
    <row r="57" spans="3:41" s="78" customFormat="1" ht="20.100000000000001" customHeight="1">
      <c r="F57" s="104" t="s">
        <v>63</v>
      </c>
      <c r="G57" s="324">
        <f t="shared" ref="G57:G61" si="17">AM50</f>
        <v>0</v>
      </c>
      <c r="H57" s="324">
        <f>AN50</f>
        <v>0</v>
      </c>
      <c r="I57" s="324">
        <f t="shared" ref="I57:I127" si="18">SUM(G57:H57)</f>
        <v>0</v>
      </c>
      <c r="J57" s="324"/>
      <c r="K57" s="324"/>
      <c r="L57" s="324"/>
      <c r="M57" s="324">
        <f t="shared" si="9"/>
        <v>0</v>
      </c>
      <c r="N57" s="324"/>
      <c r="O57" s="324"/>
      <c r="P57" s="324">
        <f t="shared" si="10"/>
        <v>0</v>
      </c>
      <c r="Q57" s="324"/>
      <c r="R57" s="324"/>
      <c r="S57" s="324"/>
      <c r="T57" s="324">
        <f t="shared" si="11"/>
        <v>0</v>
      </c>
      <c r="U57" s="324">
        <f t="shared" si="12"/>
        <v>0</v>
      </c>
      <c r="V57" s="324"/>
      <c r="W57" s="324"/>
      <c r="X57" s="324"/>
      <c r="Y57" s="324"/>
      <c r="Z57" s="324"/>
      <c r="AA57" s="324">
        <f t="shared" si="13"/>
        <v>0</v>
      </c>
      <c r="AB57" s="324"/>
      <c r="AC57" s="324"/>
      <c r="AD57" s="324"/>
      <c r="AE57" s="324"/>
      <c r="AF57" s="324"/>
      <c r="AG57" s="324">
        <f t="shared" si="14"/>
        <v>0</v>
      </c>
      <c r="AH57" s="324"/>
      <c r="AI57" s="324"/>
      <c r="AJ57" s="324"/>
      <c r="AK57" s="324">
        <f t="shared" si="15"/>
        <v>0</v>
      </c>
      <c r="AL57" s="324">
        <f t="shared" si="16"/>
        <v>0</v>
      </c>
      <c r="AM57" s="324">
        <f t="shared" ref="AM57:AM127" si="19">AO57-AN57</f>
        <v>0</v>
      </c>
      <c r="AN57" s="324"/>
      <c r="AO57" s="324">
        <f t="shared" ref="AO57:AO127" si="20">I57+U57-AL57</f>
        <v>0</v>
      </c>
    </row>
    <row r="58" spans="3:41" s="78" customFormat="1" ht="20.100000000000001" customHeight="1">
      <c r="F58" s="104" t="s">
        <v>59</v>
      </c>
      <c r="G58" s="324">
        <f t="shared" si="17"/>
        <v>0</v>
      </c>
      <c r="H58" s="324">
        <f>AN51</f>
        <v>0</v>
      </c>
      <c r="I58" s="324">
        <f t="shared" si="18"/>
        <v>0</v>
      </c>
      <c r="J58" s="324"/>
      <c r="K58" s="324"/>
      <c r="L58" s="324"/>
      <c r="M58" s="324">
        <f t="shared" si="9"/>
        <v>0</v>
      </c>
      <c r="N58" s="324"/>
      <c r="O58" s="324"/>
      <c r="P58" s="324">
        <f t="shared" si="10"/>
        <v>0</v>
      </c>
      <c r="Q58" s="324"/>
      <c r="R58" s="324"/>
      <c r="S58" s="324"/>
      <c r="T58" s="324">
        <f t="shared" si="11"/>
        <v>0</v>
      </c>
      <c r="U58" s="324">
        <f t="shared" si="12"/>
        <v>0</v>
      </c>
      <c r="V58" s="324"/>
      <c r="W58" s="324"/>
      <c r="X58" s="324"/>
      <c r="Y58" s="324"/>
      <c r="Z58" s="324"/>
      <c r="AA58" s="324">
        <f t="shared" si="13"/>
        <v>0</v>
      </c>
      <c r="AB58" s="324"/>
      <c r="AC58" s="324"/>
      <c r="AD58" s="324"/>
      <c r="AE58" s="324"/>
      <c r="AF58" s="324"/>
      <c r="AG58" s="324">
        <f t="shared" si="14"/>
        <v>0</v>
      </c>
      <c r="AH58" s="324"/>
      <c r="AI58" s="324"/>
      <c r="AJ58" s="324"/>
      <c r="AK58" s="324">
        <f t="shared" si="15"/>
        <v>0</v>
      </c>
      <c r="AL58" s="324">
        <f t="shared" si="16"/>
        <v>0</v>
      </c>
      <c r="AM58" s="324">
        <f t="shared" si="19"/>
        <v>0</v>
      </c>
      <c r="AN58" s="324"/>
      <c r="AO58" s="324">
        <f t="shared" si="20"/>
        <v>0</v>
      </c>
    </row>
    <row r="59" spans="3:41" s="78" customFormat="1" ht="20.100000000000001" customHeight="1">
      <c r="F59" s="105" t="s">
        <v>66</v>
      </c>
      <c r="G59" s="325">
        <f t="shared" si="17"/>
        <v>0</v>
      </c>
      <c r="H59" s="325">
        <f>AN52</f>
        <v>0</v>
      </c>
      <c r="I59" s="325">
        <f t="shared" si="18"/>
        <v>0</v>
      </c>
      <c r="J59" s="325"/>
      <c r="K59" s="325"/>
      <c r="L59" s="325"/>
      <c r="M59" s="325">
        <f t="shared" si="9"/>
        <v>0</v>
      </c>
      <c r="N59" s="325"/>
      <c r="O59" s="325"/>
      <c r="P59" s="325">
        <f t="shared" si="10"/>
        <v>0</v>
      </c>
      <c r="Q59" s="325"/>
      <c r="R59" s="325"/>
      <c r="S59" s="325"/>
      <c r="T59" s="325">
        <f t="shared" si="11"/>
        <v>0</v>
      </c>
      <c r="U59" s="325">
        <f t="shared" si="12"/>
        <v>0</v>
      </c>
      <c r="V59" s="325"/>
      <c r="W59" s="325"/>
      <c r="X59" s="325"/>
      <c r="Y59" s="325"/>
      <c r="Z59" s="325"/>
      <c r="AA59" s="325">
        <f t="shared" si="13"/>
        <v>0</v>
      </c>
      <c r="AB59" s="325"/>
      <c r="AC59" s="325"/>
      <c r="AD59" s="325"/>
      <c r="AE59" s="325"/>
      <c r="AF59" s="325"/>
      <c r="AG59" s="325">
        <f t="shared" si="14"/>
        <v>0</v>
      </c>
      <c r="AH59" s="325"/>
      <c r="AI59" s="325"/>
      <c r="AJ59" s="325"/>
      <c r="AK59" s="325">
        <f t="shared" si="15"/>
        <v>0</v>
      </c>
      <c r="AL59" s="325">
        <f t="shared" si="16"/>
        <v>0</v>
      </c>
      <c r="AM59" s="325">
        <f t="shared" si="19"/>
        <v>0</v>
      </c>
      <c r="AN59" s="325"/>
      <c r="AO59" s="325">
        <f t="shared" si="20"/>
        <v>0</v>
      </c>
    </row>
    <row r="60" spans="3:41" s="78" customFormat="1" ht="20.100000000000001" customHeight="1">
      <c r="F60" s="105" t="s">
        <v>67</v>
      </c>
      <c r="G60" s="325">
        <f t="shared" si="17"/>
        <v>0</v>
      </c>
      <c r="H60" s="325">
        <f>AN53</f>
        <v>0</v>
      </c>
      <c r="I60" s="325">
        <f t="shared" si="18"/>
        <v>0</v>
      </c>
      <c r="J60" s="325"/>
      <c r="K60" s="325"/>
      <c r="L60" s="325"/>
      <c r="M60" s="325">
        <f t="shared" si="9"/>
        <v>0</v>
      </c>
      <c r="N60" s="325"/>
      <c r="O60" s="325"/>
      <c r="P60" s="325">
        <f t="shared" si="10"/>
        <v>0</v>
      </c>
      <c r="Q60" s="325"/>
      <c r="R60" s="325"/>
      <c r="S60" s="325"/>
      <c r="T60" s="325">
        <f t="shared" si="11"/>
        <v>0</v>
      </c>
      <c r="U60" s="325">
        <f t="shared" si="12"/>
        <v>0</v>
      </c>
      <c r="V60" s="325"/>
      <c r="W60" s="325"/>
      <c r="X60" s="325"/>
      <c r="Y60" s="325"/>
      <c r="Z60" s="325"/>
      <c r="AA60" s="325">
        <f t="shared" si="13"/>
        <v>0</v>
      </c>
      <c r="AB60" s="325"/>
      <c r="AC60" s="325"/>
      <c r="AD60" s="325"/>
      <c r="AE60" s="325"/>
      <c r="AF60" s="325"/>
      <c r="AG60" s="325">
        <f t="shared" si="14"/>
        <v>0</v>
      </c>
      <c r="AH60" s="325"/>
      <c r="AI60" s="325"/>
      <c r="AJ60" s="325"/>
      <c r="AK60" s="325">
        <f t="shared" si="15"/>
        <v>0</v>
      </c>
      <c r="AL60" s="325">
        <f t="shared" si="16"/>
        <v>0</v>
      </c>
      <c r="AM60" s="325">
        <f t="shared" si="19"/>
        <v>0</v>
      </c>
      <c r="AN60" s="325"/>
      <c r="AO60" s="325">
        <f t="shared" si="20"/>
        <v>0</v>
      </c>
    </row>
    <row r="61" spans="3:41" s="78" customFormat="1" ht="20.100000000000001" customHeight="1">
      <c r="F61" s="105" t="s">
        <v>60</v>
      </c>
      <c r="G61" s="325">
        <f t="shared" si="17"/>
        <v>0</v>
      </c>
      <c r="H61" s="325">
        <f>AN54</f>
        <v>0</v>
      </c>
      <c r="I61" s="325">
        <f t="shared" si="18"/>
        <v>0</v>
      </c>
      <c r="J61" s="325"/>
      <c r="K61" s="325"/>
      <c r="L61" s="325"/>
      <c r="M61" s="325">
        <f t="shared" si="9"/>
        <v>0</v>
      </c>
      <c r="N61" s="325"/>
      <c r="O61" s="325"/>
      <c r="P61" s="325">
        <f t="shared" si="10"/>
        <v>0</v>
      </c>
      <c r="Q61" s="325"/>
      <c r="R61" s="325"/>
      <c r="S61" s="325"/>
      <c r="T61" s="325">
        <f t="shared" si="11"/>
        <v>0</v>
      </c>
      <c r="U61" s="325">
        <f t="shared" si="12"/>
        <v>0</v>
      </c>
      <c r="V61" s="325"/>
      <c r="W61" s="325"/>
      <c r="X61" s="325"/>
      <c r="Y61" s="325"/>
      <c r="Z61" s="325"/>
      <c r="AA61" s="325">
        <f t="shared" si="13"/>
        <v>0</v>
      </c>
      <c r="AB61" s="325"/>
      <c r="AC61" s="325"/>
      <c r="AD61" s="325"/>
      <c r="AE61" s="325"/>
      <c r="AF61" s="325"/>
      <c r="AG61" s="325">
        <f t="shared" si="14"/>
        <v>0</v>
      </c>
      <c r="AH61" s="325"/>
      <c r="AI61" s="325"/>
      <c r="AJ61" s="325"/>
      <c r="AK61" s="325">
        <f t="shared" si="15"/>
        <v>0</v>
      </c>
      <c r="AL61" s="325">
        <f t="shared" si="16"/>
        <v>0</v>
      </c>
      <c r="AM61" s="325">
        <f t="shared" si="19"/>
        <v>0</v>
      </c>
      <c r="AN61" s="325"/>
      <c r="AO61" s="325">
        <f t="shared" si="20"/>
        <v>0</v>
      </c>
    </row>
    <row r="62" spans="3:41" s="78" customFormat="1" ht="20.100000000000001" customHeight="1"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26"/>
      <c r="AJ62" s="326"/>
      <c r="AK62" s="326"/>
      <c r="AL62" s="326"/>
      <c r="AM62" s="326"/>
      <c r="AN62" s="326"/>
      <c r="AO62" s="326"/>
    </row>
    <row r="63" spans="3:41" s="78" customFormat="1" ht="20.100000000000001" customHeight="1">
      <c r="C63" s="81" t="s">
        <v>61</v>
      </c>
      <c r="D63" s="81"/>
      <c r="E63" s="81"/>
      <c r="F63" s="104" t="s">
        <v>62</v>
      </c>
      <c r="G63" s="324">
        <f t="shared" ref="G63:H68" si="21">AM56</f>
        <v>0</v>
      </c>
      <c r="H63" s="324">
        <f t="shared" si="21"/>
        <v>0</v>
      </c>
      <c r="I63" s="324">
        <f t="shared" si="18"/>
        <v>0</v>
      </c>
      <c r="J63" s="324">
        <v>10000</v>
      </c>
      <c r="K63" s="324"/>
      <c r="L63" s="324"/>
      <c r="M63" s="324">
        <f t="shared" ref="M63:M68" si="22">SUM(K63:L63)</f>
        <v>0</v>
      </c>
      <c r="N63" s="324"/>
      <c r="O63" s="324"/>
      <c r="P63" s="324">
        <f t="shared" ref="P63:P68" si="23">SUM(N63:O63)</f>
        <v>0</v>
      </c>
      <c r="Q63" s="324"/>
      <c r="R63" s="324"/>
      <c r="S63" s="324"/>
      <c r="T63" s="324">
        <f t="shared" ref="T63:T68" si="24">SUM(R63:S63)</f>
        <v>0</v>
      </c>
      <c r="U63" s="324">
        <f t="shared" ref="U63:U68" si="25">J63+M63+P63+Q63+T63</f>
        <v>10000</v>
      </c>
      <c r="V63" s="324"/>
      <c r="W63" s="324"/>
      <c r="X63" s="324"/>
      <c r="Y63" s="324"/>
      <c r="Z63" s="324"/>
      <c r="AA63" s="324">
        <f t="shared" ref="AA63:AA68" si="26">SUM(W63:Z63)</f>
        <v>0</v>
      </c>
      <c r="AB63" s="324"/>
      <c r="AC63" s="324"/>
      <c r="AD63" s="324"/>
      <c r="AE63" s="324"/>
      <c r="AF63" s="324"/>
      <c r="AG63" s="324">
        <f t="shared" ref="AG63:AG68" si="27">SUM(AC63:AF63)</f>
        <v>0</v>
      </c>
      <c r="AH63" s="324"/>
      <c r="AI63" s="324"/>
      <c r="AJ63" s="324"/>
      <c r="AK63" s="324">
        <f t="shared" ref="AK63:AK68" si="28">SUM(AH63:AJ63)</f>
        <v>0</v>
      </c>
      <c r="AL63" s="324">
        <f t="shared" ref="AL63:AL68" si="29">V63+AA63+AB63+AG63+AK63</f>
        <v>0</v>
      </c>
      <c r="AM63" s="324">
        <f t="shared" si="19"/>
        <v>10000</v>
      </c>
      <c r="AN63" s="324"/>
      <c r="AO63" s="324">
        <f t="shared" si="20"/>
        <v>10000</v>
      </c>
    </row>
    <row r="64" spans="3:41" s="78" customFormat="1" ht="20.100000000000001" customHeight="1">
      <c r="F64" s="104" t="s">
        <v>63</v>
      </c>
      <c r="G64" s="324">
        <f t="shared" si="21"/>
        <v>0</v>
      </c>
      <c r="H64" s="324">
        <f t="shared" si="21"/>
        <v>0</v>
      </c>
      <c r="I64" s="324">
        <f t="shared" si="18"/>
        <v>0</v>
      </c>
      <c r="J64" s="324"/>
      <c r="K64" s="324"/>
      <c r="L64" s="324"/>
      <c r="M64" s="324">
        <f t="shared" si="22"/>
        <v>0</v>
      </c>
      <c r="N64" s="324"/>
      <c r="O64" s="324"/>
      <c r="P64" s="324">
        <f t="shared" si="23"/>
        <v>0</v>
      </c>
      <c r="Q64" s="324"/>
      <c r="R64" s="324"/>
      <c r="S64" s="324"/>
      <c r="T64" s="324">
        <f t="shared" si="24"/>
        <v>0</v>
      </c>
      <c r="U64" s="324">
        <f t="shared" si="25"/>
        <v>0</v>
      </c>
      <c r="V64" s="324"/>
      <c r="W64" s="324"/>
      <c r="X64" s="324"/>
      <c r="Y64" s="324"/>
      <c r="Z64" s="324"/>
      <c r="AA64" s="324">
        <f t="shared" si="26"/>
        <v>0</v>
      </c>
      <c r="AB64" s="324"/>
      <c r="AC64" s="324"/>
      <c r="AD64" s="324"/>
      <c r="AE64" s="324"/>
      <c r="AF64" s="324"/>
      <c r="AG64" s="324">
        <f t="shared" si="27"/>
        <v>0</v>
      </c>
      <c r="AH64" s="324"/>
      <c r="AI64" s="324"/>
      <c r="AJ64" s="324"/>
      <c r="AK64" s="324">
        <f t="shared" si="28"/>
        <v>0</v>
      </c>
      <c r="AL64" s="324">
        <f t="shared" si="29"/>
        <v>0</v>
      </c>
      <c r="AM64" s="324">
        <f t="shared" si="19"/>
        <v>0</v>
      </c>
      <c r="AN64" s="324"/>
      <c r="AO64" s="324">
        <f t="shared" si="20"/>
        <v>0</v>
      </c>
    </row>
    <row r="65" spans="3:41" s="78" customFormat="1" ht="20.100000000000001" customHeight="1">
      <c r="F65" s="104" t="s">
        <v>59</v>
      </c>
      <c r="G65" s="324">
        <f t="shared" si="21"/>
        <v>0</v>
      </c>
      <c r="H65" s="324">
        <f t="shared" si="21"/>
        <v>0</v>
      </c>
      <c r="I65" s="324">
        <f t="shared" si="18"/>
        <v>0</v>
      </c>
      <c r="J65" s="324">
        <v>7000</v>
      </c>
      <c r="K65" s="324"/>
      <c r="L65" s="324"/>
      <c r="M65" s="324">
        <f t="shared" si="22"/>
        <v>0</v>
      </c>
      <c r="N65" s="324"/>
      <c r="O65" s="324"/>
      <c r="P65" s="324">
        <f t="shared" si="23"/>
        <v>0</v>
      </c>
      <c r="Q65" s="324"/>
      <c r="R65" s="324"/>
      <c r="S65" s="324"/>
      <c r="T65" s="324">
        <f t="shared" si="24"/>
        <v>0</v>
      </c>
      <c r="U65" s="324">
        <f t="shared" si="25"/>
        <v>7000</v>
      </c>
      <c r="V65" s="324"/>
      <c r="W65" s="324"/>
      <c r="X65" s="324"/>
      <c r="Y65" s="324"/>
      <c r="Z65" s="324"/>
      <c r="AA65" s="324">
        <f t="shared" si="26"/>
        <v>0</v>
      </c>
      <c r="AB65" s="324"/>
      <c r="AC65" s="324"/>
      <c r="AD65" s="324"/>
      <c r="AE65" s="324"/>
      <c r="AF65" s="324"/>
      <c r="AG65" s="324">
        <f t="shared" si="27"/>
        <v>0</v>
      </c>
      <c r="AH65" s="324"/>
      <c r="AI65" s="324"/>
      <c r="AJ65" s="324"/>
      <c r="AK65" s="324">
        <f t="shared" si="28"/>
        <v>0</v>
      </c>
      <c r="AL65" s="324">
        <f t="shared" si="29"/>
        <v>0</v>
      </c>
      <c r="AM65" s="324">
        <f t="shared" si="19"/>
        <v>7000</v>
      </c>
      <c r="AN65" s="324"/>
      <c r="AO65" s="324">
        <f t="shared" si="20"/>
        <v>7000</v>
      </c>
    </row>
    <row r="66" spans="3:41" s="78" customFormat="1" ht="20.100000000000001" customHeight="1">
      <c r="F66" s="105" t="s">
        <v>66</v>
      </c>
      <c r="G66" s="325">
        <f t="shared" si="21"/>
        <v>0</v>
      </c>
      <c r="H66" s="325">
        <f t="shared" si="21"/>
        <v>0</v>
      </c>
      <c r="I66" s="325">
        <f t="shared" si="18"/>
        <v>0</v>
      </c>
      <c r="J66" s="325"/>
      <c r="K66" s="325"/>
      <c r="L66" s="325"/>
      <c r="M66" s="325">
        <f t="shared" si="22"/>
        <v>0</v>
      </c>
      <c r="N66" s="325"/>
      <c r="O66" s="325"/>
      <c r="P66" s="325">
        <f t="shared" si="23"/>
        <v>0</v>
      </c>
      <c r="Q66" s="325"/>
      <c r="R66" s="325"/>
      <c r="S66" s="325"/>
      <c r="T66" s="325">
        <f t="shared" si="24"/>
        <v>0</v>
      </c>
      <c r="U66" s="325">
        <f t="shared" si="25"/>
        <v>0</v>
      </c>
      <c r="V66" s="325"/>
      <c r="W66" s="325"/>
      <c r="X66" s="325"/>
      <c r="Y66" s="325"/>
      <c r="Z66" s="325"/>
      <c r="AA66" s="325">
        <f t="shared" si="26"/>
        <v>0</v>
      </c>
      <c r="AB66" s="325"/>
      <c r="AC66" s="325"/>
      <c r="AD66" s="325"/>
      <c r="AE66" s="325"/>
      <c r="AF66" s="325"/>
      <c r="AG66" s="325">
        <f t="shared" si="27"/>
        <v>0</v>
      </c>
      <c r="AH66" s="325"/>
      <c r="AI66" s="325"/>
      <c r="AJ66" s="325"/>
      <c r="AK66" s="325">
        <f t="shared" si="28"/>
        <v>0</v>
      </c>
      <c r="AL66" s="325">
        <f t="shared" si="29"/>
        <v>0</v>
      </c>
      <c r="AM66" s="325">
        <f t="shared" si="19"/>
        <v>0</v>
      </c>
      <c r="AN66" s="325"/>
      <c r="AO66" s="325">
        <f t="shared" si="20"/>
        <v>0</v>
      </c>
    </row>
    <row r="67" spans="3:41" s="78" customFormat="1" ht="20.100000000000001" customHeight="1">
      <c r="F67" s="105" t="s">
        <v>67</v>
      </c>
      <c r="G67" s="325">
        <f t="shared" si="21"/>
        <v>0</v>
      </c>
      <c r="H67" s="325">
        <f t="shared" si="21"/>
        <v>0</v>
      </c>
      <c r="I67" s="325">
        <f t="shared" si="18"/>
        <v>0</v>
      </c>
      <c r="J67" s="325"/>
      <c r="K67" s="325"/>
      <c r="L67" s="325"/>
      <c r="M67" s="325">
        <f t="shared" si="22"/>
        <v>0</v>
      </c>
      <c r="N67" s="325"/>
      <c r="O67" s="325"/>
      <c r="P67" s="325">
        <f t="shared" si="23"/>
        <v>0</v>
      </c>
      <c r="Q67" s="325"/>
      <c r="R67" s="325"/>
      <c r="S67" s="325"/>
      <c r="T67" s="325">
        <f t="shared" si="24"/>
        <v>0</v>
      </c>
      <c r="U67" s="325">
        <f t="shared" si="25"/>
        <v>0</v>
      </c>
      <c r="V67" s="325"/>
      <c r="W67" s="325"/>
      <c r="X67" s="325"/>
      <c r="Y67" s="325"/>
      <c r="Z67" s="325"/>
      <c r="AA67" s="325">
        <f t="shared" si="26"/>
        <v>0</v>
      </c>
      <c r="AB67" s="325"/>
      <c r="AC67" s="325"/>
      <c r="AD67" s="325"/>
      <c r="AE67" s="325"/>
      <c r="AF67" s="325"/>
      <c r="AG67" s="325">
        <f t="shared" si="27"/>
        <v>0</v>
      </c>
      <c r="AH67" s="325"/>
      <c r="AI67" s="325"/>
      <c r="AJ67" s="325"/>
      <c r="AK67" s="325">
        <f t="shared" si="28"/>
        <v>0</v>
      </c>
      <c r="AL67" s="325">
        <f t="shared" si="29"/>
        <v>0</v>
      </c>
      <c r="AM67" s="325">
        <f t="shared" si="19"/>
        <v>0</v>
      </c>
      <c r="AN67" s="325"/>
      <c r="AO67" s="325">
        <f t="shared" si="20"/>
        <v>0</v>
      </c>
    </row>
    <row r="68" spans="3:41" s="78" customFormat="1" ht="20.100000000000001" customHeight="1">
      <c r="F68" s="105" t="s">
        <v>60</v>
      </c>
      <c r="G68" s="325">
        <f t="shared" si="21"/>
        <v>0</v>
      </c>
      <c r="H68" s="325">
        <f t="shared" si="21"/>
        <v>0</v>
      </c>
      <c r="I68" s="325">
        <f t="shared" si="18"/>
        <v>0</v>
      </c>
      <c r="J68" s="325"/>
      <c r="K68" s="325"/>
      <c r="L68" s="325"/>
      <c r="M68" s="325">
        <f t="shared" si="22"/>
        <v>0</v>
      </c>
      <c r="N68" s="325"/>
      <c r="O68" s="325"/>
      <c r="P68" s="325">
        <f t="shared" si="23"/>
        <v>0</v>
      </c>
      <c r="Q68" s="325"/>
      <c r="R68" s="325"/>
      <c r="S68" s="325"/>
      <c r="T68" s="325">
        <f t="shared" si="24"/>
        <v>0</v>
      </c>
      <c r="U68" s="325">
        <f t="shared" si="25"/>
        <v>0</v>
      </c>
      <c r="V68" s="325"/>
      <c r="W68" s="325"/>
      <c r="X68" s="325"/>
      <c r="Y68" s="325"/>
      <c r="Z68" s="325"/>
      <c r="AA68" s="325">
        <f t="shared" si="26"/>
        <v>0</v>
      </c>
      <c r="AB68" s="325"/>
      <c r="AC68" s="325"/>
      <c r="AD68" s="325"/>
      <c r="AE68" s="325"/>
      <c r="AF68" s="325"/>
      <c r="AG68" s="325">
        <f t="shared" si="27"/>
        <v>0</v>
      </c>
      <c r="AH68" s="325"/>
      <c r="AI68" s="325"/>
      <c r="AJ68" s="325"/>
      <c r="AK68" s="325">
        <f t="shared" si="28"/>
        <v>0</v>
      </c>
      <c r="AL68" s="325">
        <f t="shared" si="29"/>
        <v>0</v>
      </c>
      <c r="AM68" s="325">
        <f t="shared" si="19"/>
        <v>0</v>
      </c>
      <c r="AN68" s="325"/>
      <c r="AO68" s="325">
        <f t="shared" si="20"/>
        <v>0</v>
      </c>
    </row>
    <row r="69" spans="3:41" s="78" customFormat="1" ht="20.100000000000001" customHeight="1"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  <c r="AA69" s="326"/>
      <c r="AB69" s="326"/>
      <c r="AC69" s="326"/>
      <c r="AD69" s="326"/>
      <c r="AE69" s="326"/>
      <c r="AF69" s="326"/>
      <c r="AG69" s="326"/>
      <c r="AH69" s="326"/>
      <c r="AI69" s="326"/>
      <c r="AJ69" s="326"/>
      <c r="AK69" s="326"/>
      <c r="AL69" s="326"/>
      <c r="AM69" s="326"/>
      <c r="AN69" s="326"/>
      <c r="AO69" s="326"/>
    </row>
    <row r="70" spans="3:41" s="78" customFormat="1" ht="20.100000000000001" customHeight="1">
      <c r="C70" s="81" t="s">
        <v>68</v>
      </c>
      <c r="D70" s="81"/>
      <c r="E70" s="81"/>
      <c r="F70" s="104" t="s">
        <v>62</v>
      </c>
      <c r="G70" s="324">
        <f t="shared" ref="G70:H75" si="30">AM63</f>
        <v>10000</v>
      </c>
      <c r="H70" s="324">
        <f t="shared" si="30"/>
        <v>0</v>
      </c>
      <c r="I70" s="324">
        <f t="shared" si="18"/>
        <v>10000</v>
      </c>
      <c r="J70" s="324"/>
      <c r="K70" s="324"/>
      <c r="L70" s="324"/>
      <c r="M70" s="324">
        <f t="shared" ref="M70:M75" si="31">SUM(K70:L70)</f>
        <v>0</v>
      </c>
      <c r="N70" s="324"/>
      <c r="O70" s="324"/>
      <c r="P70" s="324">
        <f t="shared" ref="P70:P75" si="32">SUM(N70:O70)</f>
        <v>0</v>
      </c>
      <c r="Q70" s="324"/>
      <c r="R70" s="324"/>
      <c r="S70" s="324"/>
      <c r="T70" s="324">
        <f t="shared" ref="T70:T75" si="33">SUM(R70:S70)</f>
        <v>0</v>
      </c>
      <c r="U70" s="324">
        <f t="shared" ref="U70:U75" si="34">J70+M70+P70+Q70+T70</f>
        <v>0</v>
      </c>
      <c r="V70" s="324"/>
      <c r="W70" s="324">
        <v>6000</v>
      </c>
      <c r="X70" s="324"/>
      <c r="Y70" s="324"/>
      <c r="Z70" s="324"/>
      <c r="AA70" s="324">
        <f t="shared" ref="AA70:AA75" si="35">SUM(W70:Z70)</f>
        <v>6000</v>
      </c>
      <c r="AB70" s="324"/>
      <c r="AC70" s="324"/>
      <c r="AD70" s="324"/>
      <c r="AE70" s="324"/>
      <c r="AF70" s="324"/>
      <c r="AG70" s="324">
        <f t="shared" ref="AG70:AG75" si="36">SUM(AC70:AF70)</f>
        <v>0</v>
      </c>
      <c r="AH70" s="324"/>
      <c r="AI70" s="324"/>
      <c r="AJ70" s="324"/>
      <c r="AK70" s="324">
        <f t="shared" ref="AK70:AK75" si="37">SUM(AH70:AJ70)</f>
        <v>0</v>
      </c>
      <c r="AL70" s="324">
        <f t="shared" ref="AL70:AL75" si="38">V70+AA70+AB70+AG70+AK70</f>
        <v>6000</v>
      </c>
      <c r="AM70" s="324">
        <f t="shared" si="19"/>
        <v>4000</v>
      </c>
      <c r="AN70" s="324"/>
      <c r="AO70" s="324">
        <f t="shared" si="20"/>
        <v>4000</v>
      </c>
    </row>
    <row r="71" spans="3:41" s="78" customFormat="1" ht="20.100000000000001" customHeight="1">
      <c r="C71" s="81"/>
      <c r="D71" s="81"/>
      <c r="E71" s="81"/>
      <c r="F71" s="104" t="s">
        <v>63</v>
      </c>
      <c r="G71" s="324">
        <f t="shared" si="30"/>
        <v>0</v>
      </c>
      <c r="H71" s="324">
        <f t="shared" si="30"/>
        <v>0</v>
      </c>
      <c r="I71" s="324">
        <f t="shared" si="18"/>
        <v>0</v>
      </c>
      <c r="J71" s="324"/>
      <c r="K71" s="324"/>
      <c r="L71" s="324"/>
      <c r="M71" s="324">
        <f t="shared" si="31"/>
        <v>0</v>
      </c>
      <c r="N71" s="324">
        <f>W70</f>
        <v>6000</v>
      </c>
      <c r="O71" s="324"/>
      <c r="P71" s="324">
        <f t="shared" si="32"/>
        <v>6000</v>
      </c>
      <c r="Q71" s="324"/>
      <c r="R71" s="324"/>
      <c r="S71" s="324"/>
      <c r="T71" s="324">
        <f t="shared" si="33"/>
        <v>0</v>
      </c>
      <c r="U71" s="324">
        <f t="shared" si="34"/>
        <v>6000</v>
      </c>
      <c r="V71" s="324"/>
      <c r="W71" s="324"/>
      <c r="X71" s="324"/>
      <c r="Y71" s="324"/>
      <c r="Z71" s="324"/>
      <c r="AA71" s="324">
        <f t="shared" si="35"/>
        <v>0</v>
      </c>
      <c r="AB71" s="324"/>
      <c r="AC71" s="324"/>
      <c r="AD71" s="324"/>
      <c r="AE71" s="324"/>
      <c r="AF71" s="324"/>
      <c r="AG71" s="324">
        <f t="shared" si="36"/>
        <v>0</v>
      </c>
      <c r="AH71" s="324"/>
      <c r="AI71" s="324"/>
      <c r="AJ71" s="324"/>
      <c r="AK71" s="324">
        <f t="shared" si="37"/>
        <v>0</v>
      </c>
      <c r="AL71" s="324">
        <f t="shared" si="38"/>
        <v>0</v>
      </c>
      <c r="AM71" s="324">
        <f t="shared" si="19"/>
        <v>6000</v>
      </c>
      <c r="AN71" s="324"/>
      <c r="AO71" s="324">
        <f t="shared" si="20"/>
        <v>6000</v>
      </c>
    </row>
    <row r="72" spans="3:41" s="78" customFormat="1" ht="20.100000000000001" customHeight="1">
      <c r="F72" s="104" t="s">
        <v>59</v>
      </c>
      <c r="G72" s="324">
        <f t="shared" si="30"/>
        <v>7000</v>
      </c>
      <c r="H72" s="324">
        <f t="shared" si="30"/>
        <v>0</v>
      </c>
      <c r="I72" s="324">
        <f t="shared" si="18"/>
        <v>7000</v>
      </c>
      <c r="J72" s="324"/>
      <c r="K72" s="324"/>
      <c r="L72" s="324"/>
      <c r="M72" s="324">
        <f t="shared" si="31"/>
        <v>0</v>
      </c>
      <c r="N72" s="324"/>
      <c r="O72" s="324"/>
      <c r="P72" s="324">
        <f t="shared" si="32"/>
        <v>0</v>
      </c>
      <c r="Q72" s="324"/>
      <c r="R72" s="324"/>
      <c r="S72" s="324"/>
      <c r="T72" s="324">
        <f t="shared" si="33"/>
        <v>0</v>
      </c>
      <c r="U72" s="324">
        <f t="shared" si="34"/>
        <v>0</v>
      </c>
      <c r="V72" s="324"/>
      <c r="W72" s="324"/>
      <c r="X72" s="324"/>
      <c r="Y72" s="324"/>
      <c r="Z72" s="324"/>
      <c r="AA72" s="324">
        <f t="shared" si="35"/>
        <v>0</v>
      </c>
      <c r="AB72" s="324"/>
      <c r="AC72" s="324"/>
      <c r="AD72" s="324"/>
      <c r="AE72" s="324"/>
      <c r="AF72" s="324"/>
      <c r="AG72" s="324">
        <f t="shared" si="36"/>
        <v>0</v>
      </c>
      <c r="AH72" s="324"/>
      <c r="AI72" s="324"/>
      <c r="AJ72" s="324"/>
      <c r="AK72" s="324">
        <f t="shared" si="37"/>
        <v>0</v>
      </c>
      <c r="AL72" s="324">
        <f t="shared" si="38"/>
        <v>0</v>
      </c>
      <c r="AM72" s="324">
        <f t="shared" si="19"/>
        <v>7000</v>
      </c>
      <c r="AN72" s="324"/>
      <c r="AO72" s="324">
        <f t="shared" si="20"/>
        <v>7000</v>
      </c>
    </row>
    <row r="73" spans="3:41" s="78" customFormat="1" ht="20.100000000000001" customHeight="1">
      <c r="F73" s="105" t="s">
        <v>66</v>
      </c>
      <c r="G73" s="325">
        <f t="shared" si="30"/>
        <v>0</v>
      </c>
      <c r="H73" s="325">
        <f t="shared" si="30"/>
        <v>0</v>
      </c>
      <c r="I73" s="325">
        <f t="shared" si="18"/>
        <v>0</v>
      </c>
      <c r="J73" s="325"/>
      <c r="K73" s="325"/>
      <c r="L73" s="325"/>
      <c r="M73" s="325">
        <f t="shared" si="31"/>
        <v>0</v>
      </c>
      <c r="N73" s="325"/>
      <c r="O73" s="325"/>
      <c r="P73" s="325">
        <f t="shared" si="32"/>
        <v>0</v>
      </c>
      <c r="Q73" s="325"/>
      <c r="R73" s="325"/>
      <c r="S73" s="325"/>
      <c r="T73" s="325">
        <f t="shared" si="33"/>
        <v>0</v>
      </c>
      <c r="U73" s="325">
        <f t="shared" si="34"/>
        <v>0</v>
      </c>
      <c r="V73" s="325"/>
      <c r="W73" s="325"/>
      <c r="X73" s="325"/>
      <c r="Y73" s="325"/>
      <c r="Z73" s="325"/>
      <c r="AA73" s="325">
        <f t="shared" si="35"/>
        <v>0</v>
      </c>
      <c r="AB73" s="325"/>
      <c r="AC73" s="325"/>
      <c r="AD73" s="325"/>
      <c r="AE73" s="325"/>
      <c r="AF73" s="325"/>
      <c r="AG73" s="325">
        <f t="shared" si="36"/>
        <v>0</v>
      </c>
      <c r="AH73" s="325"/>
      <c r="AI73" s="325"/>
      <c r="AJ73" s="325"/>
      <c r="AK73" s="325">
        <f t="shared" si="37"/>
        <v>0</v>
      </c>
      <c r="AL73" s="325">
        <f t="shared" si="38"/>
        <v>0</v>
      </c>
      <c r="AM73" s="325">
        <f t="shared" si="19"/>
        <v>0</v>
      </c>
      <c r="AN73" s="325"/>
      <c r="AO73" s="325">
        <f t="shared" si="20"/>
        <v>0</v>
      </c>
    </row>
    <row r="74" spans="3:41" s="78" customFormat="1" ht="20.100000000000001" customHeight="1">
      <c r="F74" s="105" t="s">
        <v>67</v>
      </c>
      <c r="G74" s="325">
        <f t="shared" si="30"/>
        <v>0</v>
      </c>
      <c r="H74" s="325">
        <f t="shared" si="30"/>
        <v>0</v>
      </c>
      <c r="I74" s="325">
        <f t="shared" si="18"/>
        <v>0</v>
      </c>
      <c r="J74" s="325"/>
      <c r="K74" s="325"/>
      <c r="L74" s="325"/>
      <c r="M74" s="325">
        <f t="shared" si="31"/>
        <v>0</v>
      </c>
      <c r="N74" s="325"/>
      <c r="O74" s="325"/>
      <c r="P74" s="325">
        <f t="shared" si="32"/>
        <v>0</v>
      </c>
      <c r="Q74" s="325"/>
      <c r="R74" s="325"/>
      <c r="S74" s="325"/>
      <c r="T74" s="325">
        <f t="shared" si="33"/>
        <v>0</v>
      </c>
      <c r="U74" s="325">
        <f t="shared" si="34"/>
        <v>0</v>
      </c>
      <c r="V74" s="325"/>
      <c r="W74" s="325"/>
      <c r="X74" s="325"/>
      <c r="Y74" s="325"/>
      <c r="Z74" s="325"/>
      <c r="AA74" s="325">
        <f t="shared" si="35"/>
        <v>0</v>
      </c>
      <c r="AB74" s="325"/>
      <c r="AC74" s="325"/>
      <c r="AD74" s="325"/>
      <c r="AE74" s="325"/>
      <c r="AF74" s="325"/>
      <c r="AG74" s="325">
        <f t="shared" si="36"/>
        <v>0</v>
      </c>
      <c r="AH74" s="325"/>
      <c r="AI74" s="325"/>
      <c r="AJ74" s="325"/>
      <c r="AK74" s="325">
        <f t="shared" si="37"/>
        <v>0</v>
      </c>
      <c r="AL74" s="325">
        <f t="shared" si="38"/>
        <v>0</v>
      </c>
      <c r="AM74" s="325">
        <f t="shared" si="19"/>
        <v>0</v>
      </c>
      <c r="AN74" s="325"/>
      <c r="AO74" s="325">
        <f t="shared" si="20"/>
        <v>0</v>
      </c>
    </row>
    <row r="75" spans="3:41" s="78" customFormat="1" ht="20.100000000000001" customHeight="1">
      <c r="F75" s="105" t="s">
        <v>60</v>
      </c>
      <c r="G75" s="325">
        <f t="shared" si="30"/>
        <v>0</v>
      </c>
      <c r="H75" s="325">
        <f t="shared" si="30"/>
        <v>0</v>
      </c>
      <c r="I75" s="325">
        <f t="shared" si="18"/>
        <v>0</v>
      </c>
      <c r="J75" s="325"/>
      <c r="K75" s="325"/>
      <c r="L75" s="325"/>
      <c r="M75" s="325">
        <f t="shared" si="31"/>
        <v>0</v>
      </c>
      <c r="N75" s="325"/>
      <c r="O75" s="325"/>
      <c r="P75" s="325">
        <f t="shared" si="32"/>
        <v>0</v>
      </c>
      <c r="Q75" s="325"/>
      <c r="R75" s="325"/>
      <c r="S75" s="325"/>
      <c r="T75" s="325">
        <f t="shared" si="33"/>
        <v>0</v>
      </c>
      <c r="U75" s="325">
        <f t="shared" si="34"/>
        <v>0</v>
      </c>
      <c r="V75" s="325"/>
      <c r="W75" s="325"/>
      <c r="X75" s="325"/>
      <c r="Y75" s="325"/>
      <c r="Z75" s="325"/>
      <c r="AA75" s="325">
        <f t="shared" si="35"/>
        <v>0</v>
      </c>
      <c r="AB75" s="325"/>
      <c r="AC75" s="325"/>
      <c r="AD75" s="325"/>
      <c r="AE75" s="325"/>
      <c r="AF75" s="325"/>
      <c r="AG75" s="325">
        <f t="shared" si="36"/>
        <v>0</v>
      </c>
      <c r="AH75" s="325"/>
      <c r="AI75" s="325"/>
      <c r="AJ75" s="325"/>
      <c r="AK75" s="325">
        <f t="shared" si="37"/>
        <v>0</v>
      </c>
      <c r="AL75" s="325">
        <f t="shared" si="38"/>
        <v>0</v>
      </c>
      <c r="AM75" s="325">
        <f t="shared" si="19"/>
        <v>0</v>
      </c>
      <c r="AN75" s="325"/>
      <c r="AO75" s="325">
        <f t="shared" si="20"/>
        <v>0</v>
      </c>
    </row>
    <row r="76" spans="3:41" s="78" customFormat="1" ht="20.100000000000001" customHeight="1">
      <c r="G76" s="326"/>
      <c r="H76" s="326"/>
      <c r="I76" s="326"/>
      <c r="J76" s="326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  <c r="W76" s="326"/>
      <c r="X76" s="326"/>
      <c r="Y76" s="326"/>
      <c r="Z76" s="326"/>
      <c r="AA76" s="326"/>
      <c r="AB76" s="326"/>
      <c r="AC76" s="326"/>
      <c r="AD76" s="326"/>
      <c r="AE76" s="326"/>
      <c r="AF76" s="326"/>
      <c r="AG76" s="326"/>
      <c r="AH76" s="326"/>
      <c r="AI76" s="326"/>
      <c r="AJ76" s="326"/>
      <c r="AK76" s="326"/>
      <c r="AL76" s="326"/>
      <c r="AM76" s="326"/>
      <c r="AN76" s="326"/>
      <c r="AO76" s="326"/>
    </row>
    <row r="77" spans="3:41" s="78" customFormat="1" ht="20.100000000000001" customHeight="1">
      <c r="C77" s="81" t="s">
        <v>69</v>
      </c>
      <c r="D77" s="81"/>
      <c r="E77" s="81"/>
      <c r="F77" s="104" t="s">
        <v>62</v>
      </c>
      <c r="G77" s="324">
        <f t="shared" ref="G77:H82" si="39">AM70</f>
        <v>4000</v>
      </c>
      <c r="H77" s="324">
        <f t="shared" si="39"/>
        <v>0</v>
      </c>
      <c r="I77" s="324">
        <f t="shared" si="18"/>
        <v>4000</v>
      </c>
      <c r="J77" s="324"/>
      <c r="K77" s="324"/>
      <c r="L77" s="324"/>
      <c r="M77" s="324">
        <f t="shared" ref="M77:M82" si="40">SUM(K77:L77)</f>
        <v>0</v>
      </c>
      <c r="N77" s="324"/>
      <c r="O77" s="324"/>
      <c r="P77" s="324">
        <f t="shared" ref="P77:P82" si="41">SUM(N77:O77)</f>
        <v>0</v>
      </c>
      <c r="Q77" s="324"/>
      <c r="R77" s="324"/>
      <c r="S77" s="324"/>
      <c r="T77" s="324">
        <f t="shared" ref="T77:T82" si="42">SUM(R77:S77)</f>
        <v>0</v>
      </c>
      <c r="U77" s="324">
        <f t="shared" ref="U77:U82" si="43">J77+M77+P77+Q77+T77</f>
        <v>0</v>
      </c>
      <c r="V77" s="324"/>
      <c r="W77" s="324">
        <v>490</v>
      </c>
      <c r="X77" s="324"/>
      <c r="Y77" s="324"/>
      <c r="Z77" s="324"/>
      <c r="AA77" s="324">
        <f t="shared" ref="AA77:AA82" si="44">SUM(W77:Z77)</f>
        <v>490</v>
      </c>
      <c r="AB77" s="324"/>
      <c r="AC77" s="324"/>
      <c r="AD77" s="324"/>
      <c r="AE77" s="324"/>
      <c r="AF77" s="324"/>
      <c r="AG77" s="324">
        <f t="shared" ref="AG77:AG82" si="45">SUM(AC77:AF77)</f>
        <v>0</v>
      </c>
      <c r="AH77" s="324"/>
      <c r="AI77" s="324"/>
      <c r="AJ77" s="324"/>
      <c r="AK77" s="324">
        <f t="shared" ref="AK77:AK82" si="46">SUM(AH77:AJ77)</f>
        <v>0</v>
      </c>
      <c r="AL77" s="324">
        <f t="shared" ref="AL77:AL82" si="47">V77+AA77+AB77+AG77+AK77</f>
        <v>490</v>
      </c>
      <c r="AM77" s="324">
        <f t="shared" si="19"/>
        <v>3500</v>
      </c>
      <c r="AN77" s="328">
        <v>10</v>
      </c>
      <c r="AO77" s="324">
        <f t="shared" si="20"/>
        <v>3510</v>
      </c>
    </row>
    <row r="78" spans="3:41" s="78" customFormat="1" ht="20.100000000000001" customHeight="1">
      <c r="C78" s="327" t="s">
        <v>289</v>
      </c>
      <c r="F78" s="104" t="s">
        <v>63</v>
      </c>
      <c r="G78" s="324">
        <f t="shared" si="39"/>
        <v>6000</v>
      </c>
      <c r="H78" s="324">
        <f t="shared" si="39"/>
        <v>0</v>
      </c>
      <c r="I78" s="324">
        <f t="shared" si="18"/>
        <v>6000</v>
      </c>
      <c r="J78" s="324"/>
      <c r="K78" s="324"/>
      <c r="L78" s="324"/>
      <c r="M78" s="324">
        <f t="shared" si="40"/>
        <v>0</v>
      </c>
      <c r="N78" s="324"/>
      <c r="O78" s="324"/>
      <c r="P78" s="324">
        <f t="shared" si="41"/>
        <v>0</v>
      </c>
      <c r="Q78" s="324"/>
      <c r="R78" s="324"/>
      <c r="S78" s="324"/>
      <c r="T78" s="324">
        <f t="shared" si="42"/>
        <v>0</v>
      </c>
      <c r="U78" s="324">
        <f t="shared" si="43"/>
        <v>0</v>
      </c>
      <c r="V78" s="324"/>
      <c r="W78" s="324">
        <v>500</v>
      </c>
      <c r="X78" s="324"/>
      <c r="Y78" s="324"/>
      <c r="Z78" s="324"/>
      <c r="AA78" s="324">
        <f t="shared" si="44"/>
        <v>500</v>
      </c>
      <c r="AB78" s="324"/>
      <c r="AC78" s="324"/>
      <c r="AD78" s="324"/>
      <c r="AE78" s="324"/>
      <c r="AF78" s="324"/>
      <c r="AG78" s="324">
        <f t="shared" si="45"/>
        <v>0</v>
      </c>
      <c r="AH78" s="324"/>
      <c r="AI78" s="324"/>
      <c r="AJ78" s="324"/>
      <c r="AK78" s="324">
        <f t="shared" si="46"/>
        <v>0</v>
      </c>
      <c r="AL78" s="324">
        <f t="shared" si="47"/>
        <v>500</v>
      </c>
      <c r="AM78" s="324">
        <f t="shared" si="19"/>
        <v>5500</v>
      </c>
      <c r="AN78" s="324"/>
      <c r="AO78" s="324">
        <f t="shared" si="20"/>
        <v>5500</v>
      </c>
    </row>
    <row r="79" spans="3:41" s="78" customFormat="1" ht="20.100000000000001" customHeight="1">
      <c r="F79" s="104" t="s">
        <v>59</v>
      </c>
      <c r="G79" s="324">
        <f t="shared" si="39"/>
        <v>7000</v>
      </c>
      <c r="H79" s="324">
        <f t="shared" si="39"/>
        <v>0</v>
      </c>
      <c r="I79" s="324">
        <f t="shared" si="18"/>
        <v>7000</v>
      </c>
      <c r="J79" s="324"/>
      <c r="K79" s="324"/>
      <c r="L79" s="324"/>
      <c r="M79" s="324">
        <f t="shared" si="40"/>
        <v>0</v>
      </c>
      <c r="N79" s="324"/>
      <c r="O79" s="324"/>
      <c r="P79" s="324">
        <f t="shared" si="41"/>
        <v>0</v>
      </c>
      <c r="Q79" s="324"/>
      <c r="R79" s="324"/>
      <c r="S79" s="324"/>
      <c r="T79" s="324">
        <f t="shared" si="42"/>
        <v>0</v>
      </c>
      <c r="U79" s="324">
        <f t="shared" si="43"/>
        <v>0</v>
      </c>
      <c r="V79" s="324"/>
      <c r="W79" s="324"/>
      <c r="X79" s="324"/>
      <c r="Y79" s="324"/>
      <c r="Z79" s="324"/>
      <c r="AA79" s="324">
        <f t="shared" si="44"/>
        <v>0</v>
      </c>
      <c r="AB79" s="324"/>
      <c r="AC79" s="324"/>
      <c r="AD79" s="324"/>
      <c r="AE79" s="324"/>
      <c r="AF79" s="324"/>
      <c r="AG79" s="324">
        <f t="shared" si="45"/>
        <v>0</v>
      </c>
      <c r="AH79" s="324"/>
      <c r="AI79" s="324"/>
      <c r="AJ79" s="324"/>
      <c r="AK79" s="324">
        <f t="shared" si="46"/>
        <v>0</v>
      </c>
      <c r="AL79" s="324">
        <f t="shared" si="47"/>
        <v>0</v>
      </c>
      <c r="AM79" s="324">
        <f t="shared" si="19"/>
        <v>7000</v>
      </c>
      <c r="AN79" s="324"/>
      <c r="AO79" s="324">
        <f t="shared" si="20"/>
        <v>7000</v>
      </c>
    </row>
    <row r="80" spans="3:41" s="78" customFormat="1" ht="20.100000000000001" customHeight="1">
      <c r="F80" s="105" t="s">
        <v>66</v>
      </c>
      <c r="G80" s="325">
        <f t="shared" si="39"/>
        <v>0</v>
      </c>
      <c r="H80" s="325">
        <f t="shared" si="39"/>
        <v>0</v>
      </c>
      <c r="I80" s="325">
        <f t="shared" si="18"/>
        <v>0</v>
      </c>
      <c r="J80" s="325"/>
      <c r="K80" s="325"/>
      <c r="L80" s="325"/>
      <c r="M80" s="325">
        <f t="shared" si="40"/>
        <v>0</v>
      </c>
      <c r="N80" s="325">
        <v>490</v>
      </c>
      <c r="O80" s="325"/>
      <c r="P80" s="325">
        <f t="shared" si="41"/>
        <v>490</v>
      </c>
      <c r="Q80" s="325"/>
      <c r="R80" s="325"/>
      <c r="S80" s="325"/>
      <c r="T80" s="325">
        <f t="shared" si="42"/>
        <v>0</v>
      </c>
      <c r="U80" s="325">
        <f t="shared" si="43"/>
        <v>490</v>
      </c>
      <c r="V80" s="325"/>
      <c r="W80" s="325"/>
      <c r="X80" s="325"/>
      <c r="Y80" s="325"/>
      <c r="Z80" s="325"/>
      <c r="AA80" s="325">
        <f t="shared" si="44"/>
        <v>0</v>
      </c>
      <c r="AB80" s="325"/>
      <c r="AC80" s="325"/>
      <c r="AD80" s="325"/>
      <c r="AE80" s="325"/>
      <c r="AF80" s="325"/>
      <c r="AG80" s="325">
        <f t="shared" si="45"/>
        <v>0</v>
      </c>
      <c r="AH80" s="325"/>
      <c r="AI80" s="325"/>
      <c r="AJ80" s="325"/>
      <c r="AK80" s="325">
        <f t="shared" si="46"/>
        <v>0</v>
      </c>
      <c r="AL80" s="325">
        <f t="shared" si="47"/>
        <v>0</v>
      </c>
      <c r="AM80" s="325">
        <f t="shared" si="19"/>
        <v>490</v>
      </c>
      <c r="AN80" s="325"/>
      <c r="AO80" s="325">
        <f t="shared" si="20"/>
        <v>490</v>
      </c>
    </row>
    <row r="81" spans="3:41" s="78" customFormat="1" ht="20.100000000000001" customHeight="1">
      <c r="F81" s="105" t="s">
        <v>67</v>
      </c>
      <c r="G81" s="325">
        <f t="shared" si="39"/>
        <v>0</v>
      </c>
      <c r="H81" s="325">
        <f t="shared" si="39"/>
        <v>0</v>
      </c>
      <c r="I81" s="325">
        <f t="shared" si="18"/>
        <v>0</v>
      </c>
      <c r="J81" s="325"/>
      <c r="K81" s="325"/>
      <c r="L81" s="325"/>
      <c r="M81" s="325">
        <f t="shared" si="40"/>
        <v>0</v>
      </c>
      <c r="N81" s="325">
        <v>500</v>
      </c>
      <c r="O81" s="325"/>
      <c r="P81" s="325">
        <f t="shared" si="41"/>
        <v>500</v>
      </c>
      <c r="Q81" s="325"/>
      <c r="R81" s="325"/>
      <c r="S81" s="325"/>
      <c r="T81" s="325">
        <f t="shared" si="42"/>
        <v>0</v>
      </c>
      <c r="U81" s="325">
        <f t="shared" si="43"/>
        <v>500</v>
      </c>
      <c r="V81" s="325"/>
      <c r="W81" s="325"/>
      <c r="X81" s="325"/>
      <c r="Y81" s="325"/>
      <c r="Z81" s="325"/>
      <c r="AA81" s="325">
        <f t="shared" si="44"/>
        <v>0</v>
      </c>
      <c r="AB81" s="325"/>
      <c r="AC81" s="325"/>
      <c r="AD81" s="325"/>
      <c r="AE81" s="325"/>
      <c r="AF81" s="325"/>
      <c r="AG81" s="325">
        <f t="shared" si="45"/>
        <v>0</v>
      </c>
      <c r="AH81" s="325"/>
      <c r="AI81" s="325"/>
      <c r="AJ81" s="325"/>
      <c r="AK81" s="325">
        <f t="shared" si="46"/>
        <v>0</v>
      </c>
      <c r="AL81" s="325">
        <f t="shared" si="47"/>
        <v>0</v>
      </c>
      <c r="AM81" s="325">
        <f t="shared" si="19"/>
        <v>500</v>
      </c>
      <c r="AN81" s="325"/>
      <c r="AO81" s="325">
        <f t="shared" si="20"/>
        <v>500</v>
      </c>
    </row>
    <row r="82" spans="3:41" s="78" customFormat="1" ht="20.100000000000001" customHeight="1">
      <c r="F82" s="105" t="s">
        <v>60</v>
      </c>
      <c r="G82" s="325">
        <f t="shared" si="39"/>
        <v>0</v>
      </c>
      <c r="H82" s="325">
        <f t="shared" si="39"/>
        <v>0</v>
      </c>
      <c r="I82" s="325">
        <f t="shared" si="18"/>
        <v>0</v>
      </c>
      <c r="J82" s="325"/>
      <c r="K82" s="325"/>
      <c r="L82" s="325"/>
      <c r="M82" s="325">
        <f t="shared" si="40"/>
        <v>0</v>
      </c>
      <c r="N82" s="325"/>
      <c r="O82" s="325"/>
      <c r="P82" s="325">
        <f t="shared" si="41"/>
        <v>0</v>
      </c>
      <c r="Q82" s="325"/>
      <c r="R82" s="325"/>
      <c r="S82" s="325"/>
      <c r="T82" s="325">
        <f t="shared" si="42"/>
        <v>0</v>
      </c>
      <c r="U82" s="325">
        <f t="shared" si="43"/>
        <v>0</v>
      </c>
      <c r="V82" s="325"/>
      <c r="W82" s="325"/>
      <c r="X82" s="325"/>
      <c r="Y82" s="325"/>
      <c r="Z82" s="325"/>
      <c r="AA82" s="325">
        <f t="shared" si="44"/>
        <v>0</v>
      </c>
      <c r="AB82" s="325"/>
      <c r="AC82" s="325"/>
      <c r="AD82" s="325"/>
      <c r="AE82" s="325"/>
      <c r="AF82" s="325"/>
      <c r="AG82" s="325">
        <f t="shared" si="45"/>
        <v>0</v>
      </c>
      <c r="AH82" s="325"/>
      <c r="AI82" s="325"/>
      <c r="AJ82" s="325"/>
      <c r="AK82" s="325">
        <f t="shared" si="46"/>
        <v>0</v>
      </c>
      <c r="AL82" s="325">
        <f t="shared" si="47"/>
        <v>0</v>
      </c>
      <c r="AM82" s="325">
        <f t="shared" si="19"/>
        <v>0</v>
      </c>
      <c r="AN82" s="325"/>
      <c r="AO82" s="325">
        <f t="shared" si="20"/>
        <v>0</v>
      </c>
    </row>
    <row r="83" spans="3:41" s="78" customFormat="1" ht="20.100000000000001" customHeight="1">
      <c r="G83" s="326"/>
      <c r="H83" s="326"/>
      <c r="I83" s="326"/>
      <c r="J83" s="326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  <c r="W83" s="326"/>
      <c r="X83" s="326"/>
      <c r="Y83" s="326"/>
      <c r="Z83" s="326"/>
      <c r="AA83" s="326"/>
      <c r="AB83" s="326"/>
      <c r="AC83" s="326"/>
      <c r="AD83" s="326"/>
      <c r="AE83" s="326"/>
      <c r="AF83" s="326"/>
      <c r="AG83" s="326"/>
      <c r="AH83" s="326"/>
      <c r="AI83" s="326"/>
      <c r="AJ83" s="326"/>
      <c r="AK83" s="326"/>
      <c r="AL83" s="326"/>
      <c r="AM83" s="326"/>
      <c r="AN83" s="326"/>
      <c r="AO83" s="326"/>
    </row>
    <row r="84" spans="3:41" s="78" customFormat="1" ht="20.100000000000001" customHeight="1">
      <c r="C84" s="81" t="s">
        <v>70</v>
      </c>
      <c r="D84" s="81"/>
      <c r="E84" s="81"/>
      <c r="F84" s="104" t="s">
        <v>62</v>
      </c>
      <c r="G84" s="324">
        <f>AM77</f>
        <v>3500</v>
      </c>
      <c r="H84" s="324">
        <f>AN77</f>
        <v>10</v>
      </c>
      <c r="I84" s="324">
        <f t="shared" si="18"/>
        <v>3510</v>
      </c>
      <c r="J84" s="324"/>
      <c r="K84" s="324"/>
      <c r="L84" s="324"/>
      <c r="M84" s="324">
        <f t="shared" ref="M84:M89" si="48">SUM(K84:L84)</f>
        <v>0</v>
      </c>
      <c r="N84" s="324"/>
      <c r="O84" s="324"/>
      <c r="P84" s="324">
        <f t="shared" ref="P84:P89" si="49">SUM(N84:O84)</f>
        <v>0</v>
      </c>
      <c r="Q84" s="324"/>
      <c r="R84" s="324"/>
      <c r="S84" s="324"/>
      <c r="T84" s="324">
        <f t="shared" ref="T84:T89" si="50">SUM(R84:S84)</f>
        <v>0</v>
      </c>
      <c r="U84" s="324">
        <f t="shared" ref="U84:U89" si="51">J84+M84+P84+Q84+T84</f>
        <v>0</v>
      </c>
      <c r="V84" s="324"/>
      <c r="W84" s="324"/>
      <c r="X84" s="324"/>
      <c r="Y84" s="324"/>
      <c r="Z84" s="324"/>
      <c r="AA84" s="324">
        <f t="shared" ref="AA84:AA89" si="52">SUM(W84:Z84)</f>
        <v>0</v>
      </c>
      <c r="AB84" s="324"/>
      <c r="AC84" s="324"/>
      <c r="AD84" s="324"/>
      <c r="AE84" s="324"/>
      <c r="AF84" s="324"/>
      <c r="AG84" s="324">
        <f t="shared" ref="AG84:AG89" si="53">SUM(AC84:AF84)</f>
        <v>0</v>
      </c>
      <c r="AH84" s="324"/>
      <c r="AI84" s="324"/>
      <c r="AJ84" s="324"/>
      <c r="AK84" s="324">
        <f t="shared" ref="AK84:AK89" si="54">SUM(AH84:AJ84)</f>
        <v>0</v>
      </c>
      <c r="AL84" s="324">
        <f t="shared" ref="AL84:AL89" si="55">V84+AA84+AB84+AG84+AK84</f>
        <v>0</v>
      </c>
      <c r="AM84" s="324">
        <f t="shared" si="19"/>
        <v>3500</v>
      </c>
      <c r="AN84" s="328">
        <v>10</v>
      </c>
      <c r="AO84" s="324">
        <f t="shared" si="20"/>
        <v>3510</v>
      </c>
    </row>
    <row r="85" spans="3:41" s="78" customFormat="1" ht="20.100000000000001" customHeight="1">
      <c r="F85" s="104" t="s">
        <v>63</v>
      </c>
      <c r="G85" s="324">
        <f>AM78</f>
        <v>5500</v>
      </c>
      <c r="H85" s="324">
        <f t="shared" ref="H85:H89" si="56">AN78</f>
        <v>0</v>
      </c>
      <c r="I85" s="324">
        <f t="shared" si="18"/>
        <v>5500</v>
      </c>
      <c r="J85" s="324"/>
      <c r="K85" s="324"/>
      <c r="L85" s="324"/>
      <c r="M85" s="324">
        <f t="shared" si="48"/>
        <v>0</v>
      </c>
      <c r="N85" s="324"/>
      <c r="O85" s="324"/>
      <c r="P85" s="324">
        <f t="shared" si="49"/>
        <v>0</v>
      </c>
      <c r="Q85" s="324"/>
      <c r="R85" s="324"/>
      <c r="S85" s="324"/>
      <c r="T85" s="324">
        <f t="shared" si="50"/>
        <v>0</v>
      </c>
      <c r="U85" s="324">
        <f t="shared" si="51"/>
        <v>0</v>
      </c>
      <c r="V85" s="324"/>
      <c r="W85" s="324"/>
      <c r="X85" s="324"/>
      <c r="Y85" s="324"/>
      <c r="Z85" s="324"/>
      <c r="AA85" s="324">
        <f t="shared" si="52"/>
        <v>0</v>
      </c>
      <c r="AB85" s="324"/>
      <c r="AC85" s="324"/>
      <c r="AD85" s="324"/>
      <c r="AE85" s="324"/>
      <c r="AF85" s="324"/>
      <c r="AG85" s="324">
        <f t="shared" si="53"/>
        <v>0</v>
      </c>
      <c r="AH85" s="324"/>
      <c r="AI85" s="324"/>
      <c r="AJ85" s="324"/>
      <c r="AK85" s="324">
        <f t="shared" si="54"/>
        <v>0</v>
      </c>
      <c r="AL85" s="324">
        <f t="shared" si="55"/>
        <v>0</v>
      </c>
      <c r="AM85" s="324">
        <f t="shared" si="19"/>
        <v>5500</v>
      </c>
      <c r="AN85" s="324"/>
      <c r="AO85" s="324">
        <f t="shared" si="20"/>
        <v>5500</v>
      </c>
    </row>
    <row r="86" spans="3:41" s="78" customFormat="1" ht="20.100000000000001" customHeight="1">
      <c r="F86" s="104" t="s">
        <v>59</v>
      </c>
      <c r="G86" s="324">
        <f>AM79</f>
        <v>7000</v>
      </c>
      <c r="H86" s="324">
        <f t="shared" si="56"/>
        <v>0</v>
      </c>
      <c r="I86" s="324">
        <f t="shared" si="18"/>
        <v>7000</v>
      </c>
      <c r="J86" s="324"/>
      <c r="K86" s="324"/>
      <c r="L86" s="324"/>
      <c r="M86" s="324">
        <f t="shared" si="48"/>
        <v>0</v>
      </c>
      <c r="N86" s="324"/>
      <c r="O86" s="324"/>
      <c r="P86" s="324">
        <f t="shared" si="49"/>
        <v>0</v>
      </c>
      <c r="Q86" s="324"/>
      <c r="R86" s="324"/>
      <c r="S86" s="324"/>
      <c r="T86" s="324">
        <f t="shared" si="50"/>
        <v>0</v>
      </c>
      <c r="U86" s="324">
        <f t="shared" si="51"/>
        <v>0</v>
      </c>
      <c r="V86" s="324"/>
      <c r="W86" s="324"/>
      <c r="X86" s="324"/>
      <c r="Y86" s="324"/>
      <c r="Z86" s="324"/>
      <c r="AA86" s="324">
        <f t="shared" si="52"/>
        <v>0</v>
      </c>
      <c r="AB86" s="324"/>
      <c r="AC86" s="324"/>
      <c r="AD86" s="324"/>
      <c r="AE86" s="324"/>
      <c r="AF86" s="324"/>
      <c r="AG86" s="324">
        <f t="shared" si="53"/>
        <v>0</v>
      </c>
      <c r="AH86" s="324"/>
      <c r="AI86" s="324"/>
      <c r="AJ86" s="324"/>
      <c r="AK86" s="324">
        <f t="shared" si="54"/>
        <v>0</v>
      </c>
      <c r="AL86" s="324">
        <f t="shared" si="55"/>
        <v>0</v>
      </c>
      <c r="AM86" s="324">
        <f t="shared" si="19"/>
        <v>7000</v>
      </c>
      <c r="AN86" s="324"/>
      <c r="AO86" s="324">
        <f t="shared" si="20"/>
        <v>7000</v>
      </c>
    </row>
    <row r="87" spans="3:41" s="78" customFormat="1" ht="20.100000000000001" customHeight="1">
      <c r="F87" s="105" t="s">
        <v>66</v>
      </c>
      <c r="G87" s="325">
        <f>AM80</f>
        <v>490</v>
      </c>
      <c r="H87" s="325">
        <f t="shared" si="56"/>
        <v>0</v>
      </c>
      <c r="I87" s="325">
        <f t="shared" si="18"/>
        <v>490</v>
      </c>
      <c r="J87" s="325"/>
      <c r="K87" s="325"/>
      <c r="L87" s="325"/>
      <c r="M87" s="325">
        <f t="shared" si="48"/>
        <v>0</v>
      </c>
      <c r="N87" s="325"/>
      <c r="O87" s="325"/>
      <c r="P87" s="325">
        <f t="shared" si="49"/>
        <v>0</v>
      </c>
      <c r="Q87" s="325"/>
      <c r="R87" s="325"/>
      <c r="S87" s="325"/>
      <c r="T87" s="325">
        <f t="shared" si="50"/>
        <v>0</v>
      </c>
      <c r="U87" s="325">
        <f t="shared" si="51"/>
        <v>0</v>
      </c>
      <c r="V87" s="325">
        <v>270</v>
      </c>
      <c r="W87" s="325"/>
      <c r="X87" s="325"/>
      <c r="Y87" s="325"/>
      <c r="Z87" s="325"/>
      <c r="AA87" s="325">
        <f t="shared" si="52"/>
        <v>0</v>
      </c>
      <c r="AB87" s="325"/>
      <c r="AC87" s="325"/>
      <c r="AD87" s="325"/>
      <c r="AE87" s="325"/>
      <c r="AF87" s="325"/>
      <c r="AG87" s="325">
        <f t="shared" si="53"/>
        <v>0</v>
      </c>
      <c r="AH87" s="325"/>
      <c r="AI87" s="325"/>
      <c r="AJ87" s="325"/>
      <c r="AK87" s="325">
        <f t="shared" si="54"/>
        <v>0</v>
      </c>
      <c r="AL87" s="325">
        <f t="shared" si="55"/>
        <v>270</v>
      </c>
      <c r="AM87" s="325">
        <f t="shared" si="19"/>
        <v>220</v>
      </c>
      <c r="AN87" s="325"/>
      <c r="AO87" s="325">
        <f t="shared" si="20"/>
        <v>220</v>
      </c>
    </row>
    <row r="88" spans="3:41" s="78" customFormat="1" ht="20.100000000000001" customHeight="1">
      <c r="F88" s="105" t="s">
        <v>67</v>
      </c>
      <c r="G88" s="325">
        <f>AM81</f>
        <v>500</v>
      </c>
      <c r="H88" s="325">
        <f t="shared" si="56"/>
        <v>0</v>
      </c>
      <c r="I88" s="325">
        <f t="shared" si="18"/>
        <v>500</v>
      </c>
      <c r="J88" s="325"/>
      <c r="K88" s="325"/>
      <c r="L88" s="325"/>
      <c r="M88" s="325">
        <f t="shared" si="48"/>
        <v>0</v>
      </c>
      <c r="N88" s="325"/>
      <c r="O88" s="325"/>
      <c r="P88" s="325">
        <f t="shared" si="49"/>
        <v>0</v>
      </c>
      <c r="Q88" s="325"/>
      <c r="R88" s="325"/>
      <c r="S88" s="325"/>
      <c r="T88" s="325">
        <f t="shared" si="50"/>
        <v>0</v>
      </c>
      <c r="U88" s="325">
        <f t="shared" si="51"/>
        <v>0</v>
      </c>
      <c r="V88" s="325"/>
      <c r="W88" s="325"/>
      <c r="X88" s="325"/>
      <c r="Y88" s="325"/>
      <c r="Z88" s="325"/>
      <c r="AA88" s="325">
        <f t="shared" si="52"/>
        <v>0</v>
      </c>
      <c r="AB88" s="325"/>
      <c r="AC88" s="325"/>
      <c r="AD88" s="325"/>
      <c r="AE88" s="325"/>
      <c r="AF88" s="325"/>
      <c r="AG88" s="325">
        <f t="shared" si="53"/>
        <v>0</v>
      </c>
      <c r="AH88" s="325"/>
      <c r="AI88" s="325"/>
      <c r="AJ88" s="325"/>
      <c r="AK88" s="325">
        <f t="shared" si="54"/>
        <v>0</v>
      </c>
      <c r="AL88" s="325">
        <f t="shared" si="55"/>
        <v>0</v>
      </c>
      <c r="AM88" s="325">
        <f t="shared" si="19"/>
        <v>500</v>
      </c>
      <c r="AN88" s="325"/>
      <c r="AO88" s="325">
        <f t="shared" si="20"/>
        <v>500</v>
      </c>
    </row>
    <row r="89" spans="3:41" s="78" customFormat="1" ht="20.100000000000001" customHeight="1">
      <c r="F89" s="105" t="s">
        <v>60</v>
      </c>
      <c r="G89" s="325">
        <f>AM82</f>
        <v>0</v>
      </c>
      <c r="H89" s="325">
        <f t="shared" si="56"/>
        <v>0</v>
      </c>
      <c r="I89" s="325">
        <f t="shared" si="18"/>
        <v>0</v>
      </c>
      <c r="J89" s="325"/>
      <c r="K89" s="325"/>
      <c r="L89" s="325"/>
      <c r="M89" s="325">
        <f t="shared" si="48"/>
        <v>0</v>
      </c>
      <c r="N89" s="325"/>
      <c r="O89" s="325"/>
      <c r="P89" s="325">
        <f t="shared" si="49"/>
        <v>0</v>
      </c>
      <c r="Q89" s="325"/>
      <c r="R89" s="325"/>
      <c r="S89" s="325"/>
      <c r="T89" s="325">
        <f t="shared" si="50"/>
        <v>0</v>
      </c>
      <c r="U89" s="325">
        <f t="shared" si="51"/>
        <v>0</v>
      </c>
      <c r="V89" s="325"/>
      <c r="W89" s="325"/>
      <c r="X89" s="325"/>
      <c r="Y89" s="325"/>
      <c r="Z89" s="325"/>
      <c r="AA89" s="325">
        <f t="shared" si="52"/>
        <v>0</v>
      </c>
      <c r="AB89" s="325"/>
      <c r="AC89" s="325"/>
      <c r="AD89" s="325"/>
      <c r="AE89" s="325"/>
      <c r="AF89" s="325"/>
      <c r="AG89" s="325">
        <f t="shared" si="53"/>
        <v>0</v>
      </c>
      <c r="AH89" s="325"/>
      <c r="AI89" s="325"/>
      <c r="AJ89" s="325"/>
      <c r="AK89" s="325">
        <f t="shared" si="54"/>
        <v>0</v>
      </c>
      <c r="AL89" s="325">
        <f t="shared" si="55"/>
        <v>0</v>
      </c>
      <c r="AM89" s="325">
        <f t="shared" si="19"/>
        <v>0</v>
      </c>
      <c r="AN89" s="325"/>
      <c r="AO89" s="325">
        <f t="shared" si="20"/>
        <v>0</v>
      </c>
    </row>
    <row r="90" spans="3:41" s="78" customFormat="1" ht="20.100000000000001" customHeight="1"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326"/>
      <c r="AB90" s="326"/>
      <c r="AC90" s="326"/>
      <c r="AD90" s="326"/>
      <c r="AE90" s="326"/>
      <c r="AF90" s="326"/>
      <c r="AG90" s="326"/>
      <c r="AH90" s="326"/>
      <c r="AI90" s="326"/>
      <c r="AJ90" s="326"/>
      <c r="AK90" s="326"/>
      <c r="AL90" s="326"/>
      <c r="AM90" s="326"/>
      <c r="AN90" s="326"/>
      <c r="AO90" s="326"/>
    </row>
    <row r="91" spans="3:41" s="78" customFormat="1" ht="20.100000000000001" customHeight="1">
      <c r="C91" s="81" t="s">
        <v>290</v>
      </c>
      <c r="D91" s="81"/>
      <c r="E91" s="81"/>
      <c r="F91" s="104" t="s">
        <v>62</v>
      </c>
      <c r="G91" s="324">
        <f>AM84</f>
        <v>3500</v>
      </c>
      <c r="H91" s="324">
        <f>AN84</f>
        <v>10</v>
      </c>
      <c r="I91" s="324">
        <f t="shared" ref="I91:I96" si="57">SUM(G91:H91)</f>
        <v>3510</v>
      </c>
      <c r="J91" s="324"/>
      <c r="K91" s="324"/>
      <c r="L91" s="324"/>
      <c r="M91" s="324">
        <f t="shared" ref="M91:M96" si="58">SUM(K91:L91)</f>
        <v>0</v>
      </c>
      <c r="N91" s="324"/>
      <c r="O91" s="324"/>
      <c r="P91" s="324">
        <f t="shared" ref="P91:P96" si="59">SUM(N91:O91)</f>
        <v>0</v>
      </c>
      <c r="Q91" s="324"/>
      <c r="R91" s="324"/>
      <c r="S91" s="324"/>
      <c r="T91" s="324">
        <f t="shared" ref="T91:T96" si="60">SUM(R91:S91)</f>
        <v>0</v>
      </c>
      <c r="U91" s="324">
        <f t="shared" ref="U91:U96" si="61">J91+M91+P91+Q91+T91</f>
        <v>0</v>
      </c>
      <c r="V91" s="324"/>
      <c r="W91" s="324"/>
      <c r="X91" s="324"/>
      <c r="Y91" s="324"/>
      <c r="Z91" s="324"/>
      <c r="AA91" s="324">
        <f t="shared" ref="AA91:AA96" si="62">SUM(W91:Z91)</f>
        <v>0</v>
      </c>
      <c r="AB91" s="324"/>
      <c r="AC91" s="324"/>
      <c r="AD91" s="324"/>
      <c r="AE91" s="324"/>
      <c r="AF91" s="324"/>
      <c r="AG91" s="324">
        <f t="shared" ref="AG91:AG96" si="63">SUM(AC91:AF91)</f>
        <v>0</v>
      </c>
      <c r="AH91" s="324">
        <v>10</v>
      </c>
      <c r="AI91" s="324"/>
      <c r="AJ91" s="324"/>
      <c r="AK91" s="324">
        <f t="shared" ref="AK91:AK96" si="64">SUM(AH91:AJ91)</f>
        <v>10</v>
      </c>
      <c r="AL91" s="324">
        <f t="shared" ref="AL91:AL96" si="65">V91+AA91+AB91+AG91+AK91</f>
        <v>10</v>
      </c>
      <c r="AM91" s="324">
        <f t="shared" ref="AM91:AM97" si="66">AO91-AN91</f>
        <v>3500</v>
      </c>
      <c r="AN91" s="324"/>
      <c r="AO91" s="324">
        <f t="shared" ref="AO91:AO97" si="67">I91+U91-AL91</f>
        <v>3500</v>
      </c>
    </row>
    <row r="92" spans="3:41" s="78" customFormat="1" ht="20.100000000000001" customHeight="1">
      <c r="F92" s="104" t="s">
        <v>63</v>
      </c>
      <c r="G92" s="324">
        <f>AM85</f>
        <v>5500</v>
      </c>
      <c r="H92" s="324">
        <f t="shared" ref="H92:H96" si="68">AN85</f>
        <v>0</v>
      </c>
      <c r="I92" s="324">
        <f t="shared" si="57"/>
        <v>5500</v>
      </c>
      <c r="J92" s="324"/>
      <c r="K92" s="324"/>
      <c r="L92" s="324"/>
      <c r="M92" s="324">
        <f t="shared" si="58"/>
        <v>0</v>
      </c>
      <c r="N92" s="324"/>
      <c r="O92" s="324"/>
      <c r="P92" s="324">
        <f t="shared" si="59"/>
        <v>0</v>
      </c>
      <c r="Q92" s="324"/>
      <c r="R92" s="324"/>
      <c r="S92" s="324"/>
      <c r="T92" s="324">
        <f t="shared" si="60"/>
        <v>0</v>
      </c>
      <c r="U92" s="324">
        <f t="shared" si="61"/>
        <v>0</v>
      </c>
      <c r="V92" s="324"/>
      <c r="W92" s="324"/>
      <c r="X92" s="324"/>
      <c r="Y92" s="324"/>
      <c r="Z92" s="324"/>
      <c r="AA92" s="324">
        <f t="shared" si="62"/>
        <v>0</v>
      </c>
      <c r="AB92" s="324"/>
      <c r="AC92" s="324"/>
      <c r="AD92" s="324"/>
      <c r="AE92" s="324"/>
      <c r="AF92" s="324"/>
      <c r="AG92" s="324">
        <f t="shared" si="63"/>
        <v>0</v>
      </c>
      <c r="AH92" s="324"/>
      <c r="AI92" s="324"/>
      <c r="AJ92" s="324"/>
      <c r="AK92" s="324">
        <f t="shared" si="64"/>
        <v>0</v>
      </c>
      <c r="AL92" s="324">
        <f t="shared" si="65"/>
        <v>0</v>
      </c>
      <c r="AM92" s="324">
        <f t="shared" si="66"/>
        <v>5500</v>
      </c>
      <c r="AN92" s="324"/>
      <c r="AO92" s="324">
        <f t="shared" si="67"/>
        <v>5500</v>
      </c>
    </row>
    <row r="93" spans="3:41" s="78" customFormat="1" ht="20.100000000000001" customHeight="1">
      <c r="F93" s="104" t="s">
        <v>59</v>
      </c>
      <c r="G93" s="324">
        <f>AM86</f>
        <v>7000</v>
      </c>
      <c r="H93" s="324">
        <f t="shared" si="68"/>
        <v>0</v>
      </c>
      <c r="I93" s="324">
        <f t="shared" si="57"/>
        <v>7000</v>
      </c>
      <c r="J93" s="324"/>
      <c r="K93" s="324"/>
      <c r="L93" s="324"/>
      <c r="M93" s="324">
        <f t="shared" si="58"/>
        <v>0</v>
      </c>
      <c r="N93" s="324"/>
      <c r="O93" s="324"/>
      <c r="P93" s="324">
        <f t="shared" si="59"/>
        <v>0</v>
      </c>
      <c r="Q93" s="324"/>
      <c r="R93" s="324"/>
      <c r="S93" s="324"/>
      <c r="T93" s="324">
        <f t="shared" si="60"/>
        <v>0</v>
      </c>
      <c r="U93" s="324">
        <f t="shared" si="61"/>
        <v>0</v>
      </c>
      <c r="V93" s="324"/>
      <c r="W93" s="324"/>
      <c r="X93" s="324"/>
      <c r="Y93" s="324"/>
      <c r="Z93" s="324"/>
      <c r="AA93" s="324">
        <f t="shared" si="62"/>
        <v>0</v>
      </c>
      <c r="AB93" s="324"/>
      <c r="AC93" s="324"/>
      <c r="AD93" s="324"/>
      <c r="AE93" s="324"/>
      <c r="AF93" s="324"/>
      <c r="AG93" s="324">
        <f t="shared" si="63"/>
        <v>0</v>
      </c>
      <c r="AH93" s="324"/>
      <c r="AI93" s="324"/>
      <c r="AJ93" s="324"/>
      <c r="AK93" s="324">
        <f t="shared" si="64"/>
        <v>0</v>
      </c>
      <c r="AL93" s="324">
        <f t="shared" si="65"/>
        <v>0</v>
      </c>
      <c r="AM93" s="324">
        <f t="shared" si="66"/>
        <v>7000</v>
      </c>
      <c r="AN93" s="324"/>
      <c r="AO93" s="324">
        <f t="shared" si="67"/>
        <v>7000</v>
      </c>
    </row>
    <row r="94" spans="3:41" s="78" customFormat="1" ht="20.100000000000001" customHeight="1">
      <c r="F94" s="105" t="s">
        <v>66</v>
      </c>
      <c r="G94" s="325">
        <f>AM87</f>
        <v>220</v>
      </c>
      <c r="H94" s="325">
        <f t="shared" si="68"/>
        <v>0</v>
      </c>
      <c r="I94" s="325">
        <f t="shared" si="57"/>
        <v>220</v>
      </c>
      <c r="J94" s="325"/>
      <c r="K94" s="325"/>
      <c r="L94" s="325"/>
      <c r="M94" s="325">
        <f t="shared" si="58"/>
        <v>0</v>
      </c>
      <c r="N94" s="325"/>
      <c r="O94" s="325"/>
      <c r="P94" s="325">
        <f t="shared" si="59"/>
        <v>0</v>
      </c>
      <c r="Q94" s="325"/>
      <c r="R94" s="325"/>
      <c r="S94" s="325"/>
      <c r="T94" s="325">
        <f t="shared" si="60"/>
        <v>0</v>
      </c>
      <c r="U94" s="325">
        <f t="shared" si="61"/>
        <v>0</v>
      </c>
      <c r="V94" s="325"/>
      <c r="W94" s="325"/>
      <c r="X94" s="325"/>
      <c r="Y94" s="325"/>
      <c r="Z94" s="325"/>
      <c r="AA94" s="325">
        <f t="shared" si="62"/>
        <v>0</v>
      </c>
      <c r="AB94" s="325"/>
      <c r="AC94" s="325"/>
      <c r="AD94" s="325"/>
      <c r="AE94" s="325"/>
      <c r="AF94" s="325"/>
      <c r="AG94" s="325">
        <f t="shared" si="63"/>
        <v>0</v>
      </c>
      <c r="AH94" s="325"/>
      <c r="AI94" s="325"/>
      <c r="AJ94" s="325"/>
      <c r="AK94" s="325">
        <f t="shared" si="64"/>
        <v>0</v>
      </c>
      <c r="AL94" s="325">
        <f t="shared" si="65"/>
        <v>0</v>
      </c>
      <c r="AM94" s="325">
        <f t="shared" si="66"/>
        <v>220</v>
      </c>
      <c r="AN94" s="325"/>
      <c r="AO94" s="325">
        <f t="shared" si="67"/>
        <v>220</v>
      </c>
    </row>
    <row r="95" spans="3:41" s="78" customFormat="1" ht="20.100000000000001" customHeight="1">
      <c r="F95" s="105" t="s">
        <v>67</v>
      </c>
      <c r="G95" s="325">
        <f>AM88</f>
        <v>500</v>
      </c>
      <c r="H95" s="325">
        <f t="shared" si="68"/>
        <v>0</v>
      </c>
      <c r="I95" s="325">
        <f t="shared" si="57"/>
        <v>500</v>
      </c>
      <c r="J95" s="325"/>
      <c r="K95" s="325"/>
      <c r="L95" s="325"/>
      <c r="M95" s="325">
        <f t="shared" si="58"/>
        <v>0</v>
      </c>
      <c r="N95" s="325"/>
      <c r="O95" s="325"/>
      <c r="P95" s="325">
        <f t="shared" si="59"/>
        <v>0</v>
      </c>
      <c r="Q95" s="325"/>
      <c r="R95" s="325"/>
      <c r="S95" s="325"/>
      <c r="T95" s="325">
        <f t="shared" si="60"/>
        <v>0</v>
      </c>
      <c r="U95" s="325">
        <f t="shared" si="61"/>
        <v>0</v>
      </c>
      <c r="V95" s="325"/>
      <c r="W95" s="325"/>
      <c r="X95" s="325"/>
      <c r="Y95" s="325"/>
      <c r="Z95" s="325"/>
      <c r="AA95" s="325">
        <f t="shared" si="62"/>
        <v>0</v>
      </c>
      <c r="AB95" s="325"/>
      <c r="AC95" s="325"/>
      <c r="AD95" s="325"/>
      <c r="AE95" s="325"/>
      <c r="AF95" s="325"/>
      <c r="AG95" s="325">
        <f t="shared" si="63"/>
        <v>0</v>
      </c>
      <c r="AH95" s="325"/>
      <c r="AI95" s="325"/>
      <c r="AJ95" s="325"/>
      <c r="AK95" s="325">
        <f t="shared" si="64"/>
        <v>0</v>
      </c>
      <c r="AL95" s="325">
        <f t="shared" si="65"/>
        <v>0</v>
      </c>
      <c r="AM95" s="325">
        <f t="shared" si="66"/>
        <v>500</v>
      </c>
      <c r="AN95" s="325"/>
      <c r="AO95" s="325">
        <f t="shared" si="67"/>
        <v>500</v>
      </c>
    </row>
    <row r="96" spans="3:41" s="78" customFormat="1" ht="20.100000000000001" customHeight="1">
      <c r="F96" s="105" t="s">
        <v>60</v>
      </c>
      <c r="G96" s="325">
        <f>AM89</f>
        <v>0</v>
      </c>
      <c r="H96" s="325">
        <f t="shared" si="68"/>
        <v>0</v>
      </c>
      <c r="I96" s="325">
        <f t="shared" si="57"/>
        <v>0</v>
      </c>
      <c r="J96" s="325"/>
      <c r="K96" s="325"/>
      <c r="L96" s="325"/>
      <c r="M96" s="325">
        <f t="shared" si="58"/>
        <v>0</v>
      </c>
      <c r="N96" s="325"/>
      <c r="O96" s="325"/>
      <c r="P96" s="325">
        <f t="shared" si="59"/>
        <v>0</v>
      </c>
      <c r="Q96" s="325"/>
      <c r="R96" s="325"/>
      <c r="S96" s="325"/>
      <c r="T96" s="325">
        <f t="shared" si="60"/>
        <v>0</v>
      </c>
      <c r="U96" s="325">
        <f t="shared" si="61"/>
        <v>0</v>
      </c>
      <c r="V96" s="325"/>
      <c r="W96" s="325"/>
      <c r="X96" s="325"/>
      <c r="Y96" s="325"/>
      <c r="Z96" s="325"/>
      <c r="AA96" s="325">
        <f t="shared" si="62"/>
        <v>0</v>
      </c>
      <c r="AB96" s="325"/>
      <c r="AC96" s="325"/>
      <c r="AD96" s="325"/>
      <c r="AE96" s="325"/>
      <c r="AF96" s="325"/>
      <c r="AG96" s="325">
        <f t="shared" si="63"/>
        <v>0</v>
      </c>
      <c r="AH96" s="325"/>
      <c r="AI96" s="325"/>
      <c r="AJ96" s="325"/>
      <c r="AK96" s="325">
        <f t="shared" si="64"/>
        <v>0</v>
      </c>
      <c r="AL96" s="325">
        <f t="shared" si="65"/>
        <v>0</v>
      </c>
      <c r="AM96" s="325">
        <f t="shared" si="66"/>
        <v>0</v>
      </c>
      <c r="AN96" s="325"/>
      <c r="AO96" s="325">
        <f t="shared" si="67"/>
        <v>0</v>
      </c>
    </row>
    <row r="97" spans="3:41" s="78" customFormat="1" ht="20.100000000000001" customHeight="1"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  <c r="W97" s="326"/>
      <c r="X97" s="326"/>
      <c r="Y97" s="326"/>
      <c r="Z97" s="326"/>
      <c r="AA97" s="326"/>
      <c r="AB97" s="326"/>
      <c r="AC97" s="326"/>
      <c r="AD97" s="326"/>
      <c r="AE97" s="326"/>
      <c r="AF97" s="326"/>
      <c r="AG97" s="326"/>
      <c r="AH97" s="326"/>
      <c r="AI97" s="326"/>
      <c r="AJ97" s="326"/>
      <c r="AK97" s="326"/>
      <c r="AL97" s="326"/>
      <c r="AM97" s="326">
        <f t="shared" si="66"/>
        <v>0</v>
      </c>
      <c r="AN97" s="326"/>
      <c r="AO97" s="326">
        <f t="shared" si="67"/>
        <v>0</v>
      </c>
    </row>
    <row r="98" spans="3:41" s="78" customFormat="1" ht="20.100000000000001" customHeight="1">
      <c r="C98" s="81" t="s">
        <v>292</v>
      </c>
      <c r="D98" s="81"/>
      <c r="E98" s="81"/>
      <c r="F98" s="104" t="s">
        <v>62</v>
      </c>
      <c r="G98" s="324">
        <f>AM91</f>
        <v>3500</v>
      </c>
      <c r="H98" s="324">
        <f>AN91</f>
        <v>0</v>
      </c>
      <c r="I98" s="324">
        <f t="shared" si="18"/>
        <v>3500</v>
      </c>
      <c r="J98" s="324"/>
      <c r="K98" s="324"/>
      <c r="L98" s="324"/>
      <c r="M98" s="324">
        <f t="shared" ref="M98:M103" si="69">SUM(K98:L98)</f>
        <v>0</v>
      </c>
      <c r="N98" s="324"/>
      <c r="O98" s="324"/>
      <c r="P98" s="324">
        <f t="shared" ref="P98:P103" si="70">SUM(N98:O98)</f>
        <v>0</v>
      </c>
      <c r="Q98" s="324"/>
      <c r="R98" s="324"/>
      <c r="S98" s="324"/>
      <c r="T98" s="324">
        <f t="shared" ref="T98:T103" si="71">SUM(R98:S98)</f>
        <v>0</v>
      </c>
      <c r="U98" s="324">
        <f t="shared" ref="U98:U103" si="72">J98+M98+P98+Q98+T98</f>
        <v>0</v>
      </c>
      <c r="V98" s="324"/>
      <c r="W98" s="324"/>
      <c r="X98" s="324"/>
      <c r="Y98" s="324"/>
      <c r="Z98" s="324"/>
      <c r="AA98" s="324">
        <f t="shared" ref="AA98:AA103" si="73">SUM(W98:Z98)</f>
        <v>0</v>
      </c>
      <c r="AB98" s="324"/>
      <c r="AC98" s="324"/>
      <c r="AD98" s="324"/>
      <c r="AE98" s="324"/>
      <c r="AF98" s="324"/>
      <c r="AG98" s="324">
        <f t="shared" ref="AG98:AG103" si="74">SUM(AC98:AF98)</f>
        <v>0</v>
      </c>
      <c r="AH98" s="324"/>
      <c r="AI98" s="324"/>
      <c r="AJ98" s="324"/>
      <c r="AK98" s="324">
        <f t="shared" ref="AK98:AK103" si="75">SUM(AH98:AJ98)</f>
        <v>0</v>
      </c>
      <c r="AL98" s="324">
        <f t="shared" ref="AL98:AL103" si="76">V98+AA98+AB98+AG98+AK98</f>
        <v>0</v>
      </c>
      <c r="AM98" s="324">
        <f t="shared" si="19"/>
        <v>3500</v>
      </c>
      <c r="AN98" s="324"/>
      <c r="AO98" s="324">
        <f t="shared" si="20"/>
        <v>3500</v>
      </c>
    </row>
    <row r="99" spans="3:41" s="78" customFormat="1" ht="20.100000000000001" customHeight="1">
      <c r="F99" s="104" t="s">
        <v>63</v>
      </c>
      <c r="G99" s="324">
        <f>AM92</f>
        <v>5500</v>
      </c>
      <c r="H99" s="324">
        <f t="shared" ref="H99:H103" si="77">AN92</f>
        <v>0</v>
      </c>
      <c r="I99" s="324">
        <f t="shared" si="18"/>
        <v>5500</v>
      </c>
      <c r="J99" s="324"/>
      <c r="K99" s="324"/>
      <c r="L99" s="324"/>
      <c r="M99" s="324">
        <f t="shared" si="69"/>
        <v>0</v>
      </c>
      <c r="N99" s="324"/>
      <c r="O99" s="324"/>
      <c r="P99" s="324">
        <f t="shared" si="70"/>
        <v>0</v>
      </c>
      <c r="Q99" s="324"/>
      <c r="R99" s="324"/>
      <c r="S99" s="324"/>
      <c r="T99" s="324">
        <f t="shared" si="71"/>
        <v>0</v>
      </c>
      <c r="U99" s="324">
        <f t="shared" si="72"/>
        <v>0</v>
      </c>
      <c r="V99" s="324"/>
      <c r="W99" s="324"/>
      <c r="X99" s="324"/>
      <c r="Y99" s="324"/>
      <c r="Z99" s="324"/>
      <c r="AA99" s="324">
        <f t="shared" si="73"/>
        <v>0</v>
      </c>
      <c r="AB99" s="324"/>
      <c r="AC99" s="324"/>
      <c r="AD99" s="324"/>
      <c r="AE99" s="324"/>
      <c r="AF99" s="324"/>
      <c r="AG99" s="324">
        <f t="shared" si="74"/>
        <v>0</v>
      </c>
      <c r="AH99" s="324"/>
      <c r="AI99" s="324"/>
      <c r="AJ99" s="324"/>
      <c r="AK99" s="324">
        <f t="shared" si="75"/>
        <v>0</v>
      </c>
      <c r="AL99" s="324">
        <f t="shared" si="76"/>
        <v>0</v>
      </c>
      <c r="AM99" s="324">
        <f t="shared" si="19"/>
        <v>5500</v>
      </c>
      <c r="AN99" s="324"/>
      <c r="AO99" s="324">
        <f t="shared" si="20"/>
        <v>5500</v>
      </c>
    </row>
    <row r="100" spans="3:41" s="78" customFormat="1" ht="20.100000000000001" customHeight="1">
      <c r="F100" s="104" t="s">
        <v>59</v>
      </c>
      <c r="G100" s="324">
        <f>AM93</f>
        <v>7000</v>
      </c>
      <c r="H100" s="324">
        <f t="shared" si="77"/>
        <v>0</v>
      </c>
      <c r="I100" s="324">
        <f t="shared" si="18"/>
        <v>7000</v>
      </c>
      <c r="J100" s="324"/>
      <c r="K100" s="324"/>
      <c r="L100" s="324"/>
      <c r="M100" s="324">
        <f t="shared" si="69"/>
        <v>0</v>
      </c>
      <c r="N100" s="324"/>
      <c r="O100" s="324"/>
      <c r="P100" s="324">
        <f t="shared" si="70"/>
        <v>0</v>
      </c>
      <c r="Q100" s="324"/>
      <c r="R100" s="324"/>
      <c r="S100" s="324"/>
      <c r="T100" s="324">
        <f t="shared" si="71"/>
        <v>0</v>
      </c>
      <c r="U100" s="324">
        <f t="shared" si="72"/>
        <v>0</v>
      </c>
      <c r="V100" s="324"/>
      <c r="W100" s="324"/>
      <c r="X100" s="324"/>
      <c r="Y100" s="324"/>
      <c r="Z100" s="324"/>
      <c r="AA100" s="324">
        <f t="shared" si="73"/>
        <v>0</v>
      </c>
      <c r="AB100" s="324"/>
      <c r="AC100" s="324"/>
      <c r="AD100" s="324"/>
      <c r="AE100" s="324"/>
      <c r="AF100" s="324"/>
      <c r="AG100" s="324">
        <f t="shared" si="74"/>
        <v>0</v>
      </c>
      <c r="AH100" s="324"/>
      <c r="AI100" s="324"/>
      <c r="AJ100" s="324"/>
      <c r="AK100" s="324">
        <f t="shared" si="75"/>
        <v>0</v>
      </c>
      <c r="AL100" s="324">
        <f t="shared" si="76"/>
        <v>0</v>
      </c>
      <c r="AM100" s="324">
        <f t="shared" si="19"/>
        <v>7000</v>
      </c>
      <c r="AN100" s="324"/>
      <c r="AO100" s="324">
        <f t="shared" si="20"/>
        <v>7000</v>
      </c>
    </row>
    <row r="101" spans="3:41" s="78" customFormat="1" ht="20.100000000000001" customHeight="1">
      <c r="F101" s="105" t="s">
        <v>66</v>
      </c>
      <c r="G101" s="325">
        <f>AM94</f>
        <v>220</v>
      </c>
      <c r="H101" s="325">
        <f t="shared" si="77"/>
        <v>0</v>
      </c>
      <c r="I101" s="325">
        <f t="shared" si="18"/>
        <v>220</v>
      </c>
      <c r="J101" s="325"/>
      <c r="K101" s="325"/>
      <c r="L101" s="325"/>
      <c r="M101" s="325">
        <f t="shared" si="69"/>
        <v>0</v>
      </c>
      <c r="N101" s="325">
        <v>100</v>
      </c>
      <c r="O101" s="325"/>
      <c r="P101" s="325">
        <f t="shared" si="70"/>
        <v>100</v>
      </c>
      <c r="Q101" s="325"/>
      <c r="R101" s="325"/>
      <c r="S101" s="325"/>
      <c r="T101" s="325">
        <f t="shared" si="71"/>
        <v>0</v>
      </c>
      <c r="U101" s="325">
        <f t="shared" si="72"/>
        <v>100</v>
      </c>
      <c r="V101" s="325"/>
      <c r="W101" s="325"/>
      <c r="X101" s="325"/>
      <c r="Y101" s="325"/>
      <c r="Z101" s="325"/>
      <c r="AA101" s="325">
        <f t="shared" si="73"/>
        <v>0</v>
      </c>
      <c r="AB101" s="325"/>
      <c r="AC101" s="325"/>
      <c r="AD101" s="325"/>
      <c r="AE101" s="325"/>
      <c r="AF101" s="325"/>
      <c r="AG101" s="325">
        <f t="shared" si="74"/>
        <v>0</v>
      </c>
      <c r="AH101" s="325"/>
      <c r="AI101" s="325"/>
      <c r="AJ101" s="325"/>
      <c r="AK101" s="325">
        <f t="shared" si="75"/>
        <v>0</v>
      </c>
      <c r="AL101" s="325">
        <f t="shared" si="76"/>
        <v>0</v>
      </c>
      <c r="AM101" s="325">
        <f t="shared" si="19"/>
        <v>320</v>
      </c>
      <c r="AN101" s="325"/>
      <c r="AO101" s="325">
        <f t="shared" si="20"/>
        <v>320</v>
      </c>
    </row>
    <row r="102" spans="3:41" s="78" customFormat="1" ht="20.100000000000001" customHeight="1">
      <c r="F102" s="105" t="s">
        <v>67</v>
      </c>
      <c r="G102" s="325">
        <f>AM95</f>
        <v>500</v>
      </c>
      <c r="H102" s="325">
        <f t="shared" si="77"/>
        <v>0</v>
      </c>
      <c r="I102" s="325">
        <f t="shared" si="18"/>
        <v>500</v>
      </c>
      <c r="J102" s="325"/>
      <c r="K102" s="325"/>
      <c r="L102" s="325"/>
      <c r="M102" s="325">
        <f t="shared" si="69"/>
        <v>0</v>
      </c>
      <c r="N102" s="325"/>
      <c r="O102" s="325"/>
      <c r="P102" s="325">
        <f t="shared" si="70"/>
        <v>0</v>
      </c>
      <c r="Q102" s="325"/>
      <c r="R102" s="325"/>
      <c r="S102" s="325"/>
      <c r="T102" s="325">
        <f t="shared" si="71"/>
        <v>0</v>
      </c>
      <c r="U102" s="325">
        <f t="shared" si="72"/>
        <v>0</v>
      </c>
      <c r="V102" s="325"/>
      <c r="W102" s="325">
        <v>100</v>
      </c>
      <c r="X102" s="325"/>
      <c r="Y102" s="325"/>
      <c r="Z102" s="325"/>
      <c r="AA102" s="325">
        <f t="shared" si="73"/>
        <v>100</v>
      </c>
      <c r="AB102" s="325"/>
      <c r="AC102" s="325"/>
      <c r="AD102" s="325"/>
      <c r="AE102" s="325"/>
      <c r="AF102" s="325"/>
      <c r="AG102" s="325">
        <f t="shared" si="74"/>
        <v>0</v>
      </c>
      <c r="AH102" s="325"/>
      <c r="AI102" s="325"/>
      <c r="AJ102" s="325"/>
      <c r="AK102" s="325">
        <f t="shared" si="75"/>
        <v>0</v>
      </c>
      <c r="AL102" s="325">
        <f t="shared" si="76"/>
        <v>100</v>
      </c>
      <c r="AM102" s="325">
        <f t="shared" si="19"/>
        <v>400</v>
      </c>
      <c r="AN102" s="325"/>
      <c r="AO102" s="325">
        <f t="shared" si="20"/>
        <v>400</v>
      </c>
    </row>
    <row r="103" spans="3:41" s="78" customFormat="1" ht="20.100000000000001" customHeight="1">
      <c r="F103" s="105" t="s">
        <v>60</v>
      </c>
      <c r="G103" s="325">
        <f>AM96</f>
        <v>0</v>
      </c>
      <c r="H103" s="325">
        <f t="shared" si="77"/>
        <v>0</v>
      </c>
      <c r="I103" s="325">
        <f t="shared" si="18"/>
        <v>0</v>
      </c>
      <c r="J103" s="325"/>
      <c r="K103" s="325"/>
      <c r="L103" s="325"/>
      <c r="M103" s="325">
        <f t="shared" si="69"/>
        <v>0</v>
      </c>
      <c r="N103" s="325"/>
      <c r="O103" s="325"/>
      <c r="P103" s="325">
        <f t="shared" si="70"/>
        <v>0</v>
      </c>
      <c r="Q103" s="325"/>
      <c r="R103" s="325"/>
      <c r="S103" s="325"/>
      <c r="T103" s="325">
        <f t="shared" si="71"/>
        <v>0</v>
      </c>
      <c r="U103" s="325">
        <f t="shared" si="72"/>
        <v>0</v>
      </c>
      <c r="V103" s="325"/>
      <c r="W103" s="325"/>
      <c r="X103" s="325"/>
      <c r="Y103" s="325"/>
      <c r="Z103" s="325"/>
      <c r="AA103" s="325">
        <f t="shared" si="73"/>
        <v>0</v>
      </c>
      <c r="AB103" s="325"/>
      <c r="AC103" s="325"/>
      <c r="AD103" s="325"/>
      <c r="AE103" s="325"/>
      <c r="AF103" s="325"/>
      <c r="AG103" s="325">
        <f t="shared" si="74"/>
        <v>0</v>
      </c>
      <c r="AH103" s="325"/>
      <c r="AI103" s="325"/>
      <c r="AJ103" s="325"/>
      <c r="AK103" s="325">
        <f t="shared" si="75"/>
        <v>0</v>
      </c>
      <c r="AL103" s="325">
        <f t="shared" si="76"/>
        <v>0</v>
      </c>
      <c r="AM103" s="325">
        <f t="shared" si="19"/>
        <v>0</v>
      </c>
      <c r="AN103" s="325"/>
      <c r="AO103" s="325">
        <f t="shared" si="20"/>
        <v>0</v>
      </c>
    </row>
    <row r="104" spans="3:41" s="78" customFormat="1" ht="20.100000000000001" customHeight="1">
      <c r="G104" s="326"/>
      <c r="H104" s="326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6"/>
      <c r="W104" s="326"/>
      <c r="X104" s="326"/>
      <c r="Y104" s="326"/>
      <c r="Z104" s="326"/>
      <c r="AA104" s="326"/>
      <c r="AB104" s="326"/>
      <c r="AC104" s="326"/>
      <c r="AD104" s="326"/>
      <c r="AE104" s="326"/>
      <c r="AF104" s="326"/>
      <c r="AG104" s="326"/>
      <c r="AH104" s="326"/>
      <c r="AI104" s="326"/>
      <c r="AJ104" s="326"/>
      <c r="AK104" s="326"/>
      <c r="AL104" s="326"/>
      <c r="AM104" s="326">
        <f t="shared" si="19"/>
        <v>0</v>
      </c>
      <c r="AN104" s="326"/>
      <c r="AO104" s="326">
        <f t="shared" si="20"/>
        <v>0</v>
      </c>
    </row>
    <row r="105" spans="3:41" s="78" customFormat="1" ht="20.100000000000001" customHeight="1">
      <c r="C105" s="81" t="s">
        <v>293</v>
      </c>
      <c r="D105" s="81"/>
      <c r="E105" s="81"/>
      <c r="F105" s="104" t="s">
        <v>62</v>
      </c>
      <c r="G105" s="324">
        <f>AM98</f>
        <v>3500</v>
      </c>
      <c r="H105" s="324">
        <f>AN98</f>
        <v>0</v>
      </c>
      <c r="I105" s="324">
        <f t="shared" si="18"/>
        <v>3500</v>
      </c>
      <c r="J105" s="324"/>
      <c r="K105" s="324"/>
      <c r="L105" s="324"/>
      <c r="M105" s="324">
        <f t="shared" ref="M105:M110" si="78">SUM(K105:L105)</f>
        <v>0</v>
      </c>
      <c r="N105" s="324"/>
      <c r="O105" s="324"/>
      <c r="P105" s="324">
        <f t="shared" ref="P105:P110" si="79">SUM(N105:O105)</f>
        <v>0</v>
      </c>
      <c r="Q105" s="324"/>
      <c r="R105" s="324"/>
      <c r="S105" s="324"/>
      <c r="T105" s="324">
        <f t="shared" ref="T105:T110" si="80">SUM(R105:S105)</f>
        <v>0</v>
      </c>
      <c r="U105" s="324">
        <f t="shared" ref="U105:U110" si="81">J105+M105+P105+Q105+T105</f>
        <v>0</v>
      </c>
      <c r="V105" s="324"/>
      <c r="W105" s="324"/>
      <c r="X105" s="324"/>
      <c r="Y105" s="324"/>
      <c r="Z105" s="324"/>
      <c r="AA105" s="324">
        <f t="shared" ref="AA105:AA110" si="82">SUM(W105:Z105)</f>
        <v>0</v>
      </c>
      <c r="AB105" s="324"/>
      <c r="AC105" s="324"/>
      <c r="AD105" s="324"/>
      <c r="AE105" s="324"/>
      <c r="AF105" s="324"/>
      <c r="AG105" s="324">
        <f t="shared" ref="AG105:AG110" si="83">SUM(AC105:AF105)</f>
        <v>0</v>
      </c>
      <c r="AH105" s="324"/>
      <c r="AI105" s="324"/>
      <c r="AJ105" s="324"/>
      <c r="AK105" s="324">
        <f t="shared" ref="AK105:AK110" si="84">SUM(AH105:AJ105)</f>
        <v>0</v>
      </c>
      <c r="AL105" s="324">
        <f t="shared" ref="AL105:AL110" si="85">V105+AA105+AB105+AG105+AK105</f>
        <v>0</v>
      </c>
      <c r="AM105" s="324">
        <f t="shared" si="19"/>
        <v>3500</v>
      </c>
      <c r="AN105" s="324"/>
      <c r="AO105" s="324">
        <f t="shared" si="20"/>
        <v>3500</v>
      </c>
    </row>
    <row r="106" spans="3:41" s="78" customFormat="1" ht="20.100000000000001" customHeight="1">
      <c r="F106" s="104" t="s">
        <v>63</v>
      </c>
      <c r="G106" s="324">
        <f>AM99</f>
        <v>5500</v>
      </c>
      <c r="H106" s="324">
        <f t="shared" ref="H106:H110" si="86">AN99</f>
        <v>0</v>
      </c>
      <c r="I106" s="324">
        <f t="shared" si="18"/>
        <v>5500</v>
      </c>
      <c r="J106" s="324"/>
      <c r="K106" s="324">
        <v>20</v>
      </c>
      <c r="L106" s="324"/>
      <c r="M106" s="324">
        <f t="shared" si="78"/>
        <v>20</v>
      </c>
      <c r="N106" s="324"/>
      <c r="O106" s="324"/>
      <c r="P106" s="324">
        <f t="shared" si="79"/>
        <v>0</v>
      </c>
      <c r="Q106" s="324"/>
      <c r="R106" s="324"/>
      <c r="S106" s="324"/>
      <c r="T106" s="324">
        <f t="shared" si="80"/>
        <v>0</v>
      </c>
      <c r="U106" s="324">
        <f t="shared" si="81"/>
        <v>20</v>
      </c>
      <c r="V106" s="324"/>
      <c r="W106" s="324"/>
      <c r="X106" s="324"/>
      <c r="Y106" s="324"/>
      <c r="Z106" s="324"/>
      <c r="AA106" s="324">
        <f t="shared" si="82"/>
        <v>0</v>
      </c>
      <c r="AB106" s="324"/>
      <c r="AC106" s="324"/>
      <c r="AD106" s="324"/>
      <c r="AE106" s="324"/>
      <c r="AF106" s="324"/>
      <c r="AG106" s="324">
        <f t="shared" si="83"/>
        <v>0</v>
      </c>
      <c r="AH106" s="324"/>
      <c r="AI106" s="324"/>
      <c r="AJ106" s="324"/>
      <c r="AK106" s="324">
        <f t="shared" si="84"/>
        <v>0</v>
      </c>
      <c r="AL106" s="324">
        <f t="shared" si="85"/>
        <v>0</v>
      </c>
      <c r="AM106" s="324">
        <f t="shared" si="19"/>
        <v>5520</v>
      </c>
      <c r="AN106" s="324"/>
      <c r="AO106" s="324">
        <f t="shared" si="20"/>
        <v>5520</v>
      </c>
    </row>
    <row r="107" spans="3:41" s="78" customFormat="1" ht="20.100000000000001" customHeight="1">
      <c r="F107" s="104" t="s">
        <v>59</v>
      </c>
      <c r="G107" s="324">
        <f>AM100</f>
        <v>7000</v>
      </c>
      <c r="H107" s="324">
        <f t="shared" si="86"/>
        <v>0</v>
      </c>
      <c r="I107" s="324">
        <f t="shared" si="18"/>
        <v>7000</v>
      </c>
      <c r="J107" s="324"/>
      <c r="K107" s="324"/>
      <c r="L107" s="324"/>
      <c r="M107" s="324">
        <f t="shared" si="78"/>
        <v>0</v>
      </c>
      <c r="N107" s="324"/>
      <c r="O107" s="324"/>
      <c r="P107" s="324">
        <f t="shared" si="79"/>
        <v>0</v>
      </c>
      <c r="Q107" s="324"/>
      <c r="R107" s="324"/>
      <c r="S107" s="324"/>
      <c r="T107" s="324">
        <f t="shared" si="80"/>
        <v>0</v>
      </c>
      <c r="U107" s="324">
        <f t="shared" si="81"/>
        <v>0</v>
      </c>
      <c r="V107" s="324"/>
      <c r="W107" s="324"/>
      <c r="X107" s="324"/>
      <c r="Y107" s="324"/>
      <c r="Z107" s="324"/>
      <c r="AA107" s="324">
        <f t="shared" si="82"/>
        <v>0</v>
      </c>
      <c r="AB107" s="324"/>
      <c r="AC107" s="324"/>
      <c r="AD107" s="324"/>
      <c r="AE107" s="324"/>
      <c r="AF107" s="324"/>
      <c r="AG107" s="324">
        <f t="shared" si="83"/>
        <v>0</v>
      </c>
      <c r="AH107" s="324"/>
      <c r="AI107" s="324"/>
      <c r="AJ107" s="324"/>
      <c r="AK107" s="324">
        <f t="shared" si="84"/>
        <v>0</v>
      </c>
      <c r="AL107" s="324">
        <f t="shared" si="85"/>
        <v>0</v>
      </c>
      <c r="AM107" s="324">
        <f t="shared" si="19"/>
        <v>7000</v>
      </c>
      <c r="AN107" s="324"/>
      <c r="AO107" s="324">
        <f t="shared" si="20"/>
        <v>7000</v>
      </c>
    </row>
    <row r="108" spans="3:41" s="78" customFormat="1" ht="20.100000000000001" customHeight="1">
      <c r="F108" s="105" t="s">
        <v>66</v>
      </c>
      <c r="G108" s="325">
        <f>AM101</f>
        <v>320</v>
      </c>
      <c r="H108" s="325">
        <f t="shared" si="86"/>
        <v>0</v>
      </c>
      <c r="I108" s="325">
        <f t="shared" si="18"/>
        <v>320</v>
      </c>
      <c r="J108" s="325"/>
      <c r="K108" s="325"/>
      <c r="L108" s="325"/>
      <c r="M108" s="325">
        <f t="shared" si="78"/>
        <v>0</v>
      </c>
      <c r="N108" s="325"/>
      <c r="O108" s="325"/>
      <c r="P108" s="325">
        <f t="shared" si="79"/>
        <v>0</v>
      </c>
      <c r="Q108" s="325"/>
      <c r="R108" s="325"/>
      <c r="S108" s="325"/>
      <c r="T108" s="325">
        <f t="shared" si="80"/>
        <v>0</v>
      </c>
      <c r="U108" s="325">
        <f t="shared" si="81"/>
        <v>0</v>
      </c>
      <c r="V108" s="325"/>
      <c r="W108" s="325"/>
      <c r="X108" s="325"/>
      <c r="Y108" s="325"/>
      <c r="Z108" s="325"/>
      <c r="AA108" s="325">
        <f t="shared" si="82"/>
        <v>0</v>
      </c>
      <c r="AB108" s="325"/>
      <c r="AC108" s="325"/>
      <c r="AD108" s="325"/>
      <c r="AE108" s="325"/>
      <c r="AF108" s="325"/>
      <c r="AG108" s="325">
        <f t="shared" si="83"/>
        <v>0</v>
      </c>
      <c r="AH108" s="325"/>
      <c r="AI108" s="325"/>
      <c r="AJ108" s="325"/>
      <c r="AK108" s="325">
        <f t="shared" si="84"/>
        <v>0</v>
      </c>
      <c r="AL108" s="325">
        <f t="shared" si="85"/>
        <v>0</v>
      </c>
      <c r="AM108" s="325">
        <f t="shared" si="19"/>
        <v>320</v>
      </c>
      <c r="AN108" s="325"/>
      <c r="AO108" s="325">
        <f t="shared" si="20"/>
        <v>320</v>
      </c>
    </row>
    <row r="109" spans="3:41" s="78" customFormat="1" ht="20.100000000000001" customHeight="1">
      <c r="F109" s="105" t="s">
        <v>67</v>
      </c>
      <c r="G109" s="325">
        <f>AM102</f>
        <v>400</v>
      </c>
      <c r="H109" s="325">
        <f t="shared" si="86"/>
        <v>0</v>
      </c>
      <c r="I109" s="325">
        <f t="shared" si="18"/>
        <v>400</v>
      </c>
      <c r="J109" s="325"/>
      <c r="K109" s="325"/>
      <c r="L109" s="325"/>
      <c r="M109" s="325">
        <f t="shared" si="78"/>
        <v>0</v>
      </c>
      <c r="N109" s="325"/>
      <c r="O109" s="325"/>
      <c r="P109" s="325">
        <f t="shared" si="79"/>
        <v>0</v>
      </c>
      <c r="Q109" s="325"/>
      <c r="R109" s="325"/>
      <c r="S109" s="325"/>
      <c r="T109" s="325">
        <f t="shared" si="80"/>
        <v>0</v>
      </c>
      <c r="U109" s="325">
        <f t="shared" si="81"/>
        <v>0</v>
      </c>
      <c r="V109" s="325"/>
      <c r="W109" s="325"/>
      <c r="X109" s="325"/>
      <c r="Y109" s="325">
        <v>20</v>
      </c>
      <c r="Z109" s="325"/>
      <c r="AA109" s="325">
        <f t="shared" si="82"/>
        <v>20</v>
      </c>
      <c r="AB109" s="325"/>
      <c r="AC109" s="325"/>
      <c r="AD109" s="325"/>
      <c r="AE109" s="325"/>
      <c r="AF109" s="325"/>
      <c r="AG109" s="325">
        <f t="shared" si="83"/>
        <v>0</v>
      </c>
      <c r="AH109" s="325"/>
      <c r="AI109" s="325"/>
      <c r="AJ109" s="325"/>
      <c r="AK109" s="325">
        <f t="shared" si="84"/>
        <v>0</v>
      </c>
      <c r="AL109" s="325">
        <f t="shared" si="85"/>
        <v>20</v>
      </c>
      <c r="AM109" s="325">
        <f t="shared" si="19"/>
        <v>380</v>
      </c>
      <c r="AN109" s="325"/>
      <c r="AO109" s="325">
        <f t="shared" si="20"/>
        <v>380</v>
      </c>
    </row>
    <row r="110" spans="3:41" s="78" customFormat="1" ht="20.100000000000001" customHeight="1">
      <c r="F110" s="105" t="s">
        <v>60</v>
      </c>
      <c r="G110" s="325">
        <f>AM103</f>
        <v>0</v>
      </c>
      <c r="H110" s="325">
        <f t="shared" si="86"/>
        <v>0</v>
      </c>
      <c r="I110" s="325">
        <f t="shared" si="18"/>
        <v>0</v>
      </c>
      <c r="J110" s="325"/>
      <c r="K110" s="325"/>
      <c r="L110" s="325"/>
      <c r="M110" s="325">
        <f t="shared" si="78"/>
        <v>0</v>
      </c>
      <c r="N110" s="325"/>
      <c r="O110" s="325"/>
      <c r="P110" s="325">
        <f t="shared" si="79"/>
        <v>0</v>
      </c>
      <c r="Q110" s="325"/>
      <c r="R110" s="325"/>
      <c r="S110" s="325"/>
      <c r="T110" s="325">
        <f t="shared" si="80"/>
        <v>0</v>
      </c>
      <c r="U110" s="325">
        <f t="shared" si="81"/>
        <v>0</v>
      </c>
      <c r="V110" s="325"/>
      <c r="W110" s="325"/>
      <c r="X110" s="325"/>
      <c r="Y110" s="325"/>
      <c r="Z110" s="325"/>
      <c r="AA110" s="325">
        <f t="shared" si="82"/>
        <v>0</v>
      </c>
      <c r="AB110" s="325"/>
      <c r="AC110" s="325"/>
      <c r="AD110" s="325"/>
      <c r="AE110" s="325"/>
      <c r="AF110" s="325"/>
      <c r="AG110" s="325">
        <f t="shared" si="83"/>
        <v>0</v>
      </c>
      <c r="AH110" s="325"/>
      <c r="AI110" s="325"/>
      <c r="AJ110" s="325"/>
      <c r="AK110" s="325">
        <f t="shared" si="84"/>
        <v>0</v>
      </c>
      <c r="AL110" s="325">
        <f t="shared" si="85"/>
        <v>0</v>
      </c>
      <c r="AM110" s="325">
        <f t="shared" si="19"/>
        <v>0</v>
      </c>
      <c r="AN110" s="325"/>
      <c r="AO110" s="325">
        <f t="shared" si="20"/>
        <v>0</v>
      </c>
    </row>
    <row r="111" spans="3:41" s="78" customFormat="1" ht="20.100000000000001" customHeight="1">
      <c r="G111" s="326"/>
      <c r="H111" s="326"/>
      <c r="I111" s="326"/>
      <c r="J111" s="326"/>
      <c r="K111" s="326"/>
      <c r="L111" s="326"/>
      <c r="M111" s="326"/>
      <c r="N111" s="326"/>
      <c r="O111" s="326"/>
      <c r="P111" s="326"/>
      <c r="Q111" s="326"/>
      <c r="R111" s="326"/>
      <c r="S111" s="326"/>
      <c r="T111" s="326"/>
      <c r="U111" s="326"/>
      <c r="V111" s="326"/>
      <c r="W111" s="326"/>
      <c r="X111" s="326"/>
      <c r="Y111" s="326"/>
      <c r="Z111" s="326"/>
      <c r="AA111" s="326"/>
      <c r="AB111" s="326"/>
      <c r="AC111" s="326"/>
      <c r="AD111" s="326"/>
      <c r="AE111" s="326"/>
      <c r="AF111" s="326"/>
      <c r="AG111" s="326"/>
      <c r="AH111" s="326"/>
      <c r="AI111" s="326"/>
      <c r="AJ111" s="326"/>
      <c r="AK111" s="326"/>
      <c r="AL111" s="326"/>
      <c r="AM111" s="326">
        <f t="shared" si="19"/>
        <v>0</v>
      </c>
      <c r="AN111" s="326"/>
      <c r="AO111" s="326">
        <f t="shared" si="20"/>
        <v>0</v>
      </c>
    </row>
    <row r="112" spans="3:41" s="78" customFormat="1" ht="20.100000000000001" customHeight="1">
      <c r="C112" s="81" t="s">
        <v>294</v>
      </c>
      <c r="D112" s="81"/>
      <c r="E112" s="81"/>
      <c r="F112" s="104" t="s">
        <v>62</v>
      </c>
      <c r="G112" s="324">
        <f>AM105</f>
        <v>3500</v>
      </c>
      <c r="H112" s="324">
        <f>AN105</f>
        <v>0</v>
      </c>
      <c r="I112" s="324">
        <f t="shared" si="18"/>
        <v>3500</v>
      </c>
      <c r="J112" s="324"/>
      <c r="K112" s="324"/>
      <c r="L112" s="324"/>
      <c r="M112" s="324">
        <f t="shared" ref="M112:M117" si="87">SUM(K112:L112)</f>
        <v>0</v>
      </c>
      <c r="N112" s="324"/>
      <c r="O112" s="324"/>
      <c r="P112" s="324">
        <f t="shared" ref="P112:P117" si="88">SUM(N112:O112)</f>
        <v>0</v>
      </c>
      <c r="Q112" s="324"/>
      <c r="R112" s="324"/>
      <c r="S112" s="324"/>
      <c r="T112" s="324">
        <f t="shared" ref="T112:T117" si="89">SUM(R112:S112)</f>
        <v>0</v>
      </c>
      <c r="U112" s="324">
        <f t="shared" ref="U112:U117" si="90">J112+M112+P112+Q112+T112</f>
        <v>0</v>
      </c>
      <c r="V112" s="324"/>
      <c r="W112" s="324"/>
      <c r="X112" s="324"/>
      <c r="Y112" s="324"/>
      <c r="Z112" s="324"/>
      <c r="AA112" s="324">
        <f t="shared" ref="AA112:AA117" si="91">SUM(W112:Z112)</f>
        <v>0</v>
      </c>
      <c r="AB112" s="324"/>
      <c r="AC112" s="324"/>
      <c r="AD112" s="324"/>
      <c r="AE112" s="324"/>
      <c r="AF112" s="324"/>
      <c r="AG112" s="324">
        <f t="shared" ref="AG112:AG117" si="92">SUM(AC112:AF112)</f>
        <v>0</v>
      </c>
      <c r="AH112" s="324"/>
      <c r="AI112" s="324"/>
      <c r="AJ112" s="324"/>
      <c r="AK112" s="324">
        <f t="shared" ref="AK112:AK117" si="93">SUM(AH112:AJ112)</f>
        <v>0</v>
      </c>
      <c r="AL112" s="324">
        <f t="shared" ref="AL112:AL117" si="94">V112+AA112+AB112+AG112+AK112</f>
        <v>0</v>
      </c>
      <c r="AM112" s="324">
        <f t="shared" si="19"/>
        <v>3500</v>
      </c>
      <c r="AN112" s="324"/>
      <c r="AO112" s="324">
        <f t="shared" si="20"/>
        <v>3500</v>
      </c>
    </row>
    <row r="113" spans="3:41" s="78" customFormat="1" ht="20.100000000000001" customHeight="1">
      <c r="F113" s="104" t="s">
        <v>63</v>
      </c>
      <c r="G113" s="324">
        <f>AM106</f>
        <v>5520</v>
      </c>
      <c r="H113" s="324">
        <f t="shared" ref="H113:H117" si="95">AN106</f>
        <v>0</v>
      </c>
      <c r="I113" s="324">
        <f t="shared" si="18"/>
        <v>5520</v>
      </c>
      <c r="J113" s="324"/>
      <c r="K113" s="324"/>
      <c r="L113" s="324"/>
      <c r="M113" s="324">
        <f t="shared" si="87"/>
        <v>0</v>
      </c>
      <c r="N113" s="324"/>
      <c r="O113" s="324"/>
      <c r="P113" s="324">
        <f t="shared" si="88"/>
        <v>0</v>
      </c>
      <c r="Q113" s="324"/>
      <c r="R113" s="324"/>
      <c r="S113" s="324"/>
      <c r="T113" s="324">
        <f t="shared" si="89"/>
        <v>0</v>
      </c>
      <c r="U113" s="324">
        <f t="shared" si="90"/>
        <v>0</v>
      </c>
      <c r="V113" s="324"/>
      <c r="W113" s="324"/>
      <c r="X113" s="324"/>
      <c r="Y113" s="324"/>
      <c r="Z113" s="324"/>
      <c r="AA113" s="324">
        <f t="shared" si="91"/>
        <v>0</v>
      </c>
      <c r="AB113" s="324"/>
      <c r="AC113" s="324"/>
      <c r="AD113" s="324"/>
      <c r="AE113" s="324"/>
      <c r="AF113" s="324"/>
      <c r="AG113" s="324">
        <f t="shared" si="92"/>
        <v>0</v>
      </c>
      <c r="AH113" s="324"/>
      <c r="AI113" s="324"/>
      <c r="AJ113" s="324"/>
      <c r="AK113" s="324">
        <f t="shared" si="93"/>
        <v>0</v>
      </c>
      <c r="AL113" s="324">
        <f t="shared" si="94"/>
        <v>0</v>
      </c>
      <c r="AM113" s="324">
        <f t="shared" si="19"/>
        <v>5520</v>
      </c>
      <c r="AN113" s="324"/>
      <c r="AO113" s="324">
        <f t="shared" si="20"/>
        <v>5520</v>
      </c>
    </row>
    <row r="114" spans="3:41" s="78" customFormat="1" ht="20.100000000000001" customHeight="1">
      <c r="F114" s="104" t="s">
        <v>59</v>
      </c>
      <c r="G114" s="324">
        <f>AM107</f>
        <v>7000</v>
      </c>
      <c r="H114" s="324">
        <f t="shared" si="95"/>
        <v>0</v>
      </c>
      <c r="I114" s="324">
        <f t="shared" si="18"/>
        <v>7000</v>
      </c>
      <c r="J114" s="324"/>
      <c r="K114" s="324"/>
      <c r="L114" s="324"/>
      <c r="M114" s="324">
        <f t="shared" si="87"/>
        <v>0</v>
      </c>
      <c r="N114" s="324"/>
      <c r="O114" s="324"/>
      <c r="P114" s="324">
        <f t="shared" si="88"/>
        <v>0</v>
      </c>
      <c r="Q114" s="324"/>
      <c r="R114" s="324"/>
      <c r="S114" s="324"/>
      <c r="T114" s="324">
        <f t="shared" si="89"/>
        <v>0</v>
      </c>
      <c r="U114" s="324">
        <f t="shared" si="90"/>
        <v>0</v>
      </c>
      <c r="V114" s="324"/>
      <c r="W114" s="324"/>
      <c r="X114" s="324"/>
      <c r="Y114" s="324"/>
      <c r="Z114" s="324"/>
      <c r="AA114" s="324">
        <f t="shared" si="91"/>
        <v>0</v>
      </c>
      <c r="AB114" s="324"/>
      <c r="AC114" s="324"/>
      <c r="AD114" s="324"/>
      <c r="AE114" s="324"/>
      <c r="AF114" s="324"/>
      <c r="AG114" s="324">
        <f t="shared" si="92"/>
        <v>0</v>
      </c>
      <c r="AH114" s="324"/>
      <c r="AI114" s="324"/>
      <c r="AJ114" s="324"/>
      <c r="AK114" s="324">
        <f t="shared" si="93"/>
        <v>0</v>
      </c>
      <c r="AL114" s="324">
        <f t="shared" si="94"/>
        <v>0</v>
      </c>
      <c r="AM114" s="324">
        <f t="shared" si="19"/>
        <v>7000</v>
      </c>
      <c r="AN114" s="324"/>
      <c r="AO114" s="324">
        <f t="shared" si="20"/>
        <v>7000</v>
      </c>
    </row>
    <row r="115" spans="3:41" s="78" customFormat="1" ht="20.100000000000001" customHeight="1">
      <c r="F115" s="105" t="s">
        <v>66</v>
      </c>
      <c r="G115" s="325">
        <f>AM108</f>
        <v>320</v>
      </c>
      <c r="H115" s="325">
        <f t="shared" si="95"/>
        <v>0</v>
      </c>
      <c r="I115" s="325">
        <f t="shared" si="18"/>
        <v>320</v>
      </c>
      <c r="J115" s="325"/>
      <c r="K115" s="325"/>
      <c r="L115" s="325"/>
      <c r="M115" s="325">
        <f t="shared" si="87"/>
        <v>0</v>
      </c>
      <c r="N115" s="325"/>
      <c r="O115" s="325"/>
      <c r="P115" s="325">
        <f t="shared" si="88"/>
        <v>0</v>
      </c>
      <c r="Q115" s="325"/>
      <c r="R115" s="325"/>
      <c r="S115" s="325"/>
      <c r="T115" s="325">
        <f t="shared" si="89"/>
        <v>0</v>
      </c>
      <c r="U115" s="325">
        <f t="shared" si="90"/>
        <v>0</v>
      </c>
      <c r="V115" s="325"/>
      <c r="W115" s="325"/>
      <c r="X115" s="325"/>
      <c r="Y115" s="325"/>
      <c r="Z115" s="325"/>
      <c r="AA115" s="325">
        <f t="shared" si="91"/>
        <v>0</v>
      </c>
      <c r="AB115" s="325"/>
      <c r="AC115" s="325"/>
      <c r="AD115" s="325"/>
      <c r="AE115" s="325"/>
      <c r="AF115" s="325"/>
      <c r="AG115" s="325">
        <f t="shared" si="92"/>
        <v>0</v>
      </c>
      <c r="AH115" s="325"/>
      <c r="AI115" s="325"/>
      <c r="AJ115" s="325"/>
      <c r="AK115" s="325">
        <f t="shared" si="93"/>
        <v>0</v>
      </c>
      <c r="AL115" s="325">
        <f t="shared" si="94"/>
        <v>0</v>
      </c>
      <c r="AM115" s="325">
        <f t="shared" si="19"/>
        <v>320</v>
      </c>
      <c r="AN115" s="325"/>
      <c r="AO115" s="325">
        <f t="shared" si="20"/>
        <v>320</v>
      </c>
    </row>
    <row r="116" spans="3:41" s="78" customFormat="1" ht="20.100000000000001" customHeight="1">
      <c r="F116" s="105" t="s">
        <v>67</v>
      </c>
      <c r="G116" s="325">
        <f>AM109</f>
        <v>380</v>
      </c>
      <c r="H116" s="325">
        <f t="shared" si="95"/>
        <v>0</v>
      </c>
      <c r="I116" s="325">
        <f t="shared" si="18"/>
        <v>380</v>
      </c>
      <c r="J116" s="325"/>
      <c r="K116" s="325"/>
      <c r="L116" s="325"/>
      <c r="M116" s="325">
        <f t="shared" si="87"/>
        <v>0</v>
      </c>
      <c r="N116" s="325"/>
      <c r="O116" s="325"/>
      <c r="P116" s="325">
        <f t="shared" si="88"/>
        <v>0</v>
      </c>
      <c r="Q116" s="325"/>
      <c r="R116" s="325"/>
      <c r="S116" s="325"/>
      <c r="T116" s="325">
        <f t="shared" si="89"/>
        <v>0</v>
      </c>
      <c r="U116" s="325">
        <f t="shared" si="90"/>
        <v>0</v>
      </c>
      <c r="V116" s="325"/>
      <c r="W116" s="325"/>
      <c r="X116" s="325">
        <v>20</v>
      </c>
      <c r="Y116" s="325"/>
      <c r="Z116" s="325"/>
      <c r="AA116" s="325">
        <f t="shared" si="91"/>
        <v>20</v>
      </c>
      <c r="AB116" s="325"/>
      <c r="AC116" s="325"/>
      <c r="AD116" s="325"/>
      <c r="AE116" s="325"/>
      <c r="AF116" s="325"/>
      <c r="AG116" s="325">
        <f t="shared" si="92"/>
        <v>0</v>
      </c>
      <c r="AH116" s="325"/>
      <c r="AI116" s="325"/>
      <c r="AJ116" s="325"/>
      <c r="AK116" s="325">
        <f t="shared" si="93"/>
        <v>0</v>
      </c>
      <c r="AL116" s="325">
        <f t="shared" si="94"/>
        <v>20</v>
      </c>
      <c r="AM116" s="325">
        <f t="shared" si="19"/>
        <v>360</v>
      </c>
      <c r="AN116" s="325"/>
      <c r="AO116" s="325">
        <f t="shared" si="20"/>
        <v>360</v>
      </c>
    </row>
    <row r="117" spans="3:41" s="78" customFormat="1" ht="20.100000000000001" customHeight="1">
      <c r="F117" s="105" t="s">
        <v>60</v>
      </c>
      <c r="G117" s="325">
        <f>AM110</f>
        <v>0</v>
      </c>
      <c r="H117" s="325">
        <f t="shared" si="95"/>
        <v>0</v>
      </c>
      <c r="I117" s="325">
        <f t="shared" si="18"/>
        <v>0</v>
      </c>
      <c r="J117" s="325"/>
      <c r="K117" s="325"/>
      <c r="L117" s="325"/>
      <c r="M117" s="325">
        <f t="shared" si="87"/>
        <v>0</v>
      </c>
      <c r="N117" s="325"/>
      <c r="O117" s="325">
        <f>X116</f>
        <v>20</v>
      </c>
      <c r="P117" s="325">
        <f t="shared" si="88"/>
        <v>20</v>
      </c>
      <c r="Q117" s="325"/>
      <c r="R117" s="325"/>
      <c r="S117" s="325"/>
      <c r="T117" s="325">
        <f t="shared" si="89"/>
        <v>0</v>
      </c>
      <c r="U117" s="325">
        <f t="shared" si="90"/>
        <v>20</v>
      </c>
      <c r="V117" s="325"/>
      <c r="W117" s="325"/>
      <c r="X117" s="325"/>
      <c r="Y117" s="325"/>
      <c r="Z117" s="325"/>
      <c r="AA117" s="325">
        <f t="shared" si="91"/>
        <v>0</v>
      </c>
      <c r="AB117" s="325"/>
      <c r="AC117" s="325"/>
      <c r="AD117" s="325"/>
      <c r="AE117" s="325"/>
      <c r="AF117" s="325"/>
      <c r="AG117" s="325">
        <f t="shared" si="92"/>
        <v>0</v>
      </c>
      <c r="AH117" s="325"/>
      <c r="AI117" s="325"/>
      <c r="AJ117" s="325"/>
      <c r="AK117" s="325">
        <f t="shared" si="93"/>
        <v>0</v>
      </c>
      <c r="AL117" s="325">
        <f t="shared" si="94"/>
        <v>0</v>
      </c>
      <c r="AM117" s="325">
        <f t="shared" si="19"/>
        <v>20</v>
      </c>
      <c r="AN117" s="325"/>
      <c r="AO117" s="325">
        <f t="shared" si="20"/>
        <v>20</v>
      </c>
    </row>
    <row r="118" spans="3:41" s="78" customFormat="1" ht="20.100000000000001" customHeight="1">
      <c r="G118" s="326"/>
      <c r="H118" s="326"/>
      <c r="I118" s="326"/>
      <c r="J118" s="326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326"/>
      <c r="W118" s="326"/>
      <c r="X118" s="326"/>
      <c r="Y118" s="326"/>
      <c r="Z118" s="326"/>
      <c r="AA118" s="326"/>
      <c r="AB118" s="326"/>
      <c r="AC118" s="326"/>
      <c r="AD118" s="326"/>
      <c r="AE118" s="326"/>
      <c r="AF118" s="326"/>
      <c r="AG118" s="326"/>
      <c r="AH118" s="326"/>
      <c r="AI118" s="326"/>
      <c r="AJ118" s="326"/>
      <c r="AK118" s="326"/>
      <c r="AL118" s="326"/>
      <c r="AM118" s="326">
        <f t="shared" si="19"/>
        <v>0</v>
      </c>
      <c r="AN118" s="326"/>
      <c r="AO118" s="326">
        <f t="shared" si="20"/>
        <v>0</v>
      </c>
    </row>
    <row r="119" spans="3:41" s="78" customFormat="1" ht="20.100000000000001" customHeight="1">
      <c r="C119" s="81" t="s">
        <v>295</v>
      </c>
      <c r="D119" s="81"/>
      <c r="E119" s="81"/>
      <c r="F119" s="104" t="s">
        <v>62</v>
      </c>
      <c r="G119" s="324">
        <f>AM112</f>
        <v>3500</v>
      </c>
      <c r="H119" s="324">
        <f>AN112</f>
        <v>0</v>
      </c>
      <c r="I119" s="324">
        <f t="shared" si="18"/>
        <v>3500</v>
      </c>
      <c r="J119" s="324"/>
      <c r="K119" s="324"/>
      <c r="L119" s="324"/>
      <c r="M119" s="324">
        <f t="shared" ref="M119:M124" si="96">SUM(K119:L119)</f>
        <v>0</v>
      </c>
      <c r="N119" s="324"/>
      <c r="O119" s="324"/>
      <c r="P119" s="324">
        <f t="shared" ref="P119:P124" si="97">SUM(N119:O119)</f>
        <v>0</v>
      </c>
      <c r="Q119" s="324"/>
      <c r="R119" s="324"/>
      <c r="S119" s="324"/>
      <c r="T119" s="324">
        <f t="shared" ref="T119:T124" si="98">SUM(R119:S119)</f>
        <v>0</v>
      </c>
      <c r="U119" s="324">
        <f t="shared" ref="U119:U124" si="99">J119+M119+P119+Q119+T119</f>
        <v>0</v>
      </c>
      <c r="V119" s="324"/>
      <c r="W119" s="324"/>
      <c r="X119" s="324"/>
      <c r="Y119" s="324"/>
      <c r="Z119" s="324"/>
      <c r="AA119" s="324">
        <f t="shared" ref="AA119:AA124" si="100">SUM(W119:Z119)</f>
        <v>0</v>
      </c>
      <c r="AB119" s="324"/>
      <c r="AC119" s="324"/>
      <c r="AD119" s="324"/>
      <c r="AE119" s="324"/>
      <c r="AF119" s="324"/>
      <c r="AG119" s="324">
        <f t="shared" ref="AG119:AG124" si="101">SUM(AC119:AF119)</f>
        <v>0</v>
      </c>
      <c r="AH119" s="324"/>
      <c r="AI119" s="324"/>
      <c r="AJ119" s="324"/>
      <c r="AK119" s="324">
        <f t="shared" ref="AK119:AK124" si="102">SUM(AH119:AJ119)</f>
        <v>0</v>
      </c>
      <c r="AL119" s="324">
        <f t="shared" ref="AL119:AL124" si="103">V119+AA119+AB119+AG119+AK119</f>
        <v>0</v>
      </c>
      <c r="AM119" s="324">
        <f t="shared" si="19"/>
        <v>3500</v>
      </c>
      <c r="AN119" s="324"/>
      <c r="AO119" s="324">
        <f t="shared" si="20"/>
        <v>3500</v>
      </c>
    </row>
    <row r="120" spans="3:41" s="78" customFormat="1" ht="20.100000000000001" customHeight="1">
      <c r="F120" s="104" t="s">
        <v>63</v>
      </c>
      <c r="G120" s="324">
        <f>AM113</f>
        <v>5520</v>
      </c>
      <c r="H120" s="324">
        <f t="shared" ref="H120:H124" si="104">AN113</f>
        <v>0</v>
      </c>
      <c r="I120" s="324">
        <f t="shared" si="18"/>
        <v>5520</v>
      </c>
      <c r="J120" s="324"/>
      <c r="K120" s="324"/>
      <c r="L120" s="324"/>
      <c r="M120" s="324">
        <f t="shared" si="96"/>
        <v>0</v>
      </c>
      <c r="N120" s="324"/>
      <c r="O120" s="324"/>
      <c r="P120" s="324">
        <f t="shared" si="97"/>
        <v>0</v>
      </c>
      <c r="Q120" s="324"/>
      <c r="R120" s="324"/>
      <c r="S120" s="324"/>
      <c r="T120" s="324">
        <f t="shared" si="98"/>
        <v>0</v>
      </c>
      <c r="U120" s="324">
        <f t="shared" si="99"/>
        <v>0</v>
      </c>
      <c r="V120" s="324"/>
      <c r="W120" s="324"/>
      <c r="X120" s="324"/>
      <c r="Y120" s="324"/>
      <c r="Z120" s="324"/>
      <c r="AA120" s="324">
        <f t="shared" si="100"/>
        <v>0</v>
      </c>
      <c r="AB120" s="324"/>
      <c r="AC120" s="324"/>
      <c r="AD120" s="324"/>
      <c r="AE120" s="324"/>
      <c r="AF120" s="324"/>
      <c r="AG120" s="324">
        <f t="shared" si="101"/>
        <v>0</v>
      </c>
      <c r="AH120" s="324"/>
      <c r="AI120" s="324"/>
      <c r="AJ120" s="324"/>
      <c r="AK120" s="324">
        <f t="shared" si="102"/>
        <v>0</v>
      </c>
      <c r="AL120" s="324">
        <f t="shared" si="103"/>
        <v>0</v>
      </c>
      <c r="AM120" s="324">
        <f t="shared" si="19"/>
        <v>5520</v>
      </c>
      <c r="AN120" s="324"/>
      <c r="AO120" s="324">
        <f t="shared" si="20"/>
        <v>5520</v>
      </c>
    </row>
    <row r="121" spans="3:41" s="78" customFormat="1" ht="20.100000000000001" customHeight="1">
      <c r="F121" s="104" t="s">
        <v>59</v>
      </c>
      <c r="G121" s="324">
        <f>AM114</f>
        <v>7000</v>
      </c>
      <c r="H121" s="324">
        <f t="shared" si="104"/>
        <v>0</v>
      </c>
      <c r="I121" s="324">
        <f t="shared" si="18"/>
        <v>7000</v>
      </c>
      <c r="J121" s="324"/>
      <c r="K121" s="324"/>
      <c r="L121" s="324"/>
      <c r="M121" s="324">
        <f t="shared" si="96"/>
        <v>0</v>
      </c>
      <c r="N121" s="324"/>
      <c r="O121" s="324"/>
      <c r="P121" s="324">
        <f t="shared" si="97"/>
        <v>0</v>
      </c>
      <c r="Q121" s="324"/>
      <c r="R121" s="324"/>
      <c r="S121" s="324"/>
      <c r="T121" s="324">
        <f t="shared" si="98"/>
        <v>0</v>
      </c>
      <c r="U121" s="324">
        <f t="shared" si="99"/>
        <v>0</v>
      </c>
      <c r="V121" s="324"/>
      <c r="W121" s="324"/>
      <c r="X121" s="324"/>
      <c r="Y121" s="324"/>
      <c r="Z121" s="324"/>
      <c r="AA121" s="324">
        <f t="shared" si="100"/>
        <v>0</v>
      </c>
      <c r="AB121" s="324"/>
      <c r="AC121" s="324"/>
      <c r="AD121" s="324"/>
      <c r="AE121" s="324"/>
      <c r="AF121" s="324"/>
      <c r="AG121" s="324">
        <f t="shared" si="101"/>
        <v>0</v>
      </c>
      <c r="AH121" s="324"/>
      <c r="AI121" s="324"/>
      <c r="AJ121" s="324"/>
      <c r="AK121" s="324">
        <f t="shared" si="102"/>
        <v>0</v>
      </c>
      <c r="AL121" s="324">
        <f t="shared" si="103"/>
        <v>0</v>
      </c>
      <c r="AM121" s="324">
        <f t="shared" si="19"/>
        <v>7000</v>
      </c>
      <c r="AN121" s="324"/>
      <c r="AO121" s="324">
        <f t="shared" si="20"/>
        <v>7000</v>
      </c>
    </row>
    <row r="122" spans="3:41" s="78" customFormat="1" ht="20.100000000000001" customHeight="1">
      <c r="F122" s="105" t="s">
        <v>66</v>
      </c>
      <c r="G122" s="325">
        <f>AM115</f>
        <v>320</v>
      </c>
      <c r="H122" s="325">
        <f t="shared" si="104"/>
        <v>0</v>
      </c>
      <c r="I122" s="325">
        <f t="shared" si="18"/>
        <v>320</v>
      </c>
      <c r="J122" s="325"/>
      <c r="K122" s="325"/>
      <c r="L122" s="325"/>
      <c r="M122" s="325">
        <f t="shared" si="96"/>
        <v>0</v>
      </c>
      <c r="N122" s="325"/>
      <c r="O122" s="325"/>
      <c r="P122" s="325">
        <f t="shared" si="97"/>
        <v>0</v>
      </c>
      <c r="Q122" s="325"/>
      <c r="R122" s="325"/>
      <c r="S122" s="325"/>
      <c r="T122" s="325">
        <f t="shared" si="98"/>
        <v>0</v>
      </c>
      <c r="U122" s="325">
        <f t="shared" si="99"/>
        <v>0</v>
      </c>
      <c r="V122" s="325"/>
      <c r="W122" s="325"/>
      <c r="X122" s="325"/>
      <c r="Y122" s="325"/>
      <c r="Z122" s="325"/>
      <c r="AA122" s="325">
        <f t="shared" si="100"/>
        <v>0</v>
      </c>
      <c r="AB122" s="325"/>
      <c r="AC122" s="325"/>
      <c r="AD122" s="325"/>
      <c r="AE122" s="325"/>
      <c r="AF122" s="325"/>
      <c r="AG122" s="325">
        <f t="shared" si="101"/>
        <v>0</v>
      </c>
      <c r="AH122" s="325"/>
      <c r="AI122" s="325"/>
      <c r="AJ122" s="325"/>
      <c r="AK122" s="325">
        <f t="shared" si="102"/>
        <v>0</v>
      </c>
      <c r="AL122" s="325">
        <f t="shared" si="103"/>
        <v>0</v>
      </c>
      <c r="AM122" s="325">
        <f t="shared" si="19"/>
        <v>320</v>
      </c>
      <c r="AN122" s="325"/>
      <c r="AO122" s="325">
        <f t="shared" si="20"/>
        <v>320</v>
      </c>
    </row>
    <row r="123" spans="3:41" s="78" customFormat="1" ht="20.100000000000001" customHeight="1">
      <c r="F123" s="105" t="s">
        <v>67</v>
      </c>
      <c r="G123" s="325">
        <f>AM116</f>
        <v>360</v>
      </c>
      <c r="H123" s="325">
        <f t="shared" si="104"/>
        <v>0</v>
      </c>
      <c r="I123" s="325">
        <f t="shared" si="18"/>
        <v>360</v>
      </c>
      <c r="J123" s="325"/>
      <c r="K123" s="325"/>
      <c r="L123" s="325"/>
      <c r="M123" s="325">
        <f t="shared" si="96"/>
        <v>0</v>
      </c>
      <c r="N123" s="325"/>
      <c r="O123" s="325"/>
      <c r="P123" s="325">
        <f t="shared" si="97"/>
        <v>0</v>
      </c>
      <c r="Q123" s="325"/>
      <c r="R123" s="325"/>
      <c r="S123" s="325"/>
      <c r="T123" s="325">
        <f t="shared" si="98"/>
        <v>0</v>
      </c>
      <c r="U123" s="325">
        <f t="shared" si="99"/>
        <v>0</v>
      </c>
      <c r="V123" s="325"/>
      <c r="W123" s="325"/>
      <c r="X123" s="325"/>
      <c r="Y123" s="325"/>
      <c r="Z123" s="325"/>
      <c r="AA123" s="325">
        <f t="shared" si="100"/>
        <v>0</v>
      </c>
      <c r="AB123" s="325"/>
      <c r="AC123" s="325"/>
      <c r="AD123" s="325"/>
      <c r="AE123" s="325"/>
      <c r="AF123" s="325"/>
      <c r="AG123" s="325">
        <f t="shared" si="101"/>
        <v>0</v>
      </c>
      <c r="AH123" s="325"/>
      <c r="AI123" s="325"/>
      <c r="AJ123" s="325"/>
      <c r="AK123" s="325">
        <f t="shared" si="102"/>
        <v>0</v>
      </c>
      <c r="AL123" s="325">
        <f t="shared" si="103"/>
        <v>0</v>
      </c>
      <c r="AM123" s="325">
        <f t="shared" si="19"/>
        <v>360</v>
      </c>
      <c r="AN123" s="325"/>
      <c r="AO123" s="325">
        <f t="shared" si="20"/>
        <v>360</v>
      </c>
    </row>
    <row r="124" spans="3:41" s="78" customFormat="1" ht="20.100000000000001" customHeight="1">
      <c r="F124" s="105" t="s">
        <v>60</v>
      </c>
      <c r="G124" s="325">
        <f>AM117</f>
        <v>20</v>
      </c>
      <c r="H124" s="325">
        <f t="shared" si="104"/>
        <v>0</v>
      </c>
      <c r="I124" s="325">
        <f t="shared" si="18"/>
        <v>20</v>
      </c>
      <c r="J124" s="325"/>
      <c r="K124" s="325"/>
      <c r="L124" s="325"/>
      <c r="M124" s="325">
        <f t="shared" si="96"/>
        <v>0</v>
      </c>
      <c r="N124" s="325"/>
      <c r="O124" s="325"/>
      <c r="P124" s="325">
        <f t="shared" si="97"/>
        <v>0</v>
      </c>
      <c r="Q124" s="325"/>
      <c r="R124" s="325"/>
      <c r="S124" s="325"/>
      <c r="T124" s="325">
        <f t="shared" si="98"/>
        <v>0</v>
      </c>
      <c r="U124" s="325">
        <f t="shared" si="99"/>
        <v>0</v>
      </c>
      <c r="V124" s="325">
        <v>20</v>
      </c>
      <c r="W124" s="325"/>
      <c r="X124" s="325"/>
      <c r="Y124" s="325"/>
      <c r="Z124" s="325"/>
      <c r="AA124" s="325">
        <f t="shared" si="100"/>
        <v>0</v>
      </c>
      <c r="AB124" s="325"/>
      <c r="AC124" s="325"/>
      <c r="AD124" s="325"/>
      <c r="AE124" s="325"/>
      <c r="AF124" s="325"/>
      <c r="AG124" s="325">
        <f t="shared" si="101"/>
        <v>0</v>
      </c>
      <c r="AH124" s="325"/>
      <c r="AI124" s="325"/>
      <c r="AJ124" s="325"/>
      <c r="AK124" s="325">
        <f t="shared" si="102"/>
        <v>0</v>
      </c>
      <c r="AL124" s="325">
        <f t="shared" si="103"/>
        <v>20</v>
      </c>
      <c r="AM124" s="325">
        <f t="shared" si="19"/>
        <v>0</v>
      </c>
      <c r="AN124" s="325"/>
      <c r="AO124" s="325">
        <f t="shared" si="20"/>
        <v>0</v>
      </c>
    </row>
    <row r="125" spans="3:41" s="78" customFormat="1" ht="20.100000000000001" customHeight="1">
      <c r="G125" s="326"/>
      <c r="H125" s="326"/>
      <c r="I125" s="326"/>
      <c r="J125" s="326"/>
      <c r="K125" s="326"/>
      <c r="L125" s="326"/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  <c r="W125" s="326"/>
      <c r="X125" s="326"/>
      <c r="Y125" s="326"/>
      <c r="Z125" s="326"/>
      <c r="AA125" s="326"/>
      <c r="AB125" s="326"/>
      <c r="AC125" s="326"/>
      <c r="AD125" s="326"/>
      <c r="AE125" s="326"/>
      <c r="AF125" s="326"/>
      <c r="AG125" s="326"/>
      <c r="AH125" s="326"/>
      <c r="AI125" s="326"/>
      <c r="AJ125" s="326"/>
      <c r="AK125" s="326"/>
      <c r="AL125" s="326"/>
      <c r="AM125" s="326">
        <f t="shared" si="19"/>
        <v>0</v>
      </c>
      <c r="AN125" s="326"/>
      <c r="AO125" s="326">
        <f t="shared" si="20"/>
        <v>0</v>
      </c>
    </row>
    <row r="126" spans="3:41" s="78" customFormat="1" ht="20.100000000000001" customHeight="1">
      <c r="C126" s="81" t="s">
        <v>296</v>
      </c>
      <c r="D126" s="81"/>
      <c r="E126" s="81"/>
      <c r="F126" s="104" t="s">
        <v>62</v>
      </c>
      <c r="G126" s="324">
        <f>AM119</f>
        <v>3500</v>
      </c>
      <c r="H126" s="324">
        <f>AN119</f>
        <v>0</v>
      </c>
      <c r="I126" s="324">
        <f t="shared" si="18"/>
        <v>3500</v>
      </c>
      <c r="J126" s="324"/>
      <c r="K126" s="324"/>
      <c r="L126" s="324"/>
      <c r="M126" s="324">
        <f t="shared" ref="M126:M131" si="105">SUM(K126:L126)</f>
        <v>0</v>
      </c>
      <c r="N126" s="324"/>
      <c r="O126" s="324"/>
      <c r="P126" s="324">
        <f t="shared" ref="P126:P131" si="106">SUM(N126:O126)</f>
        <v>0</v>
      </c>
      <c r="Q126" s="324"/>
      <c r="R126" s="324"/>
      <c r="S126" s="324"/>
      <c r="T126" s="324">
        <f t="shared" ref="T126:T131" si="107">SUM(R126:S126)</f>
        <v>0</v>
      </c>
      <c r="U126" s="324">
        <f t="shared" ref="U126:U131" si="108">J126+M126+P126+Q126+T126</f>
        <v>0</v>
      </c>
      <c r="V126" s="324"/>
      <c r="W126" s="324"/>
      <c r="X126" s="324"/>
      <c r="Y126" s="324"/>
      <c r="Z126" s="324"/>
      <c r="AA126" s="324">
        <f t="shared" ref="AA126:AA131" si="109">SUM(W126:Z126)</f>
        <v>0</v>
      </c>
      <c r="AB126" s="324"/>
      <c r="AC126" s="324"/>
      <c r="AD126" s="324"/>
      <c r="AE126" s="324"/>
      <c r="AF126" s="324"/>
      <c r="AG126" s="324">
        <f t="shared" ref="AG126:AG131" si="110">SUM(AC126:AF126)</f>
        <v>0</v>
      </c>
      <c r="AH126" s="324"/>
      <c r="AI126" s="324"/>
      <c r="AJ126" s="324"/>
      <c r="AK126" s="324">
        <f t="shared" ref="AK126:AK131" si="111">SUM(AH126:AJ126)</f>
        <v>0</v>
      </c>
      <c r="AL126" s="324">
        <f t="shared" ref="AL126:AL131" si="112">V126+AA126+AB126+AG126+AK126</f>
        <v>0</v>
      </c>
      <c r="AM126" s="324">
        <f t="shared" si="19"/>
        <v>3500</v>
      </c>
      <c r="AN126" s="324"/>
      <c r="AO126" s="324">
        <f t="shared" si="20"/>
        <v>3500</v>
      </c>
    </row>
    <row r="127" spans="3:41" s="78" customFormat="1" ht="20.100000000000001" customHeight="1">
      <c r="F127" s="104" t="s">
        <v>63</v>
      </c>
      <c r="G127" s="324">
        <f>AM120</f>
        <v>5520</v>
      </c>
      <c r="H127" s="324">
        <f t="shared" ref="H127:H131" si="113">AN120</f>
        <v>0</v>
      </c>
      <c r="I127" s="324">
        <f t="shared" si="18"/>
        <v>5520</v>
      </c>
      <c r="J127" s="324"/>
      <c r="K127" s="324"/>
      <c r="L127" s="324"/>
      <c r="M127" s="324">
        <f t="shared" si="105"/>
        <v>0</v>
      </c>
      <c r="N127" s="324"/>
      <c r="O127" s="324"/>
      <c r="P127" s="324">
        <f t="shared" si="106"/>
        <v>0</v>
      </c>
      <c r="Q127" s="324"/>
      <c r="R127" s="324"/>
      <c r="S127" s="324"/>
      <c r="T127" s="324">
        <f t="shared" si="107"/>
        <v>0</v>
      </c>
      <c r="U127" s="324">
        <f t="shared" si="108"/>
        <v>0</v>
      </c>
      <c r="V127" s="324"/>
      <c r="W127" s="324"/>
      <c r="X127" s="324"/>
      <c r="Y127" s="324"/>
      <c r="Z127" s="324"/>
      <c r="AA127" s="324">
        <f t="shared" si="109"/>
        <v>0</v>
      </c>
      <c r="AB127" s="324"/>
      <c r="AC127" s="324"/>
      <c r="AD127" s="324"/>
      <c r="AE127" s="324"/>
      <c r="AF127" s="324"/>
      <c r="AG127" s="324">
        <f t="shared" si="110"/>
        <v>0</v>
      </c>
      <c r="AH127" s="324"/>
      <c r="AI127" s="324"/>
      <c r="AJ127" s="324"/>
      <c r="AK127" s="324">
        <f t="shared" si="111"/>
        <v>0</v>
      </c>
      <c r="AL127" s="324">
        <f t="shared" si="112"/>
        <v>0</v>
      </c>
      <c r="AM127" s="324">
        <f t="shared" si="19"/>
        <v>5520</v>
      </c>
      <c r="AN127" s="324"/>
      <c r="AO127" s="324">
        <f t="shared" si="20"/>
        <v>5520</v>
      </c>
    </row>
    <row r="128" spans="3:41" s="78" customFormat="1" ht="20.100000000000001" customHeight="1">
      <c r="F128" s="104" t="s">
        <v>59</v>
      </c>
      <c r="G128" s="324">
        <f>AM121</f>
        <v>7000</v>
      </c>
      <c r="H128" s="324">
        <f t="shared" si="113"/>
        <v>0</v>
      </c>
      <c r="I128" s="324">
        <f t="shared" ref="I128:I159" si="114">SUM(G128:H128)</f>
        <v>7000</v>
      </c>
      <c r="J128" s="324"/>
      <c r="K128" s="324"/>
      <c r="L128" s="324"/>
      <c r="M128" s="324">
        <f t="shared" si="105"/>
        <v>0</v>
      </c>
      <c r="N128" s="324"/>
      <c r="O128" s="324"/>
      <c r="P128" s="324">
        <f t="shared" si="106"/>
        <v>0</v>
      </c>
      <c r="Q128" s="324"/>
      <c r="R128" s="324"/>
      <c r="S128" s="324"/>
      <c r="T128" s="324">
        <f t="shared" si="107"/>
        <v>0</v>
      </c>
      <c r="U128" s="324">
        <f t="shared" si="108"/>
        <v>0</v>
      </c>
      <c r="V128" s="324"/>
      <c r="W128" s="324"/>
      <c r="X128" s="324">
        <v>1200</v>
      </c>
      <c r="Y128" s="324"/>
      <c r="Z128" s="324"/>
      <c r="AA128" s="324">
        <f t="shared" si="109"/>
        <v>1200</v>
      </c>
      <c r="AB128" s="324"/>
      <c r="AC128" s="324"/>
      <c r="AD128" s="324"/>
      <c r="AE128" s="324"/>
      <c r="AF128" s="324"/>
      <c r="AG128" s="324">
        <f t="shared" si="110"/>
        <v>0</v>
      </c>
      <c r="AH128" s="324"/>
      <c r="AI128" s="324"/>
      <c r="AJ128" s="324"/>
      <c r="AK128" s="324">
        <f t="shared" si="111"/>
        <v>0</v>
      </c>
      <c r="AL128" s="324">
        <f t="shared" si="112"/>
        <v>1200</v>
      </c>
      <c r="AM128" s="324">
        <f t="shared" ref="AM128:AM159" si="115">AO128-AN128</f>
        <v>5800</v>
      </c>
      <c r="AN128" s="324"/>
      <c r="AO128" s="324">
        <f t="shared" ref="AO128:AO159" si="116">I128+U128-AL128</f>
        <v>5800</v>
      </c>
    </row>
    <row r="129" spans="3:41" s="78" customFormat="1" ht="20.100000000000001" customHeight="1">
      <c r="F129" s="105" t="s">
        <v>66</v>
      </c>
      <c r="G129" s="325">
        <f>AM122</f>
        <v>320</v>
      </c>
      <c r="H129" s="325">
        <f t="shared" si="113"/>
        <v>0</v>
      </c>
      <c r="I129" s="325">
        <f t="shared" si="114"/>
        <v>320</v>
      </c>
      <c r="J129" s="325"/>
      <c r="K129" s="325"/>
      <c r="L129" s="325"/>
      <c r="M129" s="325">
        <f t="shared" si="105"/>
        <v>0</v>
      </c>
      <c r="N129" s="325"/>
      <c r="O129" s="325"/>
      <c r="P129" s="325">
        <f t="shared" si="106"/>
        <v>0</v>
      </c>
      <c r="Q129" s="325"/>
      <c r="R129" s="325"/>
      <c r="S129" s="325"/>
      <c r="T129" s="325">
        <f t="shared" si="107"/>
        <v>0</v>
      </c>
      <c r="U129" s="325">
        <f t="shared" si="108"/>
        <v>0</v>
      </c>
      <c r="V129" s="325"/>
      <c r="W129" s="325"/>
      <c r="X129" s="325"/>
      <c r="Y129" s="325"/>
      <c r="Z129" s="325"/>
      <c r="AA129" s="325">
        <f t="shared" si="109"/>
        <v>0</v>
      </c>
      <c r="AB129" s="325"/>
      <c r="AC129" s="325"/>
      <c r="AD129" s="325"/>
      <c r="AE129" s="325"/>
      <c r="AF129" s="325"/>
      <c r="AG129" s="325">
        <f t="shared" si="110"/>
        <v>0</v>
      </c>
      <c r="AH129" s="325"/>
      <c r="AI129" s="325"/>
      <c r="AJ129" s="325"/>
      <c r="AK129" s="325">
        <f t="shared" si="111"/>
        <v>0</v>
      </c>
      <c r="AL129" s="325">
        <f t="shared" si="112"/>
        <v>0</v>
      </c>
      <c r="AM129" s="325">
        <f t="shared" si="115"/>
        <v>320</v>
      </c>
      <c r="AN129" s="325"/>
      <c r="AO129" s="325">
        <f t="shared" si="116"/>
        <v>320</v>
      </c>
    </row>
    <row r="130" spans="3:41" s="78" customFormat="1" ht="20.100000000000001" customHeight="1">
      <c r="F130" s="105" t="s">
        <v>67</v>
      </c>
      <c r="G130" s="325">
        <f>AM123</f>
        <v>360</v>
      </c>
      <c r="H130" s="325">
        <f t="shared" si="113"/>
        <v>0</v>
      </c>
      <c r="I130" s="325">
        <f t="shared" si="114"/>
        <v>360</v>
      </c>
      <c r="J130" s="325"/>
      <c r="K130" s="325"/>
      <c r="L130" s="325"/>
      <c r="M130" s="325">
        <f t="shared" si="105"/>
        <v>0</v>
      </c>
      <c r="N130" s="325"/>
      <c r="O130" s="325"/>
      <c r="P130" s="325">
        <f t="shared" si="106"/>
        <v>0</v>
      </c>
      <c r="Q130" s="325"/>
      <c r="R130" s="325"/>
      <c r="S130" s="325"/>
      <c r="T130" s="325">
        <f t="shared" si="107"/>
        <v>0</v>
      </c>
      <c r="U130" s="325">
        <f t="shared" si="108"/>
        <v>0</v>
      </c>
      <c r="V130" s="325"/>
      <c r="W130" s="325"/>
      <c r="X130" s="325"/>
      <c r="Y130" s="325"/>
      <c r="Z130" s="325"/>
      <c r="AA130" s="325">
        <f t="shared" si="109"/>
        <v>0</v>
      </c>
      <c r="AB130" s="325"/>
      <c r="AC130" s="325"/>
      <c r="AD130" s="325"/>
      <c r="AE130" s="325"/>
      <c r="AF130" s="325"/>
      <c r="AG130" s="325">
        <f t="shared" si="110"/>
        <v>0</v>
      </c>
      <c r="AH130" s="325"/>
      <c r="AI130" s="325"/>
      <c r="AJ130" s="325"/>
      <c r="AK130" s="325">
        <f t="shared" si="111"/>
        <v>0</v>
      </c>
      <c r="AL130" s="325">
        <f t="shared" si="112"/>
        <v>0</v>
      </c>
      <c r="AM130" s="325">
        <f t="shared" si="115"/>
        <v>360</v>
      </c>
      <c r="AN130" s="325"/>
      <c r="AO130" s="325">
        <f t="shared" si="116"/>
        <v>360</v>
      </c>
    </row>
    <row r="131" spans="3:41" s="78" customFormat="1" ht="20.100000000000001" customHeight="1">
      <c r="F131" s="105" t="s">
        <v>60</v>
      </c>
      <c r="G131" s="325">
        <f>AM124</f>
        <v>0</v>
      </c>
      <c r="H131" s="325">
        <f t="shared" si="113"/>
        <v>0</v>
      </c>
      <c r="I131" s="325">
        <f t="shared" si="114"/>
        <v>0</v>
      </c>
      <c r="J131" s="325"/>
      <c r="K131" s="325"/>
      <c r="L131" s="325"/>
      <c r="M131" s="325">
        <f t="shared" si="105"/>
        <v>0</v>
      </c>
      <c r="N131" s="325"/>
      <c r="O131" s="325">
        <f>X128</f>
        <v>1200</v>
      </c>
      <c r="P131" s="325">
        <f t="shared" si="106"/>
        <v>1200</v>
      </c>
      <c r="Q131" s="325"/>
      <c r="R131" s="325"/>
      <c r="S131" s="325"/>
      <c r="T131" s="325">
        <f t="shared" si="107"/>
        <v>0</v>
      </c>
      <c r="U131" s="325">
        <f t="shared" si="108"/>
        <v>1200</v>
      </c>
      <c r="V131" s="325"/>
      <c r="W131" s="325"/>
      <c r="X131" s="325"/>
      <c r="Y131" s="325"/>
      <c r="Z131" s="325"/>
      <c r="AA131" s="325">
        <f t="shared" si="109"/>
        <v>0</v>
      </c>
      <c r="AB131" s="325"/>
      <c r="AC131" s="325"/>
      <c r="AD131" s="325"/>
      <c r="AE131" s="325"/>
      <c r="AF131" s="325"/>
      <c r="AG131" s="325">
        <f t="shared" si="110"/>
        <v>0</v>
      </c>
      <c r="AH131" s="325"/>
      <c r="AI131" s="325"/>
      <c r="AJ131" s="325"/>
      <c r="AK131" s="325">
        <f t="shared" si="111"/>
        <v>0</v>
      </c>
      <c r="AL131" s="325">
        <f t="shared" si="112"/>
        <v>0</v>
      </c>
      <c r="AM131" s="325">
        <f t="shared" si="115"/>
        <v>1200</v>
      </c>
      <c r="AN131" s="325"/>
      <c r="AO131" s="325">
        <f t="shared" si="116"/>
        <v>1200</v>
      </c>
    </row>
    <row r="132" spans="3:41" s="78" customFormat="1" ht="20.100000000000001" customHeight="1"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  <c r="W132" s="326"/>
      <c r="X132" s="326"/>
      <c r="Y132" s="326"/>
      <c r="Z132" s="326"/>
      <c r="AA132" s="326"/>
      <c r="AB132" s="326"/>
      <c r="AC132" s="326"/>
      <c r="AD132" s="326"/>
      <c r="AE132" s="326"/>
      <c r="AF132" s="326"/>
      <c r="AG132" s="326"/>
      <c r="AH132" s="326"/>
      <c r="AI132" s="326"/>
      <c r="AJ132" s="326"/>
      <c r="AK132" s="326"/>
      <c r="AL132" s="326"/>
      <c r="AM132" s="326"/>
      <c r="AN132" s="326"/>
      <c r="AO132" s="326"/>
    </row>
    <row r="133" spans="3:41" s="78" customFormat="1" ht="20.100000000000001" customHeight="1">
      <c r="C133" s="81" t="s">
        <v>297</v>
      </c>
      <c r="D133" s="81"/>
      <c r="E133" s="81"/>
      <c r="F133" s="104" t="s">
        <v>62</v>
      </c>
      <c r="G133" s="324">
        <f>AM126</f>
        <v>3500</v>
      </c>
      <c r="H133" s="324">
        <f>AN126</f>
        <v>0</v>
      </c>
      <c r="I133" s="324">
        <f t="shared" si="114"/>
        <v>3500</v>
      </c>
      <c r="J133" s="324"/>
      <c r="K133" s="324"/>
      <c r="L133" s="324"/>
      <c r="M133" s="324">
        <f t="shared" ref="M133:M138" si="117">SUM(K133:L133)</f>
        <v>0</v>
      </c>
      <c r="N133" s="324"/>
      <c r="O133" s="324"/>
      <c r="P133" s="324">
        <f t="shared" ref="P133:P138" si="118">SUM(N133:O133)</f>
        <v>0</v>
      </c>
      <c r="Q133" s="324"/>
      <c r="R133" s="324"/>
      <c r="S133" s="324"/>
      <c r="T133" s="324">
        <f t="shared" ref="T133:T138" si="119">SUM(R133:S133)</f>
        <v>0</v>
      </c>
      <c r="U133" s="324">
        <f t="shared" ref="U133:U138" si="120">J133+M133+P133+Q133+T133</f>
        <v>0</v>
      </c>
      <c r="V133" s="324"/>
      <c r="W133" s="324"/>
      <c r="X133" s="324"/>
      <c r="Y133" s="324"/>
      <c r="Z133" s="324"/>
      <c r="AA133" s="324">
        <f t="shared" ref="AA133:AA138" si="121">SUM(W133:Z133)</f>
        <v>0</v>
      </c>
      <c r="AB133" s="324"/>
      <c r="AC133" s="324"/>
      <c r="AD133" s="324"/>
      <c r="AE133" s="324"/>
      <c r="AF133" s="324"/>
      <c r="AG133" s="324">
        <f t="shared" ref="AG133:AG138" si="122">SUM(AC133:AF133)</f>
        <v>0</v>
      </c>
      <c r="AH133" s="324"/>
      <c r="AI133" s="324"/>
      <c r="AJ133" s="324"/>
      <c r="AK133" s="324">
        <f t="shared" ref="AK133:AK138" si="123">SUM(AH133:AJ133)</f>
        <v>0</v>
      </c>
      <c r="AL133" s="324">
        <f t="shared" ref="AL133:AL138" si="124">V133+AA133+AB133+AG133+AK133</f>
        <v>0</v>
      </c>
      <c r="AM133" s="324">
        <f t="shared" si="115"/>
        <v>3500</v>
      </c>
      <c r="AN133" s="324"/>
      <c r="AO133" s="324">
        <f t="shared" si="116"/>
        <v>3500</v>
      </c>
    </row>
    <row r="134" spans="3:41" s="78" customFormat="1" ht="20.100000000000001" customHeight="1">
      <c r="F134" s="104" t="s">
        <v>63</v>
      </c>
      <c r="G134" s="324">
        <f>AM127</f>
        <v>5520</v>
      </c>
      <c r="H134" s="324">
        <f t="shared" ref="H134:H138" si="125">AN127</f>
        <v>0</v>
      </c>
      <c r="I134" s="324">
        <f t="shared" si="114"/>
        <v>5520</v>
      </c>
      <c r="J134" s="324"/>
      <c r="K134" s="324"/>
      <c r="L134" s="324"/>
      <c r="M134" s="324">
        <f t="shared" si="117"/>
        <v>0</v>
      </c>
      <c r="N134" s="324"/>
      <c r="O134" s="324"/>
      <c r="P134" s="324">
        <f t="shared" si="118"/>
        <v>0</v>
      </c>
      <c r="Q134" s="324"/>
      <c r="R134" s="324"/>
      <c r="S134" s="324"/>
      <c r="T134" s="324">
        <f t="shared" si="119"/>
        <v>0</v>
      </c>
      <c r="U134" s="324">
        <f t="shared" si="120"/>
        <v>0</v>
      </c>
      <c r="V134" s="324"/>
      <c r="W134" s="324"/>
      <c r="X134" s="324"/>
      <c r="Y134" s="324"/>
      <c r="Z134" s="324"/>
      <c r="AA134" s="324">
        <f t="shared" si="121"/>
        <v>0</v>
      </c>
      <c r="AB134" s="324"/>
      <c r="AC134" s="324"/>
      <c r="AD134" s="324"/>
      <c r="AE134" s="324"/>
      <c r="AF134" s="324"/>
      <c r="AG134" s="324">
        <f t="shared" si="122"/>
        <v>0</v>
      </c>
      <c r="AH134" s="324"/>
      <c r="AI134" s="324"/>
      <c r="AJ134" s="324"/>
      <c r="AK134" s="324">
        <f t="shared" si="123"/>
        <v>0</v>
      </c>
      <c r="AL134" s="324">
        <f t="shared" si="124"/>
        <v>0</v>
      </c>
      <c r="AM134" s="324">
        <f t="shared" si="115"/>
        <v>5520</v>
      </c>
      <c r="AN134" s="324"/>
      <c r="AO134" s="324">
        <f t="shared" si="116"/>
        <v>5520</v>
      </c>
    </row>
    <row r="135" spans="3:41" s="78" customFormat="1" ht="20.100000000000001" customHeight="1">
      <c r="F135" s="104" t="s">
        <v>59</v>
      </c>
      <c r="G135" s="324">
        <f>AM128</f>
        <v>5800</v>
      </c>
      <c r="H135" s="324">
        <f t="shared" si="125"/>
        <v>0</v>
      </c>
      <c r="I135" s="324">
        <f t="shared" si="114"/>
        <v>5800</v>
      </c>
      <c r="J135" s="324"/>
      <c r="K135" s="324"/>
      <c r="L135" s="324"/>
      <c r="M135" s="324">
        <f t="shared" si="117"/>
        <v>0</v>
      </c>
      <c r="N135" s="324"/>
      <c r="O135" s="324"/>
      <c r="P135" s="324">
        <f t="shared" si="118"/>
        <v>0</v>
      </c>
      <c r="Q135" s="324"/>
      <c r="R135" s="324"/>
      <c r="S135" s="324"/>
      <c r="T135" s="324">
        <f t="shared" si="119"/>
        <v>0</v>
      </c>
      <c r="U135" s="324">
        <f t="shared" si="120"/>
        <v>0</v>
      </c>
      <c r="V135" s="324"/>
      <c r="W135" s="324"/>
      <c r="X135" s="324"/>
      <c r="Y135" s="324"/>
      <c r="Z135" s="324"/>
      <c r="AA135" s="324">
        <f t="shared" si="121"/>
        <v>0</v>
      </c>
      <c r="AB135" s="324"/>
      <c r="AC135" s="324"/>
      <c r="AD135" s="324"/>
      <c r="AE135" s="324"/>
      <c r="AF135" s="324"/>
      <c r="AG135" s="324">
        <f t="shared" si="122"/>
        <v>0</v>
      </c>
      <c r="AH135" s="324"/>
      <c r="AI135" s="324"/>
      <c r="AJ135" s="324"/>
      <c r="AK135" s="324">
        <f t="shared" si="123"/>
        <v>0</v>
      </c>
      <c r="AL135" s="324">
        <f t="shared" si="124"/>
        <v>0</v>
      </c>
      <c r="AM135" s="324">
        <f t="shared" si="115"/>
        <v>5800</v>
      </c>
      <c r="AN135" s="324"/>
      <c r="AO135" s="324">
        <f t="shared" si="116"/>
        <v>5800</v>
      </c>
    </row>
    <row r="136" spans="3:41" s="78" customFormat="1" ht="20.100000000000001" customHeight="1">
      <c r="F136" s="105" t="s">
        <v>66</v>
      </c>
      <c r="G136" s="325">
        <f>AM129</f>
        <v>320</v>
      </c>
      <c r="H136" s="325">
        <f t="shared" si="125"/>
        <v>0</v>
      </c>
      <c r="I136" s="325">
        <f t="shared" si="114"/>
        <v>320</v>
      </c>
      <c r="J136" s="325"/>
      <c r="K136" s="325"/>
      <c r="L136" s="325"/>
      <c r="M136" s="325">
        <f t="shared" si="117"/>
        <v>0</v>
      </c>
      <c r="N136" s="325"/>
      <c r="O136" s="325"/>
      <c r="P136" s="325">
        <f t="shared" si="118"/>
        <v>0</v>
      </c>
      <c r="Q136" s="325"/>
      <c r="R136" s="325"/>
      <c r="S136" s="325"/>
      <c r="T136" s="325">
        <f t="shared" si="119"/>
        <v>0</v>
      </c>
      <c r="U136" s="325">
        <f t="shared" si="120"/>
        <v>0</v>
      </c>
      <c r="V136" s="325"/>
      <c r="W136" s="325"/>
      <c r="X136" s="325"/>
      <c r="Y136" s="325"/>
      <c r="Z136" s="325"/>
      <c r="AA136" s="325">
        <f t="shared" si="121"/>
        <v>0</v>
      </c>
      <c r="AB136" s="325"/>
      <c r="AC136" s="325"/>
      <c r="AD136" s="325"/>
      <c r="AE136" s="325"/>
      <c r="AF136" s="325"/>
      <c r="AG136" s="325">
        <f t="shared" si="122"/>
        <v>0</v>
      </c>
      <c r="AH136" s="325"/>
      <c r="AI136" s="325"/>
      <c r="AJ136" s="325"/>
      <c r="AK136" s="325">
        <f t="shared" si="123"/>
        <v>0</v>
      </c>
      <c r="AL136" s="325">
        <f t="shared" si="124"/>
        <v>0</v>
      </c>
      <c r="AM136" s="325">
        <f t="shared" si="115"/>
        <v>320</v>
      </c>
      <c r="AN136" s="325"/>
      <c r="AO136" s="325">
        <f t="shared" si="116"/>
        <v>320</v>
      </c>
    </row>
    <row r="137" spans="3:41" s="78" customFormat="1" ht="20.100000000000001" customHeight="1">
      <c r="F137" s="105" t="s">
        <v>67</v>
      </c>
      <c r="G137" s="325">
        <f>AM130</f>
        <v>360</v>
      </c>
      <c r="H137" s="325">
        <f t="shared" si="125"/>
        <v>0</v>
      </c>
      <c r="I137" s="325">
        <f t="shared" si="114"/>
        <v>360</v>
      </c>
      <c r="J137" s="325"/>
      <c r="K137" s="325"/>
      <c r="L137" s="325"/>
      <c r="M137" s="325">
        <f t="shared" si="117"/>
        <v>0</v>
      </c>
      <c r="N137" s="325"/>
      <c r="O137" s="325"/>
      <c r="P137" s="325">
        <f t="shared" si="118"/>
        <v>0</v>
      </c>
      <c r="Q137" s="325"/>
      <c r="R137" s="325"/>
      <c r="S137" s="325"/>
      <c r="T137" s="325">
        <f t="shared" si="119"/>
        <v>0</v>
      </c>
      <c r="U137" s="325">
        <f t="shared" si="120"/>
        <v>0</v>
      </c>
      <c r="V137" s="325"/>
      <c r="W137" s="325"/>
      <c r="X137" s="325"/>
      <c r="Y137" s="325"/>
      <c r="Z137" s="325"/>
      <c r="AA137" s="325">
        <f t="shared" si="121"/>
        <v>0</v>
      </c>
      <c r="AB137" s="325"/>
      <c r="AC137" s="325"/>
      <c r="AD137" s="325"/>
      <c r="AE137" s="325"/>
      <c r="AF137" s="325"/>
      <c r="AG137" s="325">
        <f t="shared" si="122"/>
        <v>0</v>
      </c>
      <c r="AH137" s="325"/>
      <c r="AI137" s="325"/>
      <c r="AJ137" s="325"/>
      <c r="AK137" s="325">
        <f t="shared" si="123"/>
        <v>0</v>
      </c>
      <c r="AL137" s="325">
        <f t="shared" si="124"/>
        <v>0</v>
      </c>
      <c r="AM137" s="325">
        <f t="shared" si="115"/>
        <v>360</v>
      </c>
      <c r="AN137" s="325"/>
      <c r="AO137" s="325">
        <f t="shared" si="116"/>
        <v>360</v>
      </c>
    </row>
    <row r="138" spans="3:41" s="78" customFormat="1" ht="20.100000000000001" customHeight="1">
      <c r="F138" s="105" t="s">
        <v>60</v>
      </c>
      <c r="G138" s="325">
        <f>AM131</f>
        <v>1200</v>
      </c>
      <c r="H138" s="325">
        <f t="shared" si="125"/>
        <v>0</v>
      </c>
      <c r="I138" s="325">
        <f t="shared" si="114"/>
        <v>1200</v>
      </c>
      <c r="J138" s="325"/>
      <c r="K138" s="325"/>
      <c r="L138" s="325"/>
      <c r="M138" s="325">
        <f t="shared" si="117"/>
        <v>0</v>
      </c>
      <c r="N138" s="325"/>
      <c r="O138" s="325"/>
      <c r="P138" s="325">
        <f t="shared" si="118"/>
        <v>0</v>
      </c>
      <c r="Q138" s="325"/>
      <c r="R138" s="325"/>
      <c r="S138" s="325"/>
      <c r="T138" s="325">
        <f t="shared" si="119"/>
        <v>0</v>
      </c>
      <c r="U138" s="325">
        <f t="shared" si="120"/>
        <v>0</v>
      </c>
      <c r="V138" s="325">
        <v>1180</v>
      </c>
      <c r="W138" s="325"/>
      <c r="X138" s="325"/>
      <c r="Y138" s="325"/>
      <c r="Z138" s="325"/>
      <c r="AA138" s="325">
        <f t="shared" si="121"/>
        <v>0</v>
      </c>
      <c r="AB138" s="325"/>
      <c r="AC138" s="325"/>
      <c r="AD138" s="325"/>
      <c r="AE138" s="325"/>
      <c r="AF138" s="325"/>
      <c r="AG138" s="325">
        <f t="shared" si="122"/>
        <v>0</v>
      </c>
      <c r="AH138" s="325"/>
      <c r="AI138" s="325"/>
      <c r="AJ138" s="325"/>
      <c r="AK138" s="325">
        <f t="shared" si="123"/>
        <v>0</v>
      </c>
      <c r="AL138" s="325">
        <f t="shared" si="124"/>
        <v>1180</v>
      </c>
      <c r="AM138" s="325">
        <f t="shared" si="115"/>
        <v>20</v>
      </c>
      <c r="AN138" s="325"/>
      <c r="AO138" s="325">
        <f t="shared" si="116"/>
        <v>20</v>
      </c>
    </row>
    <row r="139" spans="3:41" s="78" customFormat="1" ht="20.100000000000001" customHeight="1"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  <c r="W139" s="326"/>
      <c r="X139" s="326"/>
      <c r="Y139" s="326"/>
      <c r="Z139" s="326"/>
      <c r="AA139" s="326"/>
      <c r="AB139" s="326"/>
      <c r="AC139" s="326"/>
      <c r="AD139" s="326"/>
      <c r="AE139" s="326"/>
      <c r="AF139" s="326"/>
      <c r="AG139" s="326"/>
      <c r="AH139" s="326"/>
      <c r="AI139" s="326"/>
      <c r="AJ139" s="326"/>
      <c r="AK139" s="326"/>
      <c r="AL139" s="326"/>
      <c r="AM139" s="326"/>
      <c r="AN139" s="326"/>
      <c r="AO139" s="326"/>
    </row>
    <row r="140" spans="3:41" s="78" customFormat="1" ht="20.100000000000001" customHeight="1">
      <c r="C140" s="81" t="s">
        <v>298</v>
      </c>
      <c r="D140" s="81"/>
      <c r="E140" s="81"/>
      <c r="F140" s="104" t="s">
        <v>62</v>
      </c>
      <c r="G140" s="324">
        <f>AM133</f>
        <v>3500</v>
      </c>
      <c r="H140" s="324">
        <f>AN133</f>
        <v>0</v>
      </c>
      <c r="I140" s="324">
        <f t="shared" si="114"/>
        <v>3500</v>
      </c>
      <c r="J140" s="324"/>
      <c r="K140" s="324"/>
      <c r="L140" s="324"/>
      <c r="M140" s="324">
        <f t="shared" ref="M140:M145" si="126">SUM(K140:L140)</f>
        <v>0</v>
      </c>
      <c r="N140" s="324"/>
      <c r="O140" s="324"/>
      <c r="P140" s="324">
        <f t="shared" ref="P140:P145" si="127">SUM(N140:O140)</f>
        <v>0</v>
      </c>
      <c r="Q140" s="324"/>
      <c r="R140" s="324"/>
      <c r="S140" s="324"/>
      <c r="T140" s="324">
        <f t="shared" ref="T140:T145" si="128">SUM(R140:S140)</f>
        <v>0</v>
      </c>
      <c r="U140" s="324">
        <f t="shared" ref="U140:U145" si="129">J140+M140+P140+Q140+T140</f>
        <v>0</v>
      </c>
      <c r="V140" s="324"/>
      <c r="W140" s="324"/>
      <c r="X140" s="324"/>
      <c r="Y140" s="324"/>
      <c r="Z140" s="324"/>
      <c r="AA140" s="324">
        <f t="shared" ref="AA140:AA145" si="130">SUM(W140:Z140)</f>
        <v>0</v>
      </c>
      <c r="AB140" s="324"/>
      <c r="AC140" s="324"/>
      <c r="AD140" s="324"/>
      <c r="AE140" s="324"/>
      <c r="AF140" s="324"/>
      <c r="AG140" s="324">
        <f t="shared" ref="AG140:AG145" si="131">SUM(AC140:AF140)</f>
        <v>0</v>
      </c>
      <c r="AH140" s="324"/>
      <c r="AI140" s="324"/>
      <c r="AJ140" s="324"/>
      <c r="AK140" s="324">
        <f t="shared" ref="AK140:AK145" si="132">SUM(AH140:AJ140)</f>
        <v>0</v>
      </c>
      <c r="AL140" s="324">
        <f t="shared" ref="AL140:AL145" si="133">V140+AA140+AB140+AG140+AK140</f>
        <v>0</v>
      </c>
      <c r="AM140" s="324">
        <f t="shared" si="115"/>
        <v>3500</v>
      </c>
      <c r="AN140" s="324"/>
      <c r="AO140" s="324">
        <f t="shared" si="116"/>
        <v>3500</v>
      </c>
    </row>
    <row r="141" spans="3:41" s="78" customFormat="1" ht="20.100000000000001" customHeight="1">
      <c r="C141" s="78" t="s">
        <v>291</v>
      </c>
      <c r="F141" s="104" t="s">
        <v>63</v>
      </c>
      <c r="G141" s="324">
        <f>AM134</f>
        <v>5520</v>
      </c>
      <c r="H141" s="324">
        <f t="shared" ref="H141:H145" si="134">AN134</f>
        <v>0</v>
      </c>
      <c r="I141" s="324">
        <f t="shared" si="114"/>
        <v>5520</v>
      </c>
      <c r="J141" s="324"/>
      <c r="K141" s="324"/>
      <c r="L141" s="324"/>
      <c r="M141" s="324">
        <f t="shared" si="126"/>
        <v>0</v>
      </c>
      <c r="N141" s="324"/>
      <c r="O141" s="324"/>
      <c r="P141" s="324">
        <f t="shared" si="127"/>
        <v>0</v>
      </c>
      <c r="Q141" s="324"/>
      <c r="R141" s="324"/>
      <c r="S141" s="324"/>
      <c r="T141" s="324">
        <f t="shared" si="128"/>
        <v>0</v>
      </c>
      <c r="U141" s="324">
        <f t="shared" si="129"/>
        <v>0</v>
      </c>
      <c r="V141" s="324"/>
      <c r="W141" s="324"/>
      <c r="X141" s="324"/>
      <c r="Y141" s="324"/>
      <c r="Z141" s="324"/>
      <c r="AA141" s="324">
        <f t="shared" si="130"/>
        <v>0</v>
      </c>
      <c r="AB141" s="324"/>
      <c r="AC141" s="324"/>
      <c r="AD141" s="324"/>
      <c r="AE141" s="324"/>
      <c r="AF141" s="324"/>
      <c r="AG141" s="324">
        <f t="shared" si="131"/>
        <v>0</v>
      </c>
      <c r="AH141" s="324"/>
      <c r="AI141" s="324"/>
      <c r="AJ141" s="324"/>
      <c r="AK141" s="324">
        <f t="shared" si="132"/>
        <v>0</v>
      </c>
      <c r="AL141" s="324">
        <f t="shared" si="133"/>
        <v>0</v>
      </c>
      <c r="AM141" s="324">
        <f t="shared" si="115"/>
        <v>5520</v>
      </c>
      <c r="AN141" s="324"/>
      <c r="AO141" s="324">
        <f t="shared" si="116"/>
        <v>5520</v>
      </c>
    </row>
    <row r="142" spans="3:41" s="78" customFormat="1" ht="20.100000000000001" customHeight="1">
      <c r="F142" s="104" t="s">
        <v>59</v>
      </c>
      <c r="G142" s="324">
        <f>AM135</f>
        <v>5800</v>
      </c>
      <c r="H142" s="324">
        <f t="shared" si="134"/>
        <v>0</v>
      </c>
      <c r="I142" s="324">
        <f t="shared" si="114"/>
        <v>5800</v>
      </c>
      <c r="J142" s="324"/>
      <c r="K142" s="324"/>
      <c r="L142" s="324"/>
      <c r="M142" s="324">
        <f t="shared" si="126"/>
        <v>0</v>
      </c>
      <c r="N142" s="324"/>
      <c r="O142" s="324"/>
      <c r="P142" s="324">
        <f t="shared" si="127"/>
        <v>0</v>
      </c>
      <c r="Q142" s="324"/>
      <c r="R142" s="324"/>
      <c r="S142" s="324"/>
      <c r="T142" s="324">
        <f t="shared" si="128"/>
        <v>0</v>
      </c>
      <c r="U142" s="324">
        <f t="shared" si="129"/>
        <v>0</v>
      </c>
      <c r="V142" s="324"/>
      <c r="W142" s="324"/>
      <c r="X142" s="324"/>
      <c r="Y142" s="324"/>
      <c r="Z142" s="324"/>
      <c r="AA142" s="324">
        <f t="shared" si="130"/>
        <v>0</v>
      </c>
      <c r="AB142" s="324"/>
      <c r="AC142" s="324"/>
      <c r="AD142" s="324"/>
      <c r="AE142" s="324"/>
      <c r="AF142" s="324"/>
      <c r="AG142" s="324">
        <f t="shared" si="131"/>
        <v>0</v>
      </c>
      <c r="AH142" s="324"/>
      <c r="AI142" s="324"/>
      <c r="AJ142" s="324"/>
      <c r="AK142" s="324">
        <f t="shared" si="132"/>
        <v>0</v>
      </c>
      <c r="AL142" s="324">
        <f t="shared" si="133"/>
        <v>0</v>
      </c>
      <c r="AM142" s="324">
        <f t="shared" si="115"/>
        <v>5800</v>
      </c>
      <c r="AN142" s="324"/>
      <c r="AO142" s="324">
        <f t="shared" si="116"/>
        <v>5800</v>
      </c>
    </row>
    <row r="143" spans="3:41" s="78" customFormat="1" ht="20.100000000000001" customHeight="1">
      <c r="F143" s="105" t="s">
        <v>66</v>
      </c>
      <c r="G143" s="325">
        <f>AM136</f>
        <v>320</v>
      </c>
      <c r="H143" s="325">
        <f t="shared" si="134"/>
        <v>0</v>
      </c>
      <c r="I143" s="325">
        <f t="shared" si="114"/>
        <v>320</v>
      </c>
      <c r="J143" s="325"/>
      <c r="K143" s="325"/>
      <c r="L143" s="325"/>
      <c r="M143" s="325">
        <f t="shared" si="126"/>
        <v>0</v>
      </c>
      <c r="N143" s="325"/>
      <c r="O143" s="325"/>
      <c r="P143" s="325">
        <f t="shared" si="127"/>
        <v>0</v>
      </c>
      <c r="Q143" s="325"/>
      <c r="R143" s="325"/>
      <c r="S143" s="325"/>
      <c r="T143" s="325">
        <f t="shared" si="128"/>
        <v>0</v>
      </c>
      <c r="U143" s="325">
        <f t="shared" si="129"/>
        <v>0</v>
      </c>
      <c r="V143" s="325"/>
      <c r="W143" s="325"/>
      <c r="X143" s="325"/>
      <c r="Y143" s="325"/>
      <c r="Z143" s="325"/>
      <c r="AA143" s="325">
        <f t="shared" si="130"/>
        <v>0</v>
      </c>
      <c r="AB143" s="325"/>
      <c r="AC143" s="325"/>
      <c r="AD143" s="325"/>
      <c r="AE143" s="325"/>
      <c r="AF143" s="325"/>
      <c r="AG143" s="325">
        <f t="shared" si="131"/>
        <v>0</v>
      </c>
      <c r="AH143" s="325"/>
      <c r="AI143" s="325"/>
      <c r="AJ143" s="325"/>
      <c r="AK143" s="325">
        <f t="shared" si="132"/>
        <v>0</v>
      </c>
      <c r="AL143" s="325">
        <f t="shared" si="133"/>
        <v>0</v>
      </c>
      <c r="AM143" s="325">
        <f t="shared" si="115"/>
        <v>320</v>
      </c>
      <c r="AN143" s="325"/>
      <c r="AO143" s="325">
        <f t="shared" si="116"/>
        <v>320</v>
      </c>
    </row>
    <row r="144" spans="3:41" s="78" customFormat="1" ht="20.100000000000001" customHeight="1">
      <c r="F144" s="105" t="s">
        <v>67</v>
      </c>
      <c r="G144" s="325">
        <f>AM137</f>
        <v>360</v>
      </c>
      <c r="H144" s="325">
        <f t="shared" si="134"/>
        <v>0</v>
      </c>
      <c r="I144" s="325">
        <f t="shared" si="114"/>
        <v>360</v>
      </c>
      <c r="J144" s="325"/>
      <c r="K144" s="325"/>
      <c r="L144" s="325"/>
      <c r="M144" s="325">
        <f t="shared" si="126"/>
        <v>0</v>
      </c>
      <c r="N144" s="325"/>
      <c r="O144" s="325"/>
      <c r="P144" s="325">
        <f t="shared" si="127"/>
        <v>0</v>
      </c>
      <c r="Q144" s="325"/>
      <c r="R144" s="325"/>
      <c r="S144" s="325"/>
      <c r="T144" s="325">
        <f t="shared" si="128"/>
        <v>0</v>
      </c>
      <c r="U144" s="325">
        <f t="shared" si="129"/>
        <v>0</v>
      </c>
      <c r="V144" s="325"/>
      <c r="W144" s="325"/>
      <c r="X144" s="325"/>
      <c r="Y144" s="325"/>
      <c r="Z144" s="325"/>
      <c r="AA144" s="325">
        <f t="shared" si="130"/>
        <v>0</v>
      </c>
      <c r="AB144" s="325"/>
      <c r="AC144" s="325"/>
      <c r="AD144" s="325"/>
      <c r="AE144" s="325"/>
      <c r="AF144" s="325"/>
      <c r="AG144" s="325">
        <f t="shared" si="131"/>
        <v>0</v>
      </c>
      <c r="AH144" s="325"/>
      <c r="AI144" s="325"/>
      <c r="AJ144" s="325"/>
      <c r="AK144" s="325">
        <f t="shared" si="132"/>
        <v>0</v>
      </c>
      <c r="AL144" s="325">
        <f t="shared" si="133"/>
        <v>0</v>
      </c>
      <c r="AM144" s="325">
        <f t="shared" si="115"/>
        <v>360</v>
      </c>
      <c r="AN144" s="325"/>
      <c r="AO144" s="325">
        <f t="shared" si="116"/>
        <v>360</v>
      </c>
    </row>
    <row r="145" spans="3:41" s="78" customFormat="1" ht="20.100000000000001" customHeight="1">
      <c r="F145" s="105" t="s">
        <v>60</v>
      </c>
      <c r="G145" s="325">
        <f>AM138</f>
        <v>20</v>
      </c>
      <c r="H145" s="325">
        <f t="shared" si="134"/>
        <v>0</v>
      </c>
      <c r="I145" s="325">
        <f t="shared" si="114"/>
        <v>20</v>
      </c>
      <c r="J145" s="325"/>
      <c r="K145" s="325"/>
      <c r="L145" s="325"/>
      <c r="M145" s="325">
        <f t="shared" si="126"/>
        <v>0</v>
      </c>
      <c r="N145" s="325"/>
      <c r="O145" s="325"/>
      <c r="P145" s="325">
        <f t="shared" si="127"/>
        <v>0</v>
      </c>
      <c r="Q145" s="325"/>
      <c r="R145" s="325"/>
      <c r="S145" s="325"/>
      <c r="T145" s="325">
        <f t="shared" si="128"/>
        <v>0</v>
      </c>
      <c r="U145" s="325">
        <f t="shared" si="129"/>
        <v>0</v>
      </c>
      <c r="V145" s="325"/>
      <c r="W145" s="325"/>
      <c r="X145" s="325"/>
      <c r="Y145" s="325"/>
      <c r="Z145" s="325"/>
      <c r="AA145" s="325">
        <f t="shared" si="130"/>
        <v>0</v>
      </c>
      <c r="AB145" s="325"/>
      <c r="AC145" s="325"/>
      <c r="AD145" s="325"/>
      <c r="AE145" s="325"/>
      <c r="AF145" s="325"/>
      <c r="AG145" s="325">
        <f t="shared" si="131"/>
        <v>0</v>
      </c>
      <c r="AH145" s="325"/>
      <c r="AI145" s="325"/>
      <c r="AJ145" s="325"/>
      <c r="AK145" s="325">
        <f t="shared" si="132"/>
        <v>0</v>
      </c>
      <c r="AL145" s="325">
        <f t="shared" si="133"/>
        <v>0</v>
      </c>
      <c r="AM145" s="325">
        <f t="shared" si="115"/>
        <v>20</v>
      </c>
      <c r="AN145" s="325"/>
      <c r="AO145" s="325">
        <f t="shared" si="116"/>
        <v>20</v>
      </c>
    </row>
    <row r="146" spans="3:41" s="78" customFormat="1" ht="20.100000000000001" customHeight="1"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  <c r="AA146" s="326"/>
      <c r="AB146" s="326"/>
      <c r="AC146" s="326"/>
      <c r="AD146" s="326"/>
      <c r="AE146" s="326"/>
      <c r="AF146" s="326"/>
      <c r="AG146" s="326"/>
      <c r="AH146" s="326"/>
      <c r="AI146" s="326"/>
      <c r="AJ146" s="326"/>
      <c r="AK146" s="326"/>
      <c r="AL146" s="326"/>
      <c r="AM146" s="326"/>
      <c r="AN146" s="326"/>
      <c r="AO146" s="326"/>
    </row>
    <row r="147" spans="3:41" s="78" customFormat="1" ht="20.100000000000001" customHeight="1">
      <c r="C147" s="81" t="s">
        <v>299</v>
      </c>
      <c r="D147" s="81"/>
      <c r="E147" s="81"/>
      <c r="F147" s="104" t="s">
        <v>62</v>
      </c>
      <c r="G147" s="324">
        <f>AM140</f>
        <v>3500</v>
      </c>
      <c r="H147" s="324">
        <f>AN140</f>
        <v>0</v>
      </c>
      <c r="I147" s="324">
        <f t="shared" si="114"/>
        <v>3500</v>
      </c>
      <c r="J147" s="324"/>
      <c r="K147" s="324"/>
      <c r="L147" s="324"/>
      <c r="M147" s="324">
        <f t="shared" ref="M147:M152" si="135">SUM(K147:L147)</f>
        <v>0</v>
      </c>
      <c r="N147" s="324"/>
      <c r="O147" s="324"/>
      <c r="P147" s="324">
        <f t="shared" ref="P147:P152" si="136">SUM(N147:O147)</f>
        <v>0</v>
      </c>
      <c r="Q147" s="324"/>
      <c r="R147" s="324"/>
      <c r="S147" s="324"/>
      <c r="T147" s="324">
        <f t="shared" ref="T147:T152" si="137">SUM(R147:S147)</f>
        <v>0</v>
      </c>
      <c r="U147" s="324">
        <f t="shared" ref="U147:U152" si="138">J147+M147+P147+Q147+T147</f>
        <v>0</v>
      </c>
      <c r="V147" s="324"/>
      <c r="W147" s="324"/>
      <c r="X147" s="324"/>
      <c r="Y147" s="324"/>
      <c r="Z147" s="324"/>
      <c r="AA147" s="324">
        <f t="shared" ref="AA147:AA152" si="139">SUM(W147:Z147)</f>
        <v>0</v>
      </c>
      <c r="AB147" s="324"/>
      <c r="AC147" s="324"/>
      <c r="AD147" s="324"/>
      <c r="AE147" s="324"/>
      <c r="AF147" s="324"/>
      <c r="AG147" s="324">
        <f t="shared" ref="AG147:AG152" si="140">SUM(AC147:AF147)</f>
        <v>0</v>
      </c>
      <c r="AH147" s="324"/>
      <c r="AI147" s="324"/>
      <c r="AJ147" s="324"/>
      <c r="AK147" s="324">
        <f t="shared" ref="AK147:AK152" si="141">SUM(AH147:AJ147)</f>
        <v>0</v>
      </c>
      <c r="AL147" s="324">
        <f t="shared" ref="AL147:AL152" si="142">V147+AA147+AB147+AG147+AK147</f>
        <v>0</v>
      </c>
      <c r="AM147" s="324">
        <f t="shared" si="115"/>
        <v>3500</v>
      </c>
      <c r="AN147" s="324"/>
      <c r="AO147" s="324">
        <f t="shared" si="116"/>
        <v>3500</v>
      </c>
    </row>
    <row r="148" spans="3:41" s="78" customFormat="1" ht="20.100000000000001" customHeight="1">
      <c r="C148" s="86" t="s">
        <v>82</v>
      </c>
      <c r="D148" s="86"/>
      <c r="E148" s="86"/>
      <c r="F148" s="104" t="s">
        <v>63</v>
      </c>
      <c r="G148" s="324">
        <f>AM141</f>
        <v>5520</v>
      </c>
      <c r="H148" s="324">
        <f t="shared" ref="H148:H152" si="143">AN141</f>
        <v>0</v>
      </c>
      <c r="I148" s="324">
        <f t="shared" si="114"/>
        <v>5520</v>
      </c>
      <c r="J148" s="324"/>
      <c r="K148" s="324"/>
      <c r="L148" s="324"/>
      <c r="M148" s="324">
        <f t="shared" si="135"/>
        <v>0</v>
      </c>
      <c r="N148" s="324"/>
      <c r="O148" s="324"/>
      <c r="P148" s="324">
        <f t="shared" si="136"/>
        <v>0</v>
      </c>
      <c r="Q148" s="324"/>
      <c r="R148" s="324"/>
      <c r="S148" s="324"/>
      <c r="T148" s="324">
        <f t="shared" si="137"/>
        <v>0</v>
      </c>
      <c r="U148" s="324">
        <f t="shared" si="138"/>
        <v>0</v>
      </c>
      <c r="V148" s="324"/>
      <c r="W148" s="324"/>
      <c r="X148" s="324"/>
      <c r="Y148" s="324"/>
      <c r="Z148" s="324"/>
      <c r="AA148" s="324">
        <f t="shared" si="139"/>
        <v>0</v>
      </c>
      <c r="AB148" s="324"/>
      <c r="AC148" s="324"/>
      <c r="AD148" s="324"/>
      <c r="AE148" s="324"/>
      <c r="AF148" s="324"/>
      <c r="AG148" s="324">
        <f t="shared" si="140"/>
        <v>0</v>
      </c>
      <c r="AH148" s="324"/>
      <c r="AI148" s="324"/>
      <c r="AJ148" s="324"/>
      <c r="AK148" s="324">
        <f t="shared" si="141"/>
        <v>0</v>
      </c>
      <c r="AL148" s="324">
        <f t="shared" si="142"/>
        <v>0</v>
      </c>
      <c r="AM148" s="324">
        <f t="shared" si="115"/>
        <v>5520</v>
      </c>
      <c r="AN148" s="324"/>
      <c r="AO148" s="324">
        <f t="shared" si="116"/>
        <v>5520</v>
      </c>
    </row>
    <row r="149" spans="3:41" s="78" customFormat="1" ht="20.100000000000001" customHeight="1">
      <c r="C149" s="142" t="s">
        <v>94</v>
      </c>
      <c r="D149" s="142"/>
      <c r="E149" s="142"/>
      <c r="F149" s="104" t="s">
        <v>59</v>
      </c>
      <c r="G149" s="324">
        <f>AM142</f>
        <v>5800</v>
      </c>
      <c r="H149" s="324">
        <f t="shared" si="143"/>
        <v>0</v>
      </c>
      <c r="I149" s="324">
        <f t="shared" si="114"/>
        <v>5800</v>
      </c>
      <c r="J149" s="324"/>
      <c r="K149" s="324"/>
      <c r="L149" s="324">
        <v>19</v>
      </c>
      <c r="M149" s="324">
        <f t="shared" si="135"/>
        <v>19</v>
      </c>
      <c r="N149" s="324"/>
      <c r="O149" s="324"/>
      <c r="P149" s="324">
        <f t="shared" si="136"/>
        <v>0</v>
      </c>
      <c r="Q149" s="324"/>
      <c r="R149" s="324"/>
      <c r="S149" s="324"/>
      <c r="T149" s="324">
        <f t="shared" si="137"/>
        <v>0</v>
      </c>
      <c r="U149" s="324">
        <f t="shared" si="138"/>
        <v>19</v>
      </c>
      <c r="V149" s="324"/>
      <c r="W149" s="324"/>
      <c r="X149" s="324"/>
      <c r="Y149" s="324"/>
      <c r="Z149" s="324"/>
      <c r="AA149" s="324">
        <f t="shared" si="139"/>
        <v>0</v>
      </c>
      <c r="AB149" s="324"/>
      <c r="AC149" s="324"/>
      <c r="AD149" s="324"/>
      <c r="AE149" s="324"/>
      <c r="AF149" s="324"/>
      <c r="AG149" s="324">
        <f t="shared" si="140"/>
        <v>0</v>
      </c>
      <c r="AH149" s="324"/>
      <c r="AI149" s="324"/>
      <c r="AJ149" s="324"/>
      <c r="AK149" s="324">
        <f t="shared" si="141"/>
        <v>0</v>
      </c>
      <c r="AL149" s="324">
        <f t="shared" si="142"/>
        <v>0</v>
      </c>
      <c r="AM149" s="324">
        <f t="shared" si="115"/>
        <v>5819</v>
      </c>
      <c r="AN149" s="324"/>
      <c r="AO149" s="324">
        <f t="shared" si="116"/>
        <v>5819</v>
      </c>
    </row>
    <row r="150" spans="3:41" s="78" customFormat="1" ht="20.100000000000001" customHeight="1">
      <c r="F150" s="105" t="s">
        <v>66</v>
      </c>
      <c r="G150" s="325">
        <f>AM143</f>
        <v>320</v>
      </c>
      <c r="H150" s="325">
        <f t="shared" si="143"/>
        <v>0</v>
      </c>
      <c r="I150" s="325">
        <f t="shared" si="114"/>
        <v>320</v>
      </c>
      <c r="J150" s="325"/>
      <c r="K150" s="325"/>
      <c r="L150" s="325"/>
      <c r="M150" s="325">
        <f t="shared" si="135"/>
        <v>0</v>
      </c>
      <c r="N150" s="325"/>
      <c r="O150" s="325"/>
      <c r="P150" s="325">
        <f t="shared" si="136"/>
        <v>0</v>
      </c>
      <c r="Q150" s="325"/>
      <c r="R150" s="325"/>
      <c r="S150" s="325"/>
      <c r="T150" s="325">
        <f t="shared" si="137"/>
        <v>0</v>
      </c>
      <c r="U150" s="325">
        <f t="shared" si="138"/>
        <v>0</v>
      </c>
      <c r="V150" s="325"/>
      <c r="W150" s="325"/>
      <c r="X150" s="325"/>
      <c r="Y150" s="325"/>
      <c r="Z150" s="325"/>
      <c r="AA150" s="325">
        <f t="shared" si="139"/>
        <v>0</v>
      </c>
      <c r="AB150" s="325"/>
      <c r="AC150" s="325"/>
      <c r="AD150" s="325"/>
      <c r="AE150" s="325"/>
      <c r="AF150" s="325"/>
      <c r="AG150" s="325">
        <f t="shared" si="140"/>
        <v>0</v>
      </c>
      <c r="AH150" s="325"/>
      <c r="AI150" s="325"/>
      <c r="AJ150" s="325"/>
      <c r="AK150" s="325">
        <f t="shared" si="141"/>
        <v>0</v>
      </c>
      <c r="AL150" s="325">
        <f t="shared" si="142"/>
        <v>0</v>
      </c>
      <c r="AM150" s="325">
        <f t="shared" si="115"/>
        <v>320</v>
      </c>
      <c r="AN150" s="325"/>
      <c r="AO150" s="325">
        <f t="shared" si="116"/>
        <v>320</v>
      </c>
    </row>
    <row r="151" spans="3:41" s="78" customFormat="1" ht="20.100000000000001" customHeight="1">
      <c r="F151" s="105" t="s">
        <v>67</v>
      </c>
      <c r="G151" s="325">
        <f>AM144</f>
        <v>360</v>
      </c>
      <c r="H151" s="325">
        <f t="shared" si="143"/>
        <v>0</v>
      </c>
      <c r="I151" s="325">
        <f t="shared" si="114"/>
        <v>360</v>
      </c>
      <c r="J151" s="325"/>
      <c r="K151" s="325"/>
      <c r="L151" s="325"/>
      <c r="M151" s="325">
        <f t="shared" si="135"/>
        <v>0</v>
      </c>
      <c r="N151" s="325"/>
      <c r="O151" s="325"/>
      <c r="P151" s="325">
        <f t="shared" si="136"/>
        <v>0</v>
      </c>
      <c r="Q151" s="325"/>
      <c r="R151" s="325"/>
      <c r="S151" s="325"/>
      <c r="T151" s="325">
        <f t="shared" si="137"/>
        <v>0</v>
      </c>
      <c r="U151" s="325">
        <f t="shared" si="138"/>
        <v>0</v>
      </c>
      <c r="V151" s="325"/>
      <c r="W151" s="325"/>
      <c r="X151" s="325"/>
      <c r="Y151" s="325"/>
      <c r="Z151" s="325"/>
      <c r="AA151" s="325">
        <f t="shared" si="139"/>
        <v>0</v>
      </c>
      <c r="AB151" s="325"/>
      <c r="AC151" s="325"/>
      <c r="AD151" s="325"/>
      <c r="AE151" s="325"/>
      <c r="AF151" s="325"/>
      <c r="AG151" s="325">
        <f t="shared" si="140"/>
        <v>0</v>
      </c>
      <c r="AH151" s="325"/>
      <c r="AI151" s="325"/>
      <c r="AJ151" s="325"/>
      <c r="AK151" s="325">
        <f t="shared" si="141"/>
        <v>0</v>
      </c>
      <c r="AL151" s="325">
        <f t="shared" si="142"/>
        <v>0</v>
      </c>
      <c r="AM151" s="325">
        <f t="shared" si="115"/>
        <v>360</v>
      </c>
      <c r="AN151" s="325"/>
      <c r="AO151" s="325">
        <f t="shared" si="116"/>
        <v>360</v>
      </c>
    </row>
    <row r="152" spans="3:41" s="78" customFormat="1" ht="20.100000000000001" customHeight="1">
      <c r="F152" s="105" t="s">
        <v>60</v>
      </c>
      <c r="G152" s="325">
        <f>AM145</f>
        <v>20</v>
      </c>
      <c r="H152" s="325">
        <f t="shared" si="143"/>
        <v>0</v>
      </c>
      <c r="I152" s="325">
        <f t="shared" si="114"/>
        <v>20</v>
      </c>
      <c r="J152" s="325"/>
      <c r="K152" s="325"/>
      <c r="L152" s="325"/>
      <c r="M152" s="325">
        <f t="shared" si="135"/>
        <v>0</v>
      </c>
      <c r="N152" s="325"/>
      <c r="O152" s="325"/>
      <c r="P152" s="325">
        <f t="shared" si="136"/>
        <v>0</v>
      </c>
      <c r="Q152" s="325"/>
      <c r="R152" s="325"/>
      <c r="S152" s="325"/>
      <c r="T152" s="325">
        <f t="shared" si="137"/>
        <v>0</v>
      </c>
      <c r="U152" s="325">
        <f t="shared" si="138"/>
        <v>0</v>
      </c>
      <c r="V152" s="325"/>
      <c r="W152" s="325"/>
      <c r="X152" s="325"/>
      <c r="Y152" s="325"/>
      <c r="Z152" s="325">
        <f>L149</f>
        <v>19</v>
      </c>
      <c r="AA152" s="325">
        <f t="shared" si="139"/>
        <v>19</v>
      </c>
      <c r="AB152" s="325"/>
      <c r="AC152" s="325"/>
      <c r="AD152" s="325"/>
      <c r="AE152" s="325"/>
      <c r="AF152" s="325"/>
      <c r="AG152" s="325">
        <f t="shared" si="140"/>
        <v>0</v>
      </c>
      <c r="AH152" s="325"/>
      <c r="AI152" s="325"/>
      <c r="AJ152" s="325"/>
      <c r="AK152" s="325">
        <f t="shared" si="141"/>
        <v>0</v>
      </c>
      <c r="AL152" s="325">
        <f t="shared" si="142"/>
        <v>19</v>
      </c>
      <c r="AM152" s="325">
        <f t="shared" si="115"/>
        <v>1</v>
      </c>
      <c r="AN152" s="325"/>
      <c r="AO152" s="325">
        <f t="shared" si="116"/>
        <v>1</v>
      </c>
    </row>
    <row r="153" spans="3:41" s="78" customFormat="1" ht="20.100000000000001" customHeight="1"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  <c r="AA153" s="326"/>
      <c r="AB153" s="326"/>
      <c r="AC153" s="326"/>
      <c r="AD153" s="326"/>
      <c r="AE153" s="326"/>
      <c r="AF153" s="326"/>
      <c r="AG153" s="326"/>
      <c r="AH153" s="326"/>
      <c r="AI153" s="326"/>
      <c r="AJ153" s="326"/>
      <c r="AK153" s="326"/>
      <c r="AL153" s="326"/>
      <c r="AM153" s="326">
        <f t="shared" si="115"/>
        <v>0</v>
      </c>
      <c r="AN153" s="326"/>
      <c r="AO153" s="326">
        <f t="shared" si="116"/>
        <v>0</v>
      </c>
    </row>
    <row r="154" spans="3:41" s="78" customFormat="1" ht="20.100000000000001" customHeight="1">
      <c r="C154" s="81" t="s">
        <v>300</v>
      </c>
      <c r="D154" s="81"/>
      <c r="E154" s="81"/>
      <c r="F154" s="104" t="s">
        <v>62</v>
      </c>
      <c r="G154" s="324">
        <f>AM147</f>
        <v>3500</v>
      </c>
      <c r="H154" s="324">
        <f>AN147</f>
        <v>0</v>
      </c>
      <c r="I154" s="324">
        <f t="shared" si="114"/>
        <v>3500</v>
      </c>
      <c r="J154" s="324"/>
      <c r="K154" s="324"/>
      <c r="L154" s="324"/>
      <c r="M154" s="324">
        <f t="shared" ref="M154:M159" si="144">SUM(K154:L154)</f>
        <v>0</v>
      </c>
      <c r="N154" s="324"/>
      <c r="O154" s="324"/>
      <c r="P154" s="324">
        <f t="shared" ref="P154:P159" si="145">SUM(N154:O154)</f>
        <v>0</v>
      </c>
      <c r="Q154" s="324"/>
      <c r="R154" s="324"/>
      <c r="S154" s="324"/>
      <c r="T154" s="324">
        <f t="shared" ref="T154:T159" si="146">SUM(R154:S154)</f>
        <v>0</v>
      </c>
      <c r="U154" s="324">
        <f t="shared" ref="U154:U159" si="147">J154+M154+P154+Q154+T154</f>
        <v>0</v>
      </c>
      <c r="V154" s="324"/>
      <c r="W154" s="324"/>
      <c r="X154" s="324"/>
      <c r="Y154" s="324"/>
      <c r="Z154" s="324"/>
      <c r="AA154" s="324">
        <f t="shared" ref="AA154:AA159" si="148">SUM(W154:Z154)</f>
        <v>0</v>
      </c>
      <c r="AB154" s="324"/>
      <c r="AC154" s="324"/>
      <c r="AD154" s="324"/>
      <c r="AE154" s="324"/>
      <c r="AF154" s="324"/>
      <c r="AG154" s="324">
        <f t="shared" ref="AG154:AG159" si="149">SUM(AC154:AF154)</f>
        <v>0</v>
      </c>
      <c r="AH154" s="324"/>
      <c r="AI154" s="324"/>
      <c r="AJ154" s="324"/>
      <c r="AK154" s="324">
        <f t="shared" ref="AK154:AK159" si="150">SUM(AH154:AJ154)</f>
        <v>0</v>
      </c>
      <c r="AL154" s="324">
        <f t="shared" ref="AL154:AL159" si="151">V154+AA154+AB154+AG154+AK154</f>
        <v>0</v>
      </c>
      <c r="AM154" s="324">
        <f t="shared" si="115"/>
        <v>3500</v>
      </c>
      <c r="AN154" s="324"/>
      <c r="AO154" s="324">
        <f t="shared" si="116"/>
        <v>3500</v>
      </c>
    </row>
    <row r="155" spans="3:41" s="78" customFormat="1" ht="20.100000000000001" customHeight="1">
      <c r="F155" s="104" t="s">
        <v>63</v>
      </c>
      <c r="G155" s="324">
        <f>AM148</f>
        <v>5520</v>
      </c>
      <c r="H155" s="324">
        <f t="shared" ref="H155:H159" si="152">AN148</f>
        <v>0</v>
      </c>
      <c r="I155" s="324">
        <f t="shared" si="114"/>
        <v>5520</v>
      </c>
      <c r="J155" s="324"/>
      <c r="K155" s="324"/>
      <c r="L155" s="324"/>
      <c r="M155" s="324">
        <f t="shared" si="144"/>
        <v>0</v>
      </c>
      <c r="N155" s="324"/>
      <c r="O155" s="324"/>
      <c r="P155" s="324">
        <f t="shared" si="145"/>
        <v>0</v>
      </c>
      <c r="Q155" s="324"/>
      <c r="R155" s="324"/>
      <c r="S155" s="324"/>
      <c r="T155" s="324">
        <f t="shared" si="146"/>
        <v>0</v>
      </c>
      <c r="U155" s="324">
        <f t="shared" si="147"/>
        <v>0</v>
      </c>
      <c r="V155" s="324"/>
      <c r="W155" s="324"/>
      <c r="X155" s="324"/>
      <c r="Y155" s="324"/>
      <c r="Z155" s="324"/>
      <c r="AA155" s="324">
        <f t="shared" si="148"/>
        <v>0</v>
      </c>
      <c r="AB155" s="324"/>
      <c r="AC155" s="324"/>
      <c r="AD155" s="324"/>
      <c r="AE155" s="324"/>
      <c r="AF155" s="324"/>
      <c r="AG155" s="324">
        <f t="shared" si="149"/>
        <v>0</v>
      </c>
      <c r="AH155" s="324"/>
      <c r="AI155" s="324"/>
      <c r="AJ155" s="324"/>
      <c r="AK155" s="324">
        <f t="shared" si="150"/>
        <v>0</v>
      </c>
      <c r="AL155" s="324">
        <f t="shared" si="151"/>
        <v>0</v>
      </c>
      <c r="AM155" s="324">
        <f t="shared" si="115"/>
        <v>5520</v>
      </c>
      <c r="AN155" s="324"/>
      <c r="AO155" s="324">
        <f t="shared" si="116"/>
        <v>5520</v>
      </c>
    </row>
    <row r="156" spans="3:41" s="78" customFormat="1" ht="20.100000000000001" customHeight="1">
      <c r="F156" s="104" t="s">
        <v>59</v>
      </c>
      <c r="G156" s="324">
        <f>AM149</f>
        <v>5819</v>
      </c>
      <c r="H156" s="324">
        <f t="shared" si="152"/>
        <v>0</v>
      </c>
      <c r="I156" s="324">
        <f t="shared" si="114"/>
        <v>5819</v>
      </c>
      <c r="J156" s="324"/>
      <c r="K156" s="324"/>
      <c r="L156" s="324"/>
      <c r="M156" s="324">
        <f t="shared" si="144"/>
        <v>0</v>
      </c>
      <c r="N156" s="324"/>
      <c r="O156" s="324"/>
      <c r="P156" s="324">
        <f t="shared" si="145"/>
        <v>0</v>
      </c>
      <c r="Q156" s="324"/>
      <c r="R156" s="324"/>
      <c r="S156" s="324"/>
      <c r="T156" s="324">
        <f t="shared" si="146"/>
        <v>0</v>
      </c>
      <c r="U156" s="324">
        <f t="shared" si="147"/>
        <v>0</v>
      </c>
      <c r="V156" s="324"/>
      <c r="W156" s="324"/>
      <c r="X156" s="324"/>
      <c r="Y156" s="324"/>
      <c r="Z156" s="324"/>
      <c r="AA156" s="324">
        <f t="shared" si="148"/>
        <v>0</v>
      </c>
      <c r="AB156" s="324"/>
      <c r="AC156" s="324"/>
      <c r="AD156" s="324"/>
      <c r="AE156" s="324"/>
      <c r="AF156" s="324"/>
      <c r="AG156" s="324">
        <f t="shared" si="149"/>
        <v>0</v>
      </c>
      <c r="AH156" s="324"/>
      <c r="AI156" s="324"/>
      <c r="AJ156" s="324"/>
      <c r="AK156" s="324">
        <f t="shared" si="150"/>
        <v>0</v>
      </c>
      <c r="AL156" s="324">
        <f t="shared" si="151"/>
        <v>0</v>
      </c>
      <c r="AM156" s="324">
        <f t="shared" si="115"/>
        <v>5819</v>
      </c>
      <c r="AN156" s="324"/>
      <c r="AO156" s="324">
        <f t="shared" si="116"/>
        <v>5819</v>
      </c>
    </row>
    <row r="157" spans="3:41" s="78" customFormat="1" ht="20.100000000000001" customHeight="1">
      <c r="F157" s="105" t="s">
        <v>66</v>
      </c>
      <c r="G157" s="325">
        <f>AM150</f>
        <v>320</v>
      </c>
      <c r="H157" s="325">
        <f t="shared" si="152"/>
        <v>0</v>
      </c>
      <c r="I157" s="325">
        <f t="shared" si="114"/>
        <v>320</v>
      </c>
      <c r="J157" s="325"/>
      <c r="K157" s="325"/>
      <c r="L157" s="325"/>
      <c r="M157" s="325">
        <f t="shared" si="144"/>
        <v>0</v>
      </c>
      <c r="N157" s="325"/>
      <c r="O157" s="325"/>
      <c r="P157" s="325">
        <f t="shared" si="145"/>
        <v>0</v>
      </c>
      <c r="Q157" s="325"/>
      <c r="R157" s="325"/>
      <c r="S157" s="325"/>
      <c r="T157" s="325">
        <f t="shared" si="146"/>
        <v>0</v>
      </c>
      <c r="U157" s="325">
        <f t="shared" si="147"/>
        <v>0</v>
      </c>
      <c r="V157" s="325"/>
      <c r="W157" s="325"/>
      <c r="X157" s="325"/>
      <c r="Y157" s="325"/>
      <c r="Z157" s="325"/>
      <c r="AA157" s="325">
        <f t="shared" si="148"/>
        <v>0</v>
      </c>
      <c r="AB157" s="325"/>
      <c r="AC157" s="325"/>
      <c r="AD157" s="325"/>
      <c r="AE157" s="325"/>
      <c r="AF157" s="325"/>
      <c r="AG157" s="325">
        <f t="shared" si="149"/>
        <v>0</v>
      </c>
      <c r="AH157" s="325"/>
      <c r="AI157" s="325"/>
      <c r="AJ157" s="325"/>
      <c r="AK157" s="325">
        <f t="shared" si="150"/>
        <v>0</v>
      </c>
      <c r="AL157" s="325">
        <f t="shared" si="151"/>
        <v>0</v>
      </c>
      <c r="AM157" s="325">
        <f t="shared" si="115"/>
        <v>320</v>
      </c>
      <c r="AN157" s="325"/>
      <c r="AO157" s="325">
        <f t="shared" si="116"/>
        <v>320</v>
      </c>
    </row>
    <row r="158" spans="3:41" s="78" customFormat="1" ht="20.100000000000001" customHeight="1">
      <c r="F158" s="105" t="s">
        <v>67</v>
      </c>
      <c r="G158" s="325">
        <f>AM151</f>
        <v>360</v>
      </c>
      <c r="H158" s="325">
        <f t="shared" si="152"/>
        <v>0</v>
      </c>
      <c r="I158" s="325">
        <f t="shared" si="114"/>
        <v>360</v>
      </c>
      <c r="J158" s="325"/>
      <c r="K158" s="325"/>
      <c r="L158" s="325"/>
      <c r="M158" s="325">
        <f t="shared" si="144"/>
        <v>0</v>
      </c>
      <c r="N158" s="325"/>
      <c r="O158" s="325"/>
      <c r="P158" s="325">
        <f t="shared" si="145"/>
        <v>0</v>
      </c>
      <c r="Q158" s="325"/>
      <c r="R158" s="325"/>
      <c r="S158" s="325"/>
      <c r="T158" s="325">
        <f t="shared" si="146"/>
        <v>0</v>
      </c>
      <c r="U158" s="325">
        <f t="shared" si="147"/>
        <v>0</v>
      </c>
      <c r="V158" s="325"/>
      <c r="W158" s="325"/>
      <c r="X158" s="325"/>
      <c r="Y158" s="325"/>
      <c r="Z158" s="325"/>
      <c r="AA158" s="325">
        <f t="shared" si="148"/>
        <v>0</v>
      </c>
      <c r="AB158" s="325"/>
      <c r="AC158" s="325"/>
      <c r="AD158" s="325"/>
      <c r="AE158" s="325"/>
      <c r="AF158" s="325"/>
      <c r="AG158" s="325">
        <f t="shared" si="149"/>
        <v>0</v>
      </c>
      <c r="AH158" s="325"/>
      <c r="AI158" s="325"/>
      <c r="AJ158" s="325"/>
      <c r="AK158" s="325">
        <f t="shared" si="150"/>
        <v>0</v>
      </c>
      <c r="AL158" s="325">
        <f t="shared" si="151"/>
        <v>0</v>
      </c>
      <c r="AM158" s="325">
        <f t="shared" si="115"/>
        <v>360</v>
      </c>
      <c r="AN158" s="325"/>
      <c r="AO158" s="325">
        <f t="shared" si="116"/>
        <v>360</v>
      </c>
    </row>
    <row r="159" spans="3:41" s="78" customFormat="1" ht="20.100000000000001" customHeight="1">
      <c r="F159" s="105" t="s">
        <v>60</v>
      </c>
      <c r="G159" s="325">
        <f>AM152</f>
        <v>1</v>
      </c>
      <c r="H159" s="325">
        <f t="shared" si="152"/>
        <v>0</v>
      </c>
      <c r="I159" s="325">
        <f t="shared" si="114"/>
        <v>1</v>
      </c>
      <c r="J159" s="325"/>
      <c r="K159" s="325"/>
      <c r="L159" s="325"/>
      <c r="M159" s="325">
        <f t="shared" si="144"/>
        <v>0</v>
      </c>
      <c r="N159" s="325"/>
      <c r="O159" s="325"/>
      <c r="P159" s="325">
        <f t="shared" si="145"/>
        <v>0</v>
      </c>
      <c r="Q159" s="325"/>
      <c r="R159" s="325"/>
      <c r="S159" s="325"/>
      <c r="T159" s="325">
        <f t="shared" si="146"/>
        <v>0</v>
      </c>
      <c r="U159" s="325">
        <f t="shared" si="147"/>
        <v>0</v>
      </c>
      <c r="V159" s="325"/>
      <c r="W159" s="325"/>
      <c r="X159" s="325"/>
      <c r="Y159" s="325"/>
      <c r="Z159" s="325"/>
      <c r="AA159" s="325">
        <f t="shared" si="148"/>
        <v>0</v>
      </c>
      <c r="AB159" s="325"/>
      <c r="AC159" s="325"/>
      <c r="AD159" s="325"/>
      <c r="AE159" s="325"/>
      <c r="AF159" s="325"/>
      <c r="AG159" s="325">
        <f t="shared" si="149"/>
        <v>0</v>
      </c>
      <c r="AH159" s="325">
        <v>1</v>
      </c>
      <c r="AI159" s="325"/>
      <c r="AJ159" s="325"/>
      <c r="AK159" s="325">
        <f t="shared" si="150"/>
        <v>1</v>
      </c>
      <c r="AL159" s="325">
        <f t="shared" si="151"/>
        <v>1</v>
      </c>
      <c r="AM159" s="325">
        <f t="shared" si="115"/>
        <v>0</v>
      </c>
      <c r="AN159" s="325"/>
      <c r="AO159" s="325">
        <f t="shared" si="116"/>
        <v>0</v>
      </c>
    </row>
    <row r="160" spans="3:41" s="78" customFormat="1" ht="20.100000000000001" customHeight="1"/>
    <row r="161" s="78" customFormat="1" ht="20.100000000000001" customHeight="1"/>
    <row r="162" s="78" customFormat="1" ht="20.100000000000001" customHeight="1"/>
    <row r="163" s="78" customFormat="1" ht="20.100000000000001" customHeight="1"/>
    <row r="164" s="78" customFormat="1" ht="20.100000000000001" customHeight="1"/>
    <row r="165" s="78" customFormat="1" ht="20.100000000000001" customHeight="1"/>
    <row r="166" s="78" customFormat="1" ht="20.100000000000001" customHeight="1"/>
    <row r="167" s="78" customFormat="1" ht="20.100000000000001" customHeight="1"/>
    <row r="168" s="78" customFormat="1" ht="20.100000000000001" customHeight="1"/>
    <row r="169" s="78" customFormat="1" ht="20.100000000000001" customHeight="1"/>
    <row r="170" s="78" customFormat="1" ht="20.100000000000001" customHeight="1"/>
    <row r="171" s="78" customFormat="1" ht="20.100000000000001" customHeight="1"/>
    <row r="172" s="78" customFormat="1" ht="20.100000000000001" customHeight="1"/>
    <row r="173" s="78" customFormat="1" ht="20.100000000000001" customHeight="1"/>
    <row r="174" s="78" customFormat="1" ht="20.100000000000001" customHeight="1"/>
    <row r="175" s="78" customFormat="1" ht="20.100000000000001" customHeight="1"/>
    <row r="176" s="78" customFormat="1" ht="20.100000000000001" customHeight="1"/>
    <row r="177" s="78" customFormat="1" ht="20.100000000000001" customHeight="1"/>
    <row r="178" s="78" customFormat="1" ht="20.100000000000001" customHeight="1"/>
    <row r="179" s="78" customFormat="1" ht="20.100000000000001" customHeight="1"/>
    <row r="180" s="78" customFormat="1" ht="20.100000000000001" customHeight="1"/>
    <row r="181" s="78" customFormat="1" ht="20.100000000000001" customHeight="1"/>
    <row r="182" s="78" customFormat="1" ht="20.100000000000001" customHeight="1"/>
    <row r="183" s="78" customFormat="1" ht="20.100000000000001" customHeight="1"/>
    <row r="184" s="78" customFormat="1" ht="20.100000000000001" customHeight="1"/>
    <row r="185" s="78" customFormat="1" ht="20.100000000000001" customHeight="1"/>
    <row r="186" s="78" customFormat="1" ht="20.100000000000001" customHeight="1"/>
    <row r="187" s="78" customFormat="1" ht="20.100000000000001" customHeight="1"/>
    <row r="188" s="78" customFormat="1" ht="20.100000000000001" customHeight="1"/>
    <row r="189" s="78" customFormat="1" ht="20.100000000000001" customHeight="1"/>
    <row r="190" s="78" customFormat="1" ht="20.100000000000001" customHeight="1"/>
    <row r="191" s="78" customFormat="1" ht="20.100000000000001" customHeight="1"/>
    <row r="192" s="78" customFormat="1" ht="20.100000000000001" customHeight="1"/>
    <row r="193" s="78" customFormat="1" ht="20.100000000000001" customHeight="1"/>
    <row r="194" s="78" customFormat="1" ht="20.100000000000001" customHeight="1"/>
    <row r="195" s="78" customFormat="1" ht="20.100000000000001" customHeight="1"/>
    <row r="196" s="78" customFormat="1" ht="20.100000000000001" customHeight="1"/>
    <row r="197" s="78" customFormat="1" ht="20.100000000000001" customHeight="1"/>
    <row r="198" s="78" customFormat="1" ht="20.100000000000001" customHeight="1"/>
    <row r="199" s="78" customFormat="1" ht="20.100000000000001" customHeight="1"/>
    <row r="200" s="78" customFormat="1" ht="20.100000000000001" customHeight="1"/>
    <row r="201" s="78" customFormat="1" ht="20.100000000000001" customHeight="1"/>
    <row r="202" s="78" customFormat="1" ht="20.100000000000001" customHeight="1"/>
    <row r="203" s="78" customFormat="1" ht="20.100000000000001" customHeight="1"/>
    <row r="204" s="78" customFormat="1" ht="20.100000000000001" customHeight="1"/>
    <row r="205" s="78" customFormat="1" ht="20.100000000000001" customHeight="1"/>
    <row r="206" s="78" customFormat="1" ht="20.100000000000001" customHeight="1"/>
    <row r="207" s="78" customFormat="1" ht="20.100000000000001" customHeight="1"/>
    <row r="208" s="78" customFormat="1" ht="20.100000000000001" customHeight="1"/>
    <row r="209" s="78" customFormat="1" ht="20.100000000000001" customHeight="1"/>
    <row r="210" s="78" customFormat="1" ht="20.100000000000001" customHeight="1"/>
    <row r="211" s="78" customFormat="1" ht="20.100000000000001" customHeight="1"/>
    <row r="212" s="78" customFormat="1" ht="20.100000000000001" customHeight="1"/>
    <row r="213" s="78" customFormat="1" ht="20.100000000000001" customHeight="1"/>
    <row r="214" s="78" customFormat="1" ht="20.100000000000001" customHeight="1"/>
    <row r="215" s="78" customFormat="1" ht="20.100000000000001" customHeight="1"/>
    <row r="216" s="78" customFormat="1" ht="20.100000000000001" customHeight="1"/>
    <row r="217" s="78" customFormat="1" ht="20.100000000000001" customHeight="1"/>
    <row r="218" s="78" customFormat="1" ht="20.100000000000001" customHeight="1"/>
    <row r="219" s="78" customFormat="1" ht="20.100000000000001" customHeight="1"/>
    <row r="220" s="78" customFormat="1" ht="20.100000000000001" customHeight="1"/>
    <row r="221" s="78" customFormat="1" ht="20.100000000000001" customHeight="1"/>
    <row r="222" s="78" customFormat="1" ht="20.100000000000001" customHeight="1"/>
    <row r="223" s="78" customFormat="1" ht="20.100000000000001" customHeight="1"/>
    <row r="224" s="78" customFormat="1" ht="20.100000000000001" customHeight="1"/>
    <row r="225" s="78" customFormat="1" ht="20.100000000000001" customHeight="1"/>
    <row r="226" s="78" customFormat="1" ht="20.100000000000001" customHeight="1"/>
    <row r="227" s="78" customFormat="1" ht="20.100000000000001" customHeight="1"/>
    <row r="228" s="78" customFormat="1" ht="20.100000000000001" customHeight="1"/>
    <row r="229" s="78" customFormat="1" ht="20.100000000000001" customHeight="1"/>
    <row r="230" s="78" customFormat="1" ht="20.100000000000001" customHeight="1"/>
    <row r="231" s="78" customFormat="1" ht="20.100000000000001" customHeight="1"/>
    <row r="232" s="78" customFormat="1" ht="20.100000000000001" customHeight="1"/>
    <row r="233" s="78" customFormat="1" ht="20.100000000000001" customHeight="1"/>
    <row r="234" s="78" customFormat="1" ht="20.100000000000001" customHeight="1"/>
    <row r="235" s="78" customFormat="1" ht="20.100000000000001" customHeight="1"/>
    <row r="236" s="78" customFormat="1" ht="20.100000000000001" customHeight="1"/>
    <row r="237" s="78" customFormat="1" ht="20.100000000000001" customHeight="1"/>
    <row r="238" s="78" customFormat="1" ht="20.100000000000001" customHeight="1"/>
    <row r="239" s="78" customFormat="1" ht="20.100000000000001" customHeight="1"/>
    <row r="240" s="78" customFormat="1" ht="20.100000000000001" customHeight="1"/>
    <row r="241" s="78" customFormat="1" ht="20.100000000000001" customHeight="1"/>
    <row r="242" s="78" customFormat="1" ht="20.100000000000001" customHeight="1"/>
    <row r="243" s="78" customFormat="1" ht="20.100000000000001" customHeight="1"/>
    <row r="244" s="78" customFormat="1" ht="20.100000000000001" customHeight="1"/>
    <row r="245" s="78" customFormat="1" ht="20.100000000000001" customHeight="1"/>
    <row r="246" s="78" customFormat="1" ht="20.100000000000001" customHeight="1"/>
    <row r="247" s="78" customFormat="1" ht="20.100000000000001" customHeight="1"/>
    <row r="248" s="78" customFormat="1" ht="20.100000000000001" customHeight="1"/>
    <row r="249" s="78" customFormat="1" ht="20.100000000000001" customHeight="1"/>
    <row r="250" s="78" customFormat="1" ht="20.100000000000001" customHeight="1"/>
    <row r="251" s="78" customFormat="1" ht="20.100000000000001" customHeight="1"/>
    <row r="252" s="78" customFormat="1" ht="20.100000000000001" customHeight="1"/>
    <row r="253" s="78" customFormat="1" ht="20.100000000000001" customHeight="1"/>
    <row r="254" s="78" customFormat="1" ht="20.100000000000001" customHeight="1"/>
    <row r="255" s="78" customFormat="1" ht="20.100000000000001" customHeight="1"/>
    <row r="256" s="78" customFormat="1" ht="20.100000000000001" customHeight="1"/>
    <row r="257" s="78" customFormat="1" ht="20.100000000000001" customHeight="1"/>
    <row r="258" s="78" customFormat="1" ht="20.100000000000001" customHeight="1"/>
    <row r="259" s="78" customFormat="1" ht="20.100000000000001" customHeight="1"/>
    <row r="260" s="78" customFormat="1" ht="20.100000000000001" customHeight="1"/>
    <row r="261" s="78" customFormat="1" ht="20.100000000000001" customHeight="1"/>
    <row r="262" s="78" customFormat="1" ht="20.100000000000001" customHeight="1"/>
    <row r="263" s="78" customFormat="1" ht="20.100000000000001" customHeight="1"/>
    <row r="264" s="78" customFormat="1" ht="20.100000000000001" customHeight="1"/>
    <row r="265" s="78" customFormat="1" ht="20.100000000000001" customHeight="1"/>
    <row r="266" s="78" customFormat="1" ht="20.100000000000001" customHeight="1"/>
    <row r="267" s="78" customFormat="1" ht="20.100000000000001" customHeight="1"/>
    <row r="268" s="78" customFormat="1" ht="20.100000000000001" customHeight="1"/>
    <row r="269" s="78" customFormat="1" ht="20.100000000000001" customHeight="1"/>
    <row r="270" s="78" customFormat="1" ht="20.100000000000001" customHeight="1"/>
    <row r="271" s="78" customFormat="1" ht="20.100000000000001" customHeight="1"/>
    <row r="272" s="78" customFormat="1" ht="20.100000000000001" customHeight="1"/>
    <row r="273" s="78" customFormat="1" ht="20.100000000000001" customHeight="1"/>
    <row r="274" s="78" customFormat="1" ht="20.100000000000001" customHeight="1"/>
    <row r="275" s="78" customFormat="1" ht="20.100000000000001" customHeight="1"/>
    <row r="276" s="78" customFormat="1" ht="20.100000000000001" customHeight="1"/>
    <row r="277" s="78" customFormat="1" ht="20.100000000000001" customHeight="1"/>
    <row r="278" s="78" customFormat="1" ht="20.100000000000001" customHeight="1"/>
    <row r="279" s="78" customFormat="1" ht="20.100000000000001" customHeight="1"/>
    <row r="280" s="78" customFormat="1" ht="20.100000000000001" customHeight="1"/>
    <row r="281" s="78" customFormat="1" ht="20.100000000000001" customHeight="1"/>
    <row r="282" s="78" customFormat="1" ht="20.100000000000001" customHeight="1"/>
    <row r="283" s="78" customFormat="1" ht="20.100000000000001" customHeight="1"/>
    <row r="284" s="78" customFormat="1" ht="20.100000000000001" customHeight="1"/>
    <row r="285" s="78" customFormat="1" ht="20.100000000000001" customHeight="1"/>
    <row r="286" s="78" customFormat="1" ht="20.100000000000001" customHeight="1"/>
    <row r="287" s="78" customFormat="1" ht="20.100000000000001" customHeight="1"/>
    <row r="288" s="78" customFormat="1" ht="20.100000000000001" customHeight="1"/>
    <row r="289" s="78" customFormat="1" ht="20.100000000000001" customHeight="1"/>
    <row r="290" s="78" customFormat="1" ht="20.100000000000001" customHeight="1"/>
    <row r="291" s="78" customFormat="1" ht="20.100000000000001" customHeight="1"/>
    <row r="292" s="78" customFormat="1" ht="20.100000000000001" customHeight="1"/>
    <row r="293" s="78" customFormat="1" ht="20.100000000000001" customHeight="1"/>
    <row r="294" s="78" customFormat="1" ht="20.100000000000001" customHeight="1"/>
    <row r="295" s="78" customFormat="1" ht="20.100000000000001" customHeight="1"/>
    <row r="296" s="78" customFormat="1" ht="20.100000000000001" customHeight="1"/>
    <row r="297" s="78" customFormat="1" ht="20.100000000000001" customHeight="1"/>
    <row r="298" s="78" customFormat="1" ht="20.100000000000001" customHeight="1"/>
    <row r="299" s="78" customFormat="1" ht="20.100000000000001" customHeight="1"/>
    <row r="300" s="78" customFormat="1" ht="20.100000000000001" customHeight="1"/>
    <row r="301" s="78" customFormat="1" ht="20.100000000000001" customHeight="1"/>
    <row r="302" s="78" customFormat="1" ht="20.100000000000001" customHeight="1"/>
    <row r="303" s="78" customFormat="1" ht="20.100000000000001" customHeight="1"/>
    <row r="304" s="78" customFormat="1" ht="20.100000000000001" customHeight="1"/>
    <row r="305" s="78" customFormat="1" ht="20.100000000000001" customHeight="1"/>
    <row r="306" s="78" customFormat="1" ht="20.100000000000001" customHeight="1"/>
    <row r="307" s="78" customFormat="1" ht="20.100000000000001" customHeight="1"/>
    <row r="308" s="78" customFormat="1" ht="20.100000000000001" customHeight="1"/>
    <row r="309" s="78" customFormat="1" ht="20.100000000000001" customHeight="1"/>
    <row r="310" s="78" customFormat="1" ht="20.100000000000001" customHeight="1"/>
    <row r="311" s="78" customFormat="1" ht="20.100000000000001" customHeight="1"/>
    <row r="312" s="78" customFormat="1" ht="20.100000000000001" customHeight="1"/>
    <row r="313" s="78" customFormat="1" ht="20.100000000000001" customHeight="1"/>
    <row r="314" s="78" customFormat="1" ht="20.100000000000001" customHeight="1"/>
    <row r="315" s="78" customFormat="1" ht="20.100000000000001" customHeight="1"/>
    <row r="316" s="78" customFormat="1" ht="20.100000000000001" customHeight="1"/>
    <row r="317" s="78" customFormat="1" ht="20.100000000000001" customHeight="1"/>
    <row r="318" s="78" customFormat="1" ht="20.100000000000001" customHeight="1"/>
    <row r="319" s="78" customFormat="1" ht="20.100000000000001" customHeight="1"/>
    <row r="320" s="78" customFormat="1" ht="20.100000000000001" customHeight="1"/>
    <row r="321" s="78" customFormat="1" ht="20.100000000000001" customHeight="1"/>
    <row r="322" s="78" customFormat="1" ht="20.100000000000001" customHeight="1"/>
    <row r="323" s="78" customFormat="1" ht="20.100000000000001" customHeight="1"/>
    <row r="324" s="78" customFormat="1" ht="20.100000000000001" customHeight="1"/>
    <row r="325" s="78" customFormat="1" ht="20.100000000000001" customHeight="1"/>
    <row r="326" s="78" customFormat="1" ht="20.100000000000001" customHeight="1"/>
    <row r="327" s="78" customFormat="1" ht="20.100000000000001" customHeight="1"/>
    <row r="328" s="78" customFormat="1" ht="20.100000000000001" customHeight="1"/>
    <row r="329" s="78" customFormat="1" ht="20.100000000000001" customHeight="1"/>
    <row r="330" s="78" customFormat="1" ht="20.100000000000001" customHeight="1"/>
    <row r="331" s="78" customFormat="1" ht="20.100000000000001" customHeight="1"/>
    <row r="332" s="78" customFormat="1" ht="20.100000000000001" customHeight="1"/>
    <row r="333" s="78" customFormat="1" ht="20.100000000000001" customHeight="1"/>
    <row r="334" s="78" customFormat="1" ht="20.100000000000001" customHeight="1"/>
    <row r="335" s="78" customFormat="1" ht="20.100000000000001" customHeight="1"/>
    <row r="336" s="78" customFormat="1" ht="20.100000000000001" customHeight="1"/>
    <row r="337" s="78" customFormat="1" ht="20.100000000000001" customHeight="1"/>
    <row r="338" s="78" customFormat="1" ht="20.100000000000001" customHeight="1"/>
    <row r="339" s="78" customFormat="1" ht="20.100000000000001" customHeight="1"/>
    <row r="340" s="78" customFormat="1" ht="20.100000000000001" customHeight="1"/>
    <row r="341" s="78" customFormat="1" ht="20.100000000000001" customHeight="1"/>
    <row r="342" s="78" customFormat="1" ht="20.100000000000001" customHeight="1"/>
    <row r="343" s="78" customFormat="1" ht="20.100000000000001" customHeight="1"/>
    <row r="344" s="78" customFormat="1" ht="20.100000000000001" customHeight="1"/>
    <row r="345" s="78" customFormat="1" ht="20.100000000000001" customHeight="1"/>
    <row r="346" s="78" customFormat="1" ht="20.100000000000001" customHeight="1"/>
    <row r="347" s="78" customFormat="1" ht="20.100000000000001" customHeight="1"/>
    <row r="348" s="78" customFormat="1" ht="20.100000000000001" customHeight="1"/>
    <row r="349" s="78" customFormat="1" ht="20.100000000000001" customHeight="1"/>
    <row r="350" s="78" customFormat="1" ht="20.100000000000001" customHeight="1"/>
    <row r="351" s="78" customFormat="1" ht="20.100000000000001" customHeight="1"/>
    <row r="352" s="78" customFormat="1" ht="20.100000000000001" customHeight="1"/>
    <row r="353" s="78" customFormat="1" ht="20.100000000000001" customHeight="1"/>
    <row r="354" s="78" customFormat="1" ht="20.100000000000001" customHeight="1"/>
    <row r="355" s="78" customFormat="1" ht="20.100000000000001" customHeight="1"/>
    <row r="356" s="78" customFormat="1" ht="20.100000000000001" customHeight="1"/>
    <row r="357" s="78" customFormat="1" ht="20.100000000000001" customHeight="1"/>
    <row r="358" s="78" customFormat="1" ht="20.100000000000001" customHeight="1"/>
    <row r="359" s="78" customFormat="1" ht="20.100000000000001" customHeight="1"/>
    <row r="360" s="78" customFormat="1" ht="20.100000000000001" customHeight="1"/>
    <row r="361" s="78" customFormat="1" ht="20.100000000000001" customHeight="1"/>
    <row r="362" s="78" customFormat="1" ht="20.100000000000001" customHeight="1"/>
    <row r="363" s="78" customFormat="1" ht="20.100000000000001" customHeight="1"/>
    <row r="364" s="78" customFormat="1" ht="20.100000000000001" customHeight="1"/>
    <row r="365" s="78" customFormat="1" ht="20.100000000000001" customHeight="1"/>
    <row r="366" s="78" customFormat="1" ht="20.100000000000001" customHeight="1"/>
    <row r="367" s="78" customFormat="1" ht="20.100000000000001" customHeight="1"/>
    <row r="368" s="78" customFormat="1" ht="20.100000000000001" customHeight="1"/>
    <row r="369" s="78" customFormat="1" ht="20.100000000000001" customHeight="1"/>
    <row r="370" s="78" customFormat="1" ht="20.100000000000001" customHeight="1"/>
    <row r="371" s="78" customFormat="1" ht="20.100000000000001" customHeight="1"/>
    <row r="372" s="78" customFormat="1" ht="20.100000000000001" customHeight="1"/>
    <row r="373" s="78" customFormat="1" ht="20.100000000000001" customHeight="1"/>
    <row r="374" s="78" customFormat="1" ht="20.100000000000001" customHeight="1"/>
    <row r="375" s="78" customFormat="1" ht="20.100000000000001" customHeight="1"/>
    <row r="376" s="78" customFormat="1" ht="20.100000000000001" customHeight="1"/>
    <row r="377" s="78" customFormat="1" ht="20.100000000000001" customHeight="1"/>
    <row r="378" s="78" customFormat="1" ht="20.100000000000001" customHeight="1"/>
    <row r="379" s="78" customFormat="1" ht="20.100000000000001" customHeight="1"/>
    <row r="380" s="78" customFormat="1" ht="20.100000000000001" customHeight="1"/>
    <row r="381" s="78" customFormat="1" ht="20.100000000000001" customHeight="1"/>
    <row r="382" s="78" customFormat="1" ht="20.100000000000001" customHeight="1"/>
    <row r="383" s="78" customFormat="1" ht="20.100000000000001" customHeight="1"/>
    <row r="384" s="78" customFormat="1" ht="20.100000000000001" customHeight="1"/>
    <row r="385" s="78" customFormat="1" ht="20.100000000000001" customHeight="1"/>
    <row r="386" s="78" customFormat="1" ht="20.100000000000001" customHeight="1"/>
    <row r="387" s="78" customFormat="1" ht="20.100000000000001" customHeight="1"/>
    <row r="388" s="78" customFormat="1" ht="20.100000000000001" customHeight="1"/>
    <row r="389" s="78" customFormat="1" ht="20.100000000000001" customHeight="1"/>
    <row r="390" s="78" customFormat="1" ht="20.100000000000001" customHeight="1"/>
    <row r="391" s="78" customFormat="1" ht="20.100000000000001" customHeight="1"/>
    <row r="392" s="78" customFormat="1" ht="20.100000000000001" customHeight="1"/>
    <row r="393" s="78" customFormat="1" ht="20.100000000000001" customHeight="1"/>
    <row r="394" s="78" customFormat="1" ht="20.100000000000001" customHeight="1"/>
    <row r="395" s="78" customFormat="1" ht="20.100000000000001" customHeight="1"/>
    <row r="396" s="78" customFormat="1" ht="20.100000000000001" customHeight="1"/>
    <row r="397" s="78" customFormat="1" ht="20.100000000000001" customHeight="1"/>
    <row r="398" s="78" customFormat="1" ht="20.100000000000001" customHeight="1"/>
    <row r="399" s="78" customFormat="1" ht="20.100000000000001" customHeight="1"/>
    <row r="400" s="78" customFormat="1" ht="20.100000000000001" customHeight="1"/>
    <row r="401" s="78" customFormat="1" ht="20.100000000000001" customHeight="1"/>
    <row r="402" s="78" customFormat="1" ht="20.100000000000001" customHeight="1"/>
    <row r="403" s="78" customFormat="1" ht="20.100000000000001" customHeight="1"/>
    <row r="404" s="78" customFormat="1" ht="20.100000000000001" customHeight="1"/>
    <row r="405" s="78" customFormat="1" ht="20.100000000000001" customHeight="1"/>
    <row r="406" s="78" customFormat="1" ht="20.100000000000001" customHeight="1"/>
    <row r="407" s="78" customFormat="1" ht="20.100000000000001" customHeight="1"/>
    <row r="408" s="78" customFormat="1" ht="20.100000000000001" customHeight="1"/>
    <row r="409" s="78" customFormat="1" ht="20.100000000000001" customHeight="1"/>
    <row r="410" s="78" customFormat="1" ht="20.100000000000001" customHeight="1"/>
    <row r="411" s="78" customFormat="1" ht="20.100000000000001" customHeight="1"/>
    <row r="412" s="78" customFormat="1" ht="20.100000000000001" customHeight="1"/>
    <row r="413" s="78" customFormat="1" ht="20.100000000000001" customHeight="1"/>
    <row r="414" s="78" customFormat="1" ht="20.100000000000001" customHeight="1"/>
    <row r="415" s="78" customFormat="1" ht="20.100000000000001" customHeight="1"/>
    <row r="416" s="78" customFormat="1" ht="20.100000000000001" customHeight="1"/>
    <row r="417" s="78" customFormat="1" ht="20.100000000000001" customHeight="1"/>
    <row r="418" s="78" customFormat="1" ht="20.100000000000001" customHeight="1"/>
    <row r="419" s="78" customFormat="1" ht="20.100000000000001" customHeight="1"/>
    <row r="420" s="78" customFormat="1" ht="20.100000000000001" customHeight="1"/>
    <row r="421" s="78" customFormat="1" ht="20.100000000000001" customHeight="1"/>
    <row r="422" s="78" customFormat="1" ht="20.100000000000001" customHeight="1"/>
    <row r="423" s="78" customFormat="1" ht="20.100000000000001" customHeight="1"/>
    <row r="424" s="78" customFormat="1" ht="20.100000000000001" customHeight="1"/>
    <row r="425" s="78" customFormat="1" ht="20.100000000000001" customHeight="1"/>
    <row r="426" s="78" customFormat="1" ht="20.100000000000001" customHeight="1"/>
    <row r="427" s="78" customFormat="1" ht="20.100000000000001" customHeight="1"/>
    <row r="428" s="78" customFormat="1" ht="20.100000000000001" customHeight="1"/>
    <row r="429" s="78" customFormat="1" ht="20.100000000000001" customHeight="1"/>
    <row r="430" s="78" customFormat="1" ht="20.100000000000001" customHeight="1"/>
    <row r="431" s="78" customFormat="1" ht="20.100000000000001" customHeight="1"/>
    <row r="432" s="78" customFormat="1" ht="20.100000000000001" customHeight="1"/>
    <row r="433" s="78" customFormat="1" ht="20.100000000000001" customHeight="1"/>
    <row r="434" s="78" customFormat="1" ht="20.100000000000001" customHeight="1"/>
    <row r="435" s="78" customFormat="1" ht="20.100000000000001" customHeight="1"/>
    <row r="436" s="78" customFormat="1" ht="20.100000000000001" customHeight="1"/>
    <row r="437" s="78" customFormat="1" ht="20.100000000000001" customHeight="1"/>
    <row r="438" s="78" customFormat="1" ht="20.100000000000001" customHeight="1"/>
    <row r="439" s="78" customFormat="1" ht="20.100000000000001" customHeight="1"/>
    <row r="440" s="78" customFormat="1" ht="20.100000000000001" customHeight="1"/>
    <row r="441" s="78" customFormat="1" ht="20.100000000000001" customHeight="1"/>
    <row r="442" s="78" customFormat="1" ht="20.100000000000001" customHeight="1"/>
    <row r="443" s="78" customFormat="1" ht="20.100000000000001" customHeight="1"/>
    <row r="444" s="78" customFormat="1" ht="20.100000000000001" customHeight="1"/>
    <row r="445" s="78" customFormat="1" ht="20.100000000000001" customHeight="1"/>
    <row r="446" s="78" customFormat="1" ht="20.100000000000001" customHeight="1"/>
    <row r="447" s="78" customFormat="1" ht="20.100000000000001" customHeight="1"/>
    <row r="448" s="78" customFormat="1" ht="20.100000000000001" customHeight="1"/>
    <row r="449" s="78" customFormat="1" ht="20.100000000000001" customHeight="1"/>
    <row r="450" s="78" customFormat="1" ht="20.100000000000001" customHeight="1"/>
    <row r="451" s="78" customFormat="1" ht="20.100000000000001" customHeight="1"/>
    <row r="452" s="78" customFormat="1" ht="20.100000000000001" customHeight="1"/>
    <row r="453" s="78" customFormat="1" ht="20.100000000000001" customHeight="1"/>
    <row r="454" s="78" customFormat="1" ht="20.100000000000001" customHeight="1"/>
    <row r="455" s="78" customFormat="1" ht="20.100000000000001" customHeight="1"/>
    <row r="456" s="78" customFormat="1" ht="20.100000000000001" customHeight="1"/>
    <row r="457" s="78" customFormat="1" ht="20.100000000000001" customHeight="1"/>
    <row r="458" s="78" customFormat="1" ht="20.100000000000001" customHeight="1"/>
    <row r="459" s="78" customFormat="1" ht="20.100000000000001" customHeight="1"/>
    <row r="460" s="78" customFormat="1" ht="20.100000000000001" customHeight="1"/>
    <row r="461" s="78" customFormat="1" ht="20.100000000000001" customHeight="1"/>
    <row r="462" s="78" customFormat="1" ht="20.100000000000001" customHeight="1"/>
    <row r="463" s="78" customFormat="1" ht="20.100000000000001" customHeight="1"/>
    <row r="464" s="78" customFormat="1" ht="20.100000000000001" customHeight="1"/>
    <row r="465" s="78" customFormat="1" ht="20.100000000000001" customHeight="1"/>
    <row r="466" s="78" customFormat="1" ht="20.100000000000001" customHeight="1"/>
    <row r="467" s="78" customFormat="1" ht="20.100000000000001" customHeight="1"/>
    <row r="468" s="78" customFormat="1" ht="20.100000000000001" customHeight="1"/>
    <row r="469" s="78" customFormat="1" ht="20.100000000000001" customHeight="1"/>
    <row r="470" s="78" customFormat="1" ht="20.100000000000001" customHeight="1"/>
    <row r="471" s="78" customFormat="1" ht="20.100000000000001" customHeight="1"/>
    <row r="472" s="78" customFormat="1" ht="20.100000000000001" customHeight="1"/>
    <row r="473" s="78" customFormat="1" ht="20.100000000000001" customHeight="1"/>
    <row r="474" s="78" customFormat="1" ht="20.100000000000001" customHeight="1"/>
    <row r="475" s="78" customFormat="1" ht="20.100000000000001" customHeight="1"/>
    <row r="476" s="78" customFormat="1" ht="20.100000000000001" customHeight="1"/>
    <row r="477" s="78" customFormat="1" ht="20.100000000000001" customHeight="1"/>
    <row r="478" s="78" customFormat="1" ht="20.100000000000001" customHeight="1"/>
    <row r="479" s="78" customFormat="1" ht="20.100000000000001" customHeight="1"/>
    <row r="480" s="78" customFormat="1" ht="20.100000000000001" customHeight="1"/>
    <row r="481" s="78" customFormat="1" ht="20.100000000000001" customHeight="1"/>
    <row r="482" s="78" customFormat="1" ht="20.100000000000001" customHeight="1"/>
    <row r="483" s="78" customFormat="1" ht="20.100000000000001" customHeight="1"/>
  </sheetData>
  <mergeCells count="11">
    <mergeCell ref="U47:U48"/>
    <mergeCell ref="AL47:AL48"/>
    <mergeCell ref="C15:C16"/>
    <mergeCell ref="C20:C21"/>
    <mergeCell ref="U32:U33"/>
    <mergeCell ref="AL32:AL33"/>
    <mergeCell ref="U26:U27"/>
    <mergeCell ref="AL26:AL27"/>
    <mergeCell ref="U38:U39"/>
    <mergeCell ref="AL38:AL39"/>
    <mergeCell ref="D15:D16"/>
  </mergeCells>
  <phoneticPr fontId="2" type="noConversion"/>
  <pageMargins left="0.39370078740157483" right="0.39370078740157483" top="0.39370078740157483" bottom="0.39370078740157483" header="0" footer="0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25</vt:i4>
      </vt:variant>
      <vt:variant>
        <vt:lpstr>이름 지정된 범위</vt:lpstr>
      </vt:variant>
      <vt:variant>
        <vt:i4>4</vt:i4>
      </vt:variant>
    </vt:vector>
  </HeadingPairs>
  <TitlesOfParts>
    <vt:vector size="29" baseType="lpstr">
      <vt:lpstr>Sheet5</vt:lpstr>
      <vt:lpstr>이슈사항</vt:lpstr>
      <vt:lpstr>Cover</vt:lpstr>
      <vt:lpstr>Core등록메뉴</vt:lpstr>
      <vt:lpstr>Process</vt:lpstr>
      <vt:lpstr>제품마스터</vt:lpstr>
      <vt:lpstr>거점-TR 마스터</vt:lpstr>
      <vt:lpstr>Store 마스터</vt:lpstr>
      <vt:lpstr>재고수불관리</vt:lpstr>
      <vt:lpstr>재고평가</vt:lpstr>
      <vt:lpstr>공급분매입 관리</vt:lpstr>
      <vt:lpstr>Simulation1 월기준</vt:lpstr>
      <vt:lpstr>Simulation2 확정기준</vt:lpstr>
      <vt:lpstr>Simulation. 확정기준+Migration</vt:lpstr>
      <vt:lpstr>영관-판매관리</vt:lpstr>
      <vt:lpstr>영관-재고관리</vt:lpstr>
      <vt:lpstr>영관-매장관리</vt:lpstr>
      <vt:lpstr>매장마스터 및 DB설계</vt:lpstr>
      <vt:lpstr>계약형태별 업무</vt:lpstr>
      <vt:lpstr>영관-판매관리화면</vt:lpstr>
      <vt:lpstr>영관-정산관리화면</vt:lpstr>
      <vt:lpstr>영관-매장관리화면</vt:lpstr>
      <vt:lpstr>Sheet1</vt:lpstr>
      <vt:lpstr>재고수불관리(이동중재고 가상거점 필요)</vt:lpstr>
      <vt:lpstr>재고수불관리(이동중재고 못맞춤)</vt:lpstr>
      <vt:lpstr>'Store 마스터'!Print_Area</vt:lpstr>
      <vt:lpstr>'거점-TR 마스터'!Print_Area</vt:lpstr>
      <vt:lpstr>'영관-판매관리'!Print_Area</vt:lpstr>
      <vt:lpstr>'영관-판매관리화면'!Print_Area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YR.KIM</dc:creator>
  <cp:lastModifiedBy>경영기획실_김영로</cp:lastModifiedBy>
  <cp:lastPrinted>2026-01-22T05:34:43Z</cp:lastPrinted>
  <dcterms:created xsi:type="dcterms:W3CDTF">2021-09-06T05:20:07Z</dcterms:created>
  <dcterms:modified xsi:type="dcterms:W3CDTF">2026-02-25T23:20:29Z</dcterms:modified>
</cp:coreProperties>
</file>