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0B27FF-8D3E-4F08-8E0B-03E624C5299C}" xr6:coauthVersionLast="47" xr6:coauthVersionMax="47" xr10:uidLastSave="{00000000-0000-0000-0000-000000000000}"/>
  <bookViews>
    <workbookView xWindow="24" yWindow="600" windowWidth="23016" windowHeight="12360" activeTab="1" xr2:uid="{00000000-000D-0000-FFFF-FFFF00000000}"/>
  </bookViews>
  <sheets>
    <sheet name="제품정보" sheetId="1" r:id="rId1"/>
    <sheet name="작업지시등록" sheetId="2" r:id="rId2"/>
  </sheets>
  <definedNames>
    <definedName name="_xlnm.Print_Area" localSheetId="1">작업지시등록!$A$1:$K$90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</calcChain>
</file>

<file path=xl/sharedStrings.xml><?xml version="1.0" encoding="utf-8"?>
<sst xmlns="http://schemas.openxmlformats.org/spreadsheetml/2006/main" count="653" uniqueCount="230">
  <si>
    <t>■ 상품코드 기준정보 현황 인터뷰 (화면명 : 제품정보)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</si>
  <si>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</si>
  <si>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</si>
  <si>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No.</t>
  </si>
  <si>
    <t>필드명</t>
  </si>
  <si>
    <t>섹션/탭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</si>
  <si>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</si>
  <si>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</si>
  <si>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</si>
  <si>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</si>
  <si>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</si>
  <si>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</si>
  <si>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1" type="noConversion"/>
  </si>
  <si>
    <t>차세대 유지
(Y/N/검토중)</t>
  </si>
  <si>
    <t>제품코드</t>
  </si>
  <si>
    <t>제품 기본 식별</t>
  </si>
  <si>
    <t>제품명</t>
  </si>
  <si>
    <t>브랜드</t>
  </si>
  <si>
    <t>자동입력</t>
    <phoneticPr fontId="1" type="noConversion"/>
  </si>
  <si>
    <t>서브브랜드</t>
  </si>
  <si>
    <t>자동입력</t>
    <phoneticPr fontId="1" type="noConversion"/>
  </si>
  <si>
    <t>품종코드</t>
  </si>
  <si>
    <t>구분</t>
  </si>
  <si>
    <t>자동입력</t>
    <phoneticPr fontId="1" type="noConversion"/>
  </si>
  <si>
    <t>기획년도</t>
  </si>
  <si>
    <t>시즌코드</t>
  </si>
  <si>
    <t>제품구분</t>
  </si>
  <si>
    <t>제품 분류 체계</t>
  </si>
  <si>
    <t>기획생산형태구분</t>
  </si>
  <si>
    <t>제품유형구분</t>
  </si>
  <si>
    <t>원산지구분</t>
  </si>
  <si>
    <t>원산지·소재·수입</t>
  </si>
  <si>
    <t>소재</t>
  </si>
  <si>
    <t>수입여부</t>
  </si>
  <si>
    <t>사입여부</t>
  </si>
  <si>
    <t>디자이너사번ID</t>
  </si>
  <si>
    <t>담당자 정보</t>
  </si>
  <si>
    <t>MD사번ID</t>
  </si>
  <si>
    <t>등록일시</t>
  </si>
  <si>
    <t>시스템·날짜 메타</t>
  </si>
  <si>
    <t>자동입력</t>
  </si>
  <si>
    <t>등록자ID</t>
  </si>
  <si>
    <t>수정일시</t>
  </si>
  <si>
    <t>수정자ID</t>
  </si>
  <si>
    <t>소비자가</t>
  </si>
  <si>
    <t>소비자가확정일자</t>
  </si>
  <si>
    <t>칼라코드</t>
  </si>
  <si>
    <t>제품 상세정보</t>
  </si>
  <si>
    <t>시즌off등록일자</t>
  </si>
  <si>
    <t>부진품등록일자</t>
  </si>
  <si>
    <t>재매입여부</t>
  </si>
  <si>
    <t>할인여부</t>
  </si>
  <si>
    <t>저가여부</t>
  </si>
  <si>
    <t>에누리여부</t>
  </si>
  <si>
    <t>출고정지여부</t>
  </si>
  <si>
    <t>판매정지여부</t>
  </si>
  <si>
    <t>점간이동여부</t>
  </si>
  <si>
    <t>NOSALE여부</t>
  </si>
  <si>
    <t>고정출고가</t>
  </si>
  <si>
    <t>매입원가</t>
  </si>
  <si>
    <t>사전원가</t>
  </si>
  <si>
    <t>평가원가</t>
  </si>
  <si>
    <t>입고최초일자</t>
  </si>
  <si>
    <t>제품 입출고 정보</t>
  </si>
  <si>
    <t>입고최종일자</t>
  </si>
  <si>
    <t>출고최초일자</t>
  </si>
  <si>
    <t>출고최종일자</t>
  </si>
  <si>
    <t>판매최초일자</t>
  </si>
  <si>
    <t>판매최종일자</t>
  </si>
  <si>
    <t>총입고수량</t>
  </si>
  <si>
    <t>총출고수량</t>
  </si>
  <si>
    <t>총판매수량</t>
  </si>
  <si>
    <t xml:space="preserve">  ▶ [추가 요청 항목] — 차세대 시스템에 새로 필요한 필드를 아래에 직접 기입해 주시면 됩니다</t>
    <phoneticPr fontId="1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</si>
  <si>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</si>
  <si>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</si>
  <si>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</si>
  <si>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</si>
  <si>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</si>
  <si>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</si>
  <si>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</si>
  <si>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</si>
  <si>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</si>
  <si>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</si>
  <si>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>■ 상품코드 기준정보 현황 인터뷰 (화면명 : 작업지시등록)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</si>
  <si>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</si>
  <si>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</si>
  <si>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비고</t>
    <phoneticPr fontId="1" type="noConversion"/>
  </si>
  <si>
    <t>작업지시 기본정보</t>
  </si>
  <si>
    <t>한글제품명(온라인)</t>
  </si>
  <si>
    <t>영문제품명</t>
  </si>
  <si>
    <t>자동입력</t>
    <phoneticPr fontId="1" type="noConversion"/>
  </si>
  <si>
    <t>상품 대분류</t>
  </si>
  <si>
    <t>상품 중분류</t>
  </si>
  <si>
    <t>어패럴타입</t>
  </si>
  <si>
    <t>소재타입</t>
  </si>
  <si>
    <t>성별코드</t>
  </si>
  <si>
    <t>카테고리</t>
  </si>
  <si>
    <t>컬러타입</t>
  </si>
  <si>
    <t>Line</t>
  </si>
  <si>
    <t>프로그램</t>
  </si>
  <si>
    <t>핏</t>
  </si>
  <si>
    <t>Repeat생성</t>
  </si>
  <si>
    <t>택발주일자</t>
    <phoneticPr fontId="1" type="noConversion"/>
  </si>
  <si>
    <t>생산 일정·수량</t>
  </si>
  <si>
    <t>납기요청일자</t>
  </si>
  <si>
    <t>유통사업구분</t>
  </si>
  <si>
    <t>납기변경사유</t>
  </si>
  <si>
    <t>납기변경상세사유</t>
  </si>
  <si>
    <t>Budget형태</t>
  </si>
  <si>
    <t>런칭일자</t>
  </si>
  <si>
    <t>발주구분</t>
  </si>
  <si>
    <t>목표원가</t>
  </si>
  <si>
    <t>목표생산원가</t>
    <phoneticPr fontId="1" type="noConversion"/>
  </si>
  <si>
    <t>소비자가확정</t>
  </si>
  <si>
    <t>Packing Type</t>
  </si>
  <si>
    <t>FDS번호</t>
  </si>
  <si>
    <t>원단·소재 정보</t>
  </si>
  <si>
    <t>원단소재</t>
  </si>
  <si>
    <t>원단SPEC</t>
  </si>
  <si>
    <t>혼용률</t>
  </si>
  <si>
    <t>MD사번</t>
  </si>
  <si>
    <t>디자이너사번</t>
  </si>
  <si>
    <t>소싱담당사번</t>
  </si>
  <si>
    <t>신축성</t>
  </si>
  <si>
    <t>비침</t>
  </si>
  <si>
    <t>안감</t>
  </si>
  <si>
    <t>분할입고여부</t>
  </si>
  <si>
    <t>온라인카테고리 대</t>
  </si>
  <si>
    <t>온라인 카테고리</t>
  </si>
  <si>
    <t>온라인카테고리 중</t>
  </si>
  <si>
    <t>온라인카테고리 소</t>
  </si>
  <si>
    <t>온라인카테고리 세</t>
  </si>
  <si>
    <t>기획사이즈</t>
  </si>
  <si>
    <t>기획사이즈 (탭)</t>
  </si>
  <si>
    <t>칼라명</t>
  </si>
  <si>
    <t>대표칼라</t>
  </si>
  <si>
    <t>사이즈별 수량</t>
  </si>
  <si>
    <t>합계 수량</t>
  </si>
  <si>
    <t>사용부위</t>
  </si>
  <si>
    <t>Size/Spec (탭)</t>
  </si>
  <si>
    <t>사용부위(영문)</t>
  </si>
  <si>
    <t>부위 설명</t>
  </si>
  <si>
    <t>사이즈별 치수</t>
  </si>
  <si>
    <t>특이사항</t>
  </si>
  <si>
    <t>Style/Sketch (탭)</t>
  </si>
  <si>
    <t>지시서출력</t>
  </si>
  <si>
    <t>상세출력</t>
  </si>
  <si>
    <t>분할차수</t>
  </si>
  <si>
    <t>분할입고 (탭)</t>
  </si>
  <si>
    <t>수량</t>
  </si>
  <si>
    <t>분할입고요청일</t>
  </si>
  <si>
    <t>입고비율(%)</t>
  </si>
  <si>
    <t>칼라별 사이즈 수량</t>
  </si>
  <si>
    <t xml:space="preserve">  ▶ [추가 요청 항목] — 차세대 시스템에 새로 필요한 필드를 아래에 직접 기입해 주시면 됩니다</t>
    <phoneticPr fontId="1" type="noConversion"/>
  </si>
  <si>
    <t xml:space="preserve">※ 인터뷰 목적 : </t>
    <phoneticPr fontId="1" type="noConversion"/>
  </si>
  <si>
    <t xml:space="preserve"> ② 입력 목적 파악 : '업무상 반드시 필요' vs '관례적으로 입력하는 항목' 구분</t>
    <phoneticPr fontId="1" type="noConversion"/>
  </si>
  <si>
    <t xml:space="preserve"> ③ 차세대 시스템 전환 시 추가·삭제·변경이 필요한 항목 발굴</t>
    <phoneticPr fontId="1" type="noConversion"/>
  </si>
  <si>
    <t xml:space="preserve"> ① 현재 패션관리시스템 작업시지등록 화면의 각 필드별 실제 사용 여부를 부서 단위로 확인</t>
    <phoneticPr fontId="1" type="noConversion"/>
  </si>
  <si>
    <t xml:space="preserve"> ① 현재 패션관리시스템 제품정보 화면의 각 필드별 실제 사용 여부를 부서 단위로 확인</t>
    <phoneticPr fontId="1" type="noConversion"/>
  </si>
  <si>
    <t>* 미사용 시 업무 영향 예시 : 업무 영향은 없지만 소싱과 관련 있음 등</t>
    <phoneticPr fontId="1" type="noConversion"/>
  </si>
  <si>
    <t>Y</t>
  </si>
  <si>
    <t>필수</t>
  </si>
  <si>
    <t>상</t>
  </si>
  <si>
    <t>불필요</t>
  </si>
  <si>
    <t>하</t>
  </si>
  <si>
    <t>N</t>
  </si>
  <si>
    <t>권고</t>
  </si>
  <si>
    <t>중</t>
  </si>
  <si>
    <t>선택</t>
  </si>
  <si>
    <t>상품 품번 생성</t>
    <phoneticPr fontId="1" type="noConversion"/>
  </si>
  <si>
    <t>상품명 생성</t>
    <phoneticPr fontId="1" type="noConversion"/>
  </si>
  <si>
    <t>상품명 생성 규칙 반영 (띄어쓰기, 명칭 드롭다운 등)</t>
    <phoneticPr fontId="1" type="noConversion"/>
  </si>
  <si>
    <t>필수 입력값이라 사용 중</t>
    <phoneticPr fontId="1" type="noConversion"/>
  </si>
  <si>
    <t>빅데이터 추적을 위해 필요한지 검토</t>
    <phoneticPr fontId="1" type="noConversion"/>
  </si>
  <si>
    <t>BW 데이터 취합 X</t>
    <phoneticPr fontId="1" type="noConversion"/>
  </si>
  <si>
    <t>필수 입력값이라 사용 중
카테고리, 프로그램 구분과 연계</t>
    <phoneticPr fontId="1" type="noConversion"/>
  </si>
  <si>
    <t>구분 기준 업데이트</t>
    <phoneticPr fontId="1" type="noConversion"/>
  </si>
  <si>
    <t>차수별 작지 생성 시 동일 값 자동 생성</t>
    <phoneticPr fontId="1" type="noConversion"/>
  </si>
  <si>
    <t>작지 생성 비효율</t>
    <phoneticPr fontId="1" type="noConversion"/>
  </si>
  <si>
    <t>제품 납기일 지정</t>
    <phoneticPr fontId="1" type="noConversion"/>
  </si>
  <si>
    <t>납기 변경 사유 확인</t>
    <phoneticPr fontId="1" type="noConversion"/>
  </si>
  <si>
    <t>납기 수정 사유 추적 불가</t>
    <phoneticPr fontId="1" type="noConversion"/>
  </si>
  <si>
    <t>납기 입력 시 +7일 자동 입력</t>
    <phoneticPr fontId="1" type="noConversion"/>
  </si>
  <si>
    <t>목표생산배수 아닌지?</t>
    <phoneticPr fontId="1" type="noConversion"/>
  </si>
  <si>
    <t>납기별 입고 수기 관리</t>
    <phoneticPr fontId="1" type="noConversion"/>
  </si>
  <si>
    <t>엑셀 일괄 업로드</t>
    <phoneticPr fontId="1" type="noConversion"/>
  </si>
  <si>
    <t>소싱.디자인,소재팀 사용?</t>
    <phoneticPr fontId="1" type="noConversion"/>
  </si>
  <si>
    <t>디자인실or소싱 필수 입력 값 -&gt; 온라인까지 연동</t>
    <phoneticPr fontId="1" type="noConversion"/>
  </si>
  <si>
    <t>디자인실or소싱 필수 입력 관리</t>
    <phoneticPr fontId="1" type="noConversion"/>
  </si>
  <si>
    <t>온라인 정보 개시</t>
    <phoneticPr fontId="1" type="noConversion"/>
  </si>
  <si>
    <t>작업지시서 생성</t>
    <phoneticPr fontId="1" type="noConversion"/>
  </si>
  <si>
    <t>패턴실 입력 사용</t>
    <phoneticPr fontId="1" type="noConversion"/>
  </si>
  <si>
    <t>디자인실 입력 사용</t>
    <phoneticPr fontId="1" type="noConversion"/>
  </si>
  <si>
    <t>입고 작업 지시</t>
    <phoneticPr fontId="1" type="noConversion"/>
  </si>
  <si>
    <t>원단 정보 관리</t>
    <phoneticPr fontId="1" type="noConversion"/>
  </si>
  <si>
    <t>타사업부 소싱과 공장에서 사용하는지?</t>
    <phoneticPr fontId="1" type="noConversion"/>
  </si>
  <si>
    <t>택가 설정</t>
    <phoneticPr fontId="1" type="noConversion"/>
  </si>
  <si>
    <t>샘플넘버</t>
    <phoneticPr fontId="1" type="noConversion"/>
  </si>
  <si>
    <t>중</t>
    <phoneticPr fontId="1" type="noConversion"/>
  </si>
  <si>
    <t>기장</t>
    <phoneticPr fontId="1" type="noConversion"/>
  </si>
  <si>
    <t>상품 구분</t>
    <phoneticPr fontId="1" type="noConversion"/>
  </si>
  <si>
    <t>드롭다운</t>
    <phoneticPr fontId="1" type="noConversion"/>
  </si>
  <si>
    <t>패턴사번</t>
    <phoneticPr fontId="1" type="noConversion"/>
  </si>
  <si>
    <t>패턴 담당자 구분</t>
    <phoneticPr fontId="1" type="noConversion"/>
  </si>
  <si>
    <t>시즌성</t>
    <phoneticPr fontId="1" type="noConversion"/>
  </si>
  <si>
    <t>제품라이프사이클탭</t>
    <phoneticPr fontId="1" type="noConversion"/>
  </si>
  <si>
    <t>운영매장</t>
    <phoneticPr fontId="1" type="noConversion"/>
  </si>
  <si>
    <t>운영매장 기준확인</t>
    <phoneticPr fontId="1" type="noConversion"/>
  </si>
  <si>
    <t>전매장/일부매장/상위매장 등</t>
    <phoneticPr fontId="1" type="noConversion"/>
  </si>
  <si>
    <t>상</t>
    <phoneticPr fontId="1" type="noConversion"/>
  </si>
  <si>
    <t>생산업체</t>
    <phoneticPr fontId="1" type="noConversion"/>
  </si>
  <si>
    <t>사사전원가. 배수 확인</t>
    <phoneticPr fontId="1" type="noConversion"/>
  </si>
  <si>
    <t>가격택명</t>
    <phoneticPr fontId="1" type="noConversion"/>
  </si>
  <si>
    <t>가격택 수기 관리 중</t>
    <phoneticPr fontId="1" type="noConversion"/>
  </si>
  <si>
    <t>가격택 영문명</t>
    <phoneticPr fontId="1" type="noConversion"/>
  </si>
  <si>
    <t>소싱 확인. 택명 확정</t>
    <phoneticPr fontId="1" type="noConversion"/>
  </si>
  <si>
    <t>담당자 추적. 데이터 관리</t>
    <phoneticPr fontId="1" type="noConversion"/>
  </si>
  <si>
    <t>온라인 상품 개시</t>
    <phoneticPr fontId="1" type="noConversion"/>
  </si>
  <si>
    <t>파일 업로드한다면 업로드 순서 지정</t>
    <phoneticPr fontId="1" type="noConversion"/>
  </si>
  <si>
    <t>상품 구분 관리</t>
    <phoneticPr fontId="1" type="noConversion"/>
  </si>
  <si>
    <t>작지 컨펌</t>
    <phoneticPr fontId="1" type="noConversion"/>
  </si>
  <si>
    <t>△</t>
  </si>
  <si>
    <t>상품 구분용</t>
    <phoneticPr fontId="1" type="noConversion"/>
  </si>
  <si>
    <t>칼라 입력하지 않아도 작업지시서 저장 가능</t>
    <phoneticPr fontId="1" type="noConversion"/>
  </si>
  <si>
    <t>사이즈 입력하지 않아도 작업지시서 저장 가능
사이즈 드롭다운 등록 방식 업데이트</t>
    <phoneticPr fontId="1" type="noConversion"/>
  </si>
  <si>
    <t>납기 전산 관리 안됨</t>
    <phoneticPr fontId="1" type="noConversion"/>
  </si>
  <si>
    <t>입고 전 원가 전산 확인 불가</t>
    <phoneticPr fontId="1" type="noConversion"/>
  </si>
  <si>
    <t>소비자가 최종 확인 결재</t>
    <phoneticPr fontId="1" type="noConversion"/>
  </si>
  <si>
    <t>샘플작지 전산입력 시스템 도입
작업지시서와 연동</t>
    <phoneticPr fontId="1" type="noConversion"/>
  </si>
  <si>
    <t>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</si>
</sst>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168087</xdr:colOff>
      <xdr:row>67</xdr:row>
      <xdr:rowOff>44823</xdr:rowOff>
    </xdr:from>
    <xdr:to>
      <xdr:col>8</xdr:col>
      <xdr:colOff>1109057</xdr:colOff>
      <xdr:row>91</xdr:row>
      <xdr:rowOff>136317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3" y="16988117"/>
          <a:ext cx="9726382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758265</xdr:colOff>
      <xdr:row>97</xdr:row>
      <xdr:rowOff>84904</xdr:rowOff>
    </xdr:from>
    <xdr:to>
      <xdr:col>8</xdr:col>
      <xdr:colOff>1927190</xdr:colOff>
      <xdr:row>126</xdr:row>
      <xdr:rowOff>60953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971" y="25208492"/>
          <a:ext cx="10946169" cy="6484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114"/>
  <sheetViews>
    <sheetView showGridLines="0" topLeftCell="A22" zoomScale="85" zoomScaleNormal="85" workbookViewId="0">
      <selection activeCell="C38" sqref="C38:C43"/>
    </sheetView>
  </sheetViews>
  <sheetFormatPr defaultColWidth="9" defaultRowHeight="17.399999999999999" outlineLevelCol="1" x14ac:dyDescent="0.4"/>
  <cols>
    <col min="1" max="1" width="2.59765625" customWidth="1"/>
    <col min="2" max="2" width="5" customWidth="1"/>
    <col min="3" max="3" width="26" customWidth="1"/>
    <col min="4" max="4" width="14.19921875" bestFit="1" customWidth="1"/>
    <col min="5" max="5" width="12.59765625" style="22" bestFit="1" customWidth="1"/>
    <col min="6" max="6" width="18.69921875" style="22" bestFit="1" customWidth="1"/>
    <col min="7" max="7" width="13" style="22" customWidth="1"/>
    <col min="8" max="9" width="30.59765625" style="22" customWidth="1"/>
    <col min="10" max="11" width="34" style="22" customWidth="1"/>
    <col min="12" max="12" width="1.69921875" customWidth="1"/>
    <col min="13" max="13" width="13" style="22" hidden="1" customWidth="1" outlineLevel="1"/>
    <col min="14" max="14" width="9" collapsed="1"/>
  </cols>
  <sheetData>
    <row r="1" spans="1:13" ht="33.9" customHeight="1" x14ac:dyDescent="0.4">
      <c r="B1" s="1" t="s">
        <v>0</v>
      </c>
      <c r="E1"/>
      <c r="F1"/>
      <c r="G1"/>
      <c r="H1"/>
      <c r="I1"/>
      <c r="J1"/>
      <c r="K1"/>
      <c r="M1"/>
    </row>
    <row r="2" spans="1:13" ht="18" customHeight="1" x14ac:dyDescent="0.4">
      <c r="B2" s="37" t="s">
        <v>154</v>
      </c>
      <c r="C2" s="38"/>
      <c r="D2" s="39"/>
      <c r="E2" s="39"/>
      <c r="F2" s="39"/>
      <c r="G2" s="39"/>
      <c r="H2" s="39"/>
      <c r="M2"/>
    </row>
    <row r="3" spans="1:13" ht="18" customHeight="1" x14ac:dyDescent="0.4">
      <c r="B3" s="37" t="s">
        <v>158</v>
      </c>
      <c r="C3" s="38"/>
      <c r="D3" s="39"/>
      <c r="E3" s="39"/>
      <c r="F3" s="39"/>
      <c r="G3" s="39"/>
      <c r="H3" s="39"/>
      <c r="M3"/>
    </row>
    <row r="4" spans="1:13" ht="18" customHeight="1" x14ac:dyDescent="0.4">
      <c r="B4" s="37" t="s">
        <v>155</v>
      </c>
      <c r="C4" s="38"/>
      <c r="D4" s="39"/>
      <c r="E4" s="39"/>
      <c r="F4" s="39"/>
      <c r="G4" s="39"/>
      <c r="H4" s="39"/>
      <c r="M4"/>
    </row>
    <row r="5" spans="1:13" ht="18" customHeight="1" x14ac:dyDescent="0.4">
      <c r="B5" s="37" t="s">
        <v>156</v>
      </c>
      <c r="C5" s="38"/>
      <c r="D5" s="39"/>
      <c r="E5" s="39"/>
      <c r="F5" s="39"/>
      <c r="G5" s="39"/>
      <c r="H5" s="39"/>
      <c r="M5"/>
    </row>
    <row r="6" spans="1:13" ht="13.5" customHeight="1" x14ac:dyDescent="0.4">
      <c r="B6" s="37"/>
      <c r="C6" s="38"/>
      <c r="D6" s="39"/>
      <c r="E6" s="39"/>
      <c r="F6" s="39"/>
      <c r="G6" s="39"/>
      <c r="H6" s="39"/>
      <c r="M6"/>
    </row>
    <row r="7" spans="1:13" ht="18" customHeight="1" x14ac:dyDescent="0.4">
      <c r="B7" s="37" t="s">
        <v>1</v>
      </c>
      <c r="C7" s="38"/>
      <c r="D7" s="38"/>
      <c r="E7" s="38"/>
      <c r="F7" s="38"/>
      <c r="G7" s="2"/>
      <c r="H7" s="2"/>
      <c r="I7" s="2"/>
      <c r="J7" s="2"/>
      <c r="K7" s="2"/>
      <c r="M7" s="2"/>
    </row>
    <row r="8" spans="1:13" s="3" customFormat="1" ht="18" customHeight="1" x14ac:dyDescent="0.35">
      <c r="B8" s="37" t="s">
        <v>2</v>
      </c>
      <c r="C8" s="40"/>
      <c r="D8" s="40"/>
      <c r="E8" s="40"/>
      <c r="F8" s="40"/>
      <c r="G8" s="4"/>
      <c r="H8" s="4"/>
      <c r="I8" s="4"/>
      <c r="J8" s="4"/>
      <c r="K8" s="4"/>
      <c r="L8" s="4"/>
      <c r="M8" s="4"/>
    </row>
    <row r="9" spans="1:13" s="3" customFormat="1" ht="18" customHeight="1" x14ac:dyDescent="0.35">
      <c r="B9" s="37" t="s">
        <v>159</v>
      </c>
      <c r="C9" s="42"/>
      <c r="D9" s="42"/>
      <c r="E9" s="42"/>
      <c r="F9" s="42"/>
      <c r="G9" s="5"/>
      <c r="H9" s="5"/>
      <c r="I9" s="5"/>
      <c r="J9" s="5"/>
      <c r="K9" s="5"/>
      <c r="L9" s="4"/>
      <c r="M9" s="5"/>
    </row>
    <row r="10" spans="1:13" ht="36" customHeight="1" x14ac:dyDescent="0.4">
      <c r="A10" s="3"/>
      <c r="B10" s="6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8" t="s">
        <v>11</v>
      </c>
      <c r="K10" s="8" t="s">
        <v>12</v>
      </c>
      <c r="M10" s="9" t="s">
        <v>13</v>
      </c>
    </row>
    <row r="11" spans="1:13" ht="20.100000000000001" customHeight="1" x14ac:dyDescent="0.4">
      <c r="B11" s="12">
        <v>1</v>
      </c>
      <c r="C11" s="13" t="s">
        <v>14</v>
      </c>
      <c r="D11" s="14" t="s">
        <v>15</v>
      </c>
      <c r="E11" s="15"/>
      <c r="F11" s="15"/>
      <c r="G11" s="15"/>
      <c r="H11" s="15"/>
      <c r="I11" s="15"/>
      <c r="J11" s="16"/>
      <c r="K11" s="16"/>
      <c r="M11" s="15"/>
    </row>
    <row r="12" spans="1:13" ht="20.100000000000001" customHeight="1" x14ac:dyDescent="0.4">
      <c r="A12" s="11"/>
      <c r="B12" s="12">
        <f>+B11+1</f>
        <v>2</v>
      </c>
      <c r="C12" s="13" t="s">
        <v>16</v>
      </c>
      <c r="D12" s="14" t="s">
        <v>15</v>
      </c>
      <c r="E12" s="15"/>
      <c r="F12" s="15"/>
      <c r="G12" s="15"/>
      <c r="H12" s="15"/>
      <c r="I12" s="15"/>
      <c r="J12" s="16"/>
      <c r="K12" s="16"/>
      <c r="M12" s="15"/>
    </row>
    <row r="13" spans="1:13" ht="20.100000000000001" customHeight="1" x14ac:dyDescent="0.4">
      <c r="B13" s="17">
        <f t="shared" ref="B13:B57" si="0">+B12+1</f>
        <v>3</v>
      </c>
      <c r="C13" s="18" t="s">
        <v>17</v>
      </c>
      <c r="D13" s="19" t="s">
        <v>15</v>
      </c>
      <c r="E13" s="20" t="s">
        <v>18</v>
      </c>
      <c r="F13" s="20"/>
      <c r="G13" s="20"/>
      <c r="H13" s="20"/>
      <c r="I13" s="20"/>
      <c r="J13" s="21"/>
      <c r="K13" s="21"/>
      <c r="M13" s="20"/>
    </row>
    <row r="14" spans="1:13" ht="20.100000000000001" customHeight="1" x14ac:dyDescent="0.4">
      <c r="B14" s="17">
        <f t="shared" si="0"/>
        <v>4</v>
      </c>
      <c r="C14" s="18" t="s">
        <v>19</v>
      </c>
      <c r="D14" s="19" t="s">
        <v>15</v>
      </c>
      <c r="E14" s="20" t="s">
        <v>20</v>
      </c>
      <c r="F14" s="20"/>
      <c r="G14" s="20"/>
      <c r="H14" s="20"/>
      <c r="I14" s="20"/>
      <c r="J14" s="21"/>
      <c r="K14" s="21"/>
      <c r="M14" s="20"/>
    </row>
    <row r="15" spans="1:13" ht="20.100000000000001" customHeight="1" x14ac:dyDescent="0.4">
      <c r="B15" s="17">
        <f t="shared" si="0"/>
        <v>5</v>
      </c>
      <c r="C15" s="18" t="s">
        <v>21</v>
      </c>
      <c r="D15" s="19" t="s">
        <v>15</v>
      </c>
      <c r="E15" s="20" t="s">
        <v>20</v>
      </c>
      <c r="F15" s="20"/>
      <c r="G15" s="20"/>
      <c r="H15" s="20"/>
      <c r="I15" s="20"/>
      <c r="J15" s="21"/>
      <c r="K15" s="21"/>
      <c r="M15" s="20"/>
    </row>
    <row r="16" spans="1:13" ht="20.100000000000001" customHeight="1" x14ac:dyDescent="0.4">
      <c r="B16" s="17">
        <f t="shared" si="0"/>
        <v>6</v>
      </c>
      <c r="C16" s="18" t="s">
        <v>22</v>
      </c>
      <c r="D16" s="19" t="s">
        <v>15</v>
      </c>
      <c r="E16" s="20" t="s">
        <v>23</v>
      </c>
      <c r="F16" s="20"/>
      <c r="G16" s="20"/>
      <c r="H16" s="20"/>
      <c r="I16" s="20"/>
      <c r="J16" s="21"/>
      <c r="K16" s="21"/>
      <c r="M16" s="20"/>
    </row>
    <row r="17" spans="2:13" ht="20.100000000000001" customHeight="1" x14ac:dyDescent="0.4">
      <c r="B17" s="17">
        <f t="shared" si="0"/>
        <v>7</v>
      </c>
      <c r="C17" s="18" t="s">
        <v>24</v>
      </c>
      <c r="D17" s="19" t="s">
        <v>15</v>
      </c>
      <c r="E17" s="20" t="s">
        <v>20</v>
      </c>
      <c r="F17" s="20"/>
      <c r="G17" s="20"/>
      <c r="H17" s="20"/>
      <c r="I17" s="20"/>
      <c r="J17" s="21"/>
      <c r="K17" s="44"/>
      <c r="M17" s="20"/>
    </row>
    <row r="18" spans="2:13" ht="20.100000000000001" customHeight="1" x14ac:dyDescent="0.4">
      <c r="B18" s="17">
        <f t="shared" si="0"/>
        <v>8</v>
      </c>
      <c r="C18" s="18" t="s">
        <v>25</v>
      </c>
      <c r="D18" s="19" t="s">
        <v>15</v>
      </c>
      <c r="E18" s="20" t="s">
        <v>18</v>
      </c>
      <c r="F18" s="20"/>
      <c r="G18" s="20"/>
      <c r="H18" s="20"/>
      <c r="I18" s="20"/>
      <c r="J18" s="21"/>
      <c r="K18" s="21"/>
      <c r="M18" s="20"/>
    </row>
    <row r="19" spans="2:13" ht="20.100000000000001" customHeight="1" x14ac:dyDescent="0.4">
      <c r="B19" s="12">
        <f t="shared" si="0"/>
        <v>9</v>
      </c>
      <c r="C19" s="13" t="s">
        <v>26</v>
      </c>
      <c r="D19" s="14" t="s">
        <v>27</v>
      </c>
      <c r="E19" s="15"/>
      <c r="F19" s="15"/>
      <c r="G19" s="15"/>
      <c r="H19" s="23"/>
      <c r="I19" s="15"/>
      <c r="J19" s="16"/>
      <c r="K19" s="16"/>
      <c r="M19" s="15"/>
    </row>
    <row r="20" spans="2:13" ht="20.100000000000001" customHeight="1" x14ac:dyDescent="0.4">
      <c r="B20" s="12">
        <f t="shared" si="0"/>
        <v>10</v>
      </c>
      <c r="C20" s="13" t="s">
        <v>28</v>
      </c>
      <c r="D20" s="14" t="s">
        <v>27</v>
      </c>
      <c r="E20" s="15"/>
      <c r="F20" s="15"/>
      <c r="G20" s="15"/>
      <c r="H20" s="15"/>
      <c r="I20" s="15"/>
      <c r="J20" s="16"/>
      <c r="K20" s="16"/>
      <c r="M20" s="15"/>
    </row>
    <row r="21" spans="2:13" ht="20.100000000000001" customHeight="1" x14ac:dyDescent="0.4">
      <c r="B21" s="12">
        <f t="shared" si="0"/>
        <v>11</v>
      </c>
      <c r="C21" s="13" t="s">
        <v>29</v>
      </c>
      <c r="D21" s="14" t="s">
        <v>27</v>
      </c>
      <c r="E21" s="15"/>
      <c r="F21" s="15"/>
      <c r="G21" s="15"/>
      <c r="H21" s="15"/>
      <c r="I21" s="15"/>
      <c r="J21" s="16"/>
      <c r="K21" s="16"/>
      <c r="M21" s="15"/>
    </row>
    <row r="22" spans="2:13" ht="20.100000000000001" customHeight="1" x14ac:dyDescent="0.4">
      <c r="B22" s="12">
        <f t="shared" si="0"/>
        <v>12</v>
      </c>
      <c r="C22" s="13" t="s">
        <v>30</v>
      </c>
      <c r="D22" s="14" t="s">
        <v>31</v>
      </c>
      <c r="E22" s="15"/>
      <c r="F22" s="15"/>
      <c r="G22" s="15"/>
      <c r="H22" s="23"/>
      <c r="I22" s="15"/>
      <c r="J22" s="16"/>
      <c r="K22" s="16"/>
      <c r="M22" s="15"/>
    </row>
    <row r="23" spans="2:13" ht="20.100000000000001" customHeight="1" x14ac:dyDescent="0.4">
      <c r="B23" s="12">
        <f t="shared" si="0"/>
        <v>13</v>
      </c>
      <c r="C23" s="13" t="s">
        <v>32</v>
      </c>
      <c r="D23" s="14" t="s">
        <v>31</v>
      </c>
      <c r="E23" s="15"/>
      <c r="F23" s="15"/>
      <c r="G23" s="15"/>
      <c r="H23" s="15"/>
      <c r="I23" s="15"/>
      <c r="J23" s="16"/>
      <c r="K23" s="16"/>
      <c r="M23" s="15"/>
    </row>
    <row r="24" spans="2:13" ht="20.100000000000001" customHeight="1" x14ac:dyDescent="0.4">
      <c r="B24" s="12">
        <f t="shared" si="0"/>
        <v>14</v>
      </c>
      <c r="C24" s="13" t="s">
        <v>33</v>
      </c>
      <c r="D24" s="14" t="s">
        <v>31</v>
      </c>
      <c r="E24" s="15"/>
      <c r="F24" s="15"/>
      <c r="G24" s="15"/>
      <c r="H24" s="15"/>
      <c r="I24" s="15"/>
      <c r="J24" s="16"/>
      <c r="K24" s="16"/>
      <c r="M24" s="15"/>
    </row>
    <row r="25" spans="2:13" ht="20.100000000000001" customHeight="1" x14ac:dyDescent="0.4">
      <c r="B25" s="12">
        <f t="shared" si="0"/>
        <v>15</v>
      </c>
      <c r="C25" s="13" t="s">
        <v>34</v>
      </c>
      <c r="D25" s="14" t="s">
        <v>31</v>
      </c>
      <c r="E25" s="15"/>
      <c r="F25" s="15"/>
      <c r="G25" s="15"/>
      <c r="H25" s="15"/>
      <c r="I25" s="15"/>
      <c r="J25" s="16"/>
      <c r="K25" s="16"/>
      <c r="M25" s="15"/>
    </row>
    <row r="26" spans="2:13" ht="20.100000000000001" customHeight="1" x14ac:dyDescent="0.4">
      <c r="B26" s="12">
        <f t="shared" si="0"/>
        <v>16</v>
      </c>
      <c r="C26" s="13" t="s">
        <v>35</v>
      </c>
      <c r="D26" s="14" t="s">
        <v>36</v>
      </c>
      <c r="E26" s="15"/>
      <c r="F26" s="15"/>
      <c r="G26" s="15"/>
      <c r="H26" s="15"/>
      <c r="I26" s="15"/>
      <c r="J26" s="16"/>
      <c r="K26" s="16"/>
      <c r="M26" s="15"/>
    </row>
    <row r="27" spans="2:13" ht="20.100000000000001" customHeight="1" x14ac:dyDescent="0.4">
      <c r="B27" s="12">
        <f t="shared" si="0"/>
        <v>17</v>
      </c>
      <c r="C27" s="13" t="s">
        <v>37</v>
      </c>
      <c r="D27" s="14" t="s">
        <v>36</v>
      </c>
      <c r="E27" s="15"/>
      <c r="F27" s="15"/>
      <c r="G27" s="15"/>
      <c r="H27" s="15"/>
      <c r="I27" s="15"/>
      <c r="J27" s="16"/>
      <c r="K27" s="16"/>
      <c r="M27" s="15"/>
    </row>
    <row r="28" spans="2:13" ht="20.100000000000001" customHeight="1" x14ac:dyDescent="0.4">
      <c r="B28" s="17">
        <f t="shared" si="0"/>
        <v>18</v>
      </c>
      <c r="C28" s="18" t="s">
        <v>38</v>
      </c>
      <c r="D28" s="19" t="s">
        <v>39</v>
      </c>
      <c r="E28" s="20" t="s">
        <v>40</v>
      </c>
      <c r="F28" s="20"/>
      <c r="G28" s="20"/>
      <c r="H28" s="20"/>
      <c r="I28" s="20"/>
      <c r="J28" s="21"/>
      <c r="K28" s="21"/>
      <c r="M28" s="20"/>
    </row>
    <row r="29" spans="2:13" ht="20.100000000000001" customHeight="1" x14ac:dyDescent="0.4">
      <c r="B29" s="17">
        <f t="shared" si="0"/>
        <v>19</v>
      </c>
      <c r="C29" s="18" t="s">
        <v>41</v>
      </c>
      <c r="D29" s="19" t="s">
        <v>39</v>
      </c>
      <c r="E29" s="20" t="s">
        <v>40</v>
      </c>
      <c r="F29" s="20"/>
      <c r="G29" s="20"/>
      <c r="H29" s="20"/>
      <c r="I29" s="20"/>
      <c r="J29" s="21"/>
      <c r="K29" s="21"/>
      <c r="M29" s="20"/>
    </row>
    <row r="30" spans="2:13" ht="20.100000000000001" customHeight="1" x14ac:dyDescent="0.4">
      <c r="B30" s="17">
        <f t="shared" si="0"/>
        <v>20</v>
      </c>
      <c r="C30" s="18" t="s">
        <v>42</v>
      </c>
      <c r="D30" s="19" t="s">
        <v>39</v>
      </c>
      <c r="E30" s="20" t="s">
        <v>40</v>
      </c>
      <c r="F30" s="20"/>
      <c r="G30" s="20"/>
      <c r="H30" s="20"/>
      <c r="I30" s="20"/>
      <c r="J30" s="21"/>
      <c r="K30" s="21"/>
      <c r="M30" s="20"/>
    </row>
    <row r="31" spans="2:13" ht="20.100000000000001" customHeight="1" x14ac:dyDescent="0.4">
      <c r="B31" s="17">
        <f t="shared" si="0"/>
        <v>21</v>
      </c>
      <c r="C31" s="18" t="s">
        <v>43</v>
      </c>
      <c r="D31" s="19" t="s">
        <v>39</v>
      </c>
      <c r="E31" s="20" t="s">
        <v>40</v>
      </c>
      <c r="F31" s="20"/>
      <c r="G31" s="20"/>
      <c r="H31" s="20"/>
      <c r="I31" s="20"/>
      <c r="J31" s="21"/>
      <c r="K31" s="21"/>
      <c r="M31" s="20"/>
    </row>
    <row r="32" spans="2:13" ht="20.100000000000001" customHeight="1" x14ac:dyDescent="0.4">
      <c r="B32" s="17">
        <f t="shared" si="0"/>
        <v>22</v>
      </c>
      <c r="C32" s="18" t="s">
        <v>44</v>
      </c>
      <c r="D32" s="19" t="s">
        <v>39</v>
      </c>
      <c r="E32" s="20" t="s">
        <v>40</v>
      </c>
      <c r="F32" s="20"/>
      <c r="G32" s="20"/>
      <c r="H32" s="20"/>
      <c r="I32" s="20"/>
      <c r="J32" s="21"/>
      <c r="K32" s="21"/>
      <c r="M32" s="20"/>
    </row>
    <row r="33" spans="1:13" ht="20.100000000000001" customHeight="1" x14ac:dyDescent="0.4">
      <c r="B33" s="17">
        <f t="shared" si="0"/>
        <v>23</v>
      </c>
      <c r="C33" s="18" t="s">
        <v>45</v>
      </c>
      <c r="D33" s="19" t="s">
        <v>39</v>
      </c>
      <c r="E33" s="20" t="s">
        <v>40</v>
      </c>
      <c r="F33" s="20"/>
      <c r="G33" s="20"/>
      <c r="H33" s="20"/>
      <c r="I33" s="20"/>
      <c r="J33" s="21"/>
      <c r="K33" s="21"/>
      <c r="M33" s="20"/>
    </row>
    <row r="34" spans="1:13" ht="20.100000000000001" customHeight="1" x14ac:dyDescent="0.4">
      <c r="B34" s="12">
        <f t="shared" si="0"/>
        <v>24</v>
      </c>
      <c r="C34" s="13" t="s">
        <v>46</v>
      </c>
      <c r="D34" s="14" t="s">
        <v>47</v>
      </c>
      <c r="E34" s="15"/>
      <c r="F34" s="15"/>
      <c r="G34" s="15"/>
      <c r="H34" s="15"/>
      <c r="I34" s="15"/>
      <c r="J34" s="16"/>
      <c r="K34" s="16"/>
      <c r="M34" s="15"/>
    </row>
    <row r="35" spans="1:13" ht="20.100000000000001" customHeight="1" x14ac:dyDescent="0.4">
      <c r="B35" s="12">
        <f t="shared" si="0"/>
        <v>25</v>
      </c>
      <c r="C35" s="13" t="s">
        <v>48</v>
      </c>
      <c r="D35" s="14" t="s">
        <v>47</v>
      </c>
      <c r="E35" s="15"/>
      <c r="F35" s="15"/>
      <c r="G35" s="15"/>
      <c r="H35" s="15"/>
      <c r="I35" s="15"/>
      <c r="J35" s="16"/>
      <c r="K35" s="16"/>
      <c r="M35" s="15"/>
    </row>
    <row r="36" spans="1:13" ht="20.100000000000001" customHeight="1" x14ac:dyDescent="0.4">
      <c r="B36" s="12">
        <f t="shared" si="0"/>
        <v>26</v>
      </c>
      <c r="C36" s="13" t="s">
        <v>49</v>
      </c>
      <c r="D36" s="14" t="s">
        <v>47</v>
      </c>
      <c r="E36" s="15"/>
      <c r="F36" s="15"/>
      <c r="G36" s="15"/>
      <c r="H36" s="15"/>
      <c r="I36" s="15"/>
      <c r="J36" s="16"/>
      <c r="K36" s="16"/>
      <c r="M36" s="15"/>
    </row>
    <row r="37" spans="1:13" ht="20.100000000000001" customHeight="1" x14ac:dyDescent="0.4">
      <c r="B37" s="12">
        <f t="shared" si="0"/>
        <v>27</v>
      </c>
      <c r="C37" s="13" t="s">
        <v>50</v>
      </c>
      <c r="D37" s="14" t="s">
        <v>47</v>
      </c>
      <c r="E37" s="15"/>
      <c r="F37" s="15"/>
      <c r="G37" s="15"/>
      <c r="H37" s="15"/>
      <c r="I37" s="15"/>
      <c r="J37" s="16"/>
      <c r="K37" s="16"/>
      <c r="M37" s="15"/>
    </row>
    <row r="38" spans="1:13" ht="20.100000000000001" customHeight="1" x14ac:dyDescent="0.4">
      <c r="B38" s="12">
        <f t="shared" si="0"/>
        <v>28</v>
      </c>
      <c r="C38" s="13" t="s">
        <v>51</v>
      </c>
      <c r="D38" s="14" t="s">
        <v>47</v>
      </c>
      <c r="E38" s="15"/>
      <c r="F38" s="15"/>
      <c r="G38" s="15"/>
      <c r="H38" s="15"/>
      <c r="I38" s="15"/>
      <c r="J38" s="16"/>
      <c r="K38" s="16"/>
      <c r="M38" s="15"/>
    </row>
    <row r="39" spans="1:13" ht="20.100000000000001" customHeight="1" x14ac:dyDescent="0.4">
      <c r="A39" s="11"/>
      <c r="B39" s="12">
        <f t="shared" si="0"/>
        <v>29</v>
      </c>
      <c r="C39" s="13" t="s">
        <v>52</v>
      </c>
      <c r="D39" s="14" t="s">
        <v>47</v>
      </c>
      <c r="E39" s="15"/>
      <c r="F39" s="15"/>
      <c r="G39" s="15"/>
      <c r="H39" s="15"/>
      <c r="I39" s="15"/>
      <c r="J39" s="16"/>
      <c r="K39" s="16"/>
      <c r="M39" s="15"/>
    </row>
    <row r="40" spans="1:13" ht="20.100000000000001" customHeight="1" x14ac:dyDescent="0.4">
      <c r="B40" s="12">
        <f t="shared" si="0"/>
        <v>30</v>
      </c>
      <c r="C40" s="13" t="s">
        <v>53</v>
      </c>
      <c r="D40" s="14" t="s">
        <v>47</v>
      </c>
      <c r="E40" s="15"/>
      <c r="F40" s="15"/>
      <c r="G40" s="15"/>
      <c r="H40" s="15"/>
      <c r="I40" s="15"/>
      <c r="J40" s="16"/>
      <c r="K40" s="16"/>
      <c r="M40" s="15"/>
    </row>
    <row r="41" spans="1:13" ht="20.100000000000001" customHeight="1" x14ac:dyDescent="0.4">
      <c r="B41" s="12">
        <f t="shared" si="0"/>
        <v>31</v>
      </c>
      <c r="C41" s="13" t="s">
        <v>54</v>
      </c>
      <c r="D41" s="14" t="s">
        <v>47</v>
      </c>
      <c r="E41" s="15"/>
      <c r="F41" s="15"/>
      <c r="G41" s="15"/>
      <c r="H41" s="15"/>
      <c r="I41" s="15"/>
      <c r="J41" s="16"/>
      <c r="K41" s="16"/>
      <c r="M41" s="15"/>
    </row>
    <row r="42" spans="1:13" ht="20.100000000000001" customHeight="1" x14ac:dyDescent="0.4">
      <c r="B42" s="12">
        <f t="shared" si="0"/>
        <v>32</v>
      </c>
      <c r="C42" s="13" t="s">
        <v>55</v>
      </c>
      <c r="D42" s="14" t="s">
        <v>47</v>
      </c>
      <c r="E42" s="15"/>
      <c r="F42" s="15"/>
      <c r="G42" s="15"/>
      <c r="H42" s="15"/>
      <c r="I42" s="15"/>
      <c r="J42" s="16"/>
      <c r="K42" s="16"/>
      <c r="M42" s="15"/>
    </row>
    <row r="43" spans="1:13" ht="20.100000000000001" customHeight="1" x14ac:dyDescent="0.4">
      <c r="B43" s="12">
        <f t="shared" si="0"/>
        <v>33</v>
      </c>
      <c r="C43" s="13" t="s">
        <v>56</v>
      </c>
      <c r="D43" s="14" t="s">
        <v>47</v>
      </c>
      <c r="E43" s="15"/>
      <c r="F43" s="15"/>
      <c r="G43" s="15"/>
      <c r="H43" s="15"/>
      <c r="I43" s="15"/>
      <c r="J43" s="16"/>
      <c r="K43" s="16"/>
      <c r="M43" s="15"/>
    </row>
    <row r="44" spans="1:13" ht="20.100000000000001" customHeight="1" x14ac:dyDescent="0.4">
      <c r="B44" s="12">
        <f t="shared" si="0"/>
        <v>34</v>
      </c>
      <c r="C44" s="13" t="s">
        <v>57</v>
      </c>
      <c r="D44" s="14" t="s">
        <v>47</v>
      </c>
      <c r="E44" s="15"/>
      <c r="F44" s="15"/>
      <c r="G44" s="15"/>
      <c r="H44" s="15"/>
      <c r="I44" s="15"/>
      <c r="J44" s="16"/>
      <c r="K44" s="16"/>
      <c r="M44" s="15"/>
    </row>
    <row r="45" spans="1:13" ht="20.100000000000001" customHeight="1" x14ac:dyDescent="0.4">
      <c r="B45" s="12">
        <f t="shared" si="0"/>
        <v>35</v>
      </c>
      <c r="C45" s="13" t="s">
        <v>58</v>
      </c>
      <c r="D45" s="14" t="s">
        <v>47</v>
      </c>
      <c r="E45" s="15"/>
      <c r="F45" s="15"/>
      <c r="G45" s="15"/>
      <c r="H45" s="15"/>
      <c r="I45" s="15"/>
      <c r="J45" s="16"/>
      <c r="K45" s="16"/>
      <c r="M45" s="15"/>
    </row>
    <row r="46" spans="1:13" ht="20.100000000000001" customHeight="1" x14ac:dyDescent="0.4">
      <c r="B46" s="12">
        <f t="shared" si="0"/>
        <v>36</v>
      </c>
      <c r="C46" s="13" t="s">
        <v>59</v>
      </c>
      <c r="D46" s="14" t="s">
        <v>47</v>
      </c>
      <c r="E46" s="15"/>
      <c r="F46" s="15"/>
      <c r="G46" s="15"/>
      <c r="H46" s="15"/>
      <c r="I46" s="15"/>
      <c r="J46" s="16"/>
      <c r="K46" s="16"/>
      <c r="M46" s="15"/>
    </row>
    <row r="47" spans="1:13" ht="20.100000000000001" customHeight="1" x14ac:dyDescent="0.4">
      <c r="B47" s="12">
        <f t="shared" si="0"/>
        <v>37</v>
      </c>
      <c r="C47" s="13" t="s">
        <v>60</v>
      </c>
      <c r="D47" s="14" t="s">
        <v>47</v>
      </c>
      <c r="E47" s="15"/>
      <c r="F47" s="15"/>
      <c r="G47" s="15"/>
      <c r="H47" s="15"/>
      <c r="I47" s="15"/>
      <c r="J47" s="16"/>
      <c r="K47" s="16"/>
      <c r="M47" s="15"/>
    </row>
    <row r="48" spans="1:13" ht="20.100000000000001" customHeight="1" x14ac:dyDescent="0.4">
      <c r="B48" s="12">
        <f t="shared" si="0"/>
        <v>38</v>
      </c>
      <c r="C48" s="13" t="s">
        <v>61</v>
      </c>
      <c r="D48" s="14" t="s">
        <v>47</v>
      </c>
      <c r="E48" s="15"/>
      <c r="F48" s="15"/>
      <c r="G48" s="15"/>
      <c r="H48" s="15"/>
      <c r="I48" s="15"/>
      <c r="J48" s="16"/>
      <c r="K48" s="16"/>
      <c r="M48" s="15"/>
    </row>
    <row r="49" spans="1:13" ht="20.100000000000001" customHeight="1" x14ac:dyDescent="0.4">
      <c r="B49" s="17">
        <f t="shared" si="0"/>
        <v>39</v>
      </c>
      <c r="C49" s="18" t="s">
        <v>62</v>
      </c>
      <c r="D49" s="19" t="s">
        <v>63</v>
      </c>
      <c r="E49" s="20" t="s">
        <v>40</v>
      </c>
      <c r="F49" s="20"/>
      <c r="G49" s="20"/>
      <c r="H49" s="20"/>
      <c r="I49" s="20"/>
      <c r="J49" s="21"/>
      <c r="K49" s="21"/>
      <c r="M49" s="20"/>
    </row>
    <row r="50" spans="1:13" ht="20.100000000000001" customHeight="1" x14ac:dyDescent="0.4">
      <c r="A50" s="11"/>
      <c r="B50" s="17">
        <f t="shared" si="0"/>
        <v>40</v>
      </c>
      <c r="C50" s="18" t="s">
        <v>64</v>
      </c>
      <c r="D50" s="19" t="s">
        <v>63</v>
      </c>
      <c r="E50" s="20" t="s">
        <v>40</v>
      </c>
      <c r="F50" s="20"/>
      <c r="G50" s="20"/>
      <c r="H50" s="20"/>
      <c r="I50" s="20"/>
      <c r="J50" s="21"/>
      <c r="K50" s="21"/>
      <c r="M50" s="20"/>
    </row>
    <row r="51" spans="1:13" ht="20.100000000000001" customHeight="1" x14ac:dyDescent="0.4">
      <c r="B51" s="17">
        <f t="shared" si="0"/>
        <v>41</v>
      </c>
      <c r="C51" s="18" t="s">
        <v>65</v>
      </c>
      <c r="D51" s="19" t="s">
        <v>63</v>
      </c>
      <c r="E51" s="20" t="s">
        <v>40</v>
      </c>
      <c r="F51" s="20"/>
      <c r="G51" s="20"/>
      <c r="H51" s="20"/>
      <c r="I51" s="20"/>
      <c r="J51" s="21"/>
      <c r="K51" s="21"/>
      <c r="M51" s="20"/>
    </row>
    <row r="52" spans="1:13" ht="20.100000000000001" customHeight="1" x14ac:dyDescent="0.4">
      <c r="B52" s="17">
        <f t="shared" si="0"/>
        <v>42</v>
      </c>
      <c r="C52" s="18" t="s">
        <v>66</v>
      </c>
      <c r="D52" s="19" t="s">
        <v>63</v>
      </c>
      <c r="E52" s="20" t="s">
        <v>40</v>
      </c>
      <c r="F52" s="20"/>
      <c r="G52" s="20"/>
      <c r="H52" s="20"/>
      <c r="I52" s="20"/>
      <c r="J52" s="21"/>
      <c r="K52" s="21"/>
      <c r="M52" s="20"/>
    </row>
    <row r="53" spans="1:13" ht="20.100000000000001" customHeight="1" x14ac:dyDescent="0.4">
      <c r="B53" s="17">
        <f t="shared" si="0"/>
        <v>43</v>
      </c>
      <c r="C53" s="18" t="s">
        <v>67</v>
      </c>
      <c r="D53" s="19" t="s">
        <v>63</v>
      </c>
      <c r="E53" s="20" t="s">
        <v>40</v>
      </c>
      <c r="F53" s="20"/>
      <c r="G53" s="20"/>
      <c r="H53" s="20"/>
      <c r="I53" s="20"/>
      <c r="J53" s="21"/>
      <c r="K53" s="21"/>
      <c r="M53" s="20"/>
    </row>
    <row r="54" spans="1:13" ht="20.100000000000001" customHeight="1" x14ac:dyDescent="0.4">
      <c r="B54" s="17">
        <f t="shared" si="0"/>
        <v>44</v>
      </c>
      <c r="C54" s="18" t="s">
        <v>68</v>
      </c>
      <c r="D54" s="19" t="s">
        <v>63</v>
      </c>
      <c r="E54" s="20" t="s">
        <v>40</v>
      </c>
      <c r="F54" s="20"/>
      <c r="G54" s="20"/>
      <c r="H54" s="20"/>
      <c r="I54" s="20"/>
      <c r="J54" s="21"/>
      <c r="K54" s="21"/>
      <c r="M54" s="20"/>
    </row>
    <row r="55" spans="1:13" ht="20.100000000000001" customHeight="1" x14ac:dyDescent="0.4">
      <c r="B55" s="17">
        <f t="shared" si="0"/>
        <v>45</v>
      </c>
      <c r="C55" s="18" t="s">
        <v>69</v>
      </c>
      <c r="D55" s="19" t="s">
        <v>63</v>
      </c>
      <c r="E55" s="20" t="s">
        <v>40</v>
      </c>
      <c r="F55" s="20"/>
      <c r="G55" s="20"/>
      <c r="H55" s="20"/>
      <c r="I55" s="20"/>
      <c r="J55" s="21"/>
      <c r="K55" s="21"/>
      <c r="M55" s="20"/>
    </row>
    <row r="56" spans="1:13" ht="20.100000000000001" customHeight="1" x14ac:dyDescent="0.4">
      <c r="B56" s="17">
        <f t="shared" si="0"/>
        <v>46</v>
      </c>
      <c r="C56" s="18" t="s">
        <v>70</v>
      </c>
      <c r="D56" s="19" t="s">
        <v>63</v>
      </c>
      <c r="E56" s="20" t="s">
        <v>40</v>
      </c>
      <c r="F56" s="20"/>
      <c r="G56" s="20"/>
      <c r="H56" s="20"/>
      <c r="I56" s="20"/>
      <c r="J56" s="21"/>
      <c r="K56" s="21"/>
      <c r="M56" s="20"/>
    </row>
    <row r="57" spans="1:13" ht="20.100000000000001" customHeight="1" x14ac:dyDescent="0.4">
      <c r="B57" s="17">
        <f t="shared" si="0"/>
        <v>47</v>
      </c>
      <c r="C57" s="18" t="s">
        <v>71</v>
      </c>
      <c r="D57" s="19" t="s">
        <v>63</v>
      </c>
      <c r="E57" s="20" t="s">
        <v>40</v>
      </c>
      <c r="F57" s="20"/>
      <c r="G57" s="20"/>
      <c r="H57" s="20"/>
      <c r="I57" s="20"/>
      <c r="J57" s="21"/>
      <c r="K57" s="21"/>
      <c r="M57" s="20"/>
    </row>
    <row r="58" spans="1:13" s="11" customFormat="1" ht="21.9" customHeight="1" x14ac:dyDescent="0.4">
      <c r="A58"/>
      <c r="B58" s="10" t="s">
        <v>72</v>
      </c>
    </row>
    <row r="59" spans="1:13" ht="21.9" customHeight="1" x14ac:dyDescent="0.4">
      <c r="B59" s="24" t="s">
        <v>3</v>
      </c>
      <c r="C59" s="25" t="s">
        <v>73</v>
      </c>
      <c r="D59" s="25" t="s">
        <v>5</v>
      </c>
      <c r="E59" s="25" t="s">
        <v>74</v>
      </c>
      <c r="F59" s="25" t="s">
        <v>75</v>
      </c>
      <c r="G59" s="25"/>
      <c r="H59" s="25" t="s">
        <v>76</v>
      </c>
      <c r="I59" s="25" t="s">
        <v>77</v>
      </c>
      <c r="J59" s="26" t="s">
        <v>78</v>
      </c>
      <c r="K59" s="26" t="s">
        <v>78</v>
      </c>
      <c r="M59" s="25"/>
    </row>
    <row r="60" spans="1:13" ht="21.9" customHeight="1" x14ac:dyDescent="0.4">
      <c r="B60" s="27">
        <v>1</v>
      </c>
      <c r="C60" s="28" t="s">
        <v>79</v>
      </c>
      <c r="D60" s="28" t="s">
        <v>80</v>
      </c>
      <c r="E60" s="23" t="s">
        <v>81</v>
      </c>
      <c r="F60" s="23" t="s">
        <v>82</v>
      </c>
      <c r="G60" s="29"/>
      <c r="H60" s="23"/>
      <c r="I60" s="23"/>
      <c r="J60" s="30"/>
      <c r="K60" s="30"/>
      <c r="M60" s="29"/>
    </row>
    <row r="61" spans="1:13" ht="21.9" customHeight="1" x14ac:dyDescent="0.4">
      <c r="B61" s="27">
        <v>2</v>
      </c>
      <c r="C61" s="31"/>
      <c r="D61" s="31"/>
      <c r="E61" s="29"/>
      <c r="F61" s="29"/>
      <c r="G61" s="29"/>
      <c r="H61" s="29"/>
      <c r="I61" s="29"/>
      <c r="J61" s="30"/>
      <c r="K61" s="30"/>
      <c r="M61" s="29"/>
    </row>
    <row r="62" spans="1:13" ht="21.9" customHeight="1" x14ac:dyDescent="0.4">
      <c r="B62" s="27">
        <v>3</v>
      </c>
      <c r="C62" s="31"/>
      <c r="D62" s="31"/>
      <c r="E62" s="29"/>
      <c r="F62" s="29"/>
      <c r="G62" s="29"/>
      <c r="H62" s="29"/>
      <c r="I62" s="29"/>
      <c r="J62" s="30"/>
      <c r="K62" s="30"/>
      <c r="M62" s="29"/>
    </row>
    <row r="63" spans="1:13" ht="21.9" customHeight="1" x14ac:dyDescent="0.4">
      <c r="B63" s="27">
        <v>4</v>
      </c>
      <c r="C63" s="31"/>
      <c r="D63" s="31"/>
      <c r="E63" s="29"/>
      <c r="F63" s="29"/>
      <c r="G63" s="29"/>
      <c r="H63" s="29"/>
      <c r="I63" s="29"/>
      <c r="J63" s="30"/>
      <c r="K63" s="30"/>
      <c r="M63" s="29"/>
    </row>
    <row r="64" spans="1:13" ht="21.9" customHeight="1" x14ac:dyDescent="0.4">
      <c r="B64" s="27">
        <v>5</v>
      </c>
      <c r="C64" s="31"/>
      <c r="D64" s="31"/>
      <c r="E64" s="29"/>
      <c r="F64" s="29"/>
      <c r="G64" s="29"/>
      <c r="H64" s="29"/>
      <c r="I64" s="29"/>
      <c r="J64" s="30"/>
      <c r="K64" s="30"/>
      <c r="M64" s="29"/>
    </row>
    <row r="65" spans="1:13" ht="21.9" customHeight="1" x14ac:dyDescent="0.4">
      <c r="B65" s="27">
        <v>6</v>
      </c>
      <c r="C65" s="31"/>
      <c r="D65" s="31"/>
      <c r="E65" s="29"/>
      <c r="F65" s="29"/>
      <c r="G65" s="29"/>
      <c r="H65" s="29"/>
      <c r="I65" s="29"/>
      <c r="J65" s="30"/>
      <c r="K65" s="30"/>
      <c r="M65" s="29"/>
    </row>
    <row r="66" spans="1:13" ht="21.9" customHeight="1" x14ac:dyDescent="0.4">
      <c r="B66" s="27">
        <v>7</v>
      </c>
      <c r="C66" s="31"/>
      <c r="D66" s="31"/>
      <c r="E66" s="29"/>
      <c r="F66" s="29"/>
      <c r="G66" s="29"/>
      <c r="H66" s="29"/>
      <c r="I66" s="29"/>
      <c r="J66" s="30"/>
      <c r="K66" s="30"/>
      <c r="M66" s="29"/>
    </row>
    <row r="72" spans="1:13" x14ac:dyDescent="0.4">
      <c r="A72" s="11"/>
    </row>
    <row r="96" spans="1:1" x14ac:dyDescent="0.4">
      <c r="A96" s="11"/>
    </row>
    <row r="103" spans="1:1" x14ac:dyDescent="0.4">
      <c r="A103" s="11"/>
    </row>
    <row r="114" spans="1:1" x14ac:dyDescent="0.4">
      <c r="A114" s="11"/>
    </row>
  </sheetData>
  <phoneticPr fontId="1" type="noConversion"/>
  <dataValidations count="4">
    <dataValidation type="list" allowBlank="1" sqref="E22:E25 E26:E27 E28:E33 E34:E48 E49:E57 E19:E21 E11:E18" xr:uid="{00000000-0002-0000-0000-000000000000}">
      <formula1>"Y,N,△"</formula1>
    </dataValidation>
    <dataValidation type="list" allowBlank="1" sqref="F26:F27 F28:F33 F34:F48 F49:F57 F19:F21 F11:F18 F22:F25" xr:uid="{00000000-0002-0000-0000-000001000000}">
      <formula1>"필수,권고,선택,불필요"</formula1>
    </dataValidation>
    <dataValidation type="list" allowBlank="1" sqref="M22:M25 M26:M27 M28:M33 M34:M48 M49:M57 M19:M21 M11:M18" xr:uid="{00000000-0002-0000-0000-000002000000}">
      <formula1>"Y,N,검토중"</formula1>
    </dataValidation>
    <dataValidation type="list" allowBlank="1" sqref="G22:G25 G26:G27 G28:G33 G34:G48 G49:G57 G19:G21 G11:G18" xr:uid="{00000000-0002-0000-0000-000003000000}">
      <formula1>"상,중,하"</formula1>
    </dataValidation>
  </dataValidations>
  <pageMargins left="0.16" right="0.16" top="0.3" bottom="0.28000000000000003" header="0.51181102362204722" footer="0.51181102362204722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106"/>
  <sheetViews>
    <sheetView showGridLines="0" tabSelected="1" zoomScale="85" zoomScaleNormal="85" workbookViewId="0">
      <pane xSplit="4" ySplit="10" topLeftCell="E65" activePane="bottomRight" state="frozen"/>
      <selection pane="topRight" activeCell="E1" sqref="E1"/>
      <selection pane="bottomLeft" activeCell="A11" sqref="A11"/>
      <selection pane="bottomRight" activeCell="I89" sqref="I89"/>
    </sheetView>
  </sheetViews>
  <sheetFormatPr defaultRowHeight="17.399999999999999" outlineLevelCol="1" x14ac:dyDescent="0.4"/>
  <cols>
    <col min="1" max="1" width="2.59765625" customWidth="1"/>
    <col min="2" max="2" width="5" customWidth="1"/>
    <col min="3" max="3" width="26" customWidth="1"/>
    <col min="4" max="4" width="14.3984375" bestFit="1" customWidth="1"/>
    <col min="5" max="5" width="25.3984375" style="33" bestFit="1" customWidth="1"/>
    <col min="6" max="6" width="18.69921875" style="33" customWidth="1"/>
    <col min="7" max="7" width="13" style="33" customWidth="1"/>
    <col min="8" max="9" width="30.59765625" style="33" customWidth="1"/>
    <col min="10" max="10" width="43.69921875" style="33" bestFit="1" customWidth="1"/>
    <col min="11" max="11" width="34" style="33" customWidth="1"/>
    <col min="12" max="12" width="2.3984375" customWidth="1"/>
    <col min="13" max="13" width="13" style="22" hidden="1" customWidth="1" outlineLevel="1"/>
    <col min="14" max="14" width="9" collapsed="1"/>
  </cols>
  <sheetData>
    <row r="1" spans="1:13" ht="33.9" customHeight="1" x14ac:dyDescent="0.4">
      <c r="B1" s="1" t="s">
        <v>83</v>
      </c>
      <c r="C1" s="11"/>
      <c r="D1" s="11"/>
      <c r="E1" s="11"/>
      <c r="F1" s="11"/>
      <c r="G1" s="11"/>
      <c r="H1" s="11"/>
      <c r="I1" s="11"/>
      <c r="J1" s="11"/>
      <c r="K1" s="11"/>
      <c r="M1"/>
    </row>
    <row r="2" spans="1:13" ht="18" customHeight="1" x14ac:dyDescent="0.4">
      <c r="B2" s="37" t="s">
        <v>154</v>
      </c>
      <c r="C2" s="38"/>
      <c r="D2" s="39"/>
      <c r="E2" s="39"/>
      <c r="F2" s="39"/>
      <c r="G2" s="39"/>
      <c r="H2" s="39"/>
      <c r="I2" s="22"/>
      <c r="J2" s="22"/>
      <c r="K2" s="22"/>
      <c r="M2"/>
    </row>
    <row r="3" spans="1:13" ht="18" customHeight="1" x14ac:dyDescent="0.4">
      <c r="B3" s="37" t="s">
        <v>157</v>
      </c>
      <c r="C3" s="38"/>
      <c r="D3" s="39"/>
      <c r="E3" s="39"/>
      <c r="F3" s="39"/>
      <c r="G3" s="39"/>
      <c r="H3" s="39"/>
      <c r="I3" s="22"/>
      <c r="J3" s="22"/>
      <c r="K3" s="22"/>
      <c r="M3"/>
    </row>
    <row r="4" spans="1:13" ht="18" customHeight="1" x14ac:dyDescent="0.4">
      <c r="B4" s="37" t="s">
        <v>155</v>
      </c>
      <c r="C4" s="38"/>
      <c r="D4" s="39"/>
      <c r="E4" s="39"/>
      <c r="F4" s="39"/>
      <c r="G4" s="39"/>
      <c r="H4" s="39"/>
      <c r="I4" s="22"/>
      <c r="J4" s="22"/>
      <c r="K4" s="22"/>
      <c r="M4"/>
    </row>
    <row r="5" spans="1:13" ht="18" customHeight="1" x14ac:dyDescent="0.4">
      <c r="B5" s="37" t="s">
        <v>156</v>
      </c>
      <c r="C5" s="38"/>
      <c r="D5" s="39"/>
      <c r="E5" s="39"/>
      <c r="F5" s="39"/>
      <c r="G5" s="39"/>
      <c r="H5" s="39"/>
      <c r="I5" s="22"/>
      <c r="J5" s="22"/>
      <c r="K5" s="22"/>
      <c r="M5"/>
    </row>
    <row r="6" spans="1:13" ht="13.5" customHeight="1" x14ac:dyDescent="0.4">
      <c r="B6" s="37"/>
      <c r="C6" s="38"/>
      <c r="D6" s="39"/>
      <c r="E6" s="39"/>
      <c r="F6" s="39"/>
      <c r="G6" s="39"/>
      <c r="H6" s="39"/>
      <c r="I6" s="22"/>
      <c r="J6" s="22"/>
      <c r="K6" s="22"/>
      <c r="M6"/>
    </row>
    <row r="7" spans="1:13" ht="18" customHeight="1" x14ac:dyDescent="0.4">
      <c r="B7" s="37" t="s">
        <v>84</v>
      </c>
      <c r="C7" s="38"/>
      <c r="D7" s="38"/>
      <c r="E7" s="39"/>
      <c r="F7" s="39"/>
      <c r="G7" s="39"/>
      <c r="H7" s="39"/>
      <c r="I7" s="32"/>
      <c r="M7"/>
    </row>
    <row r="8" spans="1:13" s="3" customFormat="1" ht="18" customHeight="1" x14ac:dyDescent="0.35">
      <c r="B8" s="37" t="s">
        <v>85</v>
      </c>
      <c r="C8" s="40"/>
      <c r="D8" s="40"/>
      <c r="E8" s="41"/>
      <c r="F8" s="41"/>
      <c r="G8" s="41"/>
      <c r="H8" s="41"/>
      <c r="I8" s="34"/>
      <c r="J8" s="34"/>
      <c r="K8" s="34"/>
    </row>
    <row r="9" spans="1:13" s="3" customFormat="1" ht="18" customHeight="1" x14ac:dyDescent="0.35">
      <c r="B9" s="37" t="s">
        <v>159</v>
      </c>
      <c r="C9" s="42"/>
      <c r="D9" s="42"/>
      <c r="E9" s="43"/>
      <c r="F9" s="43"/>
      <c r="G9" s="43"/>
      <c r="H9" s="43"/>
      <c r="I9" s="35"/>
      <c r="J9" s="34"/>
      <c r="K9" s="34"/>
      <c r="M9" s="36"/>
    </row>
    <row r="10" spans="1:13" ht="36" customHeight="1" x14ac:dyDescent="0.4">
      <c r="A10" s="3"/>
      <c r="B10" s="6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8" t="s">
        <v>11</v>
      </c>
      <c r="K10" s="8" t="s">
        <v>86</v>
      </c>
      <c r="M10" s="9" t="s">
        <v>13</v>
      </c>
    </row>
    <row r="11" spans="1:13" ht="20.100000000000001" customHeight="1" x14ac:dyDescent="0.4">
      <c r="B11" s="12">
        <v>1</v>
      </c>
      <c r="C11" s="13" t="s">
        <v>14</v>
      </c>
      <c r="D11" s="14" t="s">
        <v>87</v>
      </c>
      <c r="E11" s="15" t="s">
        <v>160</v>
      </c>
      <c r="F11" s="15" t="s">
        <v>161</v>
      </c>
      <c r="G11" s="15" t="s">
        <v>162</v>
      </c>
      <c r="H11" s="15" t="s">
        <v>169</v>
      </c>
      <c r="I11" s="15"/>
      <c r="J11" s="16"/>
      <c r="K11" s="16"/>
      <c r="M11" s="15"/>
    </row>
    <row r="12" spans="1:13" ht="20.100000000000001" customHeight="1" x14ac:dyDescent="0.4">
      <c r="A12" s="11"/>
      <c r="B12" s="12">
        <f>+B11+1</f>
        <v>2</v>
      </c>
      <c r="C12" s="13" t="s">
        <v>16</v>
      </c>
      <c r="D12" s="14" t="s">
        <v>87</v>
      </c>
      <c r="E12" s="15" t="s">
        <v>160</v>
      </c>
      <c r="F12" s="15" t="s">
        <v>161</v>
      </c>
      <c r="G12" s="15" t="s">
        <v>162</v>
      </c>
      <c r="H12" s="15" t="s">
        <v>170</v>
      </c>
      <c r="I12" s="15"/>
      <c r="J12" s="16" t="s">
        <v>171</v>
      </c>
      <c r="K12" s="16"/>
      <c r="M12" s="15"/>
    </row>
    <row r="13" spans="1:13" ht="20.100000000000001" customHeight="1" x14ac:dyDescent="0.4">
      <c r="B13" s="12">
        <f t="shared" ref="B13:B76" si="0">+B12+1</f>
        <v>3</v>
      </c>
      <c r="C13" s="13" t="s">
        <v>88</v>
      </c>
      <c r="D13" s="14" t="s">
        <v>87</v>
      </c>
      <c r="E13" s="15" t="s">
        <v>160</v>
      </c>
      <c r="F13" s="15" t="s">
        <v>161</v>
      </c>
      <c r="G13" s="15" t="s">
        <v>162</v>
      </c>
      <c r="H13" s="15"/>
      <c r="I13" s="15"/>
      <c r="J13" s="16"/>
      <c r="K13" s="16"/>
      <c r="M13" s="15"/>
    </row>
    <row r="14" spans="1:13" ht="20.100000000000001" customHeight="1" x14ac:dyDescent="0.4">
      <c r="B14" s="12">
        <f t="shared" si="0"/>
        <v>4</v>
      </c>
      <c r="C14" s="13" t="s">
        <v>89</v>
      </c>
      <c r="D14" s="14" t="s">
        <v>87</v>
      </c>
      <c r="E14" s="15" t="s">
        <v>160</v>
      </c>
      <c r="F14" s="15" t="s">
        <v>161</v>
      </c>
      <c r="G14" s="15" t="s">
        <v>162</v>
      </c>
      <c r="H14" s="15"/>
      <c r="I14" s="15"/>
      <c r="J14" s="16"/>
      <c r="K14" s="16"/>
      <c r="M14" s="15"/>
    </row>
    <row r="15" spans="1:13" ht="20.100000000000001" customHeight="1" x14ac:dyDescent="0.4">
      <c r="B15" s="17">
        <f t="shared" si="0"/>
        <v>5</v>
      </c>
      <c r="C15" s="18" t="s">
        <v>17</v>
      </c>
      <c r="D15" s="19" t="s">
        <v>87</v>
      </c>
      <c r="E15" s="20" t="s">
        <v>90</v>
      </c>
      <c r="F15" s="20"/>
      <c r="G15" s="20"/>
      <c r="H15" s="20"/>
      <c r="I15" s="20"/>
      <c r="J15" s="21"/>
      <c r="K15" s="21"/>
      <c r="M15" s="15"/>
    </row>
    <row r="16" spans="1:13" ht="20.100000000000001" customHeight="1" x14ac:dyDescent="0.4">
      <c r="B16" s="17">
        <f t="shared" si="0"/>
        <v>6</v>
      </c>
      <c r="C16" s="18" t="s">
        <v>19</v>
      </c>
      <c r="D16" s="19" t="s">
        <v>87</v>
      </c>
      <c r="E16" s="20" t="s">
        <v>90</v>
      </c>
      <c r="F16" s="20"/>
      <c r="G16" s="20"/>
      <c r="H16" s="20"/>
      <c r="I16" s="20"/>
      <c r="J16" s="21"/>
      <c r="K16" s="21"/>
      <c r="M16" s="15"/>
    </row>
    <row r="17" spans="1:13" ht="20.100000000000001" customHeight="1" x14ac:dyDescent="0.4">
      <c r="B17" s="17">
        <f t="shared" si="0"/>
        <v>7</v>
      </c>
      <c r="C17" s="18" t="s">
        <v>24</v>
      </c>
      <c r="D17" s="19" t="s">
        <v>87</v>
      </c>
      <c r="E17" s="20" t="s">
        <v>90</v>
      </c>
      <c r="F17" s="20"/>
      <c r="G17" s="20"/>
      <c r="H17" s="20"/>
      <c r="I17" s="20"/>
      <c r="J17" s="21"/>
      <c r="K17" s="21"/>
      <c r="M17" s="15"/>
    </row>
    <row r="18" spans="1:13" ht="20.100000000000001" customHeight="1" x14ac:dyDescent="0.4">
      <c r="B18" s="17">
        <f t="shared" si="0"/>
        <v>8</v>
      </c>
      <c r="C18" s="18" t="s">
        <v>25</v>
      </c>
      <c r="D18" s="19" t="s">
        <v>87</v>
      </c>
      <c r="E18" s="20" t="s">
        <v>90</v>
      </c>
      <c r="F18" s="20"/>
      <c r="G18" s="20"/>
      <c r="H18" s="20"/>
      <c r="I18" s="20"/>
      <c r="J18" s="21"/>
      <c r="K18" s="21"/>
      <c r="M18" s="15"/>
    </row>
    <row r="19" spans="1:13" ht="20.100000000000001" customHeight="1" x14ac:dyDescent="0.4">
      <c r="B19" s="17">
        <f t="shared" si="0"/>
        <v>9</v>
      </c>
      <c r="C19" s="18" t="s">
        <v>21</v>
      </c>
      <c r="D19" s="19" t="s">
        <v>87</v>
      </c>
      <c r="E19" s="20" t="s">
        <v>90</v>
      </c>
      <c r="F19" s="20"/>
      <c r="G19" s="20"/>
      <c r="H19" s="20"/>
      <c r="I19" s="20"/>
      <c r="J19" s="21"/>
      <c r="K19" s="21"/>
      <c r="M19" s="15"/>
    </row>
    <row r="20" spans="1:13" ht="20.100000000000001" customHeight="1" x14ac:dyDescent="0.4">
      <c r="B20" s="17">
        <f t="shared" si="0"/>
        <v>10</v>
      </c>
      <c r="C20" s="18" t="s">
        <v>91</v>
      </c>
      <c r="D20" s="19" t="s">
        <v>87</v>
      </c>
      <c r="E20" s="20" t="s">
        <v>90</v>
      </c>
      <c r="F20" s="20"/>
      <c r="G20" s="20"/>
      <c r="H20" s="20"/>
      <c r="I20" s="20"/>
      <c r="J20" s="21"/>
      <c r="K20" s="21"/>
      <c r="M20" s="15"/>
    </row>
    <row r="21" spans="1:13" ht="20.100000000000001" customHeight="1" x14ac:dyDescent="0.4">
      <c r="B21" s="17">
        <f t="shared" si="0"/>
        <v>11</v>
      </c>
      <c r="C21" s="18" t="s">
        <v>92</v>
      </c>
      <c r="D21" s="19" t="s">
        <v>87</v>
      </c>
      <c r="E21" s="20" t="s">
        <v>90</v>
      </c>
      <c r="F21" s="20"/>
      <c r="G21" s="20"/>
      <c r="H21" s="20"/>
      <c r="I21" s="20"/>
      <c r="J21" s="21"/>
      <c r="K21" s="21"/>
      <c r="M21" s="15"/>
    </row>
    <row r="22" spans="1:13" ht="38.4" customHeight="1" x14ac:dyDescent="0.4">
      <c r="B22" s="12">
        <f t="shared" si="0"/>
        <v>12</v>
      </c>
      <c r="C22" s="13" t="s">
        <v>93</v>
      </c>
      <c r="D22" s="14" t="s">
        <v>87</v>
      </c>
      <c r="E22" s="15" t="s">
        <v>160</v>
      </c>
      <c r="F22" s="15" t="s">
        <v>166</v>
      </c>
      <c r="G22" s="15" t="s">
        <v>167</v>
      </c>
      <c r="H22" s="45" t="s">
        <v>175</v>
      </c>
      <c r="I22" s="15" t="s">
        <v>174</v>
      </c>
      <c r="J22" s="50" t="s">
        <v>176</v>
      </c>
      <c r="K22" s="16" t="s">
        <v>173</v>
      </c>
      <c r="M22" s="15"/>
    </row>
    <row r="23" spans="1:13" ht="20.100000000000001" customHeight="1" x14ac:dyDescent="0.4">
      <c r="B23" s="12">
        <f t="shared" si="0"/>
        <v>13</v>
      </c>
      <c r="C23" s="13" t="s">
        <v>94</v>
      </c>
      <c r="D23" s="14" t="s">
        <v>87</v>
      </c>
      <c r="E23" s="15" t="s">
        <v>221</v>
      </c>
      <c r="F23" s="15" t="s">
        <v>163</v>
      </c>
      <c r="G23" s="15" t="s">
        <v>164</v>
      </c>
      <c r="H23" s="15"/>
      <c r="I23" s="15"/>
      <c r="J23" s="50" t="s">
        <v>176</v>
      </c>
      <c r="K23" s="16" t="s">
        <v>173</v>
      </c>
      <c r="M23" s="15"/>
    </row>
    <row r="24" spans="1:13" ht="20.100000000000001" customHeight="1" x14ac:dyDescent="0.4">
      <c r="B24" s="17">
        <f t="shared" si="0"/>
        <v>14</v>
      </c>
      <c r="C24" s="18" t="s">
        <v>95</v>
      </c>
      <c r="D24" s="19" t="s">
        <v>87</v>
      </c>
      <c r="E24" s="20" t="s">
        <v>40</v>
      </c>
      <c r="F24" s="20"/>
      <c r="G24" s="20"/>
      <c r="H24" s="20"/>
      <c r="I24" s="20"/>
      <c r="J24" s="21"/>
      <c r="K24" s="21"/>
      <c r="M24" s="15"/>
    </row>
    <row r="25" spans="1:13" ht="20.100000000000001" customHeight="1" x14ac:dyDescent="0.4">
      <c r="B25" s="17">
        <f t="shared" si="0"/>
        <v>15</v>
      </c>
      <c r="C25" s="18" t="s">
        <v>26</v>
      </c>
      <c r="D25" s="19" t="s">
        <v>87</v>
      </c>
      <c r="E25" s="20" t="s">
        <v>40</v>
      </c>
      <c r="F25" s="20"/>
      <c r="G25" s="20"/>
      <c r="H25" s="20"/>
      <c r="I25" s="20"/>
      <c r="J25" s="21"/>
      <c r="K25" s="21"/>
      <c r="M25" s="15"/>
    </row>
    <row r="26" spans="1:13" ht="20.100000000000001" customHeight="1" x14ac:dyDescent="0.4">
      <c r="B26" s="12">
        <f t="shared" si="0"/>
        <v>16</v>
      </c>
      <c r="C26" s="13" t="s">
        <v>29</v>
      </c>
      <c r="D26" s="14" t="s">
        <v>87</v>
      </c>
      <c r="E26" s="15" t="s">
        <v>165</v>
      </c>
      <c r="F26" s="15" t="s">
        <v>163</v>
      </c>
      <c r="G26" s="15" t="s">
        <v>164</v>
      </c>
      <c r="H26" s="15"/>
      <c r="I26" s="15"/>
      <c r="J26" s="16"/>
      <c r="K26" s="16"/>
      <c r="M26" s="15"/>
    </row>
    <row r="27" spans="1:13" ht="20.100000000000001" customHeight="1" x14ac:dyDescent="0.4">
      <c r="B27" s="12">
        <f t="shared" si="0"/>
        <v>17</v>
      </c>
      <c r="C27" s="13" t="s">
        <v>96</v>
      </c>
      <c r="D27" s="14" t="s">
        <v>87</v>
      </c>
      <c r="E27" s="15" t="s">
        <v>160</v>
      </c>
      <c r="F27" s="15" t="s">
        <v>166</v>
      </c>
      <c r="G27" s="15" t="s">
        <v>167</v>
      </c>
      <c r="H27" s="15" t="s">
        <v>172</v>
      </c>
      <c r="I27" s="15" t="s">
        <v>174</v>
      </c>
      <c r="J27" s="50" t="s">
        <v>176</v>
      </c>
      <c r="K27" s="16" t="s">
        <v>173</v>
      </c>
      <c r="M27" s="15"/>
    </row>
    <row r="28" spans="1:13" ht="20.100000000000001" customHeight="1" x14ac:dyDescent="0.4">
      <c r="A28" s="11"/>
      <c r="B28" s="12">
        <f t="shared" si="0"/>
        <v>18</v>
      </c>
      <c r="C28" s="13" t="s">
        <v>97</v>
      </c>
      <c r="D28" s="14" t="s">
        <v>87</v>
      </c>
      <c r="E28" s="15" t="s">
        <v>221</v>
      </c>
      <c r="F28" s="15" t="s">
        <v>163</v>
      </c>
      <c r="G28" s="15" t="s">
        <v>164</v>
      </c>
      <c r="H28" s="15"/>
      <c r="I28" s="15"/>
      <c r="J28" s="16"/>
      <c r="K28" s="16" t="s">
        <v>173</v>
      </c>
      <c r="M28" s="15"/>
    </row>
    <row r="29" spans="1:13" ht="20.100000000000001" customHeight="1" x14ac:dyDescent="0.4">
      <c r="B29" s="12">
        <f t="shared" si="0"/>
        <v>19</v>
      </c>
      <c r="C29" s="13" t="s">
        <v>98</v>
      </c>
      <c r="D29" s="14" t="s">
        <v>87</v>
      </c>
      <c r="E29" s="15" t="s">
        <v>165</v>
      </c>
      <c r="F29" s="15" t="s">
        <v>163</v>
      </c>
      <c r="G29" s="15" t="s">
        <v>164</v>
      </c>
      <c r="H29" s="15"/>
      <c r="I29" s="15"/>
      <c r="J29" s="16"/>
      <c r="K29" s="16"/>
      <c r="M29" s="15"/>
    </row>
    <row r="30" spans="1:13" ht="20.100000000000001" customHeight="1" x14ac:dyDescent="0.4">
      <c r="B30" s="12">
        <f t="shared" si="0"/>
        <v>20</v>
      </c>
      <c r="C30" s="13" t="s">
        <v>30</v>
      </c>
      <c r="D30" s="14" t="s">
        <v>87</v>
      </c>
      <c r="E30" s="15" t="s">
        <v>160</v>
      </c>
      <c r="F30" s="15" t="s">
        <v>166</v>
      </c>
      <c r="G30" s="15" t="s">
        <v>167</v>
      </c>
      <c r="H30" s="15" t="s">
        <v>220</v>
      </c>
      <c r="I30" s="15"/>
      <c r="J30" s="16"/>
      <c r="K30" s="16"/>
      <c r="M30" s="15"/>
    </row>
    <row r="31" spans="1:13" ht="20.100000000000001" customHeight="1" x14ac:dyDescent="0.4">
      <c r="B31" s="12">
        <f t="shared" si="0"/>
        <v>21</v>
      </c>
      <c r="C31" s="13" t="s">
        <v>99</v>
      </c>
      <c r="D31" s="14" t="s">
        <v>87</v>
      </c>
      <c r="E31" s="15" t="s">
        <v>165</v>
      </c>
      <c r="F31" s="15" t="s">
        <v>166</v>
      </c>
      <c r="G31" s="15" t="s">
        <v>167</v>
      </c>
      <c r="H31" s="15" t="s">
        <v>172</v>
      </c>
      <c r="I31" s="15" t="s">
        <v>174</v>
      </c>
      <c r="J31" s="50" t="s">
        <v>176</v>
      </c>
      <c r="K31" s="16" t="s">
        <v>173</v>
      </c>
      <c r="M31" s="15"/>
    </row>
    <row r="32" spans="1:13" ht="20.100000000000001" customHeight="1" x14ac:dyDescent="0.4">
      <c r="B32" s="12">
        <f t="shared" si="0"/>
        <v>22</v>
      </c>
      <c r="C32" s="13" t="s">
        <v>100</v>
      </c>
      <c r="D32" s="14" t="s">
        <v>87</v>
      </c>
      <c r="E32" s="15" t="s">
        <v>160</v>
      </c>
      <c r="F32" s="15" t="s">
        <v>166</v>
      </c>
      <c r="G32" s="15" t="s">
        <v>167</v>
      </c>
      <c r="H32" s="15" t="s">
        <v>172</v>
      </c>
      <c r="I32" s="15" t="s">
        <v>174</v>
      </c>
      <c r="J32" s="50" t="s">
        <v>176</v>
      </c>
      <c r="K32" s="16" t="s">
        <v>173</v>
      </c>
      <c r="M32" s="15"/>
    </row>
    <row r="33" spans="1:13" ht="20.100000000000001" customHeight="1" x14ac:dyDescent="0.4">
      <c r="B33" s="12">
        <f t="shared" si="0"/>
        <v>23</v>
      </c>
      <c r="C33" s="13" t="s">
        <v>101</v>
      </c>
      <c r="D33" s="14" t="s">
        <v>87</v>
      </c>
      <c r="E33" s="15" t="s">
        <v>160</v>
      </c>
      <c r="F33" s="15" t="s">
        <v>161</v>
      </c>
      <c r="G33" s="15" t="s">
        <v>162</v>
      </c>
      <c r="H33" s="15" t="s">
        <v>177</v>
      </c>
      <c r="I33" s="15" t="s">
        <v>178</v>
      </c>
      <c r="J33" s="16"/>
      <c r="K33" s="16"/>
      <c r="M33" s="15"/>
    </row>
    <row r="34" spans="1:13" ht="20.100000000000001" customHeight="1" x14ac:dyDescent="0.4">
      <c r="B34" s="17">
        <f t="shared" si="0"/>
        <v>24</v>
      </c>
      <c r="C34" s="18" t="s">
        <v>102</v>
      </c>
      <c r="D34" s="19" t="s">
        <v>103</v>
      </c>
      <c r="E34" s="20" t="s">
        <v>40</v>
      </c>
      <c r="F34" s="20"/>
      <c r="G34" s="20"/>
      <c r="H34" s="20"/>
      <c r="I34" s="20"/>
      <c r="J34" s="21"/>
      <c r="K34" s="21"/>
      <c r="M34" s="15"/>
    </row>
    <row r="35" spans="1:13" ht="20.100000000000001" customHeight="1" x14ac:dyDescent="0.4">
      <c r="B35" s="12">
        <f t="shared" si="0"/>
        <v>25</v>
      </c>
      <c r="C35" s="13" t="s">
        <v>104</v>
      </c>
      <c r="D35" s="14" t="s">
        <v>103</v>
      </c>
      <c r="E35" s="15" t="s">
        <v>160</v>
      </c>
      <c r="F35" s="15" t="s">
        <v>161</v>
      </c>
      <c r="G35" s="15" t="s">
        <v>162</v>
      </c>
      <c r="H35" s="15" t="s">
        <v>179</v>
      </c>
      <c r="I35" s="15" t="s">
        <v>225</v>
      </c>
      <c r="J35" s="16"/>
      <c r="K35" s="16"/>
      <c r="M35" s="15"/>
    </row>
    <row r="36" spans="1:13" ht="20.100000000000001" customHeight="1" x14ac:dyDescent="0.4">
      <c r="B36" s="12">
        <f t="shared" si="0"/>
        <v>26</v>
      </c>
      <c r="C36" s="13" t="s">
        <v>33</v>
      </c>
      <c r="D36" s="14" t="s">
        <v>103</v>
      </c>
      <c r="E36" s="15" t="s">
        <v>165</v>
      </c>
      <c r="F36" s="15" t="s">
        <v>163</v>
      </c>
      <c r="G36" s="15" t="s">
        <v>164</v>
      </c>
      <c r="H36" s="15"/>
      <c r="I36" s="15"/>
      <c r="J36" s="16"/>
      <c r="K36" s="16"/>
      <c r="M36" s="15"/>
    </row>
    <row r="37" spans="1:13" ht="20.100000000000001" customHeight="1" x14ac:dyDescent="0.4">
      <c r="B37" s="12">
        <f t="shared" si="0"/>
        <v>27</v>
      </c>
      <c r="C37" s="13" t="s">
        <v>105</v>
      </c>
      <c r="D37" s="14" t="s">
        <v>103</v>
      </c>
      <c r="E37" s="15" t="s">
        <v>160</v>
      </c>
      <c r="F37" s="15" t="s">
        <v>168</v>
      </c>
      <c r="G37" s="15" t="s">
        <v>164</v>
      </c>
      <c r="H37" s="15" t="s">
        <v>172</v>
      </c>
      <c r="I37" s="15"/>
      <c r="J37" s="16"/>
      <c r="K37" s="16"/>
      <c r="M37" s="15"/>
    </row>
    <row r="38" spans="1:13" ht="20.100000000000001" customHeight="1" x14ac:dyDescent="0.4">
      <c r="B38" s="12">
        <f t="shared" si="0"/>
        <v>28</v>
      </c>
      <c r="C38" s="13" t="s">
        <v>106</v>
      </c>
      <c r="D38" s="14" t="s">
        <v>103</v>
      </c>
      <c r="E38" s="15" t="s">
        <v>160</v>
      </c>
      <c r="F38" s="15" t="s">
        <v>166</v>
      </c>
      <c r="G38" s="15" t="s">
        <v>167</v>
      </c>
      <c r="H38" s="15" t="s">
        <v>180</v>
      </c>
      <c r="I38" s="15" t="s">
        <v>181</v>
      </c>
      <c r="J38" s="16"/>
      <c r="K38" s="16"/>
      <c r="M38" s="15"/>
    </row>
    <row r="39" spans="1:13" ht="20.100000000000001" customHeight="1" x14ac:dyDescent="0.4">
      <c r="B39" s="12">
        <f t="shared" si="0"/>
        <v>29</v>
      </c>
      <c r="C39" s="13" t="s">
        <v>107</v>
      </c>
      <c r="D39" s="14" t="s">
        <v>103</v>
      </c>
      <c r="E39" s="15" t="s">
        <v>160</v>
      </c>
      <c r="F39" s="15" t="s">
        <v>168</v>
      </c>
      <c r="G39" s="15" t="s">
        <v>167</v>
      </c>
      <c r="H39" s="15" t="s">
        <v>180</v>
      </c>
      <c r="I39" s="15"/>
      <c r="J39" s="16"/>
      <c r="K39" s="16"/>
      <c r="M39" s="15"/>
    </row>
    <row r="40" spans="1:13" ht="20.100000000000001" customHeight="1" x14ac:dyDescent="0.4">
      <c r="B40" s="12">
        <f t="shared" si="0"/>
        <v>30</v>
      </c>
      <c r="C40" s="13" t="s">
        <v>108</v>
      </c>
      <c r="D40" s="14" t="s">
        <v>103</v>
      </c>
      <c r="E40" s="15" t="s">
        <v>165</v>
      </c>
      <c r="F40" s="15" t="s">
        <v>168</v>
      </c>
      <c r="G40" s="15" t="s">
        <v>164</v>
      </c>
      <c r="H40" s="15"/>
      <c r="I40" s="15"/>
      <c r="J40" s="16"/>
      <c r="K40" s="16"/>
      <c r="M40" s="15"/>
    </row>
    <row r="41" spans="1:13" ht="20.100000000000001" customHeight="1" x14ac:dyDescent="0.4">
      <c r="B41" s="12">
        <f t="shared" si="0"/>
        <v>31</v>
      </c>
      <c r="C41" s="13" t="s">
        <v>109</v>
      </c>
      <c r="D41" s="14" t="s">
        <v>103</v>
      </c>
      <c r="E41" s="15" t="s">
        <v>221</v>
      </c>
      <c r="F41" s="15" t="s">
        <v>168</v>
      </c>
      <c r="G41" s="15" t="s">
        <v>164</v>
      </c>
      <c r="H41" s="15" t="s">
        <v>182</v>
      </c>
      <c r="I41" s="15"/>
      <c r="J41" s="16"/>
      <c r="K41" s="16"/>
      <c r="M41" s="15"/>
    </row>
    <row r="42" spans="1:13" ht="20.100000000000001" customHeight="1" x14ac:dyDescent="0.4">
      <c r="B42" s="12">
        <f t="shared" si="0"/>
        <v>32</v>
      </c>
      <c r="C42" s="13" t="s">
        <v>110</v>
      </c>
      <c r="D42" s="14" t="s">
        <v>103</v>
      </c>
      <c r="E42" s="15" t="s">
        <v>221</v>
      </c>
      <c r="F42" s="15" t="s">
        <v>168</v>
      </c>
      <c r="G42" s="15" t="s">
        <v>164</v>
      </c>
      <c r="H42" s="15" t="s">
        <v>222</v>
      </c>
      <c r="I42" s="15"/>
      <c r="J42" s="16"/>
      <c r="K42" s="16"/>
      <c r="M42" s="15"/>
    </row>
    <row r="43" spans="1:13" ht="20.100000000000001" customHeight="1" x14ac:dyDescent="0.4">
      <c r="A43" s="11"/>
      <c r="B43" s="12">
        <f t="shared" si="0"/>
        <v>33</v>
      </c>
      <c r="C43" s="13" t="s">
        <v>111</v>
      </c>
      <c r="D43" s="14" t="s">
        <v>103</v>
      </c>
      <c r="E43" s="15" t="s">
        <v>160</v>
      </c>
      <c r="F43" s="15" t="s">
        <v>161</v>
      </c>
      <c r="G43" s="15" t="s">
        <v>162</v>
      </c>
      <c r="H43" s="15" t="s">
        <v>211</v>
      </c>
      <c r="I43" s="15" t="s">
        <v>226</v>
      </c>
      <c r="J43" s="16"/>
      <c r="K43" s="16"/>
      <c r="M43" s="15"/>
    </row>
    <row r="44" spans="1:13" ht="20.100000000000001" customHeight="1" x14ac:dyDescent="0.4">
      <c r="B44" s="12">
        <f t="shared" si="0"/>
        <v>34</v>
      </c>
      <c r="C44" s="47" t="s">
        <v>112</v>
      </c>
      <c r="D44" s="48" t="s">
        <v>103</v>
      </c>
      <c r="E44" s="49" t="s">
        <v>160</v>
      </c>
      <c r="F44" s="49" t="s">
        <v>161</v>
      </c>
      <c r="G44" s="49" t="s">
        <v>162</v>
      </c>
      <c r="H44" s="49"/>
      <c r="I44" s="49"/>
      <c r="J44" s="50"/>
      <c r="K44" s="50" t="s">
        <v>183</v>
      </c>
      <c r="M44" s="15"/>
    </row>
    <row r="45" spans="1:13" ht="20.100000000000001" customHeight="1" x14ac:dyDescent="0.4">
      <c r="B45" s="12">
        <f t="shared" si="0"/>
        <v>35</v>
      </c>
      <c r="C45" s="13" t="s">
        <v>44</v>
      </c>
      <c r="D45" s="14" t="s">
        <v>103</v>
      </c>
      <c r="E45" s="15" t="s">
        <v>160</v>
      </c>
      <c r="F45" s="15" t="s">
        <v>161</v>
      </c>
      <c r="G45" s="15" t="s">
        <v>162</v>
      </c>
      <c r="H45" s="15" t="s">
        <v>196</v>
      </c>
      <c r="I45" s="15"/>
      <c r="J45" s="16"/>
      <c r="K45" s="16"/>
      <c r="M45" s="15"/>
    </row>
    <row r="46" spans="1:13" ht="20.100000000000001" customHeight="1" x14ac:dyDescent="0.4">
      <c r="B46" s="12">
        <f t="shared" si="0"/>
        <v>36</v>
      </c>
      <c r="C46" s="13" t="s">
        <v>45</v>
      </c>
      <c r="D46" s="14" t="s">
        <v>103</v>
      </c>
      <c r="E46" s="15" t="s">
        <v>165</v>
      </c>
      <c r="F46" s="15" t="s">
        <v>168</v>
      </c>
      <c r="G46" s="15" t="s">
        <v>164</v>
      </c>
      <c r="H46" s="15" t="s">
        <v>196</v>
      </c>
      <c r="I46" s="15"/>
      <c r="J46" s="16"/>
      <c r="K46" s="16"/>
      <c r="M46" s="15"/>
    </row>
    <row r="47" spans="1:13" ht="20.100000000000001" customHeight="1" x14ac:dyDescent="0.4">
      <c r="B47" s="12">
        <f t="shared" si="0"/>
        <v>37</v>
      </c>
      <c r="C47" s="13" t="s">
        <v>113</v>
      </c>
      <c r="D47" s="14" t="s">
        <v>103</v>
      </c>
      <c r="E47" s="15" t="s">
        <v>160</v>
      </c>
      <c r="F47" s="15" t="s">
        <v>161</v>
      </c>
      <c r="G47" s="15" t="s">
        <v>162</v>
      </c>
      <c r="H47" s="15" t="s">
        <v>196</v>
      </c>
      <c r="I47" s="15" t="s">
        <v>227</v>
      </c>
      <c r="J47" s="16"/>
      <c r="K47" s="16"/>
      <c r="M47" s="15"/>
    </row>
    <row r="48" spans="1:13" ht="20.100000000000001" customHeight="1" x14ac:dyDescent="0.4">
      <c r="B48" s="12">
        <f t="shared" si="0"/>
        <v>38</v>
      </c>
      <c r="C48" s="13" t="s">
        <v>114</v>
      </c>
      <c r="D48" s="14" t="s">
        <v>103</v>
      </c>
      <c r="E48" s="15" t="s">
        <v>160</v>
      </c>
      <c r="F48" s="15" t="s">
        <v>163</v>
      </c>
      <c r="G48" s="15" t="s">
        <v>164</v>
      </c>
      <c r="H48" s="15" t="s">
        <v>172</v>
      </c>
      <c r="I48" s="15"/>
      <c r="J48" s="16"/>
      <c r="K48" s="16" t="s">
        <v>195</v>
      </c>
      <c r="M48" s="15"/>
    </row>
    <row r="49" spans="1:13" ht="20.100000000000001" customHeight="1" x14ac:dyDescent="0.4">
      <c r="B49" s="12">
        <f t="shared" si="0"/>
        <v>39</v>
      </c>
      <c r="C49" s="13" t="s">
        <v>126</v>
      </c>
      <c r="D49" s="14" t="s">
        <v>103</v>
      </c>
      <c r="E49" s="15" t="s">
        <v>160</v>
      </c>
      <c r="F49" s="15" t="s">
        <v>168</v>
      </c>
      <c r="G49" s="15" t="s">
        <v>162</v>
      </c>
      <c r="H49" s="46" t="s">
        <v>193</v>
      </c>
      <c r="I49" s="15"/>
      <c r="J49" s="16"/>
      <c r="K49" s="16"/>
      <c r="M49" s="15"/>
    </row>
    <row r="50" spans="1:13" ht="20.100000000000001" customHeight="1" x14ac:dyDescent="0.4">
      <c r="B50" s="12">
        <f t="shared" si="0"/>
        <v>40</v>
      </c>
      <c r="C50" s="13" t="s">
        <v>115</v>
      </c>
      <c r="D50" s="14" t="s">
        <v>116</v>
      </c>
      <c r="E50" s="15" t="s">
        <v>221</v>
      </c>
      <c r="F50" s="15" t="s">
        <v>161</v>
      </c>
      <c r="G50" s="15" t="s">
        <v>167</v>
      </c>
      <c r="H50" s="15" t="s">
        <v>194</v>
      </c>
      <c r="I50" s="15"/>
      <c r="J50" s="16" t="s">
        <v>188</v>
      </c>
      <c r="K50" s="16" t="s">
        <v>186</v>
      </c>
      <c r="M50" s="15"/>
    </row>
    <row r="51" spans="1:13" ht="20.100000000000001" customHeight="1" x14ac:dyDescent="0.4">
      <c r="B51" s="12">
        <f t="shared" si="0"/>
        <v>41</v>
      </c>
      <c r="C51" s="13" t="s">
        <v>117</v>
      </c>
      <c r="D51" s="14" t="s">
        <v>116</v>
      </c>
      <c r="E51" s="15" t="s">
        <v>165</v>
      </c>
      <c r="F51" s="15" t="s">
        <v>168</v>
      </c>
      <c r="G51" s="15" t="s">
        <v>167</v>
      </c>
      <c r="H51" s="15" t="s">
        <v>194</v>
      </c>
      <c r="I51" s="15"/>
      <c r="J51" s="16" t="s">
        <v>176</v>
      </c>
      <c r="K51" s="16" t="s">
        <v>186</v>
      </c>
      <c r="M51" s="15"/>
    </row>
    <row r="52" spans="1:13" ht="20.100000000000001" customHeight="1" x14ac:dyDescent="0.4">
      <c r="B52" s="12">
        <f t="shared" si="0"/>
        <v>42</v>
      </c>
      <c r="C52" s="13" t="s">
        <v>118</v>
      </c>
      <c r="D52" s="14" t="s">
        <v>116</v>
      </c>
      <c r="E52" s="15" t="s">
        <v>221</v>
      </c>
      <c r="F52" s="15" t="s">
        <v>161</v>
      </c>
      <c r="G52" s="15" t="s">
        <v>162</v>
      </c>
      <c r="H52" s="15" t="s">
        <v>194</v>
      </c>
      <c r="I52" s="15"/>
      <c r="J52" s="16" t="s">
        <v>187</v>
      </c>
      <c r="K52" s="16" t="s">
        <v>186</v>
      </c>
      <c r="M52" s="15"/>
    </row>
    <row r="53" spans="1:13" ht="20.100000000000001" customHeight="1" x14ac:dyDescent="0.4">
      <c r="B53" s="12">
        <f t="shared" si="0"/>
        <v>43</v>
      </c>
      <c r="C53" s="13" t="s">
        <v>119</v>
      </c>
      <c r="D53" s="14" t="s">
        <v>116</v>
      </c>
      <c r="E53" s="15" t="s">
        <v>160</v>
      </c>
      <c r="F53" s="15" t="s">
        <v>161</v>
      </c>
      <c r="G53" s="15" t="s">
        <v>162</v>
      </c>
      <c r="H53" s="15" t="s">
        <v>194</v>
      </c>
      <c r="I53" s="15"/>
      <c r="J53" s="16" t="s">
        <v>187</v>
      </c>
      <c r="K53" s="16" t="s">
        <v>186</v>
      </c>
      <c r="M53" s="15"/>
    </row>
    <row r="54" spans="1:13" ht="20.100000000000001" customHeight="1" x14ac:dyDescent="0.4">
      <c r="A54" s="11"/>
      <c r="B54" s="12">
        <f t="shared" si="0"/>
        <v>44</v>
      </c>
      <c r="C54" s="13" t="s">
        <v>120</v>
      </c>
      <c r="D54" s="14" t="s">
        <v>87</v>
      </c>
      <c r="E54" s="15" t="s">
        <v>160</v>
      </c>
      <c r="F54" s="15" t="s">
        <v>161</v>
      </c>
      <c r="G54" s="15" t="s">
        <v>162</v>
      </c>
      <c r="H54" s="15" t="s">
        <v>216</v>
      </c>
      <c r="I54" s="15"/>
      <c r="J54" s="16"/>
      <c r="K54" s="16"/>
      <c r="M54" s="15"/>
    </row>
    <row r="55" spans="1:13" ht="20.100000000000001" customHeight="1" x14ac:dyDescent="0.4">
      <c r="B55" s="12">
        <f t="shared" si="0"/>
        <v>45</v>
      </c>
      <c r="C55" s="13" t="s">
        <v>121</v>
      </c>
      <c r="D55" s="14" t="s">
        <v>87</v>
      </c>
      <c r="E55" s="15" t="s">
        <v>160</v>
      </c>
      <c r="F55" s="15" t="s">
        <v>161</v>
      </c>
      <c r="G55" s="15" t="s">
        <v>162</v>
      </c>
      <c r="H55" s="15" t="s">
        <v>216</v>
      </c>
      <c r="I55" s="15"/>
      <c r="J55" s="16"/>
      <c r="K55" s="16"/>
      <c r="M55" s="15"/>
    </row>
    <row r="56" spans="1:13" ht="20.100000000000001" customHeight="1" x14ac:dyDescent="0.4">
      <c r="B56" s="12">
        <f t="shared" si="0"/>
        <v>46</v>
      </c>
      <c r="C56" s="13" t="s">
        <v>122</v>
      </c>
      <c r="D56" s="14" t="s">
        <v>87</v>
      </c>
      <c r="E56" s="15" t="s">
        <v>160</v>
      </c>
      <c r="F56" s="15" t="s">
        <v>161</v>
      </c>
      <c r="G56" s="15" t="s">
        <v>162</v>
      </c>
      <c r="H56" s="15" t="s">
        <v>216</v>
      </c>
      <c r="I56" s="15"/>
      <c r="J56" s="16"/>
      <c r="K56" s="16"/>
      <c r="M56" s="15"/>
    </row>
    <row r="57" spans="1:13" ht="20.100000000000001" customHeight="1" x14ac:dyDescent="0.4">
      <c r="B57" s="12">
        <f t="shared" si="0"/>
        <v>47</v>
      </c>
      <c r="C57" s="13" t="s">
        <v>123</v>
      </c>
      <c r="D57" s="14" t="s">
        <v>116</v>
      </c>
      <c r="E57" s="15" t="s">
        <v>160</v>
      </c>
      <c r="F57" s="15" t="s">
        <v>166</v>
      </c>
      <c r="G57" s="15" t="s">
        <v>167</v>
      </c>
      <c r="H57" s="15" t="s">
        <v>189</v>
      </c>
      <c r="I57" s="15"/>
      <c r="J57" s="16"/>
      <c r="K57" s="16"/>
      <c r="M57" s="15"/>
    </row>
    <row r="58" spans="1:13" ht="20.100000000000001" customHeight="1" x14ac:dyDescent="0.4">
      <c r="B58" s="12">
        <f t="shared" si="0"/>
        <v>48</v>
      </c>
      <c r="C58" s="13" t="s">
        <v>124</v>
      </c>
      <c r="D58" s="14" t="s">
        <v>116</v>
      </c>
      <c r="E58" s="15" t="s">
        <v>160</v>
      </c>
      <c r="F58" s="15" t="s">
        <v>166</v>
      </c>
      <c r="G58" s="15" t="s">
        <v>167</v>
      </c>
      <c r="H58" s="15" t="s">
        <v>189</v>
      </c>
      <c r="I58" s="15"/>
      <c r="J58" s="16"/>
      <c r="K58" s="16"/>
      <c r="M58" s="15"/>
    </row>
    <row r="59" spans="1:13" ht="20.100000000000001" customHeight="1" x14ac:dyDescent="0.4">
      <c r="B59" s="12">
        <f t="shared" si="0"/>
        <v>49</v>
      </c>
      <c r="C59" s="13" t="s">
        <v>125</v>
      </c>
      <c r="D59" s="14" t="s">
        <v>116</v>
      </c>
      <c r="E59" s="15" t="s">
        <v>160</v>
      </c>
      <c r="F59" s="15" t="s">
        <v>166</v>
      </c>
      <c r="G59" s="15" t="s">
        <v>167</v>
      </c>
      <c r="H59" s="15" t="s">
        <v>189</v>
      </c>
      <c r="I59" s="15"/>
      <c r="J59" s="16"/>
      <c r="K59" s="16"/>
      <c r="M59" s="15"/>
    </row>
    <row r="60" spans="1:13" ht="20.100000000000001" customHeight="1" x14ac:dyDescent="0.4">
      <c r="B60" s="12">
        <f t="shared" si="0"/>
        <v>50</v>
      </c>
      <c r="C60" s="13" t="s">
        <v>127</v>
      </c>
      <c r="D60" s="14" t="s">
        <v>128</v>
      </c>
      <c r="E60" s="15" t="s">
        <v>160</v>
      </c>
      <c r="F60" s="15" t="s">
        <v>161</v>
      </c>
      <c r="G60" s="15" t="s">
        <v>162</v>
      </c>
      <c r="H60" s="15" t="s">
        <v>217</v>
      </c>
      <c r="I60" s="15"/>
      <c r="J60" s="16"/>
      <c r="K60" s="16"/>
      <c r="M60" s="15"/>
    </row>
    <row r="61" spans="1:13" ht="20.100000000000001" customHeight="1" x14ac:dyDescent="0.4">
      <c r="B61" s="12">
        <f t="shared" si="0"/>
        <v>51</v>
      </c>
      <c r="C61" s="13" t="s">
        <v>129</v>
      </c>
      <c r="D61" s="14" t="s">
        <v>128</v>
      </c>
      <c r="E61" s="15" t="s">
        <v>160</v>
      </c>
      <c r="F61" s="15" t="s">
        <v>161</v>
      </c>
      <c r="G61" s="15" t="s">
        <v>162</v>
      </c>
      <c r="H61" s="15" t="s">
        <v>217</v>
      </c>
      <c r="I61" s="15"/>
      <c r="J61" s="16"/>
      <c r="K61" s="16"/>
      <c r="M61" s="15"/>
    </row>
    <row r="62" spans="1:13" ht="20.100000000000001" customHeight="1" x14ac:dyDescent="0.4">
      <c r="B62" s="12">
        <f t="shared" si="0"/>
        <v>52</v>
      </c>
      <c r="C62" s="13" t="s">
        <v>130</v>
      </c>
      <c r="D62" s="14" t="s">
        <v>128</v>
      </c>
      <c r="E62" s="15" t="s">
        <v>160</v>
      </c>
      <c r="F62" s="15" t="s">
        <v>161</v>
      </c>
      <c r="G62" s="15" t="s">
        <v>162</v>
      </c>
      <c r="H62" s="15" t="s">
        <v>217</v>
      </c>
      <c r="I62" s="15"/>
      <c r="J62" s="16"/>
      <c r="K62" s="16"/>
      <c r="M62" s="15"/>
    </row>
    <row r="63" spans="1:13" ht="20.100000000000001" customHeight="1" x14ac:dyDescent="0.4">
      <c r="B63" s="12">
        <f t="shared" si="0"/>
        <v>53</v>
      </c>
      <c r="C63" s="13" t="s">
        <v>131</v>
      </c>
      <c r="D63" s="14" t="s">
        <v>128</v>
      </c>
      <c r="E63" s="15" t="s">
        <v>160</v>
      </c>
      <c r="F63" s="15" t="s">
        <v>161</v>
      </c>
      <c r="G63" s="15" t="s">
        <v>162</v>
      </c>
      <c r="H63" s="15" t="s">
        <v>217</v>
      </c>
      <c r="I63" s="15"/>
      <c r="J63" s="16"/>
      <c r="K63" s="16"/>
      <c r="M63" s="15"/>
    </row>
    <row r="64" spans="1:13" ht="38.4" customHeight="1" x14ac:dyDescent="0.4">
      <c r="B64" s="12">
        <f t="shared" si="0"/>
        <v>54</v>
      </c>
      <c r="C64" s="13" t="s">
        <v>132</v>
      </c>
      <c r="D64" s="14" t="s">
        <v>133</v>
      </c>
      <c r="E64" s="15" t="s">
        <v>160</v>
      </c>
      <c r="F64" s="15" t="s">
        <v>161</v>
      </c>
      <c r="G64" s="15" t="s">
        <v>162</v>
      </c>
      <c r="H64" s="15" t="s">
        <v>190</v>
      </c>
      <c r="I64" s="15"/>
      <c r="J64" s="51" t="s">
        <v>224</v>
      </c>
      <c r="K64" s="16"/>
      <c r="M64" s="15"/>
    </row>
    <row r="65" spans="2:13" ht="20.100000000000001" customHeight="1" x14ac:dyDescent="0.4">
      <c r="B65" s="12">
        <f t="shared" si="0"/>
        <v>55</v>
      </c>
      <c r="C65" s="13" t="s">
        <v>46</v>
      </c>
      <c r="D65" s="14" t="s">
        <v>133</v>
      </c>
      <c r="E65" s="15" t="s">
        <v>160</v>
      </c>
      <c r="F65" s="15" t="s">
        <v>161</v>
      </c>
      <c r="G65" s="15" t="s">
        <v>162</v>
      </c>
      <c r="H65" s="15" t="s">
        <v>190</v>
      </c>
      <c r="I65" s="15"/>
      <c r="J65" s="16" t="s">
        <v>223</v>
      </c>
      <c r="K65" s="16"/>
      <c r="M65" s="15"/>
    </row>
    <row r="66" spans="2:13" ht="20.100000000000001" customHeight="1" x14ac:dyDescent="0.4">
      <c r="B66" s="12">
        <f t="shared" si="0"/>
        <v>56</v>
      </c>
      <c r="C66" s="13" t="s">
        <v>134</v>
      </c>
      <c r="D66" s="14" t="s">
        <v>133</v>
      </c>
      <c r="E66" s="15" t="s">
        <v>160</v>
      </c>
      <c r="F66" s="15" t="s">
        <v>161</v>
      </c>
      <c r="G66" s="15" t="s">
        <v>162</v>
      </c>
      <c r="H66" s="15" t="s">
        <v>190</v>
      </c>
      <c r="I66" s="15"/>
      <c r="J66" s="16"/>
      <c r="K66" s="16"/>
      <c r="M66" s="15"/>
    </row>
    <row r="67" spans="2:13" ht="20.100000000000001" customHeight="1" x14ac:dyDescent="0.4">
      <c r="B67" s="12">
        <f t="shared" si="0"/>
        <v>57</v>
      </c>
      <c r="C67" s="13" t="s">
        <v>135</v>
      </c>
      <c r="D67" s="14" t="s">
        <v>133</v>
      </c>
      <c r="E67" s="15" t="s">
        <v>160</v>
      </c>
      <c r="F67" s="15" t="s">
        <v>161</v>
      </c>
      <c r="G67" s="15" t="s">
        <v>162</v>
      </c>
      <c r="H67" s="15" t="s">
        <v>190</v>
      </c>
      <c r="I67" s="15"/>
      <c r="J67" s="16"/>
      <c r="K67" s="16"/>
      <c r="M67" s="15"/>
    </row>
    <row r="68" spans="2:13" ht="20.100000000000001" customHeight="1" x14ac:dyDescent="0.4">
      <c r="B68" s="12">
        <f t="shared" si="0"/>
        <v>58</v>
      </c>
      <c r="C68" s="13" t="s">
        <v>136</v>
      </c>
      <c r="D68" s="14" t="s">
        <v>133</v>
      </c>
      <c r="E68" s="15" t="s">
        <v>160</v>
      </c>
      <c r="F68" s="15" t="s">
        <v>161</v>
      </c>
      <c r="G68" s="15" t="s">
        <v>162</v>
      </c>
      <c r="H68" s="15" t="s">
        <v>190</v>
      </c>
      <c r="I68" s="15"/>
      <c r="J68" s="16"/>
      <c r="K68" s="16"/>
      <c r="M68" s="15"/>
    </row>
    <row r="69" spans="2:13" ht="20.100000000000001" customHeight="1" x14ac:dyDescent="0.4">
      <c r="B69" s="12">
        <f t="shared" si="0"/>
        <v>59</v>
      </c>
      <c r="C69" s="13" t="s">
        <v>137</v>
      </c>
      <c r="D69" s="14" t="s">
        <v>133</v>
      </c>
      <c r="E69" s="15" t="s">
        <v>160</v>
      </c>
      <c r="F69" s="15" t="s">
        <v>161</v>
      </c>
      <c r="G69" s="15" t="s">
        <v>162</v>
      </c>
      <c r="H69" s="15" t="s">
        <v>190</v>
      </c>
      <c r="I69" s="15"/>
      <c r="J69" s="16"/>
      <c r="K69" s="16"/>
      <c r="M69" s="15"/>
    </row>
    <row r="70" spans="2:13" ht="20.100000000000001" customHeight="1" x14ac:dyDescent="0.4">
      <c r="B70" s="12">
        <f t="shared" si="0"/>
        <v>60</v>
      </c>
      <c r="C70" s="13" t="s">
        <v>138</v>
      </c>
      <c r="D70" s="14" t="s">
        <v>139</v>
      </c>
      <c r="E70" s="15" t="s">
        <v>160</v>
      </c>
      <c r="F70" s="15" t="s">
        <v>161</v>
      </c>
      <c r="G70" s="15" t="s">
        <v>162</v>
      </c>
      <c r="H70" s="15" t="s">
        <v>190</v>
      </c>
      <c r="I70" s="15"/>
      <c r="J70" s="16"/>
      <c r="K70" s="16" t="s">
        <v>191</v>
      </c>
      <c r="M70" s="15"/>
    </row>
    <row r="71" spans="2:13" ht="20.100000000000001" customHeight="1" x14ac:dyDescent="0.4">
      <c r="B71" s="12">
        <f t="shared" si="0"/>
        <v>61</v>
      </c>
      <c r="C71" s="13" t="s">
        <v>140</v>
      </c>
      <c r="D71" s="14" t="s">
        <v>139</v>
      </c>
      <c r="E71" s="15" t="s">
        <v>160</v>
      </c>
      <c r="F71" s="15" t="s">
        <v>161</v>
      </c>
      <c r="G71" s="15" t="s">
        <v>162</v>
      </c>
      <c r="H71" s="15" t="s">
        <v>190</v>
      </c>
      <c r="I71" s="15"/>
      <c r="J71" s="16"/>
      <c r="K71" s="16" t="s">
        <v>191</v>
      </c>
      <c r="M71" s="15"/>
    </row>
    <row r="72" spans="2:13" ht="20.100000000000001" customHeight="1" x14ac:dyDescent="0.4">
      <c r="B72" s="12">
        <f t="shared" si="0"/>
        <v>62</v>
      </c>
      <c r="C72" s="13" t="s">
        <v>141</v>
      </c>
      <c r="D72" s="14" t="s">
        <v>139</v>
      </c>
      <c r="E72" s="15" t="s">
        <v>160</v>
      </c>
      <c r="F72" s="15" t="s">
        <v>161</v>
      </c>
      <c r="G72" s="15" t="s">
        <v>162</v>
      </c>
      <c r="H72" s="15" t="s">
        <v>190</v>
      </c>
      <c r="I72" s="15"/>
      <c r="J72" s="16"/>
      <c r="K72" s="16" t="s">
        <v>191</v>
      </c>
      <c r="M72" s="15"/>
    </row>
    <row r="73" spans="2:13" ht="20.100000000000001" customHeight="1" x14ac:dyDescent="0.4">
      <c r="B73" s="12">
        <f t="shared" si="0"/>
        <v>63</v>
      </c>
      <c r="C73" s="13" t="s">
        <v>142</v>
      </c>
      <c r="D73" s="14" t="s">
        <v>139</v>
      </c>
      <c r="E73" s="15" t="s">
        <v>160</v>
      </c>
      <c r="F73" s="15" t="s">
        <v>161</v>
      </c>
      <c r="G73" s="15" t="s">
        <v>162</v>
      </c>
      <c r="H73" s="15" t="s">
        <v>190</v>
      </c>
      <c r="I73" s="15"/>
      <c r="J73" s="16"/>
      <c r="K73" s="16" t="s">
        <v>191</v>
      </c>
      <c r="M73" s="15"/>
    </row>
    <row r="74" spans="2:13" ht="20.100000000000001" customHeight="1" x14ac:dyDescent="0.4">
      <c r="B74" s="12">
        <f t="shared" si="0"/>
        <v>64</v>
      </c>
      <c r="C74" s="13" t="s">
        <v>143</v>
      </c>
      <c r="D74" s="14" t="s">
        <v>144</v>
      </c>
      <c r="E74" s="15" t="s">
        <v>160</v>
      </c>
      <c r="F74" s="15" t="s">
        <v>161</v>
      </c>
      <c r="G74" s="15" t="s">
        <v>162</v>
      </c>
      <c r="H74" s="15" t="s">
        <v>190</v>
      </c>
      <c r="I74" s="15"/>
      <c r="J74" s="16" t="s">
        <v>218</v>
      </c>
      <c r="K74" s="16" t="s">
        <v>192</v>
      </c>
      <c r="M74" s="15"/>
    </row>
    <row r="75" spans="2:13" ht="20.100000000000001" customHeight="1" x14ac:dyDescent="0.4">
      <c r="B75" s="12">
        <f t="shared" si="0"/>
        <v>65</v>
      </c>
      <c r="C75" s="13" t="s">
        <v>145</v>
      </c>
      <c r="D75" s="14" t="s">
        <v>144</v>
      </c>
      <c r="E75" s="15" t="s">
        <v>160</v>
      </c>
      <c r="F75" s="15" t="s">
        <v>161</v>
      </c>
      <c r="G75" s="15" t="s">
        <v>162</v>
      </c>
      <c r="H75" s="15" t="s">
        <v>190</v>
      </c>
      <c r="I75" s="15"/>
      <c r="J75" s="16"/>
      <c r="K75" s="16" t="s">
        <v>192</v>
      </c>
      <c r="M75" s="15"/>
    </row>
    <row r="76" spans="2:13" ht="20.100000000000001" customHeight="1" x14ac:dyDescent="0.4">
      <c r="B76" s="12">
        <f t="shared" si="0"/>
        <v>66</v>
      </c>
      <c r="C76" s="13" t="s">
        <v>146</v>
      </c>
      <c r="D76" s="14" t="s">
        <v>144</v>
      </c>
      <c r="E76" s="15" t="s">
        <v>160</v>
      </c>
      <c r="F76" s="15" t="s">
        <v>161</v>
      </c>
      <c r="G76" s="15" t="s">
        <v>162</v>
      </c>
      <c r="H76" s="15" t="s">
        <v>190</v>
      </c>
      <c r="I76" s="15"/>
      <c r="J76" s="16"/>
      <c r="K76" s="16" t="s">
        <v>192</v>
      </c>
      <c r="M76" s="15"/>
    </row>
    <row r="77" spans="2:13" ht="20.100000000000001" customHeight="1" x14ac:dyDescent="0.4">
      <c r="B77" s="12">
        <f t="shared" ref="B77:B81" si="1">+B76+1</f>
        <v>67</v>
      </c>
      <c r="C77" s="13" t="s">
        <v>147</v>
      </c>
      <c r="D77" s="14" t="s">
        <v>148</v>
      </c>
      <c r="E77" s="15" t="s">
        <v>160</v>
      </c>
      <c r="F77" s="15" t="s">
        <v>161</v>
      </c>
      <c r="G77" s="15" t="s">
        <v>162</v>
      </c>
      <c r="H77" s="15" t="s">
        <v>193</v>
      </c>
      <c r="I77" s="15" t="s">
        <v>184</v>
      </c>
      <c r="J77" s="16"/>
      <c r="K77" s="16"/>
      <c r="M77" s="15"/>
    </row>
    <row r="78" spans="2:13" ht="20.100000000000001" customHeight="1" x14ac:dyDescent="0.4">
      <c r="B78" s="12">
        <f t="shared" si="1"/>
        <v>68</v>
      </c>
      <c r="C78" s="13" t="s">
        <v>149</v>
      </c>
      <c r="D78" s="14" t="s">
        <v>148</v>
      </c>
      <c r="E78" s="15" t="s">
        <v>160</v>
      </c>
      <c r="F78" s="15" t="s">
        <v>161</v>
      </c>
      <c r="G78" s="15" t="s">
        <v>162</v>
      </c>
      <c r="H78" s="15" t="s">
        <v>193</v>
      </c>
      <c r="I78" s="15"/>
      <c r="J78" s="16"/>
      <c r="K78" s="16"/>
      <c r="M78" s="15"/>
    </row>
    <row r="79" spans="2:13" ht="20.100000000000001" customHeight="1" x14ac:dyDescent="0.4">
      <c r="B79" s="12">
        <f t="shared" si="1"/>
        <v>69</v>
      </c>
      <c r="C79" s="13" t="s">
        <v>150</v>
      </c>
      <c r="D79" s="14" t="s">
        <v>148</v>
      </c>
      <c r="E79" s="15" t="s">
        <v>160</v>
      </c>
      <c r="F79" s="15" t="s">
        <v>161</v>
      </c>
      <c r="G79" s="15" t="s">
        <v>162</v>
      </c>
      <c r="H79" s="15" t="s">
        <v>193</v>
      </c>
      <c r="I79" s="15"/>
      <c r="J79" s="16"/>
      <c r="K79" s="16"/>
      <c r="M79" s="15"/>
    </row>
    <row r="80" spans="2:13" ht="20.100000000000001" customHeight="1" x14ac:dyDescent="0.4">
      <c r="B80" s="12">
        <f t="shared" si="1"/>
        <v>70</v>
      </c>
      <c r="C80" s="13" t="s">
        <v>151</v>
      </c>
      <c r="D80" s="14" t="s">
        <v>148</v>
      </c>
      <c r="E80" s="15" t="s">
        <v>160</v>
      </c>
      <c r="F80" s="15" t="s">
        <v>161</v>
      </c>
      <c r="G80" s="15" t="s">
        <v>162</v>
      </c>
      <c r="H80" s="15" t="s">
        <v>193</v>
      </c>
      <c r="I80" s="15"/>
      <c r="J80" s="16"/>
      <c r="K80" s="16"/>
      <c r="M80" s="15"/>
    </row>
    <row r="81" spans="1:13" ht="20.100000000000001" customHeight="1" x14ac:dyDescent="0.4">
      <c r="B81" s="12">
        <f t="shared" si="1"/>
        <v>71</v>
      </c>
      <c r="C81" s="13" t="s">
        <v>152</v>
      </c>
      <c r="D81" s="14" t="s">
        <v>148</v>
      </c>
      <c r="E81" s="15" t="s">
        <v>160</v>
      </c>
      <c r="F81" s="15" t="s">
        <v>161</v>
      </c>
      <c r="G81" s="15" t="s">
        <v>162</v>
      </c>
      <c r="H81" s="15" t="s">
        <v>193</v>
      </c>
      <c r="I81" s="15"/>
      <c r="J81" s="16" t="s">
        <v>185</v>
      </c>
      <c r="K81" s="16"/>
      <c r="M81" s="15"/>
    </row>
    <row r="82" spans="1:13" s="11" customFormat="1" ht="21.9" customHeight="1" x14ac:dyDescent="0.4">
      <c r="A82"/>
      <c r="B82" s="10" t="s">
        <v>153</v>
      </c>
      <c r="M82" s="15"/>
    </row>
    <row r="83" spans="1:13" ht="21.9" customHeight="1" x14ac:dyDescent="0.4">
      <c r="B83" s="24" t="s">
        <v>3</v>
      </c>
      <c r="C83" s="25" t="s">
        <v>73</v>
      </c>
      <c r="D83" s="25" t="s">
        <v>5</v>
      </c>
      <c r="E83" s="25" t="s">
        <v>74</v>
      </c>
      <c r="F83" s="25" t="s">
        <v>75</v>
      </c>
      <c r="G83" s="25"/>
      <c r="H83" s="25" t="s">
        <v>76</v>
      </c>
      <c r="I83" s="25" t="s">
        <v>77</v>
      </c>
      <c r="J83" s="26" t="s">
        <v>78</v>
      </c>
      <c r="K83" s="26" t="s">
        <v>78</v>
      </c>
      <c r="M83" s="15"/>
    </row>
    <row r="84" spans="1:13" ht="39" customHeight="1" x14ac:dyDescent="0.4">
      <c r="B84" s="27">
        <v>1</v>
      </c>
      <c r="C84" s="31" t="s">
        <v>197</v>
      </c>
      <c r="D84" s="14" t="s">
        <v>87</v>
      </c>
      <c r="E84" s="29"/>
      <c r="F84" s="29"/>
      <c r="G84" s="29"/>
      <c r="H84" s="52" t="s">
        <v>228</v>
      </c>
      <c r="I84" s="29" t="s">
        <v>209</v>
      </c>
      <c r="J84" s="30"/>
      <c r="K84" s="30"/>
      <c r="M84" s="15"/>
    </row>
    <row r="85" spans="1:13" ht="21.9" customHeight="1" x14ac:dyDescent="0.4">
      <c r="B85" s="27">
        <v>2</v>
      </c>
      <c r="C85" s="31" t="s">
        <v>199</v>
      </c>
      <c r="D85" s="14" t="s">
        <v>87</v>
      </c>
      <c r="E85" s="29" t="s">
        <v>200</v>
      </c>
      <c r="F85" s="29" t="s">
        <v>201</v>
      </c>
      <c r="G85" s="29"/>
      <c r="H85" s="29"/>
      <c r="I85" s="29" t="s">
        <v>229</v>
      </c>
      <c r="J85" s="30"/>
      <c r="K85" s="30"/>
      <c r="M85" s="15"/>
    </row>
    <row r="86" spans="1:13" ht="21.9" customHeight="1" x14ac:dyDescent="0.4">
      <c r="B86" s="27">
        <v>3</v>
      </c>
      <c r="C86" s="31" t="s">
        <v>202</v>
      </c>
      <c r="D86" s="14" t="s">
        <v>87</v>
      </c>
      <c r="E86" s="29" t="s">
        <v>203</v>
      </c>
      <c r="F86" s="29"/>
      <c r="G86" s="29"/>
      <c r="H86" s="29" t="s">
        <v>205</v>
      </c>
      <c r="I86" s="29" t="s">
        <v>198</v>
      </c>
      <c r="J86" s="30"/>
      <c r="K86" s="30"/>
      <c r="M86" s="15"/>
    </row>
    <row r="87" spans="1:13" ht="21.9" customHeight="1" x14ac:dyDescent="0.4">
      <c r="B87" s="27">
        <v>4</v>
      </c>
      <c r="C87" s="31" t="s">
        <v>210</v>
      </c>
      <c r="D87" s="14" t="s">
        <v>87</v>
      </c>
      <c r="E87" s="29" t="s">
        <v>220</v>
      </c>
      <c r="F87" s="29" t="s">
        <v>201</v>
      </c>
      <c r="G87" s="29"/>
      <c r="H87" s="29"/>
      <c r="I87" s="29" t="s">
        <v>198</v>
      </c>
      <c r="J87" s="30"/>
      <c r="K87" s="30"/>
      <c r="M87" s="15"/>
    </row>
    <row r="88" spans="1:13" ht="21.9" customHeight="1" x14ac:dyDescent="0.4">
      <c r="B88" s="27">
        <v>5</v>
      </c>
      <c r="C88" s="31" t="s">
        <v>204</v>
      </c>
      <c r="D88" s="14" t="s">
        <v>87</v>
      </c>
      <c r="E88" s="29" t="s">
        <v>219</v>
      </c>
      <c r="F88" s="29" t="s">
        <v>201</v>
      </c>
      <c r="G88" s="29"/>
      <c r="H88" s="29" t="s">
        <v>205</v>
      </c>
      <c r="I88" s="29" t="s">
        <v>198</v>
      </c>
      <c r="J88" s="30"/>
      <c r="K88" s="30"/>
      <c r="M88" s="15"/>
    </row>
    <row r="89" spans="1:13" ht="21.9" customHeight="1" x14ac:dyDescent="0.4">
      <c r="B89" s="27">
        <v>6</v>
      </c>
      <c r="C89" s="31" t="s">
        <v>206</v>
      </c>
      <c r="D89" s="14" t="s">
        <v>87</v>
      </c>
      <c r="E89" s="29" t="s">
        <v>207</v>
      </c>
      <c r="F89" s="29" t="s">
        <v>82</v>
      </c>
      <c r="G89" s="29"/>
      <c r="H89" s="29" t="s">
        <v>205</v>
      </c>
      <c r="I89" s="29" t="s">
        <v>229</v>
      </c>
      <c r="J89" s="30" t="s">
        <v>208</v>
      </c>
      <c r="K89" s="30"/>
      <c r="M89" s="15"/>
    </row>
    <row r="90" spans="1:13" ht="21.9" customHeight="1" x14ac:dyDescent="0.4">
      <c r="B90" s="27">
        <v>7</v>
      </c>
      <c r="C90" s="31" t="s">
        <v>212</v>
      </c>
      <c r="D90" s="14" t="s">
        <v>87</v>
      </c>
      <c r="E90" s="29" t="s">
        <v>213</v>
      </c>
      <c r="F90" s="29" t="s">
        <v>82</v>
      </c>
      <c r="G90" s="29"/>
      <c r="H90" s="29" t="s">
        <v>205</v>
      </c>
      <c r="I90" s="29" t="s">
        <v>198</v>
      </c>
      <c r="J90" s="30" t="s">
        <v>215</v>
      </c>
      <c r="K90" s="30"/>
      <c r="M90" s="15"/>
    </row>
    <row r="91" spans="1:13" ht="21.9" customHeight="1" x14ac:dyDescent="0.4">
      <c r="B91" s="27">
        <v>8</v>
      </c>
      <c r="C91" s="31" t="s">
        <v>214</v>
      </c>
      <c r="D91" s="14" t="s">
        <v>87</v>
      </c>
      <c r="E91" s="29" t="s">
        <v>213</v>
      </c>
      <c r="F91" s="29" t="s">
        <v>82</v>
      </c>
      <c r="G91" s="29"/>
      <c r="H91" s="29" t="s">
        <v>205</v>
      </c>
      <c r="I91" s="29" t="s">
        <v>198</v>
      </c>
      <c r="J91" s="30" t="s">
        <v>215</v>
      </c>
      <c r="K91" s="30"/>
      <c r="M91" s="15"/>
    </row>
    <row r="95" spans="1:13" x14ac:dyDescent="0.4">
      <c r="A95" s="11"/>
    </row>
    <row r="106" spans="1:1" x14ac:dyDescent="0.4">
      <c r="A106" s="11"/>
    </row>
  </sheetData>
  <phoneticPr fontId="1" type="noConversion"/>
  <dataValidations count="4">
    <dataValidation type="list" allowBlank="1" sqref="G11:G81" xr:uid="{00000000-0002-0000-0100-000000000000}">
      <formula1>"상,중,하"</formula1>
    </dataValidation>
    <dataValidation type="list" allowBlank="1" sqref="E11:E81" xr:uid="{00000000-0002-0000-0100-000002000000}">
      <formula1>"Y,N,△"</formula1>
    </dataValidation>
    <dataValidation type="list" allowBlank="1" sqref="M11:M91" xr:uid="{00000000-0002-0000-0100-000003000000}">
      <formula1>"Y,N,검토중"</formula1>
    </dataValidation>
    <dataValidation type="list" allowBlank="1" sqref="E37 F11:F81" xr:uid="{00000000-0002-0000-0100-000001000000}">
      <formula1>"필수,권고,선택,불필요"</formula1>
    </dataValidation>
  </dataValidations>
  <pageMargins left="0.16" right="0.16" top="0.44" bottom="0.18" header="0.51181102362204722" footer="0.51181102362204722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제품정보</vt:lpstr>
      <vt:lpstr>작업지시등록</vt:lpstr>
      <vt:lpstr>작업지시등록!Print_Area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TK상품기획팀_김소라</cp:lastModifiedBy>
  <cp:lastPrinted>2026-05-14T23:49:04Z</cp:lastPrinted>
  <dcterms:created xsi:type="dcterms:W3CDTF">2026-05-14T07:05:18Z</dcterms:created>
  <dcterms:modified xsi:type="dcterms:W3CDTF">2026-06-12T10:42:58Z</dcterms:modified>
</cp:coreProperties>
</file>