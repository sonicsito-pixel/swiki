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전략기획팀\SPOT\FA ONE 리뉴얼\"/>
    </mc:Choice>
  </mc:AlternateContent>
  <bookViews>
    <workbookView xWindow="0" yWindow="0" windowWidth="24675" windowHeight="16620" tabRatio="803"/>
  </bookViews>
  <sheets>
    <sheet name="보고" sheetId="18" r:id="rId1"/>
    <sheet name="화면-브랜드정보" sheetId="9" r:id="rId2"/>
    <sheet name="화면-매장브랜드정보" sheetId="10" r:id="rId3"/>
    <sheet name="화면-매장정보" sheetId="5" r:id="rId4"/>
    <sheet name="화면-제품정보" sheetId="15" r:id="rId5"/>
    <sheet name="화면-작업지시등록 " sheetId="17" r:id="rId6"/>
    <sheet name="SQL" sheetId="14" r:id="rId7"/>
    <sheet name="기준정보-주요테이블명세" sheetId="1" r:id="rId8"/>
  </sheets>
  <definedNames>
    <definedName name="_xlnm.Print_Area" localSheetId="0">보고!$A$2:$G$66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8" l="1"/>
  <c r="E6" i="18"/>
  <c r="D6" i="18"/>
  <c r="F7" i="18" l="1"/>
  <c r="F13" i="18" l="1"/>
  <c r="F12" i="18"/>
  <c r="F10" i="18"/>
  <c r="F9" i="18"/>
  <c r="E8" i="18"/>
  <c r="D8" i="18"/>
  <c r="F8" i="18" s="1"/>
  <c r="E11" i="18"/>
  <c r="D11" i="18"/>
  <c r="F11" i="18" s="1"/>
</calcChain>
</file>

<file path=xl/sharedStrings.xml><?xml version="1.0" encoding="utf-8"?>
<sst xmlns="http://schemas.openxmlformats.org/spreadsheetml/2006/main" count="9992" uniqueCount="2594">
  <si>
    <t>데이터 타입</t>
  </si>
  <si>
    <t>널 여부</t>
  </si>
  <si>
    <t>기본값</t>
  </si>
  <si>
    <t>설명</t>
  </si>
  <si>
    <t>NULL</t>
  </si>
  <si>
    <t>■</t>
    <phoneticPr fontId="2" type="noConversion"/>
  </si>
  <si>
    <t>[브랜드 T_BRD]</t>
    <phoneticPr fontId="2" type="noConversion"/>
  </si>
  <si>
    <t>화면 필드명</t>
    <phoneticPr fontId="2" type="noConversion"/>
  </si>
  <si>
    <t>테이블명</t>
    <phoneticPr fontId="2" type="noConversion"/>
  </si>
  <si>
    <t>테이블 컬럼명</t>
    <phoneticPr fontId="2" type="noConversion"/>
  </si>
  <si>
    <t>데이터 타입</t>
    <phoneticPr fontId="2" type="noConversion"/>
  </si>
  <si>
    <t>화면 이미지</t>
    <phoneticPr fontId="2" type="noConversion"/>
  </si>
  <si>
    <t>1.</t>
    <phoneticPr fontId="2" type="noConversion"/>
  </si>
  <si>
    <t>화면명 :</t>
    <phoneticPr fontId="2" type="noConversion"/>
  </si>
  <si>
    <t>사용여부</t>
  </si>
  <si>
    <t>최종여부</t>
  </si>
  <si>
    <t>비고</t>
  </si>
  <si>
    <t>화면-테이블 매핑표</t>
    <phoneticPr fontId="2" type="noConversion"/>
  </si>
  <si>
    <t>기타</t>
    <phoneticPr fontId="2" type="noConversion"/>
  </si>
  <si>
    <t>Y</t>
  </si>
  <si>
    <t>0</t>
  </si>
  <si>
    <t>PK</t>
    <phoneticPr fontId="2" type="noConversion"/>
  </si>
  <si>
    <t>BRD_CD</t>
  </si>
  <si>
    <t>VARCHAR2 (20 Byte)</t>
  </si>
  <si>
    <t>N</t>
  </si>
  <si>
    <t>브랜드코드</t>
  </si>
  <si>
    <t>LANG_CLSBY</t>
  </si>
  <si>
    <t>언어구분</t>
  </si>
  <si>
    <t>COMPY_CD</t>
  </si>
  <si>
    <t>회사코드</t>
  </si>
  <si>
    <t>COMN_CLSBY</t>
  </si>
  <si>
    <t>NUMBER (22)</t>
  </si>
  <si>
    <t>공통구분</t>
  </si>
  <si>
    <t>PARENT_BRD_CD</t>
  </si>
  <si>
    <t>상위브랜드코드</t>
  </si>
  <si>
    <t>CD_NM</t>
  </si>
  <si>
    <t>VARCHAR2 (50 Byte)</t>
  </si>
  <si>
    <t>코드명</t>
  </si>
  <si>
    <t>LAST_YN</t>
  </si>
  <si>
    <t>CHAR (1 Byte)</t>
  </si>
  <si>
    <t>USE_YN</t>
  </si>
  <si>
    <t>RMK</t>
  </si>
  <si>
    <t>VARCHAR2 (500 Byte)</t>
  </si>
  <si>
    <t>PRTY_RANK</t>
  </si>
  <si>
    <t>NUMBER</t>
  </si>
  <si>
    <t>우선순위</t>
  </si>
  <si>
    <t>INS_DAY</t>
  </si>
  <si>
    <t>VARCHAR2 (14 Byte)</t>
  </si>
  <si>
    <t>등록일시</t>
  </si>
  <si>
    <t>INS_USERID</t>
  </si>
  <si>
    <t>등록자ID</t>
  </si>
  <si>
    <t>UPT_DAY</t>
  </si>
  <si>
    <t>수정일시</t>
  </si>
  <si>
    <t>UPT_USERID</t>
  </si>
  <si>
    <t>수정자ID</t>
  </si>
  <si>
    <t>DEL_DAY</t>
  </si>
  <si>
    <t>삭제일시</t>
  </si>
  <si>
    <t>DEL_USERID</t>
  </si>
  <si>
    <t>삭제자ID</t>
  </si>
  <si>
    <t>ATTR1</t>
  </si>
  <si>
    <t>VARCHAR2 (200 Byte)</t>
  </si>
  <si>
    <t>일 점간이동 제한 수</t>
  </si>
  <si>
    <t>ATTR2</t>
  </si>
  <si>
    <t>브랜드회계맵핑코드</t>
  </si>
  <si>
    <t>ATTR3</t>
  </si>
  <si>
    <t>매출국가:S1100</t>
  </si>
  <si>
    <t>ATTR4</t>
  </si>
  <si>
    <t>ATTR5</t>
  </si>
  <si>
    <t>자회사 브랜드 여부 (Y)</t>
  </si>
  <si>
    <t>ONLINE_PARTNER_NO</t>
  </si>
  <si>
    <t>KONE_BANK_CODE</t>
  </si>
  <si>
    <t>VARCHAR2 (5 Byte)</t>
  </si>
  <si>
    <t>FILENO_BUYER_CD</t>
  </si>
  <si>
    <t>VARCHAR2 (2 Byte)</t>
  </si>
  <si>
    <t>파일넘버 자동생성 바이어코드</t>
  </si>
  <si>
    <t>BRD_GRP_TA</t>
  </si>
  <si>
    <t>브랜드그룹(태블로)</t>
  </si>
  <si>
    <t>BRD_GRP_ON</t>
  </si>
  <si>
    <t>브랜드그룹(온라인)</t>
  </si>
  <si>
    <t>BRD_GRP_HQ</t>
  </si>
  <si>
    <t>브랜드그룹(사업본부)</t>
  </si>
  <si>
    <t>BRD_GRP_WH</t>
  </si>
  <si>
    <t>브랜드그룹(물류)</t>
  </si>
  <si>
    <t>'A01SSTS'</t>
  </si>
  <si>
    <t>TO_CHAR (SYSDATE, 'YYYYMMDDHH24MISS')</t>
  </si>
  <si>
    <t>컬럼명</t>
    <phoneticPr fontId="2" type="noConversion"/>
  </si>
  <si>
    <t>SHOP_ID</t>
  </si>
  <si>
    <t>VARCHAR2 (6 Byte)</t>
  </si>
  <si>
    <t>매장ID</t>
  </si>
  <si>
    <t>SHOP_NM</t>
  </si>
  <si>
    <t>매장명</t>
  </si>
  <si>
    <t>INFMT_SHOP_NM</t>
  </si>
  <si>
    <t>약식매장명</t>
  </si>
  <si>
    <t>REPR_NM</t>
  </si>
  <si>
    <t>대표자명</t>
  </si>
  <si>
    <t>REPR_RESNO</t>
  </si>
  <si>
    <t>VARCHAR2 (100 Byte)</t>
  </si>
  <si>
    <t>대표자주민번호</t>
  </si>
  <si>
    <t>SHOP_TEL_NO1</t>
  </si>
  <si>
    <t>VARCHAR2 (4 Byte)</t>
  </si>
  <si>
    <t>매장전화번호1</t>
  </si>
  <si>
    <t>SHOP_TEL_NO2</t>
  </si>
  <si>
    <t>매장전화번호2</t>
  </si>
  <si>
    <t>SHOP_TEL_NO3</t>
  </si>
  <si>
    <t>매장전화번호3</t>
  </si>
  <si>
    <t>SHOP_FAX_NO1</t>
  </si>
  <si>
    <t>매장팩스번호1</t>
  </si>
  <si>
    <t>SHOP_FAX_NO2</t>
  </si>
  <si>
    <t>매장팩스번호2</t>
  </si>
  <si>
    <t>SHOP_FAX_NO3</t>
  </si>
  <si>
    <t>매장팩스번호3</t>
  </si>
  <si>
    <t>SHOP_PSTNO</t>
  </si>
  <si>
    <t>CHAR (6 Byte)</t>
  </si>
  <si>
    <t>매장우편번호</t>
  </si>
  <si>
    <t>SHOP_ADDR1</t>
  </si>
  <si>
    <t>매장주소1</t>
  </si>
  <si>
    <t>SHOP_ADDR2</t>
  </si>
  <si>
    <t>매장주소2</t>
  </si>
  <si>
    <t>EMP_CNT</t>
  </si>
  <si>
    <t>종업원수</t>
  </si>
  <si>
    <t>SHOP_RANK_CLSBY</t>
  </si>
  <si>
    <t>매장등급구분</t>
  </si>
  <si>
    <t>DVID_RANK_CLSBY</t>
  </si>
  <si>
    <t>배분등급구분</t>
  </si>
  <si>
    <t>LOW_PRICE_YN</t>
  </si>
  <si>
    <t>저가여부</t>
  </si>
  <si>
    <t>RE_BUY_YN</t>
  </si>
  <si>
    <t>재매입여부</t>
  </si>
  <si>
    <t>STRIN_STOCK_MNG_YN</t>
  </si>
  <si>
    <t>사입재고관리여부</t>
  </si>
  <si>
    <t>DEPA_BRCH_CD</t>
  </si>
  <si>
    <t>백화점지점코드</t>
  </si>
  <si>
    <t>OPEN_DT</t>
  </si>
  <si>
    <t>VARCHAR2 (8 Byte)</t>
  </si>
  <si>
    <t>개업일자</t>
  </si>
  <si>
    <t>DSHOP_DT</t>
  </si>
  <si>
    <t>폐점일자</t>
  </si>
  <si>
    <t>DSHOP_CLSBY</t>
  </si>
  <si>
    <t>폐점구분</t>
  </si>
  <si>
    <t>INTERIOR_DT</t>
  </si>
  <si>
    <t>인테리어일자</t>
  </si>
  <si>
    <t>AREA</t>
  </si>
  <si>
    <t>면적</t>
  </si>
  <si>
    <t>PRE_AREA_WDTH</t>
  </si>
  <si>
    <t>전면폭</t>
  </si>
  <si>
    <t>GRNT_PRICE</t>
  </si>
  <si>
    <t>보증금</t>
  </si>
  <si>
    <t>IMC_YN</t>
  </si>
  <si>
    <t xml:space="preserve">EDI사용여부(기본 IMC여부 필드에서 변경하여 사용함) </t>
  </si>
  <si>
    <t>TERMN_NO</t>
  </si>
  <si>
    <t>단말기번호</t>
  </si>
  <si>
    <t>REAL_REPR_NM</t>
  </si>
  <si>
    <t>실대표성명</t>
  </si>
  <si>
    <t>REAL_REPR_RESNO</t>
  </si>
  <si>
    <t>실대표주민번호</t>
  </si>
  <si>
    <t>REAL_REPR_PSTNO</t>
  </si>
  <si>
    <t>실대표우편번호</t>
  </si>
  <si>
    <t>REAL_REPR_ADDR1</t>
  </si>
  <si>
    <t>실대표주소1</t>
  </si>
  <si>
    <t>REAL_REPR_ADDR2</t>
  </si>
  <si>
    <t>실대표주소2</t>
  </si>
  <si>
    <t>REAL_REPR_MYHSE_TEL_NO1</t>
  </si>
  <si>
    <t>실대표자택전화번호1</t>
  </si>
  <si>
    <t>REAL_REPR_MYHSE_TEL_NO2</t>
  </si>
  <si>
    <t>실대표자택전화번호2</t>
  </si>
  <si>
    <t>REAL_REPR_MYHSE_TEL_NO3</t>
  </si>
  <si>
    <t>실대표자택전화번호3</t>
  </si>
  <si>
    <t>SHOP_TYPE</t>
  </si>
  <si>
    <t>매장유형</t>
  </si>
  <si>
    <t>SHOP_FORM</t>
  </si>
  <si>
    <t>유통형태</t>
  </si>
  <si>
    <t>CHKUP_CLSBY</t>
  </si>
  <si>
    <t>검수구분</t>
  </si>
  <si>
    <t>ENURI_YN</t>
  </si>
  <si>
    <t>에누리여부</t>
  </si>
  <si>
    <t>WETH_AREA_CD</t>
  </si>
  <si>
    <t>기상지역코드</t>
  </si>
  <si>
    <t>EVENT_YN</t>
  </si>
  <si>
    <t>행사여부</t>
  </si>
  <si>
    <t>SHOP_ORGN_CD</t>
  </si>
  <si>
    <t>매장고유코드</t>
  </si>
  <si>
    <t>MNS_STOCK_PERM_CLSBY</t>
  </si>
  <si>
    <t>마이너스재고허용구분</t>
  </si>
  <si>
    <t>BSNO</t>
  </si>
  <si>
    <t>VARCHAR2 (13 Byte)</t>
  </si>
  <si>
    <t>사업자번호</t>
  </si>
  <si>
    <t>MLANG_NO</t>
  </si>
  <si>
    <t>다국어</t>
  </si>
  <si>
    <t>DVID_YN</t>
  </si>
  <si>
    <t>'Y'</t>
  </si>
  <si>
    <t>배분여부</t>
  </si>
  <si>
    <t>DELV_STOP_YN</t>
  </si>
  <si>
    <t>'N'</t>
  </si>
  <si>
    <t>출고정지여부</t>
  </si>
  <si>
    <t>SALE_STOP_YN</t>
  </si>
  <si>
    <t>판매정지여부</t>
  </si>
  <si>
    <t>RE_BUY_CLSBY</t>
  </si>
  <si>
    <t>재매입수행구분</t>
  </si>
  <si>
    <t>속성1</t>
  </si>
  <si>
    <t>매장사용여부(자료사전검색)</t>
  </si>
  <si>
    <t>속성3</t>
  </si>
  <si>
    <t>속성4</t>
  </si>
  <si>
    <t>속성5</t>
  </si>
  <si>
    <t>ACCO_BRD_CD</t>
  </si>
  <si>
    <t>회계브랜드코드</t>
  </si>
  <si>
    <t>MGN_CLSBY</t>
  </si>
  <si>
    <t>관리구분</t>
  </si>
  <si>
    <t>RLEST_GRNT</t>
  </si>
  <si>
    <t>CASH_GRNT</t>
  </si>
  <si>
    <t>현금담보</t>
  </si>
  <si>
    <t>ETC_GRNT</t>
  </si>
  <si>
    <t>기타담보</t>
  </si>
  <si>
    <t>INSR</t>
  </si>
  <si>
    <t>보험</t>
  </si>
  <si>
    <t>ATTR6</t>
  </si>
  <si>
    <t>점간요청제외여부</t>
  </si>
  <si>
    <t>ATTR7</t>
  </si>
  <si>
    <t>출고통제대상여부(Y:출고통제)</t>
  </si>
  <si>
    <t>ATTR8</t>
  </si>
  <si>
    <t>행낭코드</t>
  </si>
  <si>
    <t>ATTR9</t>
  </si>
  <si>
    <t>ATTR10</t>
  </si>
  <si>
    <t>직원판매여부</t>
  </si>
  <si>
    <t>ATTR11</t>
  </si>
  <si>
    <t>재고조회여부</t>
  </si>
  <si>
    <t>ATTR12</t>
  </si>
  <si>
    <t>배송구분</t>
  </si>
  <si>
    <t>ATTR13</t>
  </si>
  <si>
    <t>수시출고반품여부</t>
  </si>
  <si>
    <t>ATTR14</t>
  </si>
  <si>
    <t>매장용영수증출력여부</t>
  </si>
  <si>
    <t>ATTR15</t>
  </si>
  <si>
    <t>현금미수금관리여부</t>
  </si>
  <si>
    <t>ATTR16</t>
  </si>
  <si>
    <t>MEND_EXPN_IMP_YN</t>
  </si>
  <si>
    <t>수선비부과여부</t>
  </si>
  <si>
    <t>OVEDU_INT_IMP_YN</t>
  </si>
  <si>
    <t>연체이자부과여부</t>
  </si>
  <si>
    <t>TERMN_CLSBY</t>
  </si>
  <si>
    <t>VARCHAR2 (10 Byte)</t>
  </si>
  <si>
    <t>모듈 구분(POS,터미널)</t>
  </si>
  <si>
    <t>REFUND_TERMN_ID</t>
  </si>
  <si>
    <t>TAX REFUND용 단말기번호</t>
  </si>
  <si>
    <t>REFUND_SHOP_ID</t>
  </si>
  <si>
    <t>KICC_TERMN_ID</t>
  </si>
  <si>
    <t>TBILL_ISSUE_CLSBY</t>
  </si>
  <si>
    <t>세금계산서발행구분(공급분, 판매분, 발행대상제외)</t>
  </si>
  <si>
    <t>TBILL_ISSUE_WAY</t>
  </si>
  <si>
    <t>세금계산서발행방법(정발행, 역발행)</t>
  </si>
  <si>
    <t>MGN_TYPE</t>
  </si>
  <si>
    <t>매장운용형태</t>
  </si>
  <si>
    <t>DOTCOM_YN</t>
  </si>
  <si>
    <t>닷컴운용</t>
  </si>
  <si>
    <t>MGN_CLSBY_CHNL</t>
  </si>
  <si>
    <t>유통망형태대분류</t>
  </si>
  <si>
    <t>MGN_CLSBY_DETL</t>
  </si>
  <si>
    <t>유통망형태상세</t>
  </si>
  <si>
    <t>RETAIL_CORP</t>
  </si>
  <si>
    <t>유통계열사</t>
  </si>
  <si>
    <t>RETAIL_BRNCH</t>
  </si>
  <si>
    <t>유통계열사 지점</t>
  </si>
  <si>
    <t>WH_AREA</t>
  </si>
  <si>
    <t>DELV_WORK_GRP</t>
  </si>
  <si>
    <t>출고작업그룹</t>
  </si>
  <si>
    <t>SHOPMOVE_LIMT_DAYS</t>
  </si>
  <si>
    <t>REFUND_IMD_YN</t>
  </si>
  <si>
    <t>STOCK_COLOR_CNT</t>
  </si>
  <si>
    <t>적정재고컬러수</t>
  </si>
  <si>
    <t>RMK_DESC</t>
  </si>
  <si>
    <t>VARCHAR2 (3000 Byte)</t>
  </si>
  <si>
    <t>ONLINE_DP_YN</t>
  </si>
  <si>
    <t>VARCHAR2 (1 Byte)</t>
  </si>
  <si>
    <t>자사몰 DP여부</t>
  </si>
  <si>
    <t>ONLINE_PICKUP_YN</t>
  </si>
  <si>
    <t>매장수령가능여부</t>
  </si>
  <si>
    <t>CARGE_MEND_YN</t>
  </si>
  <si>
    <t>유료수선가능여부</t>
  </si>
  <si>
    <t>OPER_TIME</t>
  </si>
  <si>
    <t>운영시간</t>
  </si>
  <si>
    <t>PARKING_YN</t>
  </si>
  <si>
    <t>주차가능여부</t>
  </si>
  <si>
    <t>PAYMENT_DT</t>
  </si>
  <si>
    <t>MNL_RET_YN</t>
  </si>
  <si>
    <t>수기 반품 가능 여부</t>
  </si>
  <si>
    <t>REG_IPSU_CNT</t>
  </si>
  <si>
    <t>영수증 불러오기 회수제한</t>
  </si>
  <si>
    <t>REG_RET_TERM</t>
  </si>
  <si>
    <t>영수증 반품/불러오기 기간제한</t>
  </si>
  <si>
    <t>TAX_BSPNO_YN</t>
  </si>
  <si>
    <t>회계사업장여부</t>
  </si>
  <si>
    <t>CONT_CLSBY</t>
  </si>
  <si>
    <t>매장계약구분</t>
  </si>
  <si>
    <t>REQ_EXCPT_ST_DT</t>
  </si>
  <si>
    <t>점간요청제외 시작일자(ATTR6)</t>
  </si>
  <si>
    <t>REQ_EXCPT_ED_DT</t>
  </si>
  <si>
    <t>점간요청제외 종료일자(ATTR6)</t>
  </si>
  <si>
    <t>POS_CNT</t>
  </si>
  <si>
    <t>TT_CLSBY</t>
  </si>
  <si>
    <t>SELF_VOL_YN</t>
  </si>
  <si>
    <t>현금영수증 자진발급 대상 여부</t>
  </si>
  <si>
    <t>CUS_ANL_YN</t>
  </si>
  <si>
    <t>온라인 프로모션 적용 여부</t>
  </si>
  <si>
    <t>GIFT_CERTI_YN</t>
  </si>
  <si>
    <t>상품권회수여부</t>
  </si>
  <si>
    <t>WH_SHOP_YN</t>
  </si>
  <si>
    <t>거점매장여부</t>
  </si>
  <si>
    <t>TAX_YN</t>
  </si>
  <si>
    <t>과세여부(일괊판매전환 화면에서만 적용)</t>
  </si>
  <si>
    <t>CHANNEL_ID</t>
  </si>
  <si>
    <t>채널ID</t>
  </si>
  <si>
    <t>GPS_LATITUDE</t>
  </si>
  <si>
    <t>GPS 위도</t>
  </si>
  <si>
    <t>GPS_LONGITUDE</t>
  </si>
  <si>
    <t>GPS 경도</t>
  </si>
  <si>
    <t>OFF_CUS_ANL_YN</t>
  </si>
  <si>
    <t>고객 분석 여부</t>
  </si>
  <si>
    <t>TO_CHAR (SYSDATE,
'YYYYMMDDHH24MISS')</t>
    <phoneticPr fontId="2" type="noConversion"/>
  </si>
  <si>
    <t>[매장 T_SHOP]</t>
    <phoneticPr fontId="2" type="noConversion"/>
  </si>
  <si>
    <t>TO_CHAR (SYSDATE,
'YYYYMMDDHH24MISS')</t>
    <phoneticPr fontId="2" type="noConversion"/>
  </si>
  <si>
    <t>FONE 기준 정보 화면 - 주요 테이블</t>
    <phoneticPr fontId="2" type="noConversion"/>
  </si>
  <si>
    <t>AONE 기준 정보 화면 - 주요 테이블</t>
    <phoneticPr fontId="2" type="noConversion"/>
  </si>
  <si>
    <t>점간이동제외여부</t>
  </si>
  <si>
    <t>당일판매분지시여부(사용안함)</t>
  </si>
  <si>
    <t>직영대형매장여부</t>
  </si>
  <si>
    <t>자사몰DP여부</t>
  </si>
  <si>
    <t>'A01ATION'</t>
  </si>
  <si>
    <t>[작업지시 T_WORK_INDC]</t>
    <phoneticPr fontId="2" type="noConversion"/>
  </si>
  <si>
    <t>PRDT_CD</t>
  </si>
  <si>
    <t>제품코드</t>
  </si>
  <si>
    <t>STYLE_SEQN</t>
  </si>
  <si>
    <t>스타일차수</t>
  </si>
  <si>
    <t>MFAC_BUY_PARTY_ID</t>
  </si>
  <si>
    <t>생산구매처ID</t>
  </si>
  <si>
    <t>MFAC_BUY_ID</t>
  </si>
  <si>
    <t>원단구매처ID</t>
  </si>
  <si>
    <t>SUPP_PLACE</t>
  </si>
  <si>
    <t>납품처</t>
  </si>
  <si>
    <t>MFAC_KIND_CLSBY</t>
  </si>
  <si>
    <t>생산형태구분</t>
  </si>
  <si>
    <t>CO_OPEN_YN</t>
  </si>
  <si>
    <t>업체오픈여부</t>
  </si>
  <si>
    <t>PEMT</t>
  </si>
  <si>
    <t>VARCHAR2 (4000 Byte)</t>
  </si>
  <si>
    <t>특이사항</t>
  </si>
  <si>
    <t>TO_CHAR(SYSDATE,'YYYYMMDDHH24MISS')</t>
  </si>
  <si>
    <t>생산담당자ID</t>
  </si>
  <si>
    <t>생산담당팀CD</t>
  </si>
  <si>
    <t>MIX_RATE</t>
  </si>
  <si>
    <t>FBR_SPEC</t>
  </si>
  <si>
    <t>GOAL_MFAC_MULT</t>
  </si>
  <si>
    <t>목표생산배수</t>
  </si>
  <si>
    <t>BGET_TYPE</t>
  </si>
  <si>
    <t>ORDER_CLSBY</t>
  </si>
  <si>
    <t>GOAL_COST</t>
  </si>
  <si>
    <t>PARTT_STOR_YN</t>
  </si>
  <si>
    <t>FDS_NO</t>
  </si>
  <si>
    <t>WORK_INDC_SEND_SEQ</t>
  </si>
  <si>
    <t>WORK_INDC_SEND_DT</t>
  </si>
  <si>
    <t>STOR_F_DT</t>
  </si>
  <si>
    <t>STOR_QTY</t>
  </si>
  <si>
    <t>MFAC_PRE_COST</t>
  </si>
  <si>
    <t>SECU_TAG_YN</t>
  </si>
  <si>
    <t>MFAC_CHRG_DEPT</t>
  </si>
  <si>
    <t>TO_CHAR(SYSDATE,
'YYYYMMDDHH24MISS')</t>
    <phoneticPr fontId="2" type="noConversion"/>
  </si>
  <si>
    <t>BUDGET형태</t>
  </si>
  <si>
    <t>발주구분</t>
  </si>
  <si>
    <t>목표원가</t>
  </si>
  <si>
    <t>분할입고여부</t>
  </si>
  <si>
    <t>FDS번호</t>
  </si>
  <si>
    <t>작지발송차수</t>
  </si>
  <si>
    <t>작지발송일</t>
  </si>
  <si>
    <t>번호</t>
    <phoneticPr fontId="2" type="noConversion"/>
  </si>
  <si>
    <t>(1)</t>
    <phoneticPr fontId="2" type="noConversion"/>
  </si>
  <si>
    <t>(2)</t>
    <phoneticPr fontId="2" type="noConversion"/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</si>
  <si>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</si>
  <si>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</si>
  <si>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</si>
  <si>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</si>
  <si>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</si>
  <si>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</si>
  <si>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</si>
  <si>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</si>
  <si>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</si>
  <si>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</si>
  <si>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</si>
  <si>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</si>
  <si>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</si>
  <si>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</si>
  <si>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</si>
  <si>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</si>
  <si>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</si>
  <si>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</si>
  <si>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</si>
  <si>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</si>
  <si>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</si>
  <si>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</si>
  <si>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</si>
  <si>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</si>
  <si>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</si>
  <si>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</si>
  <si>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</si>
  <si>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</si>
  <si>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</si>
  <si>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</si>
  <si>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</si>
  <si>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</si>
  <si>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</si>
  <si>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</si>
  <si>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</si>
  <si>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t>(38)</t>
  </si>
  <si>
    <t>(39)</t>
  </si>
  <si>
    <t>(40)</t>
  </si>
  <si>
    <t>(41)</t>
  </si>
  <si>
    <t>(42)</t>
  </si>
  <si>
    <t>(43)</t>
  </si>
  <si>
    <t>(44)</t>
  </si>
  <si>
    <t>(45)</t>
  </si>
  <si>
    <t>(46)</t>
  </si>
  <si>
    <t>(47)</t>
  </si>
  <si>
    <t>(48)</t>
  </si>
  <si>
    <t>(49)</t>
  </si>
  <si>
    <t>(50)</t>
  </si>
  <si>
    <t>(51)</t>
  </si>
  <si>
    <t>(52)</t>
  </si>
  <si>
    <t>(53)</t>
  </si>
  <si>
    <t>(54)</t>
  </si>
  <si>
    <t>(55)</t>
  </si>
  <si>
    <t>(56)</t>
  </si>
  <si>
    <t>(57)</t>
  </si>
  <si>
    <t>(58)</t>
  </si>
  <si>
    <t>(59)</t>
  </si>
  <si>
    <t>(60)</t>
  </si>
  <si>
    <t>(61)</t>
  </si>
  <si>
    <t>(62)</t>
  </si>
  <si>
    <t>(63)</t>
  </si>
  <si>
    <t>(64)</t>
  </si>
  <si>
    <t>(65)</t>
  </si>
  <si>
    <t>(66)</t>
  </si>
  <si>
    <t>(67)</t>
  </si>
  <si>
    <t>(68)</t>
  </si>
  <si>
    <t>(69)</t>
  </si>
  <si>
    <t>(70)</t>
  </si>
  <si>
    <t>(71)</t>
  </si>
  <si>
    <t>(72)</t>
  </si>
  <si>
    <t>(73)</t>
  </si>
  <si>
    <t>(74)</t>
  </si>
  <si>
    <t>(75)</t>
  </si>
  <si>
    <t>(76)</t>
  </si>
  <si>
    <t>(77)</t>
  </si>
  <si>
    <t>(78)</t>
  </si>
  <si>
    <t>(79)</t>
  </si>
  <si>
    <t>(80)</t>
  </si>
  <si>
    <t>(81)</t>
  </si>
  <si>
    <t>(82)</t>
  </si>
  <si>
    <t>(83)</t>
  </si>
  <si>
    <t>(84)</t>
  </si>
  <si>
    <t>(85)</t>
  </si>
  <si>
    <t>(86)</t>
  </si>
  <si>
    <t>(87)</t>
  </si>
  <si>
    <t>(88)</t>
  </si>
  <si>
    <t>(89)</t>
  </si>
  <si>
    <t>(90)</t>
  </si>
  <si>
    <t>(91)</t>
  </si>
  <si>
    <t>(92)</t>
  </si>
  <si>
    <t>(95)</t>
  </si>
  <si>
    <t>(96)</t>
  </si>
  <si>
    <t>(97)</t>
  </si>
  <si>
    <t>(98)</t>
  </si>
  <si>
    <t>(99)</t>
  </si>
  <si>
    <t>(100)</t>
  </si>
  <si>
    <t>매장ID</t>
    <phoneticPr fontId="2" type="noConversion"/>
  </si>
  <si>
    <t>통합매장ID</t>
    <phoneticPr fontId="2" type="noConversion"/>
  </si>
  <si>
    <t>T_SHOP</t>
    <phoneticPr fontId="2" type="noConversion"/>
  </si>
  <si>
    <t>필수입력</t>
    <phoneticPr fontId="2" type="noConversion"/>
  </si>
  <si>
    <t>화면 - DB 데이터 매핑표</t>
    <phoneticPr fontId="2" type="noConversion"/>
  </si>
  <si>
    <t>단말기번호</t>
    <phoneticPr fontId="2" type="noConversion"/>
  </si>
  <si>
    <t>매장명</t>
    <phoneticPr fontId="2" type="noConversion"/>
  </si>
  <si>
    <t>매장약칭명</t>
    <phoneticPr fontId="2" type="noConversion"/>
  </si>
  <si>
    <t>단말기구분</t>
    <phoneticPr fontId="2" type="noConversion"/>
  </si>
  <si>
    <t>과세사업장유무</t>
    <phoneticPr fontId="2" type="noConversion"/>
  </si>
  <si>
    <t>회계부서코드</t>
    <phoneticPr fontId="2" type="noConversion"/>
  </si>
  <si>
    <t>브랜드</t>
    <phoneticPr fontId="2" type="noConversion"/>
  </si>
  <si>
    <t>탑텐매장구분</t>
    <phoneticPr fontId="2" type="noConversion"/>
  </si>
  <si>
    <t>KICC단말기</t>
    <phoneticPr fontId="2" type="noConversion"/>
  </si>
  <si>
    <t>환급매장코드</t>
    <phoneticPr fontId="2" type="noConversion"/>
  </si>
  <si>
    <t>환급단말기번호</t>
    <phoneticPr fontId="2" type="noConversion"/>
  </si>
  <si>
    <t>즉지환급여부</t>
    <phoneticPr fontId="2" type="noConversion"/>
  </si>
  <si>
    <t>현금영수증(자신발금)여부</t>
    <phoneticPr fontId="2" type="noConversion"/>
  </si>
  <si>
    <t>온라인프로모션적용여부</t>
    <phoneticPr fontId="2" type="noConversion"/>
  </si>
  <si>
    <t>매장용영수증 출력여부</t>
    <phoneticPr fontId="2" type="noConversion"/>
  </si>
  <si>
    <t>상품권 회수 여부</t>
    <phoneticPr fontId="2" type="noConversion"/>
  </si>
  <si>
    <t>변경사유</t>
    <phoneticPr fontId="2" type="noConversion"/>
  </si>
  <si>
    <t>고객분석 여부</t>
    <phoneticPr fontId="2" type="noConversion"/>
  </si>
  <si>
    <t>거점매장 여부</t>
    <phoneticPr fontId="2" type="noConversion"/>
  </si>
  <si>
    <t>과세여부</t>
    <phoneticPr fontId="2" type="noConversion"/>
  </si>
  <si>
    <t>매장브랜드 담당자</t>
    <phoneticPr fontId="2" type="noConversion"/>
  </si>
  <si>
    <t>사업자번호</t>
    <phoneticPr fontId="2" type="noConversion"/>
  </si>
  <si>
    <t>대표자명</t>
    <phoneticPr fontId="2" type="noConversion"/>
  </si>
  <si>
    <t>대표자주민번호</t>
    <phoneticPr fontId="2" type="noConversion"/>
  </si>
  <si>
    <t>채널ID(제휴몰)</t>
    <phoneticPr fontId="2" type="noConversion"/>
  </si>
  <si>
    <t>POS수</t>
    <phoneticPr fontId="2" type="noConversion"/>
  </si>
  <si>
    <t>종업원수</t>
    <phoneticPr fontId="2" type="noConversion"/>
  </si>
  <si>
    <t>매장전화번호</t>
    <phoneticPr fontId="2" type="noConversion"/>
  </si>
  <si>
    <t>매장팩스번호</t>
    <phoneticPr fontId="2" type="noConversion"/>
  </si>
  <si>
    <t>매장주소</t>
    <phoneticPr fontId="2" type="noConversion"/>
  </si>
  <si>
    <t>매장주소상세</t>
    <phoneticPr fontId="2" type="noConversion"/>
  </si>
  <si>
    <t>GPS주소등록</t>
    <phoneticPr fontId="2" type="noConversion"/>
  </si>
  <si>
    <t>개업일자</t>
    <phoneticPr fontId="2" type="noConversion"/>
  </si>
  <si>
    <t>담보금액</t>
    <phoneticPr fontId="2" type="noConversion"/>
  </si>
  <si>
    <t>부동산담보</t>
    <phoneticPr fontId="2" type="noConversion"/>
  </si>
  <si>
    <t>영업종료일</t>
    <phoneticPr fontId="2" type="noConversion"/>
  </si>
  <si>
    <t>폐점구분</t>
    <phoneticPr fontId="2" type="noConversion"/>
  </si>
  <si>
    <t>현금담보</t>
    <phoneticPr fontId="2" type="noConversion"/>
  </si>
  <si>
    <t>인테리어일자</t>
    <phoneticPr fontId="2" type="noConversion"/>
  </si>
  <si>
    <t>실DP가능평수</t>
    <phoneticPr fontId="2" type="noConversion"/>
  </si>
  <si>
    <t>기타담보</t>
    <phoneticPr fontId="2" type="noConversion"/>
  </si>
  <si>
    <t>보험</t>
    <phoneticPr fontId="2" type="noConversion"/>
  </si>
  <si>
    <t>점간요청제외여부</t>
    <phoneticPr fontId="2" type="noConversion"/>
  </si>
  <si>
    <t>점간요청제외 시작일</t>
    <phoneticPr fontId="2" type="noConversion"/>
  </si>
  <si>
    <t>점간요청제외 종료일</t>
    <phoneticPr fontId="2" type="noConversion"/>
  </si>
  <si>
    <t>수기판매반품 제한</t>
    <phoneticPr fontId="2" type="noConversion"/>
  </si>
  <si>
    <t>창고평수</t>
    <phoneticPr fontId="2" type="noConversion"/>
  </si>
  <si>
    <t>불러오기 가능횟수</t>
    <phoneticPr fontId="2" type="noConversion"/>
  </si>
  <si>
    <t>교환반품 기간제한</t>
    <phoneticPr fontId="2" type="noConversion"/>
  </si>
  <si>
    <t>유통망 대분류</t>
    <phoneticPr fontId="2" type="noConversion"/>
  </si>
  <si>
    <t>매장유형</t>
    <phoneticPr fontId="2" type="noConversion"/>
  </si>
  <si>
    <t>유통망 중분류</t>
    <phoneticPr fontId="2" type="noConversion"/>
  </si>
  <si>
    <t>회계유통망</t>
    <phoneticPr fontId="2" type="noConversion"/>
  </si>
  <si>
    <t>유통망 소분류</t>
    <phoneticPr fontId="2" type="noConversion"/>
  </si>
  <si>
    <t>지역코드</t>
    <phoneticPr fontId="2" type="noConversion"/>
  </si>
  <si>
    <t>유통계열사</t>
    <phoneticPr fontId="2" type="noConversion"/>
  </si>
  <si>
    <t>운영형태</t>
    <phoneticPr fontId="2" type="noConversion"/>
  </si>
  <si>
    <t>유통계열지점</t>
    <phoneticPr fontId="2" type="noConversion"/>
  </si>
  <si>
    <t>닷컴운영</t>
    <phoneticPr fontId="2" type="noConversion"/>
  </si>
  <si>
    <t>매장등급구분</t>
    <phoneticPr fontId="2" type="noConversion"/>
  </si>
  <si>
    <t>저가여부</t>
    <phoneticPr fontId="2" type="noConversion"/>
  </si>
  <si>
    <t>에누리여부</t>
    <phoneticPr fontId="2" type="noConversion"/>
  </si>
  <si>
    <t>배분제외여부</t>
    <phoneticPr fontId="2" type="noConversion"/>
  </si>
  <si>
    <t>판매정지여부</t>
    <phoneticPr fontId="2" type="noConversion"/>
  </si>
  <si>
    <t>출고작업그룹</t>
    <phoneticPr fontId="2" type="noConversion"/>
  </si>
  <si>
    <t>배분등급구분</t>
    <phoneticPr fontId="2" type="noConversion"/>
  </si>
  <si>
    <t>재매입여부</t>
    <phoneticPr fontId="2" type="noConversion"/>
  </si>
  <si>
    <t>재매입 수행구분</t>
    <phoneticPr fontId="2" type="noConversion"/>
  </si>
  <si>
    <t>연체이자부과 여부</t>
    <phoneticPr fontId="2" type="noConversion"/>
  </si>
  <si>
    <t>출고통제대상 여부</t>
    <phoneticPr fontId="2" type="noConversion"/>
  </si>
  <si>
    <t>출고정지여부</t>
    <phoneticPr fontId="2" type="noConversion"/>
  </si>
  <si>
    <t>재고관리구분</t>
    <phoneticPr fontId="2" type="noConversion"/>
  </si>
  <si>
    <t>검수구분</t>
    <phoneticPr fontId="2" type="noConversion"/>
  </si>
  <si>
    <t>사입재고관리</t>
    <phoneticPr fontId="2" type="noConversion"/>
  </si>
  <si>
    <t>수선비부과여부</t>
    <phoneticPr fontId="2" type="noConversion"/>
  </si>
  <si>
    <t>행사여부</t>
    <phoneticPr fontId="2" type="noConversion"/>
  </si>
  <si>
    <t>점간이동제한 일수</t>
    <phoneticPr fontId="2" type="noConversion"/>
  </si>
  <si>
    <t>수시출고반품 여부</t>
    <phoneticPr fontId="2" type="noConversion"/>
  </si>
  <si>
    <t>직원판매 여부</t>
    <phoneticPr fontId="2" type="noConversion"/>
  </si>
  <si>
    <t>재고조회 여부</t>
    <phoneticPr fontId="2" type="noConversion"/>
  </si>
  <si>
    <t>행낭코드</t>
    <phoneticPr fontId="2" type="noConversion"/>
  </si>
  <si>
    <t>배송업체구분</t>
    <phoneticPr fontId="2" type="noConversion"/>
  </si>
  <si>
    <t>계약구분</t>
    <phoneticPr fontId="2" type="noConversion"/>
  </si>
  <si>
    <t>계약서발행구분</t>
    <phoneticPr fontId="2" type="noConversion"/>
  </si>
  <si>
    <t>계약서발행방법</t>
    <phoneticPr fontId="2" type="noConversion"/>
  </si>
  <si>
    <t>EDI사용여부</t>
    <phoneticPr fontId="2" type="noConversion"/>
  </si>
  <si>
    <t>대금결제일</t>
    <phoneticPr fontId="2" type="noConversion"/>
  </si>
  <si>
    <t>적요</t>
    <phoneticPr fontId="2" type="noConversion"/>
  </si>
  <si>
    <t>실대표자 주민번호</t>
    <phoneticPr fontId="2" type="noConversion"/>
  </si>
  <si>
    <t>우편번호</t>
    <phoneticPr fontId="2" type="noConversion"/>
  </si>
  <si>
    <t>자택전화번호</t>
    <phoneticPr fontId="2" type="noConversion"/>
  </si>
  <si>
    <t>(93-1)</t>
    <phoneticPr fontId="2" type="noConversion"/>
  </si>
  <si>
    <t>(93-2)</t>
    <phoneticPr fontId="2" type="noConversion"/>
  </si>
  <si>
    <t>(94)</t>
    <phoneticPr fontId="2" type="noConversion"/>
  </si>
  <si>
    <t>주소</t>
    <phoneticPr fontId="2" type="noConversion"/>
  </si>
  <si>
    <t>주소상세</t>
    <phoneticPr fontId="2" type="noConversion"/>
  </si>
  <si>
    <t>유료수선가능 여부</t>
    <phoneticPr fontId="2" type="noConversion"/>
  </si>
  <si>
    <t>주차가능 여부</t>
    <phoneticPr fontId="2" type="noConversion"/>
  </si>
  <si>
    <t>운영시간</t>
    <phoneticPr fontId="2" type="noConversion"/>
  </si>
  <si>
    <t>(101)</t>
    <phoneticPr fontId="2" type="noConversion"/>
  </si>
  <si>
    <t>매장수령가능 여부</t>
    <phoneticPr fontId="2" type="noConversion"/>
  </si>
  <si>
    <t>SHOP_ID</t>
    <phoneticPr fontId="2" type="noConversion"/>
  </si>
  <si>
    <t>VARCHAR2(20)</t>
    <phoneticPr fontId="2" type="noConversion"/>
  </si>
  <si>
    <t>VARCHAR2(50)</t>
    <phoneticPr fontId="2" type="noConversion"/>
  </si>
  <si>
    <t>VARCHAR2(50)</t>
    <phoneticPr fontId="2" type="noConversion"/>
  </si>
  <si>
    <t>VARCHAR2(10)</t>
    <phoneticPr fontId="2" type="noConversion"/>
  </si>
  <si>
    <t>타입</t>
    <phoneticPr fontId="2" type="noConversion"/>
  </si>
  <si>
    <t>EditText</t>
    <phoneticPr fontId="2" type="noConversion"/>
  </si>
  <si>
    <t>ComboBox</t>
    <phoneticPr fontId="2" type="noConversion"/>
  </si>
  <si>
    <t>VARCHAR2(1)</t>
    <phoneticPr fontId="2" type="noConversion"/>
  </si>
  <si>
    <t>[제품정보 T_PRDT]</t>
    <phoneticPr fontId="2" type="noConversion"/>
  </si>
  <si>
    <t>T_SHOP_BRD</t>
    <phoneticPr fontId="2" type="noConversion"/>
  </si>
  <si>
    <t>MNG_PARENT_BRD_CD</t>
    <phoneticPr fontId="2" type="noConversion"/>
  </si>
  <si>
    <t>PARENT_BRD_CD</t>
    <phoneticPr fontId="2" type="noConversion"/>
  </si>
  <si>
    <t>VARCHAR2(20)</t>
    <phoneticPr fontId="2" type="noConversion"/>
  </si>
  <si>
    <t>DataGrid</t>
    <phoneticPr fontId="2" type="noConversion"/>
  </si>
  <si>
    <t>ATTR14</t>
    <phoneticPr fontId="2" type="noConversion"/>
  </si>
  <si>
    <t>KICC_TERMN_ID</t>
    <phoneticPr fontId="2" type="noConversion"/>
  </si>
  <si>
    <t>REFUND_TERMN_ID</t>
    <phoneticPr fontId="2" type="noConversion"/>
  </si>
  <si>
    <t>VARCHAR2(20)</t>
    <phoneticPr fontId="2" type="noConversion"/>
  </si>
  <si>
    <t>SELF_VOL_YN</t>
    <phoneticPr fontId="2" type="noConversion"/>
  </si>
  <si>
    <t>VARCHAR2(1)</t>
    <phoneticPr fontId="2" type="noConversion"/>
  </si>
  <si>
    <t>VARCHAR2(200)</t>
    <phoneticPr fontId="2" type="noConversion"/>
  </si>
  <si>
    <t>VARCHAR2(1)</t>
    <phoneticPr fontId="2" type="noConversion"/>
  </si>
  <si>
    <t>SHOP_FAX_NO1
SHOP_FAX_NO2
SHOP_FAX_NO3</t>
    <phoneticPr fontId="2" type="noConversion"/>
  </si>
  <si>
    <t>SHOP_TEL_NO1
SHOP_TEL_NO2
SHOP_TEL_NO3</t>
    <phoneticPr fontId="2" type="noConversion"/>
  </si>
  <si>
    <t>VARCHAR2(4)
VARCHAR2(4)
VARCHAR2(4)</t>
    <phoneticPr fontId="2" type="noConversion"/>
  </si>
  <si>
    <t>NUMBER</t>
    <phoneticPr fontId="2" type="noConversion"/>
  </si>
  <si>
    <t>CHG_RESN</t>
    <phoneticPr fontId="2" type="noConversion"/>
  </si>
  <si>
    <t>T_SHOP_HIST</t>
    <phoneticPr fontId="2" type="noConversion"/>
  </si>
  <si>
    <t>매장우편번호</t>
    <phoneticPr fontId="2" type="noConversion"/>
  </si>
  <si>
    <t>VARCHAR2(6)</t>
    <phoneticPr fontId="2" type="noConversion"/>
  </si>
  <si>
    <t>SHOP_ADDR2</t>
    <phoneticPr fontId="2" type="noConversion"/>
  </si>
  <si>
    <t>GPS_LONGITUDE
GPS_LATITUDE</t>
    <phoneticPr fontId="2" type="noConversion"/>
  </si>
  <si>
    <t>SHOP_ADDR1</t>
    <phoneticPr fontId="2" type="noConversion"/>
  </si>
  <si>
    <t>VARCHAR2(100)</t>
    <phoneticPr fontId="2" type="noConversion"/>
  </si>
  <si>
    <t>NUMBER</t>
    <phoneticPr fontId="2" type="noConversion"/>
  </si>
  <si>
    <t>NUMBER
NUMBER</t>
    <phoneticPr fontId="2" type="noConversion"/>
  </si>
  <si>
    <t>OPEN_DT</t>
    <phoneticPr fontId="2" type="noConversion"/>
  </si>
  <si>
    <t>DSHOP_CLSBY</t>
    <phoneticPr fontId="2" type="noConversion"/>
  </si>
  <si>
    <t>VARCHAR2(8)</t>
    <phoneticPr fontId="2" type="noConversion"/>
  </si>
  <si>
    <t>EditDate</t>
    <phoneticPr fontId="2" type="noConversion"/>
  </si>
  <si>
    <t>VARCHAR2(200)</t>
    <phoneticPr fontId="2" type="noConversion"/>
  </si>
  <si>
    <t>MNL_RET_YN</t>
    <phoneticPr fontId="2" type="noConversion"/>
  </si>
  <si>
    <t>VARCHAR2(1)</t>
    <phoneticPr fontId="2" type="noConversion"/>
  </si>
  <si>
    <t>ComboBox</t>
    <phoneticPr fontId="2" type="noConversion"/>
  </si>
  <si>
    <t>MGN_CLSBY_CHNL</t>
    <phoneticPr fontId="2" type="noConversion"/>
  </si>
  <si>
    <t>DELV_WORK_GRP</t>
    <phoneticPr fontId="2" type="noConversion"/>
  </si>
  <si>
    <t>SHOPMOVE_LIMT_DAYS</t>
    <phoneticPr fontId="2" type="noConversion"/>
  </si>
  <si>
    <t>EditText</t>
  </si>
  <si>
    <t>EditText</t>
    <phoneticPr fontId="2" type="noConversion"/>
  </si>
  <si>
    <t>TBILL_ISSUE_WAY</t>
    <phoneticPr fontId="2" type="noConversion"/>
  </si>
  <si>
    <t>TextArea</t>
    <phoneticPr fontId="2" type="noConversion"/>
  </si>
  <si>
    <t>ComboBox</t>
    <phoneticPr fontId="2" type="noConversion"/>
  </si>
  <si>
    <t>EditText</t>
    <phoneticPr fontId="2" type="noConversion"/>
  </si>
  <si>
    <t>기본 4일 - 미작성 시</t>
    <phoneticPr fontId="2" type="noConversion"/>
  </si>
  <si>
    <t>성명 (대표자)</t>
    <phoneticPr fontId="2" type="noConversion"/>
  </si>
  <si>
    <t>LOW_PRICE_YN</t>
    <phoneticPr fontId="2" type="noConversion"/>
  </si>
  <si>
    <t>CHAR(1)</t>
    <phoneticPr fontId="2" type="noConversion"/>
  </si>
  <si>
    <t>VARCHAR2(3000)</t>
    <phoneticPr fontId="2" type="noConversion"/>
  </si>
  <si>
    <t>VARCHAR2(200)</t>
    <phoneticPr fontId="2" type="noConversion"/>
  </si>
  <si>
    <t>CHKUP_CLSBY</t>
    <phoneticPr fontId="2" type="noConversion"/>
  </si>
  <si>
    <t>OVEDU_INT_IMP_YN</t>
    <phoneticPr fontId="2" type="noConversion"/>
  </si>
  <si>
    <t>VARCHAR2(100)</t>
    <phoneticPr fontId="2" type="noConversion"/>
  </si>
  <si>
    <t>VARCHAR2(50)</t>
    <phoneticPr fontId="2" type="noConversion"/>
  </si>
  <si>
    <t>CHAR (6 Byte)</t>
    <phoneticPr fontId="2" type="noConversion"/>
  </si>
  <si>
    <t>REAL_REPR_PSTNO</t>
    <phoneticPr fontId="2" type="noConversion"/>
  </si>
  <si>
    <t>REAL_REPR_ADDR1</t>
    <phoneticPr fontId="2" type="noConversion"/>
  </si>
  <si>
    <t>REAL_REPR_ADDR2</t>
    <phoneticPr fontId="2" type="noConversion"/>
  </si>
  <si>
    <t>REAL_REPR_MYHSE_TEL_NO1
REAL_REPR_MYHSE_TEL_NO2
REAL_REPR_MYHSE_TEL_NO3</t>
    <phoneticPr fontId="2" type="noConversion"/>
  </si>
  <si>
    <t>VARCHAR2(4)
VARCHAR2(4)
VARCHAR2(4)</t>
    <phoneticPr fontId="2" type="noConversion"/>
  </si>
  <si>
    <t>자사몰DP 여부</t>
    <phoneticPr fontId="2" type="noConversion"/>
  </si>
  <si>
    <t>VARCHAR2(1)</t>
    <phoneticPr fontId="2" type="noConversion"/>
  </si>
  <si>
    <t>EditText</t>
    <phoneticPr fontId="2" type="noConversion"/>
  </si>
  <si>
    <t>ONLINE_DP_YN</t>
    <phoneticPr fontId="2" type="noConversion"/>
  </si>
  <si>
    <t>ONLINE_PICKUP_YN</t>
    <phoneticPr fontId="2" type="noConversion"/>
  </si>
  <si>
    <t>VARCHAR2(50)</t>
    <phoneticPr fontId="2" type="noConversion"/>
  </si>
  <si>
    <t>매장 신규 등록시 "감가재매입" 기본값 세팅</t>
    <phoneticPr fontId="2" type="noConversion"/>
  </si>
  <si>
    <t>매장 신규 등록시 "YES" 기본값 자동세팅</t>
    <phoneticPr fontId="2" type="noConversion"/>
  </si>
  <si>
    <t>Y</t>
    <phoneticPr fontId="2" type="noConversion"/>
  </si>
  <si>
    <t>서브브랜드</t>
    <phoneticPr fontId="2" type="noConversion"/>
  </si>
  <si>
    <t>BRD_CD
BRD_NM
EMP_NM</t>
    <phoneticPr fontId="2" type="noConversion"/>
  </si>
  <si>
    <t>VARCHAR2(10)
VARCHAR2(10)
VARCHAR2(10)</t>
    <phoneticPr fontId="2" type="noConversion"/>
  </si>
  <si>
    <t xml:space="preserve">브랜드정보 </t>
    <phoneticPr fontId="2" type="noConversion"/>
  </si>
  <si>
    <t>T_PRDT</t>
    <phoneticPr fontId="2" type="noConversion"/>
  </si>
  <si>
    <t>화면 - DB 매핑표</t>
    <phoneticPr fontId="2" type="noConversion"/>
  </si>
  <si>
    <t>T_SHOP_BRD</t>
    <phoneticPr fontId="2" type="noConversion"/>
  </si>
  <si>
    <t>PRDT_NM</t>
  </si>
  <si>
    <t>SEX</t>
  </si>
  <si>
    <t>PLAN_YY</t>
  </si>
  <si>
    <t>INS_DAY</t>
    <phoneticPr fontId="2" type="noConversion"/>
  </si>
  <si>
    <t>VARCHAR2(1)</t>
    <phoneticPr fontId="2" type="noConversion"/>
  </si>
  <si>
    <t>T_SHOP_BRD</t>
  </si>
  <si>
    <t>자사몰DP여부</t>
    <phoneticPr fontId="2" type="noConversion"/>
  </si>
  <si>
    <t>VARCHAR2(20)</t>
    <phoneticPr fontId="2" type="noConversion"/>
  </si>
  <si>
    <t>EMP_NM_KOR</t>
  </si>
  <si>
    <t>T_EMP</t>
  </si>
  <si>
    <t>수정자명</t>
    <phoneticPr fontId="2" type="noConversion"/>
  </si>
  <si>
    <t>VARCHAR2(14)</t>
    <phoneticPr fontId="2" type="noConversion"/>
  </si>
  <si>
    <t>수정일자</t>
    <phoneticPr fontId="2" type="noConversion"/>
  </si>
  <si>
    <t>VARCHAR2(20)</t>
    <phoneticPr fontId="2" type="noConversion"/>
  </si>
  <si>
    <t>등록자명</t>
    <phoneticPr fontId="2" type="noConversion"/>
  </si>
  <si>
    <t>등록일자</t>
    <phoneticPr fontId="2" type="noConversion"/>
  </si>
  <si>
    <t>VARCHAR2(20)</t>
    <phoneticPr fontId="2" type="noConversion"/>
  </si>
  <si>
    <t>MNG_EMP_ID</t>
  </si>
  <si>
    <t>영업관리담당자</t>
    <phoneticPr fontId="2" type="noConversion"/>
  </si>
  <si>
    <t>EMP_ID</t>
  </si>
  <si>
    <t>담당자명</t>
    <phoneticPr fontId="2" type="noConversion"/>
  </si>
  <si>
    <t>CHAR(1)</t>
    <phoneticPr fontId="2" type="noConversion"/>
  </si>
  <si>
    <t>사용여부</t>
    <phoneticPr fontId="2" type="noConversion"/>
  </si>
  <si>
    <t>SALE_REG_LIMT_TERM</t>
  </si>
  <si>
    <t>판매등록제한기간</t>
    <phoneticPr fontId="2" type="noConversion"/>
  </si>
  <si>
    <t>T_BRD</t>
  </si>
  <si>
    <t>T_SHOP</t>
  </si>
  <si>
    <t>유통형태</t>
    <phoneticPr fontId="2" type="noConversion"/>
  </si>
  <si>
    <t>매장유형</t>
    <phoneticPr fontId="2" type="noConversion"/>
  </si>
  <si>
    <t>VARCHAR2(50)</t>
    <phoneticPr fontId="2" type="noConversion"/>
  </si>
  <si>
    <t>매장명</t>
    <phoneticPr fontId="2" type="noConversion"/>
  </si>
  <si>
    <t>(2)</t>
  </si>
  <si>
    <t>VARCHAR2(6)</t>
    <phoneticPr fontId="2" type="noConversion"/>
  </si>
  <si>
    <t>SHOP_ID</t>
    <phoneticPr fontId="2" type="noConversion"/>
  </si>
  <si>
    <t>매장코드</t>
    <phoneticPr fontId="2" type="noConversion"/>
  </si>
  <si>
    <t>(1)</t>
    <phoneticPr fontId="2" type="noConversion"/>
  </si>
  <si>
    <t>기타</t>
    <phoneticPr fontId="2" type="noConversion"/>
  </si>
  <si>
    <t>타입</t>
    <phoneticPr fontId="2" type="noConversion"/>
  </si>
  <si>
    <t>필수입력</t>
    <phoneticPr fontId="2" type="noConversion"/>
  </si>
  <si>
    <t>데이터 타입</t>
    <phoneticPr fontId="2" type="noConversion"/>
  </si>
  <si>
    <t>테이블 컬럼명</t>
    <phoneticPr fontId="2" type="noConversion"/>
  </si>
  <si>
    <t>테이블명</t>
    <phoneticPr fontId="2" type="noConversion"/>
  </si>
  <si>
    <t>화면 필드명</t>
    <phoneticPr fontId="2" type="noConversion"/>
  </si>
  <si>
    <t>번호</t>
    <phoneticPr fontId="2" type="noConversion"/>
  </si>
  <si>
    <t>화면 이미지</t>
    <phoneticPr fontId="2" type="noConversion"/>
  </si>
  <si>
    <t xml:space="preserve">매장브랜드정보 </t>
    <phoneticPr fontId="2" type="noConversion"/>
  </si>
  <si>
    <t>화면명 :</t>
    <phoneticPr fontId="2" type="noConversion"/>
  </si>
  <si>
    <t>화면-테이블 매핑표</t>
    <phoneticPr fontId="2" type="noConversion"/>
  </si>
  <si>
    <t>■</t>
    <phoneticPr fontId="2" type="noConversion"/>
  </si>
  <si>
    <t>T_WORK_INDC</t>
  </si>
  <si>
    <t>T_PRDT_PLAN</t>
  </si>
  <si>
    <t>PRDT_KIND_CD</t>
  </si>
  <si>
    <t>PRDT_CLSBY</t>
  </si>
  <si>
    <t>BRD_LINE_CD</t>
  </si>
  <si>
    <t>PRDT_CLASS_CD</t>
  </si>
  <si>
    <t>FBR_MATIERE_CLSBY</t>
  </si>
  <si>
    <t>MD_EMP_ID</t>
  </si>
  <si>
    <t>DESIGN_EMP_ID</t>
  </si>
  <si>
    <t>STRCH_CD</t>
  </si>
  <si>
    <t>TRN_CD</t>
  </si>
  <si>
    <t>LINNG_CD</t>
  </si>
  <si>
    <t>T_PRDT_KIND</t>
  </si>
  <si>
    <t>SESN_CD</t>
  </si>
  <si>
    <t>PRDT_KIND_NM3</t>
  </si>
  <si>
    <t>ORGN_CLSBY</t>
  </si>
  <si>
    <t>RCPT_YN</t>
  </si>
  <si>
    <t>T_STYLE</t>
  </si>
  <si>
    <t>PACK_TYPE</t>
  </si>
  <si>
    <t>PRDT_KOR_NM</t>
  </si>
  <si>
    <t>T_PRDT_PROP</t>
  </si>
  <si>
    <t>CATEGORY</t>
  </si>
  <si>
    <t>PROGRAM</t>
  </si>
  <si>
    <t>DPUR_YN</t>
  </si>
  <si>
    <t>COLOR_TYPE</t>
  </si>
  <si>
    <t>ESTM_SALE_TERM</t>
  </si>
  <si>
    <t>T_MAT_MATSY_INFO</t>
  </si>
  <si>
    <t>FBR_PART_CLSBY_CD</t>
  </si>
  <si>
    <t>FBR_PART_MAPP_CLSBY_CD</t>
  </si>
  <si>
    <t>MAT_MEMO</t>
  </si>
  <si>
    <t>MAT_ID</t>
  </si>
  <si>
    <t>STND</t>
  </si>
  <si>
    <t>REAL_UQOF</t>
  </si>
  <si>
    <t>UNIT</t>
  </si>
  <si>
    <t>MAT_UPRICE</t>
  </si>
  <si>
    <t>MAT_RMK</t>
  </si>
  <si>
    <t>MAT_KIND</t>
  </si>
  <si>
    <t>MAT_CLSBY_B_CD</t>
  </si>
  <si>
    <t>MAT_CLSBY_S_CD</t>
  </si>
  <si>
    <t>T_SIZE_SPEC</t>
  </si>
  <si>
    <t>PUSE_PART</t>
  </si>
  <si>
    <t>T_PARTT_STOR_INFO</t>
  </si>
  <si>
    <t>CT_STYLE</t>
  </si>
  <si>
    <t>SEQN</t>
  </si>
  <si>
    <t>EXPR_DT_UPT_REASON</t>
  </si>
  <si>
    <t>COLOR_CD</t>
  </si>
  <si>
    <t>CT_STYLE_SIZE</t>
  </si>
  <si>
    <t>SIZE_CD</t>
  </si>
  <si>
    <t>(1)</t>
  </si>
  <si>
    <t>VARCHAR2(8)</t>
  </si>
  <si>
    <t>EditDate</t>
  </si>
  <si>
    <t>VARCHAR2(10)</t>
  </si>
  <si>
    <t>브랜드</t>
  </si>
  <si>
    <t>VARCHAR2(20)</t>
  </si>
  <si>
    <t>ComboBox</t>
  </si>
  <si>
    <t>서브브랜드</t>
  </si>
  <si>
    <t>품종코드</t>
  </si>
  <si>
    <t>VARCHAR2(50)</t>
  </si>
  <si>
    <t>성별코드</t>
  </si>
  <si>
    <t>SEX(SEX_CLSBY)</t>
  </si>
  <si>
    <t>제품구분</t>
  </si>
  <si>
    <t>LINE</t>
  </si>
  <si>
    <t>상품 CLASS</t>
  </si>
  <si>
    <t>원단소재</t>
  </si>
  <si>
    <t>원단SPEC</t>
  </si>
  <si>
    <t>VARCHAR2(200)</t>
  </si>
  <si>
    <t>혼용률</t>
  </si>
  <si>
    <t>MD사번</t>
  </si>
  <si>
    <t>VARCHAR2(14)</t>
  </si>
  <si>
    <t>소비자가확정일자</t>
  </si>
  <si>
    <t>CSUMR_PRICE_CNFM_DT</t>
  </si>
  <si>
    <t>디자이너사번</t>
  </si>
  <si>
    <t>택발주일자</t>
  </si>
  <si>
    <t>신축성</t>
  </si>
  <si>
    <t>비침</t>
  </si>
  <si>
    <t>안감</t>
  </si>
  <si>
    <t>온라인 카테고리</t>
  </si>
  <si>
    <t>제품명</t>
  </si>
  <si>
    <t>기획년도</t>
  </si>
  <si>
    <t>VARCHAR2(4)</t>
  </si>
  <si>
    <t>제품유형구분</t>
  </si>
  <si>
    <t>보안택여부</t>
  </si>
  <si>
    <t>CHAR(1)</t>
  </si>
  <si>
    <t>시즌코드</t>
  </si>
  <si>
    <t>상품 중분류</t>
  </si>
  <si>
    <t>원산지구분</t>
  </si>
  <si>
    <t>수입여부</t>
  </si>
  <si>
    <t>납기요청일자</t>
  </si>
  <si>
    <t>납기변경사유</t>
  </si>
  <si>
    <t>납기변경상세사유</t>
  </si>
  <si>
    <t>소비자가</t>
  </si>
  <si>
    <t>Packing Type</t>
  </si>
  <si>
    <t>한글제품명(온라인)</t>
  </si>
  <si>
    <t>어패럴타입</t>
  </si>
  <si>
    <t>APPAREL_TYPE</t>
  </si>
  <si>
    <t>카테고리</t>
  </si>
  <si>
    <t>프로그램</t>
  </si>
  <si>
    <t>유통사입구분</t>
  </si>
  <si>
    <t>Budget형태</t>
  </si>
  <si>
    <t>분할입고</t>
  </si>
  <si>
    <t>VARCHAR2(1)</t>
  </si>
  <si>
    <t>Radio</t>
  </si>
  <si>
    <t>소재타입</t>
  </si>
  <si>
    <t>FABRIC_TYPE</t>
  </si>
  <si>
    <t>컬러타입</t>
  </si>
  <si>
    <t>핏</t>
  </si>
  <si>
    <t>FIT</t>
  </si>
  <si>
    <t>런칭일자</t>
  </si>
  <si>
    <t>ESTM_SALE_START_DT</t>
  </si>
  <si>
    <t>판매주수</t>
  </si>
  <si>
    <t>판매마감일</t>
  </si>
  <si>
    <t>ESTM_SALE_END_DT</t>
  </si>
  <si>
    <t>기간목표판매율</t>
  </si>
  <si>
    <t>GOAL_SALE_RATE</t>
  </si>
  <si>
    <t>화면 - DB 매핑표</t>
    <phoneticPr fontId="2" type="noConversion"/>
  </si>
  <si>
    <t>T_SHOP_BRD</t>
    <phoneticPr fontId="2" type="noConversion"/>
  </si>
  <si>
    <t>상위조직</t>
    <phoneticPr fontId="2" type="noConversion"/>
  </si>
  <si>
    <t>브랜드</t>
    <phoneticPr fontId="2" type="noConversion"/>
  </si>
  <si>
    <t>브랜드명</t>
    <phoneticPr fontId="2" type="noConversion"/>
  </si>
  <si>
    <t>사용여부</t>
    <phoneticPr fontId="2" type="noConversion"/>
  </si>
  <si>
    <t>최종여부</t>
    <phoneticPr fontId="2" type="noConversion"/>
  </si>
  <si>
    <t>비고</t>
    <phoneticPr fontId="2" type="noConversion"/>
  </si>
  <si>
    <t>파일넘버 바이어코드</t>
    <phoneticPr fontId="2" type="noConversion"/>
  </si>
  <si>
    <t>정렬순서</t>
    <phoneticPr fontId="2" type="noConversion"/>
  </si>
  <si>
    <t>BRD_CD</t>
    <phoneticPr fontId="2" type="noConversion"/>
  </si>
  <si>
    <t>USE_YN</t>
    <phoneticPr fontId="2" type="noConversion"/>
  </si>
  <si>
    <t>SELECT</t>
  </si>
  <si>
    <t>  BRD_CD brdCd,</t>
  </si>
  <si>
    <t>  COMPY_CD compyCd,</t>
  </si>
  <si>
    <t>  (</t>
  </si>
  <si>
    <r>
      <t xml:space="preserve">    </t>
    </r>
    <r>
      <rPr>
        <sz val="11"/>
        <color rgb="FF0000FF"/>
        <rFont val="Consolas"/>
        <family val="3"/>
      </rPr>
      <t>SELECT</t>
    </r>
  </si>
  <si>
    <r>
      <t xml:space="preserve">    </t>
    </r>
    <r>
      <rPr>
        <sz val="11"/>
        <color rgb="FF0000FF"/>
        <rFont val="Consolas"/>
        <family val="3"/>
      </rPr>
      <t>FROM</t>
    </r>
  </si>
  <si>
    <r>
      <t xml:space="preserve">    </t>
    </r>
    <r>
      <rPr>
        <sz val="11"/>
        <color rgb="FF0000FF"/>
        <rFont val="Consolas"/>
        <family val="3"/>
      </rPr>
      <t>WHERE</t>
    </r>
  </si>
  <si>
    <r>
      <t xml:space="preserve">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LANG_CLSBY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'ko'</t>
    </r>
  </si>
  <si>
    <t>  COMN_CLSBY comnClsby,</t>
  </si>
  <si>
    <t>  PARENT_BRD_CD parentBrdCd,</t>
  </si>
  <si>
    <t>      CD_NM</t>
  </si>
  <si>
    <t>      T_BRD</t>
  </si>
  <si>
    <t>  USE_YN useYn,</t>
  </si>
  <si>
    <t>  INS_DAY insDay,</t>
  </si>
  <si>
    <t>  INS_USERID insUserid,</t>
  </si>
  <si>
    <t>  UPT_DAY uptDay,</t>
  </si>
  <si>
    <t>  UPT_USERID uptUserid,</t>
  </si>
  <si>
    <t>  ATTR1 attr1,</t>
  </si>
  <si>
    <t>  ATTR2 attr2,</t>
  </si>
  <si>
    <t>  ATTR3 attr3,</t>
  </si>
  <si>
    <t>  ATTR4 attr4,</t>
  </si>
  <si>
    <t>  ATTR5 attr5,</t>
  </si>
  <si>
    <t>FROM</t>
  </si>
  <si>
    <t>WHERE</t>
  </si>
  <si>
    <r>
      <t xml:space="preserve"> 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098658"/>
        <rFont val="Consolas"/>
        <family val="3"/>
      </rPr>
      <t>1</t>
    </r>
  </si>
  <si>
    <t>-</t>
    <phoneticPr fontId="2" type="noConversion"/>
  </si>
  <si>
    <t xml:space="preserve">AS-IS 화면 조회 SQL </t>
    <phoneticPr fontId="2" type="noConversion"/>
  </si>
  <si>
    <t>-</t>
    <phoneticPr fontId="2" type="noConversion"/>
  </si>
  <si>
    <t>T_BRD</t>
    <phoneticPr fontId="2" type="noConversion"/>
  </si>
  <si>
    <t>  BRD_NM brdNm,</t>
  </si>
  <si>
    <t>  PARENT_BRD_CD parentBrdCd</t>
  </si>
  <si>
    <t>  V_BRD</t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</si>
  <si>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COMPY_CD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'A01SSTS'</t>
    </r>
  </si>
  <si>
    <t>  SHOP_ID shopId,</t>
  </si>
  <si>
    <t>  INFMT_SHOP_NM shopNm,</t>
  </si>
  <si>
    <t>  SALE_REG_LIMT_TERM saleRegLimtTerm,</t>
  </si>
  <si>
    <t>  EMP_ID empId,</t>
  </si>
  <si>
    <t>  EMP_NM empNm,</t>
  </si>
  <si>
    <t>  SHOP_TYPE shopType,</t>
  </si>
  <si>
    <t>  SHOP_FORM shopForm,</t>
  </si>
  <si>
    <t>  INS_USER_NM insUserNm,</t>
  </si>
  <si>
    <t>  UPT_USER_NM uptUserNm,</t>
  </si>
  <si>
    <t>  MNG_EMP_ID mngEmpId,</t>
  </si>
  <si>
    <t>  ONLINE_DP_YN onlineDpYn</t>
  </si>
  <si>
    <r>
      <t xml:space="preserve">      </t>
    </r>
    <r>
      <rPr>
        <sz val="11"/>
        <color rgb="FF0000FF"/>
        <rFont val="Consolas"/>
        <family val="3"/>
      </rPr>
      <t>DISTINCT</t>
    </r>
    <r>
      <rPr>
        <sz val="11"/>
        <color rgb="FF000000"/>
        <rFont val="Consolas"/>
        <family val="3"/>
      </rPr>
      <t xml:space="preserve"> A.SHOP_ID,</t>
    </r>
  </si>
  <si>
    <t>      A.SHOP_NM INFMT_SHOP_NM,</t>
  </si>
  <si>
    <t>      A.BRD_CD,</t>
  </si>
  <si>
    <t>      A.BRD_NM,</t>
  </si>
  <si>
    <t>      A.SALE_REG_LIMT_TERM,</t>
  </si>
  <si>
    <t>      A.EMP_ID,</t>
  </si>
  <si>
    <t>      A.EMP_NM,</t>
  </si>
  <si>
    <t>      A.USE_YN,</t>
  </si>
  <si>
    <t>      A.SHOP_TYPE,</t>
  </si>
  <si>
    <t>      A.SHOP_FORM,</t>
  </si>
  <si>
    <t>      A.PARENT_BRD_CD,</t>
  </si>
  <si>
    <t>      A.INS_DAY,</t>
  </si>
  <si>
    <t>      A.INS_USERID,</t>
  </si>
  <si>
    <t>      A.INS_USER_NM,</t>
  </si>
  <si>
    <t>      A.UPT_DAY,</t>
  </si>
  <si>
    <t>      A.UPT_USERID,</t>
  </si>
  <si>
    <t>      A.UPT_USER_NM,</t>
  </si>
  <si>
    <t>      A.COMPY_CD,</t>
  </si>
  <si>
    <t>      A.MNG_EMP_ID,</t>
  </si>
  <si>
    <t>      A.ONLINE_DP_YN</t>
  </si>
  <si>
    <t>      V_SHOP_BRD a,</t>
  </si>
  <si>
    <t>      T_shop b</t>
  </si>
  <si>
    <r>
      <t xml:space="preserve">      a.DSHOP_CLSBY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'C0500'</t>
    </r>
  </si>
  <si>
    <r>
      <t xml:space="preserve">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A.SHOP_ID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B.SHOP_ID</t>
    </r>
  </si>
  <si>
    <r>
      <t xml:space="preserve">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B.ATTR2 </t>
    </r>
    <r>
      <rPr>
        <sz val="11"/>
        <color rgb="FF778899"/>
        <rFont val="Consolas"/>
        <family val="3"/>
      </rPr>
      <t>IS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NULL</t>
    </r>
  </si>
  <si>
    <r>
      <t xml:space="preserve">    </t>
    </r>
    <r>
      <rPr>
        <sz val="11"/>
        <color rgb="FF0000FF"/>
        <rFont val="Consolas"/>
        <family val="3"/>
      </rPr>
      <t>ORDER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BY</t>
    </r>
  </si>
  <si>
    <t>      a.SHOP_ID</t>
  </si>
  <si>
    <t>  ) A</t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</si>
  <si>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A.PARENT_BRD_CD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'A'</t>
    </r>
  </si>
  <si>
    <r>
      <t>ORDER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BY</t>
    </r>
  </si>
  <si>
    <t>  SHOP_ID,</t>
  </si>
  <si>
    <t>  BRD_CD</t>
  </si>
  <si>
    <t>  PRDT_ID prdtId,</t>
  </si>
  <si>
    <t>  PP.PRDT_CD prdtCd,</t>
  </si>
  <si>
    <t>  PP.PRDT_NM prdtNm,</t>
  </si>
  <si>
    <t>  COLOR_CD colorCd,</t>
  </si>
  <si>
    <t>  LOW_PRICE_YN lowPriceYn,</t>
  </si>
  <si>
    <t>  DVID_YN dvidYn,</t>
  </si>
  <si>
    <t>  TDD_DELV_YN tddDelvYn,</t>
  </si>
  <si>
    <t>  DSCT_YN dsctYn,</t>
  </si>
  <si>
    <t>  ENURI_YN enuriYn,</t>
  </si>
  <si>
    <t>  RE_BUY_YN reBuyYn,(</t>
  </si>
  <si>
    <r>
      <t xml:space="preserve">      BRD_CD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PP.BRD_CD</t>
    </r>
  </si>
  <si>
    <t>  ) brdNm,(</t>
  </si>
  <si>
    <r>
      <t xml:space="preserve">      BRD_CD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PP.PARENT_BRD_CD</t>
    </r>
  </si>
  <si>
    <t>  ) parentBrdNm</t>
  </si>
  <si>
    <t>  T_PRDT_PLAN PP,</t>
  </si>
  <si>
    <t>  T_PRDT P</t>
  </si>
  <si>
    <r>
      <t xml:space="preserve">  PP.PRDT_CD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P.PRDT_CD(</t>
    </r>
    <r>
      <rPr>
        <sz val="11"/>
        <color rgb="FF778899"/>
        <rFont val="Consolas"/>
        <family val="3"/>
      </rPr>
      <t>+</t>
    </r>
    <r>
      <rPr>
        <sz val="11"/>
        <color rgb="FF000000"/>
        <rFont val="Consolas"/>
        <family val="3"/>
      </rPr>
      <t>)</t>
    </r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</si>
  <si>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BRD_CD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'AA'</t>
    </r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</si>
  <si>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PARENT_BRD_CD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'A'</t>
    </r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</si>
  <si>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PP.COMPY_CD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'A01SSTS'</t>
    </r>
  </si>
  <si>
    <t>  STOR_F_DT storFDt,</t>
  </si>
  <si>
    <t>  STOR_L_DT storLDt,</t>
  </si>
  <si>
    <t>  STOR_PRE_DT storPreDt,</t>
  </si>
  <si>
    <t>  DELV_F_DT delvFDt,</t>
  </si>
  <si>
    <t>  DELV_L_DT delvLDt,</t>
  </si>
  <si>
    <t>  DELV_PRE_DT delvPreDt,</t>
  </si>
  <si>
    <t>  SALE_F_DT saleFDt,</t>
  </si>
  <si>
    <t>  SALE_L_DT saleLDt,</t>
  </si>
  <si>
    <r>
      <t xml:space="preserve">  NVL(TOT_STOR_QTY,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 totStorQty,</t>
    </r>
  </si>
  <si>
    <r>
      <t xml:space="preserve">  NVL(TOT_DELV_QTY,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 totDelvQty,</t>
    </r>
  </si>
  <si>
    <r>
      <t xml:space="preserve">  NVL(TOT_SALE_QTY,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 totSaleQty,</t>
    </r>
  </si>
  <si>
    <t>  ATTR5 attr5</t>
  </si>
  <si>
    <t>  T_PRDT_DEAL</t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</si>
  <si>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PRDT_ID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'AAR5AB1402NV'</t>
    </r>
  </si>
  <si>
    <t>  PRDT_CD prdtCd,</t>
  </si>
  <si>
    <t>  RE_BUY_YN reBuyYn,</t>
  </si>
  <si>
    <r>
      <t xml:space="preserve">  NVL(FXD_DELV_PRICE,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 fxdDelvPrice,</t>
    </r>
  </si>
  <si>
    <t>  DULL_REG_DT dullRegDt,</t>
  </si>
  <si>
    <t>  SESN_OFF_REGDT sesnOffRegdt,</t>
  </si>
  <si>
    <r>
      <t xml:space="preserve">  NVL(MFAC_L_COST,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 mfacLCost,</t>
    </r>
  </si>
  <si>
    <t>  SHOP_MOVE_YN shopMoveYn,</t>
  </si>
  <si>
    <r>
      <t xml:space="preserve">  NVL(MMAT_F_INFER_COST,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 mmatFInferCost,</t>
    </r>
  </si>
  <si>
    <r>
      <t xml:space="preserve">  NVL(SMAT_F_INFER_COST,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 smatFInferCost,</t>
    </r>
  </si>
  <si>
    <r>
      <t xml:space="preserve">  NVL(PPRCS_F_INFER_COST,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 pprcsFInferCost,</t>
    </r>
  </si>
  <si>
    <r>
      <t xml:space="preserve">  NVL(MMAT_S_INFER_COST,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 mmatSInferCost,</t>
    </r>
  </si>
  <si>
    <r>
      <t xml:space="preserve">  NVL(SMAT_S_INFER_COST,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 smatSInferCOST,</t>
    </r>
  </si>
  <si>
    <r>
      <t xml:space="preserve">  NVL(PPRCS_S_INFER_COST,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 pprcsSInferCost,</t>
    </r>
  </si>
  <si>
    <r>
      <t xml:space="preserve">  NVL(ETC_S_INFER_COST,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 etcSInferCost,</t>
    </r>
  </si>
  <si>
    <r>
      <t xml:space="preserve">  NVL(RNDS_COST,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 rndsCost,</t>
    </r>
  </si>
  <si>
    <r>
      <t xml:space="preserve">  NVL(CSUMR_F_INFER_PRICE,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 csumrFInferPrice,</t>
    </r>
  </si>
  <si>
    <r>
      <t xml:space="preserve">  NVL(CSUMR_S_INFER_PRICE,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 csumrSInferPrice,</t>
    </r>
  </si>
  <si>
    <t>  PRDT_IMG_URL prdtImg,</t>
  </si>
  <si>
    <t>  DELV_STOP_YN delvStopYn,</t>
  </si>
  <si>
    <t>  SALE_STOP_YN saleStopYn,</t>
  </si>
  <si>
    <t>  NO_SALE_YN noSaleYn</t>
  </si>
  <si>
    <t>  T_PRDT</t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</si>
  <si>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PRDT_CD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'AAR5AB1402'</t>
    </r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</si>
  <si>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COLOR_CD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'NV'</t>
    </r>
  </si>
  <si>
    <t>- 테이블 : T_SHOP, T_SHOP_BRD, T_EMP</t>
    <phoneticPr fontId="2" type="noConversion"/>
  </si>
  <si>
    <t>T_COMN_CD</t>
    <phoneticPr fontId="2" type="noConversion"/>
  </si>
  <si>
    <t>T_BRD</t>
    <phoneticPr fontId="2" type="noConversion"/>
  </si>
  <si>
    <t>T_WORK_INDC</t>
    <phoneticPr fontId="2" type="noConversion"/>
  </si>
  <si>
    <t>T_STYLE</t>
    <phoneticPr fontId="2" type="noConversion"/>
  </si>
  <si>
    <t>CT_STYLE_SIZE</t>
    <phoneticPr fontId="2" type="noConversion"/>
  </si>
  <si>
    <t>T_MAT_MATSY_INFO</t>
    <phoneticPr fontId="2" type="noConversion"/>
  </si>
  <si>
    <t>T_PARTT_STOR_DETL</t>
    <phoneticPr fontId="2" type="noConversion"/>
  </si>
  <si>
    <t>FONE 주요/참조 테이블 목록</t>
    <phoneticPr fontId="2" type="noConversion"/>
  </si>
  <si>
    <t>FONE 정리 기준</t>
    <phoneticPr fontId="2" type="noConversion"/>
  </si>
  <si>
    <t>AONE 정리 기준</t>
    <phoneticPr fontId="2" type="noConversion"/>
  </si>
  <si>
    <t>AONE 주요/참조 테이블 목록</t>
    <phoneticPr fontId="2" type="noConversion"/>
  </si>
  <si>
    <t>T_COMN_CD</t>
    <phoneticPr fontId="2" type="noConversion"/>
  </si>
  <si>
    <t>T_SHOP_HIST</t>
    <phoneticPr fontId="2" type="noConversion"/>
  </si>
  <si>
    <t>[제품정보 T_PRDT]</t>
    <phoneticPr fontId="2" type="noConversion"/>
  </si>
  <si>
    <t>PRDT_ID</t>
  </si>
  <si>
    <t>제품ID</t>
  </si>
  <si>
    <t>칼라코드</t>
  </si>
  <si>
    <t>TDD_DELV_YN</t>
  </si>
  <si>
    <t>당일배송여부</t>
  </si>
  <si>
    <t>DSCT_YN</t>
  </si>
  <si>
    <t>할인여부</t>
  </si>
  <si>
    <t>FXD_DELV_PRICE</t>
  </si>
  <si>
    <t>고정출고가</t>
  </si>
  <si>
    <t>DULL_REG_DT</t>
  </si>
  <si>
    <t>부진품등록일자</t>
  </si>
  <si>
    <t>SESN_OFF_REGDT</t>
  </si>
  <si>
    <t>시즌off등록일자</t>
  </si>
  <si>
    <t>MFAC_L_COST</t>
  </si>
  <si>
    <t>제조최종원가</t>
  </si>
  <si>
    <t>SHOP_MOVE_YN</t>
  </si>
  <si>
    <t>점간이동여부</t>
  </si>
  <si>
    <t>MMAT_F_INFER_COST</t>
  </si>
  <si>
    <t>원자재1차추정원가</t>
  </si>
  <si>
    <t>SMAT_F_INFER_COST</t>
  </si>
  <si>
    <t>부자재1차추정원가</t>
  </si>
  <si>
    <t>PPRCS_F_INFER_COST</t>
  </si>
  <si>
    <t>임가공1차추정원가</t>
  </si>
  <si>
    <t>MMAT_S_INFER_COST</t>
  </si>
  <si>
    <t>원자재2차추정원가</t>
  </si>
  <si>
    <t>SMAT_S_INFER_COST</t>
  </si>
  <si>
    <t>부자재2차추정원가</t>
  </si>
  <si>
    <t>PPRCS_S_INFER_COST</t>
  </si>
  <si>
    <t>임가공2차추정원가</t>
  </si>
  <si>
    <t>RNDS_COST</t>
  </si>
  <si>
    <t>수불원가</t>
  </si>
  <si>
    <t>CSUMR_F_INFER_PRICE</t>
  </si>
  <si>
    <t>소비자1차추정가</t>
  </si>
  <si>
    <t>CSUMR_S_INFER_PRICE</t>
  </si>
  <si>
    <t>소비자2차추정가</t>
  </si>
  <si>
    <t>PRDT_IMG_URL</t>
  </si>
  <si>
    <t>제품이미지URL</t>
  </si>
  <si>
    <t>제품속성1(라인)</t>
  </si>
  <si>
    <t>제품속성2(재고운영)</t>
  </si>
  <si>
    <t>판매반품정지여부</t>
  </si>
  <si>
    <t>NO_SALE_YN</t>
  </si>
  <si>
    <t>ETC_S_INFER_COST</t>
  </si>
  <si>
    <t>기타2차추정원가</t>
  </si>
  <si>
    <t>TO_CHAR (SYSDATE, 
'YYYYMMDDHH24MISS')</t>
    <phoneticPr fontId="2" type="noConversion"/>
  </si>
  <si>
    <t>[공통 T_COMN_CD]</t>
    <phoneticPr fontId="2" type="noConversion"/>
  </si>
  <si>
    <t>■</t>
    <phoneticPr fontId="2" type="noConversion"/>
  </si>
  <si>
    <t>CD_KEY</t>
  </si>
  <si>
    <t>코드KEY</t>
  </si>
  <si>
    <t>'ko'</t>
  </si>
  <si>
    <t>PARENT_CD</t>
  </si>
  <si>
    <t>모코드</t>
  </si>
  <si>
    <t>CHILD_CD</t>
  </si>
  <si>
    <t>자코드</t>
  </si>
  <si>
    <t>CLF_CLSBY</t>
  </si>
  <si>
    <t>ESP_CSF_CD</t>
  </si>
  <si>
    <t>ESP_DTL_CD</t>
  </si>
  <si>
    <t>REF_CD_KEY</t>
  </si>
  <si>
    <t>REF_CD_KEY_MEMO</t>
  </si>
  <si>
    <t>TO_CHAR (SYSDATE,
 'YYYYMMDDHH24MISS')</t>
    <phoneticPr fontId="2" type="noConversion"/>
  </si>
  <si>
    <t>T_EMP</t>
    <phoneticPr fontId="2" type="noConversion"/>
  </si>
  <si>
    <t>[사원 T_EMP]</t>
    <phoneticPr fontId="2" type="noConversion"/>
  </si>
  <si>
    <t>사원ID</t>
  </si>
  <si>
    <t>사원명한글</t>
  </si>
  <si>
    <t>RESNO</t>
  </si>
  <si>
    <t>주민번호</t>
  </si>
  <si>
    <t>JOB</t>
  </si>
  <si>
    <t>직책</t>
  </si>
  <si>
    <t>RANK</t>
  </si>
  <si>
    <t>직급</t>
  </si>
  <si>
    <t>GRP_ENTE_DT</t>
  </si>
  <si>
    <t>그룹입사일자</t>
  </si>
  <si>
    <t>ENTE_DT</t>
  </si>
  <si>
    <t>입사일자</t>
  </si>
  <si>
    <t>RETIRE_DT</t>
  </si>
  <si>
    <t>'99991231'</t>
  </si>
  <si>
    <t>퇴사일자</t>
  </si>
  <si>
    <t>MYHSE_TEL_NO1</t>
  </si>
  <si>
    <t>자택전화번호1</t>
  </si>
  <si>
    <t>MYHSE_TEL_NO2</t>
  </si>
  <si>
    <t>자택전화번호2</t>
  </si>
  <si>
    <t>MYHSE_TEL_NO3</t>
  </si>
  <si>
    <t>자택전화번호3</t>
  </si>
  <si>
    <t>COMPY_TEL_NO1</t>
  </si>
  <si>
    <t>회사전화번호1</t>
  </si>
  <si>
    <t>COMPY_TEL_NO2</t>
  </si>
  <si>
    <t>회사전화번호2</t>
  </si>
  <si>
    <t>COMPY_TEL_NO3</t>
  </si>
  <si>
    <t>회사전화번호3</t>
  </si>
  <si>
    <t>MTEL_NO1</t>
  </si>
  <si>
    <t>이동전화번호1</t>
  </si>
  <si>
    <t>MTEL_NO2</t>
  </si>
  <si>
    <t>이동전화번호2</t>
  </si>
  <si>
    <t>MTEL_NO3</t>
  </si>
  <si>
    <t>이동전화번호3</t>
  </si>
  <si>
    <t>MYHSE_PSTNO</t>
  </si>
  <si>
    <t>자택우편번호</t>
  </si>
  <si>
    <t>MYHSE_ADDR1</t>
  </si>
  <si>
    <t>자택주소1</t>
  </si>
  <si>
    <t>MYHSE_ADDR2</t>
  </si>
  <si>
    <t>자택주소2</t>
  </si>
  <si>
    <t>EMAIL</t>
  </si>
  <si>
    <t>eMail</t>
  </si>
  <si>
    <t>DEPT_CD</t>
  </si>
  <si>
    <t>부서코드</t>
  </si>
  <si>
    <t>EMP_CLSBY</t>
  </si>
  <si>
    <t>사원구분</t>
  </si>
  <si>
    <t>TO_CHAR (SYSDATE, 
'YYYYMMDDHH24MISS')</t>
  </si>
  <si>
    <t>TO_CHAR (SYSDATE, 
'YYYYMMDDHH24MISS')</t>
    <phoneticPr fontId="2" type="noConversion"/>
  </si>
  <si>
    <t>T_PRDT_PLAN</t>
    <phoneticPr fontId="2" type="noConversion"/>
  </si>
  <si>
    <t>[제품기획 T_PRDT_PLAN]</t>
    <phoneticPr fontId="2" type="noConversion"/>
  </si>
  <si>
    <t>디자이너사번ID</t>
  </si>
  <si>
    <t>MD사번ID</t>
  </si>
  <si>
    <t>PLAN_MFAC_KIND_CLSBY</t>
  </si>
  <si>
    <t>기획생산형태구분</t>
  </si>
  <si>
    <t>DROP_CLSBY</t>
  </si>
  <si>
    <t>Drop구분</t>
  </si>
  <si>
    <t>STRIN_YN</t>
  </si>
  <si>
    <t>사입여부</t>
  </si>
  <si>
    <t>COLC</t>
  </si>
  <si>
    <t>COLLECTION</t>
  </si>
  <si>
    <t>CSUMR_PRICE</t>
  </si>
  <si>
    <t>CSUMR_PRICE_CNFMR</t>
  </si>
  <si>
    <t>소비자가확정자</t>
  </si>
  <si>
    <t>TRANSB_PRDT_CD</t>
  </si>
  <si>
    <t>이체전제품코드</t>
  </si>
  <si>
    <t>제품범위:기획년도 + 시즌코드의 조합</t>
  </si>
  <si>
    <t>공급가정산용 여부</t>
  </si>
  <si>
    <t>예외 제품코드 사용구분(CD_KEY:C587)</t>
  </si>
  <si>
    <t>보안택 부착 여부</t>
  </si>
  <si>
    <t>SAMPLE_BUY_BRD</t>
  </si>
  <si>
    <t>샘플구매브랜드(재고관리브랜드(회계코드 사용))</t>
  </si>
  <si>
    <t>TO_CHAR (SYSDATE, 
'YYYYMMDDHH24MISS')</t>
    <phoneticPr fontId="2" type="noConversion"/>
  </si>
  <si>
    <t>제품유형구분(일반,전략,기획)
- 제품유형에 따라 자동 실판가가 할인 처리 됨.</t>
    <phoneticPr fontId="2" type="noConversion"/>
  </si>
  <si>
    <t>T_PRDT_DEAL</t>
    <phoneticPr fontId="2" type="noConversion"/>
  </si>
  <si>
    <t>[제품거래정보 T_PRDT_DEAL]</t>
    <phoneticPr fontId="2" type="noConversion"/>
  </si>
  <si>
    <t>입고최초일자</t>
  </si>
  <si>
    <t>STOR_L_DT</t>
  </si>
  <si>
    <t>입고최종일자</t>
  </si>
  <si>
    <t>STOR_PRE_DT</t>
  </si>
  <si>
    <t>입고예정일자</t>
  </si>
  <si>
    <t>DELV_F_DT</t>
  </si>
  <si>
    <t>출고최초일자</t>
  </si>
  <si>
    <t>DELV_L_DT</t>
  </si>
  <si>
    <t>출고최종일자</t>
  </si>
  <si>
    <t>DELV_PRE_DT</t>
  </si>
  <si>
    <t>출고예정일자</t>
  </si>
  <si>
    <t>SALE_F_DT</t>
  </si>
  <si>
    <t>판매최초일자</t>
  </si>
  <si>
    <t>SALE_L_DT</t>
  </si>
  <si>
    <t>판매최종일자</t>
  </si>
  <si>
    <t>TOT_STOR_QTY</t>
  </si>
  <si>
    <t>총입고수량</t>
  </si>
  <si>
    <t>TOT_DELV_QTY</t>
  </si>
  <si>
    <t>총출고수량</t>
  </si>
  <si>
    <t>TOT_SALE_QTY</t>
  </si>
  <si>
    <t>총판매수량</t>
  </si>
  <si>
    <t>최저 판매가</t>
  </si>
  <si>
    <t>속성2</t>
  </si>
  <si>
    <t>[매장브랜드 T_SHOP_BRD]</t>
    <phoneticPr fontId="2" type="noConversion"/>
  </si>
  <si>
    <t>MNG_PARENT_BRD_CD</t>
  </si>
  <si>
    <t>상위브랜드</t>
  </si>
  <si>
    <t>판매등록제한기한</t>
  </si>
  <si>
    <t>[매장이력 T_SHOP_HIST]</t>
    <phoneticPr fontId="2" type="noConversion"/>
  </si>
  <si>
    <t>SEQ</t>
  </si>
  <si>
    <t>순번</t>
  </si>
  <si>
    <t>IMC여부</t>
  </si>
  <si>
    <t>매장형태</t>
  </si>
  <si>
    <t>CHG_RESN</t>
  </si>
  <si>
    <t>변경사유</t>
  </si>
  <si>
    <t>SHOP_REG_CLSBY_YN</t>
  </si>
  <si>
    <t>VARCHAR2 (20 Byte)</t>
    <phoneticPr fontId="2" type="noConversion"/>
  </si>
  <si>
    <t>TO_CHAR (SYSDATE, 
'YYYYMMDDHH24MISS')</t>
    <phoneticPr fontId="2" type="noConversion"/>
  </si>
  <si>
    <t>T_PRDT_KIND</t>
    <phoneticPr fontId="2" type="noConversion"/>
  </si>
  <si>
    <t>PARENT_PRDT_KIND_CD</t>
  </si>
  <si>
    <t>상위품종코드</t>
  </si>
  <si>
    <t>CAT</t>
  </si>
  <si>
    <t>제품유형구분(일반,전략,기획)
 - 제품유형에 따라 자동 실판가가 할인 처리 됨.</t>
    <phoneticPr fontId="2" type="noConversion"/>
  </si>
  <si>
    <t>T_PRDT_TAG_ORDER</t>
    <phoneticPr fontId="2" type="noConversion"/>
  </si>
  <si>
    <t>ORDER_DT</t>
  </si>
  <si>
    <t>택발주일</t>
  </si>
  <si>
    <t>PRDT_CD</t>
    <phoneticPr fontId="2" type="noConversion"/>
  </si>
  <si>
    <t>T_PRDT_PROP</t>
    <phoneticPr fontId="2" type="noConversion"/>
  </si>
  <si>
    <t>[제품속성 T_PRDT_PROP]</t>
    <phoneticPr fontId="2" type="noConversion"/>
  </si>
  <si>
    <t>어패럴타입:C53208</t>
  </si>
  <si>
    <t>카테고리:C53208XX</t>
  </si>
  <si>
    <t>프로그램:C53208XXXX</t>
  </si>
  <si>
    <t>소재타입:C53205</t>
  </si>
  <si>
    <t>컬러타입:C53212</t>
  </si>
  <si>
    <t>핏:C53216</t>
  </si>
  <si>
    <t>FIBER1</t>
  </si>
  <si>
    <t>원사1:C53203</t>
  </si>
  <si>
    <t>FIBER2</t>
  </si>
  <si>
    <t>원사2:C53203</t>
  </si>
  <si>
    <t>FIBER3</t>
  </si>
  <si>
    <t>원사3:C53203</t>
  </si>
  <si>
    <t>FIBER4</t>
  </si>
  <si>
    <t>원사4:C53203</t>
  </si>
  <si>
    <t>FABRICATION</t>
  </si>
  <si>
    <t>소재조직:C53207</t>
  </si>
  <si>
    <t>FABRIC_FINISH</t>
  </si>
  <si>
    <t>소재가공:C53215</t>
  </si>
  <si>
    <t>WEIGHT</t>
  </si>
  <si>
    <t>중량대:C53204</t>
  </si>
  <si>
    <t>NECK</t>
  </si>
  <si>
    <t>넥:C53202</t>
  </si>
  <si>
    <t>FRONT</t>
  </si>
  <si>
    <t>프론트:C53213</t>
  </si>
  <si>
    <t>SLEEVE</t>
  </si>
  <si>
    <t>슬리브:C53206</t>
  </si>
  <si>
    <t>WAIST</t>
  </si>
  <si>
    <t>웨이스트:C53211</t>
  </si>
  <si>
    <t>LENGTH</t>
  </si>
  <si>
    <t>길이:C53201</t>
  </si>
  <si>
    <t>OTHER_DETAIL</t>
  </si>
  <si>
    <t>기타 디테일:C53210</t>
  </si>
  <si>
    <t>GARMENT_FINISH</t>
  </si>
  <si>
    <t>제품 후가공:C53214</t>
  </si>
  <si>
    <t>LINNING</t>
  </si>
  <si>
    <t>충전재:C53209</t>
  </si>
  <si>
    <t>ONLINE_CTG1</t>
  </si>
  <si>
    <t>ONLINE_CTG2</t>
  </si>
  <si>
    <t>ONLINE_CTG3</t>
  </si>
  <si>
    <t>ONLINE_CTG4</t>
  </si>
  <si>
    <t>CT_STYLE</t>
    <phoneticPr fontId="2" type="noConversion"/>
  </si>
  <si>
    <t>STYLE_ID</t>
  </si>
  <si>
    <t>스타일번호</t>
  </si>
  <si>
    <t>STYLE_HIST_SEQ</t>
  </si>
  <si>
    <t>차수</t>
  </si>
  <si>
    <t>MFAC_INDC_PRCSR_EMP_ID</t>
  </si>
  <si>
    <t>생산지시처리사번ID</t>
  </si>
  <si>
    <t>EXPR_DT</t>
  </si>
  <si>
    <t>납기일자</t>
  </si>
  <si>
    <t>TECH_GUID_DT</t>
  </si>
  <si>
    <t>기술지도일자</t>
  </si>
  <si>
    <t>CUT_PRE_DT</t>
  </si>
  <si>
    <t>재단예정일자</t>
  </si>
  <si>
    <t>CUT_DT</t>
  </si>
  <si>
    <t>재단일자</t>
  </si>
  <si>
    <t>CUT_QTY</t>
  </si>
  <si>
    <t>재단수량</t>
  </si>
  <si>
    <t>SEW_PRE_DT</t>
  </si>
  <si>
    <t>봉제예정일자</t>
  </si>
  <si>
    <t>SEW_DT</t>
  </si>
  <si>
    <t>봉제일자</t>
  </si>
  <si>
    <t>SEW_QTY</t>
  </si>
  <si>
    <t>봉제수량</t>
  </si>
  <si>
    <t>CMPL_PRE_DT</t>
  </si>
  <si>
    <t>완성예정일자</t>
  </si>
  <si>
    <t>CMPL_DT</t>
  </si>
  <si>
    <t>완성일자</t>
  </si>
  <si>
    <t>CMPL_QTY</t>
  </si>
  <si>
    <t>완성수량</t>
  </si>
  <si>
    <t>MFAC_CMPL_PRE_DT</t>
  </si>
  <si>
    <t>생산완료예정일자</t>
  </si>
  <si>
    <t>MFAC_CMPL_DT</t>
  </si>
  <si>
    <t>생산완료일자</t>
  </si>
  <si>
    <t>MFAC_CMPL_QTY</t>
  </si>
  <si>
    <t>생산완료수량</t>
  </si>
  <si>
    <t>MFAC_TEAM_MEMO</t>
  </si>
  <si>
    <t>VARCHAR2 (2000 Byte)</t>
  </si>
  <si>
    <t>생산팀메모</t>
  </si>
  <si>
    <t>MFAC_PARTY_MEMO</t>
  </si>
  <si>
    <t>생산처메모</t>
  </si>
  <si>
    <t>FBR_CO_NM</t>
  </si>
  <si>
    <t>원단업체명</t>
  </si>
  <si>
    <t>FBR_ORDER_DT</t>
  </si>
  <si>
    <t>원단발주일자</t>
  </si>
  <si>
    <t>FBR_ORDER_QTY</t>
  </si>
  <si>
    <t>원단발주량</t>
  </si>
  <si>
    <t>FBR_STOR_PRE_DT</t>
  </si>
  <si>
    <t>원단입고예정일자</t>
  </si>
  <si>
    <t>FBR_STOR_DT</t>
  </si>
  <si>
    <t>원단입고일자</t>
  </si>
  <si>
    <t>FBR_STOR_QTY</t>
  </si>
  <si>
    <t>원단입고수량</t>
  </si>
  <si>
    <t>PPRCS_UPRICE</t>
  </si>
  <si>
    <t>임가공재단단가</t>
  </si>
  <si>
    <t>MFAC_INDC_CNCL_DT</t>
  </si>
  <si>
    <t>생산지시취소일자</t>
  </si>
  <si>
    <t>MFAC_PLAN_QTY</t>
  </si>
  <si>
    <t>생산계획수량</t>
  </si>
  <si>
    <t>MFAC_INDC_QTY</t>
  </si>
  <si>
    <t>생산지시수량</t>
  </si>
  <si>
    <t>MFAC_INDC_UPRICE</t>
  </si>
  <si>
    <t>생산지시단가</t>
  </si>
  <si>
    <t>MFAC_INDC_PRCS_DT</t>
  </si>
  <si>
    <t>생산지시처리일자</t>
  </si>
  <si>
    <t>MFAC_INDC_DT</t>
  </si>
  <si>
    <t>생산지시일자</t>
  </si>
  <si>
    <t>RE_PRCS_PRE_DT</t>
  </si>
  <si>
    <t>재가공예정일자</t>
  </si>
  <si>
    <t>RE_PRCS_DT</t>
  </si>
  <si>
    <t>재가공일자</t>
  </si>
  <si>
    <t>STOR_ABLE_DT</t>
  </si>
  <si>
    <t>입고가능일자</t>
  </si>
  <si>
    <t>STOR_ABLE_QTY</t>
  </si>
  <si>
    <t>입고가능수량</t>
  </si>
  <si>
    <t>입고수량</t>
  </si>
  <si>
    <t>MMAT_MFAC_COST</t>
  </si>
  <si>
    <t>원자재제조원가</t>
  </si>
  <si>
    <t>SMAT_MFAC_COST</t>
  </si>
  <si>
    <t>부자재제조원가</t>
  </si>
  <si>
    <t>PPRCS_MFAC_COST</t>
  </si>
  <si>
    <t>임가공제조원가</t>
  </si>
  <si>
    <t>MFAC_PLAN1_CLSBY</t>
  </si>
  <si>
    <t>제품라이프사이클용생산형태(대분류)</t>
  </si>
  <si>
    <t>MFAC_PLAN2_CLSBY</t>
  </si>
  <si>
    <t>제품라이프사이클용생산형태(소분류)</t>
  </si>
  <si>
    <t>PAY_PLAN_CLSBY</t>
  </si>
  <si>
    <t>제품라이프사이클용결재조건</t>
  </si>
  <si>
    <t>CLM_DSCT_RATE</t>
  </si>
  <si>
    <t>클레임율</t>
  </si>
  <si>
    <t>EXPR_DT_UPT_REASON_DTL</t>
  </si>
  <si>
    <t>TO_CHAR (SYSDATE, 
'YYYYMMDDHH24MISS')</t>
    <phoneticPr fontId="2" type="noConversion"/>
  </si>
  <si>
    <t>TO_CHAR(SYSDATE,
'YYYYMMDDHH24MISS')</t>
    <phoneticPr fontId="2" type="noConversion"/>
  </si>
  <si>
    <t>[스타일정보HISTORY CT_STYLE]</t>
    <phoneticPr fontId="2" type="noConversion"/>
  </si>
  <si>
    <t>임가공재단단가 =&gt; 공임단가(결재3단계)</t>
  </si>
  <si>
    <t>생산지시단가 =&gt; 공임 네고금액</t>
  </si>
  <si>
    <t>판매등록 우선순위</t>
  </si>
  <si>
    <t>[스타일정보 T_STYLE]</t>
    <phoneticPr fontId="2" type="noConversion"/>
  </si>
  <si>
    <t>컬럼명</t>
    <phoneticPr fontId="2" type="noConversion"/>
  </si>
  <si>
    <t>사이즈코드</t>
  </si>
  <si>
    <t>CNCL_DT</t>
  </si>
  <si>
    <t>취소일자</t>
  </si>
  <si>
    <t>CNCLR_EMP_ID</t>
  </si>
  <si>
    <t>취소자사번</t>
  </si>
  <si>
    <t>HS_CODE</t>
  </si>
  <si>
    <t>DUTY_RATE</t>
  </si>
  <si>
    <t>[스타일사이즈정보 CT_STYLE_SIZE]</t>
    <phoneticPr fontId="2" type="noConversion"/>
  </si>
  <si>
    <t>생산계획수량</t>
    <phoneticPr fontId="2" type="noConversion"/>
  </si>
  <si>
    <t>[자재사양정보 T_MAT_MATSY_INFO]</t>
    <phoneticPr fontId="2" type="noConversion"/>
  </si>
  <si>
    <t>자재코드</t>
  </si>
  <si>
    <t>MAT_NM</t>
  </si>
  <si>
    <t>자재명</t>
  </si>
  <si>
    <t>MAT_CLSBY_CD</t>
  </si>
  <si>
    <t>자재구분</t>
  </si>
  <si>
    <t>자재종류</t>
  </si>
  <si>
    <t>MAT_COLOR</t>
  </si>
  <si>
    <t>자재칼라</t>
  </si>
  <si>
    <t>USE_PART</t>
  </si>
  <si>
    <t>사용부위</t>
  </si>
  <si>
    <t>규격</t>
  </si>
  <si>
    <t>단위</t>
  </si>
  <si>
    <t>STAN_UQOF</t>
  </si>
  <si>
    <t>표준요척</t>
  </si>
  <si>
    <t>NUMBER (20,4)</t>
  </si>
  <si>
    <t>실요척</t>
  </si>
  <si>
    <t>QTY</t>
  </si>
  <si>
    <t>수량</t>
  </si>
  <si>
    <t>STAN_NEED_QTY</t>
  </si>
  <si>
    <t>표준소요량</t>
  </si>
  <si>
    <t>REAL_NEED_QTY</t>
  </si>
  <si>
    <t>실소요량</t>
  </si>
  <si>
    <t>자재메모</t>
  </si>
  <si>
    <t>MAT_BOOK_CD</t>
  </si>
  <si>
    <t>원단 PART 구분코드</t>
  </si>
  <si>
    <t>원단 PART 매핑 구분코드</t>
  </si>
  <si>
    <t>부자재분류(대)</t>
  </si>
  <si>
    <t>부자재분류(소)</t>
  </si>
  <si>
    <t>[사이즈스펙 T_SIZE_SPEC]</t>
    <phoneticPr fontId="2" type="noConversion"/>
  </si>
  <si>
    <t>파트사용부위</t>
  </si>
  <si>
    <t>SIZE_SPEC</t>
  </si>
  <si>
    <t>사이즈스펙</t>
  </si>
  <si>
    <t>TO_CHAR(SYSDATE,
'YYYYMMDDHH24MISS')</t>
    <phoneticPr fontId="2" type="noConversion"/>
  </si>
  <si>
    <t>LGIC_FILE_NM</t>
  </si>
  <si>
    <t>논리파일명</t>
  </si>
  <si>
    <t>PGIC_FILE_NM</t>
  </si>
  <si>
    <t>물리파일명</t>
  </si>
  <si>
    <t>FILE_PATH</t>
  </si>
  <si>
    <t>파일경로</t>
  </si>
  <si>
    <t>PRT_YN</t>
  </si>
  <si>
    <t>PRDT_CD</t>
    <phoneticPr fontId="2" type="noConversion"/>
  </si>
  <si>
    <t>[작업지시서 첨부파일 T_WORK_INDC_APND_FILE]</t>
    <phoneticPr fontId="2" type="noConversion"/>
  </si>
  <si>
    <t>VARCHAR2 (300 Byte)</t>
  </si>
  <si>
    <t>PARTT_SEQN</t>
  </si>
  <si>
    <t>분할 차수</t>
  </si>
  <si>
    <t>PARTT_INDC_QTY</t>
  </si>
  <si>
    <t>분할지시수량</t>
  </si>
  <si>
    <t>PARTT_STOR_REQ_DT</t>
  </si>
  <si>
    <t>분할입고일자</t>
  </si>
  <si>
    <t>PARTT_STOR_RATE</t>
  </si>
  <si>
    <t>분할입고율</t>
  </si>
  <si>
    <t>[분할입고정보 T_PARTT_STOR_INFO]</t>
    <phoneticPr fontId="2" type="noConversion"/>
  </si>
  <si>
    <t>TO_CHAR (SYSDATE,
 'YYYYMMDDHH24MISS')</t>
    <phoneticPr fontId="2" type="noConversion"/>
  </si>
  <si>
    <t>설명</t>
    <phoneticPr fontId="2" type="noConversion"/>
  </si>
  <si>
    <t>[분할입고정보_상세 T_PARTT_STOR_DETL]</t>
    <phoneticPr fontId="2" type="noConversion"/>
  </si>
  <si>
    <t>TO_CHAR (SYSDATE, 'YYYYMMDDHH24MISS')</t>
    <phoneticPr fontId="2" type="noConversion"/>
  </si>
  <si>
    <t>T_PARTT_STOR_INFO</t>
    <phoneticPr fontId="2" type="noConversion"/>
  </si>
  <si>
    <t>T_WORK_INDC_MEMO</t>
    <phoneticPr fontId="2" type="noConversion"/>
  </si>
  <si>
    <t>T_WORK_INDC_APND_FILE</t>
    <phoneticPr fontId="2" type="noConversion"/>
  </si>
  <si>
    <t>T_SIZE_SPEC</t>
    <phoneticPr fontId="2" type="noConversion"/>
  </si>
  <si>
    <t>TO_CHAR (SYSDATE, 
 'YYYYMMDDHH24MISS')</t>
    <phoneticPr fontId="2" type="noConversion"/>
  </si>
  <si>
    <t>TO_CHAR (SYSDATE,  
'YYYYMMDDHH24MISS')</t>
    <phoneticPr fontId="2" type="noConversion"/>
  </si>
  <si>
    <t>매출문자 수신여부</t>
  </si>
  <si>
    <t>[제품기획 T_PRDT_PLAN]</t>
    <phoneticPr fontId="2" type="noConversion"/>
  </si>
  <si>
    <t>VARCHAR2 (12 Byte)</t>
  </si>
  <si>
    <t>제품유형구분(일반,전략,기획) 
- 제품유형에 따라 자동 실판가가 할인 처리 됨.</t>
    <phoneticPr fontId="2" type="noConversion"/>
  </si>
  <si>
    <t>[제품거래정보 T_PRDT_DEAL]</t>
    <phoneticPr fontId="2" type="noConversion"/>
  </si>
  <si>
    <t>[매장브랜드정보 T_SHOP_BRD]</t>
    <phoneticPr fontId="2" type="noConversion"/>
  </si>
  <si>
    <t>TO_CHAR (SYSDATE,
 'YYYYMMDDHH24MISS')</t>
    <phoneticPr fontId="2" type="noConversion"/>
  </si>
  <si>
    <t>회계전송용매장코드</t>
  </si>
  <si>
    <t>회계전송용매장구분</t>
  </si>
  <si>
    <t>[매장브랜드정보 T_SHOP_HIST]</t>
    <phoneticPr fontId="2" type="noConversion"/>
  </si>
  <si>
    <t>세금계산서발행구분</t>
  </si>
  <si>
    <t>[품종 T_PRDT_KIND]</t>
    <phoneticPr fontId="2" type="noConversion"/>
  </si>
  <si>
    <t>TO_CHAR (SYSDATE, 
'YYYYMMDDHH24MISS')</t>
    <phoneticPr fontId="2" type="noConversion"/>
  </si>
  <si>
    <t>[제품기획 T_PRDT_PROP]</t>
    <phoneticPr fontId="2" type="noConversion"/>
  </si>
  <si>
    <t>컬럼명</t>
    <phoneticPr fontId="2" type="noConversion"/>
  </si>
  <si>
    <t>TO_CHAR(SYSDATE, 
'YYYYMMDDHH24MISS')</t>
    <phoneticPr fontId="2" type="noConversion"/>
  </si>
  <si>
    <t>[스타일정보HISTORY CT_STYLE]</t>
    <phoneticPr fontId="2" type="noConversion"/>
  </si>
  <si>
    <t>[스타일정보 T_STYLE]</t>
    <phoneticPr fontId="2" type="noConversion"/>
  </si>
  <si>
    <t>[스타일사이즈정보 CT_STYLE_SIZE]</t>
    <phoneticPr fontId="2" type="noConversion"/>
  </si>
  <si>
    <t>컬럼명</t>
    <phoneticPr fontId="2" type="noConversion"/>
  </si>
  <si>
    <t>PK</t>
    <phoneticPr fontId="2" type="noConversion"/>
  </si>
  <si>
    <t>[자재사양정보 T_MAT_MATSY_INFO]</t>
    <phoneticPr fontId="2" type="noConversion"/>
  </si>
  <si>
    <t>컬럼명</t>
    <phoneticPr fontId="2" type="noConversion"/>
  </si>
  <si>
    <t>PK</t>
    <phoneticPr fontId="2" type="noConversion"/>
  </si>
  <si>
    <t>[자재사양정보 T_SIZE_SPEC]</t>
    <phoneticPr fontId="2" type="noConversion"/>
  </si>
  <si>
    <t>[작업지시서첨부파일 T_WORK_INDC_APND_FILE]</t>
    <phoneticPr fontId="2" type="noConversion"/>
  </si>
  <si>
    <t>컬럼명</t>
    <phoneticPr fontId="2" type="noConversion"/>
  </si>
  <si>
    <t>[작업지시서메모 T_WORK_INDC_MEMO]</t>
    <phoneticPr fontId="2" type="noConversion"/>
  </si>
  <si>
    <t>컬럼명</t>
    <phoneticPr fontId="2" type="noConversion"/>
  </si>
  <si>
    <t>PK</t>
    <phoneticPr fontId="2" type="noConversion"/>
  </si>
  <si>
    <t>[작업지시서 메모 T_WORK_INDC_MEMO]</t>
    <phoneticPr fontId="2" type="noConversion"/>
  </si>
  <si>
    <t>[분할입고정보 T_PARTT_STOR_INFO]</t>
    <phoneticPr fontId="2" type="noConversion"/>
  </si>
  <si>
    <t>[분할입고정보 T_PARTT_STOR_DETL]</t>
    <phoneticPr fontId="2" type="noConversion"/>
  </si>
  <si>
    <t>컬럼명</t>
    <phoneticPr fontId="2" type="noConversion"/>
  </si>
  <si>
    <t>PK</t>
    <phoneticPr fontId="2" type="noConversion"/>
  </si>
  <si>
    <t>DataGrid</t>
    <phoneticPr fontId="2" type="noConversion"/>
  </si>
  <si>
    <t>TO_CHAR (SYSDATE, 
'YYYYMMDDHH24MISS')</t>
    <phoneticPr fontId="2" type="noConversion"/>
  </si>
  <si>
    <t>[제품품종 T_PRDT_KIND]</t>
    <phoneticPr fontId="2" type="noConversion"/>
  </si>
  <si>
    <t>T_WORK_INDC_MEMO</t>
    <phoneticPr fontId="2" type="noConversion"/>
  </si>
  <si>
    <t>  RE_BUY_CLSBY reBuyClsby,</t>
  </si>
  <si>
    <t>  SHOP_NM shopNm,</t>
  </si>
  <si>
    <t>  SEQ seq,</t>
  </si>
  <si>
    <t>  CHG_RESN chgResn,</t>
  </si>
  <si>
    <r>
      <t xml:space="preserve">    </t>
    </r>
    <r>
      <rPr>
        <sz val="11"/>
        <color rgb="FF0000FF"/>
        <rFont val="Consolas"/>
        <family val="3"/>
      </rPr>
      <t>select</t>
    </r>
  </si>
  <si>
    <t>      emp_nm_kor</t>
  </si>
  <si>
    <r>
      <t xml:space="preserve">    </t>
    </r>
    <r>
      <rPr>
        <sz val="11"/>
        <color rgb="FF0000FF"/>
        <rFont val="Consolas"/>
        <family val="3"/>
      </rPr>
      <t>from</t>
    </r>
  </si>
  <si>
    <t>      v_usr_info</t>
  </si>
  <si>
    <r>
      <t xml:space="preserve">    </t>
    </r>
    <r>
      <rPr>
        <sz val="11"/>
        <color rgb="FF0000FF"/>
        <rFont val="Consolas"/>
        <family val="3"/>
      </rPr>
      <t>where</t>
    </r>
  </si>
  <si>
    <r>
      <t xml:space="preserve">      usr_id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INS_USERID</t>
    </r>
  </si>
  <si>
    <r>
      <t xml:space="preserve">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ROWNUM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098658"/>
        <rFont val="Consolas"/>
        <family val="3"/>
      </rPr>
      <t>1</t>
    </r>
  </si>
  <si>
    <t>  ) insEmpnm,</t>
  </si>
  <si>
    <r>
      <t xml:space="preserve">      usr_id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UPT_USERID</t>
    </r>
  </si>
  <si>
    <t>  ) uptEmpnm,</t>
  </si>
  <si>
    <t>  INFMT_SHOP_NM infmtShopNm,</t>
  </si>
  <si>
    <t>  REPR_NM reprNm,</t>
  </si>
  <si>
    <t>  REPR_RESNO reprResno,</t>
  </si>
  <si>
    <t>  DECODE(</t>
  </si>
  <si>
    <t>    SHOP_TEL_NO1,</t>
  </si>
  <si>
    <r>
      <t xml:space="preserve">    </t>
    </r>
    <r>
      <rPr>
        <sz val="11"/>
        <color rgb="FFFF0000"/>
        <rFont val="Consolas"/>
        <family val="3"/>
      </rPr>
      <t>''</t>
    </r>
    <r>
      <rPr>
        <sz val="11"/>
        <color rgb="FF000000"/>
        <rFont val="Consolas"/>
        <family val="3"/>
      </rPr>
      <t>,</t>
    </r>
  </si>
  <si>
    <r>
      <t xml:space="preserve">    SHOP_TEL_NO1 </t>
    </r>
    <r>
      <rPr>
        <sz val="11"/>
        <color rgb="FF778899"/>
        <rFont val="Consolas"/>
        <family val="3"/>
      </rPr>
      <t>||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'-'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||</t>
    </r>
    <r>
      <rPr>
        <sz val="11"/>
        <color rgb="FF000000"/>
        <rFont val="Consolas"/>
        <family val="3"/>
      </rPr>
      <t xml:space="preserve"> SHOP_TEL_NO2 </t>
    </r>
    <r>
      <rPr>
        <sz val="11"/>
        <color rgb="FF778899"/>
        <rFont val="Consolas"/>
        <family val="3"/>
      </rPr>
      <t>||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'-'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||</t>
    </r>
    <r>
      <rPr>
        <sz val="11"/>
        <color rgb="FF000000"/>
        <rFont val="Consolas"/>
        <family val="3"/>
      </rPr>
      <t xml:space="preserve"> SHOP_TEL_NO3</t>
    </r>
  </si>
  <si>
    <t>  ) shopTelNo1,</t>
  </si>
  <si>
    <t>  SHOP_TEL_NO2 shopTelNo2,</t>
  </si>
  <si>
    <t>  SHOP_TEL_NO3 shopTelNo3,</t>
  </si>
  <si>
    <t>    SHOP_FAX_NO1,</t>
  </si>
  <si>
    <r>
      <t xml:space="preserve">    SHOP_FAX_NO1 </t>
    </r>
    <r>
      <rPr>
        <sz val="11"/>
        <color rgb="FF778899"/>
        <rFont val="Consolas"/>
        <family val="3"/>
      </rPr>
      <t>||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'-'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||</t>
    </r>
    <r>
      <rPr>
        <sz val="11"/>
        <color rgb="FF000000"/>
        <rFont val="Consolas"/>
        <family val="3"/>
      </rPr>
      <t xml:space="preserve"> SHOP_FAX_NO2 </t>
    </r>
    <r>
      <rPr>
        <sz val="11"/>
        <color rgb="FF778899"/>
        <rFont val="Consolas"/>
        <family val="3"/>
      </rPr>
      <t>||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'-'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||</t>
    </r>
    <r>
      <rPr>
        <sz val="11"/>
        <color rgb="FF000000"/>
        <rFont val="Consolas"/>
        <family val="3"/>
      </rPr>
      <t xml:space="preserve"> SHOP_FAX_NO3</t>
    </r>
  </si>
  <si>
    <t>  ) shopFaxNo1,</t>
  </si>
  <si>
    <t>  SHOP_FAX_NO2 shopFaxNo2,</t>
  </si>
  <si>
    <t>  SHOP_FAX_NO3 shopFaxNo3,</t>
  </si>
  <si>
    <t>  ACCO_BRD_CD accoBrdCd,</t>
  </si>
  <si>
    <t>  SHOP_PSTNO shopPstno,</t>
  </si>
  <si>
    <t>  SHOP_ADDR1 shopAddr1,</t>
  </si>
  <si>
    <t>  SHOP_ADDR2 shopAddr2,</t>
  </si>
  <si>
    <t>  EMP_CNT empCnt,</t>
  </si>
  <si>
    <t>  SHOP_RANK_CLSBY shopRankClsby,</t>
  </si>
  <si>
    <t>  DVID_RANK_CLSBY dvidRankClsby,</t>
  </si>
  <si>
    <t>  STRIN_STOCK_MNG_YN strinStockMngYn,</t>
  </si>
  <si>
    <t>  DEPA_BRCH_CD depaBrchCd,</t>
  </si>
  <si>
    <t>  OPEN_DT openDt,</t>
  </si>
  <si>
    <t>  DSHOP_DT dshopDt,</t>
  </si>
  <si>
    <t>  DSHOP_CLSBY dshopClsby,</t>
  </si>
  <si>
    <t>  INTERIOR_DT interiorDt,</t>
  </si>
  <si>
    <t>  AREA area,</t>
  </si>
  <si>
    <t>  PRE_AREA_WDTH preAreaWdth,</t>
  </si>
  <si>
    <t>  GRNT_PRICE grntPrice,</t>
  </si>
  <si>
    <t>  IMC_YN imcYn,</t>
  </si>
  <si>
    <t>  TERMN_NO termnNo,</t>
  </si>
  <si>
    <t>  REAL_REPR_NM realReprNm,</t>
  </si>
  <si>
    <t>  REAL_REPR_RESNO realReprResno,</t>
  </si>
  <si>
    <t>  REAL_REPR_PSTNO realReprPstno,</t>
  </si>
  <si>
    <t>  REAL_REPR_ADDR1 realReprAddr1,</t>
  </si>
  <si>
    <t>  REAL_REPR_ADDR2 realReprAddr2,</t>
  </si>
  <si>
    <t>    REAL_REPR_MYHSE_TEL_NO1,</t>
  </si>
  <si>
    <r>
      <t xml:space="preserve">    REAL_REPR_MYHSE_TEL_NO1 </t>
    </r>
    <r>
      <rPr>
        <sz val="11"/>
        <color rgb="FF778899"/>
        <rFont val="Consolas"/>
        <family val="3"/>
      </rPr>
      <t>||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'-'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||</t>
    </r>
    <r>
      <rPr>
        <sz val="11"/>
        <color rgb="FF000000"/>
        <rFont val="Consolas"/>
        <family val="3"/>
      </rPr>
      <t xml:space="preserve"> REAL_REPR_MYHSE_TEL_NO2 </t>
    </r>
    <r>
      <rPr>
        <sz val="11"/>
        <color rgb="FF778899"/>
        <rFont val="Consolas"/>
        <family val="3"/>
      </rPr>
      <t>||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'-'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||</t>
    </r>
    <r>
      <rPr>
        <sz val="11"/>
        <color rgb="FF000000"/>
        <rFont val="Consolas"/>
        <family val="3"/>
      </rPr>
      <t xml:space="preserve"> REAL_REPR_MYHSE_TEL_NO3</t>
    </r>
  </si>
  <si>
    <t>  ) realReprMyhseTelNo1,</t>
  </si>
  <si>
    <t>  REAL_REPR_MYHSE_TEL_NO2 realReprMyhseTelNo2,</t>
  </si>
  <si>
    <t>  REAL_REPR_MYHSE_TEL_NO3 realReprMyhseTelNo3,</t>
  </si>
  <si>
    <t>  CHKUP_CLSBY chkupClsby,</t>
  </si>
  <si>
    <t>  WETH_AREA_CD wethAreaCd,</t>
  </si>
  <si>
    <t>  EVENT_YN eventYn,</t>
  </si>
  <si>
    <t>  SHOP_ORGN_CD shopOrgnCd,</t>
  </si>
  <si>
    <t>  MNS_STOCK_PERM_CLSBY mnsStockPermClsby,</t>
  </si>
  <si>
    <t>  BSNO bsno,</t>
  </si>
  <si>
    <t>  MGN_CLSBY mgnClsby,</t>
  </si>
  <si>
    <t>  RLEST_GRNT rlestGrnt,</t>
  </si>
  <si>
    <t>  CASH_GRNT cashGrnt,</t>
  </si>
  <si>
    <t>  ETC_GRNT etcGrnt,</t>
  </si>
  <si>
    <t>  INSR insr,</t>
  </si>
  <si>
    <t>  ATTR6 attr6,</t>
  </si>
  <si>
    <t>  ATTR7 attr7,</t>
  </si>
  <si>
    <t>  ATTR8 attr8,</t>
  </si>
  <si>
    <t>      T_COMN_CD</t>
  </si>
  <si>
    <r>
      <t xml:space="preserve">      CD_KEY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A.DEPA_BRCH_CD</t>
    </r>
  </si>
  <si>
    <t>  ) depaBrchNm,</t>
  </si>
  <si>
    <r>
      <t xml:space="preserve">      </t>
    </r>
    <r>
      <rPr>
        <sz val="11"/>
        <color rgb="FFC700C7"/>
        <rFont val="Consolas"/>
        <family val="3"/>
      </rPr>
      <t>COUNT</t>
    </r>
    <r>
      <rPr>
        <sz val="11"/>
        <color rgb="FF000000"/>
        <rFont val="Consolas"/>
        <family val="3"/>
      </rPr>
      <t>(</t>
    </r>
    <r>
      <rPr>
        <sz val="11"/>
        <color rgb="FF778899"/>
        <rFont val="Consolas"/>
        <family val="3"/>
      </rPr>
      <t>*</t>
    </r>
    <r>
      <rPr>
        <sz val="11"/>
        <color rgb="FF000000"/>
        <rFont val="Consolas"/>
        <family val="3"/>
      </rPr>
      <t>)</t>
    </r>
  </si>
  <si>
    <t>      T_SHOP_STOCK</t>
  </si>
  <si>
    <r>
      <t xml:space="preserve">      STOCK_QTY </t>
    </r>
    <r>
      <rPr>
        <sz val="11"/>
        <color rgb="FF778899"/>
        <rFont val="Consolas"/>
        <family val="3"/>
      </rPr>
      <t>&gt;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'0'</t>
    </r>
  </si>
  <si>
    <r>
      <t xml:space="preserve">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SHOP_ID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A.SHOP_ID</t>
    </r>
  </si>
  <si>
    <r>
      <t xml:space="preserve">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MAKE_YYMM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TO_CHAR(SYSDATE, </t>
    </r>
    <r>
      <rPr>
        <sz val="11"/>
        <color rgb="FFFF0000"/>
        <rFont val="Consolas"/>
        <family val="3"/>
      </rPr>
      <t>'YYYYMM'</t>
    </r>
    <r>
      <rPr>
        <sz val="11"/>
        <color rgb="FF000000"/>
        <rFont val="Consolas"/>
        <family val="3"/>
      </rPr>
      <t>)</t>
    </r>
  </si>
  <si>
    <t>  ) shopChk,</t>
  </si>
  <si>
    <r>
      <t xml:space="preserve">      </t>
    </r>
    <r>
      <rPr>
        <sz val="11"/>
        <color rgb="FF0000FF"/>
        <rFont val="Consolas"/>
        <family val="3"/>
      </rPr>
      <t>DISTINCT</t>
    </r>
    <r>
      <rPr>
        <sz val="11"/>
        <color rgb="FF000000"/>
        <rFont val="Consolas"/>
        <family val="3"/>
      </rPr>
      <t xml:space="preserve"> B.BSNO</t>
    </r>
  </si>
  <si>
    <t>      V_SHOP_BRD A,</t>
  </si>
  <si>
    <t>      T_SHOP B</t>
  </si>
  <si>
    <r>
      <t xml:space="preserve">     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098658"/>
        <rFont val="Consolas"/>
        <family val="3"/>
      </rPr>
      <t>1</t>
    </r>
  </si>
  <si>
    <r>
      <t xml:space="preserve">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A.COMPY_CD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B.COMPY_CD</t>
    </r>
  </si>
  <si>
    <r>
      <t xml:space="preserve">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A.SHOP_ID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'AEA037'</t>
    </r>
  </si>
  <si>
    <t>  ) bsno,</t>
  </si>
  <si>
    <t>  TERMN_CLSBY termnClsby,</t>
  </si>
  <si>
    <t>  REFUND_TERMN_ID refundTermnId,</t>
  </si>
  <si>
    <t>  TBILL_ISSUE_CLSBY tbillIssueClsby,</t>
  </si>
  <si>
    <t>  TBILL_ISSUE_WAY tbillIssueWay,</t>
  </si>
  <si>
    <t>  DELV_WORK_GRP delvWorkGrp</t>
  </si>
  <si>
    <t>  T_SHOP_HIST A</t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</si>
  <si>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ATTR2 </t>
    </r>
    <r>
      <rPr>
        <sz val="11"/>
        <color rgb="FF778899"/>
        <rFont val="Consolas"/>
        <family val="3"/>
      </rPr>
      <t>IS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NULL</t>
    </r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</si>
  <si>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SHOP_ID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'AEA037'</t>
    </r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</si>
  <si>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A.SHOP_ID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'AEA037'</t>
    </r>
  </si>
  <si>
    <t>매장정보</t>
    <phoneticPr fontId="2" type="noConversion"/>
  </si>
  <si>
    <t>AS-IS 화면 조회 SQL</t>
    <phoneticPr fontId="2" type="noConversion"/>
  </si>
  <si>
    <t>작업시지등록</t>
    <phoneticPr fontId="2" type="noConversion"/>
  </si>
  <si>
    <t xml:space="preserve">AS-IS 화면 조회 SQL </t>
    <phoneticPr fontId="2" type="noConversion"/>
  </si>
  <si>
    <t>Button</t>
    <phoneticPr fontId="2" type="noConversion"/>
  </si>
  <si>
    <t>제품이미지 저장 버튼</t>
    <phoneticPr fontId="2" type="noConversion"/>
  </si>
  <si>
    <t>VARCHAR2(200)</t>
    <phoneticPr fontId="2" type="noConversion"/>
  </si>
  <si>
    <t>T_PRDT</t>
    <phoneticPr fontId="2" type="noConversion"/>
  </si>
  <si>
    <t>제품이미지 저장 경로</t>
    <phoneticPr fontId="2" type="noConversion"/>
  </si>
  <si>
    <t>EditText</t>
    <phoneticPr fontId="2" type="noConversion"/>
  </si>
  <si>
    <t>NUMBER</t>
    <phoneticPr fontId="2" type="noConversion"/>
  </si>
  <si>
    <t>TOT_SALE_QTY</t>
    <phoneticPr fontId="2" type="noConversion"/>
  </si>
  <si>
    <t>T_PRDT_DEAL</t>
    <phoneticPr fontId="2" type="noConversion"/>
  </si>
  <si>
    <t>총판매수량</t>
    <phoneticPr fontId="2" type="noConversion"/>
  </si>
  <si>
    <t>EditDate</t>
    <phoneticPr fontId="2" type="noConversion"/>
  </si>
  <si>
    <t>VARCHAR2(8)</t>
    <phoneticPr fontId="2" type="noConversion"/>
  </si>
  <si>
    <t>SALE_L_DT</t>
    <phoneticPr fontId="2" type="noConversion"/>
  </si>
  <si>
    <t>판매최종일자</t>
    <phoneticPr fontId="2" type="noConversion"/>
  </si>
  <si>
    <t>SALE_F_DT</t>
    <phoneticPr fontId="2" type="noConversion"/>
  </si>
  <si>
    <t>판매최초일자</t>
    <phoneticPr fontId="2" type="noConversion"/>
  </si>
  <si>
    <t>출고예정일자</t>
    <phoneticPr fontId="2" type="noConversion"/>
  </si>
  <si>
    <t>TOT_DELV_QTY</t>
    <phoneticPr fontId="2" type="noConversion"/>
  </si>
  <si>
    <t>총출고수량</t>
    <phoneticPr fontId="2" type="noConversion"/>
  </si>
  <si>
    <t>DELV_L_DT</t>
    <phoneticPr fontId="2" type="noConversion"/>
  </si>
  <si>
    <t>출고최종일자</t>
    <phoneticPr fontId="2" type="noConversion"/>
  </si>
  <si>
    <t>DELV_F_DT</t>
    <phoneticPr fontId="2" type="noConversion"/>
  </si>
  <si>
    <t>출고최초일자</t>
    <phoneticPr fontId="2" type="noConversion"/>
  </si>
  <si>
    <t>입고예정일자</t>
    <phoneticPr fontId="2" type="noConversion"/>
  </si>
  <si>
    <t>TOT_STOR_QTY</t>
    <phoneticPr fontId="2" type="noConversion"/>
  </si>
  <si>
    <t>총입고수량</t>
    <phoneticPr fontId="2" type="noConversion"/>
  </si>
  <si>
    <t>STOR_L_DT</t>
    <phoneticPr fontId="2" type="noConversion"/>
  </si>
  <si>
    <t>입고최종일자</t>
    <phoneticPr fontId="2" type="noConversion"/>
  </si>
  <si>
    <t>STOR_F_DT</t>
    <phoneticPr fontId="2" type="noConversion"/>
  </si>
  <si>
    <t>입고최초일자</t>
    <phoneticPr fontId="2" type="noConversion"/>
  </si>
  <si>
    <t>클레임율</t>
    <phoneticPr fontId="2" type="noConversion"/>
  </si>
  <si>
    <t>MFAC_L_COST</t>
    <phoneticPr fontId="2" type="noConversion"/>
  </si>
  <si>
    <t>사전원가</t>
    <phoneticPr fontId="2" type="noConversion"/>
  </si>
  <si>
    <t>RNDS_COST</t>
    <phoneticPr fontId="2" type="noConversion"/>
  </si>
  <si>
    <t>사후원가</t>
    <phoneticPr fontId="2" type="noConversion"/>
  </si>
  <si>
    <t>FXD_DELV_PRICE</t>
    <phoneticPr fontId="2" type="noConversion"/>
  </si>
  <si>
    <t>고정출고가</t>
    <phoneticPr fontId="2" type="noConversion"/>
  </si>
  <si>
    <t>(소매가 2차 추정원가 - 합계 2차 추정원가) / 소매가 2차 추정원가 * 100</t>
    <phoneticPr fontId="2" type="noConversion"/>
  </si>
  <si>
    <t>화면 필드로 계산</t>
    <phoneticPr fontId="2" type="noConversion"/>
  </si>
  <si>
    <t>계산 결과</t>
    <phoneticPr fontId="2" type="noConversion"/>
  </si>
  <si>
    <t>추정마진 2차 추정원가</t>
    <phoneticPr fontId="2" type="noConversion"/>
  </si>
  <si>
    <t>(소매가 1차 추정원가 - 합계 1차 추정원가) / 소매가 1차 추정원가 * 100</t>
    <phoneticPr fontId="2" type="noConversion"/>
  </si>
  <si>
    <t>추정마진 1차 추정원가</t>
    <phoneticPr fontId="2" type="noConversion"/>
  </si>
  <si>
    <t>CSUMR_S_INFER_PRICE</t>
    <phoneticPr fontId="2" type="noConversion"/>
  </si>
  <si>
    <t>소매가 2차 추정원가</t>
    <phoneticPr fontId="2" type="noConversion"/>
  </si>
  <si>
    <t>합계 2차 추정원가</t>
    <phoneticPr fontId="2" type="noConversion"/>
  </si>
  <si>
    <t>화면 필드로 계산
MMAT_F_INFER_COST +
SMAT_F_INFER_COST +
PPRCS_F_INFER_COST</t>
    <phoneticPr fontId="2" type="noConversion"/>
  </si>
  <si>
    <t>합계 1차 추정원가</t>
    <phoneticPr fontId="2" type="noConversion"/>
  </si>
  <si>
    <t>기타 2차 추정원가</t>
    <phoneticPr fontId="2" type="noConversion"/>
  </si>
  <si>
    <t>컬럼 매핑값 없음</t>
    <phoneticPr fontId="2" type="noConversion"/>
  </si>
  <si>
    <t>없음</t>
    <phoneticPr fontId="2" type="noConversion"/>
  </si>
  <si>
    <t>-</t>
    <phoneticPr fontId="2" type="noConversion"/>
  </si>
  <si>
    <t>기타 1차 추정원가</t>
    <phoneticPr fontId="2" type="noConversion"/>
  </si>
  <si>
    <t>NUMBER</t>
    <phoneticPr fontId="2" type="noConversion"/>
  </si>
  <si>
    <t>임봉료 2차 추정원가</t>
    <phoneticPr fontId="2" type="noConversion"/>
  </si>
  <si>
    <t>EditText</t>
    <phoneticPr fontId="2" type="noConversion"/>
  </si>
  <si>
    <t>T_PRDT</t>
    <phoneticPr fontId="2" type="noConversion"/>
  </si>
  <si>
    <t>임봉료 1차 추정원가</t>
    <phoneticPr fontId="2" type="noConversion"/>
  </si>
  <si>
    <t>부자재 2차 추정원가</t>
    <phoneticPr fontId="2" type="noConversion"/>
  </si>
  <si>
    <t>부자재 1차 추정원가</t>
    <phoneticPr fontId="2" type="noConversion"/>
  </si>
  <si>
    <t>원자재 2차 추정원가</t>
    <phoneticPr fontId="2" type="noConversion"/>
  </si>
  <si>
    <t>MMAT_F_INFER_COST</t>
    <phoneticPr fontId="2" type="noConversion"/>
  </si>
  <si>
    <t>원자재 1차 추정원가</t>
    <phoneticPr fontId="2" type="noConversion"/>
  </si>
  <si>
    <t>ComboBox</t>
    <phoneticPr fontId="2" type="noConversion"/>
  </si>
  <si>
    <t>VARCHAR2(1)</t>
    <phoneticPr fontId="2" type="noConversion"/>
  </si>
  <si>
    <t>NO_SALE_YN</t>
    <phoneticPr fontId="2" type="noConversion"/>
  </si>
  <si>
    <t>NOSALE여부</t>
    <phoneticPr fontId="2" type="noConversion"/>
  </si>
  <si>
    <t>ComboBox</t>
    <phoneticPr fontId="2" type="noConversion"/>
  </si>
  <si>
    <t>CHAR(1)</t>
    <phoneticPr fontId="2" type="noConversion"/>
  </si>
  <si>
    <t>SHOP_MOVE_YN</t>
    <phoneticPr fontId="2" type="noConversion"/>
  </si>
  <si>
    <t>점간이동여부</t>
    <phoneticPr fontId="2" type="noConversion"/>
  </si>
  <si>
    <t>SALE_STOP_YN</t>
    <phoneticPr fontId="2" type="noConversion"/>
  </si>
  <si>
    <t>판매정지여부</t>
    <phoneticPr fontId="2" type="noConversion"/>
  </si>
  <si>
    <t>CHAR(1)</t>
    <phoneticPr fontId="2" type="noConversion"/>
  </si>
  <si>
    <t>DELV_STOP_YN</t>
    <phoneticPr fontId="2" type="noConversion"/>
  </si>
  <si>
    <t>출고정지여부</t>
    <phoneticPr fontId="2" type="noConversion"/>
  </si>
  <si>
    <t>ENURI_YN</t>
    <phoneticPr fontId="2" type="noConversion"/>
  </si>
  <si>
    <t>에누리여부</t>
    <phoneticPr fontId="2" type="noConversion"/>
  </si>
  <si>
    <t>LOW_PRICE_YN</t>
    <phoneticPr fontId="2" type="noConversion"/>
  </si>
  <si>
    <t>저가여부</t>
    <phoneticPr fontId="2" type="noConversion"/>
  </si>
  <si>
    <t>DSCT_YN</t>
    <phoneticPr fontId="2" type="noConversion"/>
  </si>
  <si>
    <t>할인여부</t>
    <phoneticPr fontId="2" type="noConversion"/>
  </si>
  <si>
    <t>RE_BUY_YN</t>
    <phoneticPr fontId="2" type="noConversion"/>
  </si>
  <si>
    <t>재매입여부</t>
    <phoneticPr fontId="2" type="noConversion"/>
  </si>
  <si>
    <t>DULL_REG_DT</t>
    <phoneticPr fontId="2" type="noConversion"/>
  </si>
  <si>
    <t>부진품 등록일자</t>
    <phoneticPr fontId="2" type="noConversion"/>
  </si>
  <si>
    <t>SESN_OFF_REGDT</t>
    <phoneticPr fontId="2" type="noConversion"/>
  </si>
  <si>
    <t>시즌OFF 등록일자</t>
    <phoneticPr fontId="2" type="noConversion"/>
  </si>
  <si>
    <t>VARCHAR2(20)
VARCHAR2(100)</t>
    <phoneticPr fontId="2" type="noConversion"/>
  </si>
  <si>
    <t>COLOR_CD
COLOR_NM</t>
    <phoneticPr fontId="2" type="noConversion"/>
  </si>
  <si>
    <t>T_PRDT
T_COLOR</t>
    <phoneticPr fontId="2" type="noConversion"/>
  </si>
  <si>
    <t>컬러코드, 컬러명</t>
    <phoneticPr fontId="2" type="noConversion"/>
  </si>
  <si>
    <t>VARCHAR2(10)</t>
    <phoneticPr fontId="2" type="noConversion"/>
  </si>
  <si>
    <t>제품코드</t>
    <phoneticPr fontId="2" type="noConversion"/>
  </si>
  <si>
    <t>ATTR1</t>
    <phoneticPr fontId="2" type="noConversion"/>
  </si>
  <si>
    <t>T_PRDT_PLAN</t>
    <phoneticPr fontId="2" type="noConversion"/>
  </si>
  <si>
    <t>제품유형구분</t>
    <phoneticPr fontId="2" type="noConversion"/>
  </si>
  <si>
    <t>[소비자가확정] 버튼 - 저장시 benit.jd21.model.PrdtPlan.update.CsumPrice</t>
    <phoneticPr fontId="2" type="noConversion"/>
  </si>
  <si>
    <t>EditDate</t>
    <phoneticPr fontId="2" type="noConversion"/>
  </si>
  <si>
    <t>VARCHAR2(8)</t>
    <phoneticPr fontId="2" type="noConversion"/>
  </si>
  <si>
    <t>CSUMR_PRICE_CNFM_DT</t>
    <phoneticPr fontId="2" type="noConversion"/>
  </si>
  <si>
    <t>소비자가 확정일자</t>
    <phoneticPr fontId="2" type="noConversion"/>
  </si>
  <si>
    <t>[소비자가확정] 버튼 - 저장시 benit.jd21.model.PrdtPlan.update.CsumPrice
'- DROP_CLSBY  = C0840 세팅
'- CSUMR_PRICE_CNFMR = USERID 세팅 하여 DB단으로 넘김</t>
    <phoneticPr fontId="2" type="noConversion"/>
  </si>
  <si>
    <t>CSUMR_PRICE</t>
    <phoneticPr fontId="2" type="noConversion"/>
  </si>
  <si>
    <t>T_PRDT_PLAN</t>
    <phoneticPr fontId="2" type="noConversion"/>
  </si>
  <si>
    <t>소비자가</t>
    <phoneticPr fontId="2" type="noConversion"/>
  </si>
  <si>
    <t>VARCHAR2(20)</t>
    <phoneticPr fontId="2" type="noConversion"/>
  </si>
  <si>
    <t>UPT_USERID</t>
    <phoneticPr fontId="2" type="noConversion"/>
  </si>
  <si>
    <t>수정자ID</t>
    <phoneticPr fontId="2" type="noConversion"/>
  </si>
  <si>
    <t>VARCHAR2(14)</t>
    <phoneticPr fontId="2" type="noConversion"/>
  </si>
  <si>
    <t>UPT_DAY</t>
    <phoneticPr fontId="2" type="noConversion"/>
  </si>
  <si>
    <t>수정일시</t>
    <phoneticPr fontId="2" type="noConversion"/>
  </si>
  <si>
    <t>MD_EMP_ID</t>
    <phoneticPr fontId="2" type="noConversion"/>
  </si>
  <si>
    <t>MD사번ID</t>
    <phoneticPr fontId="2" type="noConversion"/>
  </si>
  <si>
    <t>등록자ID</t>
    <phoneticPr fontId="2" type="noConversion"/>
  </si>
  <si>
    <t>VARCHAR2(14)</t>
    <phoneticPr fontId="2" type="noConversion"/>
  </si>
  <si>
    <t>INS_DAY</t>
    <phoneticPr fontId="2" type="noConversion"/>
  </si>
  <si>
    <t>등록일시</t>
    <phoneticPr fontId="2" type="noConversion"/>
  </si>
  <si>
    <t>DESIGN_EMP_ID</t>
    <phoneticPr fontId="2" type="noConversion"/>
  </si>
  <si>
    <t>디자이너사번ID</t>
    <phoneticPr fontId="2" type="noConversion"/>
  </si>
  <si>
    <t>RCPT_YN</t>
    <phoneticPr fontId="2" type="noConversion"/>
  </si>
  <si>
    <t>수입여부</t>
    <phoneticPr fontId="2" type="noConversion"/>
  </si>
  <si>
    <t>STRIN_YN</t>
    <phoneticPr fontId="2" type="noConversion"/>
  </si>
  <si>
    <t>사입여부</t>
    <phoneticPr fontId="2" type="noConversion"/>
  </si>
  <si>
    <t>PLAN_MFAC_KIND_CLSBY</t>
    <phoneticPr fontId="2" type="noConversion"/>
  </si>
  <si>
    <t>기획생산형태구분</t>
    <phoneticPr fontId="2" type="noConversion"/>
  </si>
  <si>
    <t>FBR_MATIERE_CLSBY</t>
    <phoneticPr fontId="2" type="noConversion"/>
  </si>
  <si>
    <t>소재</t>
    <phoneticPr fontId="2" type="noConversion"/>
  </si>
  <si>
    <t>ORGN_CLSBY</t>
    <phoneticPr fontId="2" type="noConversion"/>
  </si>
  <si>
    <t>원산지구분</t>
    <phoneticPr fontId="2" type="noConversion"/>
  </si>
  <si>
    <t>PRDT_CLSBY</t>
    <phoneticPr fontId="2" type="noConversion"/>
  </si>
  <si>
    <t>제품구분</t>
    <phoneticPr fontId="2" type="noConversion"/>
  </si>
  <si>
    <t>SESN_CD</t>
    <phoneticPr fontId="2" type="noConversion"/>
  </si>
  <si>
    <t>시즌코드</t>
    <phoneticPr fontId="2" type="noConversion"/>
  </si>
  <si>
    <t>VARCHAR2(4)</t>
    <phoneticPr fontId="2" type="noConversion"/>
  </si>
  <si>
    <t>기획년도</t>
    <phoneticPr fontId="2" type="noConversion"/>
  </si>
  <si>
    <t>BRD_CD</t>
    <phoneticPr fontId="2" type="noConversion"/>
  </si>
  <si>
    <t>서브브랜드</t>
    <phoneticPr fontId="2" type="noConversion"/>
  </si>
  <si>
    <t>구분</t>
    <phoneticPr fontId="2" type="noConversion"/>
  </si>
  <si>
    <t>VARCHAR2(50)</t>
    <phoneticPr fontId="2" type="noConversion"/>
  </si>
  <si>
    <t>CD_NM</t>
    <phoneticPr fontId="2" type="noConversion"/>
  </si>
  <si>
    <t>T_PRDT_KIND</t>
    <phoneticPr fontId="2" type="noConversion"/>
  </si>
  <si>
    <t>품종명</t>
    <phoneticPr fontId="2" type="noConversion"/>
  </si>
  <si>
    <t>VARCHAR2(20)</t>
    <phoneticPr fontId="2" type="noConversion"/>
  </si>
  <si>
    <t>PRDT_KIND_CD</t>
    <phoneticPr fontId="2" type="noConversion"/>
  </si>
  <si>
    <t>품종코드</t>
    <phoneticPr fontId="2" type="noConversion"/>
  </si>
  <si>
    <t>PARENT_BRD_CD</t>
    <phoneticPr fontId="2" type="noConversion"/>
  </si>
  <si>
    <t>브랜드</t>
    <phoneticPr fontId="2" type="noConversion"/>
  </si>
  <si>
    <t>제품명</t>
    <phoneticPr fontId="2" type="noConversion"/>
  </si>
  <si>
    <t>(2)</t>
    <phoneticPr fontId="2" type="noConversion"/>
  </si>
  <si>
    <t>VARCHAR2(10)</t>
    <phoneticPr fontId="2" type="noConversion"/>
  </si>
  <si>
    <t>PRDT_CD</t>
    <phoneticPr fontId="2" type="noConversion"/>
  </si>
  <si>
    <t>제품코드</t>
    <phoneticPr fontId="2" type="noConversion"/>
  </si>
  <si>
    <t>(1)</t>
    <phoneticPr fontId="2" type="noConversion"/>
  </si>
  <si>
    <t>기타</t>
    <phoneticPr fontId="2" type="noConversion"/>
  </si>
  <si>
    <t>(사용자) 실 사용여부</t>
    <phoneticPr fontId="2" type="noConversion"/>
  </si>
  <si>
    <t>타입</t>
    <phoneticPr fontId="2" type="noConversion"/>
  </si>
  <si>
    <t>필수입력</t>
    <phoneticPr fontId="2" type="noConversion"/>
  </si>
  <si>
    <t>데이터 타입</t>
    <phoneticPr fontId="2" type="noConversion"/>
  </si>
  <si>
    <t>테이블 컬럼명</t>
    <phoneticPr fontId="2" type="noConversion"/>
  </si>
  <si>
    <t>테이블명</t>
    <phoneticPr fontId="2" type="noConversion"/>
  </si>
  <si>
    <t>화면 필드명</t>
    <phoneticPr fontId="2" type="noConversion"/>
  </si>
  <si>
    <t>번호</t>
    <phoneticPr fontId="2" type="noConversion"/>
  </si>
  <si>
    <t>- 테이블 : T_PRDT_PLAN, T_PRDT, T_PRDT_DEAL</t>
    <phoneticPr fontId="2" type="noConversion"/>
  </si>
  <si>
    <t>화면 - DB 매핑표</t>
    <phoneticPr fontId="2" type="noConversion"/>
  </si>
  <si>
    <t>화면 이미지</t>
    <phoneticPr fontId="2" type="noConversion"/>
  </si>
  <si>
    <t>제품정보</t>
    <phoneticPr fontId="2" type="noConversion"/>
  </si>
  <si>
    <t>화면명 :</t>
    <phoneticPr fontId="2" type="noConversion"/>
  </si>
  <si>
    <t>화면-테이블 매핑표</t>
    <phoneticPr fontId="2" type="noConversion"/>
  </si>
  <si>
    <t>매장정보</t>
    <phoneticPr fontId="2" type="noConversion"/>
  </si>
  <si>
    <r>
      <t>WITH</t>
    </r>
    <r>
      <rPr>
        <sz val="11"/>
        <color rgb="FF000000"/>
        <rFont val="Consolas"/>
        <family val="3"/>
      </rPr>
      <t xml:space="preserve"> SIZE_SPEC </t>
    </r>
    <r>
      <rPr>
        <sz val="11"/>
        <color rgb="FF0000FF"/>
        <rFont val="Consolas"/>
        <family val="3"/>
      </rPr>
      <t>AS</t>
    </r>
    <r>
      <rPr>
        <sz val="11"/>
        <color rgb="FF000000"/>
        <rFont val="Consolas"/>
        <family val="3"/>
      </rPr>
      <t xml:space="preserve"> (</t>
    </r>
  </si>
  <si>
    <r>
      <t>WITH</t>
    </r>
    <r>
      <rPr>
        <sz val="11"/>
        <color rgb="FF000000"/>
        <rFont val="Consolas"/>
        <family val="3"/>
      </rPr>
      <t xml:space="preserve"> MAIN </t>
    </r>
    <r>
      <rPr>
        <sz val="11"/>
        <color rgb="FF0000FF"/>
        <rFont val="Consolas"/>
        <family val="3"/>
      </rPr>
      <t>AS</t>
    </r>
    <r>
      <rPr>
        <sz val="11"/>
        <color rgb="FF000000"/>
        <rFont val="Consolas"/>
        <family val="3"/>
      </rPr>
      <t xml:space="preserve"> (</t>
    </r>
  </si>
  <si>
    <t>  STYLE_ID styleId,</t>
  </si>
  <si>
    <t>  A.STYLE_ID styleId,</t>
  </si>
  <si>
    <r>
      <t xml:space="preserve">  </t>
    </r>
    <r>
      <rPr>
        <sz val="11"/>
        <color rgb="FF0000FF"/>
        <rFont val="Consolas"/>
        <family val="3"/>
      </rPr>
      <t>SELECT</t>
    </r>
  </si>
  <si>
    <t>  MFAC_BUY_PARTY_ID mfacBuyPartyId,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</si>
  <si>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(NVL(SUBSTR(A.PCK_NO, </t>
    </r>
    <r>
      <rPr>
        <sz val="11"/>
        <color rgb="FF098658"/>
        <rFont val="Consolas"/>
        <family val="3"/>
      </rPr>
      <t>13</t>
    </r>
    <r>
      <rPr>
        <sz val="11"/>
        <color rgb="FF000000"/>
        <rFont val="Consolas"/>
        <family val="3"/>
      </rPr>
      <t xml:space="preserve">, </t>
    </r>
    <r>
      <rPr>
        <sz val="11"/>
        <color rgb="FF098658"/>
        <rFont val="Consolas"/>
        <family val="3"/>
      </rPr>
      <t>8</t>
    </r>
    <r>
      <rPr>
        <sz val="11"/>
        <color rgb="FF000000"/>
        <rFont val="Consolas"/>
        <family val="3"/>
      </rPr>
      <t xml:space="preserve">),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 xml:space="preserve">)) </t>
    </r>
    <r>
      <rPr>
        <sz val="11"/>
        <color rgb="FF778899"/>
        <rFont val="Consolas"/>
        <family val="3"/>
      </rPr>
      <t>+</t>
    </r>
    <r>
      <rPr>
        <sz val="11"/>
        <color rgb="FF000000"/>
        <rFont val="Consolas"/>
        <family val="3"/>
      </rPr>
      <t xml:space="preserve">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 xml:space="preserve"> PCK_SEQ</t>
    </r>
  </si>
  <si>
    <t>  A.PRDT_CD prdtCd,</t>
  </si>
  <si>
    <t>  A.STYLE_CD styleCd,</t>
  </si>
  <si>
    <t>    PRDT_CD,</t>
  </si>
  <si>
    <t>  MAT_ID matId,</t>
  </si>
  <si>
    <t>  STYLE_SEQN styleSeqn,</t>
  </si>
  <si>
    <t>  MFAC_BUY_ID mfacBuyId,</t>
  </si>
  <si>
    <t>  APPAREL_TYPE apparelType,</t>
  </si>
  <si>
    <t>  SEQN seqn,</t>
  </si>
  <si>
    <t>    PARTT_SEQN,</t>
  </si>
  <si>
    <t>  A.PRDT_NM prdtNm,</t>
  </si>
  <si>
    <t>  A.COLOR_CD colorCd,</t>
  </si>
  <si>
    <t>    STYLE_SEQN,</t>
  </si>
  <si>
    <t>  MAT_NM matNm,</t>
  </si>
  <si>
    <t>  SEQ seqn,</t>
  </si>
  <si>
    <t>  SUPP_PLACE suppPlace,</t>
  </si>
  <si>
    <t>  CATEGORY category,</t>
  </si>
  <si>
    <t>  PARTT_SEQN parttSeqn,</t>
  </si>
  <si>
    <t>    COLOR_CD,</t>
  </si>
  <si>
    <t>  T_ASSORT_PACKING A</t>
  </si>
  <si>
    <t>  A.SEQN seqn,</t>
  </si>
  <si>
    <r>
      <t xml:space="preserve">  A.COLOR_CD </t>
    </r>
    <r>
      <rPr>
        <sz val="11"/>
        <color rgb="FF778899"/>
        <rFont val="Consolas"/>
        <family val="3"/>
      </rPr>
      <t>||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'-'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||</t>
    </r>
    <r>
      <rPr>
        <sz val="11"/>
        <color rgb="FF000000"/>
        <rFont val="Consolas"/>
        <family val="3"/>
      </rPr>
      <t xml:space="preserve">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>(B.CD_NM) colorNm,</t>
    </r>
  </si>
  <si>
    <t>    SEQ,</t>
  </si>
  <si>
    <t>  MAT_CLSBY_CD matClsbyCd,</t>
  </si>
  <si>
    <t>  PEMT pemt</t>
  </si>
  <si>
    <t>  MFAC_KIND_CLSBY mfacKindClsby,</t>
  </si>
  <si>
    <t>  LGIC_FILE_NM lgicFileNm,</t>
  </si>
  <si>
    <t>  PROGRAM program,</t>
  </si>
  <si>
    <t>  PARTT_INDC_QTY parttIndcQty,</t>
  </si>
  <si>
    <r>
      <t xml:space="preserve">    </t>
    </r>
    <r>
      <rPr>
        <sz val="11"/>
        <color rgb="FF0000FF"/>
        <rFont val="Consolas"/>
        <family val="3"/>
      </rPr>
      <t>TRIM</t>
    </r>
    <r>
      <rPr>
        <sz val="11"/>
        <color rgb="FF000000"/>
        <rFont val="Consolas"/>
        <family val="3"/>
      </rPr>
      <t xml:space="preserve">(SIZE_CD) </t>
    </r>
    <r>
      <rPr>
        <sz val="11"/>
        <color rgb="FF0000FF"/>
        <rFont val="Consolas"/>
        <family val="3"/>
      </rPr>
      <t>AS</t>
    </r>
    <r>
      <rPr>
        <sz val="11"/>
        <color rgb="FF000000"/>
        <rFont val="Consolas"/>
        <family val="3"/>
      </rPr>
      <t xml:space="preserve"> SIZE_CD,</t>
    </r>
  </si>
  <si>
    <r>
      <t xml:space="preserve">  </t>
    </r>
    <r>
      <rPr>
        <sz val="11"/>
        <color rgb="FF778899"/>
        <rFont val="Consolas"/>
        <family val="3"/>
      </rPr>
      <t>INNER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JOIN</t>
    </r>
    <r>
      <rPr>
        <sz val="11"/>
        <color rgb="FF000000"/>
        <rFont val="Consolas"/>
        <family val="3"/>
      </rPr>
      <t xml:space="preserve"> T_ASSORT_SKU B </t>
    </r>
    <r>
      <rPr>
        <sz val="11"/>
        <color rgb="FF0000FF"/>
        <rFont val="Consolas"/>
        <family val="3"/>
      </rPr>
      <t>ON</t>
    </r>
    <r>
      <rPr>
        <sz val="11"/>
        <color rgb="FF000000"/>
        <rFont val="Consolas"/>
        <family val="3"/>
      </rPr>
      <t xml:space="preserve"> A.SKU_ID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B.SKU_ID</t>
    </r>
  </si>
  <si>
    <t>  A.PARENT_BRD_CD parentBrdCd,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</si>
  <si>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>(B.ATTR1) reprColorCd,</t>
    </r>
  </si>
  <si>
    <t>    SIZE_CD,</t>
  </si>
  <si>
    <t>  MAT_KIND matKind,</t>
  </si>
  <si>
    <t>  PGIC_FILE_NM pgicFileNm,</t>
  </si>
  <si>
    <t>  FABRIC_TYPE fabricType,</t>
  </si>
  <si>
    <t>  PARTT_STOR_REQ_DT parttStorReqDt,</t>
  </si>
  <si>
    <t>    PARTT_INDC_QTY</t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</si>
  <si>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A.SKU_SEQ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B.SKU_SEQ</t>
    </r>
  </si>
  <si>
    <t>  A.BRD_CD brdCd,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</si>
  <si>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>(</t>
    </r>
    <r>
      <rPr>
        <sz val="11"/>
        <color rgb="FFC700C7"/>
        <rFont val="Consolas"/>
        <family val="3"/>
      </rPr>
      <t>UPPER</t>
    </r>
    <r>
      <rPr>
        <sz val="11"/>
        <color rgb="FF000000"/>
        <rFont val="Consolas"/>
        <family val="3"/>
      </rPr>
      <t>(C.REG_COLOR)) regColorCd,</t>
    </r>
  </si>
  <si>
    <t>    PUSE_PART,</t>
  </si>
  <si>
    <t>  MAT_COLOR matColor,</t>
  </si>
  <si>
    <t>  T_WORK_INDC_MEMO</t>
  </si>
  <si>
    <t>  CO_OPEN_YN coOpenYn,</t>
  </si>
  <si>
    <t>  FILE_PATH filePath,</t>
  </si>
  <si>
    <t>  COLOR_TYPE colorType,</t>
  </si>
  <si>
    <t>  PARTT_STOR_RATE parttStorRate</t>
  </si>
  <si>
    <r>
      <t xml:space="preserve">  </t>
    </r>
    <r>
      <rPr>
        <sz val="11"/>
        <color rgb="FF0000FF"/>
        <rFont val="Consolas"/>
        <family val="3"/>
      </rPr>
      <t>FROM</t>
    </r>
  </si>
  <si>
    <t>  A.PRDT_KIND_CD prdtKindCd,(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</si>
  <si>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>(A.USE_YN) useYn,</t>
    </r>
  </si>
  <si>
    <t>    SIZE_SPEC,</t>
  </si>
  <si>
    <t>  USE_PART usePart,</t>
  </si>
  <si>
    <t>  PEMT pemt,</t>
  </si>
  <si>
    <t>  PRT_YN prtYn,</t>
  </si>
  <si>
    <t>  FIT fit,</t>
  </si>
  <si>
    <t>    T_PARTT_STOR_DETL</t>
  </si>
  <si>
    <r>
      <t xml:space="preserve">  B.PRDT_CD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'EKF2ER2200'</t>
    </r>
  </si>
  <si>
    <t>    ATTR1</t>
  </si>
  <si>
    <t>  STND stnd,</t>
  </si>
  <si>
    <r>
      <t xml:space="preserve">  PRDT_CD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'EKF2ER2200'</t>
    </r>
  </si>
  <si>
    <t>  FIBER1 fiber1,</t>
  </si>
  <si>
    <t>  T_PARTT_STOR_INFO</t>
  </si>
  <si>
    <r>
      <t xml:space="preserve">  </t>
    </r>
    <r>
      <rPr>
        <sz val="11"/>
        <color rgb="FF0000FF"/>
        <rFont val="Consolas"/>
        <family val="3"/>
      </rPr>
      <t>WHERE</t>
    </r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</si>
  <si>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B.SEQN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'A'</t>
    </r>
  </si>
  <si>
    <r>
      <t xml:space="preserve">    </t>
    </r>
    <r>
      <rPr>
        <sz val="11"/>
        <color rgb="FF0000FF"/>
        <rFont val="Consolas"/>
        <family val="3"/>
      </rPr>
      <t>CASE</t>
    </r>
  </si>
  <si>
    <t>  UNIT unit,</t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</si>
  <si>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STYLE_SEQN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'A'</t>
    </r>
  </si>
  <si>
    <t>  FIBER2 fiber2,</t>
  </si>
  <si>
    <r>
      <t xml:space="preserve">    PRDT_CD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'EKF2ER2200'</t>
    </r>
  </si>
  <si>
    <r>
      <t>GROUP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BY</t>
    </r>
  </si>
  <si>
    <r>
      <t xml:space="preserve">      </t>
    </r>
    <r>
      <rPr>
        <sz val="11"/>
        <color rgb="FF0000FF"/>
        <rFont val="Consolas"/>
        <family val="3"/>
      </rPr>
      <t>WHEN</t>
    </r>
    <r>
      <rPr>
        <sz val="11"/>
        <color rgb="FF000000"/>
        <rFont val="Consolas"/>
        <family val="3"/>
      </rPr>
      <t xml:space="preserve"> NVL(</t>
    </r>
  </si>
  <si>
    <t>    T_SIZE_SPEC</t>
  </si>
  <si>
    <t>  STAN_UQOF stanUqof,</t>
  </si>
  <si>
    <t>  FIBER3 fiber3,</t>
  </si>
  <si>
    <r>
      <t xml:space="preserve">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SEQN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'A'</t>
    </r>
  </si>
  <si>
    <r>
      <t xml:space="preserve">  SUBSTR(A.PCK_NO,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 xml:space="preserve">, </t>
    </r>
    <r>
      <rPr>
        <sz val="11"/>
        <color rgb="FF098658"/>
        <rFont val="Consolas"/>
        <family val="3"/>
      </rPr>
      <t>11</t>
    </r>
    <r>
      <rPr>
        <sz val="11"/>
        <color rgb="FF000000"/>
        <rFont val="Consolas"/>
        <family val="3"/>
      </rPr>
      <t>)</t>
    </r>
  </si>
  <si>
    <t>      T_PRDT_KIND</t>
  </si>
  <si>
    <t>        (</t>
  </si>
  <si>
    <t>  REAL_UQOF realUqof,</t>
  </si>
  <si>
    <r>
      <t xml:space="preserve">  </t>
    </r>
    <r>
      <rPr>
        <sz val="11"/>
        <color rgb="FF098658"/>
        <rFont val="Consolas"/>
        <family val="3"/>
      </rPr>
      <t>3</t>
    </r>
  </si>
  <si>
    <t>  FIBER4 fiber4,</t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</si>
  <si>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SEQN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'A'</t>
    </r>
  </si>
  <si>
    <r>
      <t xml:space="preserve">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DEL_DAY </t>
    </r>
    <r>
      <rPr>
        <sz val="11"/>
        <color rgb="FF778899"/>
        <rFont val="Consolas"/>
        <family val="3"/>
      </rPr>
      <t>IS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NULL</t>
    </r>
  </si>
  <si>
    <r>
      <t xml:space="preserve">          </t>
    </r>
    <r>
      <rPr>
        <sz val="11"/>
        <color rgb="FF0000FF"/>
        <rFont val="Consolas"/>
        <family val="3"/>
      </rPr>
      <t>SELECT</t>
    </r>
  </si>
  <si>
    <t>  QTY qty,</t>
  </si>
  <si>
    <t>  DEL_DAY delDay,</t>
  </si>
  <si>
    <t>  FABRICATION fabrication,</t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</si>
  <si>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DEL_DAY </t>
    </r>
    <r>
      <rPr>
        <sz val="11"/>
        <color rgb="FF778899"/>
        <rFont val="Consolas"/>
        <family val="3"/>
      </rPr>
      <t>IS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NULL</t>
    </r>
  </si>
  <si>
    <t>)</t>
  </si>
  <si>
    <r>
      <t xml:space="preserve">      PRDT_KIND_CD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A.PRDT_KIND_CD</t>
    </r>
  </si>
  <si>
    <r>
      <t xml:space="preserve">            </t>
    </r>
    <r>
      <rPr>
        <sz val="11"/>
        <color rgb="FF098658"/>
        <rFont val="Consolas"/>
        <family val="3"/>
      </rPr>
      <t>1</t>
    </r>
  </si>
  <si>
    <r>
      <t xml:space="preserve">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STYLE_SEQN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'A'</t>
    </r>
  </si>
  <si>
    <t>  STAN_NEED_QTY stanNeedQty,</t>
  </si>
  <si>
    <t>  DEL_USERID delUserid,</t>
  </si>
  <si>
    <t>  FABRIC_FINISH fabricFinish,</t>
  </si>
  <si>
    <r>
      <t xml:space="preserve">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COMPY_CD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'A01ATION'</t>
    </r>
  </si>
  <si>
    <r>
      <t xml:space="preserve">          </t>
    </r>
    <r>
      <rPr>
        <sz val="11"/>
        <color rgb="FF0000FF"/>
        <rFont val="Consolas"/>
        <family val="3"/>
      </rPr>
      <t>FROM</t>
    </r>
  </si>
  <si>
    <t>  REAL_NEED_QTY realNeedQty,</t>
  </si>
  <si>
    <t>  WEIGHT weight,</t>
  </si>
  <si>
    <t>  PARTT_SEQN</t>
  </si>
  <si>
    <t>  ) prdtKindNm,(</t>
  </si>
  <si>
    <t>            T_WH_RNDS_BASE</t>
  </si>
  <si>
    <r>
      <t xml:space="preserve">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COMPY_CD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'A01ATION'</t>
    </r>
  </si>
  <si>
    <t>  NECK neck,</t>
  </si>
  <si>
    <t>  T1.PRDT_CD prdtCd,</t>
  </si>
  <si>
    <r>
      <t xml:space="preserve">          </t>
    </r>
    <r>
      <rPr>
        <sz val="11"/>
        <color rgb="FF0000FF"/>
        <rFont val="Consolas"/>
        <family val="3"/>
      </rPr>
      <t>WHERE</t>
    </r>
  </si>
  <si>
    <r>
      <t xml:space="preserve">  </t>
    </r>
    <r>
      <rPr>
        <sz val="11"/>
        <color rgb="FF0000FF"/>
        <rFont val="Consolas"/>
        <family val="3"/>
      </rPr>
      <t>ORDER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BY</t>
    </r>
  </si>
  <si>
    <t>  MAT_MEMO matMemo,</t>
  </si>
  <si>
    <t>  FRONT front,</t>
  </si>
  <si>
    <t>  T1.SEQN seqn,</t>
  </si>
  <si>
    <t>      T2.CD_NM</t>
  </si>
  <si>
    <r>
      <t xml:space="preserve">            PRDT_CD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A.PRDT_CD</t>
    </r>
  </si>
  <si>
    <r>
      <t xml:space="preserve">    LPAD (SIZE_CD, </t>
    </r>
    <r>
      <rPr>
        <sz val="11"/>
        <color rgb="FF098658"/>
        <rFont val="Consolas"/>
        <family val="3"/>
      </rPr>
      <t>3</t>
    </r>
    <r>
      <rPr>
        <sz val="11"/>
        <color rgb="FF000000"/>
        <rFont val="Consolas"/>
        <family val="3"/>
      </rPr>
      <t xml:space="preserve">, </t>
    </r>
    <r>
      <rPr>
        <sz val="11"/>
        <color rgb="FFFF0000"/>
        <rFont val="Consolas"/>
        <family val="3"/>
      </rPr>
      <t>'0'</t>
    </r>
    <r>
      <rPr>
        <sz val="11"/>
        <color rgb="FF000000"/>
        <rFont val="Consolas"/>
        <family val="3"/>
      </rPr>
      <t>),</t>
    </r>
  </si>
  <si>
    <t>  SLEEVE sleeve,</t>
  </si>
  <si>
    <t>  T1.COLOR_CD colorCd,</t>
  </si>
  <si>
    <r>
      <t xml:space="preserve">      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COLOR_CD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A.COLOR_CD</t>
    </r>
  </si>
  <si>
    <t>    SEQ</t>
  </si>
  <si>
    <t>  WAIST waist,</t>
  </si>
  <si>
    <r>
      <t xml:space="preserve">  LPAD(T2.SIZE_CD, </t>
    </r>
    <r>
      <rPr>
        <sz val="11"/>
        <color rgb="FF098658"/>
        <rFont val="Consolas"/>
        <family val="3"/>
      </rPr>
      <t>3</t>
    </r>
    <r>
      <rPr>
        <sz val="11"/>
        <color rgb="FF000000"/>
        <rFont val="Consolas"/>
        <family val="3"/>
      </rPr>
      <t xml:space="preserve">, </t>
    </r>
    <r>
      <rPr>
        <sz val="11"/>
        <color rgb="FFFF0000"/>
        <rFont val="Consolas"/>
        <family val="3"/>
      </rPr>
      <t>' '</t>
    </r>
    <r>
      <rPr>
        <sz val="11"/>
        <color rgb="FF000000"/>
        <rFont val="Consolas"/>
        <family val="3"/>
      </rPr>
      <t>) sizeCd,</t>
    </r>
  </si>
  <si>
    <t>      T_PRDT_KIND T1,</t>
  </si>
  <si>
    <r>
      <t xml:space="preserve">      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SEQN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(</t>
    </r>
  </si>
  <si>
    <t>),</t>
  </si>
  <si>
    <t>  LENGTH length,</t>
  </si>
  <si>
    <t>  NVL(</t>
  </si>
  <si>
    <t>      T_PRDT_KIND T2</t>
  </si>
  <si>
    <r>
      <t xml:space="preserve">              </t>
    </r>
    <r>
      <rPr>
        <sz val="11"/>
        <color rgb="FF0000FF"/>
        <rFont val="Consolas"/>
        <family val="3"/>
      </rPr>
      <t>SELECT</t>
    </r>
  </si>
  <si>
    <r>
      <t xml:space="preserve">FORM </t>
    </r>
    <r>
      <rPr>
        <sz val="11"/>
        <color rgb="FF0000FF"/>
        <rFont val="Consolas"/>
        <family val="3"/>
      </rPr>
      <t>AS</t>
    </r>
    <r>
      <rPr>
        <sz val="11"/>
        <color rgb="FF000000"/>
        <rFont val="Consolas"/>
        <family val="3"/>
      </rPr>
      <t xml:space="preserve"> (</t>
    </r>
  </si>
  <si>
    <t>  OTHER_DETAIL otherDetail,</t>
  </si>
  <si>
    <t>    (</t>
  </si>
  <si>
    <t>                SEQN</t>
  </si>
  <si>
    <t>  T_WORK_INDC</t>
  </si>
  <si>
    <t>  GARMENT_FINISH garmentFinish,</t>
  </si>
  <si>
    <r>
      <t xml:space="preserve">      </t>
    </r>
    <r>
      <rPr>
        <sz val="11"/>
        <color rgb="FF0000FF"/>
        <rFont val="Consolas"/>
        <family val="3"/>
      </rPr>
      <t>SELECT</t>
    </r>
  </si>
  <si>
    <r>
      <t xml:space="preserve">      T1.PARENT_PRDT_KIND_CD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T2.PRDT_KIND_CD</t>
    </r>
  </si>
  <si>
    <r>
      <t xml:space="preserve">              </t>
    </r>
    <r>
      <rPr>
        <sz val="11"/>
        <color rgb="FF0000FF"/>
        <rFont val="Consolas"/>
        <family val="3"/>
      </rPr>
      <t>FROM</t>
    </r>
  </si>
  <si>
    <t>  T_WORK_INDC_APND_FILE</t>
  </si>
  <si>
    <t>  LINNING linning,</t>
  </si>
  <si>
    <t>        PARTT_INDC_QTY</t>
  </si>
  <si>
    <r>
      <t xml:space="preserve">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T1.PRDT_KIND_CD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A.PRDT_KIND_CD</t>
    </r>
  </si>
  <si>
    <t>                T_STYLE</t>
  </si>
  <si>
    <t>    SEQN STYLE_SEQN,</t>
  </si>
  <si>
    <t>  ONLINE_CTG1 ctga,</t>
  </si>
  <si>
    <r>
      <t xml:space="preserve">      </t>
    </r>
    <r>
      <rPr>
        <sz val="11"/>
        <color rgb="FF0000FF"/>
        <rFont val="Consolas"/>
        <family val="3"/>
      </rPr>
      <t>FROM</t>
    </r>
  </si>
  <si>
    <t>  ) prdtKindNm2,(</t>
  </si>
  <si>
    <r>
      <t xml:space="preserve">              </t>
    </r>
    <r>
      <rPr>
        <sz val="11"/>
        <color rgb="FF0000FF"/>
        <rFont val="Consolas"/>
        <family val="3"/>
      </rPr>
      <t>WHERE</t>
    </r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</si>
  <si>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PRDT_CD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'EKF2ER2200'</t>
    </r>
  </si>
  <si>
    <t>  ONLINE_CTG2 ctgb,</t>
  </si>
  <si>
    <t>        MAIN</t>
  </si>
  <si>
    <r>
      <t xml:space="preserve">                STYLE_ID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A.STYLE_ID</t>
    </r>
  </si>
  <si>
    <t>  ONLINE_CTG3 ctgc,</t>
  </si>
  <si>
    <r>
      <t xml:space="preserve">      </t>
    </r>
    <r>
      <rPr>
        <sz val="11"/>
        <color rgb="FF0000FF"/>
        <rFont val="Consolas"/>
        <family val="3"/>
      </rPr>
      <t>WHERE</t>
    </r>
  </si>
  <si>
    <t>            )</t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</si>
  <si>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COMPY_CD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'A01ATION'</t>
    </r>
  </si>
  <si>
    <t>  ONLINE_CTG4 ctgd</t>
  </si>
  <si>
    <r>
      <t xml:space="preserve">        COLOR_CD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T1.COLOR_CD</t>
    </r>
  </si>
  <si>
    <r>
      <t xml:space="preserve">      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DEL_DAY </t>
    </r>
    <r>
      <rPr>
        <sz val="11"/>
        <color rgb="FF778899"/>
        <rFont val="Consolas"/>
        <family val="3"/>
      </rPr>
      <t>IS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NULL</t>
    </r>
  </si>
  <si>
    <r>
      <t xml:space="preserve">  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PARTT_SEQN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T3.PARTT_SEQN</t>
    </r>
  </si>
  <si>
    <r>
      <t xml:space="preserve">      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ROWNUM </t>
    </r>
    <r>
      <rPr>
        <sz val="11"/>
        <color rgb="FF778899"/>
        <rFont val="Consolas"/>
        <family val="3"/>
      </rPr>
      <t>&lt;=</t>
    </r>
    <r>
      <rPr>
        <sz val="11"/>
        <color rgb="FF000000"/>
        <rFont val="Consolas"/>
        <family val="3"/>
      </rPr>
      <t xml:space="preserve"> </t>
    </r>
    <r>
      <rPr>
        <sz val="11"/>
        <color rgb="FF098658"/>
        <rFont val="Consolas"/>
        <family val="3"/>
      </rPr>
      <t>1</t>
    </r>
  </si>
  <si>
    <t>  T_PRDT_PROP</t>
  </si>
  <si>
    <r>
      <t xml:space="preserve">  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SIZE_CD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T2.SIZE_CD</t>
    </r>
  </si>
  <si>
    <t>        ),</t>
  </si>
  <si>
    <r>
      <t xml:space="preserve">  </t>
    </r>
    <r>
      <rPr>
        <sz val="11"/>
        <color rgb="FFFF0000"/>
        <rFont val="Consolas"/>
        <family val="3"/>
      </rPr>
      <t>'C362'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||</t>
    </r>
    <r>
      <rPr>
        <sz val="11"/>
        <color rgb="FF000000"/>
        <rFont val="Consolas"/>
        <family val="3"/>
      </rPr>
      <t>(</t>
    </r>
  </si>
  <si>
    <t>    ),</t>
  </si>
  <si>
    <r>
      <t xml:space="preserve">        </t>
    </r>
    <r>
      <rPr>
        <sz val="11"/>
        <color rgb="FF098658"/>
        <rFont val="Consolas"/>
        <family val="3"/>
      </rPr>
      <t>0</t>
    </r>
  </si>
  <si>
    <r>
      <t xml:space="preserve">    </t>
    </r>
    <r>
      <rPr>
        <sz val="11"/>
        <color rgb="FF098658"/>
        <rFont val="Consolas"/>
        <family val="3"/>
      </rPr>
      <t>0</t>
    </r>
  </si>
  <si>
    <r>
      <t xml:space="preserve">      ) </t>
    </r>
    <r>
      <rPr>
        <sz val="11"/>
        <color rgb="FF778899"/>
        <rFont val="Consolas"/>
        <family val="3"/>
      </rPr>
      <t>&gt;=</t>
    </r>
    <r>
      <rPr>
        <sz val="11"/>
        <color rgb="FF000000"/>
        <rFont val="Consolas"/>
        <family val="3"/>
      </rPr>
      <t xml:space="preserve">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THEN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'N'</t>
    </r>
  </si>
  <si>
    <r>
      <t xml:space="preserve">        </t>
    </r>
    <r>
      <rPr>
        <sz val="11"/>
        <color rgb="FF0000FF"/>
        <rFont val="Consolas"/>
        <family val="3"/>
      </rPr>
      <t>DISTINCT</t>
    </r>
    <r>
      <rPr>
        <sz val="11"/>
        <color rgb="FF000000"/>
        <rFont val="Consolas"/>
        <family val="3"/>
      </rPr>
      <t xml:space="preserve"> PRDT_CD,</t>
    </r>
  </si>
  <si>
    <t>      CHILD_CD</t>
  </si>
  <si>
    <r>
      <t xml:space="preserve">  ) </t>
    </r>
    <r>
      <rPr>
        <sz val="11"/>
        <color rgb="FF0000FF"/>
        <rFont val="Consolas"/>
        <family val="3"/>
      </rPr>
      <t>AS</t>
    </r>
    <r>
      <rPr>
        <sz val="11"/>
        <color rgb="FF000000"/>
        <rFont val="Consolas"/>
        <family val="3"/>
      </rPr>
      <t xml:space="preserve"> indcQty</t>
    </r>
  </si>
  <si>
    <t>  ) prdtKindNm3,</t>
  </si>
  <si>
    <r>
      <t xml:space="preserve">      </t>
    </r>
    <r>
      <rPr>
        <sz val="11"/>
        <color rgb="FF0000FF"/>
        <rFont val="Consolas"/>
        <family val="3"/>
      </rPr>
      <t>ELSE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CASE</t>
    </r>
  </si>
  <si>
    <t>        SEQN,</t>
  </si>
  <si>
    <t>  A.PLAN_YY planYy,</t>
  </si>
  <si>
    <r>
      <t xml:space="preserve">        </t>
    </r>
    <r>
      <rPr>
        <sz val="11"/>
        <color rgb="FF0000FF"/>
        <rFont val="Consolas"/>
        <family val="3"/>
      </rPr>
      <t>WHEN</t>
    </r>
    <r>
      <rPr>
        <sz val="11"/>
        <color rgb="FF000000"/>
        <rFont val="Consolas"/>
        <family val="3"/>
      </rPr>
      <t xml:space="preserve"> NVL(</t>
    </r>
  </si>
  <si>
    <t>        SIZE_CD</t>
  </si>
  <si>
    <t>  T_STYLE T1,</t>
  </si>
  <si>
    <t>          (</t>
  </si>
  <si>
    <t>  T_STYLE_SIZE T2,</t>
  </si>
  <si>
    <r>
      <t xml:space="preserve">            </t>
    </r>
    <r>
      <rPr>
        <sz val="11"/>
        <color rgb="FF0000FF"/>
        <rFont val="Consolas"/>
        <family val="3"/>
      </rPr>
      <t>SELECT</t>
    </r>
  </si>
  <si>
    <t>        T_STYLE A,</t>
  </si>
  <si>
    <r>
      <t xml:space="preserve">      CD_KEY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A.MAT_CLSBY_CD</t>
    </r>
  </si>
  <si>
    <t>      PLAN_YY_CD</t>
  </si>
  <si>
    <r>
      <t xml:space="preserve">              </t>
    </r>
    <r>
      <rPr>
        <sz val="11"/>
        <color rgb="FF098658"/>
        <rFont val="Consolas"/>
        <family val="3"/>
      </rPr>
      <t>1</t>
    </r>
  </si>
  <si>
    <t>        T_STYLE_SIZE B</t>
  </si>
  <si>
    <t>  ) costMatClsbyCd,</t>
  </si>
  <si>
    <r>
      <t xml:space="preserve">            </t>
    </r>
    <r>
      <rPr>
        <sz val="11"/>
        <color rgb="FF0000FF"/>
        <rFont val="Consolas"/>
        <family val="3"/>
      </rPr>
      <t>FROM</t>
    </r>
  </si>
  <si>
    <r>
      <t xml:space="preserve">      </t>
    </r>
    <r>
      <rPr>
        <sz val="11"/>
        <color rgb="FF0000FF"/>
        <rFont val="Consolas"/>
        <family val="3"/>
      </rPr>
      <t>DISTINCT</t>
    </r>
    <r>
      <rPr>
        <sz val="11"/>
        <color rgb="FF000000"/>
        <rFont val="Consolas"/>
        <family val="3"/>
      </rPr>
      <t xml:space="preserve"> PARTT_SEQN</t>
    </r>
  </si>
  <si>
    <t>      T_PLANYY_INFO</t>
  </si>
  <si>
    <t>              DUAL</t>
  </si>
  <si>
    <r>
      <t xml:space="preserve">        A.STYLE_ID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B.STYLE_ID</t>
    </r>
  </si>
  <si>
    <t>  MIX_RATE mixRate,</t>
  </si>
  <si>
    <r>
      <t xml:space="preserve">            </t>
    </r>
    <r>
      <rPr>
        <sz val="11"/>
        <color rgb="FF0000FF"/>
        <rFont val="Consolas"/>
        <family val="3"/>
      </rPr>
      <t>WHERE</t>
    </r>
  </si>
  <si>
    <r>
      <t xml:space="preserve">  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A.PRDT_CD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'EKF2ER2200'</t>
    </r>
  </si>
  <si>
    <r>
      <t xml:space="preserve">  NVL(MAT_UPRICE,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 matUprice,</t>
    </r>
  </si>
  <si>
    <t>      MAIN</t>
  </si>
  <si>
    <r>
      <t xml:space="preserve">      PLAN_YY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A.PLAN_YY</t>
    </r>
  </si>
  <si>
    <r>
      <t xml:space="preserve">              </t>
    </r>
    <r>
      <rPr>
        <sz val="11"/>
        <color rgb="FF778899"/>
        <rFont val="Consolas"/>
        <family val="3"/>
      </rPr>
      <t>EXISTS</t>
    </r>
    <r>
      <rPr>
        <sz val="11"/>
        <color rgb="FF000000"/>
        <rFont val="Consolas"/>
        <family val="3"/>
      </rPr>
      <t xml:space="preserve"> (</t>
    </r>
  </si>
  <si>
    <r>
      <t xml:space="preserve">  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A.SEQN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'A'</t>
    </r>
  </si>
  <si>
    <t>  MAT_RMK matRmk,</t>
  </si>
  <si>
    <t>  ) T3</t>
  </si>
  <si>
    <r>
      <t xml:space="preserve">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COMPY_CD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A.COMPY_CD</t>
    </r>
  </si>
  <si>
    <r>
      <t xml:space="preserve">                </t>
    </r>
    <r>
      <rPr>
        <sz val="11"/>
        <color rgb="FF0000FF"/>
        <rFont val="Consolas"/>
        <family val="3"/>
      </rPr>
      <t>SELECT</t>
    </r>
  </si>
  <si>
    <t>    ) A,</t>
  </si>
  <si>
    <t>  MAT_BOOK_CD matBookCd,</t>
  </si>
  <si>
    <t>  ) planYyCd,</t>
  </si>
  <si>
    <r>
      <t xml:space="preserve">                  </t>
    </r>
    <r>
      <rPr>
        <sz val="11"/>
        <color rgb="FF098658"/>
        <rFont val="Consolas"/>
        <family val="3"/>
      </rPr>
      <t>1</t>
    </r>
  </si>
  <si>
    <t>  FBR_PART_CLSBY_CD fbrPartClsbyCd,</t>
  </si>
  <si>
    <r>
      <t xml:space="preserve">  T1.STYLE_ID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T2.STYLE_ID</t>
    </r>
  </si>
  <si>
    <r>
      <t xml:space="preserve">                </t>
    </r>
    <r>
      <rPr>
        <sz val="11"/>
        <color rgb="FF0000FF"/>
        <rFont val="Consolas"/>
        <family val="3"/>
      </rPr>
      <t>FROM</t>
    </r>
  </si>
  <si>
    <t>  FBR_PART_MAPP_CLSBY_CD fbrPartMappClsbyCd,</t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</si>
  <si>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T1.PRDT_CD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'EKF2ER2200'</t>
    </r>
  </si>
  <si>
    <t>  A.SESN_CD sesnCd,</t>
  </si>
  <si>
    <t>                  T_SHOP_RNDS_BASE</t>
  </si>
  <si>
    <t>        SEQ,</t>
  </si>
  <si>
    <t>  MAT_CLSBY_B_CD matClsbyBCd,</t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</si>
  <si>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T1.SEQN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'A'</t>
    </r>
  </si>
  <si>
    <t>  A.SEX sexClsby,</t>
  </si>
  <si>
    <r>
      <t xml:space="preserve">                </t>
    </r>
    <r>
      <rPr>
        <sz val="11"/>
        <color rgb="FF0000FF"/>
        <rFont val="Consolas"/>
        <family val="3"/>
      </rPr>
      <t>WHERE</t>
    </r>
  </si>
  <si>
    <r>
      <t xml:space="preserve">      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>(PUSE_PART) PUSE_PART,</t>
    </r>
  </si>
  <si>
    <t>  MAT_CLSBY_S_CD matClsbySCd</t>
  </si>
  <si>
    <t>  MAT_CLSBY_S_CD matClsbySCd,</t>
  </si>
  <si>
    <t>  A.PRDT_CLSBY prdtClsby,</t>
  </si>
  <si>
    <r>
      <t xml:space="preserve">                  PRDT_CD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A.PRDT_CD</t>
    </r>
  </si>
  <si>
    <r>
      <t xml:space="preserve">      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>(ATTR1) ATTR1</t>
    </r>
  </si>
  <si>
    <t>  PRTY_RANK prtyRank</t>
  </si>
  <si>
    <r>
      <t xml:space="preserve"> 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>,</t>
    </r>
  </si>
  <si>
    <t>  A.ORGN_CLSBY orgnClsby,</t>
  </si>
  <si>
    <r>
      <t xml:space="preserve">            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COLOR_CD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A.COLOR_CD</t>
    </r>
  </si>
  <si>
    <t>  T_MAT_MATSY_INFO A</t>
  </si>
  <si>
    <r>
      <t xml:space="preserve">  </t>
    </r>
    <r>
      <rPr>
        <sz val="11"/>
        <color rgb="FF098658"/>
        <rFont val="Consolas"/>
        <family val="3"/>
      </rPr>
      <t>2</t>
    </r>
    <r>
      <rPr>
        <sz val="11"/>
        <color rgb="FF000000"/>
        <rFont val="Consolas"/>
        <family val="3"/>
      </rPr>
      <t>,</t>
    </r>
  </si>
  <si>
    <t>  A.RCPT_YN rcptYn,</t>
  </si>
  <si>
    <r>
      <t xml:space="preserve">            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DEL_DAY </t>
    </r>
    <r>
      <rPr>
        <sz val="11"/>
        <color rgb="FF778899"/>
        <rFont val="Consolas"/>
        <family val="3"/>
      </rPr>
      <t>IS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NULL</t>
    </r>
  </si>
  <si>
    <t>        SIZE_SPEC</t>
  </si>
  <si>
    <r>
      <t xml:space="preserve">  </t>
    </r>
    <r>
      <rPr>
        <sz val="11"/>
        <color rgb="FF098658"/>
        <rFont val="Consolas"/>
        <family val="3"/>
      </rPr>
      <t>3</t>
    </r>
    <r>
      <rPr>
        <sz val="11"/>
        <color rgb="FF000000"/>
        <rFont val="Consolas"/>
        <family val="3"/>
      </rPr>
      <t>,</t>
    </r>
  </si>
  <si>
    <t>  A.FBR_MATIERE_CLSBY fbrMatiereClsby,</t>
  </si>
  <si>
    <r>
      <t xml:space="preserve">            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ROWNUM </t>
    </r>
    <r>
      <rPr>
        <sz val="11"/>
        <color rgb="FF778899"/>
        <rFont val="Consolas"/>
        <family val="3"/>
      </rPr>
      <t>&lt;=</t>
    </r>
    <r>
      <rPr>
        <sz val="11"/>
        <color rgb="FF000000"/>
        <rFont val="Consolas"/>
        <family val="3"/>
      </rPr>
      <t xml:space="preserve"> </t>
    </r>
    <r>
      <rPr>
        <sz val="11"/>
        <color rgb="FF098658"/>
        <rFont val="Consolas"/>
        <family val="3"/>
      </rPr>
      <t>1</t>
    </r>
  </si>
  <si>
    <r>
      <t xml:space="preserve">      </t>
    </r>
    <r>
      <rPr>
        <sz val="11"/>
        <color rgb="FF0000FF"/>
        <rFont val="Consolas"/>
        <family val="3"/>
      </rPr>
      <t>GROUP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BY</t>
    </r>
  </si>
  <si>
    <r>
      <t xml:space="preserve">  </t>
    </r>
    <r>
      <rPr>
        <sz val="11"/>
        <color rgb="FF098658"/>
        <rFont val="Consolas"/>
        <family val="3"/>
      </rPr>
      <t>4</t>
    </r>
    <r>
      <rPr>
        <sz val="11"/>
        <color rgb="FF000000"/>
        <rFont val="Consolas"/>
        <family val="3"/>
      </rPr>
      <t>,</t>
    </r>
  </si>
  <si>
    <t>  A.EXPR_DT exprDt,</t>
  </si>
  <si>
    <t>              )</t>
  </si>
  <si>
    <t>        SEQ</t>
  </si>
  <si>
    <r>
      <t xml:space="preserve">  TO_NUMBER(T2.SIZE_CD) </t>
    </r>
    <r>
      <rPr>
        <sz val="11"/>
        <color rgb="FF0000FF"/>
        <rFont val="Consolas"/>
        <family val="3"/>
      </rPr>
      <t>ASC</t>
    </r>
  </si>
  <si>
    <t>  A.MD_EMP_ID mdEmpId,</t>
  </si>
  <si>
    <r>
      <t xml:space="preserve">              </t>
    </r>
    <r>
      <rPr>
        <sz val="11"/>
        <color rgb="FF778899"/>
        <rFont val="Consolas"/>
        <family val="3"/>
      </rPr>
      <t>OR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EXISTS</t>
    </r>
    <r>
      <rPr>
        <sz val="11"/>
        <color rgb="FF000000"/>
        <rFont val="Consolas"/>
        <family val="3"/>
      </rPr>
      <t xml:space="preserve"> (</t>
    </r>
  </si>
  <si>
    <t>    ) B</t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</si>
  <si>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MAT_CLSBY_CD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'C033T'</t>
    </r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</si>
  <si>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NVL(MAT_CLSBY_CD, </t>
    </r>
    <r>
      <rPr>
        <sz val="11"/>
        <color rgb="FFFF0000"/>
        <rFont val="Consolas"/>
        <family val="3"/>
      </rPr>
      <t>'C033Y'</t>
    </r>
    <r>
      <rPr>
        <sz val="11"/>
        <color rgb="FF000000"/>
        <rFont val="Consolas"/>
        <family val="3"/>
      </rPr>
      <t xml:space="preserve">)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'C033Y'</t>
    </r>
  </si>
  <si>
    <t>      EMP_NM_KOR</t>
  </si>
  <si>
    <t>                  T_SHOP_RNDS_BASE_AL</t>
  </si>
  <si>
    <t>      V_USR_INFO</t>
  </si>
  <si>
    <t>  PRTY_RANK</t>
  </si>
  <si>
    <t>  PUSE_PART pusePart,</t>
  </si>
  <si>
    <r>
      <t xml:space="preserve">      EMP_ID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A.MD_EMP_ID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</si>
  <si>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>, SIZE_CD)) sizC1,</t>
    </r>
  </si>
  <si>
    <r>
      <t xml:space="preserve">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COMPY_CD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A.COMPY_CD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</si>
  <si>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>, SIZE_SPEC)) sizeSpec1,</t>
    </r>
  </si>
  <si>
    <r>
      <t xml:space="preserve">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ROWNUM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098658"/>
        <rFont val="Consolas"/>
        <family val="3"/>
      </rPr>
      <t>1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</si>
  <si>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2</t>
    </r>
    <r>
      <rPr>
        <sz val="11"/>
        <color rgb="FF000000"/>
        <rFont val="Consolas"/>
        <family val="3"/>
      </rPr>
      <t>, SIZE_CD)) sizC2,</t>
    </r>
  </si>
  <si>
    <t>  ) mdEmpNm,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</si>
  <si>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2</t>
    </r>
    <r>
      <rPr>
        <sz val="11"/>
        <color rgb="FF000000"/>
        <rFont val="Consolas"/>
        <family val="3"/>
      </rPr>
      <t>, SIZE_SPEC)) sizeSpec2,</t>
    </r>
  </si>
  <si>
    <t>  DESIGN_EMP_ID designEmpId,</t>
  </si>
  <si>
    <t>          ),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</si>
  <si>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3</t>
    </r>
    <r>
      <rPr>
        <sz val="11"/>
        <color rgb="FF000000"/>
        <rFont val="Consolas"/>
        <family val="3"/>
      </rPr>
      <t>, SIZE_CD)) sizC3,</t>
    </r>
  </si>
  <si>
    <r>
      <t xml:space="preserve">          </t>
    </r>
    <r>
      <rPr>
        <sz val="11"/>
        <color rgb="FF098658"/>
        <rFont val="Consolas"/>
        <family val="3"/>
      </rPr>
      <t>0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</si>
  <si>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3</t>
    </r>
    <r>
      <rPr>
        <sz val="11"/>
        <color rgb="FF000000"/>
        <rFont val="Consolas"/>
        <family val="3"/>
      </rPr>
      <t>, SIZE_SPEC)) sizeSpec3,</t>
    </r>
  </si>
  <si>
    <r>
      <t xml:space="preserve">        ) </t>
    </r>
    <r>
      <rPr>
        <sz val="11"/>
        <color rgb="FF778899"/>
        <rFont val="Consolas"/>
        <family val="3"/>
      </rPr>
      <t>&gt;=</t>
    </r>
    <r>
      <rPr>
        <sz val="11"/>
        <color rgb="FF000000"/>
        <rFont val="Consolas"/>
        <family val="3"/>
      </rPr>
      <t xml:space="preserve">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THEN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CASE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</si>
  <si>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4</t>
    </r>
    <r>
      <rPr>
        <sz val="11"/>
        <color rgb="FF000000"/>
        <rFont val="Consolas"/>
        <family val="3"/>
      </rPr>
      <t>, SIZE_CD)) sizC4,</t>
    </r>
  </si>
  <si>
    <r>
      <t xml:space="preserve">          </t>
    </r>
    <r>
      <rPr>
        <sz val="11"/>
        <color rgb="FF0000FF"/>
        <rFont val="Consolas"/>
        <family val="3"/>
      </rPr>
      <t>WHEN</t>
    </r>
    <r>
      <rPr>
        <sz val="11"/>
        <color rgb="FF000000"/>
        <rFont val="Consolas"/>
        <family val="3"/>
      </rPr>
      <t xml:space="preserve"> NVL(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</si>
  <si>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4</t>
    </r>
    <r>
      <rPr>
        <sz val="11"/>
        <color rgb="FF000000"/>
        <rFont val="Consolas"/>
        <family val="3"/>
      </rPr>
      <t>, SIZE_SPEC)) sizeSpec4,</t>
    </r>
  </si>
  <si>
    <t>            (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</si>
  <si>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5</t>
    </r>
    <r>
      <rPr>
        <sz val="11"/>
        <color rgb="FF000000"/>
        <rFont val="Consolas"/>
        <family val="3"/>
      </rPr>
      <t>, SIZE_CD)) sizC5,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</si>
  <si>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5</t>
    </r>
    <r>
      <rPr>
        <sz val="11"/>
        <color rgb="FF000000"/>
        <rFont val="Consolas"/>
        <family val="3"/>
      </rPr>
      <t>, SIZE_SPEC)) sizeSpec5,</t>
    </r>
  </si>
  <si>
    <r>
      <t xml:space="preserve">                </t>
    </r>
    <r>
      <rPr>
        <sz val="11"/>
        <color rgb="FF098658"/>
        <rFont val="Consolas"/>
        <family val="3"/>
      </rPr>
      <t>1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</si>
  <si>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6</t>
    </r>
    <r>
      <rPr>
        <sz val="11"/>
        <color rgb="FF000000"/>
        <rFont val="Consolas"/>
        <family val="3"/>
      </rPr>
      <t>, SIZE_CD)) sizC6,</t>
    </r>
  </si>
  <si>
    <r>
      <t xml:space="preserve">      EMP_ID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a.DESIGN_EMP_ID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</si>
  <si>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6</t>
    </r>
    <r>
      <rPr>
        <sz val="11"/>
        <color rgb="FF000000"/>
        <rFont val="Consolas"/>
        <family val="3"/>
      </rPr>
      <t>, SIZE_SPEC)) sizeSpec6,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</si>
  <si>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7</t>
    </r>
    <r>
      <rPr>
        <sz val="11"/>
        <color rgb="FF000000"/>
        <rFont val="Consolas"/>
        <family val="3"/>
      </rPr>
      <t>, SIZE_CD)) sizC7,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</si>
  <si>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7</t>
    </r>
    <r>
      <rPr>
        <sz val="11"/>
        <color rgb="FF000000"/>
        <rFont val="Consolas"/>
        <family val="3"/>
      </rPr>
      <t>, SIZE_SPEC)) sizeSpec7,</t>
    </r>
  </si>
  <si>
    <t>  ) designEmpNm,</t>
  </si>
  <si>
    <r>
      <t xml:space="preserve">                PRDT_CD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A.PRDT_CD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</si>
  <si>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8</t>
    </r>
    <r>
      <rPr>
        <sz val="11"/>
        <color rgb="FF000000"/>
        <rFont val="Consolas"/>
        <family val="3"/>
      </rPr>
      <t>, SIZE_CD)) sizC8,</t>
    </r>
  </si>
  <si>
    <t>  A.CSUMR_PRICE csumrPrice,</t>
  </si>
  <si>
    <r>
      <t xml:space="preserve">          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COLOR_CD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A.COLOR_CD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</si>
  <si>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8</t>
    </r>
    <r>
      <rPr>
        <sz val="11"/>
        <color rgb="FF000000"/>
        <rFont val="Consolas"/>
        <family val="3"/>
      </rPr>
      <t>, SIZE_SPEC)) sizeSpec8,</t>
    </r>
  </si>
  <si>
    <t>  A.CSUMR_PRICE_CNFM_DT csumrPriceCnfmDt,</t>
  </si>
  <si>
    <r>
      <t xml:space="preserve">          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SEQN </t>
    </r>
    <r>
      <rPr>
        <sz val="11"/>
        <color rgb="FF778899"/>
        <rFont val="Consolas"/>
        <family val="3"/>
      </rPr>
      <t>!=</t>
    </r>
    <r>
      <rPr>
        <sz val="11"/>
        <color rgb="FF000000"/>
        <rFont val="Consolas"/>
        <family val="3"/>
      </rPr>
      <t xml:space="preserve"> (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</si>
  <si>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9</t>
    </r>
    <r>
      <rPr>
        <sz val="11"/>
        <color rgb="FF000000"/>
        <rFont val="Consolas"/>
        <family val="3"/>
      </rPr>
      <t>, SIZE_CD)) sizC9,</t>
    </r>
  </si>
  <si>
    <t>  A.INS_USERID insUserid,</t>
  </si>
  <si>
    <r>
      <t xml:space="preserve">                  </t>
    </r>
    <r>
      <rPr>
        <sz val="11"/>
        <color rgb="FF0000FF"/>
        <rFont val="Consolas"/>
        <family val="3"/>
      </rPr>
      <t>SELECT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</si>
  <si>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9</t>
    </r>
    <r>
      <rPr>
        <sz val="11"/>
        <color rgb="FF000000"/>
        <rFont val="Consolas"/>
        <family val="3"/>
      </rPr>
      <t>, SIZE_SPEC)) sizeSpec9,</t>
    </r>
  </si>
  <si>
    <t>  A.INS_DAY insDay,</t>
  </si>
  <si>
    <t>                    SEQN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</si>
  <si>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10</t>
    </r>
    <r>
      <rPr>
        <sz val="11"/>
        <color rgb="FF000000"/>
        <rFont val="Consolas"/>
        <family val="3"/>
      </rPr>
      <t>, SIZE_CD)) sizC10,</t>
    </r>
  </si>
  <si>
    <t>  A.ATTR1 attr1,</t>
  </si>
  <si>
    <r>
      <t xml:space="preserve">                  </t>
    </r>
    <r>
      <rPr>
        <sz val="11"/>
        <color rgb="FF0000FF"/>
        <rFont val="Consolas"/>
        <family val="3"/>
      </rPr>
      <t>FROM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</si>
  <si>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10</t>
    </r>
    <r>
      <rPr>
        <sz val="11"/>
        <color rgb="FF000000"/>
        <rFont val="Consolas"/>
        <family val="3"/>
      </rPr>
      <t>, SIZE_SPEC)) sizeSpec10,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</si>
  <si>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(A.PPRCS_UPRICE) </t>
    </r>
    <r>
      <rPr>
        <sz val="11"/>
        <color rgb="FF0000FF"/>
        <rFont val="Consolas"/>
        <family val="3"/>
      </rPr>
      <t>OVER</t>
    </r>
    <r>
      <rPr>
        <sz val="11"/>
        <color rgb="FF000000"/>
        <rFont val="Consolas"/>
        <family val="3"/>
      </rPr>
      <t xml:space="preserve"> (</t>
    </r>
    <r>
      <rPr>
        <sz val="11"/>
        <color rgb="FF0000FF"/>
        <rFont val="Consolas"/>
        <family val="3"/>
      </rPr>
      <t>PARTITION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BY</t>
    </r>
    <r>
      <rPr>
        <sz val="11"/>
        <color rgb="FF000000"/>
        <rFont val="Consolas"/>
        <family val="3"/>
      </rPr>
      <t xml:space="preserve"> A.PRDT_CD, A.SEQN) pprcsUprice,</t>
    </r>
  </si>
  <si>
    <t>                    T_STYLE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</si>
  <si>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11</t>
    </r>
    <r>
      <rPr>
        <sz val="11"/>
        <color rgb="FF000000"/>
        <rFont val="Consolas"/>
        <family val="3"/>
      </rPr>
      <t>, SIZE_CD)) sizC11,</t>
    </r>
  </si>
  <si>
    <t>  A.MFAC_BUY_PARTY_ID mfacBuyPartyId,</t>
  </si>
  <si>
    <r>
      <t xml:space="preserve">                  </t>
    </r>
    <r>
      <rPr>
        <sz val="11"/>
        <color rgb="FF0000FF"/>
        <rFont val="Consolas"/>
        <family val="3"/>
      </rPr>
      <t>WHERE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</si>
  <si>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11</t>
    </r>
    <r>
      <rPr>
        <sz val="11"/>
        <color rgb="FF000000"/>
        <rFont val="Consolas"/>
        <family val="3"/>
      </rPr>
      <t>, SIZE_SPEC)) sizeSpec11,</t>
    </r>
  </si>
  <si>
    <r>
      <t xml:space="preserve">                    STYLE_ID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A.STYLE_ID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</si>
  <si>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12</t>
    </r>
    <r>
      <rPr>
        <sz val="11"/>
        <color rgb="FF000000"/>
        <rFont val="Consolas"/>
        <family val="3"/>
      </rPr>
      <t>, SIZE_CD)) sizC12,</t>
    </r>
  </si>
  <si>
    <t>                )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</si>
  <si>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12</t>
    </r>
    <r>
      <rPr>
        <sz val="11"/>
        <color rgb="FF000000"/>
        <rFont val="Consolas"/>
        <family val="3"/>
      </rPr>
      <t>, SIZE_SPEC)) sizeSpec12,</t>
    </r>
  </si>
  <si>
    <r>
      <t xml:space="preserve">      </t>
    </r>
    <r>
      <rPr>
        <sz val="11"/>
        <color rgb="FF0000FF"/>
        <rFont val="Consolas"/>
        <family val="3"/>
      </rPr>
      <t>WHEN</t>
    </r>
    <r>
      <rPr>
        <sz val="11"/>
        <color rgb="FF000000"/>
        <rFont val="Consolas"/>
        <family val="3"/>
      </rPr>
      <t xml:space="preserve"> (</t>
    </r>
  </si>
  <si>
    <r>
      <t xml:space="preserve">          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ROWNUM </t>
    </r>
    <r>
      <rPr>
        <sz val="11"/>
        <color rgb="FF778899"/>
        <rFont val="Consolas"/>
        <family val="3"/>
      </rPr>
      <t>&lt;=</t>
    </r>
    <r>
      <rPr>
        <sz val="11"/>
        <color rgb="FF000000"/>
        <rFont val="Consolas"/>
        <family val="3"/>
      </rPr>
      <t xml:space="preserve"> </t>
    </r>
    <r>
      <rPr>
        <sz val="11"/>
        <color rgb="FF098658"/>
        <rFont val="Consolas"/>
        <family val="3"/>
      </rPr>
      <t>1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</si>
  <si>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13</t>
    </r>
    <r>
      <rPr>
        <sz val="11"/>
        <color rgb="FF000000"/>
        <rFont val="Consolas"/>
        <family val="3"/>
      </rPr>
      <t>, SIZE_CD)) sizC13,</t>
    </r>
  </si>
  <si>
    <r>
      <t xml:space="preserve">        </t>
    </r>
    <r>
      <rPr>
        <sz val="11"/>
        <color rgb="FF0000FF"/>
        <rFont val="Consolas"/>
        <family val="3"/>
      </rPr>
      <t>SELECT</t>
    </r>
  </si>
  <si>
    <t>            ),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</si>
  <si>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13</t>
    </r>
    <r>
      <rPr>
        <sz val="11"/>
        <color rgb="FF000000"/>
        <rFont val="Consolas"/>
        <family val="3"/>
      </rPr>
      <t>, SIZE_SPEC)) sizeSpec13,</t>
    </r>
  </si>
  <si>
    <r>
      <t xml:space="preserve">          </t>
    </r>
    <r>
      <rPr>
        <sz val="11"/>
        <color rgb="FFC700C7"/>
        <rFont val="Consolas"/>
        <family val="3"/>
      </rPr>
      <t>COUNT</t>
    </r>
    <r>
      <rPr>
        <sz val="11"/>
        <color rgb="FF000000"/>
        <rFont val="Consolas"/>
        <family val="3"/>
      </rPr>
      <t>(</t>
    </r>
    <r>
      <rPr>
        <sz val="11"/>
        <color rgb="FF778899"/>
        <rFont val="Consolas"/>
        <family val="3"/>
      </rPr>
      <t>*</t>
    </r>
    <r>
      <rPr>
        <sz val="11"/>
        <color rgb="FF000000"/>
        <rFont val="Consolas"/>
        <family val="3"/>
      </rPr>
      <t>)</t>
    </r>
  </si>
  <si>
    <r>
      <t xml:space="preserve">            </t>
    </r>
    <r>
      <rPr>
        <sz val="11"/>
        <color rgb="FF098658"/>
        <rFont val="Consolas"/>
        <family val="3"/>
      </rPr>
      <t>0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</si>
  <si>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14</t>
    </r>
    <r>
      <rPr>
        <sz val="11"/>
        <color rgb="FF000000"/>
        <rFont val="Consolas"/>
        <family val="3"/>
      </rPr>
      <t>, SIZE_CD)) sizC14,</t>
    </r>
  </si>
  <si>
    <r>
      <t xml:space="preserve">        </t>
    </r>
    <r>
      <rPr>
        <sz val="11"/>
        <color rgb="FF0000FF"/>
        <rFont val="Consolas"/>
        <family val="3"/>
      </rPr>
      <t>FROM</t>
    </r>
  </si>
  <si>
    <r>
      <t xml:space="preserve">          ) </t>
    </r>
    <r>
      <rPr>
        <sz val="11"/>
        <color rgb="FF778899"/>
        <rFont val="Consolas"/>
        <family val="3"/>
      </rPr>
      <t>&gt;=</t>
    </r>
    <r>
      <rPr>
        <sz val="11"/>
        <color rgb="FF000000"/>
        <rFont val="Consolas"/>
        <family val="3"/>
      </rPr>
      <t xml:space="preserve">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THEN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'Y'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</si>
  <si>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14</t>
    </r>
    <r>
      <rPr>
        <sz val="11"/>
        <color rgb="FF000000"/>
        <rFont val="Consolas"/>
        <family val="3"/>
      </rPr>
      <t>, SIZE_SPEC)) sizeSpec14,</t>
    </r>
  </si>
  <si>
    <t>          T_WH_RNDS_BASE</t>
  </si>
  <si>
    <r>
      <t xml:space="preserve">          </t>
    </r>
    <r>
      <rPr>
        <sz val="11"/>
        <color rgb="FF0000FF"/>
        <rFont val="Consolas"/>
        <family val="3"/>
      </rPr>
      <t>ELSE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'N'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</si>
  <si>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15</t>
    </r>
    <r>
      <rPr>
        <sz val="11"/>
        <color rgb="FF000000"/>
        <rFont val="Consolas"/>
        <family val="3"/>
      </rPr>
      <t>, SIZE_CD)) sizC15,</t>
    </r>
  </si>
  <si>
    <r>
      <t xml:space="preserve">        </t>
    </r>
    <r>
      <rPr>
        <sz val="11"/>
        <color rgb="FF0000FF"/>
        <rFont val="Consolas"/>
        <family val="3"/>
      </rPr>
      <t>WHERE</t>
    </r>
  </si>
  <si>
    <r>
      <t xml:space="preserve">        </t>
    </r>
    <r>
      <rPr>
        <sz val="11"/>
        <color rgb="FF0000FF"/>
        <rFont val="Consolas"/>
        <family val="3"/>
      </rPr>
      <t>END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</si>
  <si>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15</t>
    </r>
    <r>
      <rPr>
        <sz val="11"/>
        <color rgb="FF000000"/>
        <rFont val="Consolas"/>
        <family val="3"/>
      </rPr>
      <t>, SIZE_SPEC)) sizeSpec15,</t>
    </r>
  </si>
  <si>
    <r>
      <t xml:space="preserve">          PRDT_CD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A.PRDT_CD</t>
    </r>
  </si>
  <si>
    <r>
      <t xml:space="preserve">        </t>
    </r>
    <r>
      <rPr>
        <sz val="11"/>
        <color rgb="FF0000FF"/>
        <rFont val="Consolas"/>
        <family val="3"/>
      </rPr>
      <t>ELSE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'Y'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</si>
  <si>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16</t>
    </r>
    <r>
      <rPr>
        <sz val="11"/>
        <color rgb="FF000000"/>
        <rFont val="Consolas"/>
        <family val="3"/>
      </rPr>
      <t>, SIZE_CD)) sizC16,</t>
    </r>
  </si>
  <si>
    <r>
      <t xml:space="preserve">    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DEL_DAY </t>
    </r>
    <r>
      <rPr>
        <sz val="11"/>
        <color rgb="FF778899"/>
        <rFont val="Consolas"/>
        <family val="3"/>
      </rPr>
      <t>IS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NULL</t>
    </r>
  </si>
  <si>
    <r>
      <t xml:space="preserve">      </t>
    </r>
    <r>
      <rPr>
        <sz val="11"/>
        <color rgb="FF0000FF"/>
        <rFont val="Consolas"/>
        <family val="3"/>
      </rPr>
      <t>END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</si>
  <si>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 (DECODE (RNUM, </t>
    </r>
    <r>
      <rPr>
        <sz val="11"/>
        <color rgb="FF098658"/>
        <rFont val="Consolas"/>
        <family val="3"/>
      </rPr>
      <t>16</t>
    </r>
    <r>
      <rPr>
        <sz val="11"/>
        <color rgb="FF000000"/>
        <rFont val="Consolas"/>
        <family val="3"/>
      </rPr>
      <t>, SIZE_SPEC)) sizeSpec16,</t>
    </r>
  </si>
  <si>
    <r>
      <t xml:space="preserve">    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STOCK_STAT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'C20111'</t>
    </r>
  </si>
  <si>
    <r>
      <t xml:space="preserve">    </t>
    </r>
    <r>
      <rPr>
        <sz val="11"/>
        <color rgb="FF0000FF"/>
        <rFont val="Consolas"/>
        <family val="3"/>
      </rPr>
      <t>END</t>
    </r>
  </si>
  <si>
    <t>  ATTR1 attr1</t>
  </si>
  <si>
    <r>
      <t xml:space="preserve">      ) </t>
    </r>
    <r>
      <rPr>
        <sz val="11"/>
        <color rgb="FF778899"/>
        <rFont val="Consolas"/>
        <family val="3"/>
      </rPr>
      <t>&gt;</t>
    </r>
    <r>
      <rPr>
        <sz val="11"/>
        <color rgb="FF000000"/>
        <rFont val="Consolas"/>
        <family val="3"/>
      </rPr>
      <t xml:space="preserve">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THEN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'N'</t>
    </r>
  </si>
  <si>
    <r>
      <t xml:space="preserve">  ) </t>
    </r>
    <r>
      <rPr>
        <sz val="11"/>
        <color rgb="FF0000FF"/>
        <rFont val="Consolas"/>
        <family val="3"/>
      </rPr>
      <t>AS</t>
    </r>
    <r>
      <rPr>
        <sz val="11"/>
        <color rgb="FF000000"/>
        <rFont val="Consolas"/>
        <family val="3"/>
      </rPr>
      <t xml:space="preserve"> delCheckYn,</t>
    </r>
  </si>
  <si>
    <r>
      <t xml:space="preserve">      </t>
    </r>
    <r>
      <rPr>
        <sz val="11"/>
        <color rgb="FF0000FF"/>
        <rFont val="Consolas"/>
        <family val="3"/>
      </rPr>
      <t>ELSE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'Y'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</si>
  <si>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>, SIZE_CD)) sizC1,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</si>
  <si>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>, MFAC_INDC_QTY)) indcQty1,</t>
    </r>
  </si>
  <si>
    <t>  ) chkYn,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</si>
  <si>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>, STOR_QTY)) storQty1,</t>
    </r>
  </si>
  <si>
    <t>      A.PRDT_CD,</t>
  </si>
  <si>
    <t>  B.MIX_RATE mixRate,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</si>
  <si>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2</t>
    </r>
    <r>
      <rPr>
        <sz val="11"/>
        <color rgb="FF000000"/>
        <rFont val="Consolas"/>
        <family val="3"/>
      </rPr>
      <t>, SIZE_CD)) sizC2,</t>
    </r>
  </si>
  <si>
    <t>      A.STYLE_SEQN,</t>
  </si>
  <si>
    <t>  B.FBR_SPEC fbrSpec,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</si>
  <si>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2</t>
    </r>
    <r>
      <rPr>
        <sz val="11"/>
        <color rgb="FF000000"/>
        <rFont val="Consolas"/>
        <family val="3"/>
      </rPr>
      <t>, MFAC_INDC_QTY)) indcQty2,</t>
    </r>
  </si>
  <si>
    <t>      A.SIZE_CD,</t>
  </si>
  <si>
    <t>  A.MFAC_KIND_CLSBY mfacKindClsby,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</si>
  <si>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2</t>
    </r>
    <r>
      <rPr>
        <sz val="11"/>
        <color rgb="FF000000"/>
        <rFont val="Consolas"/>
        <family val="3"/>
      </rPr>
      <t>, STOR_QTY)) storQty2,</t>
    </r>
  </si>
  <si>
    <t>      A.SEQ,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</si>
  <si>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(A.MFAC_INDC_UPRICE) </t>
    </r>
    <r>
      <rPr>
        <sz val="11"/>
        <color rgb="FF0000FF"/>
        <rFont val="Consolas"/>
        <family val="3"/>
      </rPr>
      <t>OVER</t>
    </r>
    <r>
      <rPr>
        <sz val="11"/>
        <color rgb="FF000000"/>
        <rFont val="Consolas"/>
        <family val="3"/>
      </rPr>
      <t xml:space="preserve"> (</t>
    </r>
    <r>
      <rPr>
        <sz val="11"/>
        <color rgb="FF0000FF"/>
        <rFont val="Consolas"/>
        <family val="3"/>
      </rPr>
      <t>PARTITION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BY</t>
    </r>
    <r>
      <rPr>
        <sz val="11"/>
        <color rgb="FF000000"/>
        <rFont val="Consolas"/>
        <family val="3"/>
      </rPr>
      <t xml:space="preserve"> A.PRDT_CD, A.SEQN) mfacIndcUprice,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</si>
  <si>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3</t>
    </r>
    <r>
      <rPr>
        <sz val="11"/>
        <color rgb="FF000000"/>
        <rFont val="Consolas"/>
        <family val="3"/>
      </rPr>
      <t>, SIZE_CD)) sizC3,</t>
    </r>
  </si>
  <si>
    <t>      A.PUSE_PART,</t>
  </si>
  <si>
    <t>  A.BRD_LINE_CD brdLineCd,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</si>
  <si>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3</t>
    </r>
    <r>
      <rPr>
        <sz val="11"/>
        <color rgb="FF000000"/>
        <rFont val="Consolas"/>
        <family val="3"/>
      </rPr>
      <t>, MFAC_INDC_QTY)) indcQty3,</t>
    </r>
  </si>
  <si>
    <t>      B.SIZE_SPEC,</t>
  </si>
  <si>
    <t>  A.PRDT_CLASS_CD prdtClassCd,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</si>
  <si>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3</t>
    </r>
    <r>
      <rPr>
        <sz val="11"/>
        <color rgb="FF000000"/>
        <rFont val="Consolas"/>
        <family val="3"/>
      </rPr>
      <t>, STOR_QTY)) storQty3,</t>
    </r>
  </si>
  <si>
    <t>      A.ATTR1,</t>
  </si>
  <si>
    <t>  B.GOAL_MFAC_MULT goalMfacMult,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</si>
  <si>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4</t>
    </r>
    <r>
      <rPr>
        <sz val="11"/>
        <color rgb="FF000000"/>
        <rFont val="Consolas"/>
        <family val="3"/>
      </rPr>
      <t>, SIZE_CD)) sizC4,</t>
    </r>
  </si>
  <si>
    <r>
      <t xml:space="preserve">      </t>
    </r>
    <r>
      <rPr>
        <sz val="11"/>
        <color rgb="FFC700C7"/>
        <rFont val="Consolas"/>
        <family val="3"/>
      </rPr>
      <t>DENSE_RANK</t>
    </r>
    <r>
      <rPr>
        <sz val="11"/>
        <color rgb="FF000000"/>
        <rFont val="Consolas"/>
        <family val="3"/>
      </rPr>
      <t xml:space="preserve"> () </t>
    </r>
    <r>
      <rPr>
        <sz val="11"/>
        <color rgb="FF0000FF"/>
        <rFont val="Consolas"/>
        <family val="3"/>
      </rPr>
      <t>OVER</t>
    </r>
    <r>
      <rPr>
        <sz val="11"/>
        <color rgb="FF000000"/>
        <rFont val="Consolas"/>
        <family val="3"/>
      </rPr>
      <t xml:space="preserve"> (</t>
    </r>
  </si>
  <si>
    <t>  A.ESTM_SALE_START_DT estmSaleStartDt,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</si>
  <si>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4</t>
    </r>
    <r>
      <rPr>
        <sz val="11"/>
        <color rgb="FF000000"/>
        <rFont val="Consolas"/>
        <family val="3"/>
      </rPr>
      <t>, MFAC_INDC_QTY)) indcQty4,</t>
    </r>
  </si>
  <si>
    <r>
      <t xml:space="preserve">        </t>
    </r>
    <r>
      <rPr>
        <sz val="11"/>
        <color rgb="FF0000FF"/>
        <rFont val="Consolas"/>
        <family val="3"/>
      </rPr>
      <t>PARTITION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BY</t>
    </r>
    <r>
      <rPr>
        <sz val="11"/>
        <color rgb="FF000000"/>
        <rFont val="Consolas"/>
        <family val="3"/>
      </rPr>
      <t xml:space="preserve"> A.PRDT_CD,</t>
    </r>
  </si>
  <si>
    <t>  A.ESTM_SALE_TERM estmSaleTerm,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</si>
  <si>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4</t>
    </r>
    <r>
      <rPr>
        <sz val="11"/>
        <color rgb="FF000000"/>
        <rFont val="Consolas"/>
        <family val="3"/>
      </rPr>
      <t>, STOR_QTY)) storQty4,</t>
    </r>
  </si>
  <si>
    <t>        A.STYLE_SEQN</t>
  </si>
  <si>
    <t>  A.GOAL_SALE_RATE goalSaleRate,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</si>
  <si>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5</t>
    </r>
    <r>
      <rPr>
        <sz val="11"/>
        <color rgb="FF000000"/>
        <rFont val="Consolas"/>
        <family val="3"/>
      </rPr>
      <t>, SIZE_CD)) sizC5,</t>
    </r>
  </si>
  <si>
    <r>
      <t xml:space="preserve">        </t>
    </r>
    <r>
      <rPr>
        <sz val="11"/>
        <color rgb="FF0000FF"/>
        <rFont val="Consolas"/>
        <family val="3"/>
      </rPr>
      <t>ORDER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BY</t>
    </r>
  </si>
  <si>
    <t>  B.BGET_TYPE bgetType,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</si>
  <si>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5</t>
    </r>
    <r>
      <rPr>
        <sz val="11"/>
        <color rgb="FF000000"/>
        <rFont val="Consolas"/>
        <family val="3"/>
      </rPr>
      <t>, MFAC_INDC_QTY)) indcQty5,</t>
    </r>
  </si>
  <si>
    <t>          A.PRDT_CD,</t>
  </si>
  <si>
    <t>  B.ORDER_CLSBY orderClsby,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</si>
  <si>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5</t>
    </r>
    <r>
      <rPr>
        <sz val="11"/>
        <color rgb="FF000000"/>
        <rFont val="Consolas"/>
        <family val="3"/>
      </rPr>
      <t>, STOR_QTY)) storQty5,</t>
    </r>
  </si>
  <si>
    <r>
      <t xml:space="preserve">          LPAD (A.SIZE_CD, </t>
    </r>
    <r>
      <rPr>
        <sz val="11"/>
        <color rgb="FF098658"/>
        <rFont val="Consolas"/>
        <family val="3"/>
      </rPr>
      <t>3</t>
    </r>
    <r>
      <rPr>
        <sz val="11"/>
        <color rgb="FF000000"/>
        <rFont val="Consolas"/>
        <family val="3"/>
      </rPr>
      <t xml:space="preserve">, </t>
    </r>
    <r>
      <rPr>
        <sz val="11"/>
        <color rgb="FFFF0000"/>
        <rFont val="Consolas"/>
        <family val="3"/>
      </rPr>
      <t>'0'</t>
    </r>
    <r>
      <rPr>
        <sz val="11"/>
        <color rgb="FF000000"/>
        <rFont val="Consolas"/>
        <family val="3"/>
      </rPr>
      <t>)</t>
    </r>
  </si>
  <si>
    <t>  B.GOAL_COST goalCost,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</si>
  <si>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6</t>
    </r>
    <r>
      <rPr>
        <sz val="11"/>
        <color rgb="FF000000"/>
        <rFont val="Consolas"/>
        <family val="3"/>
      </rPr>
      <t>, SIZE_CD)) sizC6,</t>
    </r>
  </si>
  <si>
    <t>      ) RNUM</t>
  </si>
  <si>
    <t>  B.PARTT_STOR_YN parttStorYn,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</si>
  <si>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6</t>
    </r>
    <r>
      <rPr>
        <sz val="11"/>
        <color rgb="FF000000"/>
        <rFont val="Consolas"/>
        <family val="3"/>
      </rPr>
      <t>, MFAC_INDC_QTY)) indcQty6,</t>
    </r>
  </si>
  <si>
    <t>  B.FDS_NO fdsNo,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</si>
  <si>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6</t>
    </r>
    <r>
      <rPr>
        <sz val="11"/>
        <color rgb="FF000000"/>
        <rFont val="Consolas"/>
        <family val="3"/>
      </rPr>
      <t>, STOR_QTY)) storQty6,</t>
    </r>
  </si>
  <si>
    <t>      FORM A</t>
  </si>
  <si>
    <t>  B.WORK_INDC_SEND_SEQ workIndcSendSeq,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</si>
  <si>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7</t>
    </r>
    <r>
      <rPr>
        <sz val="11"/>
        <color rgb="FF000000"/>
        <rFont val="Consolas"/>
        <family val="3"/>
      </rPr>
      <t>, SIZE_CD)) sizC7,</t>
    </r>
  </si>
  <si>
    <r>
      <t xml:space="preserve">      </t>
    </r>
    <r>
      <rPr>
        <sz val="11"/>
        <color rgb="FF778899"/>
        <rFont val="Consolas"/>
        <family val="3"/>
      </rPr>
      <t>LEFT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JOIN</t>
    </r>
    <r>
      <rPr>
        <sz val="11"/>
        <color rgb="FF000000"/>
        <rFont val="Consolas"/>
        <family val="3"/>
      </rPr>
      <t xml:space="preserve"> SIZE_SPEC B </t>
    </r>
    <r>
      <rPr>
        <sz val="11"/>
        <color rgb="FF0000FF"/>
        <rFont val="Consolas"/>
        <family val="3"/>
      </rPr>
      <t>ON</t>
    </r>
    <r>
      <rPr>
        <sz val="11"/>
        <color rgb="FF000000"/>
        <rFont val="Consolas"/>
        <family val="3"/>
      </rPr>
      <t xml:space="preserve"> A.PRDT_CD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B.PRDT_CD</t>
    </r>
  </si>
  <si>
    <t>  B.WORK_INDC_SEND_DT workIndcSendDt,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</si>
  <si>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7</t>
    </r>
    <r>
      <rPr>
        <sz val="11"/>
        <color rgb="FF000000"/>
        <rFont val="Consolas"/>
        <family val="3"/>
      </rPr>
      <t>, MFAC_INDC_QTY)) indcQty7,</t>
    </r>
  </si>
  <si>
    <r>
      <t xml:space="preserve">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A.STYLE_SEQN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B.STYLE_SEQN</t>
    </r>
  </si>
  <si>
    <t>  A.ESTM_SALE_END_DT estmSaleEndDt,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</si>
  <si>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7</t>
    </r>
    <r>
      <rPr>
        <sz val="11"/>
        <color rgb="FF000000"/>
        <rFont val="Consolas"/>
        <family val="3"/>
      </rPr>
      <t>, STOR_QTY)) storQty7,</t>
    </r>
  </si>
  <si>
    <r>
      <t xml:space="preserve">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A.SIZE_CD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B.SIZE_CD</t>
    </r>
  </si>
  <si>
    <r>
      <t xml:space="preserve">  </t>
    </r>
    <r>
      <rPr>
        <sz val="11"/>
        <color rgb="FFFF0000"/>
        <rFont val="Consolas"/>
        <family val="3"/>
      </rPr>
      <t>''</t>
    </r>
    <r>
      <rPr>
        <sz val="11"/>
        <color rgb="FF000000"/>
        <rFont val="Consolas"/>
        <family val="3"/>
      </rPr>
      <t xml:space="preserve"> exprDtUptReason,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</si>
  <si>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8</t>
    </r>
    <r>
      <rPr>
        <sz val="11"/>
        <color rgb="FF000000"/>
        <rFont val="Consolas"/>
        <family val="3"/>
      </rPr>
      <t>, SIZE_CD)) sizC8,</t>
    </r>
  </si>
  <si>
    <r>
      <t xml:space="preserve">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A.SEQ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B.SEQ</t>
    </r>
  </si>
  <si>
    <r>
      <t xml:space="preserve">  </t>
    </r>
    <r>
      <rPr>
        <sz val="11"/>
        <color rgb="FFFF0000"/>
        <rFont val="Consolas"/>
        <family val="3"/>
      </rPr>
      <t>''</t>
    </r>
    <r>
      <rPr>
        <sz val="11"/>
        <color rgb="FF000000"/>
        <rFont val="Consolas"/>
        <family val="3"/>
      </rPr>
      <t xml:space="preserve"> exprDtUptReasonDtl,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</si>
  <si>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8</t>
    </r>
    <r>
      <rPr>
        <sz val="11"/>
        <color rgb="FF000000"/>
        <rFont val="Consolas"/>
        <family val="3"/>
      </rPr>
      <t>, MFAC_INDC_QTY)) indcQty8,</t>
    </r>
  </si>
  <si>
    <t>  )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</si>
  <si>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8</t>
    </r>
    <r>
      <rPr>
        <sz val="11"/>
        <color rgb="FF000000"/>
        <rFont val="Consolas"/>
        <family val="3"/>
      </rPr>
      <t>, STOR_QTY)) storQty8,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</si>
  <si>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9</t>
    </r>
    <r>
      <rPr>
        <sz val="11"/>
        <color rgb="FF000000"/>
        <rFont val="Consolas"/>
        <family val="3"/>
      </rPr>
      <t>, SIZE_CD)) sizC9,</t>
    </r>
  </si>
  <si>
    <t>  PRDT_CD,</t>
  </si>
  <si>
    <r>
      <t xml:space="preserve">      </t>
    </r>
    <r>
      <rPr>
        <sz val="11"/>
        <color rgb="FF0000FF"/>
        <rFont val="Consolas"/>
        <family val="3"/>
      </rPr>
      <t>CASE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</si>
  <si>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9</t>
    </r>
    <r>
      <rPr>
        <sz val="11"/>
        <color rgb="FF000000"/>
        <rFont val="Consolas"/>
        <family val="3"/>
      </rPr>
      <t>, MFAC_INDC_QTY)) indcQty9,</t>
    </r>
  </si>
  <si>
    <t>  SEQ,</t>
  </si>
  <si>
    <r>
      <t xml:space="preserve">        </t>
    </r>
    <r>
      <rPr>
        <sz val="11"/>
        <color rgb="FF0000FF"/>
        <rFont val="Consolas"/>
        <family val="3"/>
      </rPr>
      <t>WHEN</t>
    </r>
    <r>
      <rPr>
        <sz val="11"/>
        <color rgb="FF000000"/>
        <rFont val="Consolas"/>
        <family val="3"/>
      </rPr>
      <t xml:space="preserve"> </t>
    </r>
    <r>
      <rPr>
        <sz val="11"/>
        <color rgb="FFC700C7"/>
        <rFont val="Consolas"/>
        <family val="3"/>
      </rPr>
      <t>COUNT</t>
    </r>
    <r>
      <rPr>
        <sz val="11"/>
        <color rgb="FF000000"/>
        <rFont val="Consolas"/>
        <family val="3"/>
      </rPr>
      <t xml:space="preserve"> (</t>
    </r>
    <r>
      <rPr>
        <sz val="11"/>
        <color rgb="FF778899"/>
        <rFont val="Consolas"/>
        <family val="3"/>
      </rPr>
      <t>*</t>
    </r>
    <r>
      <rPr>
        <sz val="11"/>
        <color rgb="FF000000"/>
        <rFont val="Consolas"/>
        <family val="3"/>
      </rPr>
      <t xml:space="preserve">)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THEN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'N'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</si>
  <si>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9</t>
    </r>
    <r>
      <rPr>
        <sz val="11"/>
        <color rgb="FF000000"/>
        <rFont val="Consolas"/>
        <family val="3"/>
      </rPr>
      <t>, STOR_QTY)) storQty9,</t>
    </r>
  </si>
  <si>
    <t>  STYLE_SEQN,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</si>
  <si>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10</t>
    </r>
    <r>
      <rPr>
        <sz val="11"/>
        <color rgb="FF000000"/>
        <rFont val="Consolas"/>
        <family val="3"/>
      </rPr>
      <t>, SIZE_CD)) sizC10,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</si>
  <si>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10</t>
    </r>
    <r>
      <rPr>
        <sz val="11"/>
        <color rgb="FF000000"/>
        <rFont val="Consolas"/>
        <family val="3"/>
      </rPr>
      <t>, MFAC_INDC_QTY)) indcQty10,</t>
    </r>
  </si>
  <si>
    <t>  PUSE_PART,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</si>
  <si>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10</t>
    </r>
    <r>
      <rPr>
        <sz val="11"/>
        <color rgb="FF000000"/>
        <rFont val="Consolas"/>
        <family val="3"/>
      </rPr>
      <t>, STOR_QTY)) storQty10,</t>
    </r>
  </si>
  <si>
    <t>  ATTR1</t>
  </si>
  <si>
    <t>      T_GRP_USR_MAPP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</si>
  <si>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11</t>
    </r>
    <r>
      <rPr>
        <sz val="11"/>
        <color rgb="FF000000"/>
        <rFont val="Consolas"/>
        <family val="3"/>
      </rPr>
      <t>, SIZE_CD)) sizC11,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</si>
  <si>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11</t>
    </r>
    <r>
      <rPr>
        <sz val="11"/>
        <color rgb="FF000000"/>
        <rFont val="Consolas"/>
        <family val="3"/>
      </rPr>
      <t>, MFAC_INDC_QTY)) indcQty11,</t>
    </r>
  </si>
  <si>
    <t>  SEQ</t>
  </si>
  <si>
    <r>
      <t xml:space="preserve">      USR_ID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'cyu5733'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</si>
  <si>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11</t>
    </r>
    <r>
      <rPr>
        <sz val="11"/>
        <color rgb="FF000000"/>
        <rFont val="Consolas"/>
        <family val="3"/>
      </rPr>
      <t>, STOR_QTY)) storQty11,</t>
    </r>
  </si>
  <si>
    <r>
      <t xml:space="preserve">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GRP_ID </t>
    </r>
    <r>
      <rPr>
        <sz val="11"/>
        <color rgb="FF778899"/>
        <rFont val="Consolas"/>
        <family val="3"/>
      </rPr>
      <t>IN</t>
    </r>
    <r>
      <rPr>
        <sz val="11"/>
        <color rgb="FF000000"/>
        <rFont val="Consolas"/>
        <family val="3"/>
      </rPr>
      <t xml:space="preserve"> (</t>
    </r>
    <r>
      <rPr>
        <sz val="11"/>
        <color rgb="FFFF0000"/>
        <rFont val="Consolas"/>
        <family val="3"/>
      </rPr>
      <t>'EXPR_DT_MG'</t>
    </r>
    <r>
      <rPr>
        <sz val="11"/>
        <color rgb="FF000000"/>
        <rFont val="Consolas"/>
        <family val="3"/>
      </rPr>
      <t xml:space="preserve">, </t>
    </r>
    <r>
      <rPr>
        <sz val="11"/>
        <color rgb="FFFF0000"/>
        <rFont val="Consolas"/>
        <family val="3"/>
      </rPr>
      <t>'SYSTEM_MG'</t>
    </r>
    <r>
      <rPr>
        <sz val="11"/>
        <color rgb="FF000000"/>
        <rFont val="Consolas"/>
        <family val="3"/>
      </rPr>
      <t>)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</si>
  <si>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12</t>
    </r>
    <r>
      <rPr>
        <sz val="11"/>
        <color rgb="FF000000"/>
        <rFont val="Consolas"/>
        <family val="3"/>
      </rPr>
      <t>, SIZE_CD)) sizC12,</t>
    </r>
  </si>
  <si>
    <t>  ) exprDtClsby,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</si>
  <si>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12</t>
    </r>
    <r>
      <rPr>
        <sz val="11"/>
        <color rgb="FF000000"/>
        <rFont val="Consolas"/>
        <family val="3"/>
      </rPr>
      <t>, MFAC_INDC_QTY)) indcQty12,</t>
    </r>
  </si>
  <si>
    <r>
      <t xml:space="preserve">  TO_CHAR (SYSDATE </t>
    </r>
    <r>
      <rPr>
        <sz val="11"/>
        <color rgb="FF778899"/>
        <rFont val="Consolas"/>
        <family val="3"/>
      </rPr>
      <t>+</t>
    </r>
    <r>
      <rPr>
        <sz val="11"/>
        <color rgb="FF000000"/>
        <rFont val="Consolas"/>
        <family val="3"/>
      </rPr>
      <t xml:space="preserve"> </t>
    </r>
    <r>
      <rPr>
        <sz val="11"/>
        <color rgb="FF098658"/>
        <rFont val="Consolas"/>
        <family val="3"/>
      </rPr>
      <t>28</t>
    </r>
    <r>
      <rPr>
        <sz val="11"/>
        <color rgb="FF000000"/>
        <rFont val="Consolas"/>
        <family val="3"/>
      </rPr>
      <t xml:space="preserve">, </t>
    </r>
    <r>
      <rPr>
        <sz val="11"/>
        <color rgb="FFFF0000"/>
        <rFont val="Consolas"/>
        <family val="3"/>
      </rPr>
      <t>'YYYYMMDD'</t>
    </r>
    <r>
      <rPr>
        <sz val="11"/>
        <color rgb="FF000000"/>
        <rFont val="Consolas"/>
        <family val="3"/>
      </rPr>
      <t>) today,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</si>
  <si>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12</t>
    </r>
    <r>
      <rPr>
        <sz val="11"/>
        <color rgb="FF000000"/>
        <rFont val="Consolas"/>
        <family val="3"/>
      </rPr>
      <t>, STOR_QTY)) storQty12,</t>
    </r>
  </si>
  <si>
    <t>  A.STRCH_CD strchCd,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</si>
  <si>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13</t>
    </r>
    <r>
      <rPr>
        <sz val="11"/>
        <color rgb="FF000000"/>
        <rFont val="Consolas"/>
        <family val="3"/>
      </rPr>
      <t>, SIZE_CD)) sizC13,</t>
    </r>
  </si>
  <si>
    <t>  A.TRN_CD trnCd,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</si>
  <si>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13</t>
    </r>
    <r>
      <rPr>
        <sz val="11"/>
        <color rgb="FF000000"/>
        <rFont val="Consolas"/>
        <family val="3"/>
      </rPr>
      <t>, MFAC_INDC_QTY)) indcQty13,</t>
    </r>
  </si>
  <si>
    <t>  A.LINNG_CD linngCd,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</si>
  <si>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13</t>
    </r>
    <r>
      <rPr>
        <sz val="11"/>
        <color rgb="FF000000"/>
        <rFont val="Consolas"/>
        <family val="3"/>
      </rPr>
      <t>, STOR_QTY)) storQty13,</t>
    </r>
  </si>
  <si>
    <t>  A.PRDT_KOR_NM prdtKorNm,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</si>
  <si>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14</t>
    </r>
    <r>
      <rPr>
        <sz val="11"/>
        <color rgb="FF000000"/>
        <rFont val="Consolas"/>
        <family val="3"/>
      </rPr>
      <t>, SIZE_CD)) sizC14,</t>
    </r>
  </si>
  <si>
    <t>  B.MFAC_CHRG_DEPT mfacChrgDept,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</si>
  <si>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14</t>
    </r>
    <r>
      <rPr>
        <sz val="11"/>
        <color rgb="FF000000"/>
        <rFont val="Consolas"/>
        <family val="3"/>
      </rPr>
      <t>, MFAC_INDC_QTY)) indcQty14,</t>
    </r>
  </si>
  <si>
    <t>  A.PACK_TYPE packType,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</si>
  <si>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14</t>
    </r>
    <r>
      <rPr>
        <sz val="11"/>
        <color rgb="FF000000"/>
        <rFont val="Consolas"/>
        <family val="3"/>
      </rPr>
      <t>, STOR_QTY)) storQty14,</t>
    </r>
  </si>
  <si>
    <t>  A.DPUR_YN dpurYn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</si>
  <si>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15</t>
    </r>
    <r>
      <rPr>
        <sz val="11"/>
        <color rgb="FF000000"/>
        <rFont val="Consolas"/>
        <family val="3"/>
      </rPr>
      <t>, SIZE_CD)) sizC15,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</si>
  <si>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15</t>
    </r>
    <r>
      <rPr>
        <sz val="11"/>
        <color rgb="FF000000"/>
        <rFont val="Consolas"/>
        <family val="3"/>
      </rPr>
      <t>, MFAC_INDC_QTY)) indcQty15,</t>
    </r>
  </si>
  <si>
    <t>  V_PRDT_STYLE A,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</si>
  <si>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15</t>
    </r>
    <r>
      <rPr>
        <sz val="11"/>
        <color rgb="FF000000"/>
        <rFont val="Consolas"/>
        <family val="3"/>
      </rPr>
      <t>, STOR_QTY)) storQty15,</t>
    </r>
  </si>
  <si>
    <t>  T_WORK_INDC B</t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</si>
  <si>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16</t>
    </r>
    <r>
      <rPr>
        <sz val="11"/>
        <color rgb="FF000000"/>
        <rFont val="Consolas"/>
        <family val="3"/>
      </rPr>
      <t>, SIZE_CD)) sizC16,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</si>
  <si>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16</t>
    </r>
    <r>
      <rPr>
        <sz val="11"/>
        <color rgb="FF000000"/>
        <rFont val="Consolas"/>
        <family val="3"/>
      </rPr>
      <t>, MFAC_INDC_QTY)) indcQty16,</t>
    </r>
  </si>
  <si>
    <r>
      <t xml:space="preserve">  A.PRDT_CD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B.PRDT_CD</t>
    </r>
  </si>
  <si>
    <r>
      <t xml:space="preserve">  </t>
    </r>
    <r>
      <rPr>
        <sz val="11"/>
        <color rgb="FFC700C7"/>
        <rFont val="Consolas"/>
        <family val="3"/>
      </rPr>
      <t>MAX</t>
    </r>
    <r>
      <rPr>
        <sz val="11"/>
        <color rgb="FF000000"/>
        <rFont val="Consolas"/>
        <family val="3"/>
      </rPr>
      <t xml:space="preserve">(DECODE(RNUM, </t>
    </r>
    <r>
      <rPr>
        <sz val="11"/>
        <color rgb="FF098658"/>
        <rFont val="Consolas"/>
        <family val="3"/>
      </rPr>
      <t>16</t>
    </r>
    <r>
      <rPr>
        <sz val="11"/>
        <color rgb="FF000000"/>
        <rFont val="Consolas"/>
        <family val="3"/>
      </rPr>
      <t>, STOR_QTY)) storQty16,</t>
    </r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</si>
  <si>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A.SEQN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B.STYLE_SEQN</t>
    </r>
  </si>
  <si>
    <r>
      <t xml:space="preserve">  </t>
    </r>
    <r>
      <rPr>
        <sz val="11"/>
        <color rgb="FFFF0000"/>
        <rFont val="Consolas"/>
        <family val="3"/>
      </rPr>
      <t>''</t>
    </r>
    <r>
      <rPr>
        <sz val="11"/>
        <color rgb="FF000000"/>
        <rFont val="Consolas"/>
        <family val="3"/>
      </rPr>
      <t xml:space="preserve"> reqQty</t>
    </r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</si>
  <si>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A.PRDT_CD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'EKF2ER2200'</t>
    </r>
  </si>
  <si>
    <r>
      <t>FROM</t>
    </r>
    <r>
      <rPr>
        <sz val="11"/>
        <color rgb="FF000000"/>
        <rFont val="Consolas"/>
        <family val="3"/>
      </rPr>
      <t>(</t>
    </r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</si>
  <si>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A.SEQN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'A'</t>
    </r>
  </si>
  <si>
    <r>
      <t xml:space="preserve">    </t>
    </r>
    <r>
      <rPr>
        <sz val="11"/>
        <color rgb="FF0000FF"/>
        <rFont val="Consolas"/>
        <family val="3"/>
      </rPr>
      <t>WITH</t>
    </r>
    <r>
      <rPr>
        <sz val="11"/>
        <color rgb="FF000000"/>
        <rFont val="Consolas"/>
        <family val="3"/>
      </rPr>
      <t xml:space="preserve"> STYLE_SIZE </t>
    </r>
    <r>
      <rPr>
        <sz val="11"/>
        <color rgb="FF0000FF"/>
        <rFont val="Consolas"/>
        <family val="3"/>
      </rPr>
      <t>AS</t>
    </r>
    <r>
      <rPr>
        <sz val="11"/>
        <color rgb="FF000000"/>
        <rFont val="Consolas"/>
        <family val="3"/>
      </rPr>
      <t xml:space="preserve"> (</t>
    </r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</si>
  <si>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A.COMPY_CD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'A01ATION'</t>
    </r>
  </si>
  <si>
    <t>        A.STYLE_ID,</t>
  </si>
  <si>
    <t>        A.STYLE_CD,</t>
  </si>
  <si>
    <t>        A.COLOR_CD,</t>
  </si>
  <si>
    <t>        B.SIZE_CD,</t>
  </si>
  <si>
    <t>        A.PRDT_CD</t>
  </si>
  <si>
    <t>        V_PRDT_STYLE A,</t>
  </si>
  <si>
    <r>
      <t xml:space="preserve">            </t>
    </r>
    <r>
      <rPr>
        <sz val="11"/>
        <color rgb="FF0000FF"/>
        <rFont val="Consolas"/>
        <family val="3"/>
      </rPr>
      <t>DISTINCT</t>
    </r>
    <r>
      <rPr>
        <sz val="11"/>
        <color rgb="FF000000"/>
        <rFont val="Consolas"/>
        <family val="3"/>
      </rPr>
      <t xml:space="preserve"> A.SIZE_CD</t>
    </r>
  </si>
  <si>
    <t>            T_STYLE_SIZE A,</t>
  </si>
  <si>
    <t>            V_PRDT_STYLE B</t>
  </si>
  <si>
    <r>
      <t xml:space="preserve">            B.STYLE_CD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'EKF2ER2200A'</t>
    </r>
  </si>
  <si>
    <r>
      <t xml:space="preserve">      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A.STYLE_ID(</t>
    </r>
    <r>
      <rPr>
        <sz val="11"/>
        <color rgb="FF778899"/>
        <rFont val="Consolas"/>
        <family val="3"/>
      </rPr>
      <t>+</t>
    </r>
    <r>
      <rPr>
        <sz val="11"/>
        <color rgb="FF000000"/>
        <rFont val="Consolas"/>
        <family val="3"/>
      </rPr>
      <t xml:space="preserve">)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B.STYLE_ID</t>
    </r>
  </si>
  <si>
    <t>        ) B</t>
  </si>
  <si>
    <r>
      <t>        A.STYLE_CD(</t>
    </r>
    <r>
      <rPr>
        <sz val="11"/>
        <color rgb="FF778899"/>
        <rFont val="Consolas"/>
        <family val="3"/>
      </rPr>
      <t>+</t>
    </r>
    <r>
      <rPr>
        <sz val="11"/>
        <color rgb="FF000000"/>
        <rFont val="Consolas"/>
        <family val="3"/>
      </rPr>
      <t xml:space="preserve">)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'EKF2ER2200A'</t>
    </r>
  </si>
  <si>
    <t>    )</t>
  </si>
  <si>
    <t>      A.STYLE_ID,</t>
  </si>
  <si>
    <t>      A.STYLE_CD,</t>
  </si>
  <si>
    <t>      A.COLOR_CD,</t>
  </si>
  <si>
    <r>
      <t xml:space="preserve">      NVL(B.MFAC_INDC_QTY,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 xml:space="preserve">) </t>
    </r>
    <r>
      <rPr>
        <sz val="11"/>
        <color rgb="FF0000FF"/>
        <rFont val="Consolas"/>
        <family val="3"/>
      </rPr>
      <t>AS</t>
    </r>
    <r>
      <rPr>
        <sz val="11"/>
        <color rgb="FF000000"/>
        <rFont val="Consolas"/>
        <family val="3"/>
      </rPr>
      <t xml:space="preserve"> MFAC_INDC_QTY,</t>
    </r>
  </si>
  <si>
    <r>
      <t xml:space="preserve">      NVL(B.STOR_QTY,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 xml:space="preserve">) </t>
    </r>
    <r>
      <rPr>
        <sz val="11"/>
        <color rgb="FF0000FF"/>
        <rFont val="Consolas"/>
        <family val="3"/>
      </rPr>
      <t>AS</t>
    </r>
    <r>
      <rPr>
        <sz val="11"/>
        <color rgb="FF000000"/>
        <rFont val="Consolas"/>
        <family val="3"/>
      </rPr>
      <t xml:space="preserve"> STOR_QTY,</t>
    </r>
  </si>
  <si>
    <t>      (</t>
  </si>
  <si>
    <r>
      <t xml:space="preserve">        </t>
    </r>
    <r>
      <rPr>
        <sz val="11"/>
        <color rgb="FF0000FF"/>
        <rFont val="Consolas"/>
        <family val="3"/>
      </rPr>
      <t>CASE</t>
    </r>
  </si>
  <si>
    <r>
      <t xml:space="preserve">          </t>
    </r>
    <r>
      <rPr>
        <sz val="11"/>
        <color rgb="FF0000FF"/>
        <rFont val="Consolas"/>
        <family val="3"/>
      </rPr>
      <t>WHEN</t>
    </r>
    <r>
      <rPr>
        <sz val="11"/>
        <color rgb="FF000000"/>
        <rFont val="Consolas"/>
        <family val="3"/>
      </rPr>
      <t xml:space="preserve"> B.CNCL_DT </t>
    </r>
    <r>
      <rPr>
        <sz val="11"/>
        <color rgb="FF778899"/>
        <rFont val="Consolas"/>
        <family val="3"/>
      </rPr>
      <t>IS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NULL</t>
    </r>
  </si>
  <si>
    <r>
      <t xml:space="preserve">          </t>
    </r>
    <r>
      <rPr>
        <sz val="11"/>
        <color rgb="FF778899"/>
        <rFont val="Consolas"/>
        <family val="3"/>
      </rPr>
      <t>OR</t>
    </r>
    <r>
      <rPr>
        <sz val="11"/>
        <color rgb="FF000000"/>
        <rFont val="Consolas"/>
        <family val="3"/>
      </rPr>
      <t xml:space="preserve"> B.CNCL_DT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''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THEN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'N'</t>
    </r>
  </si>
  <si>
    <r>
      <t xml:space="preserve">          </t>
    </r>
    <r>
      <rPr>
        <sz val="11"/>
        <color rgb="FF0000FF"/>
        <rFont val="Consolas"/>
        <family val="3"/>
      </rPr>
      <t>ELSE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'Y'</t>
    </r>
  </si>
  <si>
    <t>      ) USE_YN,</t>
  </si>
  <si>
    <r>
      <t xml:space="preserve">      </t>
    </r>
    <r>
      <rPr>
        <sz val="11"/>
        <color rgb="FFC700C7"/>
        <rFont val="Consolas"/>
        <family val="3"/>
      </rPr>
      <t>DENSE_RANK</t>
    </r>
    <r>
      <rPr>
        <sz val="11"/>
        <color rgb="FF000000"/>
        <rFont val="Consolas"/>
        <family val="3"/>
      </rPr>
      <t xml:space="preserve">() </t>
    </r>
    <r>
      <rPr>
        <sz val="11"/>
        <color rgb="FF0000FF"/>
        <rFont val="Consolas"/>
        <family val="3"/>
      </rPr>
      <t>OVER</t>
    </r>
    <r>
      <rPr>
        <sz val="11"/>
        <color rgb="FF000000"/>
        <rFont val="Consolas"/>
        <family val="3"/>
      </rPr>
      <t xml:space="preserve"> (</t>
    </r>
  </si>
  <si>
    <r>
      <t xml:space="preserve">        </t>
    </r>
    <r>
      <rPr>
        <sz val="11"/>
        <color rgb="FF0000FF"/>
        <rFont val="Consolas"/>
        <family val="3"/>
      </rPr>
      <t>PARTITION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BY</t>
    </r>
    <r>
      <rPr>
        <sz val="11"/>
        <color rgb="FF000000"/>
        <rFont val="Consolas"/>
        <family val="3"/>
      </rPr>
      <t xml:space="preserve"> STYLE_CD</t>
    </r>
  </si>
  <si>
    <t>          STYLE_CD,</t>
  </si>
  <si>
    <r>
      <t xml:space="preserve">          LPAD(A.SIZE_CD, </t>
    </r>
    <r>
      <rPr>
        <sz val="11"/>
        <color rgb="FF098658"/>
        <rFont val="Consolas"/>
        <family val="3"/>
      </rPr>
      <t>3</t>
    </r>
    <r>
      <rPr>
        <sz val="11"/>
        <color rgb="FF000000"/>
        <rFont val="Consolas"/>
        <family val="3"/>
      </rPr>
      <t xml:space="preserve">, </t>
    </r>
    <r>
      <rPr>
        <sz val="11"/>
        <color rgb="FFFF0000"/>
        <rFont val="Consolas"/>
        <family val="3"/>
      </rPr>
      <t>'0'</t>
    </r>
    <r>
      <rPr>
        <sz val="11"/>
        <color rgb="FF000000"/>
        <rFont val="Consolas"/>
        <family val="3"/>
      </rPr>
      <t>)</t>
    </r>
  </si>
  <si>
    <t>      STYLE_SIZE A,</t>
  </si>
  <si>
    <t>      T_STYLE_SIZE B</t>
  </si>
  <si>
    <r>
      <t xml:space="preserve">      A.STYLE_ID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B.STYLE_ID(</t>
    </r>
    <r>
      <rPr>
        <sz val="11"/>
        <color rgb="FF778899"/>
        <rFont val="Consolas"/>
        <family val="3"/>
      </rPr>
      <t>+</t>
    </r>
    <r>
      <rPr>
        <sz val="11"/>
        <color rgb="FF000000"/>
        <rFont val="Consolas"/>
        <family val="3"/>
      </rPr>
      <t>)</t>
    </r>
  </si>
  <si>
    <r>
      <t xml:space="preserve">    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A.SIZE_CD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B.SIZE_CD(</t>
    </r>
    <r>
      <rPr>
        <sz val="11"/>
        <color rgb="FF778899"/>
        <rFont val="Consolas"/>
        <family val="3"/>
      </rPr>
      <t>+</t>
    </r>
    <r>
      <rPr>
        <sz val="11"/>
        <color rgb="FF000000"/>
        <rFont val="Consolas"/>
        <family val="3"/>
      </rPr>
      <t>)</t>
    </r>
  </si>
  <si>
    <r>
      <t xml:space="preserve">  </t>
    </r>
    <r>
      <rPr>
        <sz val="11"/>
        <color rgb="FF778899"/>
        <rFont val="Consolas"/>
        <family val="3"/>
      </rPr>
      <t>LEFT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JOIN</t>
    </r>
    <r>
      <rPr>
        <sz val="11"/>
        <color rgb="FF000000"/>
        <rFont val="Consolas"/>
        <family val="3"/>
      </rPr>
      <t xml:space="preserve"> T_COLOR B </t>
    </r>
    <r>
      <rPr>
        <sz val="11"/>
        <color rgb="FF0000FF"/>
        <rFont val="Consolas"/>
        <family val="3"/>
      </rPr>
      <t>ON</t>
    </r>
    <r>
      <rPr>
        <sz val="11"/>
        <color rgb="FF000000"/>
        <rFont val="Consolas"/>
        <family val="3"/>
      </rPr>
      <t xml:space="preserve"> B.LANG_CLSBY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</t>
    </r>
    <r>
      <rPr>
        <sz val="11"/>
        <color rgb="FFFF0000"/>
        <rFont val="Consolas"/>
        <family val="3"/>
      </rPr>
      <t>'ko'</t>
    </r>
  </si>
  <si>
    <r>
      <t xml:space="preserve">  </t>
    </r>
    <r>
      <rPr>
        <sz val="11"/>
        <color rgb="FF778899"/>
        <rFont val="Consolas"/>
        <family val="3"/>
      </rPr>
      <t>AND</t>
    </r>
    <r>
      <rPr>
        <sz val="11"/>
        <color rgb="FF000000"/>
        <rFont val="Consolas"/>
        <family val="3"/>
      </rPr>
      <t xml:space="preserve"> A.COLOR_CD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B.COLOR_CD</t>
    </r>
  </si>
  <si>
    <r>
      <t xml:space="preserve">  </t>
    </r>
    <r>
      <rPr>
        <sz val="11"/>
        <color rgb="FF778899"/>
        <rFont val="Consolas"/>
        <family val="3"/>
      </rPr>
      <t>LEFT</t>
    </r>
    <r>
      <rPr>
        <sz val="11"/>
        <color rgb="FF000000"/>
        <rFont val="Consolas"/>
        <family val="3"/>
      </rPr>
      <t xml:space="preserve"> </t>
    </r>
    <r>
      <rPr>
        <sz val="11"/>
        <color rgb="FF778899"/>
        <rFont val="Consolas"/>
        <family val="3"/>
      </rPr>
      <t>JOIN</t>
    </r>
    <r>
      <rPr>
        <sz val="11"/>
        <color rgb="FF000000"/>
        <rFont val="Consolas"/>
        <family val="3"/>
      </rPr>
      <t xml:space="preserve"> T_REPR_COLOR C </t>
    </r>
    <r>
      <rPr>
        <sz val="11"/>
        <color rgb="FF0000FF"/>
        <rFont val="Consolas"/>
        <family val="3"/>
      </rPr>
      <t>ON</t>
    </r>
    <r>
      <rPr>
        <sz val="11"/>
        <color rgb="FF000000"/>
        <rFont val="Consolas"/>
        <family val="3"/>
      </rPr>
      <t xml:space="preserve"> B.ATTR1 </t>
    </r>
    <r>
      <rPr>
        <sz val="11"/>
        <color rgb="FF778899"/>
        <rFont val="Consolas"/>
        <family val="3"/>
      </rPr>
      <t>=</t>
    </r>
    <r>
      <rPr>
        <sz val="11"/>
        <color rgb="FF000000"/>
        <rFont val="Consolas"/>
        <family val="3"/>
      </rPr>
      <t xml:space="preserve"> C.COLOR_CD</t>
    </r>
  </si>
  <si>
    <t>  A.STYLE_ID,</t>
  </si>
  <si>
    <t>  A.STYLE_CD,</t>
  </si>
  <si>
    <t>  A.COLOR_CD,</t>
  </si>
  <si>
    <t>  A.PRDT_CD</t>
  </si>
  <si>
    <t>  A.COLOR_CD</t>
  </si>
  <si>
    <t xml:space="preserve"> </t>
    <phoneticPr fontId="2" type="noConversion"/>
  </si>
  <si>
    <t>SQL 탭</t>
    <phoneticPr fontId="2" type="noConversion"/>
  </si>
  <si>
    <t>- 매장정보, 브랜드정보, 매장브랜드정보, 매장정보, 제품정보, 작업지시등록</t>
    <phoneticPr fontId="2" type="noConversion"/>
  </si>
  <si>
    <t>- 1차 작업 : F/AONE 테이블명세, 각 화면별 매핑 정보, 기본 SQL</t>
    <phoneticPr fontId="2" type="noConversion"/>
  </si>
  <si>
    <t>Y</t>
    <phoneticPr fontId="2" type="noConversion"/>
  </si>
  <si>
    <t>자동입력</t>
    <phoneticPr fontId="2" type="noConversion"/>
  </si>
  <si>
    <t>자동입력</t>
    <phoneticPr fontId="2" type="noConversion"/>
  </si>
  <si>
    <t>[택발주등록 T_PRDT_TAG_ORDER]</t>
    <phoneticPr fontId="2" type="noConversion"/>
  </si>
  <si>
    <t>CD_NM ('A01SSTS' 값 COMPY_CD)
SELECT CD_NM FROM T_COMN_CD
WHERE CD_KEY = 'A01SSTS' AND LANG_CLSBY = 'ko';</t>
    <phoneticPr fontId="2" type="noConversion"/>
  </si>
  <si>
    <t>T_BRD
T_COMN_CD</t>
    <phoneticPr fontId="2" type="noConversion"/>
  </si>
  <si>
    <t>ATTR4</t>
    <phoneticPr fontId="2" type="noConversion"/>
  </si>
  <si>
    <t>자사몰DP 여부</t>
    <phoneticPr fontId="2" type="noConversion"/>
  </si>
  <si>
    <t>패션IT 사용여부확인</t>
    <phoneticPr fontId="2" type="noConversion"/>
  </si>
  <si>
    <t>- 참조 테이블 분리 표기</t>
    <phoneticPr fontId="2" type="noConversion"/>
  </si>
  <si>
    <t>- 저장 테이블 분리 표기</t>
    <phoneticPr fontId="2" type="noConversion"/>
  </si>
  <si>
    <t>- 테이블 : T_BRD, T_COMN_CD</t>
    <phoneticPr fontId="2" type="noConversion"/>
  </si>
  <si>
    <t>브랜드그룹(태블로)</t>
    <phoneticPr fontId="2" type="noConversion"/>
  </si>
  <si>
    <t>브랜드그룹(온라인)</t>
    <phoneticPr fontId="2" type="noConversion"/>
  </si>
  <si>
    <t>BRD_GRP_ON</t>
    <phoneticPr fontId="2" type="noConversion"/>
  </si>
  <si>
    <t xml:space="preserve"> </t>
    <phoneticPr fontId="2" type="noConversion"/>
  </si>
  <si>
    <t>BRD_GRP_WH</t>
    <phoneticPr fontId="2" type="noConversion"/>
  </si>
  <si>
    <t xml:space="preserve">BRD_GRP_HQ </t>
    <phoneticPr fontId="2" type="noConversion"/>
  </si>
  <si>
    <t>INDEX</t>
    <phoneticPr fontId="2" type="noConversion"/>
  </si>
  <si>
    <t>INDEX</t>
    <phoneticPr fontId="2" type="noConversion"/>
  </si>
  <si>
    <t>- 브랜드그룹(컬럼)</t>
    <phoneticPr fontId="2" type="noConversion"/>
  </si>
  <si>
    <t>TO-BE 작업 예정사항</t>
    <phoneticPr fontId="2" type="noConversion"/>
  </si>
  <si>
    <t xml:space="preserve"> </t>
    <phoneticPr fontId="2" type="noConversion"/>
  </si>
  <si>
    <t>AS-IS 화면 조회 SQL  - 정확한 쿼리 확인</t>
    <phoneticPr fontId="2" type="noConversion"/>
  </si>
  <si>
    <t>- 2차 작업 : 중복/불필요 항목 제거</t>
    <phoneticPr fontId="2" type="noConversion"/>
  </si>
  <si>
    <t>- 2차 작업 : 중복/불필요 항목 제거</t>
    <phoneticPr fontId="2" type="noConversion"/>
  </si>
  <si>
    <t>사이즈</t>
    <phoneticPr fontId="2" type="noConversion"/>
  </si>
  <si>
    <t>VARCHAR2(500)</t>
    <phoneticPr fontId="2" type="noConversion"/>
  </si>
  <si>
    <t>SIZE/SPEC</t>
    <phoneticPr fontId="2" type="noConversion"/>
  </si>
  <si>
    <t>DataDic</t>
    <phoneticPr fontId="2" type="noConversion"/>
  </si>
  <si>
    <t>자재구매업체</t>
    <phoneticPr fontId="2" type="noConversion"/>
  </si>
  <si>
    <t>NUMBER(20,4)</t>
    <phoneticPr fontId="2" type="noConversion"/>
  </si>
  <si>
    <t>혼용률정보</t>
    <phoneticPr fontId="2" type="noConversion"/>
  </si>
  <si>
    <t>T_PRDT_PROP</t>
    <phoneticPr fontId="2" type="noConversion"/>
  </si>
  <si>
    <t>[브랜드 T_BRD]</t>
    <phoneticPr fontId="2" type="noConversion"/>
  </si>
  <si>
    <t>SELECT
  BRD_CD,
  BRD_CD brdCd,
  LANG_CLSBY langClsby,
  COMPY_CD compyCd,
  (
    SELECT
      cd_nm
    FROM
      T_COMN_CD
    WHERE
      PARENT_CD = 'A01'
      AND COMPY_CD = 'A01SSTS'
      AND LANG_CLSBY = 'ko'
      AND CD_KEY = A.COMPY_CD
  ) compyNm,
  COMN_CLSBY comnClsby,
  PARENT_BRD_CD parentBrdCd,
  CD_NM,
  CD_NM cdNm,
  (
    SELECT
      CD_NM
    FROM
      T_BRD
    WHERE
      BRD_CD = A.PARENT_BRD_CD
      AND COMPY_CD = 'A01SSTS'
      AND LANG_CLSBY = 'ko'
  ) parentBrdNm,
  LAST_YN lastYn,
  USE_YN useYn,
  RMK rmk,
  PRTY_RANK prtyRank,
  INS_DAY insDay,
  INS_USERID insUserid,
  UPT_DAY uptDay,
  UPT_USERID uptUserid,
  DEL_DAY delDay,
  DEL_USERID delUserid,
  ATTR1 attr1,
  ATTR2 attr2,
  ATTR3 attr3,
  ATTR4 attr4,
  ATTR5 attr5,
  FILENO_BUYER_CD filenoBuyerCd
FROM
  T_BRD A
WHERE
  1 = 1
  AND LANG_CLSBY = 'ko'
  AND COMPY_CD = 'A01SSTS' START WITH PARENT_BRD_CD IS NULL CONNECT BY PRIOR BRD_CD = PARENT_BRD_CD
  AND PRIOR LANG_CLSBY = 'ko'
  AND PRIOR COMPY_CD = 'A01SSTS' ORDER SIBLINGS by PRTY_RANK;</t>
    <phoneticPr fontId="2" type="noConversion"/>
  </si>
  <si>
    <t xml:space="preserve">TO-BE 작업 예정사항 </t>
    <phoneticPr fontId="2" type="noConversion"/>
  </si>
  <si>
    <t>- 테이블 컬럼 &gt; 미표기 항목들 화면 추가 예정</t>
    <phoneticPr fontId="2" type="noConversion"/>
  </si>
  <si>
    <t>- 주요테이블 (PK제외) - 컬럼 사용 여부 확인 INS_DAY '20240101' 이상 / 컬럼 IS NULL 기준 - 미사용 판단</t>
    <phoneticPr fontId="2" type="noConversion"/>
  </si>
  <si>
    <t>BRD_CD
CD_NM</t>
    <phoneticPr fontId="2" type="noConversion"/>
  </si>
  <si>
    <t>- 패션 IT팀 사용여부 기준 정리 (2024년도)</t>
    <phoneticPr fontId="2" type="noConversion"/>
  </si>
  <si>
    <t xml:space="preserve">  매장 2024년 생성 기준</t>
    <phoneticPr fontId="2" type="noConversion"/>
  </si>
  <si>
    <t>브랜드그룹(태블로)</t>
    <phoneticPr fontId="2" type="noConversion"/>
  </si>
  <si>
    <t>추가 고려</t>
    <phoneticPr fontId="2" type="noConversion"/>
  </si>
  <si>
    <t>추가 고려</t>
    <phoneticPr fontId="2" type="noConversion"/>
  </si>
  <si>
    <t>추가 고려</t>
    <phoneticPr fontId="2" type="noConversion"/>
  </si>
  <si>
    <t>추가 고려</t>
    <phoneticPr fontId="2" type="noConversion"/>
  </si>
  <si>
    <t xml:space="preserve">TO-BE 화면 조회 SQL </t>
    <phoneticPr fontId="2" type="noConversion"/>
  </si>
  <si>
    <t>SQL 탭</t>
    <phoneticPr fontId="2" type="noConversion"/>
  </si>
  <si>
    <t xml:space="preserve">AS-IS 화면 조회 SQL </t>
    <phoneticPr fontId="2" type="noConversion"/>
  </si>
  <si>
    <t>DataGrid</t>
    <phoneticPr fontId="2" type="noConversion"/>
  </si>
  <si>
    <t>NUMBER</t>
    <phoneticPr fontId="2" type="noConversion"/>
  </si>
  <si>
    <t>MFAC_INDC_QTY</t>
    <phoneticPr fontId="2" type="noConversion"/>
  </si>
  <si>
    <t>변경후</t>
    <phoneticPr fontId="2" type="noConversion"/>
  </si>
  <si>
    <t>MFAC_INDC_QTY</t>
    <phoneticPr fontId="2" type="noConversion"/>
  </si>
  <si>
    <t>변경전</t>
    <phoneticPr fontId="2" type="noConversion"/>
  </si>
  <si>
    <t>VARCHAR2(20)</t>
    <phoneticPr fontId="2" type="noConversion"/>
  </si>
  <si>
    <t>CT_STYLE_SIZE</t>
    <phoneticPr fontId="2" type="noConversion"/>
  </si>
  <si>
    <t>VARCHAR2(20)</t>
    <phoneticPr fontId="2" type="noConversion"/>
  </si>
  <si>
    <t>컬러</t>
    <phoneticPr fontId="2" type="noConversion"/>
  </si>
  <si>
    <t>VARCHAR2(2)</t>
    <phoneticPr fontId="2" type="noConversion"/>
  </si>
  <si>
    <t>VARCHAR2(2)</t>
    <phoneticPr fontId="2" type="noConversion"/>
  </si>
  <si>
    <t>차수</t>
    <phoneticPr fontId="2" type="noConversion"/>
  </si>
  <si>
    <t>품번</t>
    <phoneticPr fontId="2" type="noConversion"/>
  </si>
  <si>
    <t>VARCHAR2(14)</t>
    <phoneticPr fontId="2" type="noConversion"/>
  </si>
  <si>
    <t>변경일</t>
    <phoneticPr fontId="2" type="noConversion"/>
  </si>
  <si>
    <t>변경사유</t>
    <phoneticPr fontId="2" type="noConversion"/>
  </si>
  <si>
    <t>VARCHAR2(8)</t>
    <phoneticPr fontId="2" type="noConversion"/>
  </si>
  <si>
    <t>EXPR_DT</t>
    <phoneticPr fontId="2" type="noConversion"/>
  </si>
  <si>
    <t>참수</t>
    <phoneticPr fontId="2" type="noConversion"/>
  </si>
  <si>
    <t>기타</t>
    <phoneticPr fontId="2" type="noConversion"/>
  </si>
  <si>
    <t>타입</t>
    <phoneticPr fontId="2" type="noConversion"/>
  </si>
  <si>
    <t>필수입력</t>
    <phoneticPr fontId="2" type="noConversion"/>
  </si>
  <si>
    <t>데이터 타입</t>
    <phoneticPr fontId="2" type="noConversion"/>
  </si>
  <si>
    <t>테이블 컬럼명</t>
    <phoneticPr fontId="2" type="noConversion"/>
  </si>
  <si>
    <t>테이블명</t>
    <phoneticPr fontId="2" type="noConversion"/>
  </si>
  <si>
    <t>화면 필드명</t>
    <phoneticPr fontId="2" type="noConversion"/>
  </si>
  <si>
    <t>번호</t>
    <phoneticPr fontId="2" type="noConversion"/>
  </si>
  <si>
    <t>내역변경 히스토리</t>
    <phoneticPr fontId="2" type="noConversion"/>
  </si>
  <si>
    <t>COLOR_CD</t>
    <phoneticPr fontId="2" type="noConversion"/>
  </si>
  <si>
    <t>T_PARTT_STOR_DETL</t>
    <phoneticPr fontId="2" type="noConversion"/>
  </si>
  <si>
    <t>칼라</t>
    <phoneticPr fontId="2" type="noConversion"/>
  </si>
  <si>
    <t>PARTT_SEQN</t>
    <phoneticPr fontId="2" type="noConversion"/>
  </si>
  <si>
    <t>분할차수</t>
    <phoneticPr fontId="2" type="noConversion"/>
  </si>
  <si>
    <t>PARTT_STOR_RATE</t>
    <phoneticPr fontId="2" type="noConversion"/>
  </si>
  <si>
    <t>T_PARTT_STOR_INFO</t>
    <phoneticPr fontId="2" type="noConversion"/>
  </si>
  <si>
    <t>입고비율</t>
    <phoneticPr fontId="2" type="noConversion"/>
  </si>
  <si>
    <t>PARTT_STOR_REQ_DT</t>
    <phoneticPr fontId="2" type="noConversion"/>
  </si>
  <si>
    <t>분할입고요청일</t>
    <phoneticPr fontId="2" type="noConversion"/>
  </si>
  <si>
    <t>PARTT_INDC_QTY</t>
    <phoneticPr fontId="2" type="noConversion"/>
  </si>
  <si>
    <t>수량</t>
    <phoneticPr fontId="2" type="noConversion"/>
  </si>
  <si>
    <t>(2)</t>
    <phoneticPr fontId="2" type="noConversion"/>
  </si>
  <si>
    <t>(1)</t>
    <phoneticPr fontId="2" type="noConversion"/>
  </si>
  <si>
    <t>(사용자) 실 사용여부</t>
    <phoneticPr fontId="2" type="noConversion"/>
  </si>
  <si>
    <t>필수입력</t>
    <phoneticPr fontId="2" type="noConversion"/>
  </si>
  <si>
    <t>분할입고</t>
    <phoneticPr fontId="2" type="noConversion"/>
  </si>
  <si>
    <t>VARCHAR2(300)</t>
    <phoneticPr fontId="2" type="noConversion"/>
  </si>
  <si>
    <t>T_WORK_INDC_MEMO</t>
    <phoneticPr fontId="2" type="noConversion"/>
  </si>
  <si>
    <t>특이사항</t>
    <phoneticPr fontId="2" type="noConversion"/>
  </si>
  <si>
    <t>VARCHAR2(200)</t>
    <phoneticPr fontId="2" type="noConversion"/>
  </si>
  <si>
    <t>T_WORK_INDC_APND_FILE</t>
    <phoneticPr fontId="2" type="noConversion"/>
  </si>
  <si>
    <t>LGIC_FILE_NM</t>
    <phoneticPr fontId="2" type="noConversion"/>
  </si>
  <si>
    <t>파일명</t>
    <phoneticPr fontId="2" type="noConversion"/>
  </si>
  <si>
    <t>테이블명</t>
    <phoneticPr fontId="2" type="noConversion"/>
  </si>
  <si>
    <t>STYLE/SKETCH</t>
    <phoneticPr fontId="2" type="noConversion"/>
  </si>
  <si>
    <t>EditText</t>
    <phoneticPr fontId="2" type="noConversion"/>
  </si>
  <si>
    <t>SIZE_SPEC</t>
    <phoneticPr fontId="2" type="noConversion"/>
  </si>
  <si>
    <t>사이즈(ex.95)</t>
    <phoneticPr fontId="2" type="noConversion"/>
  </si>
  <si>
    <t>부위설명</t>
    <phoneticPr fontId="2" type="noConversion"/>
  </si>
  <si>
    <t>VARCHAR2(100)</t>
    <phoneticPr fontId="2" type="noConversion"/>
  </si>
  <si>
    <t>T_SIZE_SPEC</t>
    <phoneticPr fontId="2" type="noConversion"/>
  </si>
  <si>
    <t>사용부위</t>
    <phoneticPr fontId="2" type="noConversion"/>
  </si>
  <si>
    <t>VARCHAR2(500)</t>
    <phoneticPr fontId="2" type="noConversion"/>
  </si>
  <si>
    <t>비고</t>
    <phoneticPr fontId="2" type="noConversion"/>
  </si>
  <si>
    <t>DataDic</t>
    <phoneticPr fontId="2" type="noConversion"/>
  </si>
  <si>
    <t>자재구매업체</t>
    <phoneticPr fontId="2" type="noConversion"/>
  </si>
  <si>
    <t>단가</t>
    <phoneticPr fontId="2" type="noConversion"/>
  </si>
  <si>
    <t>ComboBox</t>
    <phoneticPr fontId="2" type="noConversion"/>
  </si>
  <si>
    <t>T_MAT_MATSY_INFO</t>
    <phoneticPr fontId="2" type="noConversion"/>
  </si>
  <si>
    <t>단위</t>
    <phoneticPr fontId="2" type="noConversion"/>
  </si>
  <si>
    <t>EditText</t>
    <phoneticPr fontId="2" type="noConversion"/>
  </si>
  <si>
    <t>요척</t>
    <phoneticPr fontId="2" type="noConversion"/>
  </si>
  <si>
    <t>자재ID</t>
    <phoneticPr fontId="2" type="noConversion"/>
  </si>
  <si>
    <t>MAT_BOOK_CD</t>
    <phoneticPr fontId="2" type="noConversion"/>
  </si>
  <si>
    <t>자재BOOK코드</t>
    <phoneticPr fontId="2" type="noConversion"/>
  </si>
  <si>
    <t>명칭</t>
    <phoneticPr fontId="2" type="noConversion"/>
  </si>
  <si>
    <t>부자재분류(소)</t>
    <phoneticPr fontId="2" type="noConversion"/>
  </si>
  <si>
    <t>부자재분류(대)</t>
    <phoneticPr fontId="2" type="noConversion"/>
  </si>
  <si>
    <t>자재종류</t>
    <phoneticPr fontId="2" type="noConversion"/>
  </si>
  <si>
    <t>화면 필드명</t>
    <phoneticPr fontId="2" type="noConversion"/>
  </si>
  <si>
    <t>자재정보-부자재정보</t>
    <phoneticPr fontId="2" type="noConversion"/>
  </si>
  <si>
    <t>규격(폭/밀도)</t>
    <phoneticPr fontId="2" type="noConversion"/>
  </si>
  <si>
    <t>파트매핑코드</t>
    <phoneticPr fontId="2" type="noConversion"/>
  </si>
  <si>
    <t>파트구분</t>
    <phoneticPr fontId="2" type="noConversion"/>
  </si>
  <si>
    <t>자재정보-원자재정보</t>
    <phoneticPr fontId="2" type="noConversion"/>
  </si>
  <si>
    <t>CSUMR_PRICE</t>
    <phoneticPr fontId="2" type="noConversion"/>
  </si>
  <si>
    <t>EXPR_DT_UPT_REASON_DTL</t>
    <phoneticPr fontId="2" type="noConversion"/>
  </si>
  <si>
    <t>CT_STYLE</t>
    <phoneticPr fontId="2" type="noConversion"/>
  </si>
  <si>
    <t>EXPR_DT_UPT_REASON</t>
    <phoneticPr fontId="2" type="noConversion"/>
  </si>
  <si>
    <t>PRDT_KIND_NM2</t>
    <phoneticPr fontId="2" type="noConversion"/>
  </si>
  <si>
    <t>T_PRDT_KIND</t>
    <phoneticPr fontId="2" type="noConversion"/>
  </si>
  <si>
    <t>상품대분류</t>
    <phoneticPr fontId="2" type="noConversion"/>
  </si>
  <si>
    <t>품종명</t>
    <phoneticPr fontId="2" type="noConversion"/>
  </si>
  <si>
    <t>T_PRDT_PLAN</t>
    <phoneticPr fontId="2" type="noConversion"/>
  </si>
  <si>
    <r>
      <t xml:space="preserve">- 테이블 : T_WORK_INDC, T_PRDT_PLAN, T_PRDT_KIND, T_PRDT_TAG_ORDER, T_PRDT_PROP, CT_STYLE, T_STYLE, CT_STYLE_SIZE / T_MAT_MATSY_INFO / T_SIZE_SPEC 
           </t>
    </r>
    <r>
      <rPr>
        <sz val="10"/>
        <color theme="0"/>
        <rFont val="맑은 고딕"/>
        <family val="3"/>
        <charset val="129"/>
        <scheme val="minor"/>
      </rPr>
      <t>:</t>
    </r>
    <r>
      <rPr>
        <sz val="10"/>
        <color theme="1"/>
        <rFont val="맑은 고딕"/>
        <family val="3"/>
        <charset val="129"/>
        <scheme val="minor"/>
      </rPr>
      <t xml:space="preserve"> T_WORK_INDC_APND_FILE / T_WORK_INDC_MEMO / T_PARTT_STOR_INFO / T_PARTT_STOR_DETL</t>
    </r>
    <phoneticPr fontId="2" type="noConversion"/>
  </si>
  <si>
    <t>화면 - DB 매핑표</t>
    <phoneticPr fontId="2" type="noConversion"/>
  </si>
  <si>
    <t>화면 이미지</t>
    <phoneticPr fontId="2" type="noConversion"/>
  </si>
  <si>
    <t>작업지시등록</t>
    <phoneticPr fontId="2" type="noConversion"/>
  </si>
  <si>
    <t>화면명 :</t>
    <phoneticPr fontId="2" type="noConversion"/>
  </si>
  <si>
    <t>-</t>
    <phoneticPr fontId="2" type="noConversion"/>
  </si>
  <si>
    <t>■</t>
    <phoneticPr fontId="2" type="noConversion"/>
  </si>
  <si>
    <t>패션IT 사용여부확인</t>
    <phoneticPr fontId="2" type="noConversion"/>
  </si>
  <si>
    <t>x</t>
    <phoneticPr fontId="2" type="noConversion"/>
  </si>
  <si>
    <t xml:space="preserve">  컬럼별 IS NOT NULL</t>
    <phoneticPr fontId="2" type="noConversion"/>
  </si>
  <si>
    <t xml:space="preserve">  제품 2024년 기획년도 기준</t>
    <phoneticPr fontId="2" type="noConversion"/>
  </si>
  <si>
    <t>검증 SQL</t>
    <phoneticPr fontId="2" type="noConversion"/>
  </si>
  <si>
    <t>검증 SQL</t>
    <phoneticPr fontId="2" type="noConversion"/>
  </si>
  <si>
    <t>검증 SQL</t>
    <phoneticPr fontId="2" type="noConversion"/>
  </si>
  <si>
    <t>검증 SQL</t>
    <phoneticPr fontId="2" type="noConversion"/>
  </si>
  <si>
    <t>SELECT T2.CD_NM FROM T_PRDT_KIND T1 , T_PRDT_KIND T2 
WHERE T1.PARENT_PRDT_KIND_CD = T2.PRDT_KIND_CD 
AND T1.PRDT_KIND_CD = A.PRDT_KIND_CD;</t>
    <phoneticPr fontId="2" type="noConversion"/>
  </si>
  <si>
    <t>검증 SQL</t>
    <phoneticPr fontId="2" type="noConversion"/>
  </si>
  <si>
    <t>조건에 부합하지 않는 매장으로 NULL</t>
    <phoneticPr fontId="2" type="noConversion"/>
  </si>
  <si>
    <t>T_SHOP_BRD의 EMP_ID &gt; T_EMP의 EMP_NM_KOR 참조</t>
    <phoneticPr fontId="2" type="noConversion"/>
  </si>
  <si>
    <t>패션IT 사용여부확인</t>
    <phoneticPr fontId="2" type="noConversion"/>
  </si>
  <si>
    <t>TO-BE 작업 고려사항</t>
    <phoneticPr fontId="2" type="noConversion"/>
  </si>
  <si>
    <t>- F-ONE 시스템 개선시 TOPTEN 성인과 키즈 브랜드 등록이 분리되었으면 합니다. (매장브랜드정보 등록이나 매출마감시 별도 분리해야 하는 어려움)</t>
    <phoneticPr fontId="2" type="noConversion"/>
  </si>
  <si>
    <t>- 자사몰 DP여부 &gt; 자사몰 매장안내 연동을 위한 반영으로 알고 있으나 매장브랜드 정보/매장정보 화면에 중복 반영되어 있음.
   &gt; 매장정보 ①직영&amp;백화점,쇼핑몰 매장코드(B-직영/C-백화점,상설점) 와 ②폐점구분-정상영업으로 설정된 값만 자사몰 자동 DP가 가능한지 문의.
   → 매장브랜드정보 Y값 자동 세팅으로 매장브랜드정보 등록시 자사몰 DP 여부 자동 반영
   → 매장정보 화면 하단에 자사몰 등록정보가 있으나 미등록</t>
    <phoneticPr fontId="2" type="noConversion"/>
  </si>
  <si>
    <t>(24.09.12) 영업관리팀 박수빈 부장님 의견</t>
    <phoneticPr fontId="2" type="noConversion"/>
  </si>
  <si>
    <t xml:space="preserve"> → 매장정보 T_SHOP ONLINE_DP_YN을 사용하고 있지 않은 것으로 판단. 브랜드정보 T_SHOP_BRD ONLINE_DP_YN 값으로 자사몰 DP여부 사용중으로 판단.</t>
    <phoneticPr fontId="2" type="noConversion"/>
  </si>
  <si>
    <t>SELECT * FROM T_PRDT
WHERE SESN_OFF_REGDT IS NOT NULL
AND INS_DAY &gt; '20240101'</t>
    <phoneticPr fontId="2" type="noConversion"/>
  </si>
  <si>
    <t>SELECT * FROM T_PRDT
WHERE DULL_REG_DT IS NOT NULL
AND INS_DAY &gt; '20240101'</t>
    <phoneticPr fontId="2" type="noConversion"/>
  </si>
  <si>
    <t>ETC_S_INFER_COST</t>
    <phoneticPr fontId="2" type="noConversion"/>
  </si>
  <si>
    <t>SELECT * FROM T_PRDT
 WHERE ATTR4 IS NOT NULL
   AND INS_DAY &gt; '2040101'</t>
    <phoneticPr fontId="2" type="noConversion"/>
  </si>
  <si>
    <t>2020년도 이후 등록된 내역 없음</t>
    <phoneticPr fontId="2" type="noConversion"/>
  </si>
  <si>
    <t>2020년도 이후 등록된 내역 없음</t>
    <phoneticPr fontId="2" type="noConversion"/>
  </si>
  <si>
    <t>ACCO_BRD_CD</t>
    <phoneticPr fontId="2" type="noConversion"/>
  </si>
  <si>
    <t xml:space="preserve">SELECT * FROM T_SHOP
 WHERE ACCO_BRD_CD IS NOT NULL
   AND INS_DAY &gt; '20240101';
</t>
    <phoneticPr fontId="2" type="noConversion"/>
  </si>
  <si>
    <t>SELECT * FROM T_SHOP
 WHERE KICC_TERMN_ID IS NOT NULL
   AND INS_DAY &gt; '20240101';</t>
    <phoneticPr fontId="2" type="noConversion"/>
  </si>
  <si>
    <t>2022년도 이후 데이터 없음</t>
    <phoneticPr fontId="2" type="noConversion"/>
  </si>
  <si>
    <t>2023년도 이후 데이터 없음</t>
    <phoneticPr fontId="2" type="noConversion"/>
  </si>
  <si>
    <t>Y</t>
    <phoneticPr fontId="2" type="noConversion"/>
  </si>
  <si>
    <t>Y</t>
    <phoneticPr fontId="2" type="noConversion"/>
  </si>
  <si>
    <t xml:space="preserve">SELECT 'RLEST_GRNT' AS COLUMN_NAME, SUM(CASE WHEN RLEST_GRNT IS NULL THEN 0 ELSE 1 END) AS NULL_COUNT, SUM(CASE WHEN RLEST_GRNT IS NOT NULL THEN 1 ELSE 0 END) AS NOT_NULL_COUNT FROM T_SHOP WHERE INS_DAY &gt;= '20240101000000'  UNION ALL SELECT 'MGN_CLSBY' AS COLUMN_NAME, SUM(CASE WHEN MGN_CLSBY IS NULL THEN 0 ELSE 1 END) AS NULL_COUNT, SUM(CASE WHEN MGN_CLSBY IS NOT NULL THEN 1 ELSE 0 END) AS NOT_NULL_COUNT FROM T_SHOP WHERE INS_DAY &gt;= '20240101000000'  UNION ALL SELECT 'ACCO_BRD_CD' AS COLUMN_NAME, SUM(CASE WHEN ACCO_BRD_CD IS NULL THEN 0 ELSE 1 END) AS NULL_COUNT, SUM(CASE WHEN ACCO_BRD_CD IS NOT NULL THEN 1 ELSE 0 END) AS NOT_NULL_COUNT FROM T_SHOP WHERE INS_DAY &gt;= '20240101000000'  UNION ALL SELECT 'ATTR5' AS COLUMN_NAME, SUM(CASE WHEN ATTR5 IS NULL THEN 0 ELSE 1 END) AS NULL_COUNT, SUM(CASE WHEN ATTR5 IS NOT NULL THEN 1 ELSE 0 END) AS NOT_NULL_COUNT FROM T_SHOP WHERE INS_DAY &gt;= '20240101000000'  UNION ALL SELECT 'ATTR4' AS COLUMN_NAME, SUM(CASE WHEN ATTR4 IS NULL THEN 0 ELSE 1 END) AS NULL_COUNT, SUM(CASE WHEN ATTR4 IS NOT NULL THEN 1 ELSE 0 END) AS NOT_NULL_COUNT FROM T_SHOP WHERE INS_DAY &gt;= '20240101000000'  UNION ALL SELECT 'ATTR3' AS COLUMN_NAME, SUM(CASE WHEN ATTR3 IS NULL THEN 0 ELSE 1 END) AS NULL_COUNT, SUM(CASE WHEN ATTR3 IS NOT NULL THEN 1 ELSE 0 END) AS NOT_NULL_COUNT FROM T_SHOP WHERE INS_DAY &gt;= '20240101000000'  UNION ALL SELECT 'ATTR2' AS COLUMN_NAME, SUM(CASE WHEN ATTR2 IS NULL THEN 0 ELSE 1 END) AS NULL_COUNT, SUM(CASE WHEN ATTR2 IS NOT NULL THEN 1 ELSE 0 END) AS NOT_NULL_COUNT FROM T_SHOP WHERE INS_DAY &gt;= '20240101000000'  UNION ALL SELECT 'ATTR1' AS COLUMN_NAME, SUM(CASE WHEN ATTR1 IS NULL THEN 0 ELSE 1 END) AS NULL_COUNT, SUM(CASE WHEN ATTR1 IS NOT NULL THEN 1 ELSE 0 END) AS NOT_NULL_COUNT FROM T_SHOP WHERE INS_DAY &gt;= '20240101000000'  UNION ALL SELECT 'COMPY_CD' AS COLUMN_NAME, SUM(CASE WHEN COMPY_CD IS NULL THEN 0 ELSE 1 END) AS NULL_COUNT, SUM(CASE WHEN COMPY_CD IS NOT NULL THEN 1 ELSE 0 END) AS NOT_NULL_COUNT FROM T_SHOP WHERE INS_DAY &gt;= '20240101000000'  UNION ALL SELECT 'RE_BUY_CLSBY' AS COLUMN_NAME, SUM(CASE WHEN RE_BUY_CLSBY IS NULL THEN 0 ELSE 1 END) AS NULL_COUNT, SUM(CASE WHEN RE_BUY_CLSBY IS NOT NULL THEN 1 ELSE 0 END) AS NOT_NULL_COUNT FROM T_SHOP WHERE INS_DAY &gt;= '20240101000000'  UNION ALL SELECT 'SALE_STOP_YN' AS COLUMN_NAME, SUM(CASE WHEN SALE_STOP_YN IS NULL THEN 0 ELSE 1 END) AS NULL_COUNT, SUM(CASE WHEN SALE_STOP_YN IS NOT NULL THEN 1 ELSE 0 END) AS NOT_NULL_COUNT FROM T_SHOP WHERE INS_DAY &gt;= '20240101000000'  UNION ALL SELECT 'DELV_STOP_YN' AS COLUMN_NAME, SUM(CASE WHEN DELV_STOP_YN IS NULL THEN 0 ELSE 1 END) AS NULL_COUNT, SUM(CASE WHEN DELV_STOP_YN IS NOT NULL THEN 1 ELSE 0 END) AS NOT_NULL_COUNT FROM T_SHOP WHERE INS_DAY &gt;= '20240101000000'  UNION ALL SELECT 'DVID_YN' AS COLUMN_NAME, SUM(CASE WHEN DVID_YN IS NULL THEN 0 ELSE 1 END) AS NULL_COUNT, SUM(CASE WHEN DVID_YN IS NOT NULL THEN 1 ELSE 0 END) AS NOT_NULL_COUNT FROM T_SHOP WHERE INS_DAY &gt;= '20240101000000'  UNION ALL SELECT 'MLANG_NO' AS COLUMN_NAME, SUM(CASE WHEN MLANG_NO IS NULL THEN 0 ELSE 1 END) AS NULL_COUNT, SUM(CASE WHEN MLANG_NO IS NOT NULL THEN 1 ELSE 0 END) AS NOT_NULL_COUNT FROM T_SHOP WHERE INS_DAY &gt;= '20240101000000'  UNION ALL SELECT 'BSNO' AS COLUMN_NAME, SUM(CASE WHEN BSNO IS NULL THEN 0 ELSE 1 END) AS NULL_COUNT, SUM(CASE WHEN BSNO IS NOT NULL THEN 1 ELSE 0 END) AS NOT_NULL_COUNT FROM T_SHOP WHERE INS_DAY &gt;= '20240101000000'  UNION ALL SELECT 'MNS_STOCK_PERM_CLSBY' AS COLUMN_NAME, SUM(CASE WHEN MNS_STOCK_PERM_CLSBY IS NULL THEN 0 ELSE 1 END) AS NULL_COUNT, SUM(CASE WHEN MNS_STOCK_PERM_CLSBY IS NOT NULL THEN 1 ELSE 0 END) AS NOT_NULL_COUNT FROM T_SHOP WHERE INS_DAY &gt;= '20240101000000'  UNION ALL SELECT 'SHOP_ORGN_CD' AS COLUMN_NAME, SUM(CASE WHEN SHOP_ORGN_CD IS NULL THEN 0 ELSE 1 END) AS NULL_COUNT, SUM(CASE WHEN SHOP_ORGN_CD IS NOT NULL THEN 1 ELSE 0 END) AS NOT_NULL_COUNT FROM T_SHOP WHERE INS_DAY &gt;= '20240101000000'  UNION ALL SELECT 'EVENT_YN' AS COLUMN_NAME, SUM(CASE WHEN EVENT_YN IS NULL THEN 0 ELSE 1 END) AS NULL_COUNT, SUM(CASE WHEN EVENT_YN IS NOT NULL THEN 1 ELSE 0 END) AS NOT_NULL_COUNT FROM T_SHOP WHERE INS_DAY &gt;= '20240101000000'  UNION ALL SELECT 'WETH_AREA_CD' AS COLUMN_NAME, SUM(CASE WHEN WETH_AREA_CD IS NULL THEN 0 ELSE 1 END) AS NULL_COUNT, SUM(CASE WHEN WETH_AREA_CD IS NOT NULL THEN 1 ELSE 0 END) AS NOT_NULL_COUNT FROM T_SHOP WHERE INS_DAY &gt;= '20240101000000'  UNION ALL SELECT 'ENURI_YN' AS COLUMN_NAME, SUM(CASE WHEN ENURI_YN IS NULL THEN 0 ELSE 1 END) AS NULL_COUNT, SUM(CASE WHEN ENURI_YN IS NOT NULL THEN 1 ELSE 0 END) AS NOT_NULL_COUNT FROM T_SHOP WHERE INS_DAY &gt;= '20240101000000'  UNION ALL SELECT 'CHKUP_CLSBY' AS COLUMN_NAME, SUM(CASE WHEN CHKUP_CLSBY IS NULL THEN 0 ELSE 1 END) AS NULL_COUNT, SUM(CASE WHEN CHKUP_CLSBY IS NOT NULL THEN 1 ELSE 0 END) AS NOT_NULL_COUNT FROM T_SHOP WHERE INS_DAY &gt;= '20240101000000'  UNION ALL SELECT 'SHOP_FORM' AS COLUMN_NAME, SUM(CASE WHEN SHOP_FORM IS NULL THEN 0 ELSE 1 END) AS NULL_COUNT, SUM(CASE WHEN SHOP_FORM IS NOT NULL THEN 1 ELSE 0 END) AS NOT_NULL_COUNT FROM T_SHOP WHERE INS_DAY &gt;= '20240101000000'  UNION ALL SELECT 'SHOP_TYPE' AS COLUMN_NAME, SUM(CASE WHEN SHOP_TYPE IS NULL THEN 0 ELSE 1 END) AS NULL_COUNT, SUM(CASE WHEN SHOP_TYPE IS NOT NULL THEN 1 ELSE 0 END) AS NOT_NULL_COUNT FROM T_SHOP WHERE INS_DAY &gt;= '20240101000000'  UNION ALL SELECT 'REAL_REPR_MYHSE_TEL_NO3' AS COLUMN_NAME, SUM(CASE WHEN REAL_REPR_MYHSE_TEL_NO3 IS NULL THEN 0 ELSE 1 END) AS NULL_COUNT, SUM(CASE WHEN REAL_REPR_MYHSE_TEL_NO3 IS NOT NULL THEN 1 ELSE 0 END) AS NOT_NULL_COUNT FROM T_SHOP WHERE INS_DAY &gt;= '20240101000000'  UNION ALL SELECT 'REAL_REPR_MYHSE_TEL_NO2' AS COLUMN_NAME, SUM(CASE WHEN REAL_REPR_MYHSE_TEL_NO2 IS NULL THEN 0 ELSE 1 END) AS NULL_COUNT, SUM(CASE WHEN REAL_REPR_MYHSE_TEL_NO2 IS NOT NULL THEN 1 ELSE 0 END) AS NOT_NULL_COUNT FROM T_SHOP WHERE INS_DAY &gt;= '20240101000000'  UNION ALL SELECT 'REAL_REPR_MYHSE_TEL_NO1' AS COLUMN_NAME, SUM(CASE WHEN REAL_REPR_MYHSE_TEL_NO1 IS NULL THEN 0 ELSE 1 END) AS NULL_COUNT, SUM(CASE WHEN REAL_REPR_MYHSE_TEL_NO1 IS NOT NULL THEN 1 ELSE 0 END) AS NOT_NULL_COUNT FROM T_SHOP WHERE INS_DAY &gt;= '20240101000000'  UNION ALL SELECT 'REAL_REPR_ADDR2' AS COLUMN_NAME, SUM(CASE WHEN REAL_REPR_ADDR2 IS NULL THEN 0 ELSE 1 END) AS NULL_COUNT, SUM(CASE WHEN REAL_REPR_ADDR2 IS NOT NULL THEN 1 ELSE 0 END) AS NOT_NULL_COUNT FROM T_SHOP WHERE INS_DAY &gt;= '20240101000000'  UNION ALL SELECT 'REAL_REPR_ADDR1' AS COLUMN_NAME, SUM(CASE WHEN REAL_REPR_ADDR1 IS NULL THEN 0 ELSE 1 END) AS NULL_COUNT, SUM(CASE WHEN REAL_REPR_ADDR1 IS NOT NULL THEN 1 ELSE 0 END) AS NOT_NULL_COUNT FROM T_SHOP WHERE INS_DAY &gt;= '20240101000000'  UNION ALL SELECT 'REAL_REPR_PSTNO' AS COLUMN_NAME, SUM(CASE WHEN REAL_REPR_PSTNO IS NULL THEN 0 ELSE 1 END) AS NULL_COUNT, SUM(CASE WHEN REAL_REPR_PSTNO IS NOT NULL THEN 1 ELSE 0 END) AS NOT_NULL_COUNT FROM T_SHOP WHERE INS_DAY &gt;= '20240101000000'  UNION ALL SELECT 'REAL_REPR_RESNO' AS COLUMN_NAME, SUM(CASE WHEN REAL_REPR_RESNO IS NULL THEN 0 ELSE 1 END) AS NULL_COUNT, SUM(CASE WHEN REAL_REPR_RESNO IS NOT NULL THEN 1 ELSE 0 END) AS NOT_NULL_COUNT FROM T_SHOP WHERE INS_DAY &gt;= '20240101000000'  UNION ALL SELECT 'REAL_REPR_NM' AS COLUMN_NAME, SUM(CASE WHEN REAL_REPR_NM IS NULL THEN 0 ELSE 1 END) AS NULL_COUNT, SUM(CASE WHEN REAL_REPR_NM IS NOT NULL THEN 1 ELSE 0 END) AS NOT_NULL_COUNT FROM T_SHOP WHERE INS_DAY &gt;= '20240101000000'  UNION ALL SELECT 'TERMN_NO' AS COLUMN_NAME, SUM(CASE WHEN TERMN_NO IS NULL THEN 0 ELSE 1 END) AS NULL_COUNT, SUM(CASE WHEN TERMN_NO IS NOT NULL THEN 1 ELSE 0 END) AS NOT_NULL_COUNT FROM T_SHOP WHERE INS_DAY &gt;= '20240101000000'  UNION ALL SELECT 'IMC_YN' AS COLUMN_NAME, SUM(CASE WHEN IMC_YN IS NULL THEN 0 ELSE 1 END) AS NULL_COUNT, SUM(CASE WHEN IMC_YN IS NOT NULL THEN 1 ELSE 0 END) AS NOT_NULL_COUNT FROM T_SHOP WHERE INS_DAY &gt;= '20240101000000'  UNION ALL SELECT 'GRNT_PRICE' AS COLUMN_NAME, SUM(CASE WHEN GRNT_PRICE IS NULL THEN 0 ELSE 1 END) AS NULL_COUNT, SUM(CASE WHEN GRNT_PRICE IS NOT NULL THEN 1 ELSE 0 END) AS NOT_NULL_COUNT FROM T_SHOP WHERE INS_DAY &gt;= '20240101000000'  UNION ALL SELECT 'PRE_AREA_WDTH' AS COLUMN_NAME, SUM(CASE WHEN PRE_AREA_WDTH IS NULL THEN 0 ELSE 1 END) AS NULL_COUNT, SUM(CASE WHEN PRE_AREA_WDTH IS NOT NULL THEN 1 ELSE 0 END) AS NOT_NULL_COUNT FROM T_SHOP WHERE INS_DAY &gt;= '20240101000000'  UNION ALL SELECT 'AREA' AS COLUMN_NAME, SUM(CASE WHEN AREA IS NULL THEN 0 ELSE 1 END) AS NULL_COUNT, SUM(CASE WHEN AREA IS NOT NULL THEN 1 ELSE 0 END) AS NOT_NULL_COUNT FROM T_SHOP WHERE INS_DAY &gt;= '20240101000000'  UNION ALL SELECT 'INTERIOR_DT' AS COLUMN_NAME, SUM(CASE WHEN INTERIOR_DT IS NULL THEN 0 ELSE 1 END) AS NULL_COUNT, SUM(CASE WHEN INTERIOR_DT IS NOT NULL THEN 1 ELSE 0 END) AS NOT_NULL_COUNT FROM T_SHOP WHERE INS_DAY &gt;= '20240101000000'  UNION ALL SELECT 'DSHOP_CLSBY' AS COLUMN_NAME, SUM(CASE WHEN DSHOP_CLSBY IS NULL THEN 0 ELSE 1 END) AS NULL_COUNT, SUM(CASE WHEN DSHOP_CLSBY IS NOT NULL THEN 1 ELSE 0 END) AS NOT_NULL_COUNT FROM T_SHOP WHERE INS_DAY &gt;= '20240101000000'  UNION ALL SELECT 'DSHOP_DT' AS COLUMN_NAME, SUM(CASE WHEN DSHOP_DT IS NULL THEN 0 ELSE 1 END) AS NULL_COUNT, SUM(CASE WHEN DSHOP_DT IS NOT NULL THEN 1 ELSE 0 END) AS NOT_NULL_COUNT FROM T_SHOP WHERE INS_DAY &gt;= '20240101000000'  UNION ALL SELECT 'OPEN_DT' AS COLUMN_NAME, SUM(CASE WHEN OPEN_DT IS NULL THEN 0 ELSE 1 END) AS NULL_COUNT, SUM(CASE WHEN OPEN_DT IS NOT NULL THEN 1 ELSE 0 END) AS NOT_NULL_COUNT FROM T_SHOP WHERE INS_DAY &gt;= '20240101000000'  UNION ALL SELECT 'DEPA_BRCH_CD' AS COLUMN_NAME, SUM(CASE WHEN DEPA_BRCH_CD IS NULL THEN 0 ELSE 1 END) AS NULL_COUNT, SUM(CASE WHEN DEPA_BRCH_CD IS NOT NULL THEN 1 ELSE 0 END) AS NOT_NULL_COUNT FROM T_SHOP WHERE INS_DAY &gt;= '20240101000000'  UNION ALL SELECT 'STRIN_STOCK_MNG_YN' AS COLUMN_NAME, SUM(CASE WHEN STRIN_STOCK_MNG_YN IS NULL THEN 0 ELSE 1 END) AS NULL_COUNT, SUM(CASE WHEN STRIN_STOCK_MNG_YN IS NOT NULL THEN 1 ELSE 0 END) AS NOT_NULL_COUNT FROM T_SHOP WHERE INS_DAY &gt;= '20240101000000'  UNION ALL SELECT 'RE_BUY_YN' AS COLUMN_NAME, SUM(CASE WHEN RE_BUY_YN IS NULL THEN 0 ELSE 1 END) AS NULL_COUNT, SUM(CASE WHEN RE_BUY_YN IS NOT NULL THEN 1 ELSE 0 END) AS NOT_NULL_COUNT FROM T_SHOP WHERE INS_DAY &gt;= '20240101000000'  UNION ALL SELECT 'LOW_PRICE_YN' AS COLUMN_NAME, SUM(CASE WHEN LOW_PRICE_YN IS NULL THEN 0 ELSE 1 END) AS NULL_COUNT, SUM(CASE WHEN LOW_PRICE_YN IS NOT NULL THEN 1 ELSE 0 END) AS NOT_NULL_COUNT FROM T_SHOP WHERE INS_DAY &gt;= '20240101000000'  UNION ALL SELECT 'DVID_RANK_CLSBY' AS COLUMN_NAME, SUM(CASE WHEN DVID_RANK_CLSBY IS NULL THEN 0 ELSE 1 END) AS NULL_COUNT, SUM(CASE WHEN DVID_RANK_CLSBY IS NOT NULL THEN 1 ELSE 0 END) AS NOT_NULL_COUNT FROM T_SHOP WHERE INS_DAY &gt;= '20240101000000'  UNION ALL SELECT 'SHOP_RANK_CLSBY' AS COLUMN_NAME, SUM(CASE WHEN SHOP_RANK_CLSBY IS NULL THEN 0 ELSE 1 END) AS NULL_COUNT, SUM(CASE WHEN SHOP_RANK_CLSBY IS NOT NULL THEN 1 ELSE 0 END) AS NOT_NULL_COUNT FROM T_SHOP WHERE INS_DAY &gt;= '20240101000000'  UNION ALL SELECT 'EMP_CNT' AS COLUMN_NAME, SUM(CASE WHEN EMP_CNT IS NULL THEN 0 ELSE 1 END) AS NULL_COUNT, SUM(CASE WHEN EMP_CNT IS NOT NULL THEN 1 ELSE 0 END) AS NOT_NULL_COUNT FROM T_SHOP WHERE INS_DAY &gt;= '20240101000000'  UNION ALL SELECT 'SHOP_ADDR2' AS COLUMN_NAME, SUM(CASE WHEN SHOP_ADDR2 IS NULL THEN 0 ELSE 1 END) AS NULL_COUNT, SUM(CASE WHEN SHOP_ADDR2 IS NOT NULL THEN 1 ELSE 0 END) AS NOT_NULL_COUNT FROM T_SHOP WHERE INS_DAY &gt;= '20240101000000'  UNION ALL SELECT 'SHOP_ADDR1' AS COLUMN_NAME, SUM(CASE WHEN SHOP_ADDR1 IS NULL THEN 0 ELSE 1 END) AS NULL_COUNT, SUM(CASE WHEN SHOP_ADDR1 IS NOT NULL THEN 1 ELSE 0 END) AS NOT_NULL_COUNT FROM T_SHOP WHERE INS_DAY &gt;= '20240101000000'  UNION ALL SELECT 'SHOP_PSTNO' AS COLUMN_NAME, SUM(CASE WHEN SHOP_PSTNO IS NULL THEN 0 ELSE 1 END) AS NULL_COUNT, SUM(CASE WHEN SHOP_PSTNO IS NOT NULL THEN 1 ELSE 0 END) AS NOT_NULL_COUNT FROM T_SHOP WHERE INS_DAY &gt;= '20240101000000'  UNION ALL SELECT 'SHOP_FAX_NO3' AS COLUMN_NAME, SUM(CASE WHEN SHOP_FAX_NO3 IS NULL THEN 0 ELSE 1 END) AS NULL_COUNT, SUM(CASE WHEN SHOP_FAX_NO3 IS NOT NULL THEN 1 ELSE 0 END) AS NOT_NULL_COUNT FROM T_SHOP WHERE INS_DAY &gt;= '20240101000000'  UNION ALL SELECT 'SHOP_FAX_NO2' AS COLUMN_NAME, SUM(CASE WHEN SHOP_FAX_NO2 IS NULL THEN 0 ELSE 1 END) AS NULL_COUNT, SUM(CASE WHEN SHOP_FAX_NO2 IS NOT NULL THEN 1 ELSE 0 END) AS NOT_NULL_COUNT FROM T_SHOP WHERE INS_DAY &gt;= '20240101000000'  UNION ALL SELECT 'SHOP_FAX_NO1' AS COLUMN_NAME, SUM(CASE WHEN SHOP_FAX_NO1 IS NULL THEN 0 ELSE 1 END) AS NULL_COUNT, SUM(CASE WHEN SHOP_FAX_NO1 IS NOT NULL THEN 1 ELSE 0 END) AS NOT_NULL_COUNT FROM T_SHOP WHERE INS_DAY &gt;= '20240101000000'  UNION ALL SELECT 'SHOP_TEL_NO3' AS COLUMN_NAME, SUM(CASE WHEN SHOP_TEL_NO3 IS NULL THEN 0 ELSE 1 END) AS NULL_COUNT, SUM(CASE WHEN SHOP_TEL_NO3 IS NOT NULL THEN 1 ELSE 0 END) AS NOT_NULL_COUNT FROM T_SHOP WHERE INS_DAY &gt;= '20240101000000'  UNION ALL SELECT 'SHOP_TEL_NO2' AS COLUMN_NAME, SUM(CASE WHEN SHOP_TEL_NO2 IS NULL THEN 0 ELSE 1 END) AS NULL_COUNT, SUM(CASE WHEN SHOP_TEL_NO2 IS NOT NULL THEN 1 ELSE 0 END) AS NOT_NULL_COUNT FROM T_SHOP WHERE INS_DAY &gt;= '20240101000000'  UNION ALL SELECT 'SHOP_TEL_NO1' AS COLUMN_NAME, SUM(CASE WHEN SHOP_TEL_NO1 IS NULL THEN 0 ELSE 1 END) AS NULL_COUNT, SUM(CASE WHEN SHOP_TEL_NO1 IS NOT NULL THEN 1 ELSE 0 END) AS NOT_NULL_COUNT FROM T_SHOP WHERE INS_DAY &gt;= '20240101000000'  UNION ALL SELECT 'REPR_RESNO' AS COLUMN_NAME, SUM(CASE WHEN REPR_RESNO IS NULL THEN 0 ELSE 1 END) AS NULL_COUNT, SUM(CASE WHEN REPR_RESNO IS NOT NULL THEN 1 ELSE 0 END) AS NOT_NULL_COUNT FROM T_SHOP WHERE INS_DAY &gt;= '20240101000000'  UNION ALL SELECT 'REPR_NM' AS COLUMN_NAME, SUM(CASE WHEN REPR_NM IS NULL THEN 0 ELSE 1 END) AS NULL_COUNT, SUM(CASE WHEN REPR_NM IS NOT NULL THEN 1 ELSE 0 END) AS NOT_NULL_COUNT FROM T_SHOP WHERE INS_DAY &gt;= '20240101000000'  UNION ALL SELECT 'INFMT_SHOP_NM' AS COLUMN_NAME, SUM(CASE WHEN INFMT_SHOP_NM IS NULL THEN 0 ELSE 1 END) AS NULL_COUNT, SUM(CASE WHEN INFMT_SHOP_NM IS NOT NULL THEN 1 ELSE 0 END) AS NOT_NULL_COUNT FROM T_SHOP WHERE INS_DAY &gt;= '20240101000000'  UNION ALL SELECT 'UPT_USERID' AS COLUMN_NAME, SUM(CASE WHEN UPT_USERID IS NULL THEN 0 ELSE 1 END) AS NULL_COUNT, SUM(CASE WHEN UPT_USERID IS NOT NULL THEN 1 ELSE 0 END) AS NOT_NULL_COUNT FROM T_SHOP WHERE INS_DAY &gt;= '20240101000000'  UNION ALL SELECT 'UPT_DAY' AS COLUMN_NAME, SUM(CASE WHEN UPT_DAY IS NULL THEN 0 ELSE 1 END) AS NULL_COUNT, SUM(CASE WHEN UPT_DAY IS NOT NULL THEN 1 ELSE 0 END) AS NOT_NULL_COUNT FROM T_SHOP WHERE INS_DAY &gt;= '20240101000000'  UNION ALL SELECT 'INS_USERID' AS COLUMN_NAME, SUM(CASE WHEN INS_USERID IS NULL THEN 0 ELSE 1 END) AS NULL_COUNT, SUM(CASE WHEN INS_USERID IS NOT NULL THEN 1 ELSE 0 END) AS NOT_NULL_COUNT FROM T_SHOP WHERE INS_DAY &gt;= '20240101000000'  UNION ALL SELECT 'SHOP_NM' AS COLUMN_NAME, SUM(CASE WHEN SHOP_NM IS NULL THEN 0 ELSE 1 END) AS NULL_COUNT, SUM(CASE WHEN SHOP_NM IS NOT NULL THEN 1 ELSE 0 END) AS NOT_NULL_COUNT FROM T_SHOP WHERE INS_DAY &gt;= '20240101000000'  UNION ALL SELECT 'SHOP_ID' AS COLUMN_NAME, SUM(CASE WHEN SHOP_ID IS NULL THEN 0 ELSE 1 END) AS NULL_COUNT, SUM(CASE WHEN SHOP_ID IS NOT NULL THEN 1 ELSE 0 END) AS NOT_NULL_COUNT FROM T_SHOP WHERE INS_DAY &gt;= '20240101000000'  UNION ALL SELECT 'TT_CLSBY' AS COLUMN_NAME, SUM(CASE WHEN TT_CLSBY IS NULL THEN 0 ELSE 1 END) AS NULL_COUNT, SUM(CASE WHEN TT_CLSBY IS NOT NULL THEN 1 ELSE 0 END) AS NOT_NULL_COUNT FROM T_SHOP WHERE INS_DAY &gt;= '20240101000000'  UNION ALL SELECT 'POS_CNT' AS COLUMN_NAME, SUM(CASE WHEN POS_CNT IS NULL THEN 0 ELSE 1 END) AS NULL_COUNT, SUM(CASE WHEN POS_CNT IS NOT NULL THEN 1 ELSE 0 END) AS NOT_NULL_COUNT FROM T_SHOP WHERE INS_DAY &gt;= '20240101000000'  UNION ALL SELECT 'REQ_EXCPT_ED_DT' AS COLUMN_NAME, SUM(CASE WHEN REQ_EXCPT_ED_DT IS NULL THEN 0 ELSE 1 END) AS NULL_COUNT, SUM(CASE WHEN REQ_EXCPT_ED_DT IS NOT NULL THEN 1 ELSE 0 END) AS NOT_NULL_COUNT FROM T_SHOP WHERE INS_DAY &gt;= '20240101000000'  UNION ALL SELECT 'REQ_EXCPT_ST_DT' AS COLUMN_NAME, SUM(CASE WHEN REQ_EXCPT_ST_DT IS NULL THEN 0 ELSE 1 END) AS NULL_COUNT, SUM(CASE WHEN REQ_EXCPT_ST_DT IS NOT NULL THEN 1 ELSE 0 END) AS NOT_NULL_COUNT FROM T_SHOP WHERE INS_DAY &gt;= '20240101000000'  UNION ALL SELECT 'CONT_CLSBY' AS COLUMN_NAME, SUM(CASE WHEN CONT_CLSBY IS NULL THEN 0 ELSE 1 END) AS NULL_COUNT, SUM(CASE WHEN CONT_CLSBY IS NOT NULL THEN 1 ELSE 0 END) AS NOT_NULL_COUNT FROM T_SHOP WHERE INS_DAY &gt;= '20240101000000'  UNION ALL SELECT 'TAX_BSPNO_YN' AS COLUMN_NAME, SUM(CASE WHEN TAX_BSPNO_YN IS NULL THEN 0 ELSE 1 END) AS NULL_COUNT, SUM(CASE WHEN TAX_BSPNO_YN IS NOT NULL THEN 1 ELSE 0 END) AS NOT_NULL_COUNT FROM T_SHOP WHERE INS_DAY &gt;= '20240101000000'  UNION ALL SELECT 'REG_RET_TERM' AS COLUMN_NAME, SUM(CASE WHEN REG_RET_TERM IS NULL THEN 0 ELSE 1 END) AS NULL_COUNT, SUM(CASE WHEN REG_RET_TERM IS NOT NULL THEN 1 ELSE 0 END) AS NOT_NULL_COUNT FROM T_SHOP WHERE INS_DAY &gt;= '20240101000000'  UNION ALL SELECT 'REG_IPSU_CNT' AS COLUMN_NAME, SUM(CASE WHEN REG_IPSU_CNT IS NULL THEN 0 ELSE 1 END) AS NULL_COUNT, SUM(CASE WHEN REG_IPSU_CNT IS NOT NULL THEN 1 ELSE 0 END) AS NOT_NULL_COUNT FROM T_SHOP WHERE INS_DAY &gt;= '20240101000000'  UNION ALL SELECT 'MNL_RET_YN' AS COLUMN_NAME, SUM(CASE WHEN MNL_RET_YN IS NULL THEN 0 ELSE 1 END) AS NULL_COUNT, SUM(CASE WHEN MNL_RET_YN IS NOT NULL THEN 1 ELSE 0 END) AS NOT_NULL_COUNT FROM T_SHOP WHERE INS_DAY &gt;= '20240101000000'  UNION ALL SELECT 'PAYMENT_DT' AS COLUMN_NAME, SUM(CASE WHEN PAYMENT_DT IS NULL THEN 0 ELSE 1 END) AS NULL_COUNT, SUM(CASE WHEN PAYMENT_DT IS NOT NULL THEN 1 ELSE 0 END) AS NOT_NULL_COUNT FROM T_SHOP WHERE INS_DAY &gt;= '20240101000000'  UNION ALL SELECT 'PARKING_YN' AS COLUMN_NAME, SUM(CASE WHEN PARKING_YN IS NULL THEN 0 ELSE 1 END) AS NULL_COUNT, SUM(CASE WHEN PARKING_YN IS NOT NULL THEN 1 ELSE 0 END) AS NOT_NULL_COUNT FROM T_SHOP WHERE INS_DAY &gt;= '20240101000000'  UNION ALL SELECT 'OPER_TIME' AS COLUMN_NAME, SUM(CASE WHEN OPER_TIME IS NULL THEN 0 ELSE 1 END) AS NULL_COUNT, SUM(CASE WHEN OPER_TIME IS NOT NULL THEN 1 ELSE 0 END) AS NOT_NULL_COUNT FROM T_SHOP WHERE INS_DAY &gt;= '20240101000000'  UNION ALL SELECT 'CARGE_MEND_YN' AS COLUMN_NAME, SUM(CASE WHEN CARGE_MEND_YN IS NULL THEN 0 ELSE 1 END) AS NULL_COUNT, SUM(CASE WHEN CARGE_MEND_YN IS NOT NULL THEN 1 ELSE 0 END) AS NOT_NULL_COUNT FROM T_SHOP WHERE INS_DAY &gt;= '20240101000000'  UNION ALL SELECT 'ONLINE_PICKUP_YN' AS COLUMN_NAME, SUM(CASE WHEN ONLINE_PICKUP_YN IS NULL THEN 0 ELSE 1 END) AS NULL_COUNT, SUM(CASE WHEN ONLINE_PICKUP_YN IS NOT NULL THEN 1 ELSE 0 END) AS NOT_NULL_COUNT FROM T_SHOP WHERE INS_DAY &gt;= '20240101000000'  UNION ALL SELECT 'ONLINE_DP_YN' AS COLUMN_NAME, SUM(CASE WHEN ONLINE_DP_YN IS NULL THEN 0 ELSE 1 END) AS NULL_COUNT, SUM(CASE WHEN ONLINE_DP_YN IS NOT NULL THEN 1 ELSE 0 END) AS NOT_NULL_COUNT FROM T_SHOP WHERE INS_DAY &gt;= '20240101000000'  UNION ALL SELECT 'RMK_DESC' AS COLUMN_NAME, SUM(CASE WHEN RMK_DESC IS NULL THEN 0 ELSE 1 END) AS NULL_COUNT, SUM(CASE WHEN RMK_DESC IS NOT NULL THEN 1 ELSE 0 END) AS NOT_NULL_COUNT FROM T_SHOP WHERE INS_DAY &gt;= '20240101000000'  UNION ALL SELECT 'STOCK_COLOR_CNT' AS COLUMN_NAME, SUM(CASE WHEN STOCK_COLOR_CNT IS NULL THEN 0 ELSE 1 END) AS NULL_COUNT, SUM(CASE WHEN STOCK_COLOR_CNT IS NOT NULL THEN 1 ELSE 0 END) AS NOT_NULL_COUNT FROM T_SHOP WHERE INS_DAY &gt;= '20240101000000'  UNION ALL SELECT 'REFUND_IMD_YN' AS COLUMN_NAME, SUM(CASE WHEN REFUND_IMD_YN IS NULL THEN 0 ELSE 1 END) AS NULL_COUNT, SUM(CASE WHEN REFUND_IMD_YN IS NOT NULL THEN 1 ELSE 0 END) AS NOT_NULL_COUNT FROM T_SHOP WHERE INS_DAY &gt;= '20240101000000'  UNION ALL SELECT 'SHOPMOVE_LIMT_DAYS' AS COLUMN_NAME, SUM(CASE WHEN SHOPMOVE_LIMT_DAYS IS NULL THEN 0 ELSE 1 END) AS NULL_COUNT, SUM(CASE WHEN SHOPMOVE_LIMT_DAYS IS NOT NULL THEN 1 ELSE 0 END) AS NOT_NULL_COUNT FROM T_SHOP WHERE INS_DAY &gt;= '20240101000000'  UNION ALL SELECT 'DELV_WORK_GRP' AS COLUMN_NAME, SUM(CASE WHEN DELV_WORK_GRP IS NULL THEN 0 ELSE 1 END) AS NULL_COUNT, SUM(CASE WHEN DELV_WORK_GRP IS NOT NULL THEN 1 ELSE 0 END) AS NOT_NULL_COUNT FROM T_SHOP WHERE INS_DAY &gt;= '20240101000000'  UNION ALL SELECT 'WH_AREA' AS COLUMN_NAME, SUM(CASE WHEN WH_AREA IS NULL THEN 0 ELSE 1 END) AS NULL_COUNT, SUM(CASE WHEN WH_AREA IS NOT NULL THEN 1 ELSE 0 END) AS NOT_NULL_COUNT FROM T_SHOP WHERE INS_DAY &gt;= '20240101000000'  UNION ALL SELECT 'RETAIL_BRNCH' AS COLUMN_NAME, SUM(CASE WHEN RETAIL_BRNCH IS NULL THEN 0 ELSE 1 END) AS NULL_COUNT, SUM(CASE WHEN RETAIL_BRNCH IS NOT NULL THEN 1 ELSE 0 END) AS NOT_NULL_COUNT FROM T_SHOP WHERE INS_DAY &gt;= '20240101000000'  UNION ALL SELECT 'RETAIL_CORP' AS COLUMN_NAME, SUM(CASE WHEN RETAIL_CORP IS NULL THEN 0 ELSE 1 END) AS NULL_COUNT, SUM(CASE WHEN RETAIL_CORP IS NOT NULL THEN 1 ELSE 0 END) AS NOT_NULL_COUNT FROM T_SHOP WHERE INS_DAY &gt;= '20240101000000'  UNION ALL SELECT 'MGN_CLSBY_DETL' AS COLUMN_NAME, SUM(CASE WHEN MGN_CLSBY_DETL IS NULL THEN 0 ELSE 1 END) AS NULL_COUNT, SUM(CASE WHEN MGN_CLSBY_DETL IS NOT NULL THEN 1 ELSE 0 END) AS NOT_NULL_COUNT FROM T_SHOP WHERE INS_DAY &gt;= '20240101000000'  UNION ALL SELECT 'MGN_CLSBY_CHNL' AS COLUMN_NAME, SUM(CASE WHEN MGN_CLSBY_CHNL IS NULL THEN 0 ELSE 1 END) AS NULL_COUNT, SUM(CASE WHEN MGN_CLSBY_CHNL IS NOT NULL THEN 1 ELSE 0 END) AS NOT_NULL_COUNT FROM T_SHOP WHERE INS_DAY &gt;= '20240101000000'  UNION ALL SELECT 'DOTCOM_YN' AS COLUMN_NAME, SUM(CASE WHEN DOTCOM_YN IS NULL THEN 0 ELSE 1 END) AS NULL_COUNT, SUM(CASE WHEN DOTCOM_YN IS NOT NULL THEN 1 ELSE 0 END) AS NOT_NULL_COUNT FROM T_SHOP WHERE INS_DAY &gt;= '20240101000000'  UNION ALL SELECT 'MGN_TYPE' AS COLUMN_NAME, SUM(CASE WHEN MGN_TYPE IS NULL THEN 0 ELSE 1 END) AS NULL_COUNT, SUM(CASE WHEN MGN_TYPE IS NOT NULL THEN 1 ELSE 0 END) AS NOT_NULL_COUNT FROM T_SHOP WHERE INS_DAY &gt;= '20240101000000'  UNION ALL SELECT 'TBILL_ISSUE_WAY' AS COLUMN_NAME, SUM(CASE WHEN TBILL_ISSUE_WAY IS NULL THEN 0 ELSE 1 END) AS NULL_COUNT, SUM(CASE WHEN TBILL_ISSUE_WAY IS NOT NULL THEN 1 ELSE 0 END) AS NOT_NULL_COUNT FROM T_SHOP WHERE INS_DAY &gt;= '20240101000000'  UNION ALL SELECT 'TBILL_ISSUE_CLSBY' AS COLUMN_NAME, SUM(CASE WHEN TBILL_ISSUE_CLSBY IS NULL THEN 0 ELSE 1 END) AS NULL_COUNT, SUM(CASE WHEN TBILL_ISSUE_CLSBY IS NOT NULL THEN 1 ELSE 0 END) AS NOT_NULL_COUNT FROM T_SHOP WHERE INS_DAY &gt;= '20240101000000'  UNION ALL SELECT 'KICC_TERMN_ID' AS COLUMN_NAME, SUM(CASE WHEN KICC_TERMN_ID IS NULL THEN 0 ELSE 1 END) AS NULL_COUNT, SUM(CASE WHEN KICC_TERMN_ID IS NOT NULL THEN 1 ELSE 0 END) AS NOT_NULL_COUNT FROM T_SHOP WHERE INS_DAY &gt;= '20240101000000'  UNION ALL SELECT 'REFUND_SHOP_ID' AS COLUMN_NAME, SUM(CASE WHEN REFUND_SHOP_ID IS NULL THEN 0 ELSE 1 END) AS NULL_COUNT, SUM(CASE WHEN REFUND_SHOP_ID IS NOT NULL THEN 1 ELSE 0 END) AS NOT_NULL_COUNT FROM T_SHOP WHERE INS_DAY &gt;= '20240101000000'  UNION ALL SELECT 'REFUND_TERMN_ID' AS COLUMN_NAME, SUM(CASE WHEN REFUND_TERMN_ID IS NULL THEN 0 ELSE 1 END) AS NULL_COUNT, SUM(CASE WHEN REFUND_TERMN_ID IS NOT NULL THEN 1 ELSE 0 END) AS NOT_NULL_COUNT FROM T_SHOP WHERE INS_DAY &gt;= '20240101000000'  UNION ALL SELECT 'TERMN_CLSBY' AS COLUMN_NAME, SUM(CASE WHEN TERMN_CLSBY IS NULL THEN 0 ELSE 1 END) AS NULL_COUNT, SUM(CASE WHEN TERMN_CLSBY IS NOT NULL THEN 1 ELSE 0 END) AS NOT_NULL_COUNT FROM T_SHOP WHERE INS_DAY &gt;= '20240101000000'  UNION ALL SELECT 'OVEDU_INT_IMP_YN' AS COLUMN_NAME, SUM(CASE WHEN OVEDU_INT_IMP_YN IS NULL THEN 0 ELSE 1 END) AS NULL_COUNT, SUM(CASE WHEN OVEDU_INT_IMP_YN IS NOT NULL THEN 1 ELSE 0 END) AS NOT_NULL_COUNT FROM T_SHOP WHERE INS_DAY &gt;= '20240101000000'  UNION ALL SELECT 'MEND_EXPN_IMP_YN' AS COLUMN_NAME, SUM(CASE WHEN MEND_EXPN_IMP_YN IS NULL THEN 0 ELSE 1 END) AS NULL_COUNT, SUM(CASE WHEN MEND_EXPN_IMP_YN IS NOT NULL THEN 1 ELSE 0 END) AS NOT_NULL_COUNT FROM T_SHOP WHERE INS_DAY &gt;= '20240101000000'  UNION ALL SELECT 'ATTR16' AS COLUMN_NAME, SUM(CASE WHEN ATTR16 IS NULL THEN 0 ELSE 1 END) AS NULL_COUNT, SUM(CASE WHEN ATTR16 IS NOT NULL THEN 1 ELSE 0 END) AS NOT_NULL_COUNT FROM T_SHOP WHERE INS_DAY &gt;= '20240101000000'  UNION ALL SELECT 'ATTR15' AS COLUMN_NAME, SUM(CASE WHEN ATTR15 IS NULL THEN 0 ELSE 1 END) AS NULL_COUNT, SUM(CASE WHEN ATTR15 IS NOT NULL THEN 1 ELSE 0 END) AS NOT_NULL_COUNT FROM T_SHOP WHERE INS_DAY &gt;= '20240101000000'  UNION ALL SELECT 'ATTR14' AS COLUMN_NAME, SUM(CASE WHEN ATTR14 IS NULL THEN 0 ELSE 1 END) AS NULL_COUNT, SUM(CASE WHEN ATTR14 IS NOT NULL THEN 1 ELSE 0 END) AS NOT_NULL_COUNT FROM T_SHOP WHERE INS_DAY &gt;= '20240101000000'  UNION ALL SELECT 'ATTR13' AS COLUMN_NAME, SUM(CASE WHEN ATTR13 IS NULL THEN 0 ELSE 1 END) AS NULL_COUNT, SUM(CASE WHEN ATTR13 IS NOT NULL THEN 1 ELSE 0 END) AS NOT_NULL_COUNT FROM T_SHOP WHERE INS_DAY &gt;= '20240101000000'  UNION ALL SELECT 'ATTR12' AS COLUMN_NAME, SUM(CASE WHEN ATTR12 IS NULL THEN 0 ELSE 1 END) AS NULL_COUNT, SUM(CASE WHEN ATTR12 IS NOT NULL THEN 1 ELSE 0 END) AS NOT_NULL_COUNT FROM T_SHOP WHERE INS_DAY &gt;= '20240101000000'  UNION ALL SELECT 'ATTR11' AS COLUMN_NAME, SUM(CASE WHEN ATTR11 IS NULL THEN 0 ELSE 1 END) AS NULL_COUNT, SUM(CASE WHEN ATTR11 IS NOT NULL THEN 1 ELSE 0 END) AS NOT_NULL_COUNT FROM T_SHOP WHERE INS_DAY &gt;= '20240101000000'  UNION ALL SELECT 'ATTR10' AS COLUMN_NAME, SUM(CASE WHEN ATTR10 IS NULL THEN 0 ELSE 1 END) AS NULL_COUNT, SUM(CASE WHEN ATTR10 IS NOT NULL THEN 1 ELSE 0 END) AS NOT_NULL_COUNT FROM T_SHOP WHERE INS_DAY &gt;= '20240101000000'  UNION ALL SELECT 'ATTR9' AS COLUMN_NAME, SUM(CASE WHEN ATTR9 IS NULL THEN 0 ELSE 1 END) AS NULL_COUNT, SUM(CASE WHEN ATTR9 IS NOT NULL THEN 1 ELSE 0 END) AS NOT_NULL_COUNT FROM T_SHOP WHERE INS_DAY &gt;= '20240101000000'  UNION ALL SELECT 'ATTR8' AS COLUMN_NAME, SUM(CASE WHEN ATTR8 IS NULL THEN 0 ELSE 1 END) AS NULL_COUNT, SUM(CASE WHEN ATTR8 IS NOT NULL THEN 1 ELSE 0 END) AS NOT_NULL_COUNT FROM T_SHOP WHERE INS_DAY &gt;= '20240101000000'  UNION ALL SELECT 'ATTR7' AS COLUMN_NAME, SUM(CASE WHEN ATTR7 IS NULL THEN 0 ELSE 1 END) AS NULL_COUNT, SUM(CASE WHEN ATTR7 IS NOT NULL THEN 1 ELSE 0 END) AS NOT_NULL_COUNT FROM T_SHOP WHERE INS_DAY &gt;= '20240101000000'  UNION ALL SELECT 'ATTR6' AS COLUMN_NAME, SUM(CASE WHEN ATTR6 IS NULL THEN 0 ELSE 1 END) AS NULL_COUNT, SUM(CASE WHEN ATTR6 IS NOT NULL THEN 1 ELSE 0 END) AS NOT_NULL_COUNT FROM T_SHOP WHERE INS_DAY &gt;= '20240101000000'  UNION ALL SELECT 'INSR' AS COLUMN_NAME, SUM(CASE WHEN INSR IS NULL THEN 0 ELSE 1 END) AS NULL_COUNT, SUM(CASE WHEN INSR IS NOT NULL THEN 1 ELSE 0 END) AS NOT_NULL_COUNT FROM T_SHOP WHERE INS_DAY &gt;= '20240101000000'  UNION ALL SELECT 'ETC_GRNT' AS COLUMN_NAME, SUM(CASE WHEN ETC_GRNT IS NULL THEN 0 ELSE 1 END) AS NULL_COUNT, SUM(CASE WHEN ETC_GRNT IS NOT NULL THEN 1 ELSE 0 END) AS NOT_NULL_COUNT FROM T_SHOP WHERE INS_DAY &gt;= '20240101000000'  UNION ALL SELECT 'CASH_GRNT' AS COLUMN_NAME, SUM(CASE WHEN CASH_GRNT IS NULL THEN 0 ELSE 1 END) AS NULL_COUNT, SUM(CASE WHEN CASH_GRNT IS NOT NULL THEN 1 ELSE 0 END) AS NOT_NULL_COUNT FROM T_SHOP WHERE INS_DAY &gt;= '20240101000000'  UNION ALL SELECT 'OFF_CUS_ANL_YN' AS COLUMN_NAME, SUM(CASE WHEN OFF_CUS_ANL_YN IS NULL THEN 0 ELSE 1 END) AS NULL_COUNT, SUM(CASE WHEN OFF_CUS_ANL_YN IS NOT NULL THEN 1 ELSE 0 END) AS NOT_NULL_COUNT FROM T_SHOP WHERE INS_DAY &gt;= '20240101000000'  UNION ALL SELECT 'GPS_LONGITUDE' AS COLUMN_NAME, SUM(CASE WHEN GPS_LONGITUDE IS NULL THEN 0 ELSE 1 END) AS NULL_COUNT, SUM(CASE WHEN GPS_LONGITUDE IS NOT NULL THEN 1 ELSE 0 END) AS NOT_NULL_COUNT FROM T_SHOP WHERE INS_DAY &gt;= '20240101000000'  UNION ALL SELECT 'GPS_LATITUDE' AS COLUMN_NAME, SUM(CASE WHEN GPS_LATITUDE IS NULL THEN 0 ELSE 1 END) AS NULL_COUNT, SUM(CASE WHEN GPS_LATITUDE IS NOT NULL THEN 1 ELSE 0 END) AS NOT_NULL_COUNT FROM T_SHOP WHERE INS_DAY &gt;= '20240101000000'  UNION ALL SELECT 'CHANNEL_ID' AS COLUMN_NAME, SUM(CASE WHEN CHANNEL_ID IS NULL THEN 0 ELSE 1 END) AS NULL_COUNT, SUM(CASE WHEN CHANNEL_ID IS NOT NULL THEN 1 ELSE 0 END) AS NOT_NULL_COUNT FROM T_SHOP WHERE INS_DAY &gt;= '20240101000000'  UNION ALL SELECT 'TAX_YN' AS COLUMN_NAME, SUM(CASE WHEN TAX_YN IS NULL THEN 0 ELSE 1 END) AS NULL_COUNT, SUM(CASE WHEN TAX_YN IS NOT NULL THEN 1 ELSE 0 END) AS NOT_NULL_COUNT FROM T_SHOP WHERE INS_DAY &gt;= '20240101000000'  UNION ALL SELECT 'WH_SHOP_YN' AS COLUMN_NAME, SUM(CASE WHEN WH_SHOP_YN IS NULL THEN 0 ELSE 1 END) AS NULL_COUNT, SUM(CASE WHEN WH_SHOP_YN IS NOT NULL THEN 1 ELSE 0 END) AS NOT_NULL_COUNT FROM T_SHOP WHERE INS_DAY &gt;= '20240101000000'  UNION ALL SELECT 'GIFT_CERTI_YN' AS COLUMN_NAME, SUM(CASE WHEN GIFT_CERTI_YN IS NULL THEN 0 ELSE 1 END) AS NULL_COUNT, SUM(CASE WHEN GIFT_CERTI_YN IS NOT NULL THEN 1 ELSE 0 END) AS NOT_NULL_COUNT FROM T_SHOP WHERE INS_DAY &gt;= '20240101000000'  UNION ALL SELECT 'CUS_ANL_YN' AS COLUMN_NAME, SUM(CASE WHEN CUS_ANL_YN IS NULL THEN 0 ELSE 1 END) AS NULL_COUNT, SUM(CASE WHEN CUS_ANL_YN IS NOT NULL THEN 1 ELSE 0 END) AS NOT_NULL_COUNT FROM T_SHOP WHERE INS_DAY &gt;= '20240101000000'  UNION ALL SELECT 'SELF_VOL_YN' AS COLUMN_NAME, SUM(CASE WHEN SELF_VOL_YN IS NULL THEN 0 ELSE 1 END) AS NULL_COUNT, SUM(CASE WHEN SELF_VOL_YN IS NOT NULL THEN 1 ELSE 0 END) AS NOT_NULL_COUNT FROM T_SHOP WHERE INS_DAY &gt;= '20240101000000'
</t>
    <phoneticPr fontId="2" type="noConversion"/>
  </si>
  <si>
    <t>SELECT 'CAT' AS COLUMN_NAME, SUM(CASE WHEN CAT IS NULL THEN 0 ELSE 1 END) AS NULL_COUNT, SUM(CASE WHEN CAT IS NOT NULL THEN 1 ELSE 0 END) AS NOT_NULL_COUNT FROM T_PRDT_KIND WHERE INS_DAY &gt;= '20240101000000'  UNION ALL SELECT 'ATTR6' AS COLUMN_NAME, SUM(CASE WHEN ATTR6 IS NULL THEN 0 ELSE 1 END) AS NULL_COUNT, SUM(CASE WHEN ATTR6 IS NOT NULL THEN 1 ELSE 0 END) AS NOT_NULL_COUNT FROM T_PRDT_KIND WHERE INS_DAY &gt;= '20240101000000'  UNION ALL SELECT 'ATTR5' AS COLUMN_NAME, SUM(CASE WHEN ATTR5 IS NULL THEN 0 ELSE 1 END) AS NULL_COUNT, SUM(CASE WHEN ATTR5 IS NOT NULL THEN 1 ELSE 0 END) AS NOT_NULL_COUNT FROM T_PRDT_KIND WHERE INS_DAY &gt;= '20240101000000'  UNION ALL SELECT 'ATTR4' AS COLUMN_NAME, SUM(CASE WHEN ATTR4 IS NULL THEN 0 ELSE 1 END) AS NULL_COUNT, SUM(CASE WHEN ATTR4 IS NOT NULL THEN 1 ELSE 0 END) AS NOT_NULL_COUNT FROM T_PRDT_KIND WHERE INS_DAY &gt;= '20240101000000'  UNION ALL SELECT 'ATTR3' AS COLUMN_NAME, SUM(CASE WHEN ATTR3 IS NULL THEN 0 ELSE 1 END) AS NULL_COUNT, SUM(CASE WHEN ATTR3 IS NOT NULL THEN 1 ELSE 0 END) AS NOT_NULL_COUNT FROM T_PRDT_KIND WHERE INS_DAY &gt;= '20240101000000'  UNION ALL SELECT 'ATTR2' AS COLUMN_NAME, SUM(CASE WHEN ATTR2 IS NULL THEN 0 ELSE 1 END) AS NULL_COUNT, SUM(CASE WHEN ATTR2 IS NOT NULL THEN 1 ELSE 0 END) AS NOT_NULL_COUNT FROM T_PRDT_KIND WHERE INS_DAY &gt;= '20240101000000'  UNION ALL SELECT 'ATTR1' AS COLUMN_NAME, SUM(CASE WHEN ATTR1 IS NULL THEN 0 ELSE 1 END) AS NULL_COUNT, SUM(CASE WHEN ATTR1 IS NOT NULL THEN 1 ELSE 0 END) AS NOT_NULL_COUNT FROM T_PRDT_KIND WHERE INS_DAY &gt;= '20240101000000'  UNION ALL SELECT 'DEL_USERID' AS COLUMN_NAME, SUM(CASE WHEN DEL_USERID IS NULL THEN 0 ELSE 1 END) AS NULL_COUNT, SUM(CASE WHEN DEL_USERID IS NOT NULL THEN 1 ELSE 0 END) AS NOT_NULL_COUNT FROM T_PRDT_KIND WHERE INS_DAY &gt;= '20240101000000'  UNION ALL SELECT 'DEL_DAY' AS COLUMN_NAME, SUM(CASE WHEN DEL_DAY IS NULL THEN 0 ELSE 1 END) AS NULL_COUNT, SUM(CASE WHEN DEL_DAY IS NOT NULL THEN 1 ELSE 0 END) AS NOT_NULL_COUNT FROM T_PRDT_KIND WHERE INS_DAY &gt;= '20240101000000'  UNION ALL SELECT 'UPT_USERID' AS COLUMN_NAME, SUM(CASE WHEN UPT_USERID IS NULL THEN 0 ELSE 1 END) AS NULL_COUNT, SUM(CASE WHEN UPT_USERID IS NOT NULL THEN 1 ELSE 0 END) AS NOT_NULL_COUNT FROM T_PRDT_KIND WHERE INS_DAY &gt;= '20240101000000'  UNION ALL SELECT 'UPT_DAY' AS COLUMN_NAME, SUM(CASE WHEN UPT_DAY IS NULL THEN 0 ELSE 1 END) AS NULL_COUNT, SUM(CASE WHEN UPT_DAY IS NOT NULL THEN 1 ELSE 0 END) AS NOT_NULL_COUNT FROM T_PRDT_KIND WHERE INS_DAY &gt;= '20240101000000'  UNION ALL SELECT 'INS_USERID' AS COLUMN_NAME, SUM(CASE WHEN INS_USERID IS NULL THEN 0 ELSE 1 END) AS NULL_COUNT, SUM(CASE WHEN INS_USERID IS NOT NULL THEN 1 ELSE 0 END) AS NOT_NULL_COUNT FROM T_PRDT_KIND WHERE INS_DAY &gt;= '20240101000000'  UNION ALL SELECT 'PRTY_RANK' AS COLUMN_NAME, SUM(CASE WHEN PRTY_RANK IS NULL THEN 0 ELSE 1 END) AS NULL_COUNT, SUM(CASE WHEN PRTY_RANK IS NOT NULL THEN 1 ELSE 0 END) AS NOT_NULL_COUNT FROM T_PRDT_KIND WHERE INS_DAY &gt;= '20240101000000'  UNION ALL SELECT 'RMK' AS COLUMN_NAME, SUM(CASE WHEN RMK IS NULL THEN 0 ELSE 1 END) AS NULL_COUNT, SUM(CASE WHEN RMK IS NOT NULL THEN 1 ELSE 0 END) AS NOT_NULL_COUNT FROM T_PRDT_KIND WHERE INS_DAY &gt;= '20240101000000'  UNION ALL SELECT 'USE_YN' AS COLUMN_NAME, SUM(CASE WHEN USE_YN IS NULL THEN 0 ELSE 1 END) AS NULL_COUNT, SUM(CASE WHEN USE_YN IS NOT NULL THEN 1 ELSE 0 END) AS NOT_NULL_COUNT FROM T_PRDT_KIND WHERE INS_DAY &gt;= '20240101000000'  UNION ALL SELECT 'LAST_YN' AS COLUMN_NAME, SUM(CASE WHEN LAST_YN IS NULL THEN 0 ELSE 1 END) AS NULL_COUNT, SUM(CASE WHEN LAST_YN IS NOT NULL THEN 1 ELSE 0 END) AS NOT_NULL_COUNT FROM T_PRDT_KIND WHERE INS_DAY &gt;= '20240101000000'  UNION ALL SELECT 'CD_NM' AS COLUMN_NAME, SUM(CASE WHEN CD_NM IS NULL THEN 0 ELSE 1 END) AS NULL_COUNT, SUM(CASE WHEN CD_NM IS NOT NULL THEN 1 ELSE 0 END) AS NOT_NULL_COUNT FROM T_PRDT_KIND WHERE INS_DAY &gt;= '20240101000000'  UNION ALL SELECT 'PARENT_PRDT_KIND_CD' AS COLUMN_NAME, SUM(CASE WHEN PARENT_PRDT_KIND_CD IS NULL THEN 0 ELSE 1 END) AS NULL_COUNT, SUM(CASE WHEN PARENT_PRDT_KIND_CD IS NOT NULL THEN 1 ELSE 0 END) AS NOT_NULL_COUNT FROM T_PRDT_KIND WHERE INS_DAY &gt;= '20240101000000'  UNION ALL SELECT 'COMN_CLSBY' AS COLUMN_NAME, SUM(CASE WHEN COMN_CLSBY IS NULL THEN 0 ELSE 1 END) AS NULL_COUNT, SUM(CASE WHEN COMN_CLSBY IS NOT NULL THEN 1 ELSE 0 END) AS NOT_NULL_COUNT FROM T_PRDT_KIND WHERE INS_DAY &gt;= '20240101000000'  UNION ALL SELECT 'COMPY_CD' AS COLUMN_NAME, SUM(CASE WHEN COMPY_CD IS NULL THEN 0 ELSE 1 END) AS NULL_COUNT, SUM(CASE WHEN COMPY_CD IS NOT NULL THEN 1 ELSE 0 END) AS NOT_NULL_COUNT FROM T_PRDT_KIND WHERE INS_DAY &gt;= '20240101000000'  UNION ALL SELECT 'LANG_CLSBY' AS COLUMN_NAME, SUM(CASE WHEN LANG_CLSBY IS NULL THEN 0 ELSE 1 END) AS NULL_COUNT, SUM(CASE WHEN LANG_CLSBY IS NOT NULL THEN 1 ELSE 0 END) AS NOT_NULL_COUNT FROM T_PRDT_KIND WHERE INS_DAY &gt;= '20240101000000'  UNION ALL SELECT 'PRDT_KIND_CD' AS COLUMN_NAME, SUM(CASE WHEN PRDT_KIND_CD IS NULL THEN 0 ELSE 1 END) AS NULL_COUNT, SUM(CASE WHEN PRDT_KIND_CD IS NOT NULL THEN 1 ELSE 0 END) AS NOT_NULL_COUNT FROM T_PRDT_KIND WHERE INS_DAY &gt;= '20240101000000'</t>
  </si>
  <si>
    <t>SELECT 'PRDT_KOR_NM' AS COLUMN_NAME, SUM(CASE WHEN PRDT_KOR_NM IS NULL THEN 0 ELSE 1 END) AS NULL_COUNT, SUM(CASE WHEN PRDT_KOR_NM IS NOT NULL THEN 1 ELSE 0 END) AS NOT_NULL_COUNT FROM T_PRDT_PLAN WHERE PLAN_YY &gt;= '2024'  UNION ALL SELECT 'LINNG_CD' AS COLUMN_NAME, SUM(CASE WHEN LINNG_CD IS NULL THEN 0 ELSE 1 END) AS NULL_COUNT, SUM(CASE WHEN LINNG_CD IS NOT NULL THEN 1 ELSE 0 END) AS NOT_NULL_COUNT FROM T_PRDT_PLAN WHERE PLAN_YY &gt;= '2024'  UNION ALL SELECT 'TRN_CD' AS COLUMN_NAME, SUM(CASE WHEN TRN_CD IS NULL THEN 0 ELSE 1 END) AS NULL_COUNT, SUM(CASE WHEN TRN_CD IS NOT NULL THEN 1 ELSE 0 END) AS NOT_NULL_COUNT FROM T_PRDT_PLAN WHERE PLAN_YY &gt;= '2024'  UNION ALL SELECT 'STRCH_CD' AS COLUMN_NAME, SUM(CASE WHEN STRCH_CD IS NULL THEN 0 ELSE 1 END) AS NULL_COUNT, SUM(CASE WHEN STRCH_CD IS NOT NULL THEN 1 ELSE 0 END) AS NOT_NULL_COUNT FROM T_PRDT_PLAN WHERE PLAN_YY &gt;= '2024'  UNION ALL SELECT 'SAMPLE_BUY_BRD' AS COLUMN_NAME, SUM(CASE WHEN SAMPLE_BUY_BRD IS NULL THEN 0 ELSE 1 END) AS NULL_COUNT, SUM(CASE WHEN SAMPLE_BUY_BRD IS NOT NULL THEN 1 ELSE 0 END) AS NOT_NULL_COUNT FROM T_PRDT_PLAN WHERE PLAN_YY &gt;= '2024'  UNION ALL SELECT 'SECU_TAG_YN' AS COLUMN_NAME, SUM(CASE WHEN SECU_TAG_YN IS NULL THEN 0 ELSE 1 END) AS NULL_COUNT, SUM(CASE WHEN SECU_TAG_YN IS NOT NULL THEN 1 ELSE 0 END) AS NOT_NULL_COUNT FROM T_PRDT_PLAN WHERE PLAN_YY &gt;= '2024'  UNION ALL SELECT 'ESTM_SALE_END_DT' AS COLUMN_NAME, SUM(CASE WHEN ESTM_SALE_END_DT IS NULL THEN 0 ELSE 1 END) AS NULL_COUNT, SUM(CASE WHEN ESTM_SALE_END_DT IS NOT NULL THEN 1 ELSE 0 END) AS NOT_NULL_COUNT FROM T_PRDT_PLAN WHERE PLAN_YY &gt;= '2024'  UNION ALL SELECT 'GOAL_SALE_RATE' AS COLUMN_NAME, SUM(CASE WHEN GOAL_SALE_RATE IS NULL THEN 0 ELSE 1 END) AS NULL_COUNT, SUM(CASE WHEN GOAL_SALE_RATE IS NOT NULL THEN 1 ELSE 0 END) AS NOT_NULL_COUNT FROM T_PRDT_PLAN WHERE PLAN_YY &gt;= '2024'  UNION ALL SELECT 'ESTM_SALE_TERM' AS COLUMN_NAME, SUM(CASE WHEN ESTM_SALE_TERM IS NULL THEN 0 ELSE 1 END) AS NULL_COUNT, SUM(CASE WHEN ESTM_SALE_TERM IS NOT NULL THEN 1 ELSE 0 END) AS NOT_NULL_COUNT FROM T_PRDT_PLAN WHERE PLAN_YY &gt;= '2024'  UNION ALL SELECT 'ESTM_SALE_START_DT' AS COLUMN_NAME, SUM(CASE WHEN ESTM_SALE_START_DT IS NULL THEN 0 ELSE 1 END) AS NULL_COUNT, SUM(CASE WHEN ESTM_SALE_START_DT IS NOT NULL THEN 1 ELSE 0 END) AS NOT_NULL_COUNT FROM T_PRDT_PLAN WHERE PLAN_YY &gt;= '2024'  UNION ALL SELECT 'BRD_LINE_CD' AS COLUMN_NAME, SUM(CASE WHEN BRD_LINE_CD IS NULL THEN 0 ELSE 1 END) AS NULL_COUNT, SUM(CASE WHEN BRD_LINE_CD IS NOT NULL THEN 1 ELSE 0 END) AS NOT_NULL_COUNT FROM T_PRDT_PLAN WHERE PLAN_YY &gt;= '2024'  UNION ALL SELECT 'PRDT_CLASS_CD' AS COLUMN_NAME, SUM(CASE WHEN PRDT_CLASS_CD IS NULL THEN 0 ELSE 1 END) AS NULL_COUNT, SUM(CASE WHEN PRDT_CLASS_CD IS NOT NULL THEN 1 ELSE 0 END) AS NOT_NULL_COUNT FROM T_PRDT_PLAN WHERE PLAN_YY &gt;= '2024'  UNION ALL SELECT 'ATTR5' AS COLUMN_NAME, SUM(CASE WHEN ATTR5 IS NULL THEN 0 ELSE 1 END) AS NULL_COUNT, SUM(CASE WHEN ATTR5 IS NOT NULL THEN 1 ELSE 0 END) AS NOT_NULL_COUNT FROM T_PRDT_PLAN WHERE PLAN_YY &gt;= '2024'  UNION ALL SELECT 'ATTR4' AS COLUMN_NAME, SUM(CASE WHEN ATTR4 IS NULL THEN 0 ELSE 1 END) AS NULL_COUNT, SUM(CASE WHEN ATTR4 IS NOT NULL THEN 1 ELSE 0 END) AS NOT_NULL_COUNT FROM T_PRDT_PLAN WHERE PLAN_YY &gt;= '2024'  UNION ALL SELECT 'ATTR3' AS COLUMN_NAME, SUM(CASE WHEN ATTR3 IS NULL THEN 0 ELSE 1 END) AS NULL_COUNT, SUM(CASE WHEN ATTR3 IS NOT NULL THEN 1 ELSE 0 END) AS NOT_NULL_COUNT FROM T_PRDT_PLAN WHERE PLAN_YY &gt;= '2024'  UNION ALL SELECT 'ATTR2' AS COLUMN_NAME, SUM(CASE WHEN ATTR2 IS NULL THEN 0 ELSE 1 END) AS NULL_COUNT, SUM(CASE WHEN ATTR2 IS NOT NULL THEN 1 ELSE 0 END) AS NOT_NULL_COUNT FROM T_PRDT_PLAN WHERE PLAN_YY &gt;= '2024'  UNION ALL SELECT 'ATTR1' AS COLUMN_NAME, SUM(CASE WHEN ATTR1 IS NULL THEN 0 ELSE 1 END) AS NULL_COUNT, SUM(CASE WHEN ATTR1 IS NOT NULL THEN 1 ELSE 0 END) AS NOT_NULL_COUNT FROM T_PRDT_PLAN WHERE PLAN_YY &gt;= '2024'  UNION ALL SELECT 'MLANG_NO' AS COLUMN_NAME, SUM(CASE WHEN MLANG_NO IS NULL THEN 0 ELSE 1 END) AS NULL_COUNT, SUM(CASE WHEN MLANG_NO IS NOT NULL THEN 1 ELSE 0 END) AS NOT_NULL_COUNT FROM T_PRDT_PLAN WHERE PLAN_YY &gt;= '2024'  UNION ALL SELECT 'FBR_MATIERE_CLSBY' AS COLUMN_NAME, SUM(CASE WHEN FBR_MATIERE_CLSBY IS NULL THEN 0 ELSE 1 END) AS NULL_COUNT, SUM(CASE WHEN FBR_MATIERE_CLSBY IS NOT NULL THEN 1 ELSE 0 END) AS NOT_NULL_COUNT FROM T_PRDT_PLAN WHERE PLAN_YY &gt;= '2024'  UNION ALL SELECT 'SEX' AS COLUMN_NAME, SUM(CASE WHEN SEX IS NULL THEN 0 ELSE 1 END) AS NULL_COUNT, SUM(CASE WHEN SEX IS NOT NULL THEN 1 ELSE 0 END) AS NOT_NULL_COUNT FROM T_PRDT_PLAN WHERE PLAN_YY &gt;= '2024'  UNION ALL SELECT 'COMPY_CD' AS COLUMN_NAME, SUM(CASE WHEN COMPY_CD IS NULL THEN 0 ELSE 1 END) AS NULL_COUNT, SUM(CASE WHEN COMPY_CD IS NOT NULL THEN 1 ELSE 0 END) AS NOT_NULL_COUNT FROM T_PRDT_PLAN WHERE PLAN_YY &gt;= '2024'  UNION ALL SELECT 'TRANSB_PRDT_CD' AS COLUMN_NAME, SUM(CASE WHEN TRANSB_PRDT_CD IS NULL THEN 0 ELSE 1 END) AS NULL_COUNT, SUM(CASE WHEN TRANSB_PRDT_CD IS NOT NULL THEN 1 ELSE 0 END) AS NOT_NULL_COUNT FROM T_PRDT_PLAN WHERE PLAN_YY &gt;= '2024'  UNION ALL SELECT 'CSUMR_PRICE_CNFMR' AS COLUMN_NAME, SUM(CASE WHEN CSUMR_PRICE_CNFMR IS NULL THEN 0 ELSE 1 END) AS NULL_COUNT, SUM(CASE WHEN CSUMR_PRICE_CNFMR IS NOT NULL THEN 1 ELSE 0 END) AS NOT_NULL_COUNT FROM T_PRDT_PLAN WHERE PLAN_YY &gt;= '2024'  UNION ALL SELECT 'CSUMR_PRICE_CNFM_DT' AS COLUMN_NAME, SUM(CASE WHEN CSUMR_PRICE_CNFM_DT IS NULL THEN 0 ELSE 1 END) AS NULL_COUNT, SUM(CASE WHEN CSUMR_PRICE_CNFM_DT IS NOT NULL THEN 1 ELSE 0 END) AS NOT_NULL_COUNT FROM T_PRDT_PLAN WHERE PLAN_YY &gt;= '2024'  UNION ALL SELECT 'CSUMR_PRICE' AS COLUMN_NAME, SUM(CASE WHEN CSUMR_PRICE IS NULL THEN 0 ELSE 1 END) AS NULL_COUNT, SUM(CASE WHEN CSUMR_PRICE IS NOT NULL THEN 1 ELSE 0 END) AS NOT_NULL_COUNT FROM T_PRDT_PLAN WHERE PLAN_YY &gt;= '2024'  UNION ALL SELECT 'COLC' AS COLUMN_NAME, SUM(CASE WHEN COLC IS NULL THEN 0 ELSE 1 END) AS NULL_COUNT, SUM(CASE WHEN COLC IS NOT NULL THEN 1 ELSE 0 END) AS NOT_NULL_COUNT FROM T_PRDT_PLAN WHERE PLAN_YY &gt;= '2024'  UNION ALL SELECT 'ORGN_CLSBY' AS COLUMN_NAME, SUM(CASE WHEN ORGN_CLSBY IS NULL THEN 0 ELSE 1 END) AS NULL_COUNT, SUM(CASE WHEN ORGN_CLSBY IS NOT NULL THEN 1 ELSE 0 END) AS NOT_NULL_COUNT FROM T_PRDT_PLAN WHERE PLAN_YY &gt;= '2024'  UNION ALL SELECT 'STRIN_YN' AS COLUMN_NAME, SUM(CASE WHEN STRIN_YN IS NULL THEN 0 ELSE 1 END) AS NULL_COUNT, SUM(CASE WHEN STRIN_YN IS NOT NULL THEN 1 ELSE 0 END) AS NOT_NULL_COUNT FROM T_PRDT_PLAN WHERE PLAN_YY &gt;= '2024'  UNION ALL SELECT 'RCPT_YN' AS COLUMN_NAME, SUM(CASE WHEN RCPT_YN IS NULL THEN 0 ELSE 1 END) AS NULL_COUNT, SUM(CASE WHEN RCPT_YN IS NOT NULL THEN 1 ELSE 0 END) AS NOT_NULL_COUNT FROM T_PRDT_PLAN WHERE PLAN_YY &gt;= '2024'  UNION ALL SELECT 'DROP_CLSBY' AS COLUMN_NAME, SUM(CASE WHEN DROP_CLSBY IS NULL THEN 0 ELSE 1 END) AS NULL_COUNT, SUM(CASE WHEN DROP_CLSBY IS NOT NULL THEN 1 ELSE 0 END) AS NOT_NULL_COUNT FROM T_PRDT_PLAN WHERE PLAN_YY &gt;= '2024'  UNION ALL SELECT 'PLAN_MFAC_KIND_CLSBY' AS COLUMN_NAME, SUM(CASE WHEN PLAN_MFAC_KIND_CLSBY IS NULL THEN 0 ELSE 1 END) AS NULL_COUNT, SUM(CASE WHEN PLAN_MFAC_KIND_CLSBY IS NOT NULL THEN 1 ELSE 0 END) AS NOT_NULL_COUNT FROM T_PRDT_PLAN WHERE PLAN_YY &gt;= '2024'  UNION ALL SELECT 'PRDT_CLSBY' AS COLUMN_NAME, SUM(CASE WHEN PRDT_CLSBY IS NULL THEN 0 ELSE 1 END) AS NULL_COUNT, SUM(CASE WHEN PRDT_CLSBY IS NOT NULL THEN 1 ELSE 0 END) AS NOT_NULL_COUNT FROM T_PRDT_PLAN WHERE PLAN_YY &gt;= '2024'  UNION ALL SELECT 'MD_EMP_ID' AS COLUMN_NAME, SUM(CASE WHEN MD_EMP_ID IS NULL THEN 0 ELSE 1 END) AS NULL_COUNT, SUM(CASE WHEN MD_EMP_ID IS NOT NULL THEN 1 ELSE 0 END) AS NOT_NULL_COUNT FROM T_PRDT_PLAN WHERE PLAN_YY &gt;= '2024'  UNION ALL SELECT 'DESIGN_EMP_ID' AS COLUMN_NAME, SUM(CASE WHEN DESIGN_EMP_ID IS NULL THEN 0 ELSE 1 END) AS NULL_COUNT, SUM(CASE WHEN DESIGN_EMP_ID IS NOT NULL THEN 1 ELSE 0 END) AS NOT_NULL_COUNT FROM T_PRDT_PLAN WHERE PLAN_YY &gt;= '2024'  UNION ALL SELECT 'SESN_CD' AS COLUMN_NAME, SUM(CASE WHEN SESN_CD IS NULL THEN 0 ELSE 1 END) AS NULL_COUNT, SUM(CASE WHEN SESN_CD IS NOT NULL THEN 1 ELSE 0 END) AS NOT_NULL_COUNT FROM T_PRDT_PLAN WHERE PLAN_YY &gt;= '2024'  UNION ALL SELECT 'BRD_CD' AS COLUMN_NAME, SUM(CASE WHEN BRD_CD IS NULL THEN 0 ELSE 1 END) AS NULL_COUNT, SUM(CASE WHEN BRD_CD IS NOT NULL THEN 1 ELSE 0 END) AS NOT_NULL_COUNT FROM T_PRDT_PLAN WHERE PLAN_YY &gt;= '2024'  UNION ALL SELECT 'PARENT_BRD_CD' AS COLUMN_NAME, SUM(CASE WHEN PARENT_BRD_CD IS NULL THEN 0 ELSE 1 END) AS NULL_COUNT, SUM(CASE WHEN PARENT_BRD_CD IS NOT NULL THEN 1 ELSE 0 END) AS NOT_NULL_COUNT FROM T_PRDT_PLAN WHERE PLAN_YY &gt;= '2024'  UNION ALL SELECT 'PRDT_KIND_CD' AS COLUMN_NAME, SUM(CASE WHEN PRDT_KIND_CD IS NULL THEN 0 ELSE 1 END) AS NULL_COUNT, SUM(CASE WHEN PRDT_KIND_CD IS NOT NULL THEN 1 ELSE 0 END) AS NOT_NULL_COUNT FROM T_PRDT_PLAN WHERE PLAN_YY &gt;= '2024'  UNION ALL SELECT 'UPT_USERID' AS COLUMN_NAME, SUM(CASE WHEN UPT_USERID IS NULL THEN 0 ELSE 1 END) AS NULL_COUNT, SUM(CASE WHEN UPT_USERID IS NOT NULL THEN 1 ELSE 0 END) AS NOT_NULL_COUNT FROM T_PRDT_PLAN WHERE PLAN_YY &gt;= '2024'  UNION ALL SELECT 'UPT_DAY' AS COLUMN_NAME, SUM(CASE WHEN UPT_DAY IS NULL THEN 0 ELSE 1 END) AS NULL_COUNT, SUM(CASE WHEN UPT_DAY IS NOT NULL THEN 1 ELSE 0 END) AS NOT_NULL_COUNT FROM T_PRDT_PLAN WHERE PLAN_YY &gt;= '2024'  UNION ALL SELECT 'INS_USERID' AS COLUMN_NAME, SUM(CASE WHEN INS_USERID IS NULL THEN 0 ELSE 1 END) AS NULL_COUNT, SUM(CASE WHEN INS_USERID IS NOT NULL THEN 1 ELSE 0 END) AS NOT_NULL_COUNT FROM T_PRDT_PLAN WHERE PLAN_YY &gt;= '2024'  UNION ALL SELECT 'INS_DAY' AS COLUMN_NAME, SUM(CASE WHEN INS_DAY IS NULL THEN 0 ELSE 1 END) AS NULL_COUNT, SUM(CASE WHEN INS_DAY IS NOT NULL THEN 1 ELSE 0 END) AS NOT_NULL_COUNT FROM T_PRDT_PLAN WHERE PLAN_YY &gt;= '2024'  UNION ALL SELECT 'PRDT_NM' AS COLUMN_NAME, SUM(CASE WHEN PRDT_NM IS NULL THEN 0 ELSE 1 END) AS NULL_COUNT, SUM(CASE WHEN PRDT_NM IS NOT NULL THEN 1 ELSE 0 END) AS NOT_NULL_COUNT FROM T_PRDT_PLAN WHERE PLAN_YY &gt;= '2024'  UNION ALL SELECT 'PRDT_CD' AS COLUMN_NAME, SUM(CASE WHEN PRDT_CD IS NULL THEN 0 ELSE 1 END) AS NULL_COUNT, SUM(CASE WHEN PRDT_CD IS NOT NULL THEN 1 ELSE 0 END) AS NOT_NULL_COUNT FROM T_PRDT_PLAN WHERE PLAN_YY &gt;= '2024'  UNION ALL SELECT 'DPUR_YN' AS COLUMN_NAME, SUM(CASE WHEN DPUR_YN IS NULL THEN 0 ELSE 1 END) AS NULL_COUNT, SUM(CASE WHEN DPUR_YN IS NOT NULL THEN 1 ELSE 0 END) AS NOT_NULL_COUNT FROM T_PRDT_PLAN WHERE PLAN_YY &gt;= '2024'</t>
  </si>
  <si>
    <t xml:space="preserve">패션IT팀 - NULL 검증 SQL </t>
    <phoneticPr fontId="2" type="noConversion"/>
  </si>
  <si>
    <t>SELECT 'FILENO_BUYER_CD' AS COLUMN_NAME, SUM(CASE WHEN FILENO_BUYER_CD IS NULL THEN 0 ELSE 1 END) AS NULL_COUNT, SUM(CASE WHEN FILENO_BUYER_CD IS NOT NULL THEN 1 ELSE 0 END) AS NOT_NULL_COUNT FROM T_BRD WHERE INS_DAY &gt;= '20240101000000'  UNION ALL SELECT 'KONE_BANK_CODE' AS COLUMN_NAME, SUM(CASE WHEN KONE_BANK_CODE IS NULL THEN 0 ELSE 1 END) AS NULL_COUNT, SUM(CASE WHEN KONE_BANK_CODE IS NOT NULL THEN 1 ELSE 0 END) AS NOT_NULL_COUNT FROM T_BRD WHERE INS_DAY &gt;= '20240101000000'  UNION ALL SELECT 'ONLINE_PARTNER_NO' AS COLUMN_NAME, SUM(CASE WHEN ONLINE_PARTNER_NO IS NULL THEN 0 ELSE 1 END) AS NULL_COUNT, SUM(CASE WHEN ONLINE_PARTNER_NO IS NOT NULL THEN 1 ELSE 0 END) AS NOT_NULL_COUNT FROM T_BRD WHERE INS_DAY &gt;= '20240101000000'  UNION ALL SELECT 'ATTR5' AS COLUMN_NAME, SUM(CASE WHEN ATTR5 IS NULL THEN 0 ELSE 1 END) AS NULL_COUNT, SUM(CASE WHEN ATTR5 IS NOT NULL THEN 1 ELSE 0 END) AS NOT_NULL_COUNT FROM T_BRD WHERE INS_DAY &gt;= '20240101000000'  UNION ALL SELECT 'ATTR4' AS COLUMN_NAME, SUM(CASE WHEN ATTR4 IS NULL THEN 0 ELSE 1 END) AS NULL_COUNT, SUM(CASE WHEN ATTR4 IS NOT NULL THEN 1 ELSE 0 END) AS NOT_NULL_COUNT FROM T_BRD WHERE INS_DAY &gt;= '20240101000000'  UNION ALL SELECT 'ATTR3' AS COLUMN_NAME, SUM(CASE WHEN ATTR3 IS NULL THEN 0 ELSE 1 END) AS NULL_COUNT, SUM(CASE WHEN ATTR3 IS NOT NULL THEN 1 ELSE 0 END) AS NOT_NULL_COUNT FROM T_BRD WHERE INS_DAY &gt;= '20240101000000'  UNION ALL SELECT 'ATTR2' AS COLUMN_NAME, SUM(CASE WHEN ATTR2 IS NULL THEN 0 ELSE 1 END) AS NULL_COUNT, SUM(CASE WHEN ATTR2 IS NOT NULL THEN 1 ELSE 0 END) AS NOT_NULL_COUNT FROM T_BRD WHERE INS_DAY &gt;= '20240101000000'  UNION ALL SELECT 'ATTR1' AS COLUMN_NAME, SUM(CASE WHEN ATTR1 IS NULL THEN 0 ELSE 1 END) AS NULL_COUNT, SUM(CASE WHEN ATTR1 IS NOT NULL THEN 1 ELSE 0 END) AS NOT_NULL_COUNT FROM T_BRD WHERE INS_DAY &gt;= '20240101000000'  UNION ALL SELECT 'DEL_USERID' AS COLUMN_NAME, SUM(CASE WHEN DEL_USERID IS NULL THEN 0 ELSE 1 END) AS NULL_COUNT, SUM(CASE WHEN DEL_USERID IS NOT NULL THEN 1 ELSE 0 END) AS NOT_NULL_COUNT FROM T_BRD WHERE INS_DAY &gt;= '20240101000000'  UNION ALL SELECT 'DEL_DAY' AS COLUMN_NAME, SUM(CASE WHEN DEL_DAY IS NULL THEN 0 ELSE 1 END) AS NULL_COUNT, SUM(CASE WHEN DEL_DAY IS NOT NULL THEN 1 ELSE 0 END) AS NOT_NULL_COUNT FROM T_BRD WHERE INS_DAY &gt;= '20240101000000'  UNION ALL SELECT 'UPT_USERID' AS COLUMN_NAME, SUM(CASE WHEN UPT_USERID IS NULL THEN 0 ELSE 1 END) AS NULL_COUNT, SUM(CASE WHEN UPT_USERID IS NOT NULL THEN 1 ELSE 0 END) AS NOT_NULL_COUNT FROM T_BRD WHERE INS_DAY &gt;= '20240101000000'  UNION ALL SELECT 'UPT_DAY' AS COLUMN_NAME, SUM(CASE WHEN UPT_DAY IS NULL THEN 0 ELSE 1 END) AS NULL_COUNT, SUM(CASE WHEN UPT_DAY IS NOT NULL THEN 1 ELSE 0 END) AS NOT_NULL_COUNT FROM T_BRD WHERE INS_DAY &gt;= '20240101000000'  UNION ALL SELECT 'INS_USERID' AS COLUMN_NAME, SUM(CASE WHEN INS_USERID IS NULL THEN 0 ELSE 1 END) AS NULL_COUNT, SUM(CASE WHEN INS_USERID IS NOT NULL THEN 1 ELSE 0 END) AS NOT_NULL_COUNT FROM T_BRD WHERE INS_DAY &gt;= '20240101000000'  UNION ALL SELECT 'PRTY_RANK' AS COLUMN_NAME, SUM(CASE WHEN PRTY_RANK IS NULL THEN 0 ELSE 1 END) AS NULL_COUNT, SUM(CASE WHEN PRTY_RANK IS NOT NULL THEN 1 ELSE 0 END) AS NOT_NULL_COUNT FROM T_BRD WHERE INS_DAY &gt;= '20240101000000'  UNION ALL SELECT 'RMK' AS COLUMN_NAME, SUM(CASE WHEN RMK IS NULL THEN 0 ELSE 1 END) AS NULL_COUNT, SUM(CASE WHEN RMK IS NOT NULL THEN 1 ELSE 0 END) AS NOT_NULL_COUNT FROM T_BRD WHERE INS_DAY &gt;= '20240101000000'  UNION ALL SELECT 'USE_YN' AS COLUMN_NAME, SUM(CASE WHEN USE_YN IS NULL THEN 0 ELSE 1 END) AS NULL_COUNT, SUM(CASE WHEN USE_YN IS NOT NULL THEN 1 ELSE 0 END) AS NOT_NULL_COUNT FROM T_BRD WHERE INS_DAY &gt;= '20240101000000'  UNION ALL SELECT 'LAST_YN' AS COLUMN_NAME, SUM(CASE WHEN LAST_YN IS NULL THEN 0 ELSE 1 END) AS NULL_COUNT, SUM(CASE WHEN LAST_YN IS NOT NULL THEN 1 ELSE 0 END) AS NOT_NULL_COUNT FROM T_BRD WHERE INS_DAY &gt;= '20240101000000'  UNION ALL SELECT 'CD_NM' AS COLUMN_NAME, SUM(CASE WHEN CD_NM IS NULL THEN 0 ELSE 1 END) AS NULL_COUNT, SUM(CASE WHEN CD_NM IS NOT NULL THEN 1 ELSE 0 END) AS NOT_NULL_COUNT FROM T_BRD WHERE INS_DAY &gt;= '20240101000000'  UNION ALL SELECT 'PARENT_BRD_CD' AS COLUMN_NAME, SUM(CASE WHEN PARENT_BRD_CD IS NULL THEN 0 ELSE 1 END) AS NULL_COUNT, SUM(CASE WHEN PARENT_BRD_CD IS NOT NULL THEN 1 ELSE 0 END) AS NOT_NULL_COUNT FROM T_BRD WHERE INS_DAY &gt;= '20240101000000'  UNION ALL SELECT 'COMN_CLSBY' AS COLUMN_NAME, SUM(CASE WHEN COMN_CLSBY IS NULL THEN 0 ELSE 1 END) AS NULL_COUNT, SUM(CASE WHEN COMN_CLSBY IS NOT NULL THEN 1 ELSE 0 END) AS NOT_NULL_COUNT FROM T_BRD WHERE INS_DAY &gt;= '20240101000000'  UNION ALL SELECT 'COMPY_CD' AS COLUMN_NAME, SUM(CASE WHEN COMPY_CD IS NULL THEN 0 ELSE 1 END) AS NULL_COUNT, SUM(CASE WHEN COMPY_CD IS NOT NULL THEN 1 ELSE 0 END) AS NOT_NULL_COUNT FROM T_BRD WHERE INS_DAY &gt;= '20240101000000'  UNION ALL SELECT 'LANG_CLSBY' AS COLUMN_NAME, SUM(CASE WHEN LANG_CLSBY IS NULL THEN 0 ELSE 1 END) AS NULL_COUNT, SUM(CASE WHEN LANG_CLSBY IS NOT NULL THEN 1 ELSE 0 END) AS NOT_NULL_COUNT FROM T_BRD WHERE INS_DAY &gt;= '20240101000000'  UNION ALL SELECT 'BRD_CD' AS COLUMN_NAME, SUM(CASE WHEN BRD_CD IS NULL THEN 0 ELSE 1 END) AS NULL_COUNT, SUM(CASE WHEN BRD_CD IS NOT NULL THEN 1 ELSE 0 END) AS NOT_NULL_COUNT FROM T_BRD WHERE INS_DAY &gt;= '20240101000000'  UNION ALL SELECT 'BRD_GRP_WH' AS COLUMN_NAME, SUM(CASE WHEN BRD_GRP_WH IS NULL THEN 0 ELSE 1 END) AS NULL_COUNT, SUM(CASE WHEN BRD_GRP_WH IS NOT NULL THEN 1 ELSE 0 END) AS NOT_NULL_COUNT FROM T_BRD WHERE INS_DAY &gt;= '20240101000000'  UNION ALL SELECT 'BRD_GRP_HQ' AS COLUMN_NAME, SUM(CASE WHEN BRD_GRP_HQ IS NULL THEN 0 ELSE 1 END) AS NULL_COUNT, SUM(CASE WHEN BRD_GRP_HQ IS NOT NULL THEN 1 ELSE 0 END) AS NOT_NULL_COUNT FROM T_BRD WHERE INS_DAY &gt;= '20240101000000'  UNION ALL SELECT 'BRD_GRP_ON' AS COLUMN_NAME, SUM(CASE WHEN BRD_GRP_ON IS NULL THEN 0 ELSE 1 END) AS NULL_COUNT, SUM(CASE WHEN BRD_GRP_ON IS NOT NULL THEN 1 ELSE 0 END) AS NOT_NULL_COUNT FROM T_BRD WHERE INS_DAY &gt;= '20240101000000'  UNION ALL SELECT 'BRD_GRP_TA' AS COLUMN_NAME, SUM(CASE WHEN BRD_GRP_TA IS NULL THEN 0 ELSE 1 END) AS NULL_COUNT, SUM(CASE WHEN BRD_GRP_TA IS NOT NULL THEN 1 ELSE 0 END) AS NOT_NULL_COUNT FROM T_BRD WHERE INS_DAY &gt;= '20240101000000'</t>
    <phoneticPr fontId="2" type="noConversion"/>
  </si>
  <si>
    <t>SELECT 'ONLINE_DP_YN' AS COLUMN_NAME, SUM(CASE WHEN ONLINE_DP_YN IS NULL THEN 0 ELSE 1 END) AS NULL_COUNT, SUM(CASE WHEN ONLINE_DP_YN IS NOT NULL THEN 1 ELSE 0 END) AS NOT_NULL_COUNT FROM T_SHOP_BRD WHERE INS_DAY &gt;= '20240101000000'  UNION ALL SELECT 'MNG_EMP_ID' AS COLUMN_NAME, SUM(CASE WHEN MNG_EMP_ID IS NULL THEN 0 ELSE 1 END) AS NULL_COUNT, SUM(CASE WHEN MNG_EMP_ID IS NOT NULL THEN 1 ELSE 0 END) AS NOT_NULL_COUNT FROM T_SHOP_BRD WHERE INS_DAY &gt;= '20240101000000'  UNION ALL SELECT 'ATTR5' AS COLUMN_NAME, SUM(CASE WHEN ATTR5 IS NULL THEN 0 ELSE 1 END) AS NULL_COUNT, SUM(CASE WHEN ATTR5 IS NOT NULL THEN 1 ELSE 0 END) AS NOT_NULL_COUNT FROM T_SHOP_BRD WHERE INS_DAY &gt;= '20240101000000'  UNION ALL SELECT 'ATTR4' AS COLUMN_NAME, SUM(CASE WHEN ATTR4 IS NULL THEN 0 ELSE 1 END) AS NULL_COUNT, SUM(CASE WHEN ATTR4 IS NOT NULL THEN 1 ELSE 0 END) AS NOT_NULL_COUNT FROM T_SHOP_BRD WHERE INS_DAY &gt;= '20240101000000'  UNION ALL SELECT 'ATTR3' AS COLUMN_NAME, SUM(CASE WHEN ATTR3 IS NULL THEN 0 ELSE 1 END) AS NULL_COUNT, SUM(CASE WHEN ATTR3 IS NOT NULL THEN 1 ELSE 0 END) AS NOT_NULL_COUNT FROM T_SHOP_BRD WHERE INS_DAY &gt;= '20240101000000'  UNION ALL SELECT 'ATTR2' AS COLUMN_NAME, SUM(CASE WHEN ATTR2 IS NULL THEN 0 ELSE 1 END) AS NULL_COUNT, SUM(CASE WHEN ATTR2 IS NOT NULL THEN 1 ELSE 0 END) AS NOT_NULL_COUNT FROM T_SHOP_BRD WHERE INS_DAY &gt;= '20240101000000'  UNION ALL SELECT 'ATTR1' AS COLUMN_NAME, SUM(CASE WHEN ATTR1 IS NULL THEN 0 ELSE 1 END) AS NULL_COUNT, SUM(CASE WHEN ATTR1 IS NOT NULL THEN 1 ELSE 0 END) AS NOT_NULL_COUNT FROM T_SHOP_BRD WHERE INS_DAY &gt;= '20240101000000'  UNION ALL SELECT 'COMPY_CD' AS COLUMN_NAME, SUM(CASE WHEN COMPY_CD IS NULL THEN 0 ELSE 1 END) AS NULL_COUNT, SUM(CASE WHEN COMPY_CD IS NOT NULL THEN 1 ELSE 0 END) AS NOT_NULL_COUNT FROM T_SHOP_BRD WHERE INS_DAY &gt;= '20240101000000'  UNION ALL SELECT 'UPT_USERID' AS COLUMN_NAME, SUM(CASE WHEN UPT_USERID IS NULL THEN 0 ELSE 1 END) AS NULL_COUNT, SUM(CASE WHEN UPT_USERID IS NOT NULL THEN 1 ELSE 0 END) AS NOT_NULL_COUNT FROM T_SHOP_BRD WHERE INS_DAY &gt;= '20240101000000'  UNION ALL SELECT 'UPT_DAY' AS COLUMN_NAME, SUM(CASE WHEN UPT_DAY IS NULL THEN 0 ELSE 1 END) AS NULL_COUNT, SUM(CASE WHEN UPT_DAY IS NOT NULL THEN 1 ELSE 0 END) AS NOT_NULL_COUNT FROM T_SHOP_BRD WHERE INS_DAY &gt;= '20240101000000'  UNION ALL SELECT 'INS_USERID' AS COLUMN_NAME, SUM(CASE WHEN INS_USERID IS NULL THEN 0 ELSE 1 END) AS NULL_COUNT, SUM(CASE WHEN INS_USERID IS NOT NULL THEN 1 ELSE 0 END) AS NOT_NULL_COUNT FROM T_SHOP_BRD WHERE INS_DAY &gt;= '20240101000000'  UNION ALL SELECT 'EMP_ID' AS COLUMN_NAME, SUM(CASE WHEN EMP_ID IS NULL THEN 0 ELSE 1 END) AS NULL_COUNT, SUM(CASE WHEN EMP_ID IS NOT NULL THEN 1 ELSE 0 END) AS NOT_NULL_COUNT FROM T_SHOP_BRD WHERE INS_DAY &gt;= '20240101000000'  UNION ALL SELECT 'USE_YN' AS COLUMN_NAME, SUM(CASE WHEN USE_YN IS NULL THEN 0 ELSE 1 END) AS NULL_COUNT, SUM(CASE WHEN USE_YN IS NOT NULL THEN 1 ELSE 0 END) AS NOT_NULL_COUNT FROM T_SHOP_BRD WHERE INS_DAY &gt;= '20240101000000'  UNION ALL SELECT 'SALE_REG_LIMT_TERM' AS COLUMN_NAME, SUM(CASE WHEN SALE_REG_LIMT_TERM IS NULL THEN 0 ELSE 1 END) AS NULL_COUNT, SUM(CASE WHEN SALE_REG_LIMT_TERM IS NOT NULL THEN 1 ELSE 0 END) AS NOT_NULL_COUNT FROM T_SHOP_BRD WHERE INS_DAY &gt;= '20240101000000'  UNION ALL SELECT 'MNG_PARENT_BRD_CD' AS COLUMN_NAME, SUM(CASE WHEN MNG_PARENT_BRD_CD IS NULL THEN 0 ELSE 1 END) AS NULL_COUNT, SUM(CASE WHEN MNG_PARENT_BRD_CD IS NOT NULL THEN 1 ELSE 0 END) AS NOT_NULL_COUNT FROM T_SHOP_BRD WHERE INS_DAY &gt;= '20240101000000'  UNION ALL SELECT 'BRD_CD' AS COLUMN_NAME, SUM(CASE WHEN BRD_CD IS NULL THEN 0 ELSE 1 END) AS NULL_COUNT, SUM(CASE WHEN BRD_CD IS NOT NULL THEN 1 ELSE 0 END) AS NOT_NULL_COUNT FROM T_SHOP_BRD WHERE INS_DAY &gt;= '20240101000000'  UNION ALL SELECT 'SHOP_ID' AS COLUMN_NAME, SUM(CASE WHEN SHOP_ID IS NULL THEN 0 ELSE 1 END) AS NULL_COUNT, SUM(CASE WHEN SHOP_ID IS NOT NULL THEN 1 ELSE 0 END) AS NOT_NULL_COUNT FROM T_SHOP_BRD WHERE INS_DAY &gt;= '20240101000000'</t>
    <phoneticPr fontId="2" type="noConversion"/>
  </si>
  <si>
    <t>T_SHOP_BRD</t>
    <phoneticPr fontId="2" type="noConversion"/>
  </si>
  <si>
    <t>T_BRD</t>
    <phoneticPr fontId="2" type="noConversion"/>
  </si>
  <si>
    <t>SELECT 'RLEST_GRNT' AS COLUMN_NAME, SUM(CASE WHEN RLEST_GRNT IS NULL THEN 0 ELSE 1 END) AS NULL_COUNT, SUM(CASE WHEN RLEST_GRNT IS NOT NULL THEN 1 ELSE 0 END) AS NOT_NULL_COUNT FROM T_SHOP WHERE INS_DAY &gt;= '20240101000000'  UNION ALL SELECT 'MGN_CLSBY' AS COLUMN_NAME, SUM(CASE WHEN MGN_CLSBY IS NULL THEN 0 ELSE 1 END) AS NULL_COUNT, SUM(CASE WHEN MGN_CLSBY IS NOT NULL THEN 1 ELSE 0 END) AS NOT_NULL_COUNT FROM T_SHOP WHERE INS_DAY &gt;= '20240101000000'  UNION ALL SELECT 'ACCO_BRD_CD' AS COLUMN_NAME, SUM(CASE WHEN ACCO_BRD_CD IS NULL THEN 0 ELSE 1 END) AS NULL_COUNT, SUM(CASE WHEN ACCO_BRD_CD IS NOT NULL THEN 1 ELSE 0 END) AS NOT_NULL_COUNT FROM T_SHOP WHERE INS_DAY &gt;= '20240101000000'  UNION ALL SELECT 'ATTR5' AS COLUMN_NAME, SUM(CASE WHEN ATTR5 IS NULL THEN 0 ELSE 1 END) AS NULL_COUNT, SUM(CASE WHEN ATTR5 IS NOT NULL THEN 1 ELSE 0 END) AS NOT_NULL_COUNT FROM T_SHOP WHERE INS_DAY &gt;= '20240101000000'  UNION ALL SELECT 'ATTR4' AS COLUMN_NAME, SUM(CASE WHEN ATTR4 IS NULL THEN 0 ELSE 1 END) AS NULL_COUNT, SUM(CASE WHEN ATTR4 IS NOT NULL THEN 1 ELSE 0 END) AS NOT_NULL_COUNT FROM T_SHOP WHERE INS_DAY &gt;= '20240101000000'  UNION ALL SELECT 'ATTR3' AS COLUMN_NAME, SUM(CASE WHEN ATTR3 IS NULL THEN 0 ELSE 1 END) AS NULL_COUNT, SUM(CASE WHEN ATTR3 IS NOT NULL THEN 1 ELSE 0 END) AS NOT_NULL_COUNT FROM T_SHOP WHERE INS_DAY &gt;= '20240101000000'  UNION ALL SELECT 'ATTR2' AS COLUMN_NAME, SUM(CASE WHEN ATTR2 IS NULL THEN 0 ELSE 1 END) AS NULL_COUNT, SUM(CASE WHEN ATTR2 IS NOT NULL THEN 1 ELSE 0 END) AS NOT_NULL_COUNT FROM T_SHOP WHERE INS_DAY &gt;= '20240101000000'  UNION ALL SELECT 'ATTR1' AS COLUMN_NAME, SUM(CASE WHEN ATTR1 IS NULL THEN 0 ELSE 1 END) AS NULL_COUNT, SUM(CASE WHEN ATTR1 IS NOT NULL THEN 1 ELSE 0 END) AS NOT_NULL_COUNT FROM T_SHOP WHERE INS_DAY &gt;= '20240101000000'  UNION ALL SELECT 'COMPY_CD' AS COLUMN_NAME, SUM(CASE WHEN COMPY_CD IS NULL THEN 0 ELSE 1 END) AS NULL_COUNT, SUM(CASE WHEN COMPY_CD IS NOT NULL THEN 1 ELSE 0 END) AS NOT_NULL_COUNT FROM T_SHOP WHERE INS_DAY &gt;= '20240101000000'  UNION ALL SELECT 'RE_BUY_CLSBY' AS COLUMN_NAME, SUM(CASE WHEN RE_BUY_CLSBY IS NULL THEN 0 ELSE 1 END) AS NULL_COUNT, SUM(CASE WHEN RE_BUY_CLSBY IS NOT NULL THEN 1 ELSE 0 END) AS NOT_NULL_COUNT FROM T_SHOP WHERE INS_DAY &gt;= '20240101000000'  UNION ALL SELECT 'SALE_STOP_YN' AS COLUMN_NAME, SUM(CASE WHEN SALE_STOP_YN IS NULL THEN 0 ELSE 1 END) AS NULL_COUNT, SUM(CASE WHEN SALE_STOP_YN IS NOT NULL THEN 1 ELSE 0 END) AS NOT_NULL_COUNT FROM T_SHOP WHERE INS_DAY &gt;= '20240101000000'  UNION ALL SELECT 'DELV_STOP_YN' AS COLUMN_NAME, SUM(CASE WHEN DELV_STOP_YN IS NULL THEN 0 ELSE 1 END) AS NULL_COUNT, SUM(CASE WHEN DELV_STOP_YN IS NOT NULL THEN 1 ELSE 0 END) AS NOT_NULL_COUNT FROM T_SHOP WHERE INS_DAY &gt;= '20240101000000'  UNION ALL SELECT 'DVID_YN' AS COLUMN_NAME, SUM(CASE WHEN DVID_YN IS NULL THEN 0 ELSE 1 END) AS NULL_COUNT, SUM(CASE WHEN DVID_YN IS NOT NULL THEN 1 ELSE 0 END) AS NOT_NULL_COUNT FROM T_SHOP WHERE INS_DAY &gt;= '20240101000000'  UNION ALL SELECT 'MLANG_NO' AS COLUMN_NAME, SUM(CASE WHEN MLANG_NO IS NULL THEN 0 ELSE 1 END) AS NULL_COUNT, SUM(CASE WHEN MLANG_NO IS NOT NULL THEN 1 ELSE 0 END) AS NOT_NULL_COUNT FROM T_SHOP WHERE INS_DAY &gt;= '20240101000000'  UNION ALL SELECT 'BSNO' AS COLUMN_NAME, SUM(CASE WHEN BSNO IS NULL THEN 0 ELSE 1 END) AS NULL_COUNT, SUM(CASE WHEN BSNO IS NOT NULL THEN 1 ELSE 0 END) AS NOT_NULL_COUNT FROM T_SHOP WHERE INS_DAY &gt;= '20240101000000'  UNION ALL SELECT 'MNS_STOCK_PERM_CLSBY' AS COLUMN_NAME, SUM(CASE WHEN MNS_STOCK_PERM_CLSBY IS NULL THEN 0 ELSE 1 END) AS NULL_COUNT, SUM(CASE WHEN MNS_STOCK_PERM_CLSBY IS NOT NULL THEN 1 ELSE 0 END) AS NOT_NULL_COUNT FROM T_SHOP WHERE INS_DAY &gt;= '20240101000000'  UNION ALL SELECT 'SHOP_ORGN_CD' AS COLUMN_NAME, SUM(CASE WHEN SHOP_ORGN_CD IS NULL THEN 0 ELSE 1 END) AS NULL_COUNT, SUM(CASE WHEN SHOP_ORGN_CD IS NOT NULL THEN 1 ELSE 0 END) AS NOT_NULL_COUNT FROM T_SHOP WHERE INS_DAY &gt;= '20240101000000'  UNION ALL SELECT 'EVENT_YN' AS COLUMN_NAME, SUM(CASE WHEN EVENT_YN IS NULL THEN 0 ELSE 1 END) AS NULL_COUNT, SUM(CASE WHEN EVENT_YN IS NOT NULL THEN 1 ELSE 0 END) AS NOT_NULL_COUNT FROM T_SHOP WHERE INS_DAY &gt;= '20240101000000'  UNION ALL SELECT 'WETH_AREA_CD' AS COLUMN_NAME, SUM(CASE WHEN WETH_AREA_CD IS NULL THEN 0 ELSE 1 END) AS NULL_COUNT, SUM(CASE WHEN WETH_AREA_CD IS NOT NULL THEN 1 ELSE 0 END) AS NOT_NULL_COUNT FROM T_SHOP WHERE INS_DAY &gt;= '20240101000000'  UNION ALL SELECT 'ENURI_YN' AS COLUMN_NAME, SUM(CASE WHEN ENURI_YN IS NULL THEN 0 ELSE 1 END) AS NULL_COUNT, SUM(CASE WHEN ENURI_YN IS NOT NULL THEN 1 ELSE 0 END) AS NOT_NULL_COUNT FROM T_SHOP WHERE INS_DAY &gt;= '20240101000000'  UNION ALL SELECT 'CHKUP_CLSBY' AS COLUMN_NAME, SUM(CASE WHEN CHKUP_CLSBY IS NULL THEN 0 ELSE 1 END) AS NULL_COUNT, SUM(CASE WHEN CHKUP_CLSBY IS NOT NULL THEN 1 ELSE 0 END) AS NOT_NULL_COUNT FROM T_SHOP WHERE INS_DAY &gt;= '20240101000000'  UNION ALL SELECT 'SHOP_FORM' AS COLUMN_NAME, SUM(CASE WHEN SHOP_FORM IS NULL THEN 0 ELSE 1 END) AS NULL_COUNT, SUM(CASE WHEN SHOP_FORM IS NOT NULL THEN 1 ELSE 0 END) AS NOT_NULL_COUNT FROM T_SHOP WHERE INS_DAY &gt;= '20240101000000'  UNION ALL SELECT 'SHOP_TYPE' AS COLUMN_NAME, SUM(CASE WHEN SHOP_TYPE IS NULL THEN 0 ELSE 1 END) AS NULL_COUNT, SUM(CASE WHEN SHOP_TYPE IS NOT NULL THEN 1 ELSE 0 END) AS NOT_NULL_COUNT FROM T_SHOP WHERE INS_DAY &gt;= '20240101000000'  UNION ALL SELECT 'REAL_REPR_MYHSE_TEL_NO3' AS COLUMN_NAME, SUM(CASE WHEN REAL_REPR_MYHSE_TEL_NO3 IS NULL THEN 0 ELSE 1 END) AS NULL_COUNT, SUM(CASE WHEN REAL_REPR_MYHSE_TEL_NO3 IS NOT NULL THEN 1 ELSE 0 END) AS NOT_NULL_COUNT FROM T_SHOP WHERE INS_DAY &gt;= '20240101000000'  UNION ALL SELECT 'REAL_REPR_MYHSE_TEL_NO2' AS COLUMN_NAME, SUM(CASE WHEN REAL_REPR_MYHSE_TEL_NO2 IS NULL THEN 0 ELSE 1 END) AS NULL_COUNT, SUM(CASE WHEN REAL_REPR_MYHSE_TEL_NO2 IS NOT NULL THEN 1 ELSE 0 END) AS NOT_NULL_COUNT FROM T_SHOP WHERE INS_DAY &gt;= '20240101000000'  UNION ALL SELECT 'REAL_REPR_MYHSE_TEL_NO1' AS COLUMN_NAME, SUM(CASE WHEN REAL_REPR_MYHSE_TEL_NO1 IS NULL THEN 0 ELSE 1 END) AS NULL_COUNT, SUM(CASE WHEN REAL_REPR_MYHSE_TEL_NO1 IS NOT NULL THEN 1 ELSE 0 END) AS NOT_NULL_COUNT FROM T_SHOP WHERE INS_DAY &gt;= '20240101000000'  UNION ALL SELECT 'REAL_REPR_ADDR2' AS COLUMN_NAME, SUM(CASE WHEN REAL_REPR_ADDR2 IS NULL THEN 0 ELSE 1 END) AS NULL_COUNT, SUM(CASE WHEN REAL_REPR_ADDR2 IS NOT NULL THEN 1 ELSE 0 END) AS NOT_NULL_COUNT FROM T_SHOP WHERE INS_DAY &gt;= '20240101000000'  UNION ALL SELECT 'REAL_REPR_ADDR1' AS COLUMN_NAME, SUM(CASE WHEN REAL_REPR_ADDR1 IS NULL THEN 0 ELSE 1 END) AS NULL_COUNT, SUM(CASE WHEN REAL_REPR_ADDR1 IS NOT NULL THEN 1 ELSE 0 END) AS NOT_NULL_COUNT FROM T_SHOP WHERE INS_DAY &gt;= '20240101000000'  UNION ALL SELECT 'REAL_REPR_PSTNO' AS COLUMN_NAME, SUM(CASE WHEN REAL_REPR_PSTNO IS NULL THEN 0 ELSE 1 END) AS NULL_COUNT, SUM(CASE WHEN REAL_REPR_PSTNO IS NOT NULL THEN 1 ELSE 0 END) AS NOT_NULL_COUNT FROM T_SHOP WHERE INS_DAY &gt;= '20240101000000'  UNION ALL SELECT 'REAL_REPR_RESNO' AS COLUMN_NAME, SUM(CASE WHEN REAL_REPR_RESNO IS NULL THEN 0 ELSE 1 END) AS NULL_COUNT, SUM(CASE WHEN REAL_REPR_RESNO IS NOT NULL THEN 1 ELSE 0 END) AS NOT_NULL_COUNT FROM T_SHOP WHERE INS_DAY &gt;= '20240101000000'  UNION ALL SELECT 'REAL_REPR_NM' AS COLUMN_NAME, SUM(CASE WHEN REAL_REPR_NM IS NULL THEN 0 ELSE 1 END) AS NULL_COUNT, SUM(CASE WHEN REAL_REPR_NM IS NOT NULL THEN 1 ELSE 0 END) AS NOT_NULL_COUNT FROM T_SHOP WHERE INS_DAY &gt;= '20240101000000'  UNION ALL SELECT 'TERMN_NO' AS COLUMN_NAME, SUM(CASE WHEN TERMN_NO IS NULL THEN 0 ELSE 1 END) AS NULL_COUNT, SUM(CASE WHEN TERMN_NO IS NOT NULL THEN 1 ELSE 0 END) AS NOT_NULL_COUNT FROM T_SHOP WHERE INS_DAY &gt;= '20240101000000'  UNION ALL SELECT 'IMC_YN' AS COLUMN_NAME, SUM(CASE WHEN IMC_YN IS NULL THEN 0 ELSE 1 END) AS NULL_COUNT, SUM(CASE WHEN IMC_YN IS NOT NULL THEN 1 ELSE 0 END) AS NOT_NULL_COUNT FROM T_SHOP WHERE INS_DAY &gt;= '20240101000000'  UNION ALL SELECT 'GRNT_PRICE' AS COLUMN_NAME, SUM(CASE WHEN GRNT_PRICE IS NULL THEN 0 ELSE 1 END) AS NULL_COUNT, SUM(CASE WHEN GRNT_PRICE IS NOT NULL THEN 1 ELSE 0 END) AS NOT_NULL_COUNT FROM T_SHOP WHERE INS_DAY &gt;= '20240101000000'  UNION ALL SELECT 'PRE_AREA_WDTH' AS COLUMN_NAME, SUM(CASE WHEN PRE_AREA_WDTH IS NULL THEN 0 ELSE 1 END) AS NULL_COUNT, SUM(CASE WHEN PRE_AREA_WDTH IS NOT NULL THEN 1 ELSE 0 END) AS NOT_NULL_COUNT FROM T_SHOP WHERE INS_DAY &gt;= '20240101000000'  UNION ALL SELECT 'AREA' AS COLUMN_NAME, SUM(CASE WHEN AREA IS NULL THEN 0 ELSE 1 END) AS NULL_COUNT, SUM(CASE WHEN AREA IS NOT NULL THEN 1 ELSE 0 END) AS NOT_NULL_COUNT FROM T_SHOP WHERE INS_DAY &gt;= '20240101000000'  UNION ALL SELECT 'INTERIOR_DT' AS COLUMN_NAME, SUM(CASE WHEN INTERIOR_DT IS NULL THEN 0 ELSE 1 END) AS NULL_COUNT, SUM(CASE WHEN INTERIOR_DT IS NOT NULL THEN 1 ELSE 0 END) AS NOT_NULL_COUNT FROM T_SHOP WHERE INS_DAY &gt;= '20240101000000'  UNION ALL SELECT 'DSHOP_CLSBY' AS COLUMN_NAME, SUM(CASE WHEN DSHOP_CLSBY IS NULL THEN 0 ELSE 1 END) AS NULL_COUNT, SUM(CASE WHEN DSHOP_CLSBY IS NOT NULL THEN 1 ELSE 0 END) AS NOT_NULL_COUNT FROM T_SHOP WHERE INS_DAY &gt;= '20240101000000'  UNION ALL SELECT 'DSHOP_DT' AS COLUMN_NAME, SUM(CASE WHEN DSHOP_DT IS NULL THEN 0 ELSE 1 END) AS NULL_COUNT, SUM(CASE WHEN DSHOP_DT IS NOT NULL THEN 1 ELSE 0 END) AS NOT_NULL_COUNT FROM T_SHOP WHERE INS_DAY &gt;= '20240101000000'  UNION ALL SELECT 'OPEN_DT' AS COLUMN_NAME, SUM(CASE WHEN OPEN_DT IS NULL THEN 0 ELSE 1 END) AS NULL_COUNT, SUM(CASE WHEN OPEN_DT IS NOT NULL THEN 1 ELSE 0 END) AS NOT_NULL_COUNT FROM T_SHOP WHERE INS_DAY &gt;= '20240101000000'  UNION ALL SELECT 'DEPA_BRCH_CD' AS COLUMN_NAME, SUM(CASE WHEN DEPA_BRCH_CD IS NULL THEN 0 ELSE 1 END) AS NULL_COUNT, SUM(CASE WHEN DEPA_BRCH_CD IS NOT NULL THEN 1 ELSE 0 END) AS NOT_NULL_COUNT FROM T_SHOP WHERE INS_DAY &gt;= '20240101000000'  UNION ALL SELECT 'STRIN_STOCK_MNG_YN' AS COLUMN_NAME, SUM(CASE WHEN STRIN_STOCK_MNG_YN IS NULL THEN 0 ELSE 1 END) AS NULL_COUNT, SUM(CASE WHEN STRIN_STOCK_MNG_YN IS NOT NULL THEN 1 ELSE 0 END) AS NOT_NULL_COUNT FROM T_SHOP WHERE INS_DAY &gt;= '20240101000000'  UNION ALL SELECT 'RE_BUY_YN' AS COLUMN_NAME, SUM(CASE WHEN RE_BUY_YN IS NULL THEN 0 ELSE 1 END) AS NULL_COUNT, SUM(CASE WHEN RE_BUY_YN IS NOT NULL THEN 1 ELSE 0 END) AS NOT_NULL_COUNT FROM T_SHOP WHERE INS_DAY &gt;= '20240101000000'  UNION ALL SELECT 'LOW_PRICE_YN' AS COLUMN_NAME, SUM(CASE WHEN LOW_PRICE_YN IS NULL THEN 0 ELSE 1 END) AS NULL_COUNT, SUM(CASE WHEN LOW_PRICE_YN IS NOT NULL THEN 1 ELSE 0 END) AS NOT_NULL_COUNT FROM T_SHOP WHERE INS_DAY &gt;= '20240101000000'  UNION ALL SELECT 'DVID_RANK_CLSBY' AS COLUMN_NAME, SUM(CASE WHEN DVID_RANK_CLSBY IS NULL THEN 0 ELSE 1 END) AS NULL_COUNT, SUM(CASE WHEN DVID_RANK_CLSBY IS NOT NULL THEN 1 ELSE 0 END) AS NOT_NULL_COUNT FROM T_SHOP WHERE INS_DAY &gt;= '20240101000000'  UNION ALL SELECT 'SHOP_RANK_CLSBY' AS COLUMN_NAME, SUM(CASE WHEN SHOP_RANK_CLSBY IS NULL THEN 0 ELSE 1 END) AS NULL_COUNT, SUM(CASE WHEN SHOP_RANK_CLSBY IS NOT NULL THEN 1 ELSE 0 END) AS NOT_NULL_COUNT FROM T_SHOP WHERE INS_DAY &gt;= '20240101000000'  UNION ALL SELECT 'EMP_CNT' AS COLUMN_NAME, SUM(CASE WHEN EMP_CNT IS NULL THEN 0 ELSE 1 END) AS NULL_COUNT, SUM(CASE WHEN EMP_CNT IS NOT NULL THEN 1 ELSE 0 END) AS NOT_NULL_COUNT FROM T_SHOP WHERE INS_DAY &gt;= '20240101000000'  UNION ALL SELECT 'SHOP_ADDR2' AS COLUMN_NAME, SUM(CASE WHEN SHOP_ADDR2 IS NULL THEN 0 ELSE 1 END) AS NULL_COUNT, SUM(CASE WHEN SHOP_ADDR2 IS NOT NULL THEN 1 ELSE 0 END) AS NOT_NULL_COUNT FROM T_SHOP WHERE INS_DAY &gt;= '20240101000000'  UNION ALL SELECT 'SHOP_ADDR1' AS COLUMN_NAME, SUM(CASE WHEN SHOP_ADDR1 IS NULL THEN 0 ELSE 1 END) AS NULL_COUNT, SUM(CASE WHEN SHOP_ADDR1 IS NOT NULL THEN 1 ELSE 0 END) AS NOT_NULL_COUNT FROM T_SHOP WHERE INS_DAY &gt;= '20240101000000'  UNION ALL SELECT 'SHOP_PSTNO' AS COLUMN_NAME, SUM(CASE WHEN SHOP_PSTNO IS NULL THEN 0 ELSE 1 END) AS NULL_COUNT, SUM(CASE WHEN SHOP_PSTNO IS NOT NULL THEN 1 ELSE 0 END) AS NOT_NULL_COUNT FROM T_SHOP WHERE INS_DAY &gt;= '20240101000000'  UNION ALL SELECT 'SHOP_FAX_NO3' AS COLUMN_NAME, SUM(CASE WHEN SHOP_FAX_NO3 IS NULL THEN 0 ELSE 1 END) AS NULL_COUNT, SUM(CASE WHEN SHOP_FAX_NO3 IS NOT NULL THEN 1 ELSE 0 END) AS NOT_NULL_COUNT FROM T_SHOP WHERE INS_DAY &gt;= '20240101000000'  UNION ALL SELECT 'SHOP_FAX_NO2' AS COLUMN_NAME, SUM(CASE WHEN SHOP_FAX_NO2 IS NULL THEN 0 ELSE 1 END) AS NULL_COUNT, SUM(CASE WHEN SHOP_FAX_NO2 IS NOT NULL THEN 1 ELSE 0 END) AS NOT_NULL_COUNT FROM T_SHOP WHERE INS_DAY &gt;= '20240101000000'  UNION ALL SELECT 'SHOP_FAX_NO1' AS COLUMN_NAME, SUM(CASE WHEN SHOP_FAX_NO1 IS NULL THEN 0 ELSE 1 END) AS NULL_COUNT, SUM(CASE WHEN SHOP_FAX_NO1 IS NOT NULL THEN 1 ELSE 0 END) AS NOT_NULL_COUNT FROM T_SHOP WHERE INS_DAY &gt;= '20240101000000'  UNION ALL SELECT 'SHOP_TEL_NO3' AS COLUMN_NAME, SUM(CASE WHEN SHOP_TEL_NO3 IS NULL THEN 0 ELSE 1 END) AS NULL_COUNT, SUM(CASE WHEN SHOP_TEL_NO3 IS NOT NULL THEN 1 ELSE 0 END) AS NOT_NULL_COUNT FROM T_SHOP WHERE INS_DAY &gt;= '20240101000000'  UNION ALL SELECT 'SHOP_TEL_NO2' AS COLUMN_NAME, SUM(CASE WHEN SHOP_TEL_NO2 IS NULL THEN 0 ELSE 1 END) AS NULL_COUNT, SUM(CASE WHEN SHOP_TEL_NO2 IS NOT NULL THEN 1 ELSE 0 END) AS NOT_NULL_COUNT FROM T_SHOP WHERE INS_DAY &gt;= '20240101000000'  UNION ALL SELECT 'SHOP_TEL_NO1' AS COLUMN_NAME, SUM(CASE WHEN SHOP_TEL_NO1 IS NULL THEN 0 ELSE 1 END) AS NULL_COUNT, SUM(CASE WHEN SHOP_TEL_NO1 IS NOT NULL THEN 1 ELSE 0 END) AS NOT_NULL_COUNT FROM T_SHOP WHERE INS_DAY &gt;= '20240101000000'  UNION ALL SELECT 'REPR_RESNO' AS COLUMN_NAME, SUM(CASE WHEN REPR_RESNO IS NULL THEN 0 ELSE 1 END) AS NULL_COUNT, SUM(CASE WHEN REPR_RESNO IS NOT NULL THEN 1 ELSE 0 END) AS NOT_NULL_COUNT FROM T_SHOP WHERE INS_DAY &gt;= '20240101000000'  UNION ALL SELECT 'REPR_NM' AS COLUMN_NAME, SUM(CASE WHEN REPR_NM IS NULL THEN 0 ELSE 1 END) AS NULL_COUNT, SUM(CASE WHEN REPR_NM IS NOT NULL THEN 1 ELSE 0 END) AS NOT_NULL_COUNT FROM T_SHOP WHERE INS_DAY &gt;= '20240101000000'  UNION ALL SELECT 'INFMT_SHOP_NM' AS COLUMN_NAME, SUM(CASE WHEN INFMT_SHOP_NM IS NULL THEN 0 ELSE 1 END) AS NULL_COUNT, SUM(CASE WHEN INFMT_SHOP_NM IS NOT NULL THEN 1 ELSE 0 END) AS NOT_NULL_COUNT FROM T_SHOP WHERE INS_DAY &gt;= '20240101000000'  UNION ALL SELECT 'UPT_USERID' AS COLUMN_NAME, SUM(CASE WHEN UPT_USERID IS NULL THEN 0 ELSE 1 END) AS NULL_COUNT, SUM(CASE WHEN UPT_USERID IS NOT NULL THEN 1 ELSE 0 END) AS NOT_NULL_COUNT FROM T_SHOP WHERE INS_DAY &gt;= '20240101000000'  UNION ALL SELECT 'UPT_DAY' AS COLUMN_NAME, SUM(CASE WHEN UPT_DAY IS NULL THEN 0 ELSE 1 END) AS NULL_COUNT, SUM(CASE WHEN UPT_DAY IS NOT NULL THEN 1 ELSE 0 END) AS NOT_NULL_COUNT FROM T_SHOP WHERE INS_DAY &gt;= '20240101000000'  UNION ALL SELECT 'INS_USERID' AS COLUMN_NAME, SUM(CASE WHEN INS_USERID IS NULL THEN 0 ELSE 1 END) AS NULL_COUNT, SUM(CASE WHEN INS_USERID IS NOT NULL THEN 1 ELSE 0 END) AS NOT_NULL_COUNT FROM T_SHOP WHERE INS_DAY &gt;= '20240101000000'  UNION ALL SELECT 'SHOP_NM' AS COLUMN_NAME, SUM(CASE WHEN SHOP_NM IS NULL THEN 0 ELSE 1 END) AS NULL_COUNT, SUM(CASE WHEN SHOP_NM IS NOT NULL THEN 1 ELSE 0 END) AS NOT_NULL_COUNT FROM T_SHOP WHERE INS_DAY &gt;= '20240101000000'  UNION ALL SELECT 'SHOP_ID' AS COLUMN_NAME, SUM(CASE WHEN SHOP_ID IS NULL THEN 0 ELSE 1 END) AS NULL_COUNT, SUM(CASE WHEN SHOP_ID IS NOT NULL THEN 1 ELSE 0 END) AS NOT_NULL_COUNT FROM T_SHOP WHERE INS_DAY &gt;= '20240101000000'  UNION ALL SELECT 'TT_CLSBY' AS COLUMN_NAME, SUM(CASE WHEN TT_CLSBY IS NULL THEN 0 ELSE 1 END) AS NULL_COUNT, SUM(CASE WHEN TT_CLSBY IS NOT NULL THEN 1 ELSE 0 END) AS NOT_NULL_COUNT FROM T_SHOP WHERE INS_DAY &gt;= '20240101000000'  UNION ALL SELECT 'POS_CNT' AS COLUMN_NAME, SUM(CASE WHEN POS_CNT IS NULL THEN 0 ELSE 1 END) AS NULL_COUNT, SUM(CASE WHEN POS_CNT IS NOT NULL THEN 1 ELSE 0 END) AS NOT_NULL_COUNT FROM T_SHOP WHERE INS_DAY &gt;= '20240101000000'  UNION ALL SELECT 'REQ_EXCPT_ED_DT' AS COLUMN_NAME, SUM(CASE WHEN REQ_EXCPT_ED_DT IS NULL THEN 0 ELSE 1 END) AS NULL_COUNT, SUM(CASE WHEN REQ_EXCPT_ED_DT IS NOT NULL THEN 1 ELSE 0 END) AS NOT_NULL_COUNT FROM T_SHOP WHERE INS_DAY &gt;= '20240101000000'  UNION ALL SELECT 'REQ_EXCPT_ST_DT' AS COLUMN_NAME, SUM(CASE WHEN REQ_EXCPT_ST_DT IS NULL THEN 0 ELSE 1 END) AS NULL_COUNT, SUM(CASE WHEN REQ_EXCPT_ST_DT IS NOT NULL THEN 1 ELSE 0 END) AS NOT_NULL_COUNT FROM T_SHOP WHERE INS_DAY &gt;= '20240101000000'  UNION ALL SELECT 'CONT_CLSBY' AS COLUMN_NAME, SUM(CASE WHEN CONT_CLSBY IS NULL THEN 0 ELSE 1 END) AS NULL_COUNT, SUM(CASE WHEN CONT_CLSBY IS NOT NULL THEN 1 ELSE 0 END) AS NOT_NULL_COUNT FROM T_SHOP WHERE INS_DAY &gt;= '20240101000000'  UNION ALL SELECT 'TAX_BSPNO_YN' AS COLUMN_NAME, SUM(CASE WHEN TAX_BSPNO_YN IS NULL THEN 0 ELSE 1 END) AS NULL_COUNT, SUM(CASE WHEN TAX_BSPNO_YN IS NOT NULL THEN 1 ELSE 0 END) AS NOT_NULL_COUNT FROM T_SHOP WHERE INS_DAY &gt;= '20240101000000'  UNION ALL SELECT 'REG_RET_TERM' AS COLUMN_NAME, SUM(CASE WHEN REG_RET_TERM IS NULL THEN 0 ELSE 1 END) AS NULL_COUNT, SUM(CASE WHEN REG_RET_TERM IS NOT NULL THEN 1 ELSE 0 END) AS NOT_NULL_COUNT FROM T_SHOP WHERE INS_DAY &gt;= '20240101000000'  UNION ALL SELECT 'REG_IPSU_CNT' AS COLUMN_NAME, SUM(CASE WHEN REG_IPSU_CNT IS NULL THEN 0 ELSE 1 END) AS NULL_COUNT, SUM(CASE WHEN REG_IPSU_CNT IS NOT NULL THEN 1 ELSE 0 END) AS NOT_NULL_COUNT FROM T_SHOP WHERE INS_DAY &gt;= '20240101000000'  UNION ALL SELECT 'MNL_RET_YN' AS COLUMN_NAME, SUM(CASE WHEN MNL_RET_YN IS NULL THEN 0 ELSE 1 END) AS NULL_COUNT, SUM(CASE WHEN MNL_RET_YN IS NOT NULL THEN 1 ELSE 0 END) AS NOT_NULL_COUNT FROM T_SHOP WHERE INS_DAY &gt;= '20240101000000'  UNION ALL SELECT 'PAYMENT_DT' AS COLUMN_NAME, SUM(CASE WHEN PAYMENT_DT IS NULL THEN 0 ELSE 1 END) AS NULL_COUNT, SUM(CASE WHEN PAYMENT_DT IS NOT NULL THEN 1 ELSE 0 END) AS NOT_NULL_COUNT FROM T_SHOP WHERE INS_DAY &gt;= '20240101000000'  UNION ALL SELECT 'PARKING_YN' AS COLUMN_NAME, SUM(CASE WHEN PARKING_YN IS NULL THEN 0 ELSE 1 END) AS NULL_COUNT, SUM(CASE WHEN PARKING_YN IS NOT NULL THEN 1 ELSE 0 END) AS NOT_NULL_COUNT FROM T_SHOP WHERE INS_DAY &gt;= '20240101000000'  UNION ALL SELECT 'OPER_TIME' AS COLUMN_NAME, SUM(CASE WHEN OPER_TIME IS NULL THEN 0 ELSE 1 END) AS NULL_COUNT, SUM(CASE WHEN OPER_TIME IS NOT NULL THEN 1 ELSE 0 END) AS NOT_NULL_COUNT FROM T_SHOP WHERE INS_DAY &gt;= '20240101000000'  UNION ALL SELECT 'CARGE_MEND_YN' AS COLUMN_NAME, SUM(CASE WHEN CARGE_MEND_YN IS NULL THEN 0 ELSE 1 END) AS NULL_COUNT, SUM(CASE WHEN CARGE_MEND_YN IS NOT NULL THEN 1 ELSE 0 END) AS NOT_NULL_COUNT FROM T_SHOP WHERE INS_DAY &gt;= '20240101000000'  UNION ALL SELECT 'ONLINE_PICKUP_YN' AS COLUMN_NAME, SUM(CASE WHEN ONLINE_PICKUP_YN IS NULL THEN 0 ELSE 1 END) AS NULL_COUNT, SUM(CASE WHEN ONLINE_PICKUP_YN IS NOT NULL THEN 1 ELSE 0 END) AS NOT_NULL_COUNT FROM T_SHOP WHERE INS_DAY &gt;= '20240101000000'  UNION ALL SELECT 'ONLINE_DP_YN' AS COLUMN_NAME, SUM(CASE WHEN ONLINE_DP_YN IS NULL THEN 0 ELSE 1 END) AS NULL_COUNT, SUM(CASE WHEN ONLINE_DP_YN IS NOT NULL THEN 1 ELSE 0 END) AS NOT_NULL_COUNT FROM T_SHOP WHERE INS_DAY &gt;= '20240101000000'  UNION ALL SELECT 'RMK_DESC' AS COLUMN_NAME, SUM(CASE WHEN RMK_DESC IS NULL THEN 0 ELSE 1 END) AS NULL_COUNT, SUM(CASE WHEN RMK_DESC IS NOT NULL THEN 1 ELSE 0 END) AS NOT_NULL_COUNT FROM T_SHOP WHERE INS_DAY &gt;= '20240101000000'  UNION ALL SELECT 'STOCK_COLOR_CNT' AS COLUMN_NAME, SUM(CASE WHEN STOCK_COLOR_CNT IS NULL THEN 0 ELSE 1 END) AS NULL_COUNT, SUM(CASE WHEN STOCK_COLOR_CNT IS NOT NULL THEN 1 ELSE 0 END) AS NOT_NULL_COUNT FROM T_SHOP WHERE INS_DAY &gt;= '20240101000000'  UNION ALL SELECT 'REFUND_IMD_YN' AS COLUMN_NAME, SUM(CASE WHEN REFUND_IMD_YN IS NULL THEN 0 ELSE 1 END) AS NULL_COUNT, SUM(CASE WHEN REFUND_IMD_YN IS NOT NULL THEN 1 ELSE 0 END) AS NOT_NULL_COUNT FROM T_SHOP WHERE INS_DAY &gt;= '20240101000000'  UNION ALL SELECT 'SHOPMOVE_LIMT_DAYS' AS COLUMN_NAME, SUM(CASE WHEN SHOPMOVE_LIMT_DAYS IS NULL THEN 0 ELSE 1 END) AS NULL_COUNT, SUM(CASE WHEN SHOPMOVE_LIMT_DAYS IS NOT NULL THEN 1 ELSE 0 END) AS NOT_NULL_COUNT FROM T_SHOP WHERE INS_DAY &gt;= '20240101000000'  UNION ALL SELECT 'DELV_WORK_GRP' AS COLUMN_NAME, SUM(CASE WHEN DELV_WORK_GRP IS NULL THEN 0 ELSE 1 END) AS NULL_COUNT, SUM(CASE WHEN DELV_WORK_GRP IS NOT NULL THEN 1 ELSE 0 END) AS NOT_NULL_COUNT FROM T_SHOP WHERE INS_DAY &gt;= '20240101000000'  UNION ALL SELECT 'WH_AREA' AS COLUMN_NAME, SUM(CASE WHEN WH_AREA IS NULL THEN 0 ELSE 1 END) AS NULL_COUNT, SUM(CASE WHEN WH_AREA IS NOT NULL THEN 1 ELSE 0 END) AS NOT_NULL_COUNT FROM T_SHOP WHERE INS_DAY &gt;= '20240101000000'  UNION ALL SELECT 'RETAIL_BRNCH' AS COLUMN_NAME, SUM(CASE WHEN RETAIL_BRNCH IS NULL THEN 0 ELSE 1 END) AS NULL_COUNT, SUM(CASE WHEN RETAIL_BRNCH IS NOT NULL THEN 1 ELSE 0 END) AS NOT_NULL_COUNT FROM T_SHOP WHERE INS_DAY &gt;= '20240101000000'  UNION ALL SELECT 'RETAIL_CORP' AS COLUMN_NAME, SUM(CASE WHEN RETAIL_CORP IS NULL THEN 0 ELSE 1 END) AS NULL_COUNT, SUM(CASE WHEN RETAIL_CORP IS NOT NULL THEN 1 ELSE 0 END) AS NOT_NULL_COUNT FROM T_SHOP WHERE INS_DAY &gt;= '20240101000000'  UNION ALL SELECT 'MGN_CLSBY_DETL' AS COLUMN_NAME, SUM(CASE WHEN MGN_CLSBY_DETL IS NULL THEN 0 ELSE 1 END) AS NULL_COUNT, SUM(CASE WHEN MGN_CLSBY_DETL IS NOT NULL THEN 1 ELSE 0 END) AS NOT_NULL_COUNT FROM T_SHOP WHERE INS_DAY &gt;= '20240101000000'  UNION ALL SELECT 'MGN_CLSBY_CHNL' AS COLUMN_NAME, SUM(CASE WHEN MGN_CLSBY_CHNL IS NULL THEN 0 ELSE 1 END) AS NULL_COUNT, SUM(CASE WHEN MGN_CLSBY_CHNL IS NOT NULL THEN 1 ELSE 0 END) AS NOT_NULL_COUNT FROM T_SHOP WHERE INS_DAY &gt;= '20240101000000'  UNION ALL SELECT 'DOTCOM_YN' AS COLUMN_NAME, SUM(CASE WHEN DOTCOM_YN IS NULL THEN 0 ELSE 1 END) AS NULL_COUNT, SUM(CASE WHEN DOTCOM_YN IS NOT NULL THEN 1 ELSE 0 END) AS NOT_NULL_COUNT FROM T_SHOP WHERE INS_DAY &gt;= '20240101000000'  UNION ALL SELECT 'MGN_TYPE' AS COLUMN_NAME, SUM(CASE WHEN MGN_TYPE IS NULL THEN 0 ELSE 1 END) AS NULL_COUNT, SUM(CASE WHEN MGN_TYPE IS NOT NULL THEN 1 ELSE 0 END) AS NOT_NULL_COUNT FROM T_SHOP WHERE INS_DAY &gt;= '20240101000000'  UNION ALL SELECT 'TBILL_ISSUE_WAY' AS COLUMN_NAME, SUM(CASE WHEN TBILL_ISSUE_WAY IS NULL THEN 0 ELSE 1 END) AS NULL_COUNT, SUM(CASE WHEN TBILL_ISSUE_WAY IS NOT NULL THEN 1 ELSE 0 END) AS NOT_NULL_COUNT FROM T_SHOP WHERE INS_DAY &gt;= '20240101000000'  UNION ALL SELECT 'TBILL_ISSUE_CLSBY' AS COLUMN_NAME, SUM(CASE WHEN TBILL_ISSUE_CLSBY IS NULL THEN 0 ELSE 1 END) AS NULL_COUNT, SUM(CASE WHEN TBILL_ISSUE_CLSBY IS NOT NULL THEN 1 ELSE 0 END) AS NOT_NULL_COUNT FROM T_SHOP WHERE INS_DAY &gt;= '20240101000000'  UNION ALL SELECT 'KICC_TERMN_ID' AS COLUMN_NAME, SUM(CASE WHEN KICC_TERMN_ID IS NULL THEN 0 ELSE 1 END) AS NULL_COUNT, SUM(CASE WHEN KICC_TERMN_ID IS NOT NULL THEN 1 ELSE 0 END) AS NOT_NULL_COUNT FROM T_SHOP WHERE INS_DAY &gt;= '20240101000000'  UNION ALL SELECT 'REFUND_SHOP_ID' AS COLUMN_NAME, SUM(CASE WHEN REFUND_SHOP_ID IS NULL THEN 0 ELSE 1 END) AS NULL_COUNT, SUM(CASE WHEN REFUND_SHOP_ID IS NOT NULL THEN 1 ELSE 0 END) AS NOT_NULL_COUNT FROM T_SHOP WHERE INS_DAY &gt;= '20240101000000'  UNION ALL SELECT 'REFUND_TERMN_ID' AS COLUMN_NAME, SUM(CASE WHEN REFUND_TERMN_ID IS NULL THEN 0 ELSE 1 END) AS NULL_COUNT, SUM(CASE WHEN REFUND_TERMN_ID IS NOT NULL THEN 1 ELSE 0 END) AS NOT_NULL_COUNT FROM T_SHOP WHERE INS_DAY &gt;= '20240101000000'  UNION ALL SELECT 'TERMN_CLSBY' AS COLUMN_NAME, SUM(CASE WHEN TERMN_CLSBY IS NULL THEN 0 ELSE 1 END) AS NULL_COUNT, SUM(CASE WHEN TERMN_CLSBY IS NOT NULL THEN 1 ELSE 0 END) AS NOT_NULL_COUNT FROM T_SHOP WHERE INS_DAY &gt;= '20240101000000'  UNION ALL SELECT 'OVEDU_INT_IMP_YN' AS COLUMN_NAME, SUM(CASE WHEN OVEDU_INT_IMP_YN IS NULL THEN 0 ELSE 1 END) AS NULL_COUNT, SUM(CASE WHEN OVEDU_INT_IMP_YN IS NOT NULL THEN 1 ELSE 0 END) AS NOT_NULL_COUNT FROM T_SHOP WHERE INS_DAY &gt;= '20240101000000'  UNION ALL SELECT 'MEND_EXPN_IMP_YN' AS COLUMN_NAME, SUM(CASE WHEN MEND_EXPN_IMP_YN IS NULL THEN 0 ELSE 1 END) AS NULL_COUNT, SUM(CASE WHEN MEND_EXPN_IMP_YN IS NOT NULL THEN 1 ELSE 0 END) AS NOT_NULL_COUNT FROM T_SHOP WHERE INS_DAY &gt;= '20240101000000'  UNION ALL SELECT 'ATTR16' AS COLUMN_NAME, SUM(CASE WHEN ATTR16 IS NULL THEN 0 ELSE 1 END) AS NULL_COUNT, SUM(CASE WHEN ATTR16 IS NOT NULL THEN 1 ELSE 0 END) AS NOT_NULL_COUNT FROM T_SHOP WHERE INS_DAY &gt;= '20240101000000'  UNION ALL SELECT 'ATTR15' AS COLUMN_NAME, SUM(CASE WHEN ATTR15 IS NULL THEN 0 ELSE 1 END) AS NULL_COUNT, SUM(CASE WHEN ATTR15 IS NOT NULL THEN 1 ELSE 0 END) AS NOT_NULL_COUNT FROM T_SHOP WHERE INS_DAY &gt;= '20240101000000'  UNION ALL SELECT 'ATTR14' AS COLUMN_NAME, SUM(CASE WHEN ATTR14 IS NULL THEN 0 ELSE 1 END) AS NULL_COUNT, SUM(CASE WHEN ATTR14 IS NOT NULL THEN 1 ELSE 0 END) AS NOT_NULL_COUNT FROM T_SHOP WHERE INS_DAY &gt;= '20240101000000'  UNION ALL SELECT 'ATTR13' AS COLUMN_NAME, SUM(CASE WHEN ATTR13 IS NULL THEN 0 ELSE 1 END) AS NULL_COUNT, SUM(CASE WHEN ATTR13 IS NOT NULL THEN 1 ELSE 0 END) AS NOT_NULL_COUNT FROM T_SHOP WHERE INS_DAY &gt;= '20240101000000'  UNION ALL SELECT 'ATTR12' AS COLUMN_NAME, SUM(CASE WHEN ATTR12 IS NULL THEN 0 ELSE 1 END) AS NULL_COUNT, SUM(CASE WHEN ATTR12 IS NOT NULL THEN 1 ELSE 0 END) AS NOT_NULL_COUNT FROM T_SHOP WHERE INS_DAY &gt;= '20240101000000'  UNION ALL SELECT 'ATTR11' AS COLUMN_NAME, SUM(CASE WHEN ATTR11 IS NULL THEN 0 ELSE 1 END) AS NULL_COUNT, SUM(CASE WHEN ATTR11 IS NOT NULL THEN 1 ELSE 0 END) AS NOT_NULL_COUNT FROM T_SHOP WHERE INS_DAY &gt;= '20240101000000'  UNION ALL SELECT 'ATTR10' AS COLUMN_NAME, SUM(CASE WHEN ATTR10 IS NULL THEN 0 ELSE 1 END) AS NULL_COUNT, SUM(CASE WHEN ATTR10 IS NOT NULL THEN 1 ELSE 0 END) AS NOT_NULL_COUNT FROM T_SHOP WHERE INS_DAY &gt;= '20240101000000'  UNION ALL SELECT 'ATTR9' AS COLUMN_NAME, SUM(CASE WHEN ATTR9 IS NULL THEN 0 ELSE 1 END) AS NULL_COUNT, SUM(CASE WHEN ATTR9 IS NOT NULL THEN 1 ELSE 0 END) AS NOT_NULL_COUNT FROM T_SHOP WHERE INS_DAY &gt;= '20240101000000'  UNION ALL SELECT 'ATTR8' AS COLUMN_NAME, SUM(CASE WHEN ATTR8 IS NULL THEN 0 ELSE 1 END) AS NULL_COUNT, SUM(CASE WHEN ATTR8 IS NOT NULL THEN 1 ELSE 0 END) AS NOT_NULL_COUNT FROM T_SHOP WHERE INS_DAY &gt;= '20240101000000'  UNION ALL SELECT 'ATTR7' AS COLUMN_NAME, SUM(CASE WHEN ATTR7 IS NULL THEN 0 ELSE 1 END) AS NULL_COUNT, SUM(CASE WHEN ATTR7 IS NOT NULL THEN 1 ELSE 0 END) AS NOT_NULL_COUNT FROM T_SHOP WHERE INS_DAY &gt;= '20240101000000'  UNION ALL SELECT 'ATTR6' AS COLUMN_NAME, SUM(CASE WHEN ATTR6 IS NULL THEN 0 ELSE 1 END) AS NULL_COUNT, SUM(CASE WHEN ATTR6 IS NOT NULL THEN 1 ELSE 0 END) AS NOT_NULL_COUNT FROM T_SHOP WHERE INS_DAY &gt;= '20240101000000'  UNION ALL SELECT 'INSR' AS COLUMN_NAME, SUM(CASE WHEN INSR IS NULL THEN 0 ELSE 1 END) AS NULL_COUNT, SUM(CASE WHEN INSR IS NOT NULL THEN 1 ELSE 0 END) AS NOT_NULL_COUNT FROM T_SHOP WHERE INS_DAY &gt;= '20240101000000'  UNION ALL SELECT 'ETC_GRNT' AS COLUMN_NAME, SUM(CASE WHEN ETC_GRNT IS NULL THEN 0 ELSE 1 END) AS NULL_COUNT, SUM(CASE WHEN ETC_GRNT IS NOT NULL THEN 1 ELSE 0 END) AS NOT_NULL_COUNT FROM T_SHOP WHERE INS_DAY &gt;= '20240101000000'  UNION ALL SELECT 'CASH_GRNT' AS COLUMN_NAME, SUM(CASE WHEN CASH_GRNT IS NULL THEN 0 ELSE 1 END) AS NULL_COUNT, SUM(CASE WHEN CASH_GRNT IS NOT NULL THEN 1 ELSE 0 END) AS NOT_NULL_COUNT FROM T_SHOP WHERE INS_DAY &gt;= '20240101000000'  UNION ALL SELECT 'OFF_CUS_ANL_YN' AS COLUMN_NAME, SUM(CASE WHEN OFF_CUS_ANL_YN IS NULL THEN 0 ELSE 1 END) AS NULL_COUNT, SUM(CASE WHEN OFF_CUS_ANL_YN IS NOT NULL THEN 1 ELSE 0 END) AS NOT_NULL_COUNT FROM T_SHOP WHERE INS_DAY &gt;= '20240101000000'  UNION ALL SELECT 'GPS_LONGITUDE' AS COLUMN_NAME, SUM(CASE WHEN GPS_LONGITUDE IS NULL THEN 0 ELSE 1 END) AS NULL_COUNT, SUM(CASE WHEN GPS_LONGITUDE IS NOT NULL THEN 1 ELSE 0 END) AS NOT_NULL_COUNT FROM T_SHOP WHERE INS_DAY &gt;= '20240101000000'  UNION ALL SELECT 'GPS_LATITUDE' AS COLUMN_NAME, SUM(CASE WHEN GPS_LATITUDE IS NULL THEN 0 ELSE 1 END) AS NULL_COUNT, SUM(CASE WHEN GPS_LATITUDE IS NOT NULL THEN 1 ELSE 0 END) AS NOT_NULL_COUNT FROM T_SHOP WHERE INS_DAY &gt;= '20240101000000'  UNION ALL SELECT 'CHANNEL_ID' AS COLUMN_NAME, SUM(CASE WHEN CHANNEL_ID IS NULL THEN 0 ELSE 1 END) AS NULL_COUNT, SUM(CASE WHEN CHANNEL_ID IS NOT NULL THEN 1 ELSE 0 END) AS NOT_NULL_COUNT FROM T_SHOP WHERE INS_DAY &gt;= '20240101000000'  UNION ALL SELECT 'TAX_YN' AS COLUMN_NAME, SUM(CASE WHEN TAX_YN IS NULL THEN 0 ELSE 1 END) AS NULL_COUNT, SUM(CASE WHEN TAX_YN IS NOT NULL THEN 1 ELSE 0 END) AS NOT_NULL_COUNT FROM T_SHOP WHERE INS_DAY &gt;= '20240101000000'  UNION ALL SELECT 'WH_SHOP_YN' AS COLUMN_NAME, SUM(CASE WHEN WH_SHOP_YN IS NULL THEN 0 ELSE 1 END) AS NULL_COUNT, SUM(CASE WHEN WH_SHOP_YN IS NOT NULL THEN 1 ELSE 0 END) AS NOT_NULL_COUNT FROM T_SHOP WHERE INS_DAY &gt;= '20240101000000'  UNION ALL SELECT 'GIFT_CERTI_YN' AS COLUMN_NAME, SUM(CASE WHEN GIFT_CERTI_YN IS NULL THEN 0 ELSE 1 END) AS NULL_COUNT, SUM(CASE WHEN GIFT_CERTI_YN IS NOT NULL THEN 1 ELSE 0 END) AS NOT_NULL_COUNT FROM T_SHOP WHERE INS_DAY &gt;= '20240101000000'  UNION ALL SELECT 'CUS_ANL_YN' AS COLUMN_NAME, SUM(CASE WHEN CUS_ANL_YN IS NULL THEN 0 ELSE 1 END) AS NULL_COUNT, SUM(CASE WHEN CUS_ANL_YN IS NOT NULL THEN 1 ELSE 0 END) AS NOT_NULL_COUNT FROM T_SHOP WHERE INS_DAY &gt;= '20240101000000'  UNION ALL SELECT 'SELF_VOL_YN' AS COLUMN_NAME, SUM(CASE WHEN SELF_VOL_YN IS NULL THEN 0 ELSE 1 END) AS NULL_COUNT, SUM(CASE WHEN SELF_VOL_YN IS NOT NULL THEN 1 ELSE 0 END) AS NOT_NULL_COUNT FROM T_SHOP WHERE INS_DAY &gt;= '20240101000000'</t>
    <phoneticPr fontId="2" type="noConversion"/>
  </si>
  <si>
    <t>T_SHOP</t>
    <phoneticPr fontId="2" type="noConversion"/>
  </si>
  <si>
    <t>T_EMP</t>
    <phoneticPr fontId="2" type="noConversion"/>
  </si>
  <si>
    <t>SELECT 'UPT_USERID' AS COLUMN_NAME, SUM(CASE WHEN UPT_USERID IS NULL THEN 0 ELSE 1 END) AS NULL_COUNT, SUM(CASE WHEN UPT_USERID IS NOT NULL THEN 1 ELSE 0 END) AS NOT_NULL_COUNT FROM T_EMP WHERE INS_DAY &gt;= '20240101000000'  UNION ALL SELECT 'UPT_DAY' AS COLUMN_NAME, SUM(CASE WHEN UPT_DAY IS NULL THEN 0 ELSE 1 END) AS NULL_COUNT, SUM(CASE WHEN UPT_DAY IS NOT NULL THEN 1 ELSE 0 END) AS NOT_NULL_COUNT FROM T_EMP WHERE INS_DAY &gt;= '20240101000000'  UNION ALL SELECT 'INS_USERID' AS COLUMN_NAME, SUM(CASE WHEN INS_USERID IS NULL THEN 0 ELSE 1 END) AS NULL_COUNT, SUM(CASE WHEN INS_USERID IS NOT NULL THEN 1 ELSE 0 END) AS NOT_NULL_COUNT FROM T_EMP WHERE INS_DAY &gt;= '20240101000000'  UNION ALL SELECT 'EMP_NM_KOR' AS COLUMN_NAME, SUM(CASE WHEN EMP_NM_KOR IS NULL THEN 0 ELSE 1 END) AS NULL_COUNT, SUM(CASE WHEN EMP_NM_KOR IS NOT NULL THEN 1 ELSE 0 END) AS NOT_NULL_COUNT FROM T_EMP WHERE INS_DAY &gt;= '20240101000000'  UNION ALL SELECT 'EMP_ID' AS COLUMN_NAME, SUM(CASE WHEN EMP_ID IS NULL THEN 0 ELSE 1 END) AS NULL_COUNT, SUM(CASE WHEN EMP_ID IS NOT NULL THEN 1 ELSE 0 END) AS NOT_NULL_COUNT FROM T_EMP WHERE INS_DAY &gt;= '20240101000000'  UNION ALL SELECT 'ATTR5' AS COLUMN_NAME, SUM(CASE WHEN ATTR5 IS NULL THEN 0 ELSE 1 END) AS NULL_COUNT, SUM(CASE WHEN ATTR5 IS NOT NULL THEN 1 ELSE 0 END) AS NOT_NULL_COUNT FROM T_EMP WHERE INS_DAY &gt;= '20240101000000'  UNION ALL SELECT 'ATTR4' AS COLUMN_NAME, SUM(CASE WHEN ATTR4 IS NULL THEN 0 ELSE 1 END) AS NULL_COUNT, SUM(CASE WHEN ATTR4 IS NOT NULL THEN 1 ELSE 0 END) AS NOT_NULL_COUNT FROM T_EMP WHERE INS_DAY &gt;= '20240101000000'  UNION ALL SELECT 'ATTR3' AS COLUMN_NAME, SUM(CASE WHEN ATTR3 IS NULL THEN 0 ELSE 1 END) AS NULL_COUNT, SUM(CASE WHEN ATTR3 IS NOT NULL THEN 1 ELSE 0 END) AS NOT_NULL_COUNT FROM T_EMP WHERE INS_DAY &gt;= '20240101000000'  UNION ALL SELECT 'ATTR2' AS COLUMN_NAME, SUM(CASE WHEN ATTR2 IS NULL THEN 0 ELSE 1 END) AS NULL_COUNT, SUM(CASE WHEN ATTR2 IS NOT NULL THEN 1 ELSE 0 END) AS NOT_NULL_COUNT FROM T_EMP WHERE INS_DAY &gt;= '20240101000000'  UNION ALL SELECT 'ATTR1' AS COLUMN_NAME, SUM(CASE WHEN ATTR1 IS NULL THEN 0 ELSE 1 END) AS NULL_COUNT, SUM(CASE WHEN ATTR1 IS NOT NULL THEN 1 ELSE 0 END) AS NOT_NULL_COUNT FROM T_EMP WHERE INS_DAY &gt;= '20240101000000'  UNION ALL SELECT 'EMP_CLSBY' AS COLUMN_NAME, SUM(CASE WHEN EMP_CLSBY IS NULL THEN 0 ELSE 1 END) AS NULL_COUNT, SUM(CASE WHEN EMP_CLSBY IS NOT NULL THEN 1 ELSE 0 END) AS NOT_NULL_COUNT FROM T_EMP WHERE INS_DAY &gt;= '20240101000000'  UNION ALL SELECT 'COMPY_CD' AS COLUMN_NAME, SUM(CASE WHEN COMPY_CD IS NULL THEN 0 ELSE 1 END) AS NULL_COUNT, SUM(CASE WHEN COMPY_CD IS NOT NULL THEN 1 ELSE 0 END) AS NOT_NULL_COUNT FROM T_EMP WHERE INS_DAY &gt;= '20240101000000'  UNION ALL SELECT 'DEPT_CD' AS COLUMN_NAME, SUM(CASE WHEN DEPT_CD IS NULL THEN 0 ELSE 1 END) AS NULL_COUNT, SUM(CASE WHEN DEPT_CD IS NOT NULL THEN 1 ELSE 0 END) AS NOT_NULL_COUNT FROM T_EMP WHERE INS_DAY &gt;= '20240101000000'  UNION ALL SELECT 'EMAIL' AS COLUMN_NAME, SUM(CASE WHEN EMAIL IS NULL THEN 0 ELSE 1 END) AS NULL_COUNT, SUM(CASE WHEN EMAIL IS NOT NULL THEN 1 ELSE 0 END) AS NOT_NULL_COUNT FROM T_EMP WHERE INS_DAY &gt;= '20240101000000'  UNION ALL SELECT 'MYHSE_ADDR2' AS COLUMN_NAME, SUM(CASE WHEN MYHSE_ADDR2 IS NULL THEN 0 ELSE 1 END) AS NULL_COUNT, SUM(CASE WHEN MYHSE_ADDR2 IS NOT NULL THEN 1 ELSE 0 END) AS NOT_NULL_COUNT FROM T_EMP WHERE INS_DAY &gt;= '20240101000000'  UNION ALL SELECT 'MYHSE_ADDR1' AS COLUMN_NAME, SUM(CASE WHEN MYHSE_ADDR1 IS NULL THEN 0 ELSE 1 END) AS NULL_COUNT, SUM(CASE WHEN MYHSE_ADDR1 IS NOT NULL THEN 1 ELSE 0 END) AS NOT_NULL_COUNT FROM T_EMP WHERE INS_DAY &gt;= '20240101000000'  UNION ALL SELECT 'MYHSE_PSTNO' AS COLUMN_NAME, SUM(CASE WHEN MYHSE_PSTNO IS NULL THEN 0 ELSE 1 END) AS NULL_COUNT, SUM(CASE WHEN MYHSE_PSTNO IS NOT NULL THEN 1 ELSE 0 END) AS NOT_NULL_COUNT FROM T_EMP WHERE INS_DAY &gt;= '20240101000000'  UNION ALL SELECT 'MTEL_NO3' AS COLUMN_NAME, SUM(CASE WHEN MTEL_NO3 IS NULL THEN 0 ELSE 1 END) AS NULL_COUNT, SUM(CASE WHEN MTEL_NO3 IS NOT NULL THEN 1 ELSE 0 END) AS NOT_NULL_COUNT FROM T_EMP WHERE INS_DAY &gt;= '20240101000000'  UNION ALL SELECT 'MTEL_NO2' AS COLUMN_NAME, SUM(CASE WHEN MTEL_NO2 IS NULL THEN 0 ELSE 1 END) AS NULL_COUNT, SUM(CASE WHEN MTEL_NO2 IS NOT NULL THEN 1 ELSE 0 END) AS NOT_NULL_COUNT FROM T_EMP WHERE INS_DAY &gt;= '20240101000000'  UNION ALL SELECT 'MTEL_NO1' AS COLUMN_NAME, SUM(CASE WHEN MTEL_NO1 IS NULL THEN 0 ELSE 1 END) AS NULL_COUNT, SUM(CASE WHEN MTEL_NO1 IS NOT NULL THEN 1 ELSE 0 END) AS NOT_NULL_COUNT FROM T_EMP WHERE INS_DAY &gt;= '20240101000000'  UNION ALL SELECT 'COMPY_TEL_NO3' AS COLUMN_NAME, SUM(CASE WHEN COMPY_TEL_NO3 IS NULL THEN 0 ELSE 1 END) AS NULL_COUNT, SUM(CASE WHEN COMPY_TEL_NO3 IS NOT NULL THEN 1 ELSE 0 END) AS NOT_NULL_COUNT FROM T_EMP WHERE INS_DAY &gt;= '20240101000000'  UNION ALL SELECT 'COMPY_TEL_NO2' AS COLUMN_NAME, SUM(CASE WHEN COMPY_TEL_NO2 IS NULL THEN 0 ELSE 1 END) AS NULL_COUNT, SUM(CASE WHEN COMPY_TEL_NO2 IS NOT NULL THEN 1 ELSE 0 END) AS NOT_NULL_COUNT FROM T_EMP WHERE INS_DAY &gt;= '20240101000000'  UNION ALL SELECT 'COMPY_TEL_NO1' AS COLUMN_NAME, SUM(CASE WHEN COMPY_TEL_NO1 IS NULL THEN 0 ELSE 1 END) AS NULL_COUNT, SUM(CASE WHEN COMPY_TEL_NO1 IS NOT NULL THEN 1 ELSE 0 END) AS NOT_NULL_COUNT FROM T_EMP WHERE INS_DAY &gt;= '20240101000000'  UNION ALL SELECT 'MYHSE_TEL_NO3' AS COLUMN_NAME, SUM(CASE WHEN MYHSE_TEL_NO3 IS NULL THEN 0 ELSE 1 END) AS NULL_COUNT, SUM(CASE WHEN MYHSE_TEL_NO3 IS NOT NULL THEN 1 ELSE 0 END) AS NOT_NULL_COUNT FROM T_EMP WHERE INS_DAY &gt;= '20240101000000'  UNION ALL SELECT 'MYHSE_TEL_NO2' AS COLUMN_NAME, SUM(CASE WHEN MYHSE_TEL_NO2 IS NULL THEN 0 ELSE 1 END) AS NULL_COUNT, SUM(CASE WHEN MYHSE_TEL_NO2 IS NOT NULL THEN 1 ELSE 0 END) AS NOT_NULL_COUNT FROM T_EMP WHERE INS_DAY &gt;= '20240101000000'  UNION ALL SELECT 'MYHSE_TEL_NO1' AS COLUMN_NAME, SUM(CASE WHEN MYHSE_TEL_NO1 IS NULL THEN 0 ELSE 1 END) AS NULL_COUNT, SUM(CASE WHEN MYHSE_TEL_NO1 IS NOT NULL THEN 1 ELSE 0 END) AS NOT_NULL_COUNT FROM T_EMP WHERE INS_DAY &gt;= '20240101000000'  UNION ALL SELECT 'RETIRE_DT' AS COLUMN_NAME, SUM(CASE WHEN RETIRE_DT IS NULL THEN 0 ELSE 1 END) AS NULL_COUNT, SUM(CASE WHEN RETIRE_DT IS NOT NULL THEN 1 ELSE 0 END) AS NOT_NULL_COUNT FROM T_EMP WHERE INS_DAY &gt;= '20240101000000'  UNION ALL SELECT 'ENTE_DT' AS COLUMN_NAME, SUM(CASE WHEN ENTE_DT IS NULL THEN 0 ELSE 1 END) AS NULL_COUNT, SUM(CASE WHEN ENTE_DT IS NOT NULL THEN 1 ELSE 0 END) AS NOT_NULL_COUNT FROM T_EMP WHERE INS_DAY &gt;= '20240101000000'  UNION ALL SELECT 'GRP_ENTE_DT' AS COLUMN_NAME, SUM(CASE WHEN GRP_ENTE_DT IS NULL THEN 0 ELSE 1 END) AS NULL_COUNT, SUM(CASE WHEN GRP_ENTE_DT IS NOT NULL THEN 1 ELSE 0 END) AS NOT_NULL_COUNT FROM T_EMP WHERE INS_DAY &gt;= '20240101000000'  UNION ALL SELECT 'RANK' AS COLUMN_NAME, SUM(CASE WHEN RANK IS NULL THEN 0 ELSE 1 END) AS NULL_COUNT, SUM(CASE WHEN RANK IS NOT NULL THEN 1 ELSE 0 END) AS NOT_NULL_COUNT FROM T_EMP WHERE INS_DAY &gt;= '20240101000000'  UNION ALL SELECT 'JOB' AS COLUMN_NAME, SUM(CASE WHEN JOB IS NULL THEN 0 ELSE 1 END) AS NULL_COUNT, SUM(CASE WHEN JOB IS NOT NULL THEN 1 ELSE 0 END) AS NOT_NULL_COUNT FROM T_EMP WHERE INS_DAY &gt;= '20240101000000'  UNION ALL SELECT 'RESNO' AS COLUMN_NAME, SUM(CASE WHEN RESNO IS NULL THEN 0 ELSE 1 END) AS NULL_COUNT, SUM(CASE WHEN RESNO IS NOT NULL THEN 1 ELSE 0 END) AS NOT_NULL_COUNT FROM T_EMP WHERE INS_DAY &gt;= '20240101000000'</t>
    <phoneticPr fontId="2" type="noConversion"/>
  </si>
  <si>
    <t>T_SHOP</t>
    <phoneticPr fontId="2" type="noConversion"/>
  </si>
  <si>
    <t>SELECT * FROM T_SHOP_HIST
 WHERE CHG_RESN IS NOT NULL
   AND INS_DAY &gt; '20200101';</t>
    <phoneticPr fontId="2" type="noConversion"/>
  </si>
  <si>
    <t>T_SHOP_HIST</t>
    <phoneticPr fontId="2" type="noConversion"/>
  </si>
  <si>
    <t>T_PRDT_PLAN</t>
    <phoneticPr fontId="2" type="noConversion"/>
  </si>
  <si>
    <t>T_PRDT</t>
  </si>
  <si>
    <t>T_PRDT_DEAL</t>
  </si>
  <si>
    <t xml:space="preserve">SELECT 'CAT' AS COLUMN_NAME, SUM(CASE WHEN CAT IS NULL THEN 0 ELSE 1 END) AS NULL_COUNT, SUM(CASE WHEN CAT IS NOT NULL THEN 1 ELSE 0 END) AS NOT_NULL_COUNT FROM T_PRDT_KIND WHERE INS_DAY &gt;= '20240101000000'  UNION ALL SELECT 'ATTR6' AS COLUMN_NAME, SUM(CASE WHEN ATTR6 IS NULL THEN 0 ELSE 1 END) AS NULL_COUNT, SUM(CASE WHEN ATTR6 IS NOT NULL THEN 1 ELSE 0 END) AS NOT_NULL_COUNT FROM T_PRDT_KIND WHERE INS_DAY &gt;= '20240101000000'  UNION ALL SELECT 'ATTR5' AS COLUMN_NAME, SUM(CASE WHEN ATTR5 IS NULL THEN 0 ELSE 1 END) AS NULL_COUNT, SUM(CASE WHEN ATTR5 IS NOT NULL THEN 1 ELSE 0 END) AS NOT_NULL_COUNT FROM T_PRDT_KIND WHERE INS_DAY &gt;= '20240101000000'  UNION ALL SELECT 'ATTR4' AS COLUMN_NAME, SUM(CASE WHEN ATTR4 IS NULL THEN 0 ELSE 1 END) AS NULL_COUNT, SUM(CASE WHEN ATTR4 IS NOT NULL THEN 1 ELSE 0 END) AS NOT_NULL_COUNT FROM T_PRDT_KIND WHERE INS_DAY &gt;= '20240101000000'  UNION ALL SELECT 'ATTR3' AS COLUMN_NAME, SUM(CASE WHEN ATTR3 IS NULL THEN 0 ELSE 1 END) AS NULL_COUNT, SUM(CASE WHEN ATTR3 IS NOT NULL THEN 1 ELSE 0 END) AS NOT_NULL_COUNT FROM T_PRDT_KIND WHERE INS_DAY &gt;= '20240101000000'  UNION ALL SELECT 'ATTR2' AS COLUMN_NAME, SUM(CASE WHEN ATTR2 IS NULL THEN 0 ELSE 1 END) AS NULL_COUNT, SUM(CASE WHEN ATTR2 IS NOT NULL THEN 1 ELSE 0 END) AS NOT_NULL_COUNT FROM T_PRDT_KIND WHERE INS_DAY &gt;= '20240101000000'  UNION ALL SELECT 'ATTR1' AS COLUMN_NAME, SUM(CASE WHEN ATTR1 IS NULL THEN 0 ELSE 1 END) AS NULL_COUNT, SUM(CASE WHEN ATTR1 IS NOT NULL THEN 1 ELSE 0 END) AS NOT_NULL_COUNT FROM T_PRDT_KIND WHERE INS_DAY &gt;= '20240101000000'  UNION ALL SELECT 'DEL_USERID' AS COLUMN_NAME, SUM(CASE WHEN DEL_USERID IS NULL THEN 0 ELSE 1 END) AS NULL_COUNT, SUM(CASE WHEN DEL_USERID IS NOT NULL THEN 1 ELSE 0 END) AS NOT_NULL_COUNT FROM T_PRDT_KIND WHERE INS_DAY &gt;= '20240101000000'  UNION ALL SELECT 'DEL_DAY' AS COLUMN_NAME, SUM(CASE WHEN DEL_DAY IS NULL THEN 0 ELSE 1 END) AS NULL_COUNT, SUM(CASE WHEN DEL_DAY IS NOT NULL THEN 1 ELSE 0 END) AS NOT_NULL_COUNT FROM T_PRDT_KIND WHERE INS_DAY &gt;= '20240101000000'  UNION ALL SELECT 'UPT_USERID' AS COLUMN_NAME, SUM(CASE WHEN UPT_USERID IS NULL THEN 0 ELSE 1 END) AS NULL_COUNT, SUM(CASE WHEN UPT_USERID IS NOT NULL THEN 1 ELSE 0 END) AS NOT_NULL_COUNT FROM T_PRDT_KIND WHERE INS_DAY &gt;= '20240101000000'  UNION ALL SELECT 'UPT_DAY' AS COLUMN_NAME, SUM(CASE WHEN UPT_DAY IS NULL THEN 0 ELSE 1 END) AS NULL_COUNT, SUM(CASE WHEN UPT_DAY IS NOT NULL THEN 1 ELSE 0 END) AS NOT_NULL_COUNT FROM T_PRDT_KIND WHERE INS_DAY &gt;= '20240101000000'  UNION ALL SELECT 'INS_USERID' AS COLUMN_NAME, SUM(CASE WHEN INS_USERID IS NULL THEN 0 ELSE 1 END) AS NULL_COUNT, SUM(CASE WHEN INS_USERID IS NOT NULL THEN 1 ELSE 0 END) AS NOT_NULL_COUNT FROM T_PRDT_KIND WHERE INS_DAY &gt;= '20240101000000'  UNION ALL SELECT 'PRTY_RANK' AS COLUMN_NAME, SUM(CASE WHEN PRTY_RANK IS NULL THEN 0 ELSE 1 END) AS NULL_COUNT, SUM(CASE WHEN PRTY_RANK IS NOT NULL THEN 1 ELSE 0 END) AS NOT_NULL_COUNT FROM T_PRDT_KIND WHERE INS_DAY &gt;= '20240101000000'  UNION ALL SELECT 'RMK' AS COLUMN_NAME, SUM(CASE WHEN RMK IS NULL THEN 0 ELSE 1 END) AS NULL_COUNT, SUM(CASE WHEN RMK IS NOT NULL THEN 1 ELSE 0 END) AS NOT_NULL_COUNT FROM T_PRDT_KIND WHERE INS_DAY &gt;= '20240101000000'  UNION ALL SELECT 'USE_YN' AS COLUMN_NAME, SUM(CASE WHEN USE_YN IS NULL THEN 0 ELSE 1 END) AS NULL_COUNT, SUM(CASE WHEN USE_YN IS NOT NULL THEN 1 ELSE 0 END) AS NOT_NULL_COUNT FROM T_PRDT_KIND WHERE INS_DAY &gt;= '20240101000000'  UNION ALL SELECT 'LAST_YN' AS COLUMN_NAME, SUM(CASE WHEN LAST_YN IS NULL THEN 0 ELSE 1 END) AS NULL_COUNT, SUM(CASE WHEN LAST_YN IS NOT NULL THEN 1 ELSE 0 END) AS NOT_NULL_COUNT FROM T_PRDT_KIND WHERE INS_DAY &gt;= '20240101000000'  UNION ALL SELECT 'CD_NM' AS COLUMN_NAME, SUM(CASE WHEN CD_NM IS NULL THEN 0 ELSE 1 END) AS NULL_COUNT, SUM(CASE WHEN CD_NM IS NOT NULL THEN 1 ELSE 0 END) AS NOT_NULL_COUNT FROM T_PRDT_KIND WHERE INS_DAY &gt;= '20240101000000'  UNION ALL SELECT 'PARENT_PRDT_KIND_CD' AS COLUMN_NAME, SUM(CASE WHEN PARENT_PRDT_KIND_CD IS NULL THEN 0 ELSE 1 END) AS NULL_COUNT, SUM(CASE WHEN PARENT_PRDT_KIND_CD IS NOT NULL THEN 1 ELSE 0 END) AS NOT_NULL_COUNT FROM T_PRDT_KIND WHERE INS_DAY &gt;= '20240101000000'  UNION ALL SELECT 'COMN_CLSBY' AS COLUMN_NAME, SUM(CASE WHEN COMN_CLSBY IS NULL THEN 0 ELSE 1 END) AS NULL_COUNT, SUM(CASE WHEN COMN_CLSBY IS NOT NULL THEN 1 ELSE 0 END) AS NOT_NULL_COUNT FROM T_PRDT_KIND WHERE INS_DAY &gt;= '20240101000000'  UNION ALL SELECT 'COMPY_CD' AS COLUMN_NAME, SUM(CASE WHEN COMPY_CD IS NULL THEN 0 ELSE 1 END) AS NULL_COUNT, SUM(CASE WHEN COMPY_CD IS NOT NULL THEN 1 ELSE 0 END) AS NOT_NULL_COUNT FROM T_PRDT_KIND WHERE INS_DAY &gt;= '20240101000000'  UNION ALL SELECT 'LANG_CLSBY' AS COLUMN_NAME, SUM(CASE WHEN LANG_CLSBY IS NULL THEN 0 ELSE 1 END) AS NULL_COUNT, SUM(CASE WHEN LANG_CLSBY IS NOT NULL THEN 1 ELSE 0 END) AS NOT_NULL_COUNT FROM T_PRDT_KIND WHERE INS_DAY &gt;= '20240101000000'  UNION ALL SELECT 'PRDT_KIND_CD' AS COLUMN_NAME, SUM(CASE WHEN PRDT_KIND_CD IS NULL THEN 0 ELSE 1 END) AS NULL_COUNT, SUM(CASE WHEN PRDT_KIND_CD IS NOT NULL THEN 1 ELSE 0 END) AS NOT_NULL_COUNT FROM T_PRDT_KIND WHERE INS_DAY &gt;= '20240101000000'
</t>
    <phoneticPr fontId="2" type="noConversion"/>
  </si>
  <si>
    <t>SELECT 'ETC_S_INFER_COST' AS COLUMN_NAME, SUM(CASE WHEN ETC_S_INFER_COST IS NULL THEN 0 ELSE 1 END) AS NULL_COUNT, SUM(CASE WHEN ETC_S_INFER_COST IS NOT NULL THEN 1 ELSE 0 END) AS NOT_NULL_COUNT FROM T_PRDT WHERE INS_DAY &gt;= '20240101000000'  UNION ALL SELECT 'NO_SALE_YN' AS COLUMN_NAME, SUM(CASE WHEN NO_SALE_YN IS NULL THEN 0 ELSE 1 END) AS NULL_COUNT, SUM(CASE WHEN NO_SALE_YN IS NOT NULL THEN 1 ELSE 0 END) AS NOT_NULL_COUNT FROM T_PRDT WHERE INS_DAY &gt;= '20240101000000'  UNION ALL SELECT 'ATTR5' AS COLUMN_NAME, SUM(CASE WHEN ATTR5 IS NULL THEN 0 ELSE 1 END) AS NULL_COUNT, SUM(CASE WHEN ATTR5 IS NOT NULL THEN 1 ELSE 0 END) AS NOT_NULL_COUNT FROM T_PRDT WHERE INS_DAY &gt;= '20240101000000'  UNION ALL SELECT 'ATTR4' AS COLUMN_NAME, SUM(CASE WHEN ATTR4 IS NULL THEN 0 ELSE 1 END) AS NULL_COUNT, SUM(CASE WHEN ATTR4 IS NOT NULL THEN 1 ELSE 0 END) AS NOT_NULL_COUNT FROM T_PRDT WHERE INS_DAY &gt;= '20240101000000'  UNION ALL SELECT 'ATTR3' AS COLUMN_NAME, SUM(CASE WHEN ATTR3 IS NULL THEN 0 ELSE 1 END) AS NULL_COUNT, SUM(CASE WHEN ATTR3 IS NOT NULL THEN 1 ELSE 0 END) AS NOT_NULL_COUNT FROM T_PRDT WHERE INS_DAY &gt;= '20240101000000'  UNION ALL SELECT 'ATTR2' AS COLUMN_NAME, SUM(CASE WHEN ATTR2 IS NULL THEN 0 ELSE 1 END) AS NULL_COUNT, SUM(CASE WHEN ATTR2 IS NOT NULL THEN 1 ELSE 0 END) AS NOT_NULL_COUNT FROM T_PRDT WHERE INS_DAY &gt;= '20240101000000'  UNION ALL SELECT 'ATTR1' AS COLUMN_NAME, SUM(CASE WHEN ATTR1 IS NULL THEN 0 ELSE 1 END) AS NULL_COUNT, SUM(CASE WHEN ATTR1 IS NOT NULL THEN 1 ELSE 0 END) AS NOT_NULL_COUNT FROM T_PRDT WHERE INS_DAY &gt;= '20240101000000'  UNION ALL SELECT 'SALE_STOP_YN' AS COLUMN_NAME, SUM(CASE WHEN SALE_STOP_YN IS NULL THEN 0 ELSE 1 END) AS NULL_COUNT, SUM(CASE WHEN SALE_STOP_YN IS NOT NULL THEN 1 ELSE 0 END) AS NOT_NULL_COUNT FROM T_PRDT WHERE INS_DAY &gt;= '20240101000000'  UNION ALL SELECT 'DELV_STOP_YN' AS COLUMN_NAME, SUM(CASE WHEN DELV_STOP_YN IS NULL THEN 0 ELSE 1 END) AS NULL_COUNT, SUM(CASE WHEN DELV_STOP_YN IS NOT NULL THEN 1 ELSE 0 END) AS NOT_NULL_COUNT FROM T_PRDT WHERE INS_DAY &gt;= '20240101000000'  UNION ALL SELECT 'COMPY_CD' AS COLUMN_NAME, SUM(CASE WHEN COMPY_CD IS NULL THEN 0 ELSE 1 END) AS NULL_COUNT, SUM(CASE WHEN COMPY_CD IS NOT NULL THEN 1 ELSE 0 END) AS NOT_NULL_COUNT FROM T_PRDT WHERE INS_DAY &gt;= '20240101000000'  UNION ALL SELECT 'PRDT_IMG_URL' AS COLUMN_NAME, SUM(CASE WHEN PRDT_IMG_URL IS NULL THEN 0 ELSE 1 END) AS NULL_COUNT, SUM(CASE WHEN PRDT_IMG_URL IS NOT NULL THEN 1 ELSE 0 END) AS NOT_NULL_COUNT FROM T_PRDT WHERE INS_DAY &gt;= '20240101000000'  UNION ALL SELECT 'CSUMR_S_INFER_PRICE' AS COLUMN_NAME, SUM(CASE WHEN CSUMR_S_INFER_PRICE IS NULL THEN 0 ELSE 1 END) AS NULL_COUNT, SUM(CASE WHEN CSUMR_S_INFER_PRICE IS NOT NULL THEN 1 ELSE 0 END) AS NOT_NULL_COUNT FROM T_PRDT WHERE INS_DAY &gt;= '20240101000000'  UNION ALL SELECT 'CSUMR_F_INFER_PRICE' AS COLUMN_NAME, SUM(CASE WHEN CSUMR_F_INFER_PRICE IS NULL THEN 0 ELSE 1 END) AS NULL_COUNT, SUM(CASE WHEN CSUMR_F_INFER_PRICE IS NOT NULL THEN 1 ELSE 0 END) AS NOT_NULL_COUNT FROM T_PRDT WHERE INS_DAY &gt;= '20240101000000'  UNION ALL SELECT 'RNDS_COST' AS COLUMN_NAME, SUM(CASE WHEN RNDS_COST IS NULL THEN 0 ELSE 1 END) AS NULL_COUNT, SUM(CASE WHEN RNDS_COST IS NOT NULL THEN 1 ELSE 0 END) AS NOT_NULL_COUNT FROM T_PRDT WHERE INS_DAY &gt;= '20240101000000'  UNION ALL SELECT 'PPRCS_S_INFER_COST' AS COLUMN_NAME, SUM(CASE WHEN PPRCS_S_INFER_COST IS NULL THEN 0 ELSE 1 END) AS NULL_COUNT, SUM(CASE WHEN PPRCS_S_INFER_COST IS NOT NULL THEN 1 ELSE 0 END) AS NOT_NULL_COUNT FROM T_PRDT WHERE INS_DAY &gt;= '20240101000000'  UNION ALL SELECT 'SMAT_S_INFER_COST' AS COLUMN_NAME, SUM(CASE WHEN SMAT_S_INFER_COST IS NULL THEN 0 ELSE 1 END) AS NULL_COUNT, SUM(CASE WHEN SMAT_S_INFER_COST IS NOT NULL THEN 1 ELSE 0 END) AS NOT_NULL_COUNT FROM T_PRDT WHERE INS_DAY &gt;= '20240101000000'  UNION ALL SELECT 'MMAT_S_INFER_COST' AS COLUMN_NAME, SUM(CASE WHEN MMAT_S_INFER_COST IS NULL THEN 0 ELSE 1 END) AS NULL_COUNT, SUM(CASE WHEN MMAT_S_INFER_COST IS NOT NULL THEN 1 ELSE 0 END) AS NOT_NULL_COUNT FROM T_PRDT WHERE INS_DAY &gt;= '20240101000000'  UNION ALL SELECT 'PPRCS_F_INFER_COST' AS COLUMN_NAME, SUM(CASE WHEN PPRCS_F_INFER_COST IS NULL THEN 0 ELSE 1 END) AS NULL_COUNT, SUM(CASE WHEN PPRCS_F_INFER_COST IS NOT NULL THEN 1 ELSE 0 END) AS NOT_NULL_COUNT FROM T_PRDT WHERE INS_DAY &gt;= '20240101000000'  UNION ALL SELECT 'SMAT_F_INFER_COST' AS COLUMN_NAME, SUM(CASE WHEN SMAT_F_INFER_COST IS NULL THEN 0 ELSE 1 END) AS NULL_COUNT, SUM(CASE WHEN SMAT_F_INFER_COST IS NOT NULL THEN 1 ELSE 0 END) AS NOT_NULL_COUNT FROM T_PRDT WHERE INS_DAY &gt;= '20240101000000'  UNION ALL SELECT 'MMAT_F_INFER_COST' AS COLUMN_NAME, SUM(CASE WHEN MMAT_F_INFER_COST IS NULL THEN 0 ELSE 1 END) AS NULL_COUNT, SUM(CASE WHEN MMAT_F_INFER_COST IS NOT NULL THEN 1 ELSE 0 END) AS NOT_NULL_COUNT FROM T_PRDT WHERE INS_DAY &gt;= '20240101000000'  UNION ALL SELECT 'SHOP_MOVE_YN' AS COLUMN_NAME, SUM(CASE WHEN SHOP_MOVE_YN IS NULL THEN 0 ELSE 1 END) AS NULL_COUNT, SUM(CASE WHEN SHOP_MOVE_YN IS NOT NULL THEN 1 ELSE 0 END) AS NOT_NULL_COUNT FROM T_PRDT WHERE INS_DAY &gt;= '20240101000000'  UNION ALL SELECT 'MFAC_L_COST' AS COLUMN_NAME, SUM(CASE WHEN MFAC_L_COST IS NULL THEN 0 ELSE 1 END) AS NULL_COUNT, SUM(CASE WHEN MFAC_L_COST IS NOT NULL THEN 1 ELSE 0 END) AS NOT_NULL_COUNT FROM T_PRDT WHERE INS_DAY &gt;= '20240101000000'  UNION ALL SELECT 'SESN_OFF_REGDT' AS COLUMN_NAME, SUM(CASE WHEN SESN_OFF_REGDT IS NULL THEN 0 ELSE 1 END) AS NULL_COUNT, SUM(CASE WHEN SESN_OFF_REGDT IS NOT NULL THEN 1 ELSE 0 END) AS NOT_NULL_COUNT FROM T_PRDT WHERE INS_DAY &gt;= '20240101000000'  UNION ALL SELECT 'DULL_REG_DT' AS COLUMN_NAME, SUM(CASE WHEN DULL_REG_DT IS NULL THEN 0 ELSE 1 END) AS NULL_COUNT, SUM(CASE WHEN DULL_REG_DT IS NOT NULL THEN 1 ELSE 0 END) AS NOT_NULL_COUNT FROM T_PRDT WHERE INS_DAY &gt;= '20240101000000'  UNION ALL SELECT 'FXD_DELV_PRICE' AS COLUMN_NAME, SUM(CASE WHEN FXD_DELV_PRICE IS NULL THEN 0 ELSE 1 END) AS NULL_COUNT, SUM(CASE WHEN FXD_DELV_PRICE IS NOT NULL THEN 1 ELSE 0 END) AS NOT_NULL_COUNT FROM T_PRDT WHERE INS_DAY &gt;= '20240101000000'  UNION ALL SELECT 'RE_BUY_YN' AS COLUMN_NAME, SUM(CASE WHEN RE_BUY_YN IS NULL THEN 0 ELSE 1 END) AS NULL_COUNT, SUM(CASE WHEN RE_BUY_YN IS NOT NULL THEN 1 ELSE 0 END) AS NOT_NULL_COUNT FROM T_PRDT WHERE INS_DAY &gt;= '20240101000000'  UNION ALL SELECT 'ENURI_YN' AS COLUMN_NAME, SUM(CASE WHEN ENURI_YN IS NULL THEN 0 ELSE 1 END) AS NULL_COUNT, SUM(CASE WHEN ENURI_YN IS NOT NULL THEN 1 ELSE 0 END) AS NOT_NULL_COUNT FROM T_PRDT WHERE INS_DAY &gt;= '20240101000000'  UNION ALL SELECT 'DSCT_YN' AS COLUMN_NAME, SUM(CASE WHEN DSCT_YN IS NULL THEN 0 ELSE 1 END) AS NULL_COUNT, SUM(CASE WHEN DSCT_YN IS NOT NULL THEN 1 ELSE 0 END) AS NOT_NULL_COUNT FROM T_PRDT WHERE INS_DAY &gt;= '20240101000000'  UNION ALL SELECT 'TDD_DELV_YN' AS COLUMN_NAME, SUM(CASE WHEN TDD_DELV_YN IS NULL THEN 0 ELSE 1 END) AS NULL_COUNT, SUM(CASE WHEN TDD_DELV_YN IS NOT NULL THEN 1 ELSE 0 END) AS NOT_NULL_COUNT FROM T_PRDT WHERE INS_DAY &gt;= '20240101000000'  UNION ALL SELECT 'DVID_YN' AS COLUMN_NAME, SUM(CASE WHEN DVID_YN IS NULL THEN 0 ELSE 1 END) AS NULL_COUNT, SUM(CASE WHEN DVID_YN IS NOT NULL THEN 1 ELSE 0 END) AS NOT_NULL_COUNT FROM T_PRDT WHERE INS_DAY &gt;= '20240101000000'  UNION ALL SELECT 'LOW_PRICE_YN' AS COLUMN_NAME, SUM(CASE WHEN LOW_PRICE_YN IS NULL THEN 0 ELSE 1 END) AS NULL_COUNT, SUM(CASE WHEN LOW_PRICE_YN IS NOT NULL THEN 1 ELSE 0 END) AS NOT_NULL_COUNT FROM T_PRDT WHERE INS_DAY &gt;= '20240101000000'  UNION ALL SELECT 'COLOR_CD' AS COLUMN_NAME, SUM(CASE WHEN COLOR_CD IS NULL THEN 0 ELSE 1 END) AS NULL_COUNT, SUM(CASE WHEN COLOR_CD IS NOT NULL THEN 1 ELSE 0 END) AS NOT_NULL_COUNT FROM T_PRDT WHERE INS_DAY &gt;= '20240101000000'  UNION ALL SELECT 'PRDT_CD' AS COLUMN_NAME, SUM(CASE WHEN PRDT_CD IS NULL THEN 0 ELSE 1 END) AS NULL_COUNT, SUM(CASE WHEN PRDT_CD IS NOT NULL THEN 1 ELSE 0 END) AS NOT_NULL_COUNT FROM T_PRDT WHERE INS_DAY &gt;= '20240101000000'  UNION ALL SELECT 'UPT_USERID' AS COLUMN_NAME, SUM(CASE WHEN UPT_USERID IS NULL THEN 0 ELSE 1 END) AS NULL_COUNT, SUM(CASE WHEN UPT_USERID IS NOT NULL THEN 1 ELSE 0 END) AS NOT_NULL_COUNT FROM T_PRDT WHERE INS_DAY &gt;= '20240101000000'  UNION ALL SELECT 'UPT_DAY' AS COLUMN_NAME, SUM(CASE WHEN UPT_DAY IS NULL THEN 0 ELSE 1 END) AS NULL_COUNT, SUM(CASE WHEN UPT_DAY IS NOT NULL THEN 1 ELSE 0 END) AS NOT_NULL_COUNT FROM T_PRDT WHERE INS_DAY &gt;= '20240101000000'  UNION ALL SELECT 'INS_USERID' AS COLUMN_NAME, SUM(CASE WHEN INS_USERID IS NULL THEN 0 ELSE 1 END) AS NULL_COUNT, SUM(CASE WHEN INS_USERID IS NOT NULL THEN 1 ELSE 0 END) AS NOT_NULL_COUNT FROM T_PRDT WHERE INS_DAY &gt;= '20240101000000'  UNION ALL SELECT 'PRDT_ID' AS COLUMN_NAME, SUM(CASE WHEN PRDT_ID IS NULL THEN 0 ELSE 1 END) AS NULL_COUNT, SUM(CASE WHEN PRDT_ID IS NOT NULL THEN 1 ELSE 0 END) AS NOT_NULL_COUNT FROM T_PRDT WHERE INS_DAY &gt;= '20240101000000'</t>
    <phoneticPr fontId="2" type="noConversion"/>
  </si>
  <si>
    <t>N</t>
    <phoneticPr fontId="2" type="noConversion"/>
  </si>
  <si>
    <t xml:space="preserve">SELECT 'ATTR5' AS COLUMN_NAME, SUM(CASE WHEN A.ATTR5 IS NULL THEN 0 ELSE 1 END) AS NULL_COUNT, SUM(CASE WHEN A.ATTR5 IS NOT NULL THEN 1 ELSE 0 END) AS NOT_NULL_COUNT FROM T_PRDT_DEAL A INNER JOIN T_PRDT B ON A.PRDT_ID = B.PRDT_ID WHERE B.INS_DAY &gt;= '20240101000000'  UNION ALL SELECT 'ATTR4' AS COLUMN_NAME, SUM(CASE WHEN A.ATTR4 IS NULL THEN 0 ELSE 1 END) AS NULL_COUNT, SUM(CASE WHEN A.ATTR4 IS NOT NULL THEN 1 ELSE 0 END) AS NOT_NULL_COUNT FROM T_PRDT_DEAL A INNER JOIN T_PRDT B ON A.PRDT_ID = B.PRDT_ID WHERE B.INS_DAY &gt;= '20240101000000'  UNION ALL SELECT 'ATTR3' AS COLUMN_NAME, SUM(CASE WHEN A.ATTR3 IS NULL THEN 0 ELSE 1 END) AS NULL_COUNT, SUM(CASE WHEN A.ATTR3 IS NOT NULL THEN 1 ELSE 0 END) AS NOT_NULL_COUNT FROM T_PRDT_DEAL A INNER JOIN T_PRDT B ON A.PRDT_ID = B.PRDT_ID WHERE B.INS_DAY &gt;= '20240101000000'  UNION ALL SELECT 'ATTR2' AS COLUMN_NAME, SUM(CASE WHEN A.ATTR2 IS NULL THEN 0 ELSE 1 END) AS NULL_COUNT, SUM(CASE WHEN A.ATTR2 IS NOT NULL THEN 1 ELSE 0 END) AS NOT_NULL_COUNT FROM T_PRDT_DEAL A INNER JOIN T_PRDT B ON A.PRDT_ID = B.PRDT_ID WHERE B.INS_DAY &gt;= '20240101000000'  UNION ALL SELECT 'ATTR1' AS COLUMN_NAME, SUM(CASE WHEN A.ATTR1 IS NULL THEN 0 ELSE 1 END) AS NULL_COUNT, SUM(CASE WHEN A.ATTR1 IS NOT NULL THEN 1 ELSE 0 END) AS NOT_NULL_COUNT FROM T_PRDT_DEAL A INNER JOIN T_PRDT B ON A.PRDT_ID = B.PRDT_ID WHERE B.INS_DAY &gt;= '20240101000000'  UNION ALL SELECT 'COMPY_CD' AS COLUMN_NAME, SUM(CASE WHEN A.COMPY_CD IS NULL THEN 0 ELSE 1 END) AS NULL_COUNT, SUM(CASE WHEN A.COMPY_CD IS NOT NULL THEN 1 ELSE 0 END) AS NOT_NULL_COUNT FROM T_PRDT_DEAL A INNER JOIN T_PRDT B ON A.PRDT_ID = B.PRDT_ID WHERE B.INS_DAY &gt;= '20240101000000'  UNION ALL SELECT 'TOT_SALE_QTY' AS COLUMN_NAME, SUM(CASE WHEN A.TOT_SALE_QTY IS NULL THEN 0 ELSE 1 END) AS NULL_COUNT, SUM(CASE WHEN A.TOT_SALE_QTY IS NOT NULL THEN 1 ELSE 0 END) AS NOT_NULL_COUNT FROM T_PRDT_DEAL A INNER JOIN T_PRDT B ON A.PRDT_ID = B.PRDT_ID WHERE B.INS_DAY &gt;= '20240101000000'  UNION ALL SELECT 'TOT_DELV_QTY' AS COLUMN_NAME, SUM(CASE WHEN A.TOT_DELV_QTY IS NULL THEN 0 ELSE 1 END) AS NULL_COUNT, SUM(CASE WHEN A.TOT_DELV_QTY IS NOT NULL THEN 1 ELSE 0 END) AS NOT_NULL_COUNT FROM T_PRDT_DEAL A INNER JOIN T_PRDT B ON A.PRDT_ID = B.PRDT_ID WHERE B.INS_DAY &gt;= '20240101000000'  UNION ALL SELECT 'TOT_STOR_QTY' AS COLUMN_NAME, SUM(CASE WHEN A.TOT_STOR_QTY IS NULL THEN 0 ELSE 1 END) AS NULL_COUNT, SUM(CASE WHEN A.TOT_STOR_QTY IS NOT NULL THEN 1 ELSE 0 END) AS NOT_NULL_COUNT FROM T_PRDT_DEAL A INNER JOIN T_PRDT B ON A.PRDT_ID = B.PRDT_ID WHERE B.INS_DAY &gt;= '20240101000000'  UNION ALL SELECT 'SALE_L_DT' AS COLUMN_NAME, SUM(CASE WHEN A.SALE_L_DT IS NULL THEN 0 ELSE 1 END) AS NULL_COUNT, SUM(CASE WHEN A.SALE_L_DT IS NOT NULL THEN 1 ELSE 0 END) AS NOT_NULL_COUNT FROM T_PRDT_DEAL A INNER JOIN T_PRDT B ON A.PRDT_ID = B.PRDT_ID WHERE B.INS_DAY &gt;= '20240101000000'  UNION ALL SELECT 'SALE_F_DT' AS COLUMN_NAME, SUM(CASE WHEN A.SALE_F_DT IS NULL THEN 0 ELSE 1 END) AS NULL_COUNT, SUM(CASE WHEN A.SALE_F_DT IS NOT NULL THEN 1 ELSE 0 END) AS NOT_NULL_COUNT FROM T_PRDT_DEAL A INNER JOIN T_PRDT B ON A.PRDT_ID = B.PRDT_ID WHERE B.INS_DAY &gt;= '20240101000000'  UNION ALL SELECT 'DELV_PRE_DT' AS COLUMN_NAME, SUM(CASE WHEN A.DELV_PRE_DT IS NULL THEN 0 ELSE 1 END) AS NULL_COUNT, SUM(CASE WHEN A.DELV_PRE_DT IS NOT NULL THEN 1 ELSE 0 END) AS NOT_NULL_COUNT FROM T_PRDT_DEAL A INNER JOIN T_PRDT B ON A.PRDT_ID = B.PRDT_ID WHERE B.INS_DAY &gt;= '20240101000000'  UNION ALL SELECT 'DELV_L_DT' AS COLUMN_NAME, SUM(CASE WHEN A.DELV_L_DT IS NULL THEN 0 ELSE 1 END) AS NULL_COUNT, SUM(CASE WHEN A.DELV_L_DT IS NOT NULL THEN 1 ELSE 0 END) AS NOT_NULL_COUNT FROM T_PRDT_DEAL A INNER JOIN T_PRDT B ON A.PRDT_ID = B.PRDT_ID WHERE B.INS_DAY &gt;= '20240101000000'  UNION ALL SELECT 'DELV_F_DT' AS COLUMN_NAME, SUM(CASE WHEN A.DELV_F_DT IS NULL THEN 0 ELSE 1 END) AS NULL_COUNT, SUM(CASE WHEN A.DELV_F_DT IS NOT NULL THEN 1 ELSE 0 END) AS NOT_NULL_COUNT FROM T_PRDT_DEAL A INNER JOIN T_PRDT B ON A.PRDT_ID = B.PRDT_ID WHERE B.INS_DAY &gt;= '20240101000000'  UNION ALL SELECT 'STOR_PRE_DT' AS COLUMN_NAME, SUM(CASE WHEN A.STOR_PRE_DT IS NULL THEN 0 ELSE 1 END) AS NULL_COUNT, SUM(CASE WHEN A.STOR_PRE_DT IS NOT NULL THEN 1 ELSE 0 END) AS NOT_NULL_COUNT FROM T_PRDT_DEAL A INNER JOIN T_PRDT B ON A.PRDT_ID = B.PRDT_ID WHERE B.INS_DAY &gt;= '20240101000000'  UNION ALL SELECT 'STOR_L_DT' AS COLUMN_NAME, SUM(CASE WHEN A.STOR_L_DT IS NULL THEN 0 ELSE 1 END) AS NULL_COUNT, SUM(CASE WHEN A.STOR_L_DT IS NOT NULL THEN 1 ELSE 0 END) AS NOT_NULL_COUNT FROM T_PRDT_DEAL A INNER JOIN T_PRDT B ON A.PRDT_ID = B.PRDT_ID WHERE B.INS_DAY &gt;= '20240101000000'  UNION ALL SELECT 'STOR_F_DT' AS COLUMN_NAME, SUM(CASE WHEN A.STOR_F_DT IS NULL THEN 0 ELSE 1 END) AS NULL_COUNT, SUM(CASE WHEN A.STOR_F_DT IS NOT NULL THEN 1 ELSE 0 END) AS NOT_NULL_COUNT FROM T_PRDT_DEAL A INNER JOIN T_PRDT B ON A.PRDT_ID = B.PRDT_ID WHERE B.INS_DAY &gt;= '20240101000000'  UNION ALL SELECT 'PRDT_ID' AS COLUMN_NAME, SUM(CASE WHEN A.PRDT_ID IS NULL THEN 0 ELSE 1 END) AS NULL_COUNT, SUM(CASE WHEN A.PRDT_ID IS NOT NULL THEN 1 ELSE 0 END) AS NOT_NULL_COUNT FROM T_PRDT_DEAL A INNER JOIN T_PRDT B ON A.PRDT_ID = B.PRDT_ID WHERE B.INS_DAY &gt;= '20240101000000'
</t>
    <phoneticPr fontId="2" type="noConversion"/>
  </si>
  <si>
    <t>T_WORK_INDC_MEMO</t>
  </si>
  <si>
    <t>T_PARTT_STOR_DETL</t>
  </si>
  <si>
    <t>SELECT 'PEMT' AS COLUMN_NAME, SUM(CASE WHEN A.PEMT IS NULL THEN 0 ELSE 1 END) AS NULL_COUNT, SUM(CASE WHEN A.PEMT IS NOT NULL THEN 1 ELSE 0 END) AS NOT_NULL_COUNT FROM T_WORK_INDC_MEMO A INNER JOIN T_PRDT_PLAN B ON A.PRDT_CD = B.PRDT_CD WHERE B.PLAN_YY &gt;= '2024'  UNION ALL SELECT 'SEQ' AS COLUMN_NAME, SUM(CASE WHEN A.SEQ IS NULL THEN 0 ELSE 1 END) AS NULL_COUNT, SUM(CASE WHEN A.SEQ IS NOT NULL THEN 1 ELSE 0 END) AS NOT_NULL_COUNT FROM T_WORK_INDC_MEMO A INNER JOIN T_PRDT_PLAN B ON A.PRDT_CD = B.PRDT_CD WHERE B.PLAN_YY &gt;= '2024'  UNION ALL SELECT 'STYLE_SEQN' AS COLUMN_NAME, SUM(CASE WHEN A.STYLE_SEQN IS NULL THEN 0 ELSE 1 END) AS NULL_COUNT, SUM(CASE WHEN A.STYLE_SEQN IS NOT NULL THEN 1 ELSE 0 END) AS NOT_NULL_COUNT FROM T_WORK_INDC_MEMO A INNER JOIN T_PRDT_PLAN B ON A.PRDT_CD = B.PRDT_CD WHERE B.PLAN_YY &gt;= '2024'  UNION ALL SELECT 'PRDT_CD' AS COLUMN_NAME, SUM(CASE WHEN A.PRDT_CD IS NULL THEN 0 ELSE 1 END) AS NULL_COUNT, SUM(CASE WHEN A.PRDT_CD IS NOT NULL THEN 1 ELSE 0 END) AS NOT_NULL_COUNT FROM T_WORK_INDC_MEMO A INNER JOIN T_PRDT_PLAN B ON A.PRDT_CD = B.PRDT_CD WHERE B.PLAN_YY &gt;= '2024'</t>
  </si>
  <si>
    <t>SELECT 'MFAC_PRE_COST' AS COLUMN_NAME, SUM(CASE WHEN MFAC_PRE_COST IS NULL THEN 0 ELSE 1 END) AS NULL_COUNT, SUM(CASE WHEN MFAC_PRE_COST IS NOT NULL THEN 1 ELSE 0 END) AS NOT_NULL_COUNT FROM T_WORK_INDC WHERE INS_DAY &gt;= '20240101000000'  UNION ALL SELECT 'STOR_QTY' AS COLUMN_NAME, SUM(CASE WHEN STOR_QTY IS NULL THEN 0 ELSE 1 END) AS NULL_COUNT, SUM(CASE WHEN STOR_QTY IS NOT NULL THEN 1 ELSE 0 END) AS NOT_NULL_COUNT FROM T_WORK_INDC WHERE INS_DAY &gt;= '20240101000000'  UNION ALL SELECT 'STOR_F_DT' AS COLUMN_NAME, SUM(CASE WHEN STOR_F_DT IS NULL THEN 0 ELSE 1 END) AS NULL_COUNT, SUM(CASE WHEN STOR_F_DT IS NOT NULL THEN 1 ELSE 0 END) AS NOT_NULL_COUNT FROM T_WORK_INDC WHERE INS_DAY &gt;= '20240101000000'  UNION ALL SELECT 'WORK_INDC_SEND_DT' AS COLUMN_NAME, SUM(CASE WHEN WORK_INDC_SEND_DT IS NULL THEN 0 ELSE 1 END) AS NULL_COUNT, SUM(CASE WHEN WORK_INDC_SEND_DT IS NOT NULL THEN 1 ELSE 0 END) AS NOT_NULL_COUNT FROM T_WORK_INDC WHERE INS_DAY &gt;= '20240101000000'  UNION ALL SELECT 'WORK_INDC_SEND_SEQ' AS COLUMN_NAME, SUM(CASE WHEN WORK_INDC_SEND_SEQ IS NULL THEN 0 ELSE 1 END) AS NULL_COUNT, SUM(CASE WHEN WORK_INDC_SEND_SEQ IS NOT NULL THEN 1 ELSE 0 END) AS NOT_NULL_COUNT FROM T_WORK_INDC WHERE INS_DAY &gt;= '20240101000000'  UNION ALL SELECT 'FDS_NO' AS COLUMN_NAME, SUM(CASE WHEN FDS_NO IS NULL THEN 0 ELSE 1 END) AS NULL_COUNT, SUM(CASE WHEN FDS_NO IS NOT NULL THEN 1 ELSE 0 END) AS NOT_NULL_COUNT FROM T_WORK_INDC WHERE INS_DAY &gt;= '20240101000000'  UNION ALL SELECT 'PARTT_STOR_YN' AS COLUMN_NAME, SUM(CASE WHEN PARTT_STOR_YN IS NULL THEN 0 ELSE 1 END) AS NULL_COUNT, SUM(CASE WHEN PARTT_STOR_YN IS NOT NULL THEN 1 ELSE 0 END) AS NOT_NULL_COUNT FROM T_WORK_INDC WHERE INS_DAY &gt;= '20240101000000'  UNION ALL SELECT 'GOAL_COST' AS COLUMN_NAME, SUM(CASE WHEN GOAL_COST IS NULL THEN 0 ELSE 1 END) AS NULL_COUNT, SUM(CASE WHEN GOAL_COST IS NOT NULL THEN 1 ELSE 0 END) AS NOT_NULL_COUNT FROM T_WORK_INDC WHERE INS_DAY &gt;= '20240101000000'  UNION ALL SELECT 'ORDER_CLSBY' AS COLUMN_NAME, SUM(CASE WHEN ORDER_CLSBY IS NULL THEN 0 ELSE 1 END) AS NULL_COUNT, SUM(CASE WHEN ORDER_CLSBY IS NOT NULL THEN 1 ELSE 0 END) AS NOT_NULL_COUNT FROM T_WORK_INDC WHERE INS_DAY &gt;= '20240101000000'  UNION ALL SELECT 'BGET_TYPE' AS COLUMN_NAME, SUM(CASE WHEN BGET_TYPE IS NULL THEN 0 ELSE 1 END) AS NULL_COUNT, SUM(CASE WHEN BGET_TYPE IS NOT NULL THEN 1 ELSE 0 END) AS NOT_NULL_COUNT FROM T_WORK_INDC WHERE INS_DAY &gt;= '20240101000000'  UNION ALL SELECT 'GOAL_MFAC_MULT' AS COLUMN_NAME, SUM(CASE WHEN GOAL_MFAC_MULT IS NULL THEN 0 ELSE 1 END) AS NULL_COUNT, SUM(CASE WHEN GOAL_MFAC_MULT IS NOT NULL THEN 1 ELSE 0 END) AS NOT_NULL_COUNT FROM T_WORK_INDC WHERE INS_DAY &gt;= '20240101000000'  UNION ALL SELECT 'FBR_SPEC' AS COLUMN_NAME, SUM(CASE WHEN FBR_SPEC IS NULL THEN 0 ELSE 1 END) AS NULL_COUNT, SUM(CASE WHEN FBR_SPEC IS NOT NULL THEN 1 ELSE 0 END) AS NOT_NULL_COUNT FROM T_WORK_INDC WHERE INS_DAY &gt;= '20240101000000'  UNION ALL SELECT 'MIX_RATE' AS COLUMN_NAME, SUM(CASE WHEN MIX_RATE IS NULL THEN 0 ELSE 1 END) AS NULL_COUNT, SUM(CASE WHEN MIX_RATE IS NOT NULL THEN 1 ELSE 0 END) AS NOT_NULL_COUNT FROM T_WORK_INDC WHERE INS_DAY &gt;= '20240101000000'  UNION ALL SELECT 'ATTR5' AS COLUMN_NAME, SUM(CASE WHEN ATTR5 IS NULL THEN 0 ELSE 1 END) AS NULL_COUNT, SUM(CASE WHEN ATTR5 IS NOT NULL THEN 1 ELSE 0 END) AS NOT_NULL_COUNT FROM T_WORK_INDC WHERE INS_DAY &gt;= '20240101000000'  UNION ALL SELECT 'ATTR4' AS COLUMN_NAME, SUM(CASE WHEN ATTR4 IS NULL THEN 0 ELSE 1 END) AS NULL_COUNT, SUM(CASE WHEN ATTR4 IS NOT NULL THEN 1 ELSE 0 END) AS NOT_NULL_COUNT FROM T_WORK_INDC WHERE INS_DAY &gt;= '20240101000000'  UNION ALL SELECT 'ATTR3' AS COLUMN_NAME, SUM(CASE WHEN ATTR3 IS NULL THEN 0 ELSE 1 END) AS NULL_COUNT, SUM(CASE WHEN ATTR3 IS NOT NULL THEN 1 ELSE 0 END) AS NOT_NULL_COUNT FROM T_WORK_INDC WHERE INS_DAY &gt;= '20240101000000'  UNION ALL SELECT 'ATTR2' AS COLUMN_NAME, SUM(CASE WHEN ATTR2 IS NULL THEN 0 ELSE 1 END) AS NULL_COUNT, SUM(CASE WHEN ATTR2 IS NOT NULL THEN 1 ELSE 0 END) AS NOT_NULL_COUNT FROM T_WORK_INDC WHERE INS_DAY &gt;= '20240101000000'  UNION ALL SELECT 'ATTR1' AS COLUMN_NAME, SUM(CASE WHEN ATTR1 IS NULL THEN 0 ELSE 1 END) AS NULL_COUNT, SUM(CASE WHEN ATTR1 IS NOT NULL THEN 1 ELSE 0 END) AS NOT_NULL_COUNT FROM T_WORK_INDC WHERE INS_DAY &gt;= '20240101000000'  UNION ALL SELECT 'COMPY_CD' AS COLUMN_NAME, SUM(CASE WHEN COMPY_CD IS NULL THEN 0 ELSE 1 END) AS NULL_COUNT, SUM(CASE WHEN COMPY_CD IS NOT NULL THEN 1 ELSE 0 END) AS NOT_NULL_COUNT FROM T_WORK_INDC WHERE INS_DAY &gt;= '20240101000000'  UNION ALL SELECT 'DEL_USERID' AS COLUMN_NAME, SUM(CASE WHEN DEL_USERID IS NULL THEN 0 ELSE 1 END) AS NULL_COUNT, SUM(CASE WHEN DEL_USERID IS NOT NULL THEN 1 ELSE 0 END) AS NOT_NULL_COUNT FROM T_WORK_INDC WHERE INS_DAY &gt;= '20240101000000'  UNION ALL SELECT 'DEL_DAY' AS COLUMN_NAME, SUM(CASE WHEN DEL_DAY IS NULL THEN 0 ELSE 1 END) AS NULL_COUNT, SUM(CASE WHEN DEL_DAY IS NOT NULL THEN 1 ELSE 0 END) AS NOT_NULL_COUNT FROM T_WORK_INDC WHERE INS_DAY &gt;= '20240101000000'  UNION ALL SELECT 'UPT_USERID' AS COLUMN_NAME, SUM(CASE WHEN UPT_USERID IS NULL THEN 0 ELSE 1 END) AS NULL_COUNT, SUM(CASE WHEN UPT_USERID IS NOT NULL THEN 1 ELSE 0 END) AS NOT_NULL_COUNT FROM T_WORK_INDC WHERE INS_DAY &gt;= '20240101000000'  UNION ALL SELECT 'UPT_DAY' AS COLUMN_NAME, SUM(CASE WHEN UPT_DAY IS NULL THEN 0 ELSE 1 END) AS NULL_COUNT, SUM(CASE WHEN UPT_DAY IS NOT NULL THEN 1 ELSE 0 END) AS NOT_NULL_COUNT FROM T_WORK_INDC WHERE INS_DAY &gt;= '20240101000000'  UNION ALL SELECT 'INS_USERID' AS COLUMN_NAME, SUM(CASE WHEN INS_USERID IS NULL THEN 0 ELSE 1 END) AS NULL_COUNT, SUM(CASE WHEN INS_USERID IS NOT NULL THEN 1 ELSE 0 END) AS NOT_NULL_COUNT FROM T_WORK_INDC WHERE INS_DAY &gt;= '20240101000000'  UNION ALL SELECT 'PEMT' AS COLUMN_NAME, SUM(CASE WHEN PEMT IS NULL THEN 0 ELSE 1 END) AS NULL_COUNT, SUM(CASE WHEN PEMT IS NOT NULL THEN 1 ELSE 0 END) AS NOT_NULL_COUNT FROM T_WORK_INDC WHERE INS_DAY &gt;= '20240101000000'  UNION ALL SELECT 'CO_OPEN_YN' AS COLUMN_NAME, SUM(CASE WHEN CO_OPEN_YN IS NULL THEN 0 ELSE 1 END) AS NULL_COUNT, SUM(CASE WHEN CO_OPEN_YN IS NOT NULL THEN 1 ELSE 0 END) AS NOT_NULL_COUNT FROM T_WORK_INDC WHERE INS_DAY &gt;= '20240101000000'  UNION ALL SELECT 'BRD_CD' AS COLUMN_NAME, SUM(CASE WHEN BRD_CD IS NULL THEN 0 ELSE 1 END) AS NULL_COUNT, SUM(CASE WHEN BRD_CD IS NOT NULL THEN 1 ELSE 0 END) AS NOT_NULL_COUNT FROM T_WORK_INDC WHERE INS_DAY &gt;= '20240101000000'  UNION ALL SELECT 'MFAC_KIND_CLSBY' AS COLUMN_NAME, SUM(CASE WHEN MFAC_KIND_CLSBY IS NULL THEN 0 ELSE 1 END) AS NULL_COUNT, SUM(CASE WHEN MFAC_KIND_CLSBY IS NOT NULL THEN 1 ELSE 0 END) AS NOT_NULL_COUNT FROM T_WORK_INDC WHERE INS_DAY &gt;= '20240101000000'  UNION ALL SELECT 'SUPP_PLACE' AS COLUMN_NAME, SUM(CASE WHEN SUPP_PLACE IS NULL THEN 0 ELSE 1 END) AS NULL_COUNT, SUM(CASE WHEN SUPP_PLACE IS NOT NULL THEN 1 ELSE 0 END) AS NOT_NULL_COUNT FROM T_WORK_INDC WHERE INS_DAY &gt;= '20240101000000'  UNION ALL SELECT 'MFAC_BUY_ID' AS COLUMN_NAME, SUM(CASE WHEN MFAC_BUY_ID IS NULL THEN 0 ELSE 1 END) AS NULL_COUNT, SUM(CASE WHEN MFAC_BUY_ID IS NOT NULL THEN 1 ELSE 0 END) AS NOT_NULL_COUNT FROM T_WORK_INDC WHERE INS_DAY &gt;= '20240101000000'  UNION ALL SELECT 'MFAC_BUY_PARTY_ID' AS COLUMN_NAME, SUM(CASE WHEN MFAC_BUY_PARTY_ID IS NULL THEN 0 ELSE 1 END) AS NULL_COUNT, SUM(CASE WHEN MFAC_BUY_PARTY_ID IS NOT NULL THEN 1 ELSE 0 END) AS NOT_NULL_COUNT FROM T_WORK_INDC WHERE INS_DAY &gt;= '20240101000000'  UNION ALL SELECT 'STYLE_SEQN' AS COLUMN_NAME, SUM(CASE WHEN STYLE_SEQN IS NULL THEN 0 ELSE 1 END) AS NULL_COUNT, SUM(CASE WHEN STYLE_SEQN IS NOT NULL THEN 1 ELSE 0 END) AS NOT_NULL_COUNT FROM T_WORK_INDC WHERE INS_DAY &gt;= '20240101000000'  UNION ALL SELECT 'PRDT_CD' AS COLUMN_NAME, SUM(CASE WHEN PRDT_CD IS NULL THEN 0 ELSE 1 END) AS NULL_COUNT, SUM(CASE WHEN PRDT_CD IS NOT NULL THEN 1 ELSE 0 END) AS NOT_NULL_COUNT FROM T_WORK_INDC WHERE INS_DAY &gt;= '20240101000000'</t>
  </si>
  <si>
    <t>T_PARTT_STOR_INFO</t>
    <phoneticPr fontId="2" type="noConversion"/>
  </si>
  <si>
    <t>SELECT 'ATTR5' AS COLUMN_NAME, SUM(CASE WHEN ATTR5 IS NULL THEN 0 ELSE 1 END) AS NULL_COUNT, SUM(CASE WHEN ATTR5 IS NOT NULL THEN 1 ELSE 0 END) AS NOT_NULL_COUNT FROM T_PARTT_STOR_INFO WHERE INS_DAY &gt;= '20240101000000'  UNION ALL SELECT 'ATTR4' AS COLUMN_NAME, SUM(CASE WHEN ATTR4 IS NULL THEN 0 ELSE 1 END) AS NULL_COUNT, SUM(CASE WHEN ATTR4 IS NOT NULL THEN 1 ELSE 0 END) AS NOT_NULL_COUNT FROM T_PARTT_STOR_INFO WHERE INS_DAY &gt;= '20240101000000'  UNION ALL SELECT 'ATTR3' AS COLUMN_NAME, SUM(CASE WHEN ATTR3 IS NULL THEN 0 ELSE 1 END) AS NULL_COUNT, SUM(CASE WHEN ATTR3 IS NOT NULL THEN 1 ELSE 0 END) AS NOT_NULL_COUNT FROM T_PARTT_STOR_INFO WHERE INS_DAY &gt;= '20240101000000'  UNION ALL SELECT 'ATTR2' AS COLUMN_NAME, SUM(CASE WHEN ATTR2 IS NULL THEN 0 ELSE 1 END) AS NULL_COUNT, SUM(CASE WHEN ATTR2 IS NOT NULL THEN 1 ELSE 0 END) AS NOT_NULL_COUNT FROM T_PARTT_STOR_INFO WHERE INS_DAY &gt;= '20240101000000'  UNION ALL SELECT 'ATTR1' AS COLUMN_NAME, SUM(CASE WHEN ATTR1 IS NULL THEN 0 ELSE 1 END) AS NULL_COUNT, SUM(CASE WHEN ATTR1 IS NOT NULL THEN 1 ELSE 0 END) AS NOT_NULL_COUNT FROM T_PARTT_STOR_INFO WHERE INS_DAY &gt;= '20240101000000'  UNION ALL SELECT 'DEL_USERID' AS COLUMN_NAME, SUM(CASE WHEN DEL_USERID IS NULL THEN 0 ELSE 1 END) AS NULL_COUNT, SUM(CASE WHEN DEL_USERID IS NOT NULL THEN 1 ELSE 0 END) AS NOT_NULL_COUNT FROM T_PARTT_STOR_INFO WHERE INS_DAY &gt;= '20240101000000'  UNION ALL SELECT 'DEL_DAY' AS COLUMN_NAME, SUM(CASE WHEN DEL_DAY IS NULL THEN 0 ELSE 1 END) AS NULL_COUNT, SUM(CASE WHEN DEL_DAY IS NOT NULL THEN 1 ELSE 0 END) AS NOT_NULL_COUNT FROM T_PARTT_STOR_INFO WHERE INS_DAY &gt;= '20240101000000'  UNION ALL SELECT 'UPT_USERID' AS COLUMN_NAME, SUM(CASE WHEN UPT_USERID IS NULL THEN 0 ELSE 1 END) AS NULL_COUNT, SUM(CASE WHEN UPT_USERID IS NOT NULL THEN 1 ELSE 0 END) AS NOT_NULL_COUNT FROM T_PARTT_STOR_INFO WHERE INS_DAY &gt;= '20240101000000'  UNION ALL SELECT 'UPT_DAY' AS COLUMN_NAME, SUM(CASE WHEN UPT_DAY IS NULL THEN 0 ELSE 1 END) AS NULL_COUNT, SUM(CASE WHEN UPT_DAY IS NOT NULL THEN 1 ELSE 0 END) AS NOT_NULL_COUNT FROM T_PARTT_STOR_INFO WHERE INS_DAY &gt;= '20240101000000'  UNION ALL SELECT 'INS_USERID' AS COLUMN_NAME, SUM(CASE WHEN INS_USERID IS NULL THEN 0 ELSE 1 END) AS NULL_COUNT, SUM(CASE WHEN INS_USERID IS NOT NULL THEN 1 ELSE 0 END) AS NOT_NULL_COUNT FROM T_PARTT_STOR_INFO WHERE INS_DAY &gt;= '20240101000000'  UNION ALL SELECT 'PARTT_STOR_RATE' AS COLUMN_NAME, SUM(CASE WHEN PARTT_STOR_RATE IS NULL THEN 0 ELSE 1 END) AS NULL_COUNT, SUM(CASE WHEN PARTT_STOR_RATE IS NOT NULL THEN 1 ELSE 0 END) AS NOT_NULL_COUNT FROM T_PARTT_STOR_INFO WHERE INS_DAY &gt;= '20240101000000'  UNION ALL SELECT 'PARTT_STOR_REQ_DT' AS COLUMN_NAME, SUM(CASE WHEN PARTT_STOR_REQ_DT IS NULL THEN 0 ELSE 1 END) AS NULL_COUNT, SUM(CASE WHEN PARTT_STOR_REQ_DT IS NOT NULL THEN 1 ELSE 0 END) AS NOT_NULL_COUNT FROM T_PARTT_STOR_INFO WHERE INS_DAY &gt;= '20240101000000'  UNION ALL SELECT 'PARTT_INDC_QTY' AS COLUMN_NAME, SUM(CASE WHEN PARTT_INDC_QTY IS NULL THEN 0 ELSE 1 END) AS NULL_COUNT, SUM(CASE WHEN PARTT_INDC_QTY IS NOT NULL THEN 1 ELSE 0 END) AS NOT_NULL_COUNT FROM T_PARTT_STOR_INFO WHERE INS_DAY &gt;= '20240101000000'  UNION ALL SELECT 'PARTT_SEQN' AS COLUMN_NAME, SUM(CASE WHEN PARTT_SEQN IS NULL THEN 0 ELSE 1 END) AS NULL_COUNT, SUM(CASE WHEN PARTT_SEQN IS NOT NULL THEN 1 ELSE 0 END) AS NOT_NULL_COUNT FROM T_PARTT_STOR_INFO WHERE INS_DAY &gt;= '20240101000000'  UNION ALL SELECT 'SEQN' AS COLUMN_NAME, SUM(CASE WHEN SEQN IS NULL THEN 0 ELSE 1 END) AS NULL_COUNT, SUM(CASE WHEN SEQN IS NOT NULL THEN 1 ELSE 0 END) AS NOT_NULL_COUNT FROM T_PARTT_STOR_INFO WHERE INS_DAY &gt;= '20240101000000'  UNION ALL SELECT 'PRDT_CD' AS COLUMN_NAME, SUM(CASE WHEN PRDT_CD IS NULL THEN 0 ELSE 1 END) AS NULL_COUNT, SUM(CASE WHEN PRDT_CD IS NOT NULL THEN 1 ELSE 0 END) AS NOT_NULL_COUNT FROM T_PARTT_STOR_INFO WHERE INS_DAY &gt;= '20240101000000'</t>
  </si>
  <si>
    <t>SELECT 'COLOR_CD' AS COLUMN_NAME, SUM(CASE WHEN COLOR_CD IS NULL THEN 0 ELSE 1 END) AS NULL_COUNT, SUM(CASE WHEN COLOR_CD IS NOT NULL THEN 1 ELSE 0 END) AS NOT_NULL_COUNT FROM T_PARTT_STOR_DETL WHERE INS_DAY &gt;= '20240101000000'  UNION ALL SELECT 'PARTT_SEQN' AS COLUMN_NAME, SUM(CASE WHEN PARTT_SEQN IS NULL THEN 0 ELSE 1 END) AS NULL_COUNT, SUM(CASE WHEN PARTT_SEQN IS NOT NULL THEN 1 ELSE 0 END) AS NOT_NULL_COUNT FROM T_PARTT_STOR_DETL WHERE INS_DAY &gt;= '20240101000000'  UNION ALL SELECT 'SEQN' AS COLUMN_NAME, SUM(CASE WHEN SEQN IS NULL THEN 0 ELSE 1 END) AS NULL_COUNT, SUM(CASE WHEN SEQN IS NOT NULL THEN 1 ELSE 0 END) AS NOT_NULL_COUNT FROM T_PARTT_STOR_DETL WHERE INS_DAY &gt;= '20240101000000'  UNION ALL SELECT 'PRDT_CD' AS COLUMN_NAME, SUM(CASE WHEN PRDT_CD IS NULL THEN 0 ELSE 1 END) AS NULL_COUNT, SUM(CASE WHEN PRDT_CD IS NOT NULL THEN 1 ELSE 0 END) AS NOT_NULL_COUNT FROM T_PARTT_STOR_DETL WHERE INS_DAY &gt;= '20240101000000'  UNION ALL SELECT 'ATTR5' AS COLUMN_NAME, SUM(CASE WHEN ATTR5 IS NULL THEN 0 ELSE 1 END) AS NULL_COUNT, SUM(CASE WHEN ATTR5 IS NOT NULL THEN 1 ELSE 0 END) AS NOT_NULL_COUNT FROM T_PARTT_STOR_DETL WHERE INS_DAY &gt;= '20240101000000'  UNION ALL SELECT 'ATTR4' AS COLUMN_NAME, SUM(CASE WHEN ATTR4 IS NULL THEN 0 ELSE 1 END) AS NULL_COUNT, SUM(CASE WHEN ATTR4 IS NOT NULL THEN 1 ELSE 0 END) AS NOT_NULL_COUNT FROM T_PARTT_STOR_DETL WHERE INS_DAY &gt;= '20240101000000'  UNION ALL SELECT 'ATTR3' AS COLUMN_NAME, SUM(CASE WHEN ATTR3 IS NULL THEN 0 ELSE 1 END) AS NULL_COUNT, SUM(CASE WHEN ATTR3 IS NOT NULL THEN 1 ELSE 0 END) AS NOT_NULL_COUNT FROM T_PARTT_STOR_DETL WHERE INS_DAY &gt;= '20240101000000'  UNION ALL SELECT 'ATTR2' AS COLUMN_NAME, SUM(CASE WHEN ATTR2 IS NULL THEN 0 ELSE 1 END) AS NULL_COUNT, SUM(CASE WHEN ATTR2 IS NOT NULL THEN 1 ELSE 0 END) AS NOT_NULL_COUNT FROM T_PARTT_STOR_DETL WHERE INS_DAY &gt;= '20240101000000'  UNION ALL SELECT 'ATTR1' AS COLUMN_NAME, SUM(CASE WHEN ATTR1 IS NULL THEN 0 ELSE 1 END) AS NULL_COUNT, SUM(CASE WHEN ATTR1 IS NOT NULL THEN 1 ELSE 0 END) AS NOT_NULL_COUNT FROM T_PARTT_STOR_DETL WHERE INS_DAY &gt;= '20240101000000'  UNION ALL SELECT 'DEL_USERID' AS COLUMN_NAME, SUM(CASE WHEN DEL_USERID IS NULL THEN 0 ELSE 1 END) AS NULL_COUNT, SUM(CASE WHEN DEL_USERID IS NOT NULL THEN 1 ELSE 0 END) AS NOT_NULL_COUNT FROM T_PARTT_STOR_DETL WHERE INS_DAY &gt;= '20240101000000'  UNION ALL SELECT 'DEL_DAY' AS COLUMN_NAME, SUM(CASE WHEN DEL_DAY IS NULL THEN 0 ELSE 1 END) AS NULL_COUNT, SUM(CASE WHEN DEL_DAY IS NOT NULL THEN 1 ELSE 0 END) AS NOT_NULL_COUNT FROM T_PARTT_STOR_DETL WHERE INS_DAY &gt;= '20240101000000'  UNION ALL SELECT 'UPT_USERID' AS COLUMN_NAME, SUM(CASE WHEN UPT_USERID IS NULL THEN 0 ELSE 1 END) AS NULL_COUNT, SUM(CASE WHEN UPT_USERID IS NOT NULL THEN 1 ELSE 0 END) AS NOT_NULL_COUNT FROM T_PARTT_STOR_DETL WHERE INS_DAY &gt;= '20240101000000'  UNION ALL SELECT 'UPT_DAY' AS COLUMN_NAME, SUM(CASE WHEN UPT_DAY IS NULL THEN 0 ELSE 1 END) AS NULL_COUNT, SUM(CASE WHEN UPT_DAY IS NOT NULL THEN 1 ELSE 0 END) AS NOT_NULL_COUNT FROM T_PARTT_STOR_DETL WHERE INS_DAY &gt;= '20240101000000'  UNION ALL SELECT 'INS_USERID' AS COLUMN_NAME, SUM(CASE WHEN INS_USERID IS NULL THEN 0 ELSE 1 END) AS NULL_COUNT, SUM(CASE WHEN INS_USERID IS NOT NULL THEN 1 ELSE 0 END) AS NOT_NULL_COUNT FROM T_PARTT_STOR_DETL WHERE INS_DAY &gt;= '20240101000000'  UNION ALL SELECT 'PARTT_INDC_QTY' AS COLUMN_NAME, SUM(CASE WHEN PARTT_INDC_QTY IS NULL THEN 0 ELSE 1 END) AS NULL_COUNT, SUM(CASE WHEN PARTT_INDC_QTY IS NOT NULL THEN 1 ELSE 0 END) AS NOT_NULL_COUNT FROM T_PARTT_STOR_DETL WHERE INS_DAY &gt;= '20240101000000'  UNION ALL SELECT 'SIZE_CD' AS COLUMN_NAME, SUM(CASE WHEN SIZE_CD IS NULL THEN 0 ELSE 1 END) AS NULL_COUNT, SUM(CASE WHEN SIZE_CD IS NOT NULL THEN 1 ELSE 0 END) AS NOT_NULL_COUNT FROM T_PARTT_STOR_DETL WHERE INS_DAY &gt;= '20240101000000'</t>
  </si>
  <si>
    <t>T_WORK_INDC_APND_FILE</t>
    <phoneticPr fontId="2" type="noConversion"/>
  </si>
  <si>
    <t>SELECT 'ATTR5' AS COLUMN_NAME, SUM(CASE WHEN ATTR5 IS NULL THEN 0 ELSE 1 END) AS NULL_COUNT, SUM(CASE WHEN ATTR5 IS NOT NULL THEN 1 ELSE 0 END) AS NOT_NULL_COUNT FROM T_WORK_INDC_APND_FILE WHERE INS_DAY &gt;= '20240101000000'  UNION ALL SELECT 'ATTR4' AS COLUMN_NAME, SUM(CASE WHEN ATTR4 IS NULL THEN 0 ELSE 1 END) AS NULL_COUNT, SUM(CASE WHEN ATTR4 IS NOT NULL THEN 1 ELSE 0 END) AS NOT_NULL_COUNT FROM T_WORK_INDC_APND_FILE WHERE INS_DAY &gt;= '20240101000000'  UNION ALL SELECT 'ATTR3' AS COLUMN_NAME, SUM(CASE WHEN ATTR3 IS NULL THEN 0 ELSE 1 END) AS NULL_COUNT, SUM(CASE WHEN ATTR3 IS NOT NULL THEN 1 ELSE 0 END) AS NOT_NULL_COUNT FROM T_WORK_INDC_APND_FILE WHERE INS_DAY &gt;= '20240101000000'  UNION ALL SELECT 'ATTR2' AS COLUMN_NAME, SUM(CASE WHEN ATTR2 IS NULL THEN 0 ELSE 1 END) AS NULL_COUNT, SUM(CASE WHEN ATTR2 IS NOT NULL THEN 1 ELSE 0 END) AS NOT_NULL_COUNT FROM T_WORK_INDC_APND_FILE WHERE INS_DAY &gt;= '20240101000000'  UNION ALL SELECT 'ATTR1' AS COLUMN_NAME, SUM(CASE WHEN ATTR1 IS NULL THEN 0 ELSE 1 END) AS NULL_COUNT, SUM(CASE WHEN ATTR1 IS NOT NULL THEN 1 ELSE 0 END) AS NOT_NULL_COUNT FROM T_WORK_INDC_APND_FILE WHERE INS_DAY &gt;= '20240101000000'  UNION ALL SELECT 'COMPY_CD' AS COLUMN_NAME, SUM(CASE WHEN COMPY_CD IS NULL THEN 0 ELSE 1 END) AS NULL_COUNT, SUM(CASE WHEN COMPY_CD IS NOT NULL THEN 1 ELSE 0 END) AS NOT_NULL_COUNT FROM T_WORK_INDC_APND_FILE WHERE INS_DAY &gt;= '20240101000000'  UNION ALL SELECT 'PRT_YN' AS COLUMN_NAME, SUM(CASE WHEN PRT_YN IS NULL THEN 0 ELSE 1 END) AS NULL_COUNT, SUM(CASE WHEN PRT_YN IS NOT NULL THEN 1 ELSE 0 END) AS NOT_NULL_COUNT FROM T_WORK_INDC_APND_FILE WHERE INS_DAY &gt;= '20240101000000'  UNION ALL SELECT 'DEL_USERID' AS COLUMN_NAME, SUM(CASE WHEN DEL_USERID IS NULL THEN 0 ELSE 1 END) AS NULL_COUNT, SUM(CASE WHEN DEL_USERID IS NOT NULL THEN 1 ELSE 0 END) AS NOT_NULL_COUNT FROM T_WORK_INDC_APND_FILE WHERE INS_DAY &gt;= '20240101000000'  UNION ALL SELECT 'DEL_DAY' AS COLUMN_NAME, SUM(CASE WHEN DEL_DAY IS NULL THEN 0 ELSE 1 END) AS NULL_COUNT, SUM(CASE WHEN DEL_DAY IS NOT NULL THEN 1 ELSE 0 END) AS NOT_NULL_COUNT FROM T_WORK_INDC_APND_FILE WHERE INS_DAY &gt;= '20240101000000'  UNION ALL SELECT 'UPT_USERID' AS COLUMN_NAME, SUM(CASE WHEN UPT_USERID IS NULL THEN 0 ELSE 1 END) AS NULL_COUNT, SUM(CASE WHEN UPT_USERID IS NOT NULL THEN 1 ELSE 0 END) AS NOT_NULL_COUNT FROM T_WORK_INDC_APND_FILE WHERE INS_DAY &gt;= '20240101000000'  UNION ALL SELECT 'UPT_DAY' AS COLUMN_NAME, SUM(CASE WHEN UPT_DAY IS NULL THEN 0 ELSE 1 END) AS NULL_COUNT, SUM(CASE WHEN UPT_DAY IS NOT NULL THEN 1 ELSE 0 END) AS NOT_NULL_COUNT FROM T_WORK_INDC_APND_FILE WHERE INS_DAY &gt;= '20240101000000'  UNION ALL SELECT 'INS_USERID' AS COLUMN_NAME, SUM(CASE WHEN INS_USERID IS NULL THEN 0 ELSE 1 END) AS NULL_COUNT, SUM(CASE WHEN INS_USERID IS NOT NULL THEN 1 ELSE 0 END) AS NOT_NULL_COUNT FROM T_WORK_INDC_APND_FILE WHERE INS_DAY &gt;= '20240101000000'  UNION ALL SELECT 'PEMT' AS COLUMN_NAME, SUM(CASE WHEN PEMT IS NULL THEN 0 ELSE 1 END) AS NULL_COUNT, SUM(CASE WHEN PEMT IS NOT NULL THEN 1 ELSE 0 END) AS NOT_NULL_COUNT FROM T_WORK_INDC_APND_FILE WHERE INS_DAY &gt;= '20240101000000'  UNION ALL SELECT 'FILE_PATH' AS COLUMN_NAME, SUM(CASE WHEN FILE_PATH IS NULL THEN 0 ELSE 1 END) AS NULL_COUNT, SUM(CASE WHEN FILE_PATH IS NOT NULL THEN 1 ELSE 0 END) AS NOT_NULL_COUNT FROM T_WORK_INDC_APND_FILE WHERE INS_DAY &gt;= '20240101000000'  UNION ALL SELECT 'PGIC_FILE_NM' AS COLUMN_NAME, SUM(CASE WHEN PGIC_FILE_NM IS NULL THEN 0 ELSE 1 END) AS NULL_COUNT, SUM(CASE WHEN PGIC_FILE_NM IS NOT NULL THEN 1 ELSE 0 END) AS NOT_NULL_COUNT FROM T_WORK_INDC_APND_FILE WHERE INS_DAY &gt;= '20240101000000'  UNION ALL SELECT 'LGIC_FILE_NM' AS COLUMN_NAME, SUM(CASE WHEN LGIC_FILE_NM IS NULL THEN 0 ELSE 1 END) AS NULL_COUNT, SUM(CASE WHEN LGIC_FILE_NM IS NOT NULL THEN 1 ELSE 0 END) AS NOT_NULL_COUNT FROM T_WORK_INDC_APND_FILE WHERE INS_DAY &gt;= '20240101000000'  UNION ALL SELECT 'SEQ' AS COLUMN_NAME, SUM(CASE WHEN SEQ IS NULL THEN 0 ELSE 1 END) AS NULL_COUNT, SUM(CASE WHEN SEQ IS NOT NULL THEN 1 ELSE 0 END) AS NOT_NULL_COUNT FROM T_WORK_INDC_APND_FILE WHERE INS_DAY &gt;= '20240101000000'  UNION ALL SELECT 'STYLE_SEQN' AS COLUMN_NAME, SUM(CASE WHEN STYLE_SEQN IS NULL THEN 0 ELSE 1 END) AS NULL_COUNT, SUM(CASE WHEN STYLE_SEQN IS NOT NULL THEN 1 ELSE 0 END) AS NOT_NULL_COUNT FROM T_WORK_INDC_APND_FILE WHERE INS_DAY &gt;= '20240101000000'  UNION ALL SELECT 'PRDT_CD' AS COLUMN_NAME, SUM(CASE WHEN PRDT_CD IS NULL THEN 0 ELSE 1 END) AS NULL_COUNT, SUM(CASE WHEN PRDT_CD IS NOT NULL THEN 1 ELSE 0 END) AS NOT_NULL_COUNT FROM T_WORK_INDC_APND_FILE WHERE INS_DAY &gt;= '20240101000000'</t>
  </si>
  <si>
    <t>SELECT 'COMPY_CD' AS COLUMN_NAME, SUM(CASE WHEN COMPY_CD IS NULL THEN 0 ELSE 1 END) AS NULL_COUNT, SUM(CASE WHEN COMPY_CD IS NOT NULL THEN 1 ELSE 0 END) AS NOT_NULL_COUNT FROM CT_STYLE WHERE INS_DAY &gt;= '20240101000000'  UNION ALL SELECT 'COLOR_CD' AS COLUMN_NAME, SUM(CASE WHEN COLOR_CD IS NULL THEN 0 ELSE 1 END) AS NULL_COUNT, SUM(CASE WHEN COLOR_CD IS NOT NULL THEN 1 ELSE 0 END) AS NOT_NULL_COUNT FROM CT_STYLE WHERE INS_DAY &gt;= '20240101000000'  UNION ALL SELECT 'PRDT_CD' AS COLUMN_NAME, SUM(CASE WHEN PRDT_CD IS NULL THEN 0 ELSE 1 END) AS NULL_COUNT, SUM(CASE WHEN PRDT_CD IS NOT NULL THEN 1 ELSE 0 END) AS NOT_NULL_COUNT FROM CT_STYLE WHERE INS_DAY &gt;= '20240101000000'  UNION ALL SELECT 'RMK' AS COLUMN_NAME, SUM(CASE WHEN RMK IS NULL THEN 0 ELSE 1 END) AS NULL_COUNT, SUM(CASE WHEN RMK IS NOT NULL THEN 1 ELSE 0 END) AS NOT_NULL_COUNT FROM CT_STYLE WHERE INS_DAY &gt;= '20240101000000'  UNION ALL SELECT 'PPRCS_MFAC_COST' AS COLUMN_NAME, SUM(CASE WHEN PPRCS_MFAC_COST IS NULL THEN 0 ELSE 1 END) AS NULL_COUNT, SUM(CASE WHEN PPRCS_MFAC_COST IS NOT NULL THEN 1 ELSE 0 END) AS NOT_NULL_COUNT FROM CT_STYLE WHERE INS_DAY &gt;= '20240101000000'  UNION ALL SELECT 'SMAT_MFAC_COST' AS COLUMN_NAME, SUM(CASE WHEN SMAT_MFAC_COST IS NULL THEN 0 ELSE 1 END) AS NULL_COUNT, SUM(CASE WHEN SMAT_MFAC_COST IS NOT NULL THEN 1 ELSE 0 END) AS NOT_NULL_COUNT FROM CT_STYLE WHERE INS_DAY &gt;= '20240101000000'  UNION ALL SELECT 'MMAT_MFAC_COST' AS COLUMN_NAME, SUM(CASE WHEN MMAT_MFAC_COST IS NULL THEN 0 ELSE 1 END) AS NULL_COUNT, SUM(CASE WHEN MMAT_MFAC_COST IS NOT NULL THEN 1 ELSE 0 END) AS NOT_NULL_COUNT FROM CT_STYLE WHERE INS_DAY &gt;= '20240101000000'  UNION ALL SELECT 'STOR_L_DT' AS COLUMN_NAME, SUM(CASE WHEN STOR_L_DT IS NULL THEN 0 ELSE 1 END) AS NULL_COUNT, SUM(CASE WHEN STOR_L_DT IS NOT NULL THEN 1 ELSE 0 END) AS NOT_NULL_COUNT FROM CT_STYLE WHERE INS_DAY &gt;= '20240101000000'  UNION ALL SELECT 'STOR_F_DT' AS COLUMN_NAME, SUM(CASE WHEN STOR_F_DT IS NULL THEN 0 ELSE 1 END) AS NULL_COUNT, SUM(CASE WHEN STOR_F_DT IS NOT NULL THEN 1 ELSE 0 END) AS NOT_NULL_COUNT FROM CT_STYLE WHERE INS_DAY &gt;= '20240101000000'  UNION ALL SELECT 'STOR_QTY' AS COLUMN_NAME, SUM(CASE WHEN STOR_QTY IS NULL THEN 0 ELSE 1 END) AS NULL_COUNT, SUM(CASE WHEN STOR_QTY IS NOT NULL THEN 1 ELSE 0 END) AS NOT_NULL_COUNT FROM CT_STYLE WHERE INS_DAY &gt;= '20240101000000'  UNION ALL SELECT 'STOR_ABLE_QTY' AS COLUMN_NAME, SUM(CASE WHEN STOR_ABLE_QTY IS NULL THEN 0 ELSE 1 END) AS NULL_COUNT, SUM(CASE WHEN STOR_ABLE_QTY IS NOT NULL THEN 1 ELSE 0 END) AS NOT_NULL_COUNT FROM CT_STYLE WHERE INS_DAY &gt;= '20240101000000'  UNION ALL SELECT 'STOR_ABLE_DT' AS COLUMN_NAME, SUM(CASE WHEN STOR_ABLE_DT IS NULL THEN 0 ELSE 1 END) AS NULL_COUNT, SUM(CASE WHEN STOR_ABLE_DT IS NOT NULL THEN 1 ELSE 0 END) AS NOT_NULL_COUNT FROM CT_STYLE WHERE INS_DAY &gt;= '20240101000000'  UNION ALL SELECT 'RE_PRCS_DT' AS COLUMN_NAME, SUM(CASE WHEN RE_PRCS_DT IS NULL THEN 0 ELSE 1 END) AS NULL_COUNT, SUM(CASE WHEN RE_PRCS_DT IS NOT NULL THEN 1 ELSE 0 END) AS NOT_NULL_COUNT FROM CT_STYLE WHERE INS_DAY &gt;= '20240101000000'  UNION ALL SELECT 'RE_PRCS_PRE_DT' AS COLUMN_NAME, SUM(CASE WHEN RE_PRCS_PRE_DT IS NULL THEN 0 ELSE 1 END) AS NULL_COUNT, SUM(CASE WHEN RE_PRCS_PRE_DT IS NOT NULL THEN 1 ELSE 0 END) AS NOT_NULL_COUNT FROM CT_STYLE WHERE INS_DAY &gt;= '20240101000000'  UNION ALL SELECT 'MFAC_INDC_DT' AS COLUMN_NAME, SUM(CASE WHEN MFAC_INDC_DT IS NULL THEN 0 ELSE 1 END) AS NULL_COUNT, SUM(CASE WHEN MFAC_INDC_DT IS NOT NULL THEN 1 ELSE 0 END) AS NOT_NULL_COUNT FROM CT_STYLE WHERE INS_DAY &gt;= '20240101000000'  UNION ALL SELECT 'MFAC_INDC_PRCS_DT' AS COLUMN_NAME, SUM(CASE WHEN MFAC_INDC_PRCS_DT IS NULL THEN 0 ELSE 1 END) AS NULL_COUNT, SUM(CASE WHEN MFAC_INDC_PRCS_DT IS NOT NULL THEN 1 ELSE 0 END) AS NOT_NULL_COUNT FROM CT_STYLE WHERE INS_DAY &gt;= '20240101000000'  UNION ALL SELECT 'MFAC_INDC_UPRICE' AS COLUMN_NAME, SUM(CASE WHEN MFAC_INDC_UPRICE IS NULL THEN 0 ELSE 1 END) AS NULL_COUNT, SUM(CASE WHEN MFAC_INDC_UPRICE IS NOT NULL THEN 1 ELSE 0 END) AS NOT_NULL_COUNT FROM CT_STYLE WHERE INS_DAY &gt;= '20240101000000'  UNION ALL SELECT 'MFAC_INDC_QTY' AS COLUMN_NAME, SUM(CASE WHEN MFAC_INDC_QTY IS NULL THEN 0 ELSE 1 END) AS NULL_COUNT, SUM(CASE WHEN MFAC_INDC_QTY IS NOT NULL THEN 1 ELSE 0 END) AS NOT_NULL_COUNT FROM CT_STYLE WHERE INS_DAY &gt;= '20240101000000'  UNION ALL SELECT 'MFAC_PLAN_QTY' AS COLUMN_NAME, SUM(CASE WHEN MFAC_PLAN_QTY IS NULL THEN 0 ELSE 1 END) AS NULL_COUNT, SUM(CASE WHEN MFAC_PLAN_QTY IS NOT NULL THEN 1 ELSE 0 END) AS NOT_NULL_COUNT FROM CT_STYLE WHERE INS_DAY &gt;= '20240101000000'  UNION ALL SELECT 'MFAC_INDC_CNCL_DT' AS COLUMN_NAME, SUM(CASE WHEN MFAC_INDC_CNCL_DT IS NULL THEN 0 ELSE 1 END) AS NULL_COUNT, SUM(CASE WHEN MFAC_INDC_CNCL_DT IS NOT NULL THEN 1 ELSE 0 END) AS NOT_NULL_COUNT FROM CT_STYLE WHERE INS_DAY &gt;= '20240101000000'  UNION ALL SELECT 'PPRCS_UPRICE' AS COLUMN_NAME, SUM(CASE WHEN PPRCS_UPRICE IS NULL THEN 0 ELSE 1 END) AS NULL_COUNT, SUM(CASE WHEN PPRCS_UPRICE IS NOT NULL THEN 1 ELSE 0 END) AS NOT_NULL_COUNT FROM CT_STYLE WHERE INS_DAY &gt;= '20240101000000'  UNION ALL SELECT 'FBR_STOR_QTY' AS COLUMN_NAME, SUM(CASE WHEN FBR_STOR_QTY IS NULL THEN 0 ELSE 1 END) AS NULL_COUNT, SUM(CASE WHEN FBR_STOR_QTY IS NOT NULL THEN 1 ELSE 0 END) AS NOT_NULL_COUNT FROM CT_STYLE WHERE INS_DAY &gt;= '20240101000000'  UNION ALL SELECT 'FBR_STOR_DT' AS COLUMN_NAME, SUM(CASE WHEN FBR_STOR_DT IS NULL THEN 0 ELSE 1 END) AS NULL_COUNT, SUM(CASE WHEN FBR_STOR_DT IS NOT NULL THEN 1 ELSE 0 END) AS NOT_NULL_COUNT FROM CT_STYLE WHERE INS_DAY &gt;= '20240101000000'  UNION ALL SELECT 'FBR_STOR_PRE_DT' AS COLUMN_NAME, SUM(CASE WHEN FBR_STOR_PRE_DT IS NULL THEN 0 ELSE 1 END) AS NULL_COUNT, SUM(CASE WHEN FBR_STOR_PRE_DT IS NOT NULL THEN 1 ELSE 0 END) AS NOT_NULL_COUNT FROM CT_STYLE WHERE INS_DAY &gt;= '20240101000000'  UNION ALL SELECT 'FBR_ORDER_QTY' AS COLUMN_NAME, SUM(CASE WHEN FBR_ORDER_QTY IS NULL THEN 0 ELSE 1 END) AS NULL_COUNT, SUM(CASE WHEN FBR_ORDER_QTY IS NOT NULL THEN 1 ELSE 0 END) AS NOT_NULL_COUNT FROM CT_STYLE WHERE INS_DAY &gt;= '20240101000000'  UNION ALL SELECT 'FBR_ORDER_DT' AS COLUMN_NAME, SUM(CASE WHEN FBR_ORDER_DT IS NULL THEN 0 ELSE 1 END) AS NULL_COUNT, SUM(CASE WHEN FBR_ORDER_DT IS NOT NULL THEN 1 ELSE 0 END) AS NOT_NULL_COUNT FROM CT_STYLE WHERE INS_DAY &gt;= '20240101000000'  UNION ALL SELECT 'FBR_CO_NM' AS COLUMN_NAME, SUM(CASE WHEN FBR_CO_NM IS NULL THEN 0 ELSE 1 END) AS NULL_COUNT, SUM(CASE WHEN FBR_CO_NM IS NOT NULL THEN 1 ELSE 0 END) AS NOT_NULL_COUNT FROM CT_STYLE WHERE INS_DAY &gt;= '20240101000000'  UNION ALL SELECT 'MFAC_PARTY_MEMO' AS COLUMN_NAME, SUM(CASE WHEN MFAC_PARTY_MEMO IS NULL THEN 0 ELSE 1 END) AS NULL_COUNT, SUM(CASE WHEN MFAC_PARTY_MEMO IS NOT NULL THEN 1 ELSE 0 END) AS NOT_NULL_COUNT FROM CT_STYLE WHERE INS_DAY &gt;= '20240101000000'  UNION ALL SELECT 'MFAC_TEAM_MEMO' AS COLUMN_NAME, SUM(CASE WHEN MFAC_TEAM_MEMO IS NULL THEN 0 ELSE 1 END) AS NULL_COUNT, SUM(CASE WHEN MFAC_TEAM_MEMO IS NOT NULL THEN 1 ELSE 0 END) AS NOT_NULL_COUNT FROM CT_STYLE WHERE INS_DAY &gt;= '20240101000000'  UNION ALL SELECT 'MFAC_CMPL_QTY' AS COLUMN_NAME, SUM(CASE WHEN MFAC_CMPL_QTY IS NULL THEN 0 ELSE 1 END) AS NULL_COUNT, SUM(CASE WHEN MFAC_CMPL_QTY IS NOT NULL THEN 1 ELSE 0 END) AS NOT_NULL_COUNT FROM CT_STYLE WHERE INS_DAY &gt;= '20240101000000'  UNION ALL SELECT 'MFAC_CMPL_DT' AS COLUMN_NAME, SUM(CASE WHEN MFAC_CMPL_DT IS NULL THEN 0 ELSE 1 END) AS NULL_COUNT, SUM(CASE WHEN MFAC_CMPL_DT IS NOT NULL THEN 1 ELSE 0 END) AS NOT_NULL_COUNT FROM CT_STYLE WHERE INS_DAY &gt;= '20240101000000'  UNION ALL SELECT 'MFAC_CMPL_PRE_DT' AS COLUMN_NAME, SUM(CASE WHEN MFAC_CMPL_PRE_DT IS NULL THEN 0 ELSE 1 END) AS NULL_COUNT, SUM(CASE WHEN MFAC_CMPL_PRE_DT IS NOT NULL THEN 1 ELSE 0 END) AS NOT_NULL_COUNT FROM CT_STYLE WHERE INS_DAY &gt;= '20240101000000'  UNION ALL SELECT 'CMPL_QTY' AS COLUMN_NAME, SUM(CASE WHEN CMPL_QTY IS NULL THEN 0 ELSE 1 END) AS NULL_COUNT, SUM(CASE WHEN CMPL_QTY IS NOT NULL THEN 1 ELSE 0 END) AS NOT_NULL_COUNT FROM CT_STYLE WHERE INS_DAY &gt;= '20240101000000'  UNION ALL SELECT 'CMPL_DT' AS COLUMN_NAME, SUM(CASE WHEN CMPL_DT IS NULL THEN 0 ELSE 1 END) AS NULL_COUNT, SUM(CASE WHEN CMPL_DT IS NOT NULL THEN 1 ELSE 0 END) AS NOT_NULL_COUNT FROM CT_STYLE WHERE INS_DAY &gt;= '20240101000000'  UNION ALL SELECT 'CMPL_PRE_DT' AS COLUMN_NAME, SUM(CASE WHEN CMPL_PRE_DT IS NULL THEN 0 ELSE 1 END) AS NULL_COUNT, SUM(CASE WHEN CMPL_PRE_DT IS NOT NULL THEN 1 ELSE 0 END) AS NOT_NULL_COUNT FROM CT_STYLE WHERE INS_DAY &gt;= '20240101000000'  UNION ALL SELECT 'SEW_QTY' AS COLUMN_NAME, SUM(CASE WHEN SEW_QTY IS NULL THEN 0 ELSE 1 END) AS NULL_COUNT, SUM(CASE WHEN SEW_QTY IS NOT NULL THEN 1 ELSE 0 END) AS NOT_NULL_COUNT FROM CT_STYLE WHERE INS_DAY &gt;= '20240101000000'  UNION ALL SELECT 'SEW_DT' AS COLUMN_NAME, SUM(CASE WHEN SEW_DT IS NULL THEN 0 ELSE 1 END) AS NULL_COUNT, SUM(CASE WHEN SEW_DT IS NOT NULL THEN 1 ELSE 0 END) AS NOT_NULL_COUNT FROM CT_STYLE WHERE INS_DAY &gt;= '20240101000000'  UNION ALL SELECT 'SEW_PRE_DT' AS COLUMN_NAME, SUM(CASE WHEN SEW_PRE_DT IS NULL THEN 0 ELSE 1 END) AS NULL_COUNT, SUM(CASE WHEN SEW_PRE_DT IS NOT NULL THEN 1 ELSE 0 END) AS NOT_NULL_COUNT FROM CT_STYLE WHERE INS_DAY &gt;= '20240101000000'  UNION ALL SELECT 'CUT_QTY' AS COLUMN_NAME, SUM(CASE WHEN CUT_QTY IS NULL THEN 0 ELSE 1 END) AS NULL_COUNT, SUM(CASE WHEN CUT_QTY IS NOT NULL THEN 1 ELSE 0 END) AS NOT_NULL_COUNT FROM CT_STYLE WHERE INS_DAY &gt;= '20240101000000'  UNION ALL SELECT 'CUT_DT' AS COLUMN_NAME, SUM(CASE WHEN CUT_DT IS NULL THEN 0 ELSE 1 END) AS NULL_COUNT, SUM(CASE WHEN CUT_DT IS NOT NULL THEN 1 ELSE 0 END) AS NOT_NULL_COUNT FROM CT_STYLE WHERE INS_DAY &gt;= '20240101000000'  UNION ALL SELECT 'CUT_PRE_DT' AS COLUMN_NAME, SUM(CASE WHEN CUT_PRE_DT IS NULL THEN 0 ELSE 1 END) AS NULL_COUNT, SUM(CASE WHEN CUT_PRE_DT IS NOT NULL THEN 1 ELSE 0 END) AS NOT_NULL_COUNT FROM CT_STYLE WHERE INS_DAY &gt;= '20240101000000'  UNION ALL SELECT 'TECH_GUID_DT' AS COLUMN_NAME, SUM(CASE WHEN TECH_GUID_DT IS NULL THEN 0 ELSE 1 END) AS NULL_COUNT, SUM(CASE WHEN TECH_GUID_DT IS NOT NULL THEN 1 ELSE 0 END) AS NOT_NULL_COUNT FROM CT_STYLE WHERE INS_DAY &gt;= '20240101000000'  UNION ALL SELECT 'EXPR_DT' AS COLUMN_NAME, SUM(CASE WHEN EXPR_DT IS NULL THEN 0 ELSE 1 END) AS NULL_COUNT, SUM(CASE WHEN EXPR_DT IS NOT NULL THEN 1 ELSE 0 END) AS NOT_NULL_COUNT FROM CT_STYLE WHERE INS_DAY &gt;= '20240101000000'  UNION ALL SELECT 'MFAC_INDC_PRCSR_EMP_ID' AS COLUMN_NAME, SUM(CASE WHEN MFAC_INDC_PRCSR_EMP_ID IS NULL THEN 0 ELSE 1 END) AS NULL_COUNT, SUM(CASE WHEN MFAC_INDC_PRCSR_EMP_ID IS NOT NULL THEN 1 ELSE 0 END) AS NOT_NULL_COUNT FROM CT_STYLE WHERE INS_DAY &gt;= '20240101000000'  UNION ALL SELECT 'MFAC_KIND_CLSBY' AS COLUMN_NAME, SUM(CASE WHEN MFAC_KIND_CLSBY IS NULL THEN 0 ELSE 1 END) AS NULL_COUNT, SUM(CASE WHEN MFAC_KIND_CLSBY IS NOT NULL THEN 1 ELSE 0 END) AS NOT_NULL_COUNT FROM CT_STYLE WHERE INS_DAY &gt;= '20240101000000'  UNION ALL SELECT 'MFAC_BUY_PARTY_ID' AS COLUMN_NAME, SUM(CASE WHEN MFAC_BUY_PARTY_ID IS NULL THEN 0 ELSE 1 END) AS NULL_COUNT, SUM(CASE WHEN MFAC_BUY_PARTY_ID IS NOT NULL THEN 1 ELSE 0 END) AS NOT_NULL_COUNT FROM CT_STYLE WHERE INS_DAY &gt;= '20240101000000'  UNION ALL SELECT 'SEQN' AS COLUMN_NAME, SUM(CASE WHEN SEQN IS NULL THEN 0 ELSE 1 END) AS NULL_COUNT, SUM(CASE WHEN SEQN IS NOT NULL THEN 1 ELSE 0 END) AS NOT_NULL_COUNT FROM CT_STYLE WHERE INS_DAY &gt;= '20240101000000'  UNION ALL SELECT 'PRDT_ID' AS COLUMN_NAME, SUM(CASE WHEN PRDT_ID IS NULL THEN 0 ELSE 1 END) AS NULL_COUNT, SUM(CASE WHEN PRDT_ID IS NOT NULL THEN 1 ELSE 0 END) AS NOT_NULL_COUNT FROM CT_STYLE WHERE INS_DAY &gt;= '20240101000000'  UNION ALL SELECT 'UPT_USERID' AS COLUMN_NAME, SUM(CASE WHEN UPT_USERID IS NULL THEN 0 ELSE 1 END) AS NULL_COUNT, SUM(CASE WHEN UPT_USERID IS NOT NULL THEN 1 ELSE 0 END) AS NOT_NULL_COUNT FROM CT_STYLE WHERE INS_DAY &gt;= '20240101000000'  UNION ALL SELECT 'UPT_DAY' AS COLUMN_NAME, SUM(CASE WHEN UPT_DAY IS NULL THEN 0 ELSE 1 END) AS NULL_COUNT, SUM(CASE WHEN UPT_DAY IS NOT NULL THEN 1 ELSE 0 END) AS NOT_NULL_COUNT FROM CT_STYLE WHERE INS_DAY &gt;= '20240101000000'  UNION ALL SELECT 'INS_USERID' AS COLUMN_NAME, SUM(CASE WHEN INS_USERID IS NULL THEN 0 ELSE 1 END) AS NULL_COUNT, SUM(CASE WHEN INS_USERID IS NOT NULL THEN 1 ELSE 0 END) AS NOT_NULL_COUNT FROM CT_STYLE WHERE INS_DAY &gt;= '20240101000000'  UNION ALL SELECT 'STYLE_HIST_SEQ' AS COLUMN_NAME, SUM(CASE WHEN STYLE_HIST_SEQ IS NULL THEN 0 ELSE 1 END) AS NULL_COUNT, SUM(CASE WHEN STYLE_HIST_SEQ IS NOT NULL THEN 1 ELSE 0 END) AS NOT_NULL_COUNT FROM CT_STYLE WHERE INS_DAY &gt;= '20240101000000'  UNION ALL SELECT 'STYLE_ID' AS COLUMN_NAME, SUM(CASE WHEN STYLE_ID IS NULL THEN 0 ELSE 1 END) AS NULL_COUNT, SUM(CASE WHEN STYLE_ID IS NOT NULL THEN 1 ELSE 0 END) AS NOT_NULL_COUNT FROM CT_STYLE WHERE INS_DAY &gt;= '20240101000000'  UNION ALL SELECT 'EXPR_DT_UPT_REASON_DTL' AS COLUMN_NAME, SUM(CASE WHEN EXPR_DT_UPT_REASON_DTL IS NULL THEN 0 ELSE 1 END) AS NULL_COUNT, SUM(CASE WHEN EXPR_DT_UPT_REASON_DTL IS NOT NULL THEN 1 ELSE 0 END) AS NOT_NULL_COUNT FROM CT_STYLE WHERE INS_DAY &gt;= '20240101000000'  UNION ALL SELECT 'EXPR_DT_UPT_REASON' AS COLUMN_NAME, SUM(CASE WHEN EXPR_DT_UPT_REASON IS NULL THEN 0 ELSE 1 END) AS NULL_COUNT, SUM(CASE WHEN EXPR_DT_UPT_REASON IS NOT NULL THEN 1 ELSE 0 END) AS NOT_NULL_COUNT FROM CT_STYLE WHERE INS_DAY &gt;= '20240101000000'  UNION ALL SELECT 'LAST_YN' AS COLUMN_NAME, SUM(CASE WHEN LAST_YN IS NULL THEN 0 ELSE 1 END) AS NULL_COUNT, SUM(CASE WHEN LAST_YN IS NOT NULL THEN 1 ELSE 0 END) AS NOT_NULL_COUNT FROM CT_STYLE WHERE INS_DAY &gt;= '20240101000000'  UNION ALL SELECT 'CLM_DSCT_RATE' AS COLUMN_NAME, SUM(CASE WHEN CLM_DSCT_RATE IS NULL THEN 0 ELSE 1 END) AS NULL_COUNT, SUM(CASE WHEN CLM_DSCT_RATE IS NOT NULL THEN 1 ELSE 0 END) AS NOT_NULL_COUNT FROM CT_STYLE WHERE INS_DAY &gt;= '20240101000000'  UNION ALL SELECT 'PAY_PLAN_CLSBY' AS COLUMN_NAME, SUM(CASE WHEN PAY_PLAN_CLSBY IS NULL THEN 0 ELSE 1 END) AS NULL_COUNT, SUM(CASE WHEN PAY_PLAN_CLSBY IS NOT NULL THEN 1 ELSE 0 END) AS NOT_NULL_COUNT FROM CT_STYLE WHERE INS_DAY &gt;= '20240101000000'  UNION ALL SELECT 'MFAC_PLAN2_CLSBY' AS COLUMN_NAME, SUM(CASE WHEN MFAC_PLAN2_CLSBY IS NULL THEN 0 ELSE 1 END) AS NULL_COUNT, SUM(CASE WHEN MFAC_PLAN2_CLSBY IS NOT NULL THEN 1 ELSE 0 END) AS NOT_NULL_COUNT FROM CT_STYLE WHERE INS_DAY &gt;= '20240101000000'  UNION ALL SELECT 'MFAC_PLAN1_CLSBY' AS COLUMN_NAME, SUM(CASE WHEN MFAC_PLAN1_CLSBY IS NULL THEN 0 ELSE 1 END) AS NULL_COUNT, SUM(CASE WHEN MFAC_PLAN1_CLSBY IS NOT NULL THEN 1 ELSE 0 END) AS NOT_NULL_COUNT FROM CT_STYLE WHERE INS_DAY &gt;= '20240101000000'  UNION ALL SELECT 'ATTR5' AS COLUMN_NAME, SUM(CASE WHEN ATTR5 IS NULL THEN 0 ELSE 1 END) AS NULL_COUNT, SUM(CASE WHEN ATTR5 IS NOT NULL THEN 1 ELSE 0 END) AS NOT_NULL_COUNT FROM CT_STYLE WHERE INS_DAY &gt;= '20240101000000'  UNION ALL SELECT 'ATTR4' AS COLUMN_NAME, SUM(CASE WHEN ATTR4 IS NULL THEN 0 ELSE 1 END) AS NULL_COUNT, SUM(CASE WHEN ATTR4 IS NOT NULL THEN 1 ELSE 0 END) AS NOT_NULL_COUNT FROM CT_STYLE WHERE INS_DAY &gt;= '20240101000000'  UNION ALL SELECT 'ATTR3' AS COLUMN_NAME, SUM(CASE WHEN ATTR3 IS NULL THEN 0 ELSE 1 END) AS NULL_COUNT, SUM(CASE WHEN ATTR3 IS NOT NULL THEN 1 ELSE 0 END) AS NOT_NULL_COUNT FROM CT_STYLE WHERE INS_DAY &gt;= '20240101000000'  UNION ALL SELECT 'ATTR2' AS COLUMN_NAME, SUM(CASE WHEN ATTR2 IS NULL THEN 0 ELSE 1 END) AS NULL_COUNT, SUM(CASE WHEN ATTR2 IS NOT NULL THEN 1 ELSE 0 END) AS NOT_NULL_COUNT FROM CT_STYLE WHERE INS_DAY &gt;= '20240101000000'  UNION ALL SELECT 'ATTR1' AS COLUMN_NAME, SUM(CASE WHEN ATTR1 IS NULL THEN 0 ELSE 1 END) AS NULL_COUNT, SUM(CASE WHEN ATTR1 IS NOT NULL THEN 1 ELSE 0 END) AS NOT_NULL_COUNT FROM CT_STYLE WHERE INS_DAY &gt;= '20240101000000'  UNION ALL SELECT 'EXPR_DT_UPT_REASON_DTL' AS COLUMN_NAME, SUM(CASE WHEN EXPR_DT_UPT_REASON_DTL IS NULL THEN 0 ELSE 1 END) AS NULL_COUNT, SUM(CASE WHEN EXPR_DT_UPT_REASON_DTL IS NOT NULL THEN 1 ELSE 0 END) AS NOT_NULL_COUNT FROM CT_STYLE WHERE INS_DAY &gt;= '20240101000000'  UNION ALL SELECT 'EXPR_DT_UPT_REASON' AS COLUMN_NAME, SUM(CASE WHEN EXPR_DT_UPT_REASON IS NULL THEN 0 ELSE 1 END) AS NULL_COUNT, SUM(CASE WHEN EXPR_DT_UPT_REASON IS NOT NULL THEN 1 ELSE 0 END) AS NOT_NULL_COUNT FROM CT_STYLE WHERE INS_DAY &gt;= '20240101000000'  UNION ALL SELECT 'LAST_YN' AS COLUMN_NAME, SUM(CASE WHEN LAST_YN IS NULL THEN 0 ELSE 1 END) AS NULL_COUNT, SUM(CASE WHEN LAST_YN IS NOT NULL THEN 1 ELSE 0 END) AS NOT_NULL_COUNT FROM CT_STYLE WHERE INS_DAY &gt;= '20240101000000'  UNION ALL SELECT 'CLM_DSCT_RATE' AS COLUMN_NAME, SUM(CASE WHEN CLM_DSCT_RATE IS NULL THEN 0 ELSE 1 END) AS NULL_COUNT, SUM(CASE WHEN CLM_DSCT_RATE IS NOT NULL THEN 1 ELSE 0 END) AS NOT_NULL_COUNT FROM CT_STYLE WHERE INS_DAY &gt;= '20240101000000'  UNION ALL SELECT 'PAY_PLAN_CLSBY' AS COLUMN_NAME, SUM(CASE WHEN PAY_PLAN_CLSBY IS NULL THEN 0 ELSE 1 END) AS NULL_COUNT, SUM(CASE WHEN PAY_PLAN_CLSBY IS NOT NULL THEN 1 ELSE 0 END) AS NOT_NULL_COUNT FROM CT_STYLE WHERE INS_DAY &gt;= '20240101000000'  UNION ALL SELECT 'MFAC_PLAN2_CLSBY' AS COLUMN_NAME, SUM(CASE WHEN MFAC_PLAN2_CLSBY IS NULL THEN 0 ELSE 1 END) AS NULL_COUNT, SUM(CASE WHEN MFAC_PLAN2_CLSBY IS NOT NULL THEN 1 ELSE 0 END) AS NOT_NULL_COUNT FROM CT_STYLE WHERE INS_DAY &gt;= '20240101000000'  UNION ALL SELECT 'MFAC_PLAN1_CLSBY' AS COLUMN_NAME, SUM(CASE WHEN MFAC_PLAN1_CLSBY IS NULL THEN 0 ELSE 1 END) AS NULL_COUNT, SUM(CASE WHEN MFAC_PLAN1_CLSBY IS NOT NULL THEN 1 ELSE 0 END) AS NOT_NULL_COUNT FROM CT_STYLE WHERE INS_DAY &gt;= '20240101000000'  UNION ALL SELECT 'ATTR5' AS COLUMN_NAME, SUM(CASE WHEN ATTR5 IS NULL THEN 0 ELSE 1 END) AS NULL_COUNT, SUM(CASE WHEN ATTR5 IS NOT NULL THEN 1 ELSE 0 END) AS NOT_NULL_COUNT FROM CT_STYLE WHERE INS_DAY &gt;= '20240101000000'  UNION ALL SELECT 'ATTR4' AS COLUMN_NAME, SUM(CASE WHEN ATTR4 IS NULL THEN 0 ELSE 1 END) AS NULL_COUNT, SUM(CASE WHEN ATTR4 IS NOT NULL THEN 1 ELSE 0 END) AS NOT_NULL_COUNT FROM CT_STYLE WHERE INS_DAY &gt;= '20240101000000'  UNION ALL SELECT 'ATTR3' AS COLUMN_NAME, SUM(CASE WHEN ATTR3 IS NULL THEN 0 ELSE 1 END) AS NULL_COUNT, SUM(CASE WHEN ATTR3 IS NOT NULL THEN 1 ELSE 0 END) AS NOT_NULL_COUNT FROM CT_STYLE WHERE INS_DAY &gt;= '20240101000000'  UNION ALL SELECT 'ATTR2' AS COLUMN_NAME, SUM(CASE WHEN ATTR2 IS NULL THEN 0 ELSE 1 END) AS NULL_COUNT, SUM(CASE WHEN ATTR2 IS NOT NULL THEN 1 ELSE 0 END) AS NOT_NULL_COUNT FROM CT_STYLE WHERE INS_DAY &gt;= '20240101000000'  UNION ALL SELECT 'ATTR1' AS COLUMN_NAME, SUM(CASE WHEN ATTR1 IS NULL THEN 0 ELSE 1 END) AS NULL_COUNT, SUM(CASE WHEN ATTR1 IS NOT NULL THEN 1 ELSE 0 END) AS NOT_NULL_COUNT FROM CT_STYLE WHERE INS_DAY &gt;= '20240101000000'  UNION ALL SELECT 'COMPY_CD' AS COLUMN_NAME, SUM(CASE WHEN COMPY_CD IS NULL THEN 0 ELSE 1 END) AS NULL_COUNT, SUM(CASE WHEN COMPY_CD IS NOT NULL THEN 1 ELSE 0 END) AS NOT_NULL_COUNT FROM CT_STYLE WHERE INS_DAY &gt;= '20240101000000'  UNION ALL SELECT 'COLOR_CD' AS COLUMN_NAME, SUM(CASE WHEN COLOR_CD IS NULL THEN 0 ELSE 1 END) AS NULL_COUNT, SUM(CASE WHEN COLOR_CD IS NOT NULL THEN 1 ELSE 0 END) AS NOT_NULL_COUNT FROM CT_STYLE WHERE INS_DAY &gt;= '20240101000000'  UNION ALL SELECT 'PRDT_CD' AS COLUMN_NAME, SUM(CASE WHEN PRDT_CD IS NULL THEN 0 ELSE 1 END) AS NULL_COUNT, SUM(CASE WHEN PRDT_CD IS NOT NULL THEN 1 ELSE 0 END) AS NOT_NULL_COUNT FROM CT_STYLE WHERE INS_DAY &gt;= '20240101000000'  UNION ALL SELECT 'RMK' AS COLUMN_NAME, SUM(CASE WHEN RMK IS NULL THEN 0 ELSE 1 END) AS NULL_COUNT, SUM(CASE WHEN RMK IS NOT NULL THEN 1 ELSE 0 END) AS NOT_NULL_COUNT FROM CT_STYLE WHERE INS_DAY &gt;= '20240101000000'  UNION ALL SELECT 'PPRCS_MFAC_COST' AS COLUMN_NAME, SUM(CASE WHEN PPRCS_MFAC_COST IS NULL THEN 0 ELSE 1 END) AS NULL_COUNT, SUM(CASE WHEN PPRCS_MFAC_COST IS NOT NULL THEN 1 ELSE 0 END) AS NOT_NULL_COUNT FROM CT_STYLE WHERE INS_DAY &gt;= '20240101000000'  UNION ALL SELECT 'SMAT_MFAC_COST' AS COLUMN_NAME, SUM(CASE WHEN SMAT_MFAC_COST IS NULL THEN 0 ELSE 1 END) AS NULL_COUNT, SUM(CASE WHEN SMAT_MFAC_COST IS NOT NULL THEN 1 ELSE 0 END) AS NOT_NULL_COUNT FROM CT_STYLE WHERE INS_DAY &gt;= '20240101000000'  UNION ALL SELECT 'MMAT_MFAC_COST' AS COLUMN_NAME, SUM(CASE WHEN MMAT_MFAC_COST IS NULL THEN 0 ELSE 1 END) AS NULL_COUNT, SUM(CASE WHEN MMAT_MFAC_COST IS NOT NULL THEN 1 ELSE 0 END) AS NOT_NULL_COUNT FROM CT_STYLE WHERE INS_DAY &gt;= '20240101000000'  UNION ALL SELECT 'STOR_L_DT' AS COLUMN_NAME, SUM(CASE WHEN STOR_L_DT IS NULL THEN 0 ELSE 1 END) AS NULL_COUNT, SUM(CASE WHEN STOR_L_DT IS NOT NULL THEN 1 ELSE 0 END) AS NOT_NULL_COUNT FROM CT_STYLE WHERE INS_DAY &gt;= '20240101000000'  UNION ALL SELECT 'STOR_F_DT' AS COLUMN_NAME, SUM(CASE WHEN STOR_F_DT IS NULL THEN 0 ELSE 1 END) AS NULL_COUNT, SUM(CASE WHEN STOR_F_DT IS NOT NULL THEN 1 ELSE 0 END) AS NOT_NULL_COUNT FROM CT_STYLE WHERE INS_DAY &gt;= '20240101000000'  UNION ALL SELECT 'STOR_QTY' AS COLUMN_NAME, SUM(CASE WHEN STOR_QTY IS NULL THEN 0 ELSE 1 END) AS NULL_COUNT, SUM(CASE WHEN STOR_QTY IS NOT NULL THEN 1 ELSE 0 END) AS NOT_NULL_COUNT FROM CT_STYLE WHERE INS_DAY &gt;= '20240101000000'  UNION ALL SELECT 'STOR_ABLE_QTY' AS COLUMN_NAME, SUM(CASE WHEN STOR_ABLE_QTY IS NULL THEN 0 ELSE 1 END) AS NULL_COUNT, SUM(CASE WHEN STOR_ABLE_QTY IS NOT NULL THEN 1 ELSE 0 END) AS NOT_NULL_COUNT FROM CT_STYLE WHERE INS_DAY &gt;= '20240101000000'  UNION ALL SELECT 'STOR_ABLE_DT' AS COLUMN_NAME, SUM(CASE WHEN STOR_ABLE_DT IS NULL THEN 0 ELSE 1 END) AS NULL_COUNT, SUM(CASE WHEN STOR_ABLE_DT IS NOT NULL THEN 1 ELSE 0 END) AS NOT_NULL_COUNT FROM CT_STYLE WHERE INS_DAY &gt;= '20240101000000'  UNION ALL SELECT 'RE_PRCS_DT' AS COLUMN_NAME, SUM(CASE WHEN RE_PRCS_DT IS NULL THEN 0 ELSE 1 END) AS NULL_COUNT, SUM(CASE WHEN RE_PRCS_DT IS NOT NULL THEN 1 ELSE 0 END) AS NOT_NULL_COUNT FROM CT_STYLE WHERE INS_DAY &gt;= '20240101000000'  UNION ALL SELECT 'RE_PRCS_PRE_DT' AS COLUMN_NAME, SUM(CASE WHEN RE_PRCS_PRE_DT IS NULL THEN 0 ELSE 1 END) AS NULL_COUNT, SUM(CASE WHEN RE_PRCS_PRE_DT IS NOT NULL THEN 1 ELSE 0 END) AS NOT_NULL_COUNT FROM CT_STYLE WHERE INS_DAY &gt;= '20240101000000'  UNION ALL SELECT 'MFAC_INDC_DT' AS COLUMN_NAME, SUM(CASE WHEN MFAC_INDC_DT IS NULL THEN 0 ELSE 1 END) AS NULL_COUNT, SUM(CASE WHEN MFAC_INDC_DT IS NOT NULL THEN 1 ELSE 0 END) AS NOT_NULL_COUNT FROM CT_STYLE WHERE INS_DAY &gt;= '20240101000000'  UNION ALL SELECT 'MFAC_INDC_PRCS_DT' AS COLUMN_NAME, SUM(CASE WHEN MFAC_INDC_PRCS_DT IS NULL THEN 0 ELSE 1 END) AS NULL_COUNT, SUM(CASE WHEN MFAC_INDC_PRCS_DT IS NOT NULL THEN 1 ELSE 0 END) AS NOT_NULL_COUNT FROM CT_STYLE WHERE INS_DAY &gt;= '20240101000000'  UNION ALL SELECT 'MFAC_INDC_UPRICE' AS COLUMN_NAME, SUM(CASE WHEN MFAC_INDC_UPRICE IS NULL THEN 0 ELSE 1 END) AS NULL_COUNT, SUM(CASE WHEN MFAC_INDC_UPRICE IS NOT NULL THEN 1 ELSE 0 END) AS NOT_NULL_COUNT FROM CT_STYLE WHERE INS_DAY &gt;= '20240101000000'  UNION ALL SELECT 'MFAC_INDC_QTY' AS COLUMN_NAME, SUM(CASE WHEN MFAC_INDC_QTY IS NULL THEN 0 ELSE 1 END) AS NULL_COUNT, SUM(CASE WHEN MFAC_INDC_QTY IS NOT NULL THEN 1 ELSE 0 END) AS NOT_NULL_COUNT FROM CT_STYLE WHERE INS_DAY &gt;= '20240101000000'  UNION ALL SELECT 'MFAC_PLAN_QTY' AS COLUMN_NAME, SUM(CASE WHEN MFAC_PLAN_QTY IS NULL THEN 0 ELSE 1 END) AS NULL_COUNT, SUM(CASE WHEN MFAC_PLAN_QTY IS NOT NULL THEN 1 ELSE 0 END) AS NOT_NULL_COUNT FROM CT_STYLE WHERE INS_DAY &gt;= '20240101000000'  UNION ALL SELECT 'MFAC_INDC_CNCL_DT' AS COLUMN_NAME, SUM(CASE WHEN MFAC_INDC_CNCL_DT IS NULL THEN 0 ELSE 1 END) AS NULL_COUNT, SUM(CASE WHEN MFAC_INDC_CNCL_DT IS NOT NULL THEN 1 ELSE 0 END) AS NOT_NULL_COUNT FROM CT_STYLE WHERE INS_DAY &gt;= '20240101000000'  UNION ALL SELECT 'PPRCS_UPRICE' AS COLUMN_NAME, SUM(CASE WHEN PPRCS_UPRICE IS NULL THEN 0 ELSE 1 END) AS NULL_COUNT, SUM(CASE WHEN PPRCS_UPRICE IS NOT NULL THEN 1 ELSE 0 END) AS NOT_NULL_COUNT FROM CT_STYLE WHERE INS_DAY &gt;= '20240101000000'  UNION ALL SELECT 'FBR_STOR_QTY' AS COLUMN_NAME, SUM(CASE WHEN FBR_STOR_QTY IS NULL THEN 0 ELSE 1 END) AS NULL_COUNT, SUM(CASE WHEN FBR_STOR_QTY IS NOT NULL THEN 1 ELSE 0 END) AS NOT_NULL_COUNT FROM CT_STYLE WHERE INS_DAY &gt;= '20240101000000'  UNION ALL SELECT 'FBR_STOR_DT' AS COLUMN_NAME, SUM(CASE WHEN FBR_STOR_DT IS NULL THEN 0 ELSE 1 END) AS NULL_COUNT, SUM(CASE WHEN FBR_STOR_DT IS NOT NULL THEN 1 ELSE 0 END) AS NOT_NULL_COUNT FROM CT_STYLE WHERE INS_DAY &gt;= '20240101000000'  UNION ALL SELECT 'FBR_STOR_PRE_DT' AS COLUMN_NAME, SUM(CASE WHEN FBR_STOR_PRE_DT IS NULL THEN 0 ELSE 1 END) AS NULL_COUNT, SUM(CASE WHEN FBR_STOR_PRE_DT IS NOT NULL THEN 1 ELSE 0 END) AS NOT_NULL_COUNT FROM CT_STYLE WHERE INS_DAY &gt;= '20240101000000'  UNION ALL SELECT 'FBR_ORDER_QTY' AS COLUMN_NAME, SUM(CASE WHEN FBR_ORDER_QTY IS NULL THEN 0 ELSE 1 END) AS NULL_COUNT, SUM(CASE WHEN FBR_ORDER_QTY IS NOT NULL THEN 1 ELSE 0 END) AS NOT_NULL_COUNT FROM CT_STYLE WHERE INS_DAY &gt;= '20240101000000'  UNION ALL SELECT 'FBR_ORDER_DT' AS COLUMN_NAME, SUM(CASE WHEN FBR_ORDER_DT IS NULL THEN 0 ELSE 1 END) AS NULL_COUNT, SUM(CASE WHEN FBR_ORDER_DT IS NOT NULL THEN 1 ELSE 0 END) AS NOT_NULL_COUNT FROM CT_STYLE WHERE INS_DAY &gt;= '20240101000000'  UNION ALL SELECT 'FBR_CO_NM' AS COLUMN_NAME, SUM(CASE WHEN FBR_CO_NM IS NULL THEN 0 ELSE 1 END) AS NULL_COUNT, SUM(CASE WHEN FBR_CO_NM IS NOT NULL THEN 1 ELSE 0 END) AS NOT_NULL_COUNT FROM CT_STYLE WHERE INS_DAY &gt;= '20240101000000'  UNION ALL SELECT 'MFAC_PARTY_MEMO' AS COLUMN_NAME, SUM(CASE WHEN MFAC_PARTY_MEMO IS NULL THEN 0 ELSE 1 END) AS NULL_COUNT, SUM(CASE WHEN MFAC_PARTY_MEMO IS NOT NULL THEN 1 ELSE 0 END) AS NOT_NULL_COUNT FROM CT_STYLE WHERE INS_DAY &gt;= '20240101000000'  UNION ALL SELECT 'MFAC_TEAM_MEMO' AS COLUMN_NAME, SUM(CASE WHEN MFAC_TEAM_MEMO IS NULL THEN 0 ELSE 1 END) AS NULL_COUNT, SUM(CASE WHEN MFAC_TEAM_MEMO IS NOT NULL THEN 1 ELSE 0 END) AS NOT_NULL_COUNT FROM CT_STYLE WHERE INS_DAY &gt;= '20240101000000'  UNION ALL SELECT 'MFAC_CMPL_QTY' AS COLUMN_NAME, SUM(CASE WHEN MFAC_CMPL_QTY IS NULL THEN 0 ELSE 1 END) AS NULL_COUNT, SUM(CASE WHEN MFAC_CMPL_QTY IS NOT NULL THEN 1 ELSE 0 END) AS NOT_NULL_COUNT FROM CT_STYLE WHERE INS_DAY &gt;= '20240101000000'  UNION ALL SELECT 'MFAC_CMPL_DT' AS COLUMN_NAME, SUM(CASE WHEN MFAC_CMPL_DT IS NULL THEN 0 ELSE 1 END) AS NULL_COUNT, SUM(CASE WHEN MFAC_CMPL_DT IS NOT NULL THEN 1 ELSE 0 END) AS NOT_NULL_COUNT FROM CT_STYLE WHERE INS_DAY &gt;= '20240101000000'  UNION ALL SELECT 'MFAC_CMPL_PRE_DT' AS COLUMN_NAME, SUM(CASE WHEN MFAC_CMPL_PRE_DT IS NULL THEN 0 ELSE 1 END) AS NULL_COUNT, SUM(CASE WHEN MFAC_CMPL_PRE_DT IS NOT NULL THEN 1 ELSE 0 END) AS NOT_NULL_COUNT FROM CT_STYLE WHERE INS_DAY &gt;= '20240101000000'  UNION ALL SELECT 'CMPL_QTY' AS COLUMN_NAME, SUM(CASE WHEN CMPL_QTY IS NULL THEN 0 ELSE 1 END) AS NULL_COUNT, SUM(CASE WHEN CMPL_QTY IS NOT NULL THEN 1 ELSE 0 END) AS NOT_NULL_COUNT FROM CT_STYLE WHERE INS_DAY &gt;= '20240101000000'  UNION ALL SELECT 'CMPL_DT' AS COLUMN_NAME, SUM(CASE WHEN CMPL_DT IS NULL THEN 0 ELSE 1 END) AS NULL_COUNT, SUM(CASE WHEN CMPL_DT IS NOT NULL THEN 1 ELSE 0 END) AS NOT_NULL_COUNT FROM CT_STYLE WHERE INS_DAY &gt;= '20240101000000'  UNION ALL SELECT 'CMPL_PRE_DT' AS COLUMN_NAME, SUM(CASE WHEN CMPL_PRE_DT IS NULL THEN 0 ELSE 1 END) AS NULL_COUNT, SUM(CASE WHEN CMPL_PRE_DT IS NOT NULL THEN 1 ELSE 0 END) AS NOT_NULL_COUNT FROM CT_STYLE WHERE INS_DAY &gt;= '20240101000000'  UNION ALL SELECT 'SEW_QTY' AS COLUMN_NAME, SUM(CASE WHEN SEW_QTY IS NULL THEN 0 ELSE 1 END) AS NULL_COUNT, SUM(CASE WHEN SEW_QTY IS NOT NULL THEN 1 ELSE 0 END) AS NOT_NULL_COUNT FROM CT_STYLE WHERE INS_DAY &gt;= '20240101000000'  UNION ALL SELECT 'SEW_DT' AS COLUMN_NAME, SUM(CASE WHEN SEW_DT IS NULL THEN 0 ELSE 1 END) AS NULL_COUNT, SUM(CASE WHEN SEW_DT IS NOT NULL THEN 1 ELSE 0 END) AS NOT_NULL_COUNT FROM CT_STYLE WHERE INS_DAY &gt;= '20240101000000'  UNION ALL SELECT 'SEW_PRE_DT' AS COLUMN_NAME, SUM(CASE WHEN SEW_PRE_DT IS NULL THEN 0 ELSE 1 END) AS NULL_COUNT, SUM(CASE WHEN SEW_PRE_DT IS NOT NULL THEN 1 ELSE 0 END) AS NOT_NULL_COUNT FROM CT_STYLE WHERE INS_DAY &gt;= '20240101000000'  UNION ALL SELECT 'CUT_QTY' AS COLUMN_NAME, SUM(CASE WHEN CUT_QTY IS NULL THEN 0 ELSE 1 END) AS NULL_COUNT, SUM(CASE WHEN CUT_QTY IS NOT NULL THEN 1 ELSE 0 END) AS NOT_NULL_COUNT FROM CT_STYLE WHERE INS_DAY &gt;= '20240101000000'  UNION ALL SELECT 'CUT_DT' AS COLUMN_NAME, SUM(CASE WHEN CUT_DT IS NULL THEN 0 ELSE 1 END) AS NULL_COUNT, SUM(CASE WHEN CUT_DT IS NOT NULL THEN 1 ELSE 0 END) AS NOT_NULL_COUNT FROM CT_STYLE WHERE INS_DAY &gt;= '20240101000000'  UNION ALL SELECT 'CUT_PRE_DT' AS COLUMN_NAME, SUM(CASE WHEN CUT_PRE_DT IS NULL THEN 0 ELSE 1 END) AS NULL_COUNT, SUM(CASE WHEN CUT_PRE_DT IS NOT NULL THEN 1 ELSE 0 END) AS NOT_NULL_COUNT FROM CT_STYLE WHERE INS_DAY &gt;= '20240101000000'  UNION ALL SELECT 'TECH_GUID_DT' AS COLUMN_NAME, SUM(CASE WHEN TECH_GUID_DT IS NULL THEN 0 ELSE 1 END) AS NULL_COUNT, SUM(CASE WHEN TECH_GUID_DT IS NOT NULL THEN 1 ELSE 0 END) AS NOT_NULL_COUNT FROM CT_STYLE WHERE INS_DAY &gt;= '20240101000000'  UNION ALL SELECT 'EXPR_DT' AS COLUMN_NAME, SUM(CASE WHEN EXPR_DT IS NULL THEN 0 ELSE 1 END) AS NULL_COUNT, SUM(CASE WHEN EXPR_DT IS NOT NULL THEN 1 ELSE 0 END) AS NOT_NULL_COUNT FROM CT_STYLE WHERE INS_DAY &gt;= '20240101000000'  UNION ALL SELECT 'MFAC_INDC_PRCSR_EMP_ID' AS COLUMN_NAME, SUM(CASE WHEN MFAC_INDC_PRCSR_EMP_ID IS NULL THEN 0 ELSE 1 END) AS NULL_COUNT, SUM(CASE WHEN MFAC_INDC_PRCSR_EMP_ID IS NOT NULL THEN 1 ELSE 0 END) AS NOT_NULL_COUNT FROM CT_STYLE WHERE INS_DAY &gt;= '20240101000000'  UNION ALL SELECT 'MFAC_KIND_CLSBY' AS COLUMN_NAME, SUM(CASE WHEN MFAC_KIND_CLSBY IS NULL THEN 0 ELSE 1 END) AS NULL_COUNT, SUM(CASE WHEN MFAC_KIND_CLSBY IS NOT NULL THEN 1 ELSE 0 END) AS NOT_NULL_COUNT FROM CT_STYLE WHERE INS_DAY &gt;= '20240101000000'  UNION ALL SELECT 'MFAC_BUY_PARTY_ID' AS COLUMN_NAME, SUM(CASE WHEN MFAC_BUY_PARTY_ID IS NULL THEN 0 ELSE 1 END) AS NULL_COUNT, SUM(CASE WHEN MFAC_BUY_PARTY_ID IS NOT NULL THEN 1 ELSE 0 END) AS NOT_NULL_COUNT FROM CT_STYLE WHERE INS_DAY &gt;= '20240101000000'  UNION ALL SELECT 'SEQN' AS COLUMN_NAME, SUM(CASE WHEN SEQN IS NULL THEN 0 ELSE 1 END) AS NULL_COUNT, SUM(CASE WHEN SEQN IS NOT NULL THEN 1 ELSE 0 END) AS NOT_NULL_COUNT FROM CT_STYLE WHERE INS_DAY &gt;= '20240101000000'  UNION ALL SELECT 'PRDT_ID' AS COLUMN_NAME, SUM(CASE WHEN PRDT_ID IS NULL THEN 0 ELSE 1 END) AS NULL_COUNT, SUM(CASE WHEN PRDT_ID IS NOT NULL THEN 1 ELSE 0 END) AS NOT_NULL_COUNT FROM CT_STYLE WHERE INS_DAY &gt;= '20240101000000'  UNION ALL SELECT 'UPT_USERID' AS COLUMN_NAME, SUM(CASE WHEN UPT_USERID IS NULL THEN 0 ELSE 1 END) AS NULL_COUNT, SUM(CASE WHEN UPT_USERID IS NOT NULL THEN 1 ELSE 0 END) AS NOT_NULL_COUNT FROM CT_STYLE WHERE INS_DAY &gt;= '20240101000000'  UNION ALL SELECT 'UPT_DAY' AS COLUMN_NAME, SUM(CASE WHEN UPT_DAY IS NULL THEN 0 ELSE 1 END) AS NULL_COUNT, SUM(CASE WHEN UPT_DAY IS NOT NULL THEN 1 ELSE 0 END) AS NOT_NULL_COUNT FROM CT_STYLE WHERE INS_DAY &gt;= '20240101000000'  UNION ALL SELECT 'INS_USERID' AS COLUMN_NAME, SUM(CASE WHEN INS_USERID IS NULL THEN 0 ELSE 1 END) AS NULL_COUNT, SUM(CASE WHEN INS_USERID IS NOT NULL THEN 1 ELSE 0 END) AS NOT_NULL_COUNT FROM CT_STYLE WHERE INS_DAY &gt;= '20240101000000'  UNION ALL SELECT 'STYLE_HIST_SEQ' AS COLUMN_NAME, SUM(CASE WHEN STYLE_HIST_SEQ IS NULL THEN 0 ELSE 1 END) AS NULL_COUNT, SUM(CASE WHEN STYLE_HIST_SEQ IS NOT NULL THEN 1 ELSE 0 END) AS NOT_NULL_COUNT FROM CT_STYLE WHERE INS_DAY &gt;= '20240101000000'  UNION ALL SELECT 'STYLE_ID' AS COLUMN_NAME, SUM(CASE WHEN STYLE_ID IS NULL THEN 0 ELSE 1 END) AS NULL_COUNT, SUM(CASE WHEN STYLE_ID IS NOT NULL THEN 1 ELSE 0 END) AS NOT_NULL_COUNT FROM CT_STYLE WHERE INS_DAY &gt;= '20240101000000'</t>
  </si>
  <si>
    <t>CT_STYLE_SIZE</t>
    <phoneticPr fontId="2" type="noConversion"/>
  </si>
  <si>
    <t>SELECT 'LAST_YN' AS COLUMN_NAME, SUM(CASE WHEN LAST_YN IS NULL THEN 0 ELSE 1 END) AS NULL_COUNT, SUM(CASE WHEN LAST_YN IS NOT NULL THEN 1 ELSE 0 END) AS NOT_NULL_COUNT FROM CT_STYLE_SIZE WHERE INS_DAY &gt;= '20240101000000'  UNION ALL SELECT 'DUTY_RATE' AS COLUMN_NAME, SUM(CASE WHEN DUTY_RATE IS NULL THEN 0 ELSE 1 END) AS NULL_COUNT, SUM(CASE WHEN DUTY_RATE IS NOT NULL THEN 1 ELSE 0 END) AS NOT_NULL_COUNT FROM CT_STYLE_SIZE WHERE INS_DAY &gt;= '20240101000000'  UNION ALL SELECT 'HS_CODE' AS COLUMN_NAME, SUM(CASE WHEN HS_CODE IS NULL THEN 0 ELSE 1 END) AS NULL_COUNT, SUM(CASE WHEN HS_CODE IS NOT NULL THEN 1 ELSE 0 END) AS NOT_NULL_COUNT FROM CT_STYLE_SIZE WHERE INS_DAY &gt;= '20240101000000'  UNION ALL SELECT 'ATTR5' AS COLUMN_NAME, SUM(CASE WHEN ATTR5 IS NULL THEN 0 ELSE 1 END) AS NULL_COUNT, SUM(CASE WHEN ATTR5 IS NOT NULL THEN 1 ELSE 0 END) AS NOT_NULL_COUNT FROM CT_STYLE_SIZE WHERE INS_DAY &gt;= '20240101000000'  UNION ALL SELECT 'ATTR4' AS COLUMN_NAME, SUM(CASE WHEN ATTR4 IS NULL THEN 0 ELSE 1 END) AS NULL_COUNT, SUM(CASE WHEN ATTR4 IS NOT NULL THEN 1 ELSE 0 END) AS NOT_NULL_COUNT FROM CT_STYLE_SIZE WHERE INS_DAY &gt;= '20240101000000'  UNION ALL SELECT 'ATTR3' AS COLUMN_NAME, SUM(CASE WHEN ATTR3 IS NULL THEN 0 ELSE 1 END) AS NULL_COUNT, SUM(CASE WHEN ATTR3 IS NOT NULL THEN 1 ELSE 0 END) AS NOT_NULL_COUNT FROM CT_STYLE_SIZE WHERE INS_DAY &gt;= '20240101000000'  UNION ALL SELECT 'ATTR2' AS COLUMN_NAME, SUM(CASE WHEN ATTR2 IS NULL THEN 0 ELSE 1 END) AS NULL_COUNT, SUM(CASE WHEN ATTR2 IS NOT NULL THEN 1 ELSE 0 END) AS NOT_NULL_COUNT FROM CT_STYLE_SIZE WHERE INS_DAY &gt;= '20240101000000'  UNION ALL SELECT 'ATTR1' AS COLUMN_NAME, SUM(CASE WHEN ATTR1 IS NULL THEN 0 ELSE 1 END) AS NULL_COUNT, SUM(CASE WHEN ATTR1 IS NOT NULL THEN 1 ELSE 0 END) AS NOT_NULL_COUNT FROM CT_STYLE_SIZE WHERE INS_DAY &gt;= '20240101000000'  UNION ALL SELECT 'MFAC_PLAN_QTY' AS COLUMN_NAME, SUM(CASE WHEN MFAC_PLAN_QTY IS NULL THEN 0 ELSE 1 END) AS NULL_COUNT, SUM(CASE WHEN MFAC_PLAN_QTY IS NOT NULL THEN 1 ELSE 0 END) AS NOT_NULL_COUNT FROM CT_STYLE_SIZE WHERE INS_DAY &gt;= '20240101000000'  UNION ALL SELECT 'COMPY_CD' AS COLUMN_NAME, SUM(CASE WHEN COMPY_CD IS NULL THEN 0 ELSE 1 END) AS NULL_COUNT, SUM(CASE WHEN COMPY_CD IS NOT NULL THEN 1 ELSE 0 END) AS NOT_NULL_COUNT FROM CT_STYLE_SIZE WHERE INS_DAY &gt;= '20240101000000'  UNION ALL SELECT 'CNCLR_EMP_ID' AS COLUMN_NAME, SUM(CASE WHEN CNCLR_EMP_ID IS NULL THEN 0 ELSE 1 END) AS NULL_COUNT, SUM(CASE WHEN CNCLR_EMP_ID IS NOT NULL THEN 1 ELSE 0 END) AS NOT_NULL_COUNT FROM CT_STYLE_SIZE WHERE INS_DAY &gt;= '20240101000000'  UNION ALL SELECT 'CNCL_DT' AS COLUMN_NAME, SUM(CASE WHEN CNCL_DT IS NULL THEN 0 ELSE 1 END) AS NULL_COUNT, SUM(CASE WHEN CNCL_DT IS NOT NULL THEN 1 ELSE 0 END) AS NOT_NULL_COUNT FROM CT_STYLE_SIZE WHERE INS_DAY &gt;= '20240101000000'  UNION ALL SELECT 'STOR_QTY' AS COLUMN_NAME, SUM(CASE WHEN STOR_QTY IS NULL THEN 0 ELSE 1 END) AS NULL_COUNT, SUM(CASE WHEN STOR_QTY IS NOT NULL THEN 1 ELSE 0 END) AS NOT_NULL_COUNT FROM CT_STYLE_SIZE WHERE INS_DAY &gt;= '20240101000000'  UNION ALL SELECT 'MFAC_INDC_QTY' AS COLUMN_NAME, SUM(CASE WHEN MFAC_INDC_QTY IS NULL THEN 0 ELSE 1 END) AS NULL_COUNT, SUM(CASE WHEN MFAC_INDC_QTY IS NOT NULL THEN 1 ELSE 0 END) AS NOT_NULL_COUNT FROM CT_STYLE_SIZE WHERE INS_DAY &gt;= '20240101000000'  UNION ALL SELECT 'UPT_USERID' AS COLUMN_NAME, SUM(CASE WHEN UPT_USERID IS NULL THEN 0 ELSE 1 END) AS NULL_COUNT, SUM(CASE WHEN UPT_USERID IS NOT NULL THEN 1 ELSE 0 END) AS NOT_NULL_COUNT FROM CT_STYLE_SIZE WHERE INS_DAY &gt;= '20240101000000'  UNION ALL SELECT 'UPT_DAY' AS COLUMN_NAME, SUM(CASE WHEN UPT_DAY IS NULL THEN 0 ELSE 1 END) AS NULL_COUNT, SUM(CASE WHEN UPT_DAY IS NOT NULL THEN 1 ELSE 0 END) AS NOT_NULL_COUNT FROM CT_STYLE_SIZE WHERE INS_DAY &gt;= '20240101000000'  UNION ALL SELECT 'INS_USERID' AS COLUMN_NAME, SUM(CASE WHEN INS_USERID IS NULL THEN 0 ELSE 1 END) AS NULL_COUNT, SUM(CASE WHEN INS_USERID IS NOT NULL THEN 1 ELSE 0 END) AS NOT_NULL_COUNT FROM CT_STYLE_SIZE WHERE INS_DAY &gt;= '20240101000000'  UNION ALL SELECT 'STYLE_HIST_SEQ' AS COLUMN_NAME, SUM(CASE WHEN STYLE_HIST_SEQ IS NULL THEN 0 ELSE 1 END) AS NULL_COUNT, SUM(CASE WHEN STYLE_HIST_SEQ IS NOT NULL THEN 1 ELSE 0 END) AS NOT_NULL_COUNT FROM CT_STYLE_SIZE WHERE INS_DAY &gt;= '20240101000000'  UNION ALL SELECT 'SIZE_CD' AS COLUMN_NAME, SUM(CASE WHEN SIZE_CD IS NULL THEN 0 ELSE 1 END) AS NULL_COUNT, SUM(CASE WHEN SIZE_CD IS NOT NULL THEN 1 ELSE 0 END) AS NOT_NULL_COUNT FROM CT_STYLE_SIZE WHERE INS_DAY &gt;= '20240101000000'  UNION ALL SELECT 'STYLE_ID' AS COLUMN_NAME, SUM(CASE WHEN STYLE_ID IS NULL THEN 0 ELSE 1 END) AS NULL_COUNT, SUM(CASE WHEN STYLE_ID IS NOT NULL THEN 1 ELSE 0 END) AS NOT_NULL_COUNT FROM CT_STYLE_SIZE WHERE INS_DAY &gt;= '20240101000000'  UNION ALL SELECT 'ATTR1' AS COLUMN_NAME, SUM(CASE WHEN ATTR1 IS NULL THEN 0 ELSE 1 END) AS NULL_COUNT, SUM(CASE WHEN ATTR1 IS NOT NULL THEN 1 ELSE 0 END) AS NOT_NULL_COUNT FROM CT_STYLE_SIZE WHERE INS_DAY &gt;= '20240101000000'  UNION ALL SELECT 'MFAC_PLAN_QTY' AS COLUMN_NAME, SUM(CASE WHEN MFAC_PLAN_QTY IS NULL THEN 0 ELSE 1 END) AS NULL_COUNT, SUM(CASE WHEN MFAC_PLAN_QTY IS NOT NULL THEN 1 ELSE 0 END) AS NOT_NULL_COUNT FROM CT_STYLE_SIZE WHERE INS_DAY &gt;= '20240101000000'  UNION ALL SELECT 'COMPY_CD' AS COLUMN_NAME, SUM(CASE WHEN COMPY_CD IS NULL THEN 0 ELSE 1 END) AS NULL_COUNT, SUM(CASE WHEN COMPY_CD IS NOT NULL THEN 1 ELSE 0 END) AS NOT_NULL_COUNT FROM CT_STYLE_SIZE WHERE INS_DAY &gt;= '20240101000000'  UNION ALL SELECT 'CNCLR_EMP_ID' AS COLUMN_NAME, SUM(CASE WHEN CNCLR_EMP_ID IS NULL THEN 0 ELSE 1 END) AS NULL_COUNT, SUM(CASE WHEN CNCLR_EMP_ID IS NOT NULL THEN 1 ELSE 0 END) AS NOT_NULL_COUNT FROM CT_STYLE_SIZE WHERE INS_DAY &gt;= '20240101000000'  UNION ALL SELECT 'CNCL_DT' AS COLUMN_NAME, SUM(CASE WHEN CNCL_DT IS NULL THEN 0 ELSE 1 END) AS NULL_COUNT, SUM(CASE WHEN CNCL_DT IS NOT NULL THEN 1 ELSE 0 END) AS NOT_NULL_COUNT FROM CT_STYLE_SIZE WHERE INS_DAY &gt;= '20240101000000'  UNION ALL SELECT 'STOR_QTY' AS COLUMN_NAME, SUM(CASE WHEN STOR_QTY IS NULL THEN 0 ELSE 1 END) AS NULL_COUNT, SUM(CASE WHEN STOR_QTY IS NOT NULL THEN 1 ELSE 0 END) AS NOT_NULL_COUNT FROM CT_STYLE_SIZE WHERE INS_DAY &gt;= '20240101000000'  UNION ALL SELECT 'MFAC_INDC_QTY' AS COLUMN_NAME, SUM(CASE WHEN MFAC_INDC_QTY IS NULL THEN 0 ELSE 1 END) AS NULL_COUNT, SUM(CASE WHEN MFAC_INDC_QTY IS NOT NULL THEN 1 ELSE 0 END) AS NOT_NULL_COUNT FROM CT_STYLE_SIZE WHERE INS_DAY &gt;= '20240101000000'  UNION ALL SELECT 'UPT_USERID' AS COLUMN_NAME, SUM(CASE WHEN UPT_USERID IS NULL THEN 0 ELSE 1 END) AS NULL_COUNT, SUM(CASE WHEN UPT_USERID IS NOT NULL THEN 1 ELSE 0 END) AS NOT_NULL_COUNT FROM CT_STYLE_SIZE WHERE INS_DAY &gt;= '20240101000000'  UNION ALL SELECT 'UPT_DAY' AS COLUMN_NAME, SUM(CASE WHEN UPT_DAY IS NULL THEN 0 ELSE 1 END) AS NULL_COUNT, SUM(CASE WHEN UPT_DAY IS NOT NULL THEN 1 ELSE 0 END) AS NOT_NULL_COUNT FROM CT_STYLE_SIZE WHERE INS_DAY &gt;= '20240101000000'  UNION ALL SELECT 'INS_USERID' AS COLUMN_NAME, SUM(CASE WHEN INS_USERID IS NULL THEN 0 ELSE 1 END) AS NULL_COUNT, SUM(CASE WHEN INS_USERID IS NOT NULL THEN 1 ELSE 0 END) AS NOT_NULL_COUNT FROM CT_STYLE_SIZE WHERE INS_DAY &gt;= '20240101000000'  UNION ALL SELECT 'STYLE_HIST_SEQ' AS COLUMN_NAME, SUM(CASE WHEN STYLE_HIST_SEQ IS NULL THEN 0 ELSE 1 END) AS NULL_COUNT, SUM(CASE WHEN STYLE_HIST_SEQ IS NOT NULL THEN 1 ELSE 0 END) AS NOT_NULL_COUNT FROM CT_STYLE_SIZE WHERE INS_DAY &gt;= '20240101000000'  UNION ALL SELECT 'SIZE_CD' AS COLUMN_NAME, SUM(CASE WHEN SIZE_CD IS NULL THEN 0 ELSE 1 END) AS NULL_COUNT, SUM(CASE WHEN SIZE_CD IS NOT NULL THEN 1 ELSE 0 END) AS NOT_NULL_COUNT FROM CT_STYLE_SIZE WHERE INS_DAY &gt;= '20240101000000'  UNION ALL SELECT 'STYLE_ID' AS COLUMN_NAME, SUM(CASE WHEN STYLE_ID IS NULL THEN 0 ELSE 1 END) AS NULL_COUNT, SUM(CASE WHEN STYLE_ID IS NOT NULL THEN 1 ELSE 0 END) AS NOT_NULL_COUNT FROM CT_STYLE_SIZE WHERE INS_DAY &gt;= '20240101000000'  UNION ALL SELECT 'LAST_YN' AS COLUMN_NAME, SUM(CASE WHEN LAST_YN IS NULL THEN 0 ELSE 1 END) AS NULL_COUNT, SUM(CASE WHEN LAST_YN IS NOT NULL THEN 1 ELSE 0 END) AS NOT_NULL_COUNT FROM CT_STYLE_SIZE WHERE INS_DAY &gt;= '20240101000000'  UNION ALL SELECT 'DUTY_RATE' AS COLUMN_NAME, SUM(CASE WHEN DUTY_RATE IS NULL THEN 0 ELSE 1 END) AS NULL_COUNT, SUM(CASE WHEN DUTY_RATE IS NOT NULL THEN 1 ELSE 0 END) AS NOT_NULL_COUNT FROM CT_STYLE_SIZE WHERE INS_DAY &gt;= '20240101000000'  UNION ALL SELECT 'HS_CODE' AS COLUMN_NAME, SUM(CASE WHEN HS_CODE IS NULL THEN 0 ELSE 1 END) AS NULL_COUNT, SUM(CASE WHEN HS_CODE IS NOT NULL THEN 1 ELSE 0 END) AS NOT_NULL_COUNT FROM CT_STYLE_SIZE WHERE INS_DAY &gt;= '20240101000000'  UNION ALL SELECT 'ATTR5' AS COLUMN_NAME, SUM(CASE WHEN ATTR5 IS NULL THEN 0 ELSE 1 END) AS NULL_COUNT, SUM(CASE WHEN ATTR5 IS NOT NULL THEN 1 ELSE 0 END) AS NOT_NULL_COUNT FROM CT_STYLE_SIZE WHERE INS_DAY &gt;= '20240101000000'  UNION ALL SELECT 'ATTR4' AS COLUMN_NAME, SUM(CASE WHEN ATTR4 IS NULL THEN 0 ELSE 1 END) AS NULL_COUNT, SUM(CASE WHEN ATTR4 IS NOT NULL THEN 1 ELSE 0 END) AS NOT_NULL_COUNT FROM CT_STYLE_SIZE WHERE INS_DAY &gt;= '20240101000000'  UNION ALL SELECT 'ATTR3' AS COLUMN_NAME, SUM(CASE WHEN ATTR3 IS NULL THEN 0 ELSE 1 END) AS NULL_COUNT, SUM(CASE WHEN ATTR3 IS NOT NULL THEN 1 ELSE 0 END) AS NOT_NULL_COUNT FROM CT_STYLE_SIZE WHERE INS_DAY &gt;= '20240101000000'  UNION ALL SELECT 'ATTR2' AS COLUMN_NAME, SUM(CASE WHEN ATTR2 IS NULL THEN 0 ELSE 1 END) AS NULL_COUNT, SUM(CASE WHEN ATTR2 IS NOT NULL THEN 1 ELSE 0 END) AS NOT_NULL_COUNT FROM CT_STYLE_SIZE WHERE INS_DAY &gt;= '20240101000000'</t>
  </si>
  <si>
    <t>T_MAT_MATSY_INFO</t>
    <phoneticPr fontId="2" type="noConversion"/>
  </si>
  <si>
    <t>SELECT 'MAT_RMK' AS COLUMN_NAME, SUM(CASE WHEN MAT_RMK IS NULL THEN 0 ELSE 1 END) AS NULL_COUNT, SUM(CASE WHEN MAT_RMK IS NOT NULL THEN 1 ELSE 0 END) AS NOT_NULL_COUNT FROM T_MAT_MATSY_INFO WHERE INS_DAY &gt;= '20240101000000'  UNION ALL SELECT 'MIX_RATE' AS COLUMN_NAME, SUM(CASE WHEN MIX_RATE IS NULL THEN 0 ELSE 1 END) AS NULL_COUNT, SUM(CASE WHEN MIX_RATE IS NOT NULL THEN 1 ELSE 0 END) AS NOT_NULL_COUNT FROM T_MAT_MATSY_INFO WHERE INS_DAY &gt;= '20240101000000'  UNION ALL SELECT 'MAT_BOOK_CD' AS COLUMN_NAME, SUM(CASE WHEN MAT_BOOK_CD IS NULL THEN 0 ELSE 1 END) AS NULL_COUNT, SUM(CASE WHEN MAT_BOOK_CD IS NOT NULL THEN 1 ELSE 0 END) AS NOT_NULL_COUNT FROM T_MAT_MATSY_INFO WHERE INS_DAY &gt;= '20240101000000'  UNION ALL SELECT 'MAT_UPRICE' AS COLUMN_NAME, SUM(CASE WHEN MAT_UPRICE IS NULL THEN 0 ELSE 1 END) AS NULL_COUNT, SUM(CASE WHEN MAT_UPRICE IS NOT NULL THEN 1 ELSE 0 END) AS NOT_NULL_COUNT FROM T_MAT_MATSY_INFO WHERE INS_DAY &gt;= '20240101000000'  UNION ALL SELECT 'ATTR5' AS COLUMN_NAME, SUM(CASE WHEN ATTR5 IS NULL THEN 0 ELSE 1 END) AS NULL_COUNT, SUM(CASE WHEN ATTR5 IS NOT NULL THEN 1 ELSE 0 END) AS NOT_NULL_COUNT FROM T_MAT_MATSY_INFO WHERE INS_DAY &gt;= '20240101000000'  UNION ALL SELECT 'ATTR4' AS COLUMN_NAME, SUM(CASE WHEN ATTR4 IS NULL THEN 0 ELSE 1 END) AS NULL_COUNT, SUM(CASE WHEN ATTR4 IS NOT NULL THEN 1 ELSE 0 END) AS NOT_NULL_COUNT FROM T_MAT_MATSY_INFO WHERE INS_DAY &gt;= '20240101000000'  UNION ALL SELECT 'ATTR3' AS COLUMN_NAME, SUM(CASE WHEN ATTR3 IS NULL THEN 0 ELSE 1 END) AS NULL_COUNT, SUM(CASE WHEN ATTR3 IS NOT NULL THEN 1 ELSE 0 END) AS NOT_NULL_COUNT FROM T_MAT_MATSY_INFO WHERE INS_DAY &gt;= '20240101000000'  UNION ALL SELECT 'ATTR2' AS COLUMN_NAME, SUM(CASE WHEN ATTR2 IS NULL THEN 0 ELSE 1 END) AS NULL_COUNT, SUM(CASE WHEN ATTR2 IS NOT NULL THEN 1 ELSE 0 END) AS NOT_NULL_COUNT FROM T_MAT_MATSY_INFO WHERE INS_DAY &gt;= '20240101000000'  UNION ALL SELECT 'ATTR1' AS COLUMN_NAME, SUM(CASE WHEN ATTR1 IS NULL THEN 0 ELSE 1 END) AS NULL_COUNT, SUM(CASE WHEN ATTR1 IS NOT NULL THEN 1 ELSE 0 END) AS NOT_NULL_COUNT FROM T_MAT_MATSY_INFO WHERE INS_DAY &gt;= '20240101000000'  UNION ALL SELECT 'COMPY_CD' AS COLUMN_NAME, SUM(CASE WHEN COMPY_CD IS NULL THEN 0 ELSE 1 END) AS NULL_COUNT, SUM(CASE WHEN COMPY_CD IS NOT NULL THEN 1 ELSE 0 END) AS NOT_NULL_COUNT FROM T_MAT_MATSY_INFO WHERE INS_DAY &gt;= '20240101000000'  UNION ALL SELECT 'DEL_USERID' AS COLUMN_NAME, SUM(CASE WHEN DEL_USERID IS NULL THEN 0 ELSE 1 END) AS NULL_COUNT, SUM(CASE WHEN DEL_USERID IS NOT NULL THEN 1 ELSE 0 END) AS NOT_NULL_COUNT FROM T_MAT_MATSY_INFO WHERE INS_DAY &gt;= '20240101000000'  UNION ALL SELECT 'DEL_DAY' AS COLUMN_NAME, SUM(CASE WHEN DEL_DAY IS NULL THEN 0 ELSE 1 END) AS NULL_COUNT, SUM(CASE WHEN DEL_DAY IS NOT NULL THEN 1 ELSE 0 END) AS NOT_NULL_COUNT FROM T_MAT_MATSY_INFO WHERE INS_DAY &gt;= '20240101000000'  UNION ALL SELECT 'UPT_USERID' AS COLUMN_NAME, SUM(CASE WHEN UPT_USERID IS NULL THEN 0 ELSE 1 END) AS NULL_COUNT, SUM(CASE WHEN UPT_USERID IS NOT NULL THEN 1 ELSE 0 END) AS NOT_NULL_COUNT FROM T_MAT_MATSY_INFO WHERE INS_DAY &gt;= '20240101000000'  UNION ALL SELECT 'UPT_DAY' AS COLUMN_NAME, SUM(CASE WHEN UPT_DAY IS NULL THEN 0 ELSE 1 END) AS NULL_COUNT, SUM(CASE WHEN UPT_DAY IS NOT NULL THEN 1 ELSE 0 END) AS NOT_NULL_COUNT FROM T_MAT_MATSY_INFO WHERE INS_DAY &gt;= '20240101000000'  UNION ALL SELECT 'INS_USERID' AS COLUMN_NAME, SUM(CASE WHEN INS_USERID IS NULL THEN 0 ELSE 1 END) AS NULL_COUNT, SUM(CASE WHEN INS_USERID IS NOT NULL THEN 1 ELSE 0 END) AS NOT_NULL_COUNT FROM T_MAT_MATSY_INFO WHERE INS_DAY &gt;= '20240101000000'  UNION ALL SELECT 'MAT_MEMO' AS COLUMN_NAME, SUM(CASE WHEN MAT_MEMO IS NULL THEN 0 ELSE 1 END) AS NULL_COUNT, SUM(CASE WHEN MAT_MEMO IS NOT NULL THEN 1 ELSE 0 END) AS NOT_NULL_COUNT FROM T_MAT_MATSY_INFO WHERE INS_DAY &gt;= '20240101000000'  UNION ALL SELECT 'MFAC_BUY_PARTY_ID' AS COLUMN_NAME, SUM(CASE WHEN MFAC_BUY_PARTY_ID IS NULL THEN 0 ELSE 1 END) AS NULL_COUNT, SUM(CASE WHEN MFAC_BUY_PARTY_ID IS NOT NULL THEN 1 ELSE 0 END) AS NOT_NULL_COUNT FROM T_MAT_MATSY_INFO WHERE INS_DAY &gt;= '20240101000000'  UNION ALL SELECT 'REAL_NEED_QTY' AS COLUMN_NAME, SUM(CASE WHEN REAL_NEED_QTY IS NULL THEN 0 ELSE 1 END) AS NULL_COUNT, SUM(CASE WHEN REAL_NEED_QTY IS NOT NULL THEN 1 ELSE 0 END) AS NOT_NULL_COUNT FROM T_MAT_MATSY_INFO WHERE INS_DAY &gt;= '20240101000000'  UNION ALL SELECT 'STAN_NEED_QTY' AS COLUMN_NAME, SUM(CASE WHEN STAN_NEED_QTY IS NULL THEN 0 ELSE 1 END) AS NULL_COUNT, SUM(CASE WHEN STAN_NEED_QTY IS NOT NULL THEN 1 ELSE 0 END) AS NOT_NULL_COUNT FROM T_MAT_MATSY_INFO WHERE INS_DAY &gt;= '20240101000000'  UNION ALL SELECT 'QTY' AS COLUMN_NAME, SUM(CASE WHEN QTY IS NULL THEN 0 ELSE 1 END) AS NULL_COUNT, SUM(CASE WHEN QTY IS NOT NULL THEN 1 ELSE 0 END) AS NOT_NULL_COUNT FROM T_MAT_MATSY_INFO WHERE INS_DAY &gt;= '20240101000000'  UNION ALL SELECT 'REAL_UQOF' AS COLUMN_NAME, SUM(CASE WHEN REAL_UQOF IS NULL THEN 0 ELSE 1 END) AS NULL_COUNT, SUM(CASE WHEN REAL_UQOF IS NOT NULL THEN 1 ELSE 0 END) AS NOT_NULL_COUNT FROM T_MAT_MATSY_INFO WHERE INS_DAY &gt;= '20240101000000'  UNION ALL SELECT 'STAN_UQOF' AS COLUMN_NAME, SUM(CASE WHEN STAN_UQOF IS NULL THEN 0 ELSE 1 END) AS NULL_COUNT, SUM(CASE WHEN STAN_UQOF IS NOT NULL THEN 1 ELSE 0 END) AS NOT_NULL_COUNT FROM T_MAT_MATSY_INFO WHERE INS_DAY &gt;= '20240101000000'  UNION ALL SELECT 'UNIT' AS COLUMN_NAME, SUM(CASE WHEN UNIT IS NULL THEN 0 ELSE 1 END) AS NULL_COUNT, SUM(CASE WHEN UNIT IS NOT NULL THEN 1 ELSE 0 END) AS NOT_NULL_COUNT FROM T_MAT_MATSY_INFO WHERE INS_DAY &gt;= '20240101000000'  UNION ALL SELECT 'STND' AS COLUMN_NAME, SUM(CASE WHEN STND IS NULL THEN 0 ELSE 1 END) AS NULL_COUNT, SUM(CASE WHEN STND IS NOT NULL THEN 1 ELSE 0 END) AS NOT_NULL_COUNT FROM T_MAT_MATSY_INFO WHERE INS_DAY &gt;= '20240101000000'  UNION ALL SELECT 'USE_PART' AS COLUMN_NAME, SUM(CASE WHEN USE_PART IS NULL THEN 0 ELSE 1 END) AS NULL_COUNT, SUM(CASE WHEN USE_PART IS NOT NULL THEN 1 ELSE 0 END) AS NOT_NULL_COUNT FROM T_MAT_MATSY_INFO WHERE INS_DAY &gt;= '20240101000000'  UNION ALL SELECT 'MAT_COLOR' AS COLUMN_NAME, SUM(CASE WHEN MAT_COLOR IS NULL THEN 0 ELSE 1 END) AS NULL_COUNT, SUM(CASE WHEN MAT_COLOR IS NOT NULL THEN 1 ELSE 0 END) AS NOT_NULL_COUNT FROM T_MAT_MATSY_INFO WHERE INS_DAY &gt;= '20240101000000'  UNION ALL SELECT 'MAT_KIND' AS COLUMN_NAME, SUM(CASE WHEN MAT_KIND IS NULL THEN 0 ELSE 1 END) AS NULL_COUNT, SUM(CASE WHEN MAT_KIND IS NOT NULL THEN 1 ELSE 0 END) AS NOT_NULL_COUNT FROM T_MAT_MATSY_INFO WHERE INS_DAY &gt;= '20240101000000'  UNION ALL SELECT 'MAT_CLSBY_CD' AS COLUMN_NAME, SUM(CASE WHEN MAT_CLSBY_CD IS NULL THEN 0 ELSE 1 END) AS NULL_COUNT, SUM(CASE WHEN MAT_CLSBY_CD IS NOT NULL THEN 1 ELSE 0 END) AS NOT_NULL_COUNT FROM T_MAT_MATSY_INFO WHERE INS_DAY &gt;= '20240101000000'  UNION ALL SELECT 'MAT_NM' AS COLUMN_NAME, SUM(CASE WHEN MAT_NM IS NULL THEN 0 ELSE 1 END) AS NULL_COUNT, SUM(CASE WHEN MAT_NM IS NOT NULL THEN 1 ELSE 0 END) AS NOT_NULL_COUNT FROM T_MAT_MATSY_INFO WHERE INS_DAY &gt;= '20240101000000'  UNION ALL SELECT 'MAT_ID' AS COLUMN_NAME, SUM(CASE WHEN MAT_ID IS NULL THEN 0 ELSE 1 END) AS NULL_COUNT, SUM(CASE WHEN MAT_ID IS NOT NULL THEN 1 ELSE 0 END) AS NOT_NULL_COUNT FROM T_MAT_MATSY_INFO WHERE INS_DAY &gt;= '20240101000000'  UNION ALL SELECT 'SEQ' AS COLUMN_NAME, SUM(CASE WHEN SEQ IS NULL THEN 0 ELSE 1 END) AS NULL_COUNT, SUM(CASE WHEN SEQ IS NOT NULL THEN 1 ELSE 0 END) AS NOT_NULL_COUNT FROM T_MAT_MATSY_INFO WHERE INS_DAY &gt;= '20240101000000'  UNION ALL SELECT 'STYLE_SEQN' AS COLUMN_NAME, SUM(CASE WHEN STYLE_SEQN IS NULL THEN 0 ELSE 1 END) AS NULL_COUNT, SUM(CASE WHEN STYLE_SEQN IS NOT NULL THEN 1 ELSE 0 END) AS NOT_NULL_COUNT FROM T_MAT_MATSY_INFO WHERE INS_DAY &gt;= '20240101000000'  UNION ALL SELECT 'PRDT_CD' AS COLUMN_NAME, SUM(CASE WHEN PRDT_CD IS NULL THEN 0 ELSE 1 END) AS NULL_COUNT, SUM(CASE WHEN PRDT_CD IS NOT NULL THEN 1 ELSE 0 END) AS NOT_NULL_COUNT FROM T_MAT_MATSY_INFO WHERE INS_DAY &gt;= '20240101000000'  UNION ALL SELECT 'PRTY_RANK' AS COLUMN_NAME, SUM(CASE WHEN PRTY_RANK IS NULL THEN 0 ELSE 1 END) AS NULL_COUNT, SUM(CASE WHEN PRTY_RANK IS NOT NULL THEN 1 ELSE 0 END) AS NOT_NULL_COUNT FROM T_MAT_MATSY_INFO WHERE INS_DAY &gt;= '20240101000000'  UNION ALL SELECT 'MAT_CLSBY_S_CD' AS COLUMN_NAME, SUM(CASE WHEN MAT_CLSBY_S_CD IS NULL THEN 0 ELSE 1 END) AS NULL_COUNT, SUM(CASE WHEN MAT_CLSBY_S_CD IS NOT NULL THEN 1 ELSE 0 END) AS NOT_NULL_COUNT FROM T_MAT_MATSY_INFO WHERE INS_DAY &gt;= '20240101000000'  UNION ALL SELECT 'MAT_CLSBY_B_CD' AS COLUMN_NAME, SUM(CASE WHEN MAT_CLSBY_B_CD IS NULL THEN 0 ELSE 1 END) AS NULL_COUNT, SUM(CASE WHEN MAT_CLSBY_B_CD IS NOT NULL THEN 1 ELSE 0 END) AS NOT_NULL_COUNT FROM T_MAT_MATSY_INFO WHERE INS_DAY &gt;= '20240101000000'  UNION ALL SELECT 'FBR_PART_MAPP_CLSBY_CD' AS COLUMN_NAME, SUM(CASE WHEN FBR_PART_MAPP_CLSBY_CD IS NULL THEN 0 ELSE 1 END) AS NULL_COUNT, SUM(CASE WHEN FBR_PART_MAPP_CLSBY_CD IS NOT NULL THEN 1 ELSE 0 END) AS NOT_NULL_COUNT FROM T_MAT_MATSY_INFO WHERE INS_DAY &gt;= '20240101000000'  UNION ALL SELECT 'FBR_PART_CLSBY_CD' AS COLUMN_NAME, SUM(CASE WHEN FBR_PART_CLSBY_CD IS NULL THEN 0 ELSE 1 END) AS NULL_COUNT, SUM(CASE WHEN FBR_PART_CLSBY_CD IS NOT NULL THEN 1 ELSE 0 END) AS NOT_NULL_COUNT FROM T_MAT_MATSY_INFO WHERE INS_DAY &gt;= '20240101000000'</t>
  </si>
  <si>
    <t>SELECT 'ATTR5' AS COLUMN_NAME, SUM(CASE WHEN ATTR5 IS NULL THEN 0 ELSE 1 END) AS NULL_COUNT, SUM(CASE WHEN ATTR5 IS NOT NULL THEN 1 ELSE 0 END) AS NOT_NULL_COUNT FROM T_SIZE_SPEC WHERE INS_DAY &gt;= '20240101000000'  UNION ALL SELECT 'ATTR4' AS COLUMN_NAME, SUM(CASE WHEN ATTR4 IS NULL THEN 0 ELSE 1 END) AS NULL_COUNT, SUM(CASE WHEN ATTR4 IS NOT NULL THEN 1 ELSE 0 END) AS NOT_NULL_COUNT FROM T_SIZE_SPEC WHERE INS_DAY &gt;= '20240101000000'  UNION ALL SELECT 'ATTR3' AS COLUMN_NAME, SUM(CASE WHEN ATTR3 IS NULL THEN 0 ELSE 1 END) AS NULL_COUNT, SUM(CASE WHEN ATTR3 IS NOT NULL THEN 1 ELSE 0 END) AS NOT_NULL_COUNT FROM T_SIZE_SPEC WHERE INS_DAY &gt;= '20240101000000'  UNION ALL SELECT 'ATTR2' AS COLUMN_NAME, SUM(CASE WHEN ATTR2 IS NULL THEN 0 ELSE 1 END) AS NULL_COUNT, SUM(CASE WHEN ATTR2 IS NOT NULL THEN 1 ELSE 0 END) AS NOT_NULL_COUNT FROM T_SIZE_SPEC WHERE INS_DAY &gt;= '20240101000000'  UNION ALL SELECT 'ATTR1' AS COLUMN_NAME, SUM(CASE WHEN ATTR1 IS NULL THEN 0 ELSE 1 END) AS NULL_COUNT, SUM(CASE WHEN ATTR1 IS NOT NULL THEN 1 ELSE 0 END) AS NOT_NULL_COUNT FROM T_SIZE_SPEC WHERE INS_DAY &gt;= '20240101000000'  UNION ALL SELECT 'COMPY_CD' AS COLUMN_NAME, SUM(CASE WHEN COMPY_CD IS NULL THEN 0 ELSE 1 END) AS NULL_COUNT, SUM(CASE WHEN COMPY_CD IS NOT NULL THEN 1 ELSE 0 END) AS NOT_NULL_COUNT FROM T_SIZE_SPEC WHERE INS_DAY &gt;= '20240101000000'  UNION ALL SELECT 'DEL_USERID' AS COLUMN_NAME, SUM(CASE WHEN DEL_USERID IS NULL THEN 0 ELSE 1 END) AS NULL_COUNT, SUM(CASE WHEN DEL_USERID IS NOT NULL THEN 1 ELSE 0 END) AS NOT_NULL_COUNT FROM T_SIZE_SPEC WHERE INS_DAY &gt;= '20240101000000'  UNION ALL SELECT 'DEL_DAY' AS COLUMN_NAME, SUM(CASE WHEN DEL_DAY IS NULL THEN 0 ELSE 1 END) AS NULL_COUNT, SUM(CASE WHEN DEL_DAY IS NOT NULL THEN 1 ELSE 0 END) AS NOT_NULL_COUNT FROM T_SIZE_SPEC WHERE INS_DAY &gt;= '20240101000000'  UNION ALL SELECT 'UPT_USERID' AS COLUMN_NAME, SUM(CASE WHEN UPT_USERID IS NULL THEN 0 ELSE 1 END) AS NULL_COUNT, SUM(CASE WHEN UPT_USERID IS NOT NULL THEN 1 ELSE 0 END) AS NOT_NULL_COUNT FROM T_SIZE_SPEC WHERE INS_DAY &gt;= '20240101000000'  UNION ALL SELECT 'UPT_DAY' AS COLUMN_NAME, SUM(CASE WHEN UPT_DAY IS NULL THEN 0 ELSE 1 END) AS NULL_COUNT, SUM(CASE WHEN UPT_DAY IS NOT NULL THEN 1 ELSE 0 END) AS NOT_NULL_COUNT FROM T_SIZE_SPEC WHERE INS_DAY &gt;= '20240101000000'  UNION ALL SELECT 'INS_USERID' AS COLUMN_NAME, SUM(CASE WHEN INS_USERID IS NULL THEN 0 ELSE 1 END) AS NULL_COUNT, SUM(CASE WHEN INS_USERID IS NOT NULL THEN 1 ELSE 0 END) AS NOT_NULL_COUNT FROM T_SIZE_SPEC WHERE INS_DAY &gt;= '20240101000000'  UNION ALL SELECT 'SIZE_SPEC' AS COLUMN_NAME, SUM(CASE WHEN SIZE_SPEC IS NULL THEN 0 ELSE 1 END) AS NULL_COUNT, SUM(CASE WHEN SIZE_SPEC IS NOT NULL THEN 1 ELSE 0 END) AS NOT_NULL_COUNT FROM T_SIZE_SPEC WHERE INS_DAY &gt;= '20240101000000'  UNION ALL SELECT 'PUSE_PART' AS COLUMN_NAME, SUM(CASE WHEN PUSE_PART IS NULL THEN 0 ELSE 1 END) AS NULL_COUNT, SUM(CASE WHEN PUSE_PART IS NOT NULL THEN 1 ELSE 0 END) AS NOT_NULL_COUNT FROM T_SIZE_SPEC WHERE INS_DAY &gt;= '20240101000000'  UNION ALL SELECT 'SEQ' AS COLUMN_NAME, SUM(CASE WHEN SEQ IS NULL THEN 0 ELSE 1 END) AS NULL_COUNT, SUM(CASE WHEN SEQ IS NOT NULL THEN 1 ELSE 0 END) AS NOT_NULL_COUNT FROM T_SIZE_SPEC WHERE INS_DAY &gt;= '20240101000000'  UNION ALL SELECT 'SIZE_CD' AS COLUMN_NAME, SUM(CASE WHEN SIZE_CD IS NULL THEN 0 ELSE 1 END) AS NULL_COUNT, SUM(CASE WHEN SIZE_CD IS NOT NULL THEN 1 ELSE 0 END) AS NOT_NULL_COUNT FROM T_SIZE_SPEC WHERE INS_DAY &gt;= '20240101000000'  UNION ALL SELECT 'STYLE_SEQN' AS COLUMN_NAME, SUM(CASE WHEN STYLE_SEQN IS NULL THEN 0 ELSE 1 END) AS NULL_COUNT, SUM(CASE WHEN STYLE_SEQN IS NOT NULL THEN 1 ELSE 0 END) AS NOT_NULL_COUNT FROM T_SIZE_SPEC WHERE INS_DAY &gt;= '20240101000000'  UNION ALL SELECT 'PRDT_CD' AS COLUMN_NAME, SUM(CASE WHEN PRDT_CD IS NULL THEN 0 ELSE 1 END) AS NULL_COUNT, SUM(CASE WHEN PRDT_CD IS NOT NULL THEN 1 ELSE 0 END) AS NOT_NULL_COUNT FROM T_SIZE_SPEC WHERE INS_DAY &gt;= '20240101000000'</t>
  </si>
  <si>
    <t>T_PRDT_KIND</t>
    <phoneticPr fontId="2" type="noConversion"/>
  </si>
  <si>
    <t>SELECT 'ONLINE_CTG4' AS COLUMN_NAME, SUM(CASE WHEN ONLINE_CTG4 IS NULL THEN 0 ELSE 1 END) AS NULL_COUNT, SUM(CASE WHEN ONLINE_CTG4 IS NOT NULL THEN 1 ELSE 0 END) AS NOT_NULL_COUNT FROM T_PRDT_PROP WHERE INS_DAY &gt;= '20240101000000'  UNION ALL SELECT 'ONLINE_CTG3' AS COLUMN_NAME, SUM(CASE WHEN ONLINE_CTG3 IS NULL THEN 0 ELSE 1 END) AS NULL_COUNT, SUM(CASE WHEN ONLINE_CTG3 IS NOT NULL THEN 1 ELSE 0 END) AS NOT_NULL_COUNT FROM T_PRDT_PROP WHERE INS_DAY &gt;= '20240101000000'  UNION ALL SELECT 'ONLINE_CTG2' AS COLUMN_NAME, SUM(CASE WHEN ONLINE_CTG2 IS NULL THEN 0 ELSE 1 END) AS NULL_COUNT, SUM(CASE WHEN ONLINE_CTG2 IS NOT NULL THEN 1 ELSE 0 END) AS NOT_NULL_COUNT FROM T_PRDT_PROP WHERE INS_DAY &gt;= '20240101000000'  UNION ALL SELECT 'ONLINE_CTG1' AS COLUMN_NAME, SUM(CASE WHEN ONLINE_CTG1 IS NULL THEN 0 ELSE 1 END) AS NULL_COUNT, SUM(CASE WHEN ONLINE_CTG1 IS NOT NULL THEN 1 ELSE 0 END) AS NOT_NULL_COUNT FROM T_PRDT_PROP WHERE INS_DAY &gt;= '20240101000000'  UNION ALL SELECT 'UPT_USERID' AS COLUMN_NAME, SUM(CASE WHEN UPT_USERID IS NULL THEN 0 ELSE 1 END) AS NULL_COUNT, SUM(CASE WHEN UPT_USERID IS NOT NULL THEN 1 ELSE 0 END) AS NOT_NULL_COUNT FROM T_PRDT_PROP WHERE INS_DAY &gt;= '20240101000000'  UNION ALL SELECT 'UPT_DAY' AS COLUMN_NAME, SUM(CASE WHEN UPT_DAY IS NULL THEN 0 ELSE 1 END) AS NULL_COUNT, SUM(CASE WHEN UPT_DAY IS NOT NULL THEN 1 ELSE 0 END) AS NOT_NULL_COUNT FROM T_PRDT_PROP WHERE INS_DAY &gt;= '20240101000000'  UNION ALL SELECT 'INS_USERID' AS COLUMN_NAME, SUM(CASE WHEN INS_USERID IS NULL THEN 0 ELSE 1 END) AS NULL_COUNT, SUM(CASE WHEN INS_USERID IS NOT NULL THEN 1 ELSE 0 END) AS NOT_NULL_COUNT FROM T_PRDT_PROP WHERE INS_DAY &gt;= '20240101000000'  UNION ALL SELECT 'LINNING' AS COLUMN_NAME, SUM(CASE WHEN LINNING IS NULL THEN 0 ELSE 1 END) AS NULL_COUNT, SUM(CASE WHEN LINNING IS NOT NULL THEN 1 ELSE 0 END) AS NOT_NULL_COUNT FROM T_PRDT_PROP WHERE INS_DAY &gt;= '20240101000000'  UNION ALL SELECT 'GARMENT_FINISH' AS COLUMN_NAME, SUM(CASE WHEN GARMENT_FINISH IS NULL THEN 0 ELSE 1 END) AS NULL_COUNT, SUM(CASE WHEN GARMENT_FINISH IS NOT NULL THEN 1 ELSE 0 END) AS NOT_NULL_COUNT FROM T_PRDT_PROP WHERE INS_DAY &gt;= '20240101000000'  UNION ALL SELECT 'OTHER_DETAIL' AS COLUMN_NAME, SUM(CASE WHEN OTHER_DETAIL IS NULL THEN 0 ELSE 1 END) AS NULL_COUNT, SUM(CASE WHEN OTHER_DETAIL IS NOT NULL THEN 1 ELSE 0 END) AS NOT_NULL_COUNT FROM T_PRDT_PROP WHERE INS_DAY &gt;= '20240101000000'  UNION ALL SELECT 'LENGTH' AS COLUMN_NAME, SUM(CASE WHEN LENGTH IS NULL THEN 0 ELSE 1 END) AS NULL_COUNT, SUM(CASE WHEN LENGTH IS NOT NULL THEN 1 ELSE 0 END) AS NOT_NULL_COUNT FROM T_PRDT_PROP WHERE INS_DAY &gt;= '20240101000000'  UNION ALL SELECT 'WAIST' AS COLUMN_NAME, SUM(CASE WHEN WAIST IS NULL THEN 0 ELSE 1 END) AS NULL_COUNT, SUM(CASE WHEN WAIST IS NOT NULL THEN 1 ELSE 0 END) AS NOT_NULL_COUNT FROM T_PRDT_PROP WHERE INS_DAY &gt;= '20240101000000'  UNION ALL SELECT 'SLEEVE' AS COLUMN_NAME, SUM(CASE WHEN SLEEVE IS NULL THEN 0 ELSE 1 END) AS NULL_COUNT, SUM(CASE WHEN SLEEVE IS NOT NULL THEN 1 ELSE 0 END) AS NOT_NULL_COUNT FROM T_PRDT_PROP WHERE INS_DAY &gt;= '20240101000000'  UNION ALL SELECT 'FRONT' AS COLUMN_NAME, SUM(CASE WHEN FRONT IS NULL THEN 0 ELSE 1 END) AS NULL_COUNT, SUM(CASE WHEN FRONT IS NOT NULL THEN 1 ELSE 0 END) AS NOT_NULL_COUNT FROM T_PRDT_PROP WHERE INS_DAY &gt;= '20240101000000'  UNION ALL SELECT 'NECK' AS COLUMN_NAME, SUM(CASE WHEN NECK IS NULL THEN 0 ELSE 1 END) AS NULL_COUNT, SUM(CASE WHEN NECK IS NOT NULL THEN 1 ELSE 0 END) AS NOT_NULL_COUNT FROM T_PRDT_PROP WHERE INS_DAY &gt;= '20240101000000'  UNION ALL SELECT 'WEIGHT' AS COLUMN_NAME, SUM(CASE WHEN WEIGHT IS NULL THEN 0 ELSE 1 END) AS NULL_COUNT, SUM(CASE WHEN WEIGHT IS NOT NULL THEN 1 ELSE 0 END) AS NOT_NULL_COUNT FROM T_PRDT_PROP WHERE INS_DAY &gt;= '20240101000000'  UNION ALL SELECT 'FABRIC_FINISH' AS COLUMN_NAME, SUM(CASE WHEN FABRIC_FINISH IS NULL THEN 0 ELSE 1 END) AS NULL_COUNT, SUM(CASE WHEN FABRIC_FINISH IS NOT NULL THEN 1 ELSE 0 END) AS NOT_NULL_COUNT FROM T_PRDT_PROP WHERE INS_DAY &gt;= '20240101000000'  UNION ALL SELECT 'FABRICATION' AS COLUMN_NAME, SUM(CASE WHEN FABRICATION IS NULL THEN 0 ELSE 1 END) AS NULL_COUNT, SUM(CASE WHEN FABRICATION IS NOT NULL THEN 1 ELSE 0 END) AS NOT_NULL_COUNT FROM T_PRDT_PROP WHERE INS_DAY &gt;= '20240101000000'  UNION ALL SELECT 'FIBER4' AS COLUMN_NAME, SUM(CASE WHEN FIBER4 IS NULL THEN 0 ELSE 1 END) AS NULL_COUNT, SUM(CASE WHEN FIBER4 IS NOT NULL THEN 1 ELSE 0 END) AS NOT_NULL_COUNT FROM T_PRDT_PROP WHERE INS_DAY &gt;= '20240101000000'  UNION ALL SELECT 'FIBER3' AS COLUMN_NAME, SUM(CASE WHEN FIBER3 IS NULL THEN 0 ELSE 1 END) AS NULL_COUNT, SUM(CASE WHEN FIBER3 IS NOT NULL THEN 1 ELSE 0 END) AS NOT_NULL_COUNT FROM T_PRDT_PROP WHERE INS_DAY &gt;= '20240101000000'  UNION ALL SELECT 'FIBER2' AS COLUMN_NAME, SUM(CASE WHEN FIBER2 IS NULL THEN 0 ELSE 1 END) AS NULL_COUNT, SUM(CASE WHEN FIBER2 IS NOT NULL THEN 1 ELSE 0 END) AS NOT_NULL_COUNT FROM T_PRDT_PROP WHERE INS_DAY &gt;= '20240101000000'  UNION ALL SELECT 'FIBER1' AS COLUMN_NAME, SUM(CASE WHEN FIBER1 IS NULL THEN 0 ELSE 1 END) AS NULL_COUNT, SUM(CASE WHEN FIBER1 IS NOT NULL THEN 1 ELSE 0 END) AS NOT_NULL_COUNT FROM T_PRDT_PROP WHERE INS_DAY &gt;= '20240101000000'  UNION ALL SELECT 'FIT' AS COLUMN_NAME, SUM(CASE WHEN FIT IS NULL THEN 0 ELSE 1 END) AS NULL_COUNT, SUM(CASE WHEN FIT IS NOT NULL THEN 1 ELSE 0 END) AS NOT_NULL_COUNT FROM T_PRDT_PROP WHERE INS_DAY &gt;= '20240101000000'  UNION ALL SELECT 'COLOR_TYPE' AS COLUMN_NAME, SUM(CASE WHEN COLOR_TYPE IS NULL THEN 0 ELSE 1 END) AS NULL_COUNT, SUM(CASE WHEN COLOR_TYPE IS NOT NULL THEN 1 ELSE 0 END) AS NOT_NULL_COUNT FROM T_PRDT_PROP WHERE INS_DAY &gt;= '20240101000000'  UNION ALL SELECT 'FABRIC_TYPE' AS COLUMN_NAME, SUM(CASE WHEN FABRIC_TYPE IS NULL THEN 0 ELSE 1 END) AS NULL_COUNT, SUM(CASE WHEN FABRIC_TYPE IS NOT NULL THEN 1 ELSE 0 END) AS NOT_NULL_COUNT FROM T_PRDT_PROP WHERE INS_DAY &gt;= '20240101000000'  UNION ALL SELECT 'PROGRAM' AS COLUMN_NAME, SUM(CASE WHEN PROGRAM IS NULL THEN 0 ELSE 1 END) AS NULL_COUNT, SUM(CASE WHEN PROGRAM IS NOT NULL THEN 1 ELSE 0 END) AS NOT_NULL_COUNT FROM T_PRDT_PROP WHERE INS_DAY &gt;= '20240101000000'  UNION ALL SELECT 'CATEGORY' AS COLUMN_NAME, SUM(CASE WHEN CATEGORY IS NULL THEN 0 ELSE 1 END) AS NULL_COUNT, SUM(CASE WHEN CATEGORY IS NOT NULL THEN 1 ELSE 0 END) AS NOT_NULL_COUNT FROM T_PRDT_PROP WHERE INS_DAY &gt;= '20240101000000'  UNION ALL SELECT 'APPAREL_TYPE' AS COLUMN_NAME, SUM(CASE WHEN APPAREL_TYPE IS NULL THEN 0 ELSE 1 END) AS NULL_COUNT, SUM(CASE WHEN APPAREL_TYPE IS NOT NULL THEN 1 ELSE 0 END) AS NOT_NULL_COUNT FROM T_PRDT_PROP WHERE INS_DAY &gt;= '20240101000000'  UNION ALL SELECT 'PRDT_CD' AS COLUMN_NAME, SUM(CASE WHEN PRDT_CD IS NULL THEN 0 ELSE 1 END) AS NULL_COUNT, SUM(CASE WHEN PRDT_CD IS NOT NULL THEN 1 ELSE 0 END) AS NOT_NULL_COUNT FROM T_PRDT_PROP WHERE INS_DAY &gt;= '20240101000000'</t>
  </si>
  <si>
    <t>ONLINE_CTG1
ONLINE_CTG2
ONLINE_CTG3
ONLINE_CTG4</t>
    <phoneticPr fontId="2" type="noConversion"/>
  </si>
  <si>
    <t>[작업지시 T_WORK_INDC]</t>
    <phoneticPr fontId="2" type="noConversion"/>
  </si>
  <si>
    <t>- 테이블 : T_SHOP, T_SHOP_BRD, T_SHOP_HIST</t>
    <phoneticPr fontId="2" type="noConversion"/>
  </si>
  <si>
    <t xml:space="preserve"> [참고] 매장정보 자사몰 DP여부는 T_SHOP 
         매장브랜드 정보 자사몰 DP여부는 T_SHOP_BRD </t>
    <phoneticPr fontId="2" type="noConversion"/>
  </si>
  <si>
    <t>화면 사용여부</t>
    <phoneticPr fontId="2" type="noConversion"/>
  </si>
  <si>
    <t>X</t>
  </si>
  <si>
    <t>O</t>
  </si>
  <si>
    <t>O</t>
    <phoneticPr fontId="2" type="noConversion"/>
  </si>
  <si>
    <t>O</t>
    <phoneticPr fontId="2" type="noConversion"/>
  </si>
  <si>
    <t>O</t>
    <phoneticPr fontId="2" type="noConversion"/>
  </si>
  <si>
    <t>Y</t>
    <phoneticPr fontId="2" type="noConversion"/>
  </si>
  <si>
    <t>화면 사용여부 결정</t>
    <phoneticPr fontId="2" type="noConversion"/>
  </si>
  <si>
    <t>화면 사용여부 결정</t>
    <phoneticPr fontId="2" type="noConversion"/>
  </si>
  <si>
    <t>O</t>
    <phoneticPr fontId="2" type="noConversion"/>
  </si>
  <si>
    <t>O</t>
    <phoneticPr fontId="2" type="noConversion"/>
  </si>
  <si>
    <t>화면 사용여부 결정</t>
    <phoneticPr fontId="2" type="noConversion"/>
  </si>
  <si>
    <t>Y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</si>
  <si>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</si>
  <si>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</si>
  <si>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</si>
  <si>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매장브랜드 정보 화면에서 등록된 정보를 가져와
없어도 무방하다고 판단되나 매장정보에서 볼 
수 있어야 할 것 같음</t>
    <phoneticPr fontId="2" type="noConversion"/>
  </si>
  <si>
    <t>○</t>
    <phoneticPr fontId="2" type="noConversion"/>
  </si>
  <si>
    <t>○</t>
    <phoneticPr fontId="2" type="noConversion"/>
  </si>
  <si>
    <t>○</t>
    <phoneticPr fontId="2" type="noConversion"/>
  </si>
  <si>
    <t>○</t>
    <phoneticPr fontId="2" type="noConversion"/>
  </si>
  <si>
    <t>○</t>
    <phoneticPr fontId="2" type="noConversion"/>
  </si>
  <si>
    <t>Y</t>
    <phoneticPr fontId="2" type="noConversion"/>
  </si>
  <si>
    <t>T_PRDT</t>
    <phoneticPr fontId="2" type="noConversion"/>
  </si>
  <si>
    <t>PRDT_IMG_URL</t>
    <phoneticPr fontId="2" type="noConversion"/>
  </si>
  <si>
    <t>소매가 1차 추정원가</t>
    <phoneticPr fontId="2" type="noConversion"/>
  </si>
  <si>
    <t>X</t>
    <phoneticPr fontId="2" type="noConversion"/>
  </si>
  <si>
    <t>X</t>
    <phoneticPr fontId="2" type="noConversion"/>
  </si>
  <si>
    <r>
      <t xml:space="preserve">화면 필드로 계산
MMAT_S_INFER_COST +
SMAT_S_INFER_COST +
PPRCS_S_INFER_COST +
</t>
    </r>
    <r>
      <rPr>
        <sz val="10"/>
        <color rgb="FFFF0000"/>
        <rFont val="맑은 고딕"/>
        <family val="3"/>
        <charset val="129"/>
        <scheme val="minor"/>
      </rPr>
      <t>ETC_S_INFER_COST</t>
    </r>
    <phoneticPr fontId="2" type="noConversion"/>
  </si>
  <si>
    <t>PPRCS_S_INFER_COST</t>
    <phoneticPr fontId="2" type="noConversion"/>
  </si>
  <si>
    <t>SMAT_F_INFER_COST</t>
    <phoneticPr fontId="2" type="noConversion"/>
  </si>
  <si>
    <t>* 2012년도 이후 0보다 큰 값 없음. 0 혹은 NULL (2011년 1건)</t>
    <phoneticPr fontId="2" type="noConversion"/>
  </si>
  <si>
    <t>PPRCS_F_INFER_COST</t>
    <phoneticPr fontId="2" type="noConversion"/>
  </si>
  <si>
    <t>X</t>
    <phoneticPr fontId="2" type="noConversion"/>
  </si>
  <si>
    <t>X</t>
    <phoneticPr fontId="2" type="noConversion"/>
  </si>
  <si>
    <r>
      <t xml:space="preserve">원자재 1차 추정원가 + 부자재 1차 추정원가 +
임봉료 1차 추정원가 (기타 1차 추정원가는 없음)
</t>
    </r>
    <r>
      <rPr>
        <sz val="10"/>
        <color rgb="FFFF0000"/>
        <rFont val="맑은 고딕"/>
        <family val="3"/>
        <charset val="129"/>
        <scheme val="minor"/>
      </rPr>
      <t>* 위 원/부자재 등 추청원가들이 없는 만큼 합계도 추정원가로서 부정확
  함으로 필요가 없다고 판단</t>
    </r>
    <phoneticPr fontId="2" type="noConversion"/>
  </si>
  <si>
    <r>
      <t xml:space="preserve">원자재 2차 추정원가 + 부자재 2차 추정원가 +
임봉료 2차 추정원가 + 기타 2차 추정원가
</t>
    </r>
    <r>
      <rPr>
        <sz val="10"/>
        <color rgb="FFFF0000"/>
        <rFont val="맑은 고딕"/>
        <family val="2"/>
        <charset val="129"/>
        <scheme val="minor"/>
      </rPr>
      <t xml:space="preserve">* </t>
    </r>
    <r>
      <rPr>
        <sz val="10"/>
        <color rgb="FFFF0000"/>
        <rFont val="맑은 고딕"/>
        <family val="3"/>
        <charset val="129"/>
        <scheme val="minor"/>
      </rPr>
      <t>위</t>
    </r>
    <r>
      <rPr>
        <sz val="10"/>
        <color rgb="FFFF0000"/>
        <rFont val="맑은 고딕"/>
        <family val="2"/>
        <charset val="129"/>
        <scheme val="minor"/>
      </rPr>
      <t xml:space="preserve"> </t>
    </r>
    <r>
      <rPr>
        <sz val="10"/>
        <color rgb="FFFF0000"/>
        <rFont val="맑은 고딕"/>
        <family val="3"/>
        <charset val="129"/>
        <scheme val="minor"/>
      </rPr>
      <t>원</t>
    </r>
    <r>
      <rPr>
        <sz val="10"/>
        <color rgb="FFFF0000"/>
        <rFont val="맑은 고딕"/>
        <family val="2"/>
        <charset val="129"/>
        <scheme val="minor"/>
      </rPr>
      <t>/</t>
    </r>
    <r>
      <rPr>
        <sz val="10"/>
        <color rgb="FFFF0000"/>
        <rFont val="맑은 고딕"/>
        <family val="3"/>
        <charset val="129"/>
        <scheme val="minor"/>
      </rPr>
      <t>부자재</t>
    </r>
    <r>
      <rPr>
        <sz val="10"/>
        <color rgb="FFFF0000"/>
        <rFont val="맑은 고딕"/>
        <family val="2"/>
        <charset val="129"/>
        <scheme val="minor"/>
      </rPr>
      <t xml:space="preserve"> </t>
    </r>
    <r>
      <rPr>
        <sz val="10"/>
        <color rgb="FFFF0000"/>
        <rFont val="맑은 고딕"/>
        <family val="3"/>
        <charset val="129"/>
        <scheme val="minor"/>
      </rPr>
      <t>등</t>
    </r>
    <r>
      <rPr>
        <sz val="10"/>
        <color rgb="FFFF0000"/>
        <rFont val="맑은 고딕"/>
        <family val="2"/>
        <charset val="129"/>
        <scheme val="minor"/>
      </rPr>
      <t xml:space="preserve"> </t>
    </r>
    <r>
      <rPr>
        <sz val="10"/>
        <color rgb="FFFF0000"/>
        <rFont val="맑은 고딕"/>
        <family val="3"/>
        <charset val="129"/>
        <scheme val="minor"/>
      </rPr>
      <t>추청원가들이</t>
    </r>
    <r>
      <rPr>
        <sz val="10"/>
        <color rgb="FFFF0000"/>
        <rFont val="맑은 고딕"/>
        <family val="2"/>
        <charset val="129"/>
        <scheme val="minor"/>
      </rPr>
      <t xml:space="preserve"> </t>
    </r>
    <r>
      <rPr>
        <sz val="10"/>
        <color rgb="FFFF0000"/>
        <rFont val="맑은 고딕"/>
        <family val="3"/>
        <charset val="129"/>
        <scheme val="minor"/>
      </rPr>
      <t>없는</t>
    </r>
    <r>
      <rPr>
        <sz val="10"/>
        <color rgb="FFFF0000"/>
        <rFont val="맑은 고딕"/>
        <family val="2"/>
        <charset val="129"/>
        <scheme val="minor"/>
      </rPr>
      <t xml:space="preserve"> </t>
    </r>
    <r>
      <rPr>
        <sz val="10"/>
        <color rgb="FFFF0000"/>
        <rFont val="맑은 고딕"/>
        <family val="3"/>
        <charset val="129"/>
        <scheme val="minor"/>
      </rPr>
      <t>만큼</t>
    </r>
    <r>
      <rPr>
        <sz val="10"/>
        <color rgb="FFFF0000"/>
        <rFont val="맑은 고딕"/>
        <family val="2"/>
        <charset val="129"/>
        <scheme val="minor"/>
      </rPr>
      <t xml:space="preserve"> </t>
    </r>
    <r>
      <rPr>
        <sz val="10"/>
        <color rgb="FFFF0000"/>
        <rFont val="맑은 고딕"/>
        <family val="3"/>
        <charset val="129"/>
        <scheme val="minor"/>
      </rPr>
      <t>합계도</t>
    </r>
    <r>
      <rPr>
        <sz val="10"/>
        <color rgb="FFFF0000"/>
        <rFont val="맑은 고딕"/>
        <family val="2"/>
        <charset val="129"/>
        <scheme val="minor"/>
      </rPr>
      <t xml:space="preserve"> </t>
    </r>
    <r>
      <rPr>
        <sz val="10"/>
        <color rgb="FFFF0000"/>
        <rFont val="맑은 고딕"/>
        <family val="3"/>
        <charset val="129"/>
        <scheme val="minor"/>
      </rPr>
      <t>추정원가로서</t>
    </r>
    <r>
      <rPr>
        <sz val="10"/>
        <color rgb="FFFF0000"/>
        <rFont val="맑은 고딕"/>
        <family val="2"/>
        <charset val="129"/>
        <scheme val="minor"/>
      </rPr>
      <t xml:space="preserve"> </t>
    </r>
    <r>
      <rPr>
        <sz val="10"/>
        <color rgb="FFFF0000"/>
        <rFont val="맑은 고딕"/>
        <family val="3"/>
        <charset val="129"/>
        <scheme val="minor"/>
      </rPr>
      <t xml:space="preserve">부정확
</t>
    </r>
    <r>
      <rPr>
        <sz val="10"/>
        <color rgb="FFFF0000"/>
        <rFont val="맑은 고딕"/>
        <family val="2"/>
        <charset val="129"/>
        <scheme val="minor"/>
      </rPr>
      <t xml:space="preserve">  </t>
    </r>
    <r>
      <rPr>
        <sz val="10"/>
        <color rgb="FFFF0000"/>
        <rFont val="맑은 고딕"/>
        <family val="3"/>
        <charset val="129"/>
        <scheme val="minor"/>
      </rPr>
      <t>함으로</t>
    </r>
    <r>
      <rPr>
        <sz val="10"/>
        <color rgb="FFFF0000"/>
        <rFont val="맑은 고딕"/>
        <family val="2"/>
        <charset val="129"/>
        <scheme val="minor"/>
      </rPr>
      <t xml:space="preserve"> </t>
    </r>
    <r>
      <rPr>
        <sz val="10"/>
        <color rgb="FFFF0000"/>
        <rFont val="맑은 고딕"/>
        <family val="3"/>
        <charset val="129"/>
        <scheme val="minor"/>
      </rPr>
      <t>필요가</t>
    </r>
    <r>
      <rPr>
        <sz val="10"/>
        <color rgb="FFFF0000"/>
        <rFont val="맑은 고딕"/>
        <family val="2"/>
        <charset val="129"/>
        <scheme val="minor"/>
      </rPr>
      <t xml:space="preserve"> </t>
    </r>
    <r>
      <rPr>
        <sz val="10"/>
        <color rgb="FFFF0000"/>
        <rFont val="맑은 고딕"/>
        <family val="3"/>
        <charset val="129"/>
        <scheme val="minor"/>
      </rPr>
      <t>없다고</t>
    </r>
    <r>
      <rPr>
        <sz val="10"/>
        <color rgb="FFFF0000"/>
        <rFont val="맑은 고딕"/>
        <family val="2"/>
        <charset val="129"/>
        <scheme val="minor"/>
      </rPr>
      <t xml:space="preserve"> </t>
    </r>
    <r>
      <rPr>
        <sz val="10"/>
        <color rgb="FFFF0000"/>
        <rFont val="맑은 고딕"/>
        <family val="3"/>
        <charset val="129"/>
        <scheme val="minor"/>
      </rPr>
      <t>판단</t>
    </r>
    <phoneticPr fontId="2" type="noConversion"/>
  </si>
  <si>
    <t>X</t>
    <phoneticPr fontId="2" type="noConversion"/>
  </si>
  <si>
    <t>* 2014년도 이후 0보다 큰 값 없음. 0혹은 NULL (2013년 5건)</t>
    <phoneticPr fontId="2" type="noConversion"/>
  </si>
  <si>
    <t>CSUMR_F_INFER_PRICE</t>
    <phoneticPr fontId="2" type="noConversion"/>
  </si>
  <si>
    <t>* 2018년도 이후 0보다 큰 값 없음. 0혹은 NULL (2017년 5건)</t>
    <phoneticPr fontId="2" type="noConversion"/>
  </si>
  <si>
    <t>* 2018년도 이후 0보다 큰 값 없음. 0혹은 NULL (2017년 17건)</t>
    <phoneticPr fontId="2" type="noConversion"/>
  </si>
  <si>
    <t>* 2018년도 이후 0보다 큰 값 없음. 0 혹은 NULL (2017년 22건)</t>
    <phoneticPr fontId="2" type="noConversion"/>
  </si>
  <si>
    <t>* 2013년도 이후 0보다 큰 값 없음. 0 혹은 NULL. (2012년 1건, 2011년 3건)</t>
    <phoneticPr fontId="2" type="noConversion"/>
  </si>
  <si>
    <t xml:space="preserve">select *
   FROM T_PRDT
 WHERE INS_DAY &gt;= '20120101000000' 
   and SMAT_F_INFER_COST &gt; 0  </t>
    <phoneticPr fontId="2" type="noConversion"/>
  </si>
  <si>
    <t>MMAT_S_INFER_COST</t>
    <phoneticPr fontId="2" type="noConversion"/>
  </si>
  <si>
    <t xml:space="preserve">select *
   FROM T_PRDT
 WHERE INS_DAY &gt;= '20120101000000' 
   anD MMAT_S_INFER_COST &gt; 0  </t>
    <phoneticPr fontId="2" type="noConversion"/>
  </si>
  <si>
    <t>SMAT_S_INFER_COST</t>
    <phoneticPr fontId="2" type="noConversion"/>
  </si>
  <si>
    <t>select *
   FROM T_PRDT
 WHERE INS_DAY &gt;= '20120101000000' 
   and MMAT_F_INFER_COST &gt; 0  (OR IS NULL</t>
    <phoneticPr fontId="2" type="noConversion"/>
  </si>
  <si>
    <t>SELECT * FROM T_PRDT
WHERE ETC_S_INFER_COST IS NOT NULL
AND INS_DAY &gt; '20200101'</t>
    <phoneticPr fontId="2" type="noConversion"/>
  </si>
  <si>
    <t>* 2018년도 이후 등록된 내역 없음 (2017년 17건)</t>
    <phoneticPr fontId="2" type="noConversion"/>
  </si>
  <si>
    <t>X</t>
    <phoneticPr fontId="2" type="noConversion"/>
  </si>
  <si>
    <t>ATTR4</t>
    <phoneticPr fontId="2" type="noConversion"/>
  </si>
  <si>
    <t>T_PRDT_DEAL</t>
    <phoneticPr fontId="2" type="noConversion"/>
  </si>
  <si>
    <t>STOR_PRE_DT</t>
    <phoneticPr fontId="2" type="noConversion"/>
  </si>
  <si>
    <t>SELECT * FROM T_PRDT_DEAL A
 INNER JOIN T_PRDT B
    ON A.PRDT_ID = B.PRDT_ID
 WHERE A.STOR_PRE_DT IS NOT NULL
   AND B.INS_DAY &gt; '20240101'
select *
   FROM T_PRDT_DEAL
 WHERE STOR_PRE_DT IS NOT NULL AND STOR_PRE_DT != '99991231'</t>
    <phoneticPr fontId="2" type="noConversion"/>
  </si>
  <si>
    <t>DELV_PRE_DT</t>
    <phoneticPr fontId="2" type="noConversion"/>
  </si>
  <si>
    <t>SELECT * FROM T_PRDT_DEAL A
 INNER JOIN T_PRDT B
    ON A.PRDT_ID = B.PRDT_ID
 WHERE A.DELV_PRE_DT IS NOT NULL
   AND B.INS_DAY &gt; '20240101'
select *
   FROM T_PRDT_DEAL
 WHERE DELV_PRE_DT IS NOT NULL AND DELV_PRE_DT != '99991231'</t>
    <phoneticPr fontId="2" type="noConversion"/>
  </si>
  <si>
    <r>
      <t xml:space="preserve">2024년 이후 데이터 없음
</t>
    </r>
    <r>
      <rPr>
        <sz val="10"/>
        <color rgb="FFFF0000"/>
        <rFont val="맑은 고딕"/>
        <family val="3"/>
        <charset val="129"/>
        <scheme val="minor"/>
      </rPr>
      <t xml:space="preserve">* 전체 9999-12-31로 들어감. 큰 의미가 없는 듯 판단 됩니다. </t>
    </r>
    <phoneticPr fontId="2" type="noConversion"/>
  </si>
  <si>
    <t>* 작지에서 제품 사진 확인 가능하나 작지등록 권한이 없는 유저 경우 확인??
  없어도 문제가 되지는 않을 것 같아 없애고 연락오면 원복</t>
    <phoneticPr fontId="2" type="noConversion"/>
  </si>
  <si>
    <t>* 작동 자체 안함. 오류인 채로 아무도 사용 안한 것 같음</t>
    <phoneticPr fontId="2" type="noConversion"/>
  </si>
  <si>
    <t>Core/Main/Trend/기타</t>
    <phoneticPr fontId="2" type="noConversion"/>
  </si>
  <si>
    <t>T_WORK_INDC</t>
    <phoneticPr fontId="2" type="noConversion"/>
  </si>
  <si>
    <t>WORK_INDC_SEND_DT</t>
    <phoneticPr fontId="2" type="noConversion"/>
  </si>
  <si>
    <r>
      <t xml:space="preserve">2024년도 이후 데이터 없음
</t>
    </r>
    <r>
      <rPr>
        <sz val="10"/>
        <color rgb="FFFF0000"/>
        <rFont val="맑은 고딕"/>
        <family val="3"/>
        <charset val="129"/>
        <scheme val="minor"/>
      </rPr>
      <t>(2023년 데이터 43건 1명이 등록)</t>
    </r>
    <phoneticPr fontId="2" type="noConversion"/>
  </si>
  <si>
    <t>ORDER_DT</t>
    <phoneticPr fontId="2" type="noConversion"/>
  </si>
  <si>
    <t>O</t>
    <phoneticPr fontId="2" type="noConversion"/>
  </si>
  <si>
    <t>O</t>
    <phoneticPr fontId="2" type="noConversion"/>
  </si>
  <si>
    <t>T_PRDT_PLAN</t>
    <phoneticPr fontId="2" type="noConversion"/>
  </si>
  <si>
    <t>PRDT_CLASS_CD</t>
    <phoneticPr fontId="2" type="noConversion"/>
  </si>
  <si>
    <t>SECU_TAG_YN</t>
    <phoneticPr fontId="2" type="noConversion"/>
  </si>
  <si>
    <t>SELECT A.SECU_TAG_YN  FROM T_PRDT_PLAN A WHERE SECU_TAG_YN IS NOT NULL
 AND INS_DAY &gt;= '20230101' AND SECU_TAG_YN = 'Y'</t>
    <phoneticPr fontId="2" type="noConversion"/>
  </si>
  <si>
    <t>2024년 이후 데이터 기본 N값 디폴트.
2023년 Y인 데이터 1건. 화면에서는 미사용
판단</t>
    <phoneticPr fontId="2" type="noConversion"/>
  </si>
  <si>
    <t>O</t>
    <phoneticPr fontId="2" type="noConversion"/>
  </si>
  <si>
    <t>O</t>
    <phoneticPr fontId="2" type="noConversion"/>
  </si>
  <si>
    <t>O</t>
    <phoneticPr fontId="2" type="noConversion"/>
  </si>
  <si>
    <t>O</t>
    <phoneticPr fontId="2" type="noConversion"/>
  </si>
  <si>
    <t>O</t>
    <phoneticPr fontId="2" type="noConversion"/>
  </si>
  <si>
    <t>T_PRDT_PLAN</t>
    <phoneticPr fontId="2" type="noConversion"/>
  </si>
  <si>
    <t>ESTM_SALE_TERM</t>
    <phoneticPr fontId="2" type="noConversion"/>
  </si>
  <si>
    <t>ESTM_SALE_END_DT</t>
    <phoneticPr fontId="2" type="noConversion"/>
  </si>
  <si>
    <t xml:space="preserve">관련 컬럼 사용 SP 1개 존재하나 소스상 T_JOB_LOG로 기록하는 로직이 있지만 로그가 쌓이지 않는 것 보면 미사용으로 판단됨.
SELECT * FROM T_JOB_LOG
WHERE JOB_NO LIKE '%XY_SPR_AUTO_RET_TARGET%'    </t>
    <phoneticPr fontId="2" type="noConversion"/>
  </si>
  <si>
    <t>* 택발주확정 버튼 누르지 않으면 저장 안됨.
  데이터 건수도 현저히 적어 잘 사용하지 않는 
  기능 &gt; 삭제고려.
* 현업에서 웍스로 해당 기능 요청 예정</t>
    <phoneticPr fontId="2" type="noConversion"/>
  </si>
  <si>
    <t xml:space="preserve">* 2024년 이후 데이터 없음. 이전 데이터도 이상함.
  화면상 %로 표현되어있는데 0, Y, N 값만 존재하며, </t>
    <phoneticPr fontId="2" type="noConversion"/>
  </si>
  <si>
    <t xml:space="preserve">접속로그 사업부에서 접속한 기록 24년도 기준 </t>
    <phoneticPr fontId="2" type="noConversion"/>
  </si>
  <si>
    <t>O</t>
    <phoneticPr fontId="2" type="noConversion"/>
  </si>
  <si>
    <t xml:space="preserve"> OZ상품기획팀 - 김수민 대리 24년 1번 등록</t>
    <phoneticPr fontId="2" type="noConversion"/>
  </si>
  <si>
    <t>GOAL_SALE_RATE</t>
    <phoneticPr fontId="2" type="noConversion"/>
  </si>
  <si>
    <t xml:space="preserve"> 80을 기본 값으로 저장.</t>
    <phoneticPr fontId="2" type="noConversion"/>
  </si>
  <si>
    <t>총 계</t>
    <phoneticPr fontId="2" type="noConversion"/>
  </si>
  <si>
    <t>총 계</t>
    <phoneticPr fontId="2" type="noConversion"/>
  </si>
  <si>
    <t>총 계</t>
    <phoneticPr fontId="2" type="noConversion"/>
  </si>
  <si>
    <t>총 계</t>
    <phoneticPr fontId="2" type="noConversion"/>
  </si>
  <si>
    <t>■ F/A-ONE 1차 Cleansing 결과</t>
    <phoneticPr fontId="2" type="noConversion"/>
  </si>
  <si>
    <t>화면</t>
    <phoneticPr fontId="2" type="noConversion"/>
  </si>
  <si>
    <t>대상 항목</t>
    <phoneticPr fontId="2" type="noConversion"/>
  </si>
  <si>
    <t>정리 항목</t>
    <phoneticPr fontId="2" type="noConversion"/>
  </si>
  <si>
    <t>매장브랜드정보</t>
    <phoneticPr fontId="2" type="noConversion"/>
  </si>
  <si>
    <t>매장메뉴</t>
    <phoneticPr fontId="2" type="noConversion"/>
  </si>
  <si>
    <t>원부자재원가정보(12), 사용 오류 메뉴(2), 입출고예정일(3)</t>
    <phoneticPr fontId="2" type="noConversion"/>
  </si>
  <si>
    <t>기본화면 메뉴 : PLC(3), 미사용 메뉴(3)</t>
    <phoneticPr fontId="2" type="noConversion"/>
  </si>
  <si>
    <t>중간관리자 세부정보(6) , 미사용 데이터(3)</t>
    <phoneticPr fontId="2" type="noConversion"/>
  </si>
  <si>
    <t>유지 항목</t>
    <phoneticPr fontId="2" type="noConversion"/>
  </si>
  <si>
    <t>제품메뉴</t>
    <phoneticPr fontId="2" type="noConversion"/>
  </si>
  <si>
    <t>삭제 내용</t>
    <phoneticPr fontId="2" type="noConversion"/>
  </si>
  <si>
    <t>회계부서코드</t>
  </si>
  <si>
    <t>회계처리용 부서코드→ 매장코드로 대체 사용</t>
    <phoneticPr fontId="2" type="noConversion"/>
  </si>
  <si>
    <t>고객분석 여부</t>
  </si>
  <si>
    <t>고객데이터 분석여부</t>
    <phoneticPr fontId="2" type="noConversion"/>
  </si>
  <si>
    <t xml:space="preserve">매장정보 변경사유 </t>
    <phoneticPr fontId="2" type="noConversion"/>
  </si>
  <si>
    <t>매장팩스번호</t>
  </si>
  <si>
    <t>실대표자 주민번호</t>
  </si>
  <si>
    <t>우편번호</t>
  </si>
  <si>
    <t>주소</t>
  </si>
  <si>
    <t>주소상세</t>
  </si>
  <si>
    <t>원자재 1차 추정원가</t>
  </si>
  <si>
    <t>원자재 2차 추정원가</t>
  </si>
  <si>
    <t>부자재 1차 추정원가</t>
  </si>
  <si>
    <t>부자재 2차 추정원가</t>
  </si>
  <si>
    <t>기타 1차 추정원가</t>
  </si>
  <si>
    <t>기타 2차 추정원가</t>
  </si>
  <si>
    <t>합계 1차 추정원가</t>
  </si>
  <si>
    <t>합계 2차 추정원가</t>
  </si>
  <si>
    <t>소매가 1차 추정원가</t>
  </si>
  <si>
    <t>소매가 2차 추정원가</t>
  </si>
  <si>
    <t>추정마진 1차 추정원가</t>
  </si>
  <si>
    <t>추정마진 2차 추정원가</t>
  </si>
  <si>
    <t>제품이미지 저장 경로</t>
  </si>
  <si>
    <t>제품이미지 저장 버튼</t>
  </si>
  <si>
    <t>원부자재+기타+임봉료 = 합계 추정원가</t>
    <phoneticPr fontId="2" type="noConversion"/>
  </si>
  <si>
    <t>(소매가 1차 추정원가 - 합계 1차 추정원가) / 소매가 1차 추정원가 * 100</t>
  </si>
  <si>
    <t>현업 : 사용 안함 / 제라클 기본 데이터 수준 인식</t>
    <phoneticPr fontId="2" type="noConversion"/>
  </si>
  <si>
    <t>데이터 이상 판단 ("9999-12-31" 입력되어 있음 )</t>
    <phoneticPr fontId="2" type="noConversion"/>
  </si>
  <si>
    <t>사용 메뉴 오류 (실제 사용 불가)</t>
    <phoneticPr fontId="2" type="noConversion"/>
  </si>
  <si>
    <t>현업 의견</t>
    <phoneticPr fontId="2" type="noConversion"/>
  </si>
  <si>
    <t>숨김처리</t>
    <phoneticPr fontId="2" type="noConversion"/>
  </si>
  <si>
    <t>중간관리자 기본 정보 (사용 안함)</t>
    <phoneticPr fontId="2" type="noConversion"/>
  </si>
  <si>
    <t>기본 매장 정보 (사용 안함)</t>
    <phoneticPr fontId="2" type="noConversion"/>
  </si>
  <si>
    <t>1) 입점유통사 사업자번호 2) 직영점 사업자번호</t>
    <phoneticPr fontId="2" type="noConversion"/>
  </si>
  <si>
    <t>사용 안함</t>
    <phoneticPr fontId="2" type="noConversion"/>
  </si>
  <si>
    <t>23년 1건 이후 사용 없음 → 숨김처리</t>
    <phoneticPr fontId="2" type="noConversion"/>
  </si>
  <si>
    <t>23년 이후 데이터 없음  → 숨김처리</t>
    <phoneticPr fontId="2" type="noConversion"/>
  </si>
  <si>
    <t>Core/Main/Trend/기타 구분 메뉴</t>
    <phoneticPr fontId="2" type="noConversion"/>
  </si>
  <si>
    <t>실 사용 없음 → 숨김 처리</t>
    <phoneticPr fontId="2" type="noConversion"/>
  </si>
  <si>
    <t>80% 디폴트 입력 → 숨김 처리</t>
    <phoneticPr fontId="2" type="noConversion"/>
  </si>
  <si>
    <t>2018년 이후 신규 데이터 등록 없음
→  숨김처리</t>
    <phoneticPr fontId="2" type="noConversion"/>
  </si>
  <si>
    <t>데이터 이상 판단 → 숨김처리</t>
    <phoneticPr fontId="2" type="noConversion"/>
  </si>
  <si>
    <t>F-IT 의견 (사용 여부 / 데이터 이상여부 점검)</t>
    <phoneticPr fontId="2" type="noConversion"/>
  </si>
  <si>
    <t>* 작업지시등록 원자재 정보 오류 발견 → 수정 진행</t>
    <phoneticPr fontId="2" type="noConversion"/>
  </si>
  <si>
    <t>■ 1차 Cleansing 대상 상세</t>
    <phoneticPr fontId="2" type="noConversion"/>
  </si>
  <si>
    <t>브랜드정보</t>
    <phoneticPr fontId="2" type="noConversion"/>
  </si>
  <si>
    <t>* 브랜드정보 1개 / 매장메뉴 10개 / 제품메뉴 23개 = 총 34개 1차 숨김처리 예정</t>
    <phoneticPr fontId="2" type="noConversion"/>
  </si>
  <si>
    <t>* 작업지시등록 하위 TAP (원부자재 정보/ SIZE &amp; SPEC 정보 / 입고정보 등) 전체 데이터 실제 사용 확인 → 유지</t>
    <phoneticPr fontId="2" type="noConversion"/>
  </si>
  <si>
    <t>* 브랜드정보 中 "비고" 메뉴 1개 정리 예정</t>
    <phoneticPr fontId="2" type="noConversion"/>
  </si>
  <si>
    <t>매장</t>
    <phoneticPr fontId="2" type="noConversion"/>
  </si>
  <si>
    <t>국내 / 해외 매장 구분</t>
    <phoneticPr fontId="2" type="noConversion"/>
  </si>
  <si>
    <t>과세/비과세로 구분 (과세 = 국내 / 비과세 = 해외)</t>
    <phoneticPr fontId="2" type="noConversion"/>
  </si>
  <si>
    <t>업데이트 &amp; 개선</t>
  </si>
  <si>
    <t>탑텐 브랜드 등록구분</t>
    <phoneticPr fontId="2" type="noConversion"/>
  </si>
  <si>
    <t>제품</t>
    <phoneticPr fontId="2" type="noConversion"/>
  </si>
  <si>
    <t>작업지시-출력물 개선</t>
    <phoneticPr fontId="2" type="noConversion"/>
  </si>
  <si>
    <t>작업지시서 출력 후, 원가 수기 입력</t>
    <phoneticPr fontId="2" type="noConversion"/>
  </si>
  <si>
    <t>작업지시서 출력 시 원가 자동 출력</t>
    <phoneticPr fontId="2" type="noConversion"/>
  </si>
  <si>
    <t>데이터 자동 연동</t>
    <phoneticPr fontId="2" type="noConversion"/>
  </si>
  <si>
    <t>목표원가 / 생산지 → 소싱본부 협의 후 수기조정</t>
    <phoneticPr fontId="2" type="noConversion"/>
  </si>
  <si>
    <t>S-ONE 데이터 변경 시 자동 연동</t>
    <phoneticPr fontId="2" type="noConversion"/>
  </si>
  <si>
    <t>현재 사업부 사용 방식</t>
    <phoneticPr fontId="2" type="noConversion"/>
  </si>
  <si>
    <t>화면</t>
    <phoneticPr fontId="2" type="noConversion"/>
  </si>
  <si>
    <t>■ 추후 반영 사항 및 현업 개선 의견</t>
    <phoneticPr fontId="2" type="noConversion"/>
  </si>
  <si>
    <t>탑텐 성인 - 키즈 - 복합 구분 화면 없음 (엑셀 수기분류)</t>
    <phoneticPr fontId="2" type="noConversion"/>
  </si>
  <si>
    <t>성인-키즈-복합 구분자 추가 요청 (F-IT 검토 중)</t>
    <phoneticPr fontId="2" type="noConversion"/>
  </si>
  <si>
    <t>영업관리팀 협의 후 국내/해외 + 국가명 관리 (F-IT 검토 중)</t>
    <phoneticPr fontId="2" type="noConversion"/>
  </si>
  <si>
    <t>합계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</si>
</sst>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37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1"/>
      <color rgb="FF000000"/>
      <name val="Consolas"/>
      <family val="3"/>
    </font>
    <font>
      <sz val="11"/>
      <color rgb="FF0000FF"/>
      <name val="Consolas"/>
      <family val="3"/>
    </font>
    <font>
      <sz val="11"/>
      <color rgb="FF778899"/>
      <name val="Consolas"/>
      <family val="3"/>
    </font>
    <font>
      <sz val="11"/>
      <color rgb="FFFF0000"/>
      <name val="Consolas"/>
      <family val="3"/>
    </font>
    <font>
      <sz val="11"/>
      <color rgb="FF098658"/>
      <name val="Consolas"/>
      <family val="3"/>
    </font>
    <font>
      <u/>
      <sz val="11"/>
      <color theme="10"/>
      <name val="맑은 고딕"/>
      <family val="2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1"/>
      <color rgb="FFC700C7"/>
      <name val="Consolas"/>
      <family val="3"/>
    </font>
    <font>
      <sz val="11"/>
      <color theme="1"/>
      <name val="맑은 고딕"/>
      <family val="3"/>
      <charset val="129"/>
      <scheme val="minor"/>
    </font>
    <font>
      <u/>
      <sz val="10"/>
      <color theme="1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0000FF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7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/>
      <top style="dotted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dotted">
        <color auto="1"/>
      </bottom>
      <diagonal/>
    </border>
    <border>
      <left/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</cellStyleXfs>
  <cellXfs count="36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7" fillId="0" borderId="0" xfId="0" applyFont="1">
      <alignment vertical="center"/>
    </xf>
    <xf numFmtId="0" fontId="1" fillId="0" borderId="0" xfId="0" quotePrefix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quotePrefix="1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6" fillId="3" borderId="0" xfId="0" applyFont="1" applyFill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49" fontId="6" fillId="0" borderId="0" xfId="0" applyNumberFormat="1" applyFont="1" applyAlignment="1">
      <alignment horizontal="center"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8" fillId="0" borderId="0" xfId="0" quotePrefix="1" applyFont="1">
      <alignment vertical="center"/>
    </xf>
    <xf numFmtId="0" fontId="6" fillId="0" borderId="0" xfId="0" quotePrefix="1" applyFont="1">
      <alignment vertical="center"/>
    </xf>
    <xf numFmtId="49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5" fillId="0" borderId="2" xfId="0" applyFont="1" applyBorder="1">
      <alignment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>
      <alignment vertical="center"/>
    </xf>
    <xf numFmtId="49" fontId="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5" fillId="0" borderId="3" xfId="0" applyFont="1" applyBorder="1">
      <alignment vertical="center"/>
    </xf>
    <xf numFmtId="49" fontId="6" fillId="0" borderId="4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6" fillId="0" borderId="0" xfId="0" quotePrefix="1" applyFont="1" applyAlignment="1">
      <alignment horizontal="left" vertical="center"/>
    </xf>
    <xf numFmtId="0" fontId="5" fillId="0" borderId="2" xfId="0" applyFont="1" applyBorder="1" applyAlignment="1">
      <alignment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49" fontId="6" fillId="4" borderId="2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 wrapText="1"/>
    </xf>
    <xf numFmtId="0" fontId="5" fillId="4" borderId="2" xfId="0" applyFont="1" applyFill="1" applyBorder="1">
      <alignment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5" borderId="4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49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5" fillId="5" borderId="2" xfId="0" applyFont="1" applyFill="1" applyBorder="1">
      <alignment vertical="center"/>
    </xf>
    <xf numFmtId="0" fontId="5" fillId="5" borderId="2" xfId="0" applyFont="1" applyFill="1" applyBorder="1" applyAlignment="1">
      <alignment vertical="center" wrapText="1"/>
    </xf>
    <xf numFmtId="49" fontId="6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13" fillId="0" borderId="0" xfId="0" applyFont="1">
      <alignment vertical="center"/>
    </xf>
    <xf numFmtId="0" fontId="1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7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top"/>
    </xf>
    <xf numFmtId="0" fontId="0" fillId="0" borderId="0" xfId="0" applyNumberFormat="1" applyAlignment="1">
      <alignment vertical="center"/>
    </xf>
    <xf numFmtId="0" fontId="1" fillId="0" borderId="0" xfId="0" applyNumberFormat="1" applyFont="1" applyAlignment="1">
      <alignment vertical="center"/>
    </xf>
    <xf numFmtId="0" fontId="7" fillId="7" borderId="0" xfId="0" applyNumberFormat="1" applyFont="1" applyFill="1" applyAlignment="1">
      <alignment horizontal="center" vertical="center"/>
    </xf>
    <xf numFmtId="0" fontId="5" fillId="0" borderId="0" xfId="0" applyNumberFormat="1" applyFont="1" applyAlignment="1">
      <alignment vertical="center"/>
    </xf>
    <xf numFmtId="0" fontId="7" fillId="0" borderId="0" xfId="0" applyNumberFormat="1" applyFont="1" applyAlignment="1">
      <alignment vertical="center"/>
    </xf>
    <xf numFmtId="0" fontId="6" fillId="0" borderId="0" xfId="0" applyNumberFormat="1" applyFont="1" applyAlignment="1">
      <alignment vertical="center"/>
    </xf>
    <xf numFmtId="0" fontId="17" fillId="0" borderId="0" xfId="1" quotePrefix="1">
      <alignment vertical="center"/>
    </xf>
    <xf numFmtId="3" fontId="0" fillId="6" borderId="0" xfId="0" applyNumberFormat="1" applyFont="1" applyFill="1">
      <alignment vertical="center"/>
    </xf>
    <xf numFmtId="0" fontId="6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horizontal="center" vertical="center" wrapText="1"/>
    </xf>
    <xf numFmtId="49" fontId="6" fillId="3" borderId="5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>
      <alignment vertical="center"/>
    </xf>
    <xf numFmtId="0" fontId="5" fillId="3" borderId="2" xfId="0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0" fontId="6" fillId="3" borderId="2" xfId="0" quotePrefix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vertical="center" wrapText="1"/>
    </xf>
    <xf numFmtId="0" fontId="5" fillId="0" borderId="0" xfId="0" applyFont="1" applyFill="1">
      <alignment vertical="center"/>
    </xf>
    <xf numFmtId="0" fontId="0" fillId="6" borderId="0" xfId="0" applyFont="1" applyFill="1">
      <alignment vertical="center"/>
    </xf>
    <xf numFmtId="0" fontId="0" fillId="8" borderId="0" xfId="0" applyFont="1" applyFill="1" applyAlignment="1">
      <alignment horizontal="center" vertical="center"/>
    </xf>
    <xf numFmtId="0" fontId="5" fillId="8" borderId="0" xfId="0" applyFont="1" applyFill="1">
      <alignment vertical="center"/>
    </xf>
    <xf numFmtId="0" fontId="5" fillId="8" borderId="0" xfId="0" applyFont="1" applyFill="1" applyAlignment="1">
      <alignment horizontal="center" vertical="center"/>
    </xf>
    <xf numFmtId="49" fontId="6" fillId="8" borderId="0" xfId="0" applyNumberFormat="1" applyFont="1" applyFill="1" applyAlignment="1">
      <alignment horizontal="center" vertical="center"/>
    </xf>
    <xf numFmtId="3" fontId="0" fillId="8" borderId="0" xfId="0" applyNumberFormat="1" applyFont="1" applyFill="1">
      <alignment vertical="center"/>
    </xf>
    <xf numFmtId="0" fontId="0" fillId="8" borderId="0" xfId="0" applyFont="1" applyFill="1">
      <alignment vertical="center"/>
    </xf>
    <xf numFmtId="0" fontId="5" fillId="0" borderId="0" xfId="0" applyFont="1" applyFill="1" applyAlignment="1">
      <alignment horizontal="center" vertical="center"/>
    </xf>
    <xf numFmtId="49" fontId="6" fillId="0" borderId="0" xfId="0" applyNumberFormat="1" applyFont="1" applyFill="1" applyAlignment="1">
      <alignment horizontal="center" vertical="center"/>
    </xf>
    <xf numFmtId="0" fontId="0" fillId="0" borderId="0" xfId="0" applyFont="1" applyFill="1">
      <alignment vertical="center"/>
    </xf>
    <xf numFmtId="0" fontId="0" fillId="0" borderId="0" xfId="0" applyFont="1" applyFill="1" applyAlignment="1">
      <alignment horizontal="center" vertical="center"/>
    </xf>
    <xf numFmtId="0" fontId="5" fillId="3" borderId="5" xfId="0" applyFont="1" applyFill="1" applyBorder="1">
      <alignment vertical="center"/>
    </xf>
    <xf numFmtId="0" fontId="5" fillId="3" borderId="5" xfId="0" applyFont="1" applyFill="1" applyBorder="1" applyAlignment="1">
      <alignment horizontal="center" vertical="center"/>
    </xf>
    <xf numFmtId="49" fontId="6" fillId="3" borderId="5" xfId="0" applyNumberFormat="1" applyFont="1" applyFill="1" applyBorder="1" applyAlignment="1">
      <alignment horizontal="center" vertical="center"/>
    </xf>
    <xf numFmtId="0" fontId="5" fillId="0" borderId="0" xfId="0" applyFont="1" applyProtection="1">
      <alignment vertical="center"/>
      <protection locked="0"/>
    </xf>
    <xf numFmtId="0" fontId="5" fillId="0" borderId="2" xfId="0" applyFont="1" applyBorder="1" applyProtection="1">
      <alignment vertical="center"/>
      <protection locked="0"/>
    </xf>
    <xf numFmtId="0" fontId="7" fillId="7" borderId="0" xfId="0" applyFont="1" applyFill="1" applyAlignment="1">
      <alignment horizontal="left" vertical="center"/>
    </xf>
    <xf numFmtId="49" fontId="6" fillId="3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5" fillId="0" borderId="5" xfId="0" applyFont="1" applyBorder="1">
      <alignment vertical="center"/>
    </xf>
    <xf numFmtId="0" fontId="5" fillId="0" borderId="5" xfId="0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0" fontId="5" fillId="3" borderId="4" xfId="0" applyFont="1" applyFill="1" applyBorder="1">
      <alignment vertical="center"/>
    </xf>
    <xf numFmtId="0" fontId="5" fillId="3" borderId="4" xfId="0" applyFont="1" applyFill="1" applyBorder="1" applyAlignment="1">
      <alignment horizontal="center" vertical="center"/>
    </xf>
    <xf numFmtId="49" fontId="6" fillId="3" borderId="4" xfId="0" applyNumberFormat="1" applyFont="1" applyFill="1" applyBorder="1" applyAlignment="1">
      <alignment horizontal="center" vertical="center"/>
    </xf>
    <xf numFmtId="0" fontId="5" fillId="0" borderId="5" xfId="0" applyFont="1" applyFill="1" applyBorder="1">
      <alignment vertical="center"/>
    </xf>
    <xf numFmtId="0" fontId="5" fillId="0" borderId="5" xfId="0" applyFont="1" applyFill="1" applyBorder="1" applyAlignment="1">
      <alignment horizontal="center" vertical="center"/>
    </xf>
    <xf numFmtId="49" fontId="6" fillId="0" borderId="5" xfId="0" applyNumberFormat="1" applyFont="1" applyFill="1" applyBorder="1" applyAlignment="1">
      <alignment horizontal="center" vertical="center"/>
    </xf>
    <xf numFmtId="0" fontId="5" fillId="0" borderId="2" xfId="0" applyFont="1" applyFill="1" applyBorder="1">
      <alignment vertical="center"/>
    </xf>
    <xf numFmtId="0" fontId="5" fillId="0" borderId="2" xfId="0" applyFont="1" applyFill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/>
    </xf>
    <xf numFmtId="0" fontId="18" fillId="0" borderId="0" xfId="1" applyFont="1">
      <alignment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2" xfId="0" applyFont="1" applyFill="1" applyBorder="1">
      <alignment vertical="center"/>
    </xf>
    <xf numFmtId="0" fontId="6" fillId="3" borderId="2" xfId="0" applyFont="1" applyFill="1" applyBorder="1" applyAlignment="1">
      <alignment horizontal="center" vertical="center"/>
    </xf>
    <xf numFmtId="0" fontId="19" fillId="3" borderId="5" xfId="0" applyFont="1" applyFill="1" applyBorder="1">
      <alignment vertical="center"/>
    </xf>
    <xf numFmtId="0" fontId="20" fillId="3" borderId="5" xfId="0" applyFont="1" applyFill="1" applyBorder="1" applyAlignment="1">
      <alignment horizontal="center" vertical="center"/>
    </xf>
    <xf numFmtId="49" fontId="20" fillId="3" borderId="5" xfId="0" applyNumberFormat="1" applyFont="1" applyFill="1" applyBorder="1" applyAlignment="1">
      <alignment horizontal="center" vertical="center"/>
    </xf>
    <xf numFmtId="0" fontId="20" fillId="0" borderId="2" xfId="0" applyFont="1" applyBorder="1">
      <alignment vertical="center"/>
    </xf>
    <xf numFmtId="0" fontId="20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3" xfId="0" applyFont="1" applyBorder="1">
      <alignment vertical="center"/>
    </xf>
    <xf numFmtId="0" fontId="20" fillId="0" borderId="3" xfId="0" applyFont="1" applyBorder="1" applyAlignment="1">
      <alignment horizontal="center" vertical="center"/>
    </xf>
    <xf numFmtId="0" fontId="20" fillId="0" borderId="2" xfId="0" applyFont="1" applyBorder="1" applyAlignment="1">
      <alignment vertical="center" wrapText="1"/>
    </xf>
    <xf numFmtId="0" fontId="20" fillId="3" borderId="2" xfId="0" applyFont="1" applyFill="1" applyBorder="1">
      <alignment vertical="center"/>
    </xf>
    <xf numFmtId="0" fontId="20" fillId="3" borderId="2" xfId="0" applyFont="1" applyFill="1" applyBorder="1" applyAlignment="1">
      <alignment horizontal="center" vertical="center"/>
    </xf>
    <xf numFmtId="0" fontId="20" fillId="0" borderId="2" xfId="0" applyFont="1" applyFill="1" applyBorder="1">
      <alignment vertical="center"/>
    </xf>
    <xf numFmtId="0" fontId="20" fillId="0" borderId="2" xfId="0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4" xfId="0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0" fontId="1" fillId="3" borderId="0" xfId="0" applyFont="1" applyFill="1">
      <alignment vertical="center"/>
    </xf>
    <xf numFmtId="0" fontId="0" fillId="3" borderId="0" xfId="0" applyFill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7" fillId="3" borderId="0" xfId="1" applyFill="1">
      <alignment vertical="center"/>
    </xf>
    <xf numFmtId="49" fontId="22" fillId="0" borderId="0" xfId="0" applyNumberFormat="1" applyFont="1" applyFill="1" applyBorder="1" applyAlignment="1">
      <alignment horizontal="center" vertical="center" wrapText="1"/>
    </xf>
    <xf numFmtId="0" fontId="24" fillId="0" borderId="2" xfId="0" applyFont="1" applyBorder="1" applyAlignment="1">
      <alignment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3" xfId="0" applyFont="1" applyBorder="1" applyAlignment="1">
      <alignment vertical="center" wrapText="1"/>
    </xf>
    <xf numFmtId="0" fontId="24" fillId="0" borderId="3" xfId="0" applyFont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7" borderId="0" xfId="0" applyNumberFormat="1" applyFont="1" applyFill="1" applyAlignment="1">
      <alignment vertical="center"/>
    </xf>
    <xf numFmtId="0" fontId="0" fillId="0" borderId="0" xfId="0" quotePrefix="1" applyAlignment="1">
      <alignment horizontal="left" vertical="center"/>
    </xf>
    <xf numFmtId="0" fontId="25" fillId="0" borderId="4" xfId="0" applyFont="1" applyBorder="1" applyAlignment="1">
      <alignment horizontal="center" vertical="center" wrapText="1"/>
    </xf>
    <xf numFmtId="0" fontId="18" fillId="10" borderId="2" xfId="1" applyFont="1" applyFill="1" applyBorder="1">
      <alignment vertical="center"/>
    </xf>
    <xf numFmtId="0" fontId="18" fillId="10" borderId="3" xfId="1" applyFont="1" applyFill="1" applyBorder="1">
      <alignment vertical="center"/>
    </xf>
    <xf numFmtId="0" fontId="23" fillId="3" borderId="5" xfId="1" quotePrefix="1" applyFont="1" applyFill="1" applyBorder="1">
      <alignment vertical="center"/>
    </xf>
    <xf numFmtId="0" fontId="18" fillId="3" borderId="2" xfId="1" applyFont="1" applyFill="1" applyBorder="1">
      <alignment vertical="center"/>
    </xf>
    <xf numFmtId="0" fontId="18" fillId="10" borderId="4" xfId="1" applyFont="1" applyFill="1" applyBorder="1">
      <alignment vertical="center"/>
    </xf>
    <xf numFmtId="0" fontId="18" fillId="3" borderId="3" xfId="1" applyFont="1" applyFill="1" applyBorder="1">
      <alignment vertical="center"/>
    </xf>
    <xf numFmtId="0" fontId="18" fillId="10" borderId="5" xfId="1" applyFont="1" applyFill="1" applyBorder="1">
      <alignment vertical="center"/>
    </xf>
    <xf numFmtId="0" fontId="0" fillId="10" borderId="2" xfId="0" applyFont="1" applyFill="1" applyBorder="1">
      <alignment vertical="center"/>
    </xf>
    <xf numFmtId="0" fontId="18" fillId="3" borderId="7" xfId="1" applyFont="1" applyFill="1" applyBorder="1">
      <alignment vertical="center"/>
    </xf>
    <xf numFmtId="0" fontId="7" fillId="7" borderId="0" xfId="0" applyFont="1" applyFill="1" applyAlignment="1">
      <alignment horizontal="left" vertical="center"/>
    </xf>
    <xf numFmtId="0" fontId="0" fillId="7" borderId="0" xfId="0" applyFill="1">
      <alignment vertical="center"/>
    </xf>
    <xf numFmtId="0" fontId="6" fillId="0" borderId="3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10" fillId="7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7" fillId="7" borderId="0" xfId="0" applyNumberFormat="1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9" fillId="0" borderId="2" xfId="0" applyFont="1" applyBorder="1">
      <alignment vertical="center"/>
    </xf>
    <xf numFmtId="0" fontId="24" fillId="0" borderId="2" xfId="0" applyFont="1" applyBorder="1">
      <alignment vertical="center"/>
    </xf>
    <xf numFmtId="0" fontId="24" fillId="0" borderId="2" xfId="0" applyFont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/>
    </xf>
    <xf numFmtId="0" fontId="24" fillId="0" borderId="3" xfId="0" applyFont="1" applyBorder="1">
      <alignment vertical="center"/>
    </xf>
    <xf numFmtId="0" fontId="24" fillId="0" borderId="3" xfId="0" applyFont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/>
    </xf>
    <xf numFmtId="0" fontId="6" fillId="9" borderId="3" xfId="0" applyFont="1" applyFill="1" applyBorder="1" applyAlignment="1">
      <alignment horizontal="left" vertical="center" wrapText="1"/>
    </xf>
    <xf numFmtId="0" fontId="24" fillId="11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top" wrapText="1"/>
    </xf>
    <xf numFmtId="0" fontId="29" fillId="0" borderId="3" xfId="0" applyFont="1" applyBorder="1">
      <alignment vertical="center"/>
    </xf>
    <xf numFmtId="0" fontId="24" fillId="0" borderId="4" xfId="0" applyFont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29" fillId="5" borderId="2" xfId="0" applyFont="1" applyFill="1" applyBorder="1">
      <alignment vertical="center"/>
    </xf>
    <xf numFmtId="0" fontId="24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9" fillId="0" borderId="0" xfId="0" applyFont="1" applyAlignment="1">
      <alignment horizontal="right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29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0" fillId="0" borderId="10" xfId="0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 wrapText="1"/>
    </xf>
    <xf numFmtId="0" fontId="31" fillId="0" borderId="0" xfId="0" applyFont="1">
      <alignment vertical="center"/>
    </xf>
    <xf numFmtId="0" fontId="0" fillId="10" borderId="15" xfId="0" applyFill="1" applyBorder="1">
      <alignment vertical="center"/>
    </xf>
    <xf numFmtId="0" fontId="0" fillId="10" borderId="17" xfId="0" applyFill="1" applyBorder="1">
      <alignment vertical="center"/>
    </xf>
    <xf numFmtId="0" fontId="1" fillId="2" borderId="21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41" fontId="1" fillId="10" borderId="13" xfId="2" applyFont="1" applyFill="1" applyBorder="1" applyAlignment="1">
      <alignment horizontal="center" vertical="center"/>
    </xf>
    <xf numFmtId="41" fontId="0" fillId="0" borderId="6" xfId="2" applyFont="1" applyBorder="1" applyAlignment="1">
      <alignment horizontal="center" vertical="center"/>
    </xf>
    <xf numFmtId="41" fontId="0" fillId="0" borderId="18" xfId="2" applyFont="1" applyBorder="1" applyAlignment="1">
      <alignment horizontal="center" vertical="center"/>
    </xf>
    <xf numFmtId="0" fontId="32" fillId="0" borderId="0" xfId="0" applyFont="1">
      <alignment vertical="center"/>
    </xf>
    <xf numFmtId="0" fontId="0" fillId="0" borderId="1" xfId="0" applyBorder="1" applyAlignment="1">
      <alignment vertical="center"/>
    </xf>
    <xf numFmtId="0" fontId="0" fillId="0" borderId="0" xfId="0" applyFill="1">
      <alignment vertical="center"/>
    </xf>
    <xf numFmtId="0" fontId="0" fillId="0" borderId="0" xfId="0" applyFill="1" applyBorder="1" applyAlignment="1">
      <alignment horizontal="center" vertical="center"/>
    </xf>
    <xf numFmtId="41" fontId="0" fillId="0" borderId="0" xfId="2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left"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36" fillId="0" borderId="0" xfId="0" applyFont="1">
      <alignment vertical="center"/>
    </xf>
    <xf numFmtId="0" fontId="1" fillId="2" borderId="11" xfId="0" applyFont="1" applyFill="1" applyBorder="1" applyAlignment="1">
      <alignment horizontal="center" vertical="center"/>
    </xf>
    <xf numFmtId="0" fontId="1" fillId="10" borderId="24" xfId="0" applyFont="1" applyFill="1" applyBorder="1">
      <alignment vertical="center"/>
    </xf>
    <xf numFmtId="0" fontId="0" fillId="0" borderId="31" xfId="0" applyBorder="1">
      <alignment vertical="center"/>
    </xf>
    <xf numFmtId="0" fontId="0" fillId="0" borderId="3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41" fontId="1" fillId="10" borderId="38" xfId="2" applyFont="1" applyFill="1" applyBorder="1" applyAlignment="1">
      <alignment horizontal="center" vertical="center"/>
    </xf>
    <xf numFmtId="41" fontId="0" fillId="0" borderId="39" xfId="2" applyFont="1" applyBorder="1" applyAlignment="1">
      <alignment horizontal="center" vertical="center"/>
    </xf>
    <xf numFmtId="41" fontId="0" fillId="0" borderId="41" xfId="2" applyFont="1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0" fontId="0" fillId="10" borderId="24" xfId="0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" fillId="0" borderId="0" xfId="0" applyFont="1" applyFill="1">
      <alignment vertical="center"/>
    </xf>
    <xf numFmtId="0" fontId="0" fillId="10" borderId="0" xfId="0" applyFill="1" applyBorder="1">
      <alignment vertical="center"/>
    </xf>
    <xf numFmtId="0" fontId="0" fillId="10" borderId="34" xfId="0" applyFill="1" applyBorder="1">
      <alignment vertical="center"/>
    </xf>
    <xf numFmtId="0" fontId="0" fillId="0" borderId="66" xfId="0" applyBorder="1" applyAlignment="1">
      <alignment horizontal="center" vertical="center"/>
    </xf>
    <xf numFmtId="0" fontId="1" fillId="10" borderId="69" xfId="0" applyFont="1" applyFill="1" applyBorder="1" applyAlignment="1">
      <alignment horizontal="left" vertical="center"/>
    </xf>
    <xf numFmtId="0" fontId="1" fillId="10" borderId="70" xfId="0" applyFont="1" applyFill="1" applyBorder="1" applyAlignment="1">
      <alignment horizontal="center" vertical="center"/>
    </xf>
    <xf numFmtId="0" fontId="22" fillId="0" borderId="67" xfId="0" applyFont="1" applyBorder="1" applyAlignment="1">
      <alignment horizontal="center" vertical="center"/>
    </xf>
    <xf numFmtId="0" fontId="22" fillId="0" borderId="68" xfId="0" applyFont="1" applyBorder="1" applyAlignment="1">
      <alignment horizontal="center" vertical="center"/>
    </xf>
    <xf numFmtId="0" fontId="22" fillId="10" borderId="24" xfId="0" applyFont="1" applyFill="1" applyBorder="1">
      <alignment vertical="center"/>
    </xf>
    <xf numFmtId="41" fontId="1" fillId="10" borderId="37" xfId="0" applyNumberFormat="1" applyFont="1" applyFill="1" applyBorder="1" applyAlignment="1">
      <alignment horizontal="center" vertical="center"/>
    </xf>
    <xf numFmtId="41" fontId="1" fillId="12" borderId="37" xfId="2" applyFont="1" applyFill="1" applyBorder="1" applyAlignment="1">
      <alignment horizontal="center" vertical="center"/>
    </xf>
    <xf numFmtId="41" fontId="1" fillId="12" borderId="13" xfId="2" applyFont="1" applyFill="1" applyBorder="1" applyAlignment="1">
      <alignment horizontal="center" vertical="center"/>
    </xf>
    <xf numFmtId="41" fontId="1" fillId="12" borderId="38" xfId="2" applyFont="1" applyFill="1" applyBorder="1" applyAlignment="1">
      <alignment horizontal="center" vertical="center"/>
    </xf>
    <xf numFmtId="0" fontId="1" fillId="12" borderId="24" xfId="0" applyFont="1" applyFill="1" applyBorder="1">
      <alignment vertical="center"/>
    </xf>
    <xf numFmtId="0" fontId="0" fillId="12" borderId="15" xfId="0" applyFill="1" applyBorder="1" applyAlignment="1">
      <alignment horizontal="center" vertical="center"/>
    </xf>
    <xf numFmtId="0" fontId="0" fillId="12" borderId="17" xfId="0" applyFill="1" applyBorder="1" applyAlignment="1">
      <alignment horizontal="center" vertical="center"/>
    </xf>
    <xf numFmtId="41" fontId="1" fillId="12" borderId="43" xfId="2" applyFont="1" applyFill="1" applyBorder="1" applyAlignment="1">
      <alignment horizontal="center" vertical="center"/>
    </xf>
    <xf numFmtId="41" fontId="1" fillId="12" borderId="8" xfId="2" applyFont="1" applyFill="1" applyBorder="1" applyAlignment="1">
      <alignment horizontal="center" vertical="center"/>
    </xf>
    <xf numFmtId="41" fontId="1" fillId="12" borderId="44" xfId="2" applyFont="1" applyFill="1" applyBorder="1" applyAlignment="1">
      <alignment horizontal="center" vertical="center"/>
    </xf>
    <xf numFmtId="0" fontId="1" fillId="12" borderId="0" xfId="0" applyFont="1" applyFill="1" applyBorder="1">
      <alignment vertical="center"/>
    </xf>
    <xf numFmtId="41" fontId="0" fillId="12" borderId="42" xfId="2" applyFont="1" applyFill="1" applyBorder="1" applyAlignment="1">
      <alignment horizontal="center" vertical="center"/>
    </xf>
    <xf numFmtId="41" fontId="0" fillId="12" borderId="40" xfId="2" applyFont="1" applyFill="1" applyBorder="1" applyAlignment="1">
      <alignment horizontal="center" vertical="center"/>
    </xf>
    <xf numFmtId="0" fontId="1" fillId="2" borderId="48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0" fontId="1" fillId="10" borderId="70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12" borderId="12" xfId="0" applyFont="1" applyFill="1" applyBorder="1" applyAlignment="1">
      <alignment horizontal="center" vertical="center"/>
    </xf>
    <xf numFmtId="0" fontId="1" fillId="12" borderId="14" xfId="0" applyFont="1" applyFill="1" applyBorder="1" applyAlignment="1">
      <alignment horizontal="center" vertical="center"/>
    </xf>
    <xf numFmtId="0" fontId="1" fillId="12" borderId="15" xfId="0" applyFont="1" applyFill="1" applyBorder="1" applyAlignment="1">
      <alignment horizontal="center" vertical="center"/>
    </xf>
    <xf numFmtId="0" fontId="1" fillId="12" borderId="16" xfId="0" applyFont="1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1" fillId="10" borderId="12" xfId="0" applyFont="1" applyFill="1" applyBorder="1" applyAlignment="1">
      <alignment horizontal="center" vertical="center"/>
    </xf>
    <xf numFmtId="0" fontId="1" fillId="10" borderId="14" xfId="0" applyFont="1" applyFill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/>
    </xf>
    <xf numFmtId="0" fontId="1" fillId="10" borderId="49" xfId="0" applyFont="1" applyFill="1" applyBorder="1" applyAlignment="1">
      <alignment horizontal="center" vertical="center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1" fillId="10" borderId="37" xfId="0" applyFont="1" applyFill="1" applyBorder="1" applyAlignment="1">
      <alignment horizontal="center" vertical="center"/>
    </xf>
    <xf numFmtId="0" fontId="1" fillId="10" borderId="13" xfId="0" applyFont="1" applyFill="1" applyBorder="1" applyAlignment="1">
      <alignment horizontal="center" vertical="center"/>
    </xf>
    <xf numFmtId="0" fontId="1" fillId="10" borderId="38" xfId="0" applyFont="1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49" fontId="7" fillId="7" borderId="0" xfId="0" applyNumberFormat="1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/>
    </xf>
    <xf numFmtId="0" fontId="0" fillId="0" borderId="0" xfId="0" quotePrefix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6" fillId="0" borderId="0" xfId="0" quotePrefix="1" applyFont="1" applyAlignment="1" applyProtection="1">
      <alignment horizontal="left" vertical="center"/>
      <protection locked="0"/>
    </xf>
    <xf numFmtId="0" fontId="28" fillId="0" borderId="0" xfId="0" applyFont="1" applyAlignment="1">
      <alignment horizontal="center" vertical="center"/>
    </xf>
    <xf numFmtId="0" fontId="7" fillId="7" borderId="0" xfId="0" applyFont="1" applyFill="1" applyAlignment="1">
      <alignment horizontal="left" vertical="center" wrapText="1"/>
    </xf>
    <xf numFmtId="0" fontId="10" fillId="7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0" fillId="0" borderId="0" xfId="0" quotePrefix="1" applyAlignment="1">
      <alignment horizontal="left" vertical="center" wrapText="1"/>
    </xf>
    <xf numFmtId="49" fontId="17" fillId="7" borderId="0" xfId="1" applyNumberFormat="1" applyFill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6" fillId="0" borderId="0" xfId="0" quotePrefix="1" applyFont="1" applyAlignment="1">
      <alignment horizontal="left" vertical="center" wrapText="1"/>
    </xf>
    <xf numFmtId="0" fontId="6" fillId="0" borderId="0" xfId="0" quotePrefix="1" applyFont="1" applyAlignment="1">
      <alignment horizontal="left" vertical="center"/>
    </xf>
    <xf numFmtId="0" fontId="29" fillId="5" borderId="7" xfId="0" quotePrefix="1" applyFont="1" applyFill="1" applyBorder="1" applyAlignment="1">
      <alignment horizontal="left" vertical="top" wrapText="1"/>
    </xf>
    <xf numFmtId="0" fontId="24" fillId="5" borderId="8" xfId="0" quotePrefix="1" applyFont="1" applyFill="1" applyBorder="1" applyAlignment="1">
      <alignment horizontal="left" vertical="top" wrapText="1"/>
    </xf>
    <xf numFmtId="0" fontId="24" fillId="5" borderId="9" xfId="0" quotePrefix="1" applyFont="1" applyFill="1" applyBorder="1" applyAlignment="1">
      <alignment horizontal="left" vertical="top" wrapText="1"/>
    </xf>
    <xf numFmtId="49" fontId="10" fillId="0" borderId="0" xfId="0" applyNumberFormat="1" applyFont="1" applyAlignment="1">
      <alignment horizontal="left" vertical="center" wrapText="1"/>
    </xf>
    <xf numFmtId="49" fontId="6" fillId="0" borderId="0" xfId="0" applyNumberFormat="1" applyFont="1" applyAlignment="1">
      <alignment horizontal="left" vertical="center" wrapText="1"/>
    </xf>
    <xf numFmtId="49" fontId="7" fillId="0" borderId="0" xfId="0" applyNumberFormat="1" applyFont="1" applyAlignment="1">
      <alignment horizontal="left" vertical="center" wrapText="1"/>
    </xf>
  </cellXfs>
  <cellStyles count="3">
    <cellStyle name="쉼표 [0]" xfId="2" builtinId="6"/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&#54868;&#47732;-&#47588;&#51109;&#51221;&#48372;'!D51"/><Relationship Id="rId13" Type="http://schemas.openxmlformats.org/officeDocument/2006/relationships/hyperlink" Target="#'&#54868;&#47732;-&#47588;&#51109;&#51221;&#48372;'!D56"/><Relationship Id="rId3" Type="http://schemas.openxmlformats.org/officeDocument/2006/relationships/hyperlink" Target="#'&#54868;&#47732;-&#47588;&#51109;&#51221;&#48372;'!D46"/><Relationship Id="rId7" Type="http://schemas.openxmlformats.org/officeDocument/2006/relationships/hyperlink" Target="#'&#54868;&#47732;-&#47588;&#51109;&#51221;&#48372;'!D50"/><Relationship Id="rId12" Type="http://schemas.openxmlformats.org/officeDocument/2006/relationships/hyperlink" Target="#'&#54868;&#47732;-&#47588;&#51109;&#51221;&#48372;'!D55"/><Relationship Id="rId2" Type="http://schemas.openxmlformats.org/officeDocument/2006/relationships/hyperlink" Target="#'&#54868;&#47732;-&#47588;&#51109;&#51221;&#48372;'!D45"/><Relationship Id="rId1" Type="http://schemas.openxmlformats.org/officeDocument/2006/relationships/image" Target="../media/image3.png"/><Relationship Id="rId6" Type="http://schemas.openxmlformats.org/officeDocument/2006/relationships/hyperlink" Target="#'&#54868;&#47732;-&#47588;&#51109;&#51221;&#48372;'!D48"/><Relationship Id="rId11" Type="http://schemas.openxmlformats.org/officeDocument/2006/relationships/hyperlink" Target="#'&#54868;&#47732;-&#47588;&#51109;&#51221;&#48372;'!D54"/><Relationship Id="rId5" Type="http://schemas.openxmlformats.org/officeDocument/2006/relationships/hyperlink" Target="#'&#54868;&#47732;-&#47588;&#51109;&#51221;&#48372;'!D49"/><Relationship Id="rId15" Type="http://schemas.openxmlformats.org/officeDocument/2006/relationships/hyperlink" Target="#'&#54868;&#47732;-&#47588;&#51109;&#51221;&#48372;'!D58"/><Relationship Id="rId10" Type="http://schemas.openxmlformats.org/officeDocument/2006/relationships/hyperlink" Target="#'&#54868;&#47732;-&#47588;&#51109;&#51221;&#48372;'!D53"/><Relationship Id="rId4" Type="http://schemas.openxmlformats.org/officeDocument/2006/relationships/hyperlink" Target="#'&#54868;&#47732;-&#47588;&#51109;&#51221;&#48372;'!D47"/><Relationship Id="rId9" Type="http://schemas.openxmlformats.org/officeDocument/2006/relationships/hyperlink" Target="#'&#54868;&#47732;-&#47588;&#51109;&#51221;&#48372;'!D52"/><Relationship Id="rId14" Type="http://schemas.openxmlformats.org/officeDocument/2006/relationships/hyperlink" Target="#'&#54868;&#47732;-&#47588;&#51109;&#51221;&#48372;'!D57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hyperlink" Target="#'&#54868;&#47732;-&#51089;&#50629;&#51648;&#49884;&#46321;&#47197;'!D86"/><Relationship Id="rId7" Type="http://schemas.openxmlformats.org/officeDocument/2006/relationships/image" Target="../media/image9.png"/><Relationship Id="rId2" Type="http://schemas.openxmlformats.org/officeDocument/2006/relationships/hyperlink" Target="#'&#54868;&#47732;-&#51089;&#50629;&#51648;&#49884;&#46321;&#47197;'!D85"/><Relationship Id="rId1" Type="http://schemas.openxmlformats.org/officeDocument/2006/relationships/image" Target="../media/image5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</xdr:colOff>
      <xdr:row>7</xdr:row>
      <xdr:rowOff>19049</xdr:rowOff>
    </xdr:from>
    <xdr:to>
      <xdr:col>12</xdr:col>
      <xdr:colOff>350295</xdr:colOff>
      <xdr:row>39</xdr:row>
      <xdr:rowOff>153748</xdr:rowOff>
    </xdr:to>
    <xdr:pic>
      <xdr:nvPicPr>
        <xdr:cNvPr id="107" name="그림 106"/>
        <xdr:cNvPicPr>
          <a:picLocks/>
        </xdr:cNvPicPr>
      </xdr:nvPicPr>
      <xdr:blipFill rotWithShape="1">
        <a:blip xmlns:r="http://schemas.openxmlformats.org/officeDocument/2006/relationships" r:embed="rId1"/>
        <a:srcRect t="579" b="1"/>
        <a:stretch/>
      </xdr:blipFill>
      <xdr:spPr>
        <a:xfrm>
          <a:off x="1266824" y="971549"/>
          <a:ext cx="11376000" cy="6535499"/>
        </a:xfrm>
        <a:prstGeom prst="rect">
          <a:avLst/>
        </a:prstGeom>
        <a:ln w="15875">
          <a:solidFill>
            <a:schemeClr val="bg1">
              <a:lumMod val="50000"/>
            </a:schemeClr>
          </a:solidFill>
        </a:ln>
      </xdr:spPr>
    </xdr:pic>
    <xdr:clientData/>
  </xdr:twoCellAnchor>
  <xdr:twoCellAnchor>
    <xdr:from>
      <xdr:col>6</xdr:col>
      <xdr:colOff>566736</xdr:colOff>
      <xdr:row>13</xdr:row>
      <xdr:rowOff>47624</xdr:rowOff>
    </xdr:from>
    <xdr:to>
      <xdr:col>6</xdr:col>
      <xdr:colOff>771707</xdr:colOff>
      <xdr:row>15</xdr:row>
      <xdr:rowOff>6840</xdr:rowOff>
    </xdr:to>
    <xdr:sp macro="" textlink="">
      <xdr:nvSpPr>
        <xdr:cNvPr id="3" name="TextBox 2"/>
        <xdr:cNvSpPr txBox="1"/>
      </xdr:nvSpPr>
      <xdr:spPr>
        <a:xfrm>
          <a:off x="5648323" y="2247899"/>
          <a:ext cx="409942" cy="359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  <a:latin typeface="+mn-ea"/>
              <a:ea typeface="+mn-ea"/>
            </a:rPr>
            <a:t>(1)</a:t>
          </a:r>
          <a:endParaRPr lang="ko-KR" altLang="en-US" sz="1000" b="1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7</xdr:col>
      <xdr:colOff>161923</xdr:colOff>
      <xdr:row>13</xdr:row>
      <xdr:rowOff>47624</xdr:rowOff>
    </xdr:from>
    <xdr:to>
      <xdr:col>7</xdr:col>
      <xdr:colOff>366894</xdr:colOff>
      <xdr:row>15</xdr:row>
      <xdr:rowOff>6840</xdr:rowOff>
    </xdr:to>
    <xdr:sp macro="" textlink="">
      <xdr:nvSpPr>
        <xdr:cNvPr id="4" name="TextBox 3"/>
        <xdr:cNvSpPr txBox="1"/>
      </xdr:nvSpPr>
      <xdr:spPr>
        <a:xfrm>
          <a:off x="6667497" y="2247899"/>
          <a:ext cx="409942" cy="359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  <a:latin typeface="+mn-ea"/>
              <a:ea typeface="+mn-ea"/>
            </a:rPr>
            <a:t>(2)</a:t>
          </a:r>
          <a:endParaRPr lang="ko-KR" altLang="en-US" sz="1000" b="1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7</xdr:col>
      <xdr:colOff>604835</xdr:colOff>
      <xdr:row>13</xdr:row>
      <xdr:rowOff>47624</xdr:rowOff>
    </xdr:from>
    <xdr:to>
      <xdr:col>8</xdr:col>
      <xdr:colOff>190681</xdr:colOff>
      <xdr:row>15</xdr:row>
      <xdr:rowOff>6840</xdr:rowOff>
    </xdr:to>
    <xdr:sp macro="" textlink="">
      <xdr:nvSpPr>
        <xdr:cNvPr id="5" name="TextBox 4"/>
        <xdr:cNvSpPr txBox="1"/>
      </xdr:nvSpPr>
      <xdr:spPr>
        <a:xfrm>
          <a:off x="7553321" y="2247899"/>
          <a:ext cx="409942" cy="359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  <a:latin typeface="+mn-ea"/>
              <a:ea typeface="+mn-ea"/>
            </a:rPr>
            <a:t>(3)</a:t>
          </a:r>
          <a:endParaRPr lang="ko-KR" altLang="en-US" sz="1000" b="1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9</xdr:col>
      <xdr:colOff>200022</xdr:colOff>
      <xdr:row>13</xdr:row>
      <xdr:rowOff>38099</xdr:rowOff>
    </xdr:from>
    <xdr:to>
      <xdr:col>9</xdr:col>
      <xdr:colOff>404993</xdr:colOff>
      <xdr:row>14</xdr:row>
      <xdr:rowOff>197340</xdr:rowOff>
    </xdr:to>
    <xdr:sp macro="" textlink="">
      <xdr:nvSpPr>
        <xdr:cNvPr id="6" name="TextBox 5"/>
        <xdr:cNvSpPr txBox="1"/>
      </xdr:nvSpPr>
      <xdr:spPr>
        <a:xfrm>
          <a:off x="8629644" y="2238374"/>
          <a:ext cx="409942" cy="359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  <a:latin typeface="+mn-ea"/>
              <a:ea typeface="+mn-ea"/>
            </a:rPr>
            <a:t>(4)</a:t>
          </a:r>
          <a:endParaRPr lang="ko-KR" altLang="en-US" sz="1000" b="1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10</xdr:col>
      <xdr:colOff>38097</xdr:colOff>
      <xdr:row>13</xdr:row>
      <xdr:rowOff>38099</xdr:rowOff>
    </xdr:from>
    <xdr:to>
      <xdr:col>10</xdr:col>
      <xdr:colOff>243068</xdr:colOff>
      <xdr:row>14</xdr:row>
      <xdr:rowOff>197340</xdr:rowOff>
    </xdr:to>
    <xdr:sp macro="" textlink="">
      <xdr:nvSpPr>
        <xdr:cNvPr id="7" name="TextBox 6"/>
        <xdr:cNvSpPr txBox="1"/>
      </xdr:nvSpPr>
      <xdr:spPr>
        <a:xfrm>
          <a:off x="9201145" y="2238374"/>
          <a:ext cx="409942" cy="359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  <a:latin typeface="+mn-ea"/>
              <a:ea typeface="+mn-ea"/>
            </a:rPr>
            <a:t>(5)</a:t>
          </a:r>
          <a:endParaRPr lang="ko-KR" altLang="en-US" sz="1000" b="1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10</xdr:col>
      <xdr:colOff>414334</xdr:colOff>
      <xdr:row>13</xdr:row>
      <xdr:rowOff>38099</xdr:rowOff>
    </xdr:from>
    <xdr:to>
      <xdr:col>10</xdr:col>
      <xdr:colOff>619305</xdr:colOff>
      <xdr:row>14</xdr:row>
      <xdr:rowOff>197340</xdr:rowOff>
    </xdr:to>
    <xdr:sp macro="" textlink="">
      <xdr:nvSpPr>
        <xdr:cNvPr id="18" name="TextBox 17"/>
        <xdr:cNvSpPr txBox="1"/>
      </xdr:nvSpPr>
      <xdr:spPr>
        <a:xfrm>
          <a:off x="9953619" y="2238374"/>
          <a:ext cx="409942" cy="359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  <a:latin typeface="+mn-ea"/>
              <a:ea typeface="+mn-ea"/>
            </a:rPr>
            <a:t>(6)</a:t>
          </a:r>
          <a:endParaRPr lang="ko-KR" altLang="en-US" sz="1000" b="1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11</xdr:col>
      <xdr:colOff>196840</xdr:colOff>
      <xdr:row>13</xdr:row>
      <xdr:rowOff>133349</xdr:rowOff>
    </xdr:from>
    <xdr:to>
      <xdr:col>11</xdr:col>
      <xdr:colOff>401811</xdr:colOff>
      <xdr:row>15</xdr:row>
      <xdr:rowOff>91507</xdr:rowOff>
    </xdr:to>
    <xdr:sp macro="" textlink="">
      <xdr:nvSpPr>
        <xdr:cNvPr id="19" name="TextBox 18"/>
        <xdr:cNvSpPr txBox="1"/>
      </xdr:nvSpPr>
      <xdr:spPr>
        <a:xfrm>
          <a:off x="10924098" y="2281766"/>
          <a:ext cx="409942" cy="3603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  <a:latin typeface="+mn-ea"/>
              <a:ea typeface="+mn-ea"/>
            </a:rPr>
            <a:t>(7)</a:t>
          </a:r>
          <a:endParaRPr lang="ko-KR" altLang="en-US" sz="1000" b="1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11</xdr:col>
      <xdr:colOff>501637</xdr:colOff>
      <xdr:row>13</xdr:row>
      <xdr:rowOff>133349</xdr:rowOff>
    </xdr:from>
    <xdr:to>
      <xdr:col>12</xdr:col>
      <xdr:colOff>2816</xdr:colOff>
      <xdr:row>15</xdr:row>
      <xdr:rowOff>91507</xdr:rowOff>
    </xdr:to>
    <xdr:sp macro="" textlink="">
      <xdr:nvSpPr>
        <xdr:cNvPr id="20" name="TextBox 19"/>
        <xdr:cNvSpPr txBox="1"/>
      </xdr:nvSpPr>
      <xdr:spPr>
        <a:xfrm>
          <a:off x="11533692" y="2281766"/>
          <a:ext cx="409941" cy="3603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  <a:latin typeface="+mn-ea"/>
              <a:ea typeface="+mn-ea"/>
            </a:rPr>
            <a:t>(8)</a:t>
          </a:r>
          <a:endParaRPr lang="ko-KR" altLang="en-US" sz="1000" b="1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6</xdr:row>
      <xdr:rowOff>76200</xdr:rowOff>
    </xdr:from>
    <xdr:to>
      <xdr:col>12</xdr:col>
      <xdr:colOff>1773133</xdr:colOff>
      <xdr:row>36</xdr:row>
      <xdr:rowOff>180975</xdr:rowOff>
    </xdr:to>
    <xdr:grpSp>
      <xdr:nvGrpSpPr>
        <xdr:cNvPr id="2" name="그룹 1"/>
        <xdr:cNvGrpSpPr/>
      </xdr:nvGrpSpPr>
      <xdr:grpSpPr>
        <a:xfrm>
          <a:off x="1416875" y="1053440"/>
          <a:ext cx="12516096" cy="6413541"/>
          <a:chOff x="742950" y="952500"/>
          <a:chExt cx="11153776" cy="6467476"/>
        </a:xfrm>
      </xdr:grpSpPr>
      <xdr:pic>
        <xdr:nvPicPr>
          <xdr:cNvPr id="3" name="그림 2"/>
          <xdr:cNvPicPr preferRelativeResize="0">
            <a:picLocks/>
          </xdr:cNvPicPr>
        </xdr:nvPicPr>
        <xdr:blipFill rotWithShape="1">
          <a:blip xmlns:r="http://schemas.openxmlformats.org/officeDocument/2006/relationships" r:embed="rId1"/>
          <a:srcRect l="297" t="869" r="271" b="745"/>
          <a:stretch/>
        </xdr:blipFill>
        <xdr:spPr>
          <a:xfrm>
            <a:off x="742950" y="952500"/>
            <a:ext cx="11153776" cy="6467476"/>
          </a:xfrm>
          <a:prstGeom prst="rect">
            <a:avLst/>
          </a:prstGeom>
          <a:ln w="15875">
            <a:solidFill>
              <a:schemeClr val="bg1">
                <a:lumMod val="50000"/>
              </a:schemeClr>
            </a:solidFill>
          </a:ln>
        </xdr:spPr>
      </xdr:pic>
      <xdr:sp macro="" textlink="">
        <xdr:nvSpPr>
          <xdr:cNvPr id="4" name="TextBox 3"/>
          <xdr:cNvSpPr txBox="1"/>
        </xdr:nvSpPr>
        <xdr:spPr>
          <a:xfrm>
            <a:off x="1117953" y="3520337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(1)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5" name="TextBox 4"/>
          <xdr:cNvSpPr txBox="1"/>
        </xdr:nvSpPr>
        <xdr:spPr>
          <a:xfrm>
            <a:off x="1879519" y="3508907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(2)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" name="TextBox 5"/>
          <xdr:cNvSpPr txBox="1"/>
        </xdr:nvSpPr>
        <xdr:spPr>
          <a:xfrm>
            <a:off x="4709460" y="3508907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(3)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7" name="TextBox 6"/>
          <xdr:cNvSpPr txBox="1"/>
        </xdr:nvSpPr>
        <xdr:spPr>
          <a:xfrm>
            <a:off x="5309244" y="3508907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(4)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8" name="TextBox 7"/>
          <xdr:cNvSpPr txBox="1"/>
        </xdr:nvSpPr>
        <xdr:spPr>
          <a:xfrm>
            <a:off x="5994174" y="3508907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(5)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9" name="TextBox 8"/>
          <xdr:cNvSpPr txBox="1"/>
        </xdr:nvSpPr>
        <xdr:spPr>
          <a:xfrm>
            <a:off x="6575780" y="3508907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(6)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0" name="TextBox 9"/>
          <xdr:cNvSpPr txBox="1"/>
        </xdr:nvSpPr>
        <xdr:spPr>
          <a:xfrm>
            <a:off x="7032979" y="3508907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(7)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1" name="TextBox 10"/>
          <xdr:cNvSpPr txBox="1"/>
        </xdr:nvSpPr>
        <xdr:spPr>
          <a:xfrm>
            <a:off x="7528279" y="3487700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(8)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2" name="TextBox 11"/>
          <xdr:cNvSpPr txBox="1"/>
        </xdr:nvSpPr>
        <xdr:spPr>
          <a:xfrm>
            <a:off x="8146969" y="3508907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(9)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3" name="TextBox 12"/>
          <xdr:cNvSpPr txBox="1"/>
        </xdr:nvSpPr>
        <xdr:spPr>
          <a:xfrm>
            <a:off x="8842149" y="3498304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(10)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4" name="TextBox 13"/>
          <xdr:cNvSpPr txBox="1"/>
        </xdr:nvSpPr>
        <xdr:spPr>
          <a:xfrm>
            <a:off x="9471378" y="3498304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(11)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5" name="TextBox 14"/>
          <xdr:cNvSpPr txBox="1"/>
        </xdr:nvSpPr>
        <xdr:spPr>
          <a:xfrm>
            <a:off x="10147364" y="3498304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(12)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6" name="TextBox 15"/>
          <xdr:cNvSpPr txBox="1"/>
        </xdr:nvSpPr>
        <xdr:spPr>
          <a:xfrm>
            <a:off x="10776594" y="3487700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(13)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7" name="TextBox 16"/>
          <xdr:cNvSpPr txBox="1"/>
        </xdr:nvSpPr>
        <xdr:spPr>
          <a:xfrm>
            <a:off x="11347805" y="3508907"/>
            <a:ext cx="413062" cy="363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000" b="1">
                <a:solidFill>
                  <a:srgbClr val="FF0000"/>
                </a:solidFill>
                <a:latin typeface="+mn-ea"/>
                <a:ea typeface="+mn-ea"/>
              </a:rPr>
              <a:t>(14)</a:t>
            </a:r>
            <a:endParaRPr lang="ko-KR" altLang="en-US" sz="1000" b="1">
              <a:solidFill>
                <a:srgbClr val="FF0000"/>
              </a:solidFill>
              <a:latin typeface="+mn-ea"/>
              <a:ea typeface="+mn-ea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14284</xdr:colOff>
      <xdr:row>7</xdr:row>
      <xdr:rowOff>38100</xdr:rowOff>
    </xdr:from>
    <xdr:to>
      <xdr:col>12</xdr:col>
      <xdr:colOff>984607</xdr:colOff>
      <xdr:row>38</xdr:row>
      <xdr:rowOff>180975</xdr:rowOff>
    </xdr:to>
    <xdr:grpSp>
      <xdr:nvGrpSpPr>
        <xdr:cNvPr id="121" name="그룹 120"/>
        <xdr:cNvGrpSpPr>
          <a:grpSpLocks noChangeAspect="1"/>
        </xdr:cNvGrpSpPr>
      </xdr:nvGrpSpPr>
      <xdr:grpSpPr>
        <a:xfrm>
          <a:off x="1336578" y="990600"/>
          <a:ext cx="11447823" cy="6664699"/>
          <a:chOff x="1447800" y="4819650"/>
          <a:chExt cx="11217996" cy="6572250"/>
        </a:xfrm>
      </xdr:grpSpPr>
      <xdr:pic>
        <xdr:nvPicPr>
          <xdr:cNvPr id="122" name="그림 121"/>
          <xdr:cNvPicPr>
            <a:picLocks/>
          </xdr:cNvPicPr>
        </xdr:nvPicPr>
        <xdr:blipFill rotWithShape="1">
          <a:blip xmlns:r="http://schemas.openxmlformats.org/officeDocument/2006/relationships" r:embed="rId1"/>
          <a:srcRect l="254" t="719"/>
          <a:stretch/>
        </xdr:blipFill>
        <xdr:spPr>
          <a:xfrm>
            <a:off x="1447800" y="4819650"/>
            <a:ext cx="11217996" cy="6572250"/>
          </a:xfrm>
          <a:prstGeom prst="rect">
            <a:avLst/>
          </a:prstGeom>
          <a:ln w="15875">
            <a:solidFill>
              <a:schemeClr val="bg1">
                <a:lumMod val="50000"/>
              </a:schemeClr>
            </a:solidFill>
          </a:ln>
        </xdr:spPr>
      </xdr:pic>
      <xdr:sp macro="" textlink="">
        <xdr:nvSpPr>
          <xdr:cNvPr id="123" name="직사각형 122"/>
          <xdr:cNvSpPr/>
        </xdr:nvSpPr>
        <xdr:spPr>
          <a:xfrm>
            <a:off x="11410944" y="5038725"/>
            <a:ext cx="1076324" cy="257175"/>
          </a:xfrm>
          <a:prstGeom prst="rect">
            <a:avLst/>
          </a:prstGeom>
          <a:noFill/>
          <a:ln w="12700">
            <a:solidFill>
              <a:srgbClr val="FF0000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ln>
                <a:solidFill>
                  <a:srgbClr val="FF0000"/>
                </a:solidFill>
              </a:ln>
            </a:endParaRPr>
          </a:p>
        </xdr:txBody>
      </xdr:sp>
      <xdr:sp macro="" textlink="">
        <xdr:nvSpPr>
          <xdr:cNvPr id="124" name="TextBox 123">
            <a:hlinkClick xmlns:r="http://schemas.openxmlformats.org/officeDocument/2006/relationships" r:id="rId2"/>
          </xdr:cNvPr>
          <xdr:cNvSpPr txBox="1"/>
        </xdr:nvSpPr>
        <xdr:spPr>
          <a:xfrm>
            <a:off x="5238710" y="5543550"/>
            <a:ext cx="342466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25" name="TextBox 124">
            <a:hlinkClick xmlns:r="http://schemas.openxmlformats.org/officeDocument/2006/relationships" r:id="rId3"/>
          </xdr:cNvPr>
          <xdr:cNvSpPr txBox="1"/>
        </xdr:nvSpPr>
        <xdr:spPr>
          <a:xfrm>
            <a:off x="5238710" y="5743575"/>
            <a:ext cx="342466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26" name="TextBox 125">
            <a:hlinkClick xmlns:r="http://schemas.openxmlformats.org/officeDocument/2006/relationships" r:id="rId4"/>
          </xdr:cNvPr>
          <xdr:cNvSpPr txBox="1"/>
        </xdr:nvSpPr>
        <xdr:spPr>
          <a:xfrm>
            <a:off x="5238708" y="5934075"/>
            <a:ext cx="342466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27" name="TextBox 126">
            <a:hlinkClick xmlns:r="http://schemas.openxmlformats.org/officeDocument/2006/relationships" r:id="rId5"/>
          </xdr:cNvPr>
          <xdr:cNvSpPr txBox="1"/>
        </xdr:nvSpPr>
        <xdr:spPr>
          <a:xfrm>
            <a:off x="7562826" y="5734050"/>
            <a:ext cx="342466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28" name="TextBox 127">
            <a:hlinkClick xmlns:r="http://schemas.openxmlformats.org/officeDocument/2006/relationships" r:id="rId6"/>
          </xdr:cNvPr>
          <xdr:cNvSpPr txBox="1"/>
        </xdr:nvSpPr>
        <xdr:spPr>
          <a:xfrm>
            <a:off x="7562826" y="5534025"/>
            <a:ext cx="342466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29" name="TextBox 128">
            <a:hlinkClick xmlns:r="http://schemas.openxmlformats.org/officeDocument/2006/relationships" r:id="rId7"/>
          </xdr:cNvPr>
          <xdr:cNvSpPr txBox="1"/>
        </xdr:nvSpPr>
        <xdr:spPr>
          <a:xfrm>
            <a:off x="7562824" y="5924550"/>
            <a:ext cx="342466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30" name="TextBox 129">
            <a:hlinkClick xmlns:r="http://schemas.openxmlformats.org/officeDocument/2006/relationships" r:id="rId8"/>
          </xdr:cNvPr>
          <xdr:cNvSpPr txBox="1"/>
        </xdr:nvSpPr>
        <xdr:spPr>
          <a:xfrm>
            <a:off x="9677386" y="5343525"/>
            <a:ext cx="342466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31" name="TextBox 130">
            <a:hlinkClick xmlns:r="http://schemas.openxmlformats.org/officeDocument/2006/relationships" r:id="rId9"/>
          </xdr:cNvPr>
          <xdr:cNvSpPr txBox="1"/>
        </xdr:nvSpPr>
        <xdr:spPr>
          <a:xfrm>
            <a:off x="9677388" y="5534025"/>
            <a:ext cx="342466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32" name="TextBox 131">
            <a:hlinkClick xmlns:r="http://schemas.openxmlformats.org/officeDocument/2006/relationships" r:id="rId10"/>
          </xdr:cNvPr>
          <xdr:cNvSpPr txBox="1"/>
        </xdr:nvSpPr>
        <xdr:spPr>
          <a:xfrm>
            <a:off x="9963136" y="5734050"/>
            <a:ext cx="342466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33" name="TextBox 132">
            <a:hlinkClick xmlns:r="http://schemas.openxmlformats.org/officeDocument/2006/relationships" r:id="rId11"/>
          </xdr:cNvPr>
          <xdr:cNvSpPr txBox="1"/>
        </xdr:nvSpPr>
        <xdr:spPr>
          <a:xfrm>
            <a:off x="9648812" y="59340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34" name="TextBox 133">
            <a:hlinkClick xmlns:r="http://schemas.openxmlformats.org/officeDocument/2006/relationships" r:id="rId12"/>
          </xdr:cNvPr>
          <xdr:cNvSpPr txBox="1"/>
        </xdr:nvSpPr>
        <xdr:spPr>
          <a:xfrm>
            <a:off x="11658600" y="53244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35" name="TextBox 134">
            <a:hlinkClick xmlns:r="http://schemas.openxmlformats.org/officeDocument/2006/relationships" r:id="rId13"/>
          </xdr:cNvPr>
          <xdr:cNvSpPr txBox="1"/>
        </xdr:nvSpPr>
        <xdr:spPr>
          <a:xfrm>
            <a:off x="11658586" y="55340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36" name="TextBox 135">
            <a:hlinkClick xmlns:r="http://schemas.openxmlformats.org/officeDocument/2006/relationships" r:id="rId14"/>
          </xdr:cNvPr>
          <xdr:cNvSpPr txBox="1"/>
        </xdr:nvSpPr>
        <xdr:spPr>
          <a:xfrm>
            <a:off x="11658566" y="57340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37" name="TextBox 136">
            <a:hlinkClick xmlns:r="http://schemas.openxmlformats.org/officeDocument/2006/relationships" r:id="rId15"/>
          </xdr:cNvPr>
          <xdr:cNvSpPr txBox="1"/>
        </xdr:nvSpPr>
        <xdr:spPr>
          <a:xfrm>
            <a:off x="11658566" y="59245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38" name="TextBox 137"/>
          <xdr:cNvSpPr txBox="1"/>
        </xdr:nvSpPr>
        <xdr:spPr>
          <a:xfrm>
            <a:off x="10048840" y="61912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39" name="TextBox 138"/>
          <xdr:cNvSpPr txBox="1"/>
        </xdr:nvSpPr>
        <xdr:spPr>
          <a:xfrm>
            <a:off x="10058352" y="63817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40" name="TextBox 139"/>
          <xdr:cNvSpPr txBox="1"/>
        </xdr:nvSpPr>
        <xdr:spPr>
          <a:xfrm>
            <a:off x="11944260" y="61150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41" name="TextBox 140"/>
          <xdr:cNvSpPr txBox="1"/>
        </xdr:nvSpPr>
        <xdr:spPr>
          <a:xfrm>
            <a:off x="11953776" y="63246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42" name="TextBox 141"/>
          <xdr:cNvSpPr txBox="1"/>
        </xdr:nvSpPr>
        <xdr:spPr>
          <a:xfrm>
            <a:off x="5162414" y="65817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43" name="TextBox 142"/>
          <xdr:cNvSpPr txBox="1"/>
        </xdr:nvSpPr>
        <xdr:spPr>
          <a:xfrm>
            <a:off x="7000874" y="65817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44" name="TextBox 143"/>
          <xdr:cNvSpPr txBox="1"/>
        </xdr:nvSpPr>
        <xdr:spPr>
          <a:xfrm>
            <a:off x="8877298" y="65722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45" name="TextBox 144"/>
          <xdr:cNvSpPr txBox="1"/>
        </xdr:nvSpPr>
        <xdr:spPr>
          <a:xfrm>
            <a:off x="10058362" y="65722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46" name="TextBox 145"/>
          <xdr:cNvSpPr txBox="1"/>
        </xdr:nvSpPr>
        <xdr:spPr>
          <a:xfrm>
            <a:off x="10629850" y="65341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47" name="TextBox 146"/>
          <xdr:cNvSpPr txBox="1"/>
        </xdr:nvSpPr>
        <xdr:spPr>
          <a:xfrm>
            <a:off x="5467350" y="68103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48" name="TextBox 147"/>
          <xdr:cNvSpPr txBox="1"/>
        </xdr:nvSpPr>
        <xdr:spPr>
          <a:xfrm>
            <a:off x="5457814" y="70294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49" name="TextBox 148"/>
          <xdr:cNvSpPr txBox="1"/>
        </xdr:nvSpPr>
        <xdr:spPr>
          <a:xfrm>
            <a:off x="5457804" y="72294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50" name="TextBox 149"/>
          <xdr:cNvSpPr txBox="1"/>
        </xdr:nvSpPr>
        <xdr:spPr>
          <a:xfrm>
            <a:off x="5457790" y="74295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51" name="TextBox 150"/>
          <xdr:cNvSpPr txBox="1"/>
        </xdr:nvSpPr>
        <xdr:spPr>
          <a:xfrm>
            <a:off x="7010364" y="68103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52" name="TextBox 151"/>
          <xdr:cNvSpPr txBox="1"/>
        </xdr:nvSpPr>
        <xdr:spPr>
          <a:xfrm>
            <a:off x="7924742" y="68103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53" name="TextBox 152"/>
          <xdr:cNvSpPr txBox="1"/>
        </xdr:nvSpPr>
        <xdr:spPr>
          <a:xfrm>
            <a:off x="10238890" y="68103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54" name="TextBox 153"/>
          <xdr:cNvSpPr txBox="1"/>
        </xdr:nvSpPr>
        <xdr:spPr>
          <a:xfrm>
            <a:off x="7419834" y="70199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55" name="TextBox 154"/>
          <xdr:cNvSpPr txBox="1"/>
        </xdr:nvSpPr>
        <xdr:spPr>
          <a:xfrm>
            <a:off x="10238882" y="70199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56" name="TextBox 155"/>
          <xdr:cNvSpPr txBox="1"/>
        </xdr:nvSpPr>
        <xdr:spPr>
          <a:xfrm>
            <a:off x="10238882" y="72294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57" name="TextBox 156"/>
          <xdr:cNvSpPr txBox="1"/>
        </xdr:nvSpPr>
        <xdr:spPr>
          <a:xfrm>
            <a:off x="10238874" y="74295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58" name="TextBox 157"/>
          <xdr:cNvSpPr txBox="1"/>
        </xdr:nvSpPr>
        <xdr:spPr>
          <a:xfrm>
            <a:off x="11372678" y="74390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59" name="TextBox 158"/>
          <xdr:cNvSpPr txBox="1"/>
        </xdr:nvSpPr>
        <xdr:spPr>
          <a:xfrm>
            <a:off x="3790946" y="78486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60" name="TextBox 159"/>
          <xdr:cNvSpPr txBox="1"/>
        </xdr:nvSpPr>
        <xdr:spPr>
          <a:xfrm>
            <a:off x="4772024" y="80581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61" name="TextBox 160"/>
          <xdr:cNvSpPr txBox="1"/>
        </xdr:nvSpPr>
        <xdr:spPr>
          <a:xfrm>
            <a:off x="4772016" y="82677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62" name="TextBox 161"/>
          <xdr:cNvSpPr txBox="1"/>
        </xdr:nvSpPr>
        <xdr:spPr>
          <a:xfrm>
            <a:off x="6572222" y="80486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63" name="TextBox 162"/>
          <xdr:cNvSpPr txBox="1"/>
        </xdr:nvSpPr>
        <xdr:spPr>
          <a:xfrm>
            <a:off x="6572208" y="82772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64" name="TextBox 163"/>
          <xdr:cNvSpPr txBox="1"/>
        </xdr:nvSpPr>
        <xdr:spPr>
          <a:xfrm>
            <a:off x="6572208" y="76866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65" name="TextBox 164"/>
          <xdr:cNvSpPr txBox="1"/>
        </xdr:nvSpPr>
        <xdr:spPr>
          <a:xfrm>
            <a:off x="8153372" y="77914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66" name="TextBox 165"/>
          <xdr:cNvSpPr txBox="1"/>
        </xdr:nvSpPr>
        <xdr:spPr>
          <a:xfrm>
            <a:off x="8162894" y="80581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67" name="TextBox 166"/>
          <xdr:cNvSpPr txBox="1"/>
        </xdr:nvSpPr>
        <xdr:spPr>
          <a:xfrm>
            <a:off x="7591394" y="82677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68" name="TextBox 167"/>
          <xdr:cNvSpPr txBox="1"/>
        </xdr:nvSpPr>
        <xdr:spPr>
          <a:xfrm>
            <a:off x="8420056" y="82677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69" name="TextBox 168"/>
          <xdr:cNvSpPr txBox="1"/>
        </xdr:nvSpPr>
        <xdr:spPr>
          <a:xfrm>
            <a:off x="9982136" y="78486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70" name="TextBox 169"/>
          <xdr:cNvSpPr txBox="1"/>
        </xdr:nvSpPr>
        <xdr:spPr>
          <a:xfrm>
            <a:off x="9982156" y="80581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71" name="TextBox 170"/>
          <xdr:cNvSpPr txBox="1"/>
        </xdr:nvSpPr>
        <xdr:spPr>
          <a:xfrm>
            <a:off x="9982136" y="82772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72" name="TextBox 171"/>
          <xdr:cNvSpPr txBox="1"/>
        </xdr:nvSpPr>
        <xdr:spPr>
          <a:xfrm>
            <a:off x="10658410" y="78295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73" name="TextBox 172"/>
          <xdr:cNvSpPr txBox="1"/>
        </xdr:nvSpPr>
        <xdr:spPr>
          <a:xfrm>
            <a:off x="11687096" y="78390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74" name="TextBox 173"/>
          <xdr:cNvSpPr txBox="1"/>
        </xdr:nvSpPr>
        <xdr:spPr>
          <a:xfrm>
            <a:off x="11896660" y="80581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75" name="TextBox 174"/>
          <xdr:cNvSpPr txBox="1"/>
        </xdr:nvSpPr>
        <xdr:spPr>
          <a:xfrm>
            <a:off x="11896650" y="82677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76" name="TextBox 175"/>
          <xdr:cNvSpPr txBox="1"/>
        </xdr:nvSpPr>
        <xdr:spPr>
          <a:xfrm>
            <a:off x="4933858" y="85439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77" name="TextBox 176"/>
          <xdr:cNvSpPr txBox="1"/>
        </xdr:nvSpPr>
        <xdr:spPr>
          <a:xfrm>
            <a:off x="4933858" y="87630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78" name="TextBox 177"/>
          <xdr:cNvSpPr txBox="1"/>
        </xdr:nvSpPr>
        <xdr:spPr>
          <a:xfrm>
            <a:off x="6486432" y="85534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79" name="TextBox 178"/>
          <xdr:cNvSpPr txBox="1"/>
        </xdr:nvSpPr>
        <xdr:spPr>
          <a:xfrm>
            <a:off x="6486432" y="87534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80" name="TextBox 179"/>
          <xdr:cNvSpPr txBox="1"/>
        </xdr:nvSpPr>
        <xdr:spPr>
          <a:xfrm>
            <a:off x="8086598" y="85439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81" name="TextBox 180"/>
          <xdr:cNvSpPr txBox="1"/>
        </xdr:nvSpPr>
        <xdr:spPr>
          <a:xfrm>
            <a:off x="8086588" y="87534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82" name="TextBox 181"/>
          <xdr:cNvSpPr txBox="1"/>
        </xdr:nvSpPr>
        <xdr:spPr>
          <a:xfrm>
            <a:off x="9762988" y="85534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83" name="TextBox 182"/>
          <xdr:cNvSpPr txBox="1"/>
        </xdr:nvSpPr>
        <xdr:spPr>
          <a:xfrm>
            <a:off x="9839180" y="87439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84" name="TextBox 183"/>
          <xdr:cNvSpPr txBox="1"/>
        </xdr:nvSpPr>
        <xdr:spPr>
          <a:xfrm>
            <a:off x="11477480" y="85534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85" name="TextBox 184"/>
          <xdr:cNvSpPr txBox="1"/>
        </xdr:nvSpPr>
        <xdr:spPr>
          <a:xfrm>
            <a:off x="11477470" y="87534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86" name="TextBox 185"/>
          <xdr:cNvSpPr txBox="1"/>
        </xdr:nvSpPr>
        <xdr:spPr>
          <a:xfrm>
            <a:off x="4876644" y="90106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87" name="TextBox 186"/>
          <xdr:cNvSpPr txBox="1"/>
        </xdr:nvSpPr>
        <xdr:spPr>
          <a:xfrm>
            <a:off x="4781394" y="92106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88" name="TextBox 187"/>
          <xdr:cNvSpPr txBox="1"/>
        </xdr:nvSpPr>
        <xdr:spPr>
          <a:xfrm>
            <a:off x="4781392" y="94202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89" name="TextBox 188"/>
          <xdr:cNvSpPr txBox="1"/>
        </xdr:nvSpPr>
        <xdr:spPr>
          <a:xfrm>
            <a:off x="4790916" y="96297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90" name="TextBox 189"/>
          <xdr:cNvSpPr txBox="1"/>
        </xdr:nvSpPr>
        <xdr:spPr>
          <a:xfrm>
            <a:off x="4790916" y="98393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91" name="TextBox 190"/>
          <xdr:cNvSpPr txBox="1"/>
        </xdr:nvSpPr>
        <xdr:spPr>
          <a:xfrm>
            <a:off x="4790914" y="100488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92" name="TextBox 191"/>
          <xdr:cNvSpPr txBox="1"/>
        </xdr:nvSpPr>
        <xdr:spPr>
          <a:xfrm>
            <a:off x="6438738" y="90201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93" name="TextBox 192"/>
          <xdr:cNvSpPr txBox="1"/>
        </xdr:nvSpPr>
        <xdr:spPr>
          <a:xfrm>
            <a:off x="6438738" y="92202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(70)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94" name="TextBox 193"/>
          <xdr:cNvSpPr txBox="1"/>
        </xdr:nvSpPr>
        <xdr:spPr>
          <a:xfrm>
            <a:off x="6629238" y="94202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(71)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95" name="TextBox 194"/>
          <xdr:cNvSpPr txBox="1"/>
        </xdr:nvSpPr>
        <xdr:spPr>
          <a:xfrm>
            <a:off x="6438738" y="96297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(72)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96" name="TextBox 195"/>
          <xdr:cNvSpPr txBox="1"/>
        </xdr:nvSpPr>
        <xdr:spPr>
          <a:xfrm>
            <a:off x="6438738" y="98298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(73)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97" name="TextBox 196"/>
          <xdr:cNvSpPr txBox="1"/>
        </xdr:nvSpPr>
        <xdr:spPr>
          <a:xfrm>
            <a:off x="6438738" y="100488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(74)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98" name="TextBox 197"/>
          <xdr:cNvSpPr txBox="1"/>
        </xdr:nvSpPr>
        <xdr:spPr>
          <a:xfrm>
            <a:off x="8724736" y="90106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(75)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99" name="TextBox 198"/>
          <xdr:cNvSpPr txBox="1"/>
        </xdr:nvSpPr>
        <xdr:spPr>
          <a:xfrm>
            <a:off x="7153110" y="92106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(76)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00" name="TextBox 199"/>
          <xdr:cNvSpPr txBox="1"/>
        </xdr:nvSpPr>
        <xdr:spPr>
          <a:xfrm>
            <a:off x="8067510" y="94202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(77)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01" name="TextBox 200"/>
          <xdr:cNvSpPr txBox="1"/>
        </xdr:nvSpPr>
        <xdr:spPr>
          <a:xfrm>
            <a:off x="8067510" y="96393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(78)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02" name="TextBox 201"/>
          <xdr:cNvSpPr txBox="1"/>
        </xdr:nvSpPr>
        <xdr:spPr>
          <a:xfrm>
            <a:off x="8067510" y="98393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(79)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03" name="TextBox 202"/>
          <xdr:cNvSpPr txBox="1"/>
        </xdr:nvSpPr>
        <xdr:spPr>
          <a:xfrm>
            <a:off x="7934158" y="101060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(80)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04" name="TextBox 203"/>
          <xdr:cNvSpPr txBox="1"/>
        </xdr:nvSpPr>
        <xdr:spPr>
          <a:xfrm>
            <a:off x="9848682" y="92202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(81)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05" name="TextBox 204"/>
          <xdr:cNvSpPr txBox="1"/>
        </xdr:nvSpPr>
        <xdr:spPr>
          <a:xfrm>
            <a:off x="9848682" y="94297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(82)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06" name="TextBox 205"/>
          <xdr:cNvSpPr txBox="1"/>
        </xdr:nvSpPr>
        <xdr:spPr>
          <a:xfrm>
            <a:off x="9848682" y="96297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(83)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07" name="TextBox 206"/>
          <xdr:cNvSpPr txBox="1"/>
        </xdr:nvSpPr>
        <xdr:spPr>
          <a:xfrm>
            <a:off x="9848682" y="98393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(84)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08" name="TextBox 207"/>
          <xdr:cNvSpPr txBox="1"/>
        </xdr:nvSpPr>
        <xdr:spPr>
          <a:xfrm>
            <a:off x="9848682" y="100488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(85)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09" name="TextBox 208"/>
          <xdr:cNvSpPr txBox="1"/>
        </xdr:nvSpPr>
        <xdr:spPr>
          <a:xfrm>
            <a:off x="11877500" y="90201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(86)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10" name="TextBox 209"/>
          <xdr:cNvSpPr txBox="1"/>
        </xdr:nvSpPr>
        <xdr:spPr>
          <a:xfrm>
            <a:off x="11877500" y="92297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(87)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11" name="TextBox 210"/>
          <xdr:cNvSpPr txBox="1"/>
        </xdr:nvSpPr>
        <xdr:spPr>
          <a:xfrm>
            <a:off x="11877500" y="94297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(88)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12" name="TextBox 211"/>
          <xdr:cNvSpPr txBox="1"/>
        </xdr:nvSpPr>
        <xdr:spPr>
          <a:xfrm>
            <a:off x="11877500" y="96297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(89)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13" name="TextBox 212"/>
          <xdr:cNvSpPr txBox="1"/>
        </xdr:nvSpPr>
        <xdr:spPr>
          <a:xfrm>
            <a:off x="11877500" y="983932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(90)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14" name="TextBox 213"/>
          <xdr:cNvSpPr txBox="1"/>
        </xdr:nvSpPr>
        <xdr:spPr>
          <a:xfrm>
            <a:off x="11286950" y="102108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(91)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15" name="TextBox 214"/>
          <xdr:cNvSpPr txBox="1"/>
        </xdr:nvSpPr>
        <xdr:spPr>
          <a:xfrm>
            <a:off x="4762324" y="105060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(92)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16" name="TextBox 215"/>
          <xdr:cNvSpPr txBox="1"/>
        </xdr:nvSpPr>
        <xdr:spPr>
          <a:xfrm>
            <a:off x="4762324" y="10715625"/>
            <a:ext cx="534057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(93-1)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17" name="TextBox 216"/>
          <xdr:cNvSpPr txBox="1"/>
        </xdr:nvSpPr>
        <xdr:spPr>
          <a:xfrm>
            <a:off x="6991174" y="10277475"/>
            <a:ext cx="534057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(93-2)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18" name="TextBox 217"/>
          <xdr:cNvSpPr txBox="1"/>
        </xdr:nvSpPr>
        <xdr:spPr>
          <a:xfrm>
            <a:off x="6991170" y="105060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(94)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19" name="TextBox 218"/>
          <xdr:cNvSpPr txBox="1"/>
        </xdr:nvSpPr>
        <xdr:spPr>
          <a:xfrm>
            <a:off x="6991170" y="1070610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(95)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20" name="TextBox 219"/>
          <xdr:cNvSpPr txBox="1"/>
        </xdr:nvSpPr>
        <xdr:spPr>
          <a:xfrm>
            <a:off x="8896170" y="10429875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(96)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21" name="TextBox 220"/>
          <xdr:cNvSpPr txBox="1"/>
        </xdr:nvSpPr>
        <xdr:spPr>
          <a:xfrm>
            <a:off x="5276670" y="108775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(97)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22" name="TextBox 221"/>
          <xdr:cNvSpPr txBox="1"/>
        </xdr:nvSpPr>
        <xdr:spPr>
          <a:xfrm>
            <a:off x="6705420" y="108775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(98)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23" name="TextBox 222"/>
          <xdr:cNvSpPr txBox="1"/>
        </xdr:nvSpPr>
        <xdr:spPr>
          <a:xfrm>
            <a:off x="8172270" y="10877550"/>
            <a:ext cx="413062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(99)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24" name="TextBox 223"/>
          <xdr:cNvSpPr txBox="1"/>
        </xdr:nvSpPr>
        <xdr:spPr>
          <a:xfrm>
            <a:off x="9362894" y="10877550"/>
            <a:ext cx="483659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(100)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25" name="TextBox 224"/>
          <xdr:cNvSpPr txBox="1"/>
        </xdr:nvSpPr>
        <xdr:spPr>
          <a:xfrm>
            <a:off x="10258244" y="10877550"/>
            <a:ext cx="483659" cy="3029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(101)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14001</xdr:colOff>
      <xdr:row>7</xdr:row>
      <xdr:rowOff>16249</xdr:rowOff>
    </xdr:from>
    <xdr:to>
      <xdr:col>12</xdr:col>
      <xdr:colOff>994152</xdr:colOff>
      <xdr:row>39</xdr:row>
      <xdr:rowOff>2409</xdr:rowOff>
    </xdr:to>
    <xdr:grpSp>
      <xdr:nvGrpSpPr>
        <xdr:cNvPr id="2" name="그룹 1"/>
        <xdr:cNvGrpSpPr/>
      </xdr:nvGrpSpPr>
      <xdr:grpSpPr>
        <a:xfrm>
          <a:off x="1628605" y="968749"/>
          <a:ext cx="12410151" cy="6595581"/>
          <a:chOff x="1313881" y="958663"/>
          <a:chExt cx="11209636" cy="6621163"/>
        </a:xfrm>
      </xdr:grpSpPr>
      <xdr:pic>
        <xdr:nvPicPr>
          <xdr:cNvPr id="3" name="그림 2"/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160" r="1" b="842"/>
          <a:stretch/>
        </xdr:blipFill>
        <xdr:spPr>
          <a:xfrm>
            <a:off x="1313881" y="958663"/>
            <a:ext cx="11209636" cy="6621163"/>
          </a:xfrm>
          <a:prstGeom prst="rect">
            <a:avLst/>
          </a:prstGeom>
          <a:ln w="15875">
            <a:solidFill>
              <a:schemeClr val="bg1">
                <a:lumMod val="50000"/>
              </a:schemeClr>
            </a:solidFill>
          </a:ln>
        </xdr:spPr>
      </xdr:pic>
      <xdr:sp macro="" textlink="">
        <xdr:nvSpPr>
          <xdr:cNvPr id="4" name="TextBox 3"/>
          <xdr:cNvSpPr txBox="1"/>
        </xdr:nvSpPr>
        <xdr:spPr>
          <a:xfrm>
            <a:off x="4768118" y="1610239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5" name="TextBox 4"/>
          <xdr:cNvSpPr txBox="1"/>
        </xdr:nvSpPr>
        <xdr:spPr>
          <a:xfrm>
            <a:off x="4758602" y="1821043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" name="TextBox 5"/>
          <xdr:cNvSpPr txBox="1"/>
        </xdr:nvSpPr>
        <xdr:spPr>
          <a:xfrm>
            <a:off x="4758602" y="2022265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7" name="TextBox 6"/>
          <xdr:cNvSpPr txBox="1"/>
        </xdr:nvSpPr>
        <xdr:spPr>
          <a:xfrm>
            <a:off x="4682476" y="2242651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8" name="TextBox 7"/>
          <xdr:cNvSpPr txBox="1"/>
        </xdr:nvSpPr>
        <xdr:spPr>
          <a:xfrm>
            <a:off x="4682476" y="2453455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9" name="TextBox 8"/>
          <xdr:cNvSpPr txBox="1"/>
        </xdr:nvSpPr>
        <xdr:spPr>
          <a:xfrm>
            <a:off x="4625370" y="2702587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0" name="TextBox 9"/>
          <xdr:cNvSpPr txBox="1"/>
        </xdr:nvSpPr>
        <xdr:spPr>
          <a:xfrm>
            <a:off x="4625370" y="2913391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1" name="TextBox 10"/>
          <xdr:cNvSpPr txBox="1"/>
        </xdr:nvSpPr>
        <xdr:spPr>
          <a:xfrm>
            <a:off x="8384127" y="1610239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2" name="TextBox 11"/>
          <xdr:cNvSpPr txBox="1"/>
        </xdr:nvSpPr>
        <xdr:spPr>
          <a:xfrm>
            <a:off x="6652211" y="1821043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3" name="TextBox 12"/>
          <xdr:cNvSpPr txBox="1"/>
        </xdr:nvSpPr>
        <xdr:spPr>
          <a:xfrm>
            <a:off x="7356381" y="1821043"/>
            <a:ext cx="412663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4" name="TextBox 13"/>
          <xdr:cNvSpPr txBox="1"/>
        </xdr:nvSpPr>
        <xdr:spPr>
          <a:xfrm>
            <a:off x="6985263" y="2041367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5" name="TextBox 14"/>
          <xdr:cNvSpPr txBox="1"/>
        </xdr:nvSpPr>
        <xdr:spPr>
          <a:xfrm>
            <a:off x="6861549" y="2252233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6" name="TextBox 15"/>
          <xdr:cNvSpPr txBox="1"/>
        </xdr:nvSpPr>
        <xdr:spPr>
          <a:xfrm>
            <a:off x="6861549" y="2472619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7" name="TextBox 16"/>
          <xdr:cNvSpPr txBox="1"/>
        </xdr:nvSpPr>
        <xdr:spPr>
          <a:xfrm>
            <a:off x="9564038" y="1830625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8" name="TextBox 17"/>
          <xdr:cNvSpPr txBox="1"/>
        </xdr:nvSpPr>
        <xdr:spPr>
          <a:xfrm>
            <a:off x="9564038" y="2031847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9" name="TextBox 18"/>
          <xdr:cNvSpPr txBox="1"/>
        </xdr:nvSpPr>
        <xdr:spPr>
          <a:xfrm>
            <a:off x="9564038" y="2242651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0" name="TextBox 19"/>
          <xdr:cNvSpPr txBox="1"/>
        </xdr:nvSpPr>
        <xdr:spPr>
          <a:xfrm>
            <a:off x="9564038" y="2463037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1" name="TextBox 20"/>
          <xdr:cNvSpPr txBox="1"/>
        </xdr:nvSpPr>
        <xdr:spPr>
          <a:xfrm>
            <a:off x="4349369" y="3181561"/>
            <a:ext cx="412663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2" name="TextBox 21"/>
          <xdr:cNvSpPr txBox="1"/>
        </xdr:nvSpPr>
        <xdr:spPr>
          <a:xfrm>
            <a:off x="6566597" y="2913391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3" name="TextBox 22"/>
          <xdr:cNvSpPr txBox="1"/>
        </xdr:nvSpPr>
        <xdr:spPr>
          <a:xfrm>
            <a:off x="6566597" y="2702587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4" name="TextBox 23"/>
          <xdr:cNvSpPr txBox="1"/>
        </xdr:nvSpPr>
        <xdr:spPr>
          <a:xfrm>
            <a:off x="8498307" y="2702587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5" name="TextBox 24"/>
          <xdr:cNvSpPr txBox="1"/>
        </xdr:nvSpPr>
        <xdr:spPr>
          <a:xfrm>
            <a:off x="8498307" y="2913391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6" name="TextBox 25"/>
          <xdr:cNvSpPr txBox="1"/>
        </xdr:nvSpPr>
        <xdr:spPr>
          <a:xfrm>
            <a:off x="6166888" y="3181561"/>
            <a:ext cx="412665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7" name="TextBox 26"/>
          <xdr:cNvSpPr txBox="1"/>
        </xdr:nvSpPr>
        <xdr:spPr>
          <a:xfrm>
            <a:off x="3264563" y="3632041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8" name="TextBox 27"/>
          <xdr:cNvSpPr txBox="1"/>
        </xdr:nvSpPr>
        <xdr:spPr>
          <a:xfrm>
            <a:off x="9564034" y="3172042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9" name="TextBox 28"/>
          <xdr:cNvSpPr txBox="1"/>
        </xdr:nvSpPr>
        <xdr:spPr>
          <a:xfrm>
            <a:off x="5253368" y="3632041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30" name="TextBox 29"/>
          <xdr:cNvSpPr txBox="1"/>
        </xdr:nvSpPr>
        <xdr:spPr>
          <a:xfrm>
            <a:off x="5986086" y="3890755"/>
            <a:ext cx="412663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31" name="TextBox 30"/>
          <xdr:cNvSpPr txBox="1"/>
        </xdr:nvSpPr>
        <xdr:spPr>
          <a:xfrm>
            <a:off x="5986078" y="4082395"/>
            <a:ext cx="412663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32" name="TextBox 31"/>
          <xdr:cNvSpPr txBox="1"/>
        </xdr:nvSpPr>
        <xdr:spPr>
          <a:xfrm>
            <a:off x="6243004" y="4293199"/>
            <a:ext cx="412663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33" name="TextBox 32"/>
          <xdr:cNvSpPr txBox="1"/>
        </xdr:nvSpPr>
        <xdr:spPr>
          <a:xfrm>
            <a:off x="8012946" y="4293199"/>
            <a:ext cx="412663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34" name="TextBox 33"/>
          <xdr:cNvSpPr txBox="1"/>
        </xdr:nvSpPr>
        <xdr:spPr>
          <a:xfrm>
            <a:off x="8012946" y="4091977"/>
            <a:ext cx="412663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35" name="TextBox 34"/>
          <xdr:cNvSpPr txBox="1"/>
        </xdr:nvSpPr>
        <xdr:spPr>
          <a:xfrm>
            <a:off x="8012946" y="3900337"/>
            <a:ext cx="412663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36" name="TextBox 35"/>
          <xdr:cNvSpPr txBox="1"/>
        </xdr:nvSpPr>
        <xdr:spPr>
          <a:xfrm>
            <a:off x="9744824" y="4111141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37" name="TextBox 36"/>
          <xdr:cNvSpPr txBox="1"/>
        </xdr:nvSpPr>
        <xdr:spPr>
          <a:xfrm>
            <a:off x="9744824" y="3890755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38" name="TextBox 37"/>
          <xdr:cNvSpPr txBox="1"/>
        </xdr:nvSpPr>
        <xdr:spPr>
          <a:xfrm>
            <a:off x="9744824" y="4302781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39" name="TextBox 38"/>
          <xdr:cNvSpPr txBox="1"/>
        </xdr:nvSpPr>
        <xdr:spPr>
          <a:xfrm>
            <a:off x="9744824" y="4542331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40" name="TextBox 39"/>
          <xdr:cNvSpPr txBox="1"/>
        </xdr:nvSpPr>
        <xdr:spPr>
          <a:xfrm>
            <a:off x="6233486" y="5222653"/>
            <a:ext cx="412665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41" name="TextBox 40"/>
          <xdr:cNvSpPr txBox="1"/>
        </xdr:nvSpPr>
        <xdr:spPr>
          <a:xfrm>
            <a:off x="7089909" y="5222653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42" name="TextBox 41"/>
          <xdr:cNvSpPr txBox="1"/>
        </xdr:nvSpPr>
        <xdr:spPr>
          <a:xfrm>
            <a:off x="6233486" y="5404711"/>
            <a:ext cx="412665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43" name="TextBox 42"/>
          <xdr:cNvSpPr txBox="1"/>
        </xdr:nvSpPr>
        <xdr:spPr>
          <a:xfrm>
            <a:off x="7089909" y="5404711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44" name="TextBox 43"/>
          <xdr:cNvSpPr txBox="1"/>
        </xdr:nvSpPr>
        <xdr:spPr>
          <a:xfrm>
            <a:off x="6233486" y="5586769"/>
            <a:ext cx="412665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45" name="TextBox 44"/>
          <xdr:cNvSpPr txBox="1"/>
        </xdr:nvSpPr>
        <xdr:spPr>
          <a:xfrm>
            <a:off x="7089909" y="5586769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46" name="TextBox 45"/>
          <xdr:cNvSpPr txBox="1"/>
        </xdr:nvSpPr>
        <xdr:spPr>
          <a:xfrm>
            <a:off x="6233486" y="5768827"/>
            <a:ext cx="412665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47" name="TextBox 46"/>
          <xdr:cNvSpPr txBox="1"/>
        </xdr:nvSpPr>
        <xdr:spPr>
          <a:xfrm>
            <a:off x="7089909" y="5768827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48" name="TextBox 47"/>
          <xdr:cNvSpPr txBox="1"/>
        </xdr:nvSpPr>
        <xdr:spPr>
          <a:xfrm>
            <a:off x="6233486" y="5950885"/>
            <a:ext cx="412665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49" name="TextBox 48"/>
          <xdr:cNvSpPr txBox="1"/>
        </xdr:nvSpPr>
        <xdr:spPr>
          <a:xfrm>
            <a:off x="7089909" y="5950885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50" name="TextBox 49"/>
          <xdr:cNvSpPr txBox="1"/>
        </xdr:nvSpPr>
        <xdr:spPr>
          <a:xfrm>
            <a:off x="6233486" y="6171271"/>
            <a:ext cx="412665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51" name="TextBox 50"/>
          <xdr:cNvSpPr txBox="1"/>
        </xdr:nvSpPr>
        <xdr:spPr>
          <a:xfrm>
            <a:off x="7089909" y="6171271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52" name="TextBox 51"/>
          <xdr:cNvSpPr txBox="1"/>
        </xdr:nvSpPr>
        <xdr:spPr>
          <a:xfrm>
            <a:off x="6233486" y="6353329"/>
            <a:ext cx="412665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(49)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53" name="TextBox 52"/>
          <xdr:cNvSpPr txBox="1"/>
        </xdr:nvSpPr>
        <xdr:spPr>
          <a:xfrm>
            <a:off x="7089909" y="6353329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54" name="TextBox 53"/>
          <xdr:cNvSpPr txBox="1"/>
        </xdr:nvSpPr>
        <xdr:spPr>
          <a:xfrm>
            <a:off x="9411770" y="5232235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55" name="TextBox 54"/>
          <xdr:cNvSpPr txBox="1"/>
        </xdr:nvSpPr>
        <xdr:spPr>
          <a:xfrm>
            <a:off x="9411770" y="5443039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56" name="TextBox 55"/>
          <xdr:cNvSpPr txBox="1"/>
        </xdr:nvSpPr>
        <xdr:spPr>
          <a:xfrm>
            <a:off x="9411770" y="5673007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57" name="TextBox 56"/>
          <xdr:cNvSpPr txBox="1"/>
        </xdr:nvSpPr>
        <xdr:spPr>
          <a:xfrm>
            <a:off x="9411770" y="5883811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58" name="TextBox 57"/>
          <xdr:cNvSpPr txBox="1"/>
        </xdr:nvSpPr>
        <xdr:spPr>
          <a:xfrm>
            <a:off x="3064717" y="6698218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59" name="TextBox 58"/>
          <xdr:cNvSpPr txBox="1"/>
        </xdr:nvSpPr>
        <xdr:spPr>
          <a:xfrm>
            <a:off x="3064717" y="6909085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(59)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0" name="TextBox 59"/>
          <xdr:cNvSpPr txBox="1"/>
        </xdr:nvSpPr>
        <xdr:spPr>
          <a:xfrm>
            <a:off x="3064717" y="7110307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1" name="TextBox 60"/>
          <xdr:cNvSpPr txBox="1"/>
        </xdr:nvSpPr>
        <xdr:spPr>
          <a:xfrm>
            <a:off x="4910788" y="6707738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2" name="TextBox 61"/>
          <xdr:cNvSpPr txBox="1"/>
        </xdr:nvSpPr>
        <xdr:spPr>
          <a:xfrm>
            <a:off x="4910788" y="6909085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(60)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3" name="TextBox 62"/>
          <xdr:cNvSpPr txBox="1"/>
        </xdr:nvSpPr>
        <xdr:spPr>
          <a:xfrm>
            <a:off x="4910788" y="7110307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(64)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4" name="TextBox 63"/>
          <xdr:cNvSpPr txBox="1"/>
        </xdr:nvSpPr>
        <xdr:spPr>
          <a:xfrm>
            <a:off x="6756855" y="6707738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5" name="TextBox 64"/>
          <xdr:cNvSpPr txBox="1"/>
        </xdr:nvSpPr>
        <xdr:spPr>
          <a:xfrm>
            <a:off x="6756855" y="6909085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6" name="TextBox 65"/>
          <xdr:cNvSpPr txBox="1"/>
        </xdr:nvSpPr>
        <xdr:spPr>
          <a:xfrm>
            <a:off x="6756855" y="7110307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(65)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7" name="TextBox 66"/>
          <xdr:cNvSpPr txBox="1"/>
        </xdr:nvSpPr>
        <xdr:spPr>
          <a:xfrm>
            <a:off x="8507763" y="6707738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(58)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8" name="TextBox 67"/>
          <xdr:cNvSpPr txBox="1"/>
        </xdr:nvSpPr>
        <xdr:spPr>
          <a:xfrm>
            <a:off x="8507763" y="6909085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9" name="TextBox 68"/>
          <xdr:cNvSpPr txBox="1"/>
        </xdr:nvSpPr>
        <xdr:spPr>
          <a:xfrm>
            <a:off x="3759375" y="5807155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(66)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70" name="TextBox 69"/>
          <xdr:cNvSpPr txBox="1"/>
        </xdr:nvSpPr>
        <xdr:spPr>
          <a:xfrm>
            <a:off x="4092427" y="6200017"/>
            <a:ext cx="412664" cy="3047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(67)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259417" y="984250"/>
    <xdr:ext cx="11165178" cy="6540880"/>
    <xdr:grpSp>
      <xdr:nvGrpSpPr>
        <xdr:cNvPr id="2" name="그룹 1"/>
        <xdr:cNvGrpSpPr/>
      </xdr:nvGrpSpPr>
      <xdr:grpSpPr>
        <a:xfrm>
          <a:off x="1259417" y="984250"/>
          <a:ext cx="11165178" cy="6540880"/>
          <a:chOff x="1466850" y="971550"/>
          <a:chExt cx="11877984" cy="4864951"/>
        </a:xfrm>
      </xdr:grpSpPr>
      <xdr:pic>
        <xdr:nvPicPr>
          <xdr:cNvPr id="3" name="그림 2"/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79" r="386" b="1886"/>
          <a:stretch/>
        </xdr:blipFill>
        <xdr:spPr>
          <a:xfrm>
            <a:off x="1466850" y="971550"/>
            <a:ext cx="11877984" cy="4864951"/>
          </a:xfrm>
          <a:prstGeom prst="rect">
            <a:avLst/>
          </a:prstGeom>
          <a:ln w="15875">
            <a:solidFill>
              <a:schemeClr val="bg1">
                <a:lumMod val="50000"/>
              </a:schemeClr>
            </a:solidFill>
          </a:ln>
        </xdr:spPr>
      </xdr:pic>
      <xdr:grpSp>
        <xdr:nvGrpSpPr>
          <xdr:cNvPr id="4" name="그룹 3"/>
          <xdr:cNvGrpSpPr/>
        </xdr:nvGrpSpPr>
        <xdr:grpSpPr>
          <a:xfrm>
            <a:off x="2076716" y="1460303"/>
            <a:ext cx="9944586" cy="2738731"/>
            <a:chOff x="2076716" y="1460303"/>
            <a:chExt cx="9944586" cy="2738731"/>
          </a:xfrm>
        </xdr:grpSpPr>
        <xdr:sp macro="" textlink="">
          <xdr:nvSpPr>
            <xdr:cNvPr id="5" name="TextBox 4">
              <a:hlinkClick xmlns:r="http://schemas.openxmlformats.org/officeDocument/2006/relationships" r:id="rId2"/>
            </xdr:cNvPr>
            <xdr:cNvSpPr txBox="1"/>
          </xdr:nvSpPr>
          <xdr:spPr>
            <a:xfrm>
              <a:off x="9888893" y="1460303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6" name="TextBox 5">
              <a:hlinkClick xmlns:r="http://schemas.openxmlformats.org/officeDocument/2006/relationships" r:id="rId3"/>
            </xdr:cNvPr>
            <xdr:cNvSpPr txBox="1"/>
          </xdr:nvSpPr>
          <xdr:spPr>
            <a:xfrm>
              <a:off x="3034041" y="1729294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7" name="TextBox 6"/>
            <xdr:cNvSpPr txBox="1"/>
          </xdr:nvSpPr>
          <xdr:spPr>
            <a:xfrm>
              <a:off x="2076716" y="1948373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8" name="TextBox 7"/>
            <xdr:cNvSpPr txBox="1"/>
          </xdr:nvSpPr>
          <xdr:spPr>
            <a:xfrm>
              <a:off x="4679698" y="1941145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9" name="TextBox 8"/>
            <xdr:cNvSpPr txBox="1"/>
          </xdr:nvSpPr>
          <xdr:spPr>
            <a:xfrm>
              <a:off x="3798796" y="2160215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(6)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0" name="TextBox 9"/>
            <xdr:cNvSpPr txBox="1"/>
          </xdr:nvSpPr>
          <xdr:spPr>
            <a:xfrm>
              <a:off x="4356750" y="2384226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(8)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1" name="TextBox 10"/>
            <xdr:cNvSpPr txBox="1"/>
          </xdr:nvSpPr>
          <xdr:spPr>
            <a:xfrm>
              <a:off x="2086396" y="2391454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(7)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2" name="TextBox 11"/>
            <xdr:cNvSpPr txBox="1"/>
          </xdr:nvSpPr>
          <xdr:spPr>
            <a:xfrm>
              <a:off x="2086396" y="2598370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(9)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3" name="TextBox 12"/>
            <xdr:cNvSpPr txBox="1"/>
          </xdr:nvSpPr>
          <xdr:spPr>
            <a:xfrm>
              <a:off x="2848218" y="2798393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(11)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4" name="TextBox 13"/>
            <xdr:cNvSpPr txBox="1"/>
          </xdr:nvSpPr>
          <xdr:spPr>
            <a:xfrm>
              <a:off x="2848218" y="3024698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(12)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5" name="TextBox 14"/>
            <xdr:cNvSpPr txBox="1"/>
          </xdr:nvSpPr>
          <xdr:spPr>
            <a:xfrm>
              <a:off x="2826758" y="3238840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(15)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6" name="TextBox 15"/>
            <xdr:cNvSpPr txBox="1"/>
          </xdr:nvSpPr>
          <xdr:spPr>
            <a:xfrm>
              <a:off x="7594604" y="3896066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(36)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7" name="TextBox 16"/>
            <xdr:cNvSpPr txBox="1"/>
          </xdr:nvSpPr>
          <xdr:spPr>
            <a:xfrm>
              <a:off x="2841474" y="3657600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(19)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8" name="TextBox 17"/>
            <xdr:cNvSpPr txBox="1"/>
          </xdr:nvSpPr>
          <xdr:spPr>
            <a:xfrm>
              <a:off x="2903986" y="3867150"/>
              <a:ext cx="4743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(22-1)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9" name="TextBox 18"/>
            <xdr:cNvSpPr txBox="1"/>
          </xdr:nvSpPr>
          <xdr:spPr>
            <a:xfrm>
              <a:off x="5852112" y="3181350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(16)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20" name="TextBox 19"/>
            <xdr:cNvSpPr txBox="1"/>
          </xdr:nvSpPr>
          <xdr:spPr>
            <a:xfrm>
              <a:off x="6287738" y="3638550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(21)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21" name="TextBox 20"/>
            <xdr:cNvSpPr txBox="1"/>
          </xdr:nvSpPr>
          <xdr:spPr>
            <a:xfrm>
              <a:off x="2089543" y="2160216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(5)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22" name="TextBox 21"/>
            <xdr:cNvSpPr txBox="1"/>
          </xdr:nvSpPr>
          <xdr:spPr>
            <a:xfrm>
              <a:off x="4603328" y="3657600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(20)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23" name="TextBox 22"/>
            <xdr:cNvSpPr txBox="1"/>
          </xdr:nvSpPr>
          <xdr:spPr>
            <a:xfrm>
              <a:off x="5890836" y="3429000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(18)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24" name="TextBox 23"/>
            <xdr:cNvSpPr txBox="1"/>
          </xdr:nvSpPr>
          <xdr:spPr>
            <a:xfrm>
              <a:off x="7561130" y="3450687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(35)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25" name="TextBox 24"/>
            <xdr:cNvSpPr txBox="1"/>
          </xdr:nvSpPr>
          <xdr:spPr>
            <a:xfrm>
              <a:off x="7561130" y="3231609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(34)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26" name="TextBox 25"/>
            <xdr:cNvSpPr txBox="1"/>
          </xdr:nvSpPr>
          <xdr:spPr>
            <a:xfrm>
              <a:off x="7561130" y="3041112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(33)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27" name="TextBox 26"/>
            <xdr:cNvSpPr txBox="1"/>
          </xdr:nvSpPr>
          <xdr:spPr>
            <a:xfrm>
              <a:off x="8010866" y="2391454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(30)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28" name="TextBox 27"/>
            <xdr:cNvSpPr txBox="1"/>
          </xdr:nvSpPr>
          <xdr:spPr>
            <a:xfrm>
              <a:off x="8009817" y="2800350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(32)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29" name="TextBox 28"/>
            <xdr:cNvSpPr txBox="1"/>
          </xdr:nvSpPr>
          <xdr:spPr>
            <a:xfrm>
              <a:off x="8010864" y="2591141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(31)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30" name="TextBox 29"/>
            <xdr:cNvSpPr txBox="1"/>
          </xdr:nvSpPr>
          <xdr:spPr>
            <a:xfrm>
              <a:off x="6297414" y="2593771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(27)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31" name="TextBox 30"/>
            <xdr:cNvSpPr txBox="1"/>
          </xdr:nvSpPr>
          <xdr:spPr>
            <a:xfrm>
              <a:off x="6297414" y="2379294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(26)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32" name="TextBox 31"/>
            <xdr:cNvSpPr txBox="1"/>
          </xdr:nvSpPr>
          <xdr:spPr>
            <a:xfrm>
              <a:off x="6297414" y="2165150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(25)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33" name="TextBox 32"/>
            <xdr:cNvSpPr txBox="1"/>
          </xdr:nvSpPr>
          <xdr:spPr>
            <a:xfrm>
              <a:off x="6297414" y="1950670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(24)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34" name="TextBox 33"/>
            <xdr:cNvSpPr txBox="1"/>
          </xdr:nvSpPr>
          <xdr:spPr>
            <a:xfrm>
              <a:off x="7855976" y="1914525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(28)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35" name="TextBox 34"/>
            <xdr:cNvSpPr txBox="1"/>
          </xdr:nvSpPr>
          <xdr:spPr>
            <a:xfrm>
              <a:off x="6890287" y="1734229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(23)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36" name="TextBox 35"/>
            <xdr:cNvSpPr txBox="1"/>
          </xdr:nvSpPr>
          <xdr:spPr>
            <a:xfrm>
              <a:off x="11673244" y="1726996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(37)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37" name="TextBox 36"/>
            <xdr:cNvSpPr txBox="1"/>
          </xdr:nvSpPr>
          <xdr:spPr>
            <a:xfrm>
              <a:off x="11673244" y="1955603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(47)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38" name="TextBox 37"/>
            <xdr:cNvSpPr txBox="1"/>
          </xdr:nvSpPr>
          <xdr:spPr>
            <a:xfrm>
              <a:off x="11673244" y="2174671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(48)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39" name="TextBox 38"/>
            <xdr:cNvSpPr txBox="1"/>
          </xdr:nvSpPr>
          <xdr:spPr>
            <a:xfrm>
              <a:off x="11673243" y="2393752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(49)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40" name="TextBox 39"/>
            <xdr:cNvSpPr txBox="1"/>
          </xdr:nvSpPr>
          <xdr:spPr>
            <a:xfrm>
              <a:off x="11665072" y="2851287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(50)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41" name="TextBox 40"/>
            <xdr:cNvSpPr txBox="1"/>
          </xdr:nvSpPr>
          <xdr:spPr>
            <a:xfrm>
              <a:off x="11668902" y="3039157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(51)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42" name="TextBox 41"/>
            <xdr:cNvSpPr txBox="1"/>
          </xdr:nvSpPr>
          <xdr:spPr>
            <a:xfrm>
              <a:off x="11664938" y="3452983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(53)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43" name="TextBox 42"/>
            <xdr:cNvSpPr txBox="1"/>
          </xdr:nvSpPr>
          <xdr:spPr>
            <a:xfrm>
              <a:off x="11665074" y="3209925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(52)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44" name="TextBox 43"/>
            <xdr:cNvSpPr txBox="1"/>
          </xdr:nvSpPr>
          <xdr:spPr>
            <a:xfrm>
              <a:off x="9688831" y="3253293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(44)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45" name="TextBox 44"/>
            <xdr:cNvSpPr txBox="1"/>
          </xdr:nvSpPr>
          <xdr:spPr>
            <a:xfrm>
              <a:off x="9688831" y="3481899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(45)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46" name="TextBox 45"/>
            <xdr:cNvSpPr txBox="1"/>
          </xdr:nvSpPr>
          <xdr:spPr>
            <a:xfrm>
              <a:off x="9085388" y="3638550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(46)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47" name="TextBox 46"/>
            <xdr:cNvSpPr txBox="1"/>
          </xdr:nvSpPr>
          <xdr:spPr>
            <a:xfrm>
              <a:off x="9690485" y="3043749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(43)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48" name="TextBox 47"/>
            <xdr:cNvSpPr txBox="1"/>
          </xdr:nvSpPr>
          <xdr:spPr>
            <a:xfrm>
              <a:off x="9690485" y="2819737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(42)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49" name="TextBox 48"/>
            <xdr:cNvSpPr txBox="1"/>
          </xdr:nvSpPr>
          <xdr:spPr>
            <a:xfrm>
              <a:off x="9690485" y="2624649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(41)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50" name="TextBox 49"/>
            <xdr:cNvSpPr txBox="1"/>
          </xdr:nvSpPr>
          <xdr:spPr>
            <a:xfrm>
              <a:off x="9808514" y="1946078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(38)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51" name="TextBox 50"/>
            <xdr:cNvSpPr txBox="1"/>
          </xdr:nvSpPr>
          <xdr:spPr>
            <a:xfrm>
              <a:off x="9808514" y="2162510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(39)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52" name="TextBox 51"/>
            <xdr:cNvSpPr txBox="1"/>
          </xdr:nvSpPr>
          <xdr:spPr>
            <a:xfrm>
              <a:off x="9801926" y="2475564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(40)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53" name="TextBox 52"/>
            <xdr:cNvSpPr txBox="1"/>
          </xdr:nvSpPr>
          <xdr:spPr>
            <a:xfrm>
              <a:off x="8272224" y="2167443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(29)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54" name="TextBox 53"/>
            <xdr:cNvSpPr txBox="1"/>
          </xdr:nvSpPr>
          <xdr:spPr>
            <a:xfrm>
              <a:off x="4292370" y="2596066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(10)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55" name="TextBox 54"/>
            <xdr:cNvSpPr txBox="1"/>
          </xdr:nvSpPr>
          <xdr:spPr>
            <a:xfrm>
              <a:off x="5564008" y="2800688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(13)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56" name="TextBox 55"/>
            <xdr:cNvSpPr txBox="1"/>
          </xdr:nvSpPr>
          <xdr:spPr>
            <a:xfrm>
              <a:off x="5564008" y="3029291"/>
              <a:ext cx="348056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(14)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57" name="TextBox 56"/>
            <xdr:cNvSpPr txBox="1"/>
          </xdr:nvSpPr>
          <xdr:spPr>
            <a:xfrm>
              <a:off x="3857922" y="3872083"/>
              <a:ext cx="51307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(22-2)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58" name="TextBox 57"/>
            <xdr:cNvSpPr txBox="1"/>
          </xdr:nvSpPr>
          <xdr:spPr>
            <a:xfrm>
              <a:off x="4688352" y="3867150"/>
              <a:ext cx="493714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(22-3)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59" name="TextBox 58"/>
            <xdr:cNvSpPr txBox="1"/>
          </xdr:nvSpPr>
          <xdr:spPr>
            <a:xfrm>
              <a:off x="5784346" y="3867150"/>
              <a:ext cx="5227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(22-4)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60" name="TextBox 59"/>
            <xdr:cNvSpPr txBox="1"/>
          </xdr:nvSpPr>
          <xdr:spPr>
            <a:xfrm>
              <a:off x="2840863" y="3462848"/>
              <a:ext cx="348058" cy="302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(17)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</xdr:grpSp>
    </xdr:grpSp>
    <xdr:clientData/>
  </xdr:absoluteAnchor>
  <xdr:twoCellAnchor>
    <xdr:from>
      <xdr:col>2</xdr:col>
      <xdr:colOff>910271</xdr:colOff>
      <xdr:row>58</xdr:row>
      <xdr:rowOff>60078</xdr:rowOff>
    </xdr:from>
    <xdr:to>
      <xdr:col>11</xdr:col>
      <xdr:colOff>153330</xdr:colOff>
      <xdr:row>76</xdr:row>
      <xdr:rowOff>171349</xdr:rowOff>
    </xdr:to>
    <xdr:grpSp>
      <xdr:nvGrpSpPr>
        <xdr:cNvPr id="61" name="그룹 60"/>
        <xdr:cNvGrpSpPr/>
      </xdr:nvGrpSpPr>
      <xdr:grpSpPr>
        <a:xfrm>
          <a:off x="1235242" y="11904696"/>
          <a:ext cx="9720559" cy="3943682"/>
          <a:chOff x="6715978" y="5019675"/>
          <a:chExt cx="5847029" cy="3217091"/>
        </a:xfrm>
      </xdr:grpSpPr>
      <xdr:pic>
        <xdr:nvPicPr>
          <xdr:cNvPr id="62" name="그림 61"/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715978" y="5019675"/>
            <a:ext cx="5847029" cy="3217091"/>
          </a:xfrm>
          <a:prstGeom prst="rect">
            <a:avLst/>
          </a:prstGeom>
          <a:ln w="15875">
            <a:solidFill>
              <a:schemeClr val="bg1">
                <a:lumMod val="50000"/>
              </a:schemeClr>
            </a:solidFill>
          </a:ln>
        </xdr:spPr>
      </xdr:pic>
      <xdr:sp macro="" textlink="">
        <xdr:nvSpPr>
          <xdr:cNvPr id="63" name="TextBox 62"/>
          <xdr:cNvSpPr txBox="1"/>
        </xdr:nvSpPr>
        <xdr:spPr>
          <a:xfrm>
            <a:off x="7154836" y="5288071"/>
            <a:ext cx="205487" cy="2378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(1)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4" name="TextBox 63"/>
          <xdr:cNvSpPr txBox="1"/>
        </xdr:nvSpPr>
        <xdr:spPr>
          <a:xfrm>
            <a:off x="7573027" y="5291871"/>
            <a:ext cx="206531" cy="2378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(2)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65" name="TextBox 64"/>
          <xdr:cNvSpPr txBox="1"/>
        </xdr:nvSpPr>
        <xdr:spPr>
          <a:xfrm>
            <a:off x="7970989" y="5299844"/>
            <a:ext cx="207314" cy="2378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950" b="1">
                <a:solidFill>
                  <a:srgbClr val="FF0000"/>
                </a:solidFill>
                <a:latin typeface="+mn-ea"/>
                <a:ea typeface="+mn-ea"/>
              </a:rPr>
              <a:t>(3)</a:t>
            </a:r>
            <a:endParaRPr lang="ko-KR" altLang="en-US" sz="950" b="1">
              <a:solidFill>
                <a:srgbClr val="FF0000"/>
              </a:solidFill>
              <a:latin typeface="+mn-ea"/>
              <a:ea typeface="+mn-ea"/>
            </a:endParaRPr>
          </a:p>
        </xdr:txBody>
      </xdr:sp>
    </xdr:grpSp>
    <xdr:clientData/>
  </xdr:twoCellAnchor>
  <xdr:absoluteAnchor>
    <xdr:pos x="1259417" y="7588411"/>
    <xdr:ext cx="8362614" cy="4192032"/>
    <xdr:grpSp>
      <xdr:nvGrpSpPr>
        <xdr:cNvPr id="66" name="그룹 65"/>
        <xdr:cNvGrpSpPr/>
      </xdr:nvGrpSpPr>
      <xdr:grpSpPr>
        <a:xfrm>
          <a:off x="1259417" y="7588411"/>
          <a:ext cx="8362614" cy="4192032"/>
          <a:chOff x="1466326" y="4933559"/>
          <a:chExt cx="11887903" cy="3187589"/>
        </a:xfrm>
      </xdr:grpSpPr>
      <xdr:pic>
        <xdr:nvPicPr>
          <xdr:cNvPr id="67" name="그림 66"/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466326" y="4933559"/>
            <a:ext cx="11887903" cy="3187589"/>
          </a:xfrm>
          <a:prstGeom prst="rect">
            <a:avLst/>
          </a:prstGeom>
          <a:ln w="15875">
            <a:solidFill>
              <a:schemeClr val="bg1">
                <a:lumMod val="50000"/>
              </a:schemeClr>
            </a:solidFill>
          </a:ln>
        </xdr:spPr>
      </xdr:pic>
      <xdr:grpSp>
        <xdr:nvGrpSpPr>
          <xdr:cNvPr id="68" name="그룹 67"/>
          <xdr:cNvGrpSpPr/>
        </xdr:nvGrpSpPr>
        <xdr:grpSpPr>
          <a:xfrm>
            <a:off x="2476566" y="5235625"/>
            <a:ext cx="10807060" cy="1795908"/>
            <a:chOff x="2476566" y="5235625"/>
            <a:chExt cx="10807060" cy="1795908"/>
          </a:xfrm>
        </xdr:grpSpPr>
        <xdr:sp macro="" textlink="">
          <xdr:nvSpPr>
            <xdr:cNvPr id="69" name="TextBox 68"/>
            <xdr:cNvSpPr txBox="1"/>
          </xdr:nvSpPr>
          <xdr:spPr>
            <a:xfrm>
              <a:off x="2476566" y="5239799"/>
              <a:ext cx="413060" cy="2447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70" name="TextBox 69"/>
            <xdr:cNvSpPr txBox="1"/>
          </xdr:nvSpPr>
          <xdr:spPr>
            <a:xfrm>
              <a:off x="3611553" y="5250411"/>
              <a:ext cx="413063" cy="2447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71" name="TextBox 70"/>
            <xdr:cNvSpPr txBox="1"/>
          </xdr:nvSpPr>
          <xdr:spPr>
            <a:xfrm>
              <a:off x="4795035" y="5241279"/>
              <a:ext cx="413062" cy="2352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72" name="TextBox 71"/>
            <xdr:cNvSpPr txBox="1"/>
          </xdr:nvSpPr>
          <xdr:spPr>
            <a:xfrm>
              <a:off x="8402734" y="5244757"/>
              <a:ext cx="413062" cy="2542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(6)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73" name="TextBox 72"/>
            <xdr:cNvSpPr txBox="1"/>
          </xdr:nvSpPr>
          <xdr:spPr>
            <a:xfrm>
              <a:off x="5859681" y="5235625"/>
              <a:ext cx="413062" cy="2447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74" name="TextBox 73"/>
            <xdr:cNvSpPr txBox="1"/>
          </xdr:nvSpPr>
          <xdr:spPr>
            <a:xfrm>
              <a:off x="7219368" y="5237363"/>
              <a:ext cx="413060" cy="2542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(5)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75" name="TextBox 74"/>
            <xdr:cNvSpPr txBox="1"/>
          </xdr:nvSpPr>
          <xdr:spPr>
            <a:xfrm>
              <a:off x="9189493" y="5237364"/>
              <a:ext cx="413062" cy="2542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(7)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76" name="TextBox 75"/>
            <xdr:cNvSpPr txBox="1"/>
          </xdr:nvSpPr>
          <xdr:spPr>
            <a:xfrm>
              <a:off x="10057125" y="5237364"/>
              <a:ext cx="413062" cy="2542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(8)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77" name="TextBox 76"/>
            <xdr:cNvSpPr txBox="1"/>
          </xdr:nvSpPr>
          <xdr:spPr>
            <a:xfrm>
              <a:off x="10833419" y="5237364"/>
              <a:ext cx="413062" cy="2542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(9)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78" name="TextBox 77"/>
            <xdr:cNvSpPr txBox="1"/>
          </xdr:nvSpPr>
          <xdr:spPr>
            <a:xfrm>
              <a:off x="11713030" y="5237364"/>
              <a:ext cx="566699" cy="2542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(10)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79" name="TextBox 78"/>
            <xdr:cNvSpPr txBox="1"/>
          </xdr:nvSpPr>
          <xdr:spPr>
            <a:xfrm>
              <a:off x="12619695" y="5237364"/>
              <a:ext cx="663931" cy="2542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(11)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80" name="TextBox 79"/>
            <xdr:cNvSpPr txBox="1"/>
          </xdr:nvSpPr>
          <xdr:spPr>
            <a:xfrm>
              <a:off x="2801130" y="6767709"/>
              <a:ext cx="413060" cy="2638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81" name="TextBox 80"/>
            <xdr:cNvSpPr txBox="1"/>
          </xdr:nvSpPr>
          <xdr:spPr>
            <a:xfrm>
              <a:off x="3919075" y="6763534"/>
              <a:ext cx="413064" cy="2638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82" name="TextBox 81"/>
            <xdr:cNvSpPr txBox="1"/>
          </xdr:nvSpPr>
          <xdr:spPr>
            <a:xfrm>
              <a:off x="4871576" y="6763534"/>
              <a:ext cx="413062" cy="2638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83" name="TextBox 82"/>
            <xdr:cNvSpPr txBox="1"/>
          </xdr:nvSpPr>
          <xdr:spPr>
            <a:xfrm>
              <a:off x="8746814" y="6750486"/>
              <a:ext cx="413062" cy="2638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(7)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84" name="TextBox 83"/>
            <xdr:cNvSpPr txBox="1"/>
          </xdr:nvSpPr>
          <xdr:spPr>
            <a:xfrm>
              <a:off x="5811028" y="6763534"/>
              <a:ext cx="413062" cy="2638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85" name="TextBox 84"/>
            <xdr:cNvSpPr txBox="1"/>
          </xdr:nvSpPr>
          <xdr:spPr>
            <a:xfrm>
              <a:off x="8120515" y="6750486"/>
              <a:ext cx="413060" cy="2638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(6)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86" name="TextBox 85"/>
            <xdr:cNvSpPr txBox="1"/>
          </xdr:nvSpPr>
          <xdr:spPr>
            <a:xfrm>
              <a:off x="9373114" y="6750486"/>
              <a:ext cx="413063" cy="2638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(8)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87" name="TextBox 86"/>
            <xdr:cNvSpPr txBox="1"/>
          </xdr:nvSpPr>
          <xdr:spPr>
            <a:xfrm>
              <a:off x="10338663" y="6750486"/>
              <a:ext cx="413062" cy="2638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(9)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88" name="TextBox 87"/>
            <xdr:cNvSpPr txBox="1"/>
          </xdr:nvSpPr>
          <xdr:spPr>
            <a:xfrm>
              <a:off x="7102772" y="6763534"/>
              <a:ext cx="413062" cy="2638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(5)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89" name="TextBox 88"/>
            <xdr:cNvSpPr txBox="1"/>
          </xdr:nvSpPr>
          <xdr:spPr>
            <a:xfrm>
              <a:off x="12843867" y="6750486"/>
              <a:ext cx="413062" cy="2638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(11)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90" name="TextBox 89"/>
            <xdr:cNvSpPr txBox="1"/>
          </xdr:nvSpPr>
          <xdr:spPr>
            <a:xfrm>
              <a:off x="11917461" y="6750486"/>
              <a:ext cx="413062" cy="2638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(10)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</xdr:grpSp>
    </xdr:grpSp>
    <xdr:clientData/>
  </xdr:absoluteAnchor>
  <xdr:absoluteAnchor>
    <xdr:pos x="9736544" y="7562681"/>
    <xdr:ext cx="8016700" cy="4170665"/>
    <xdr:grpSp>
      <xdr:nvGrpSpPr>
        <xdr:cNvPr id="91" name="그룹 90"/>
        <xdr:cNvGrpSpPr/>
      </xdr:nvGrpSpPr>
      <xdr:grpSpPr>
        <a:xfrm>
          <a:off x="9736544" y="7562681"/>
          <a:ext cx="8016700" cy="4170665"/>
          <a:chOff x="13480073" y="8246445"/>
          <a:chExt cx="11704549" cy="2970522"/>
        </a:xfrm>
      </xdr:grpSpPr>
      <xdr:pic>
        <xdr:nvPicPr>
          <xdr:cNvPr id="92" name="그림 91"/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3480073" y="8246445"/>
            <a:ext cx="11704549" cy="2970522"/>
          </a:xfrm>
          <a:prstGeom prst="rect">
            <a:avLst/>
          </a:prstGeom>
          <a:ln w="15875">
            <a:solidFill>
              <a:schemeClr val="bg1">
                <a:lumMod val="50000"/>
              </a:schemeClr>
            </a:solidFill>
          </a:ln>
        </xdr:spPr>
      </xdr:pic>
      <xdr:grpSp>
        <xdr:nvGrpSpPr>
          <xdr:cNvPr id="93" name="그룹 92"/>
          <xdr:cNvGrpSpPr/>
        </xdr:nvGrpSpPr>
        <xdr:grpSpPr>
          <a:xfrm>
            <a:off x="14498769" y="8491389"/>
            <a:ext cx="5300615" cy="477171"/>
            <a:chOff x="14498769" y="8491389"/>
            <a:chExt cx="5300615" cy="477171"/>
          </a:xfrm>
        </xdr:grpSpPr>
        <xdr:sp macro="" textlink="">
          <xdr:nvSpPr>
            <xdr:cNvPr id="94" name="TextBox 93"/>
            <xdr:cNvSpPr txBox="1"/>
          </xdr:nvSpPr>
          <xdr:spPr>
            <a:xfrm>
              <a:off x="14498769" y="8491389"/>
              <a:ext cx="413060" cy="224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95" name="TextBox 94"/>
            <xdr:cNvSpPr txBox="1"/>
          </xdr:nvSpPr>
          <xdr:spPr>
            <a:xfrm>
              <a:off x="15287582" y="8494137"/>
              <a:ext cx="413064" cy="224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96" name="TextBox 95"/>
            <xdr:cNvSpPr txBox="1"/>
          </xdr:nvSpPr>
          <xdr:spPr>
            <a:xfrm>
              <a:off x="16427749" y="8501855"/>
              <a:ext cx="413063" cy="224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97" name="TextBox 96"/>
            <xdr:cNvSpPr txBox="1"/>
          </xdr:nvSpPr>
          <xdr:spPr>
            <a:xfrm>
              <a:off x="17826000" y="8501855"/>
              <a:ext cx="413064" cy="224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98" name="TextBox 97"/>
            <xdr:cNvSpPr txBox="1"/>
          </xdr:nvSpPr>
          <xdr:spPr>
            <a:xfrm>
              <a:off x="18854726" y="8704736"/>
              <a:ext cx="413064" cy="2638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(5)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99" name="TextBox 98"/>
            <xdr:cNvSpPr txBox="1"/>
          </xdr:nvSpPr>
          <xdr:spPr>
            <a:xfrm>
              <a:off x="19386320" y="8704736"/>
              <a:ext cx="413064" cy="2638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(6)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</xdr:grpSp>
    </xdr:grpSp>
    <xdr:clientData/>
  </xdr:absoluteAnchor>
  <xdr:absoluteAnchor>
    <xdr:pos x="11058165" y="11935526"/>
    <xdr:ext cx="7965383" cy="3930896"/>
    <xdr:grpSp>
      <xdr:nvGrpSpPr>
        <xdr:cNvPr id="100" name="그룹 99"/>
        <xdr:cNvGrpSpPr/>
      </xdr:nvGrpSpPr>
      <xdr:grpSpPr>
        <a:xfrm>
          <a:off x="11058165" y="11935526"/>
          <a:ext cx="7965383" cy="3930896"/>
          <a:chOff x="1466326" y="8232601"/>
          <a:chExt cx="11897585" cy="2977019"/>
        </a:xfrm>
      </xdr:grpSpPr>
      <xdr:pic>
        <xdr:nvPicPr>
          <xdr:cNvPr id="101" name="그림 100"/>
          <xdr:cNvPicPr>
            <a:picLocks noChangeAspect="1"/>
          </xdr:cNvPicPr>
        </xdr:nvPicPr>
        <xdr:blipFill rotWithShape="1">
          <a:blip xmlns:r="http://schemas.openxmlformats.org/officeDocument/2006/relationships" r:embed="rId7"/>
          <a:srcRect b="6859"/>
          <a:stretch/>
        </xdr:blipFill>
        <xdr:spPr>
          <a:xfrm>
            <a:off x="1466326" y="8232601"/>
            <a:ext cx="11897585" cy="2977019"/>
          </a:xfrm>
          <a:prstGeom prst="rect">
            <a:avLst/>
          </a:prstGeom>
          <a:ln w="15875">
            <a:solidFill>
              <a:schemeClr val="bg1">
                <a:lumMod val="50000"/>
              </a:schemeClr>
            </a:solidFill>
          </a:ln>
        </xdr:spPr>
      </xdr:pic>
      <xdr:grpSp>
        <xdr:nvGrpSpPr>
          <xdr:cNvPr id="102" name="그룹 101"/>
          <xdr:cNvGrpSpPr/>
        </xdr:nvGrpSpPr>
        <xdr:grpSpPr>
          <a:xfrm>
            <a:off x="7792429" y="8677566"/>
            <a:ext cx="3173030" cy="1688061"/>
            <a:chOff x="7792429" y="8677566"/>
            <a:chExt cx="3173030" cy="1688061"/>
          </a:xfrm>
        </xdr:grpSpPr>
        <xdr:grpSp>
          <xdr:nvGrpSpPr>
            <xdr:cNvPr id="103" name="그룹 102"/>
            <xdr:cNvGrpSpPr/>
          </xdr:nvGrpSpPr>
          <xdr:grpSpPr>
            <a:xfrm>
              <a:off x="7792429" y="8677566"/>
              <a:ext cx="3173030" cy="266328"/>
              <a:chOff x="7792429" y="8677566"/>
              <a:chExt cx="3173030" cy="266328"/>
            </a:xfrm>
          </xdr:grpSpPr>
          <xdr:sp macro="" textlink="">
            <xdr:nvSpPr>
              <xdr:cNvPr id="105" name="TextBox 104"/>
              <xdr:cNvSpPr txBox="1"/>
            </xdr:nvSpPr>
            <xdr:spPr>
              <a:xfrm>
                <a:off x="7792429" y="8680070"/>
                <a:ext cx="413059" cy="26382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en-US" altLang="ko-KR" sz="950" b="1">
                    <a:solidFill>
                      <a:srgbClr val="FF0000"/>
                    </a:solidFill>
                    <a:latin typeface="+mn-ea"/>
                    <a:ea typeface="+mn-ea"/>
                  </a:rPr>
                  <a:t>(1)</a:t>
                </a:r>
                <a:endParaRPr lang="ko-KR" altLang="en-US" sz="950" b="1">
                  <a:solidFill>
                    <a:srgbClr val="FF0000"/>
                  </a:solidFill>
                  <a:latin typeface="+mn-ea"/>
                  <a:ea typeface="+mn-ea"/>
                </a:endParaRPr>
              </a:p>
            </xdr:txBody>
          </xdr:sp>
          <xdr:sp macro="" textlink="">
            <xdr:nvSpPr>
              <xdr:cNvPr id="106" name="TextBox 105"/>
              <xdr:cNvSpPr txBox="1"/>
            </xdr:nvSpPr>
            <xdr:spPr>
              <a:xfrm>
                <a:off x="10552393" y="8677566"/>
                <a:ext cx="413066" cy="26382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en-US" altLang="ko-KR" sz="950" b="1">
                    <a:solidFill>
                      <a:srgbClr val="FF0000"/>
                    </a:solidFill>
                    <a:latin typeface="+mn-ea"/>
                    <a:ea typeface="+mn-ea"/>
                  </a:rPr>
                  <a:t>(2)</a:t>
                </a:r>
                <a:endParaRPr lang="ko-KR" altLang="en-US" sz="950" b="1">
                  <a:solidFill>
                    <a:srgbClr val="FF0000"/>
                  </a:solidFill>
                  <a:latin typeface="+mn-ea"/>
                  <a:ea typeface="+mn-ea"/>
                </a:endParaRPr>
              </a:p>
            </xdr:txBody>
          </xdr:sp>
        </xdr:grpSp>
        <xdr:sp macro="" textlink="">
          <xdr:nvSpPr>
            <xdr:cNvPr id="104" name="TextBox 103"/>
            <xdr:cNvSpPr txBox="1"/>
          </xdr:nvSpPr>
          <xdr:spPr>
            <a:xfrm>
              <a:off x="9799919" y="10101803"/>
              <a:ext cx="413066" cy="2638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</xdr:grpSp>
    </xdr:grpSp>
    <xdr:clientData/>
  </xdr:absoluteAnchor>
  <xdr:absoluteAnchor>
    <xdr:pos x="17870158" y="7653367"/>
    <xdr:ext cx="7220674" cy="3902022"/>
    <xdr:grpSp>
      <xdr:nvGrpSpPr>
        <xdr:cNvPr id="107" name="그룹 106"/>
        <xdr:cNvGrpSpPr/>
      </xdr:nvGrpSpPr>
      <xdr:grpSpPr>
        <a:xfrm>
          <a:off x="17870158" y="7653367"/>
          <a:ext cx="7220674" cy="3902022"/>
          <a:chOff x="13392961" y="1192713"/>
          <a:chExt cx="8297958" cy="2319011"/>
        </a:xfrm>
      </xdr:grpSpPr>
      <xdr:pic>
        <xdr:nvPicPr>
          <xdr:cNvPr id="108" name="그림 107"/>
          <xdr:cNvPicPr>
            <a:picLocks noChangeAspect="1"/>
          </xdr:cNvPicPr>
        </xdr:nvPicPr>
        <xdr:blipFill rotWithShape="1">
          <a:blip xmlns:r="http://schemas.openxmlformats.org/officeDocument/2006/relationships" r:embed="rId8"/>
          <a:srcRect l="186" b="1311"/>
          <a:stretch/>
        </xdr:blipFill>
        <xdr:spPr>
          <a:xfrm>
            <a:off x="13392961" y="1192713"/>
            <a:ext cx="8297958" cy="2319011"/>
          </a:xfrm>
          <a:prstGeom prst="rect">
            <a:avLst/>
          </a:prstGeom>
          <a:ln w="15875">
            <a:solidFill>
              <a:schemeClr val="bg1">
                <a:lumMod val="50000"/>
              </a:schemeClr>
            </a:solidFill>
          </a:ln>
        </xdr:spPr>
      </xdr:pic>
      <xdr:grpSp>
        <xdr:nvGrpSpPr>
          <xdr:cNvPr id="109" name="그룹 108"/>
          <xdr:cNvGrpSpPr/>
        </xdr:nvGrpSpPr>
        <xdr:grpSpPr>
          <a:xfrm>
            <a:off x="13558989" y="1554142"/>
            <a:ext cx="7953372" cy="424457"/>
            <a:chOff x="13558989" y="1554142"/>
            <a:chExt cx="7953372" cy="424457"/>
          </a:xfrm>
        </xdr:grpSpPr>
        <xdr:sp macro="" textlink="">
          <xdr:nvSpPr>
            <xdr:cNvPr id="110" name="TextBox 109"/>
            <xdr:cNvSpPr txBox="1"/>
          </xdr:nvSpPr>
          <xdr:spPr>
            <a:xfrm>
              <a:off x="13558989" y="1571365"/>
              <a:ext cx="413060" cy="2447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11" name="TextBox 110"/>
            <xdr:cNvSpPr txBox="1"/>
          </xdr:nvSpPr>
          <xdr:spPr>
            <a:xfrm>
              <a:off x="14223234" y="1561413"/>
              <a:ext cx="413065" cy="2447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(2)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12" name="TextBox 111"/>
            <xdr:cNvSpPr txBox="1"/>
          </xdr:nvSpPr>
          <xdr:spPr>
            <a:xfrm>
              <a:off x="14810194" y="1556511"/>
              <a:ext cx="413061" cy="2352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(3)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13" name="TextBox 112"/>
            <xdr:cNvSpPr txBox="1"/>
          </xdr:nvSpPr>
          <xdr:spPr>
            <a:xfrm>
              <a:off x="15267007" y="1559918"/>
              <a:ext cx="413061" cy="2447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(4)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14" name="TextBox 113"/>
            <xdr:cNvSpPr txBox="1"/>
          </xdr:nvSpPr>
          <xdr:spPr>
            <a:xfrm>
              <a:off x="15816476" y="1554142"/>
              <a:ext cx="413061" cy="2447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(5)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15" name="TextBox 114"/>
            <xdr:cNvSpPr txBox="1"/>
          </xdr:nvSpPr>
          <xdr:spPr>
            <a:xfrm>
              <a:off x="16696585" y="1554142"/>
              <a:ext cx="413061" cy="2447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(6)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16" name="TextBox 115"/>
            <xdr:cNvSpPr txBox="1"/>
          </xdr:nvSpPr>
          <xdr:spPr>
            <a:xfrm>
              <a:off x="17659151" y="1727435"/>
              <a:ext cx="413060" cy="2447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(7)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17" name="TextBox 116"/>
            <xdr:cNvSpPr txBox="1"/>
          </xdr:nvSpPr>
          <xdr:spPr>
            <a:xfrm>
              <a:off x="18434809" y="1727444"/>
              <a:ext cx="413060" cy="2447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(8)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18" name="TextBox 117"/>
            <xdr:cNvSpPr txBox="1"/>
          </xdr:nvSpPr>
          <xdr:spPr>
            <a:xfrm>
              <a:off x="19087071" y="1723766"/>
              <a:ext cx="413060" cy="2447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(9)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19" name="TextBox 118"/>
            <xdr:cNvSpPr txBox="1"/>
          </xdr:nvSpPr>
          <xdr:spPr>
            <a:xfrm>
              <a:off x="19439366" y="1733824"/>
              <a:ext cx="413060" cy="2447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(10)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20" name="TextBox 119"/>
            <xdr:cNvSpPr txBox="1"/>
          </xdr:nvSpPr>
          <xdr:spPr>
            <a:xfrm>
              <a:off x="19910482" y="1733824"/>
              <a:ext cx="413060" cy="2447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(11)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21" name="TextBox 120"/>
            <xdr:cNvSpPr txBox="1"/>
          </xdr:nvSpPr>
          <xdr:spPr>
            <a:xfrm>
              <a:off x="20486049" y="1733825"/>
              <a:ext cx="413060" cy="2447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(12)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  <xdr:sp macro="" textlink="">
          <xdr:nvSpPr>
            <xdr:cNvPr id="122" name="TextBox 121"/>
            <xdr:cNvSpPr txBox="1"/>
          </xdr:nvSpPr>
          <xdr:spPr>
            <a:xfrm>
              <a:off x="21099301" y="1733824"/>
              <a:ext cx="413060" cy="2447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altLang="ko-KR" sz="950" b="1">
                  <a:solidFill>
                    <a:srgbClr val="FF0000"/>
                  </a:solidFill>
                  <a:latin typeface="+mn-ea"/>
                  <a:ea typeface="+mn-ea"/>
                </a:rPr>
                <a:t>(13)</a:t>
              </a:r>
              <a:endParaRPr lang="ko-KR" altLang="en-US" sz="950" b="1">
                <a:solidFill>
                  <a:srgbClr val="FF0000"/>
                </a:solidFill>
                <a:latin typeface="+mn-ea"/>
                <a:ea typeface="+mn-ea"/>
              </a:endParaRPr>
            </a:p>
          </xdr:txBody>
        </xdr:sp>
      </xdr:grpSp>
    </xdr:grpSp>
    <xdr:clientData/>
  </xdr:absolute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H66"/>
  <sheetViews>
    <sheetView showGridLines="0" tabSelected="1" workbookViewId="0">
      <selection activeCell="D26" sqref="D26:F29"/>
    </sheetView>
  </sheetViews>
  <sheetFormatPr defaultRowHeight="16.5" x14ac:dyDescent="0.3"/>
  <cols>
    <col min="1" max="2" width="2.125" customWidth="1"/>
    <col min="3" max="3" width="20.625" customWidth="1"/>
    <col min="4" max="4" width="20.625" style="212" customWidth="1"/>
    <col min="5" max="6" width="20.625" style="211" customWidth="1"/>
    <col min="7" max="7" width="60.625" customWidth="1"/>
  </cols>
  <sheetData>
    <row r="1" spans="1:7" x14ac:dyDescent="0.3">
      <c r="D1" s="211"/>
    </row>
    <row r="2" spans="1:7" ht="24.95" customHeight="1" x14ac:dyDescent="0.3">
      <c r="A2" s="224" t="s">
        <v>2514</v>
      </c>
      <c r="D2" s="211"/>
    </row>
    <row r="3" spans="1:7" ht="24.95" customHeight="1" x14ac:dyDescent="0.3">
      <c r="A3" s="224"/>
      <c r="B3" s="236" t="s">
        <v>2572</v>
      </c>
      <c r="D3" s="211"/>
    </row>
    <row r="4" spans="1:7" ht="17.25" thickBot="1" x14ac:dyDescent="0.35">
      <c r="D4" s="211"/>
    </row>
    <row r="5" spans="1:7" ht="20.100000000000001" customHeight="1" thickBot="1" x14ac:dyDescent="0.35">
      <c r="B5" s="294" t="s">
        <v>2515</v>
      </c>
      <c r="C5" s="295"/>
      <c r="D5" s="251" t="s">
        <v>2516</v>
      </c>
      <c r="E5" s="227" t="s">
        <v>2517</v>
      </c>
      <c r="F5" s="252" t="s">
        <v>2523</v>
      </c>
      <c r="G5" s="246" t="s">
        <v>2525</v>
      </c>
    </row>
    <row r="6" spans="1:7" ht="20.100000000000001" customHeight="1" thickBot="1" x14ac:dyDescent="0.35">
      <c r="B6" s="305" t="s">
        <v>2593</v>
      </c>
      <c r="C6" s="306"/>
      <c r="D6" s="270">
        <f>D7+D8+D11</f>
        <v>291</v>
      </c>
      <c r="E6" s="233">
        <f>E7+E8+E11</f>
        <v>34</v>
      </c>
      <c r="F6" s="253">
        <f>F7+F8+F11</f>
        <v>257</v>
      </c>
      <c r="G6" s="256"/>
    </row>
    <row r="7" spans="1:7" ht="20.100000000000001" customHeight="1" thickBot="1" x14ac:dyDescent="0.35">
      <c r="B7" s="296" t="s">
        <v>2571</v>
      </c>
      <c r="C7" s="297"/>
      <c r="D7" s="271">
        <v>8</v>
      </c>
      <c r="E7" s="272">
        <v>1</v>
      </c>
      <c r="F7" s="273">
        <f>D7-E7</f>
        <v>7</v>
      </c>
      <c r="G7" s="274"/>
    </row>
    <row r="8" spans="1:7" ht="20.100000000000001" customHeight="1" x14ac:dyDescent="0.3">
      <c r="B8" s="296" t="s">
        <v>2519</v>
      </c>
      <c r="C8" s="297"/>
      <c r="D8" s="271">
        <f>SUM(D9:D10)</f>
        <v>116</v>
      </c>
      <c r="E8" s="272">
        <f>SUM(E9:E10)</f>
        <v>10</v>
      </c>
      <c r="F8" s="273">
        <f>D8-E8</f>
        <v>106</v>
      </c>
      <c r="G8" s="274"/>
    </row>
    <row r="9" spans="1:7" ht="20.100000000000001" customHeight="1" x14ac:dyDescent="0.3">
      <c r="B9" s="275"/>
      <c r="C9" s="229" t="s">
        <v>2518</v>
      </c>
      <c r="D9" s="254">
        <v>14</v>
      </c>
      <c r="E9" s="234">
        <v>0</v>
      </c>
      <c r="F9" s="282">
        <f t="shared" ref="F9:F13" si="0">D9-E9</f>
        <v>14</v>
      </c>
      <c r="G9" s="248"/>
    </row>
    <row r="10" spans="1:7" ht="20.100000000000001" customHeight="1" thickBot="1" x14ac:dyDescent="0.35">
      <c r="B10" s="276"/>
      <c r="C10" s="228" t="s">
        <v>1514</v>
      </c>
      <c r="D10" s="255">
        <v>102</v>
      </c>
      <c r="E10" s="235">
        <v>10</v>
      </c>
      <c r="F10" s="281">
        <f t="shared" si="0"/>
        <v>92</v>
      </c>
      <c r="G10" s="249" t="s">
        <v>2522</v>
      </c>
    </row>
    <row r="11" spans="1:7" ht="20.100000000000001" customHeight="1" x14ac:dyDescent="0.3">
      <c r="B11" s="298" t="s">
        <v>2524</v>
      </c>
      <c r="C11" s="299"/>
      <c r="D11" s="277">
        <f>SUM(D12:D13)</f>
        <v>167</v>
      </c>
      <c r="E11" s="278">
        <f>SUM(E12:E13)</f>
        <v>23</v>
      </c>
      <c r="F11" s="279">
        <f t="shared" si="0"/>
        <v>144</v>
      </c>
      <c r="G11" s="280"/>
    </row>
    <row r="12" spans="1:7" ht="20.100000000000001" customHeight="1" x14ac:dyDescent="0.3">
      <c r="B12" s="275"/>
      <c r="C12" s="229" t="s">
        <v>1684</v>
      </c>
      <c r="D12" s="254">
        <v>67</v>
      </c>
      <c r="E12" s="234">
        <v>17</v>
      </c>
      <c r="F12" s="282">
        <f t="shared" si="0"/>
        <v>50</v>
      </c>
      <c r="G12" s="250" t="s">
        <v>2520</v>
      </c>
    </row>
    <row r="13" spans="1:7" ht="20.100000000000001" customHeight="1" thickBot="1" x14ac:dyDescent="0.35">
      <c r="B13" s="276"/>
      <c r="C13" s="228" t="s">
        <v>2343</v>
      </c>
      <c r="D13" s="255">
        <v>100</v>
      </c>
      <c r="E13" s="235">
        <v>6</v>
      </c>
      <c r="F13" s="281">
        <f t="shared" si="0"/>
        <v>94</v>
      </c>
      <c r="G13" s="249" t="s">
        <v>2521</v>
      </c>
    </row>
    <row r="14" spans="1:7" s="238" customFormat="1" ht="24.95" customHeight="1" x14ac:dyDescent="0.3">
      <c r="B14" s="241" t="s">
        <v>2574</v>
      </c>
      <c r="C14" s="239"/>
      <c r="D14" s="240"/>
      <c r="E14" s="240"/>
      <c r="F14" s="240"/>
      <c r="G14" s="239"/>
    </row>
    <row r="15" spans="1:7" x14ac:dyDescent="0.3">
      <c r="D15" s="211"/>
    </row>
    <row r="16" spans="1:7" ht="24.95" customHeight="1" x14ac:dyDescent="0.3">
      <c r="A16" s="224" t="s">
        <v>2570</v>
      </c>
      <c r="D16" s="211"/>
    </row>
    <row r="17" spans="2:7" ht="17.25" thickBot="1" x14ac:dyDescent="0.35">
      <c r="D17" s="211"/>
    </row>
    <row r="18" spans="2:7" ht="20.100000000000001" customHeight="1" thickBot="1" x14ac:dyDescent="0.35">
      <c r="B18" s="294" t="s">
        <v>2515</v>
      </c>
      <c r="C18" s="295"/>
      <c r="D18" s="283" t="s">
        <v>2555</v>
      </c>
      <c r="E18" s="284"/>
      <c r="F18" s="285"/>
      <c r="G18" s="246" t="s">
        <v>2568</v>
      </c>
    </row>
    <row r="19" spans="2:7" s="2" customFormat="1" ht="20.100000000000001" customHeight="1" x14ac:dyDescent="0.3">
      <c r="B19" s="303" t="s">
        <v>1514</v>
      </c>
      <c r="C19" s="304"/>
      <c r="D19" s="309"/>
      <c r="E19" s="310"/>
      <c r="F19" s="311"/>
      <c r="G19" s="256"/>
    </row>
    <row r="20" spans="2:7" ht="20.100000000000001" customHeight="1" x14ac:dyDescent="0.3">
      <c r="B20" s="225"/>
      <c r="C20" s="232" t="s">
        <v>2526</v>
      </c>
      <c r="D20" s="300" t="s">
        <v>2527</v>
      </c>
      <c r="E20" s="301"/>
      <c r="F20" s="302"/>
      <c r="G20" s="312" t="s">
        <v>2556</v>
      </c>
    </row>
    <row r="21" spans="2:7" ht="20.100000000000001" customHeight="1" x14ac:dyDescent="0.3">
      <c r="B21" s="225"/>
      <c r="C21" s="230" t="s">
        <v>1154</v>
      </c>
      <c r="D21" s="314" t="s">
        <v>2530</v>
      </c>
      <c r="E21" s="315"/>
      <c r="F21" s="316"/>
      <c r="G21" s="308"/>
    </row>
    <row r="22" spans="2:7" ht="20.100000000000001" customHeight="1" x14ac:dyDescent="0.3">
      <c r="B22" s="225"/>
      <c r="C22" s="230" t="s">
        <v>2528</v>
      </c>
      <c r="D22" s="314" t="s">
        <v>2529</v>
      </c>
      <c r="E22" s="315"/>
      <c r="F22" s="316"/>
      <c r="G22" s="308"/>
    </row>
    <row r="23" spans="2:7" ht="20.100000000000001" customHeight="1" x14ac:dyDescent="0.3">
      <c r="B23" s="225"/>
      <c r="C23" s="230" t="s">
        <v>97</v>
      </c>
      <c r="D23" s="314" t="s">
        <v>2559</v>
      </c>
      <c r="E23" s="315"/>
      <c r="F23" s="316"/>
      <c r="G23" s="308"/>
    </row>
    <row r="24" spans="2:7" ht="20.100000000000001" customHeight="1" x14ac:dyDescent="0.3">
      <c r="B24" s="225"/>
      <c r="C24" s="230" t="s">
        <v>2531</v>
      </c>
      <c r="D24" s="314" t="s">
        <v>2558</v>
      </c>
      <c r="E24" s="315"/>
      <c r="F24" s="316"/>
      <c r="G24" s="308"/>
    </row>
    <row r="25" spans="2:7" ht="20.100000000000001" customHeight="1" x14ac:dyDescent="0.3">
      <c r="B25" s="225"/>
      <c r="C25" s="230" t="s">
        <v>140</v>
      </c>
      <c r="D25" s="314"/>
      <c r="E25" s="315"/>
      <c r="F25" s="316"/>
      <c r="G25" s="308"/>
    </row>
    <row r="26" spans="2:7" ht="20.100000000000001" customHeight="1" x14ac:dyDescent="0.3">
      <c r="B26" s="225"/>
      <c r="C26" s="230" t="s">
        <v>2532</v>
      </c>
      <c r="D26" s="314" t="s">
        <v>2557</v>
      </c>
      <c r="E26" s="315"/>
      <c r="F26" s="316"/>
      <c r="G26" s="308"/>
    </row>
    <row r="27" spans="2:7" ht="20.100000000000001" customHeight="1" x14ac:dyDescent="0.3">
      <c r="B27" s="225"/>
      <c r="C27" s="230" t="s">
        <v>2533</v>
      </c>
      <c r="D27" s="314"/>
      <c r="E27" s="315"/>
      <c r="F27" s="316"/>
      <c r="G27" s="308"/>
    </row>
    <row r="28" spans="2:7" ht="20.100000000000001" customHeight="1" x14ac:dyDescent="0.3">
      <c r="B28" s="225"/>
      <c r="C28" s="230" t="s">
        <v>2534</v>
      </c>
      <c r="D28" s="314"/>
      <c r="E28" s="315"/>
      <c r="F28" s="316"/>
      <c r="G28" s="308"/>
    </row>
    <row r="29" spans="2:7" ht="20.100000000000001" customHeight="1" thickBot="1" x14ac:dyDescent="0.35">
      <c r="B29" s="225"/>
      <c r="C29" s="231" t="s">
        <v>2535</v>
      </c>
      <c r="D29" s="317"/>
      <c r="E29" s="318"/>
      <c r="F29" s="319"/>
      <c r="G29" s="313"/>
    </row>
    <row r="30" spans="2:7" ht="20.100000000000001" customHeight="1" x14ac:dyDescent="0.3">
      <c r="B30" s="303" t="s">
        <v>1684</v>
      </c>
      <c r="C30" s="304"/>
      <c r="D30" s="309" t="s">
        <v>2552</v>
      </c>
      <c r="E30" s="310"/>
      <c r="F30" s="311"/>
      <c r="G30" s="257"/>
    </row>
    <row r="31" spans="2:7" ht="20.100000000000001" customHeight="1" x14ac:dyDescent="0.3">
      <c r="B31" s="225"/>
      <c r="C31" s="232" t="s">
        <v>2536</v>
      </c>
      <c r="D31" s="323" t="s">
        <v>2560</v>
      </c>
      <c r="E31" s="324"/>
      <c r="F31" s="325"/>
      <c r="G31" s="307" t="s">
        <v>2566</v>
      </c>
    </row>
    <row r="32" spans="2:7" ht="20.100000000000001" customHeight="1" x14ac:dyDescent="0.3">
      <c r="B32" s="225"/>
      <c r="C32" s="230" t="s">
        <v>2537</v>
      </c>
      <c r="D32" s="326"/>
      <c r="E32" s="327"/>
      <c r="F32" s="328"/>
      <c r="G32" s="308"/>
    </row>
    <row r="33" spans="2:7" ht="20.100000000000001" customHeight="1" x14ac:dyDescent="0.3">
      <c r="B33" s="225"/>
      <c r="C33" s="230" t="s">
        <v>2538</v>
      </c>
      <c r="D33" s="326"/>
      <c r="E33" s="327"/>
      <c r="F33" s="328"/>
      <c r="G33" s="308"/>
    </row>
    <row r="34" spans="2:7" ht="20.100000000000001" customHeight="1" x14ac:dyDescent="0.3">
      <c r="B34" s="225"/>
      <c r="C34" s="230" t="s">
        <v>2539</v>
      </c>
      <c r="D34" s="326"/>
      <c r="E34" s="327"/>
      <c r="F34" s="328"/>
      <c r="G34" s="308"/>
    </row>
    <row r="35" spans="2:7" ht="20.100000000000001" customHeight="1" x14ac:dyDescent="0.3">
      <c r="B35" s="225"/>
      <c r="C35" s="230" t="s">
        <v>2540</v>
      </c>
      <c r="D35" s="326"/>
      <c r="E35" s="327"/>
      <c r="F35" s="328"/>
      <c r="G35" s="308"/>
    </row>
    <row r="36" spans="2:7" ht="20.100000000000001" customHeight="1" x14ac:dyDescent="0.3">
      <c r="B36" s="225"/>
      <c r="C36" s="230" t="s">
        <v>2541</v>
      </c>
      <c r="D36" s="329"/>
      <c r="E36" s="321"/>
      <c r="F36" s="330"/>
      <c r="G36" s="308"/>
    </row>
    <row r="37" spans="2:7" ht="20.100000000000001" customHeight="1" x14ac:dyDescent="0.3">
      <c r="B37" s="225"/>
      <c r="C37" s="230" t="s">
        <v>2542</v>
      </c>
      <c r="D37" s="314" t="s">
        <v>2550</v>
      </c>
      <c r="E37" s="315"/>
      <c r="F37" s="316"/>
      <c r="G37" s="308"/>
    </row>
    <row r="38" spans="2:7" ht="20.100000000000001" customHeight="1" x14ac:dyDescent="0.3">
      <c r="B38" s="225"/>
      <c r="C38" s="230" t="s">
        <v>2543</v>
      </c>
      <c r="D38" s="314"/>
      <c r="E38" s="315"/>
      <c r="F38" s="316"/>
      <c r="G38" s="308"/>
    </row>
    <row r="39" spans="2:7" ht="20.100000000000001" customHeight="1" x14ac:dyDescent="0.3">
      <c r="B39" s="225"/>
      <c r="C39" s="230" t="s">
        <v>2544</v>
      </c>
      <c r="D39" s="331" t="s">
        <v>2560</v>
      </c>
      <c r="E39" s="320"/>
      <c r="F39" s="332"/>
      <c r="G39" s="308"/>
    </row>
    <row r="40" spans="2:7" ht="20.100000000000001" customHeight="1" x14ac:dyDescent="0.3">
      <c r="B40" s="225"/>
      <c r="C40" s="230" t="s">
        <v>2545</v>
      </c>
      <c r="D40" s="329"/>
      <c r="E40" s="321"/>
      <c r="F40" s="330"/>
      <c r="G40" s="308"/>
    </row>
    <row r="41" spans="2:7" ht="20.100000000000001" customHeight="1" x14ac:dyDescent="0.3">
      <c r="B41" s="225"/>
      <c r="C41" s="230" t="s">
        <v>2546</v>
      </c>
      <c r="D41" s="314" t="s">
        <v>2551</v>
      </c>
      <c r="E41" s="315"/>
      <c r="F41" s="316"/>
      <c r="G41" s="308"/>
    </row>
    <row r="42" spans="2:7" ht="20.100000000000001" customHeight="1" x14ac:dyDescent="0.3">
      <c r="B42" s="225"/>
      <c r="C42" s="230" t="s">
        <v>2547</v>
      </c>
      <c r="D42" s="314"/>
      <c r="E42" s="315"/>
      <c r="F42" s="316"/>
      <c r="G42" s="308"/>
    </row>
    <row r="43" spans="2:7" ht="20.100000000000001" customHeight="1" x14ac:dyDescent="0.3">
      <c r="B43" s="225"/>
      <c r="C43" s="230" t="s">
        <v>1297</v>
      </c>
      <c r="D43" s="331" t="s">
        <v>2560</v>
      </c>
      <c r="E43" s="320"/>
      <c r="F43" s="332"/>
      <c r="G43" s="258" t="s">
        <v>2567</v>
      </c>
    </row>
    <row r="44" spans="2:7" ht="20.100000000000001" customHeight="1" x14ac:dyDescent="0.3">
      <c r="B44" s="225"/>
      <c r="C44" s="230" t="s">
        <v>1125</v>
      </c>
      <c r="D44" s="326"/>
      <c r="E44" s="327"/>
      <c r="F44" s="328"/>
      <c r="G44" s="320" t="s">
        <v>2553</v>
      </c>
    </row>
    <row r="45" spans="2:7" ht="20.100000000000001" customHeight="1" x14ac:dyDescent="0.3">
      <c r="B45" s="225"/>
      <c r="C45" s="230" t="s">
        <v>1131</v>
      </c>
      <c r="D45" s="326"/>
      <c r="E45" s="327"/>
      <c r="F45" s="328"/>
      <c r="G45" s="321"/>
    </row>
    <row r="46" spans="2:7" ht="20.100000000000001" customHeight="1" x14ac:dyDescent="0.3">
      <c r="B46" s="225"/>
      <c r="C46" s="230" t="s">
        <v>2548</v>
      </c>
      <c r="D46" s="326"/>
      <c r="E46" s="327"/>
      <c r="F46" s="328"/>
      <c r="G46" s="320" t="s">
        <v>2554</v>
      </c>
    </row>
    <row r="47" spans="2:7" ht="20.100000000000001" customHeight="1" thickBot="1" x14ac:dyDescent="0.35">
      <c r="B47" s="226"/>
      <c r="C47" s="231" t="s">
        <v>2549</v>
      </c>
      <c r="D47" s="333"/>
      <c r="E47" s="322"/>
      <c r="F47" s="334"/>
      <c r="G47" s="322"/>
    </row>
    <row r="48" spans="2:7" s="2" customFormat="1" ht="20.100000000000001" customHeight="1" x14ac:dyDescent="0.3">
      <c r="B48" s="303" t="s">
        <v>2343</v>
      </c>
      <c r="C48" s="304"/>
      <c r="D48" s="309"/>
      <c r="E48" s="310"/>
      <c r="F48" s="311"/>
      <c r="G48" s="256"/>
    </row>
    <row r="49" spans="1:8" ht="20.100000000000001" customHeight="1" x14ac:dyDescent="0.3">
      <c r="B49" s="225"/>
      <c r="C49" s="232" t="s">
        <v>370</v>
      </c>
      <c r="D49" s="300" t="s">
        <v>2560</v>
      </c>
      <c r="E49" s="301"/>
      <c r="F49" s="302"/>
      <c r="G49" s="259" t="s">
        <v>2562</v>
      </c>
    </row>
    <row r="50" spans="1:8" ht="20.100000000000001" customHeight="1" x14ac:dyDescent="0.3">
      <c r="B50" s="225"/>
      <c r="C50" s="230" t="s">
        <v>773</v>
      </c>
      <c r="D50" s="314" t="s">
        <v>2563</v>
      </c>
      <c r="E50" s="315"/>
      <c r="F50" s="316"/>
      <c r="G50" s="258" t="s">
        <v>2556</v>
      </c>
    </row>
    <row r="51" spans="1:8" ht="20.100000000000001" customHeight="1" x14ac:dyDescent="0.3">
      <c r="B51" s="225"/>
      <c r="C51" s="230" t="s">
        <v>792</v>
      </c>
      <c r="D51" s="314" t="s">
        <v>2560</v>
      </c>
      <c r="E51" s="315"/>
      <c r="F51" s="316"/>
      <c r="G51" s="258" t="s">
        <v>2561</v>
      </c>
    </row>
    <row r="52" spans="1:8" ht="20.100000000000001" customHeight="1" x14ac:dyDescent="0.3">
      <c r="B52" s="225"/>
      <c r="C52" s="230" t="s">
        <v>820</v>
      </c>
      <c r="D52" s="314"/>
      <c r="E52" s="315"/>
      <c r="F52" s="316"/>
      <c r="G52" s="308" t="s">
        <v>2564</v>
      </c>
    </row>
    <row r="53" spans="1:8" ht="20.100000000000001" customHeight="1" x14ac:dyDescent="0.3">
      <c r="B53" s="225"/>
      <c r="C53" s="230" t="s">
        <v>821</v>
      </c>
      <c r="D53" s="314"/>
      <c r="E53" s="315"/>
      <c r="F53" s="316"/>
      <c r="G53" s="308"/>
    </row>
    <row r="54" spans="1:8" ht="20.100000000000001" customHeight="1" thickBot="1" x14ac:dyDescent="0.35">
      <c r="B54" s="226"/>
      <c r="C54" s="231" t="s">
        <v>823</v>
      </c>
      <c r="D54" s="317"/>
      <c r="E54" s="318"/>
      <c r="F54" s="319"/>
      <c r="G54" s="260" t="s">
        <v>2565</v>
      </c>
    </row>
    <row r="55" spans="1:8" x14ac:dyDescent="0.3">
      <c r="A55" s="242"/>
      <c r="B55" s="243" t="s">
        <v>2573</v>
      </c>
    </row>
    <row r="56" spans="1:8" x14ac:dyDescent="0.3">
      <c r="A56" s="244"/>
      <c r="B56" s="245" t="s">
        <v>2569</v>
      </c>
    </row>
    <row r="58" spans="1:8" ht="24" x14ac:dyDescent="0.3">
      <c r="A58" s="224" t="s">
        <v>2589</v>
      </c>
    </row>
    <row r="59" spans="1:8" ht="17.25" thickBot="1" x14ac:dyDescent="0.35"/>
    <row r="60" spans="1:8" ht="20.100000000000001" customHeight="1" thickBot="1" x14ac:dyDescent="0.35">
      <c r="B60" s="284" t="s">
        <v>2588</v>
      </c>
      <c r="C60" s="284"/>
      <c r="D60" s="283" t="s">
        <v>2587</v>
      </c>
      <c r="E60" s="284"/>
      <c r="F60" s="285"/>
      <c r="G60" s="246" t="s">
        <v>2578</v>
      </c>
    </row>
    <row r="61" spans="1:8" s="2" customFormat="1" ht="20.100000000000001" customHeight="1" x14ac:dyDescent="0.3">
      <c r="B61" s="292" t="s">
        <v>2575</v>
      </c>
      <c r="C61" s="293"/>
      <c r="D61" s="265"/>
      <c r="E61" s="256"/>
      <c r="F61" s="266"/>
      <c r="G61" s="247"/>
      <c r="H61" s="261"/>
    </row>
    <row r="62" spans="1:8" ht="20.100000000000001" customHeight="1" x14ac:dyDescent="0.3">
      <c r="B62" s="262"/>
      <c r="C62" s="220" t="s">
        <v>2576</v>
      </c>
      <c r="D62" s="286" t="s">
        <v>2577</v>
      </c>
      <c r="E62" s="287"/>
      <c r="F62" s="288"/>
      <c r="G62" s="267" t="s">
        <v>2592</v>
      </c>
    </row>
    <row r="63" spans="1:8" ht="20.100000000000001" customHeight="1" thickBot="1" x14ac:dyDescent="0.35">
      <c r="B63" s="263"/>
      <c r="C63" s="264" t="s">
        <v>2579</v>
      </c>
      <c r="D63" s="289" t="s">
        <v>2590</v>
      </c>
      <c r="E63" s="290"/>
      <c r="F63" s="291"/>
      <c r="G63" s="268" t="s">
        <v>2591</v>
      </c>
    </row>
    <row r="64" spans="1:8" ht="20.100000000000001" customHeight="1" x14ac:dyDescent="0.3">
      <c r="B64" s="292" t="s">
        <v>2580</v>
      </c>
      <c r="C64" s="293"/>
      <c r="D64" s="265"/>
      <c r="E64" s="256"/>
      <c r="F64" s="266"/>
      <c r="G64" s="269"/>
    </row>
    <row r="65" spans="2:7" ht="20.100000000000001" customHeight="1" x14ac:dyDescent="0.3">
      <c r="B65" s="262"/>
      <c r="C65" s="220" t="s">
        <v>2581</v>
      </c>
      <c r="D65" s="286" t="s">
        <v>2582</v>
      </c>
      <c r="E65" s="287"/>
      <c r="F65" s="288"/>
      <c r="G65" s="267" t="s">
        <v>2583</v>
      </c>
    </row>
    <row r="66" spans="2:7" ht="20.100000000000001" customHeight="1" thickBot="1" x14ac:dyDescent="0.35">
      <c r="B66" s="263"/>
      <c r="C66" s="264" t="s">
        <v>2584</v>
      </c>
      <c r="D66" s="289" t="s">
        <v>2585</v>
      </c>
      <c r="E66" s="290"/>
      <c r="F66" s="291"/>
      <c r="G66" s="268" t="s">
        <v>2586</v>
      </c>
    </row>
  </sheetData>
  <mergeCells count="40">
    <mergeCell ref="D51:F54"/>
    <mergeCell ref="G52:G53"/>
    <mergeCell ref="D48:F48"/>
    <mergeCell ref="D50:F50"/>
    <mergeCell ref="B30:C30"/>
    <mergeCell ref="B48:C48"/>
    <mergeCell ref="D31:F36"/>
    <mergeCell ref="D39:F40"/>
    <mergeCell ref="D43:F47"/>
    <mergeCell ref="D49:F49"/>
    <mergeCell ref="D37:F38"/>
    <mergeCell ref="D41:F42"/>
    <mergeCell ref="G44:G45"/>
    <mergeCell ref="G46:G47"/>
    <mergeCell ref="G31:G42"/>
    <mergeCell ref="D30:F30"/>
    <mergeCell ref="D18:F18"/>
    <mergeCell ref="G20:G29"/>
    <mergeCell ref="D26:F29"/>
    <mergeCell ref="D24:F25"/>
    <mergeCell ref="D23:F23"/>
    <mergeCell ref="D22:F22"/>
    <mergeCell ref="D21:F21"/>
    <mergeCell ref="D19:F19"/>
    <mergeCell ref="B5:C5"/>
    <mergeCell ref="B8:C8"/>
    <mergeCell ref="B11:C11"/>
    <mergeCell ref="B18:C18"/>
    <mergeCell ref="D20:F20"/>
    <mergeCell ref="B19:C19"/>
    <mergeCell ref="B7:C7"/>
    <mergeCell ref="B6:C6"/>
    <mergeCell ref="D60:F60"/>
    <mergeCell ref="B60:C60"/>
    <mergeCell ref="D62:F62"/>
    <mergeCell ref="D65:F65"/>
    <mergeCell ref="D66:F66"/>
    <mergeCell ref="D63:F63"/>
    <mergeCell ref="B61:C61"/>
    <mergeCell ref="B64:C64"/>
  </mergeCells>
  <phoneticPr fontId="2" type="noConversion"/>
  <pageMargins left="0.7" right="0.7" top="0.75" bottom="0.75" header="0.3" footer="0.3"/>
  <pageSetup paperSize="9" scale="5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6"/>
  <sheetViews>
    <sheetView showFormulas="1" showGridLines="0" topLeftCell="B25" zoomScale="85" zoomScaleNormal="85" workbookViewId="0">
      <selection activeCell="E48" sqref="E48"/>
    </sheetView>
  </sheetViews>
  <sheetFormatPr defaultRowHeight="16.5" x14ac:dyDescent="0.3"/>
  <cols>
    <col min="1" max="1" width="2.125" customWidth="1"/>
    <col min="2" max="2" width="2.25" customWidth="1"/>
    <col min="3" max="3" width="3.875" style="82" customWidth="1"/>
    <col min="4" max="4" width="3.5" customWidth="1"/>
    <col min="5" max="5" width="9.875" style="1" customWidth="1"/>
    <col min="6" max="6" width="8" customWidth="1"/>
    <col min="7" max="7" width="12" customWidth="1"/>
    <col min="8" max="8" width="8.125" customWidth="1"/>
    <col min="9" max="9" width="4.25" customWidth="1"/>
    <col min="10" max="10" width="5.875" style="1" customWidth="1"/>
    <col min="11" max="12" width="9.25" customWidth="1"/>
    <col min="13" max="13" width="23.75" style="21" customWidth="1"/>
    <col min="14" max="14" width="40.125" customWidth="1"/>
  </cols>
  <sheetData>
    <row r="1" spans="1:14" ht="5.0999999999999996" customHeight="1" x14ac:dyDescent="0.3"/>
    <row r="2" spans="1:14" ht="24.95" customHeight="1" x14ac:dyDescent="0.3">
      <c r="A2" s="3" t="s">
        <v>5</v>
      </c>
      <c r="B2" s="341" t="s">
        <v>17</v>
      </c>
      <c r="C2" s="341"/>
      <c r="D2" s="341"/>
      <c r="E2" s="341"/>
      <c r="F2" s="341"/>
      <c r="G2" s="341"/>
      <c r="H2" s="341"/>
      <c r="I2" s="341"/>
      <c r="J2" s="341"/>
      <c r="K2" s="341"/>
      <c r="L2" s="160"/>
    </row>
    <row r="3" spans="1:14" ht="5.0999999999999996" customHeight="1" x14ac:dyDescent="0.3"/>
    <row r="4" spans="1:14" x14ac:dyDescent="0.3">
      <c r="B4" s="11" t="s">
        <v>862</v>
      </c>
      <c r="C4" s="83" t="s">
        <v>13</v>
      </c>
      <c r="D4" s="342" t="s">
        <v>658</v>
      </c>
      <c r="E4" s="342"/>
      <c r="F4" s="342"/>
      <c r="G4" s="342"/>
      <c r="H4" s="342"/>
      <c r="I4" s="342"/>
      <c r="J4" s="342"/>
      <c r="K4" s="342"/>
      <c r="L4" s="342"/>
      <c r="M4" s="342"/>
    </row>
    <row r="5" spans="1:14" ht="5.0999999999999996" customHeight="1" x14ac:dyDescent="0.3"/>
    <row r="6" spans="1:14" ht="15.95" customHeight="1" x14ac:dyDescent="0.3">
      <c r="C6" s="84">
        <v>1</v>
      </c>
      <c r="D6" s="343" t="s">
        <v>11</v>
      </c>
      <c r="E6" s="343"/>
      <c r="F6" s="343"/>
      <c r="G6" s="343"/>
      <c r="H6" s="343"/>
      <c r="I6" s="343"/>
      <c r="J6" s="343"/>
      <c r="K6" s="343"/>
      <c r="L6" s="343"/>
      <c r="M6" s="343"/>
      <c r="N6" s="183"/>
    </row>
    <row r="7" spans="1:14" ht="5.0999999999999996" customHeight="1" x14ac:dyDescent="0.3">
      <c r="C7" s="85"/>
      <c r="D7" s="5"/>
      <c r="E7" s="12"/>
      <c r="F7" s="5"/>
      <c r="G7" s="5"/>
      <c r="H7" s="5"/>
      <c r="I7" s="5"/>
      <c r="J7" s="12"/>
      <c r="K7" s="5"/>
      <c r="L7" s="5"/>
    </row>
    <row r="8" spans="1:14" ht="15.95" customHeight="1" x14ac:dyDescent="0.3">
      <c r="C8" s="85"/>
      <c r="D8" s="7"/>
      <c r="E8" s="13"/>
      <c r="F8" s="7"/>
      <c r="G8" s="7"/>
      <c r="H8" s="13"/>
      <c r="I8" s="13"/>
      <c r="J8" s="13"/>
      <c r="K8" s="7"/>
      <c r="L8" s="7"/>
    </row>
    <row r="9" spans="1:14" ht="15.95" customHeight="1" x14ac:dyDescent="0.3">
      <c r="C9" s="85"/>
      <c r="D9" s="7"/>
      <c r="E9" s="13"/>
      <c r="F9" s="7"/>
      <c r="G9" s="7"/>
      <c r="H9" s="13"/>
      <c r="I9" s="14"/>
      <c r="J9" s="13"/>
      <c r="K9" s="7"/>
      <c r="L9" s="7"/>
    </row>
    <row r="10" spans="1:14" ht="15.95" customHeight="1" x14ac:dyDescent="0.3">
      <c r="C10" s="85"/>
      <c r="D10" s="7"/>
      <c r="E10" s="13"/>
      <c r="F10" s="7"/>
      <c r="G10" s="7"/>
      <c r="H10" s="13"/>
      <c r="I10" s="14"/>
      <c r="J10" s="13"/>
      <c r="K10" s="7"/>
      <c r="L10" s="7"/>
    </row>
    <row r="11" spans="1:14" ht="15.95" customHeight="1" x14ac:dyDescent="0.3">
      <c r="C11" s="85"/>
      <c r="D11" s="7"/>
      <c r="E11" s="13"/>
      <c r="F11" s="7"/>
      <c r="G11" s="7"/>
      <c r="H11" s="13"/>
      <c r="I11" s="14"/>
      <c r="J11" s="13"/>
      <c r="K11" s="7"/>
      <c r="L11" s="7"/>
    </row>
    <row r="12" spans="1:14" ht="15.95" customHeight="1" x14ac:dyDescent="0.3">
      <c r="C12" s="85"/>
      <c r="D12" s="7"/>
      <c r="E12" s="13"/>
      <c r="F12" s="7"/>
      <c r="G12" s="7"/>
      <c r="H12" s="13"/>
      <c r="I12" s="14"/>
      <c r="J12" s="13"/>
      <c r="K12" s="7"/>
      <c r="L12" s="7"/>
    </row>
    <row r="13" spans="1:14" ht="15.95" customHeight="1" x14ac:dyDescent="0.3">
      <c r="C13" s="85"/>
      <c r="D13" s="7"/>
      <c r="E13" s="13"/>
      <c r="F13" s="7"/>
      <c r="G13" s="7"/>
      <c r="H13" s="13"/>
      <c r="I13" s="14"/>
      <c r="J13" s="13"/>
      <c r="K13" s="7"/>
      <c r="L13" s="7"/>
    </row>
    <row r="14" spans="1:14" ht="15.95" customHeight="1" x14ac:dyDescent="0.3">
      <c r="C14" s="85"/>
      <c r="D14" s="7"/>
      <c r="E14" s="13"/>
      <c r="F14" s="7"/>
      <c r="G14" s="7"/>
      <c r="H14" s="13"/>
      <c r="I14" s="14"/>
      <c r="J14" s="13"/>
      <c r="K14" s="7"/>
      <c r="L14" s="7"/>
    </row>
    <row r="15" spans="1:14" ht="15.95" customHeight="1" x14ac:dyDescent="0.3">
      <c r="C15" s="85"/>
      <c r="D15" s="7"/>
      <c r="E15" s="13"/>
      <c r="F15" s="7"/>
      <c r="G15" s="7"/>
      <c r="H15" s="13"/>
      <c r="I15" s="14"/>
      <c r="J15" s="13"/>
      <c r="K15" s="7"/>
      <c r="L15" s="7"/>
    </row>
    <row r="16" spans="1:14" ht="15.95" customHeight="1" x14ac:dyDescent="0.3">
      <c r="C16" s="85"/>
      <c r="D16" s="7"/>
      <c r="E16" s="13"/>
      <c r="F16" s="7"/>
      <c r="G16" s="7"/>
      <c r="H16" s="13"/>
      <c r="I16" s="14"/>
      <c r="J16" s="13"/>
      <c r="K16" s="7"/>
      <c r="L16" s="7"/>
    </row>
    <row r="17" spans="1:14" ht="15.95" customHeight="1" x14ac:dyDescent="0.3">
      <c r="C17" s="85"/>
      <c r="D17" s="7"/>
      <c r="E17" s="13"/>
      <c r="F17" s="7"/>
      <c r="G17" s="7"/>
      <c r="H17" s="13"/>
      <c r="I17" s="14"/>
      <c r="J17" s="13"/>
      <c r="K17" s="7"/>
      <c r="L17" s="7"/>
    </row>
    <row r="18" spans="1:14" ht="15.95" customHeight="1" x14ac:dyDescent="0.3">
      <c r="C18" s="85"/>
      <c r="D18" s="7"/>
      <c r="E18" s="13"/>
      <c r="F18" s="7"/>
      <c r="G18" s="7"/>
      <c r="H18" s="13"/>
      <c r="I18" s="14"/>
      <c r="J18" s="13"/>
      <c r="K18" s="7"/>
      <c r="L18" s="7"/>
    </row>
    <row r="19" spans="1:14" ht="15.95" customHeight="1" x14ac:dyDescent="0.3">
      <c r="C19" s="85"/>
      <c r="D19" s="7"/>
      <c r="E19" s="13"/>
      <c r="F19" s="7"/>
      <c r="G19" s="7"/>
      <c r="H19" s="13"/>
      <c r="I19" s="14"/>
      <c r="J19" s="13"/>
      <c r="K19" s="7"/>
      <c r="L19" s="7"/>
    </row>
    <row r="20" spans="1:14" ht="15.95" customHeight="1" x14ac:dyDescent="0.3">
      <c r="C20" s="85"/>
      <c r="D20" s="7"/>
      <c r="E20" s="13"/>
      <c r="F20" s="7"/>
      <c r="G20" s="7"/>
      <c r="H20" s="13"/>
      <c r="I20" s="14"/>
      <c r="J20" s="13"/>
      <c r="K20" s="7"/>
      <c r="L20" s="7"/>
    </row>
    <row r="21" spans="1:14" s="21" customFormat="1" ht="15.95" customHeight="1" x14ac:dyDescent="0.3">
      <c r="A21"/>
      <c r="B21"/>
      <c r="C21" s="85"/>
      <c r="D21" s="7"/>
      <c r="E21" s="13"/>
      <c r="F21" s="7"/>
      <c r="G21" s="7"/>
      <c r="H21" s="13"/>
      <c r="I21" s="14"/>
      <c r="J21" s="13"/>
      <c r="K21" s="7"/>
      <c r="L21" s="7"/>
      <c r="N21"/>
    </row>
    <row r="22" spans="1:14" s="21" customFormat="1" ht="15.95" customHeight="1" x14ac:dyDescent="0.3">
      <c r="A22"/>
      <c r="B22"/>
      <c r="C22" s="85"/>
      <c r="D22" s="7"/>
      <c r="E22" s="13"/>
      <c r="F22" s="7"/>
      <c r="G22" s="7"/>
      <c r="H22" s="13"/>
      <c r="I22" s="14"/>
      <c r="J22" s="13"/>
      <c r="K22" s="7"/>
      <c r="L22" s="7"/>
      <c r="N22"/>
    </row>
    <row r="23" spans="1:14" s="21" customFormat="1" ht="15.95" customHeight="1" x14ac:dyDescent="0.3">
      <c r="A23"/>
      <c r="B23"/>
      <c r="C23" s="85"/>
      <c r="D23" s="7"/>
      <c r="E23" s="13"/>
      <c r="F23" s="7"/>
      <c r="G23" s="7"/>
      <c r="H23" s="13"/>
      <c r="I23" s="14"/>
      <c r="J23" s="13"/>
      <c r="K23" s="7"/>
      <c r="L23" s="7"/>
      <c r="N23"/>
    </row>
    <row r="24" spans="1:14" s="21" customFormat="1" ht="15.95" customHeight="1" x14ac:dyDescent="0.3">
      <c r="A24"/>
      <c r="B24"/>
      <c r="C24" s="85"/>
      <c r="D24" s="7"/>
      <c r="E24" s="13"/>
      <c r="F24" s="7"/>
      <c r="G24" s="7"/>
      <c r="H24" s="13"/>
      <c r="I24" s="14"/>
      <c r="J24" s="13"/>
      <c r="K24" s="7"/>
      <c r="L24" s="7"/>
      <c r="N24"/>
    </row>
    <row r="25" spans="1:14" s="21" customFormat="1" ht="15.95" customHeight="1" x14ac:dyDescent="0.3">
      <c r="A25"/>
      <c r="B25"/>
      <c r="C25" s="85"/>
      <c r="D25" s="7"/>
      <c r="E25" s="13"/>
      <c r="F25" s="7"/>
      <c r="G25" s="7"/>
      <c r="H25" s="13"/>
      <c r="I25" s="14"/>
      <c r="J25" s="13"/>
      <c r="K25" s="7"/>
      <c r="L25" s="7"/>
      <c r="N25"/>
    </row>
    <row r="26" spans="1:14" s="21" customFormat="1" ht="15.95" customHeight="1" x14ac:dyDescent="0.3">
      <c r="A26"/>
      <c r="B26"/>
      <c r="C26" s="85"/>
      <c r="D26" s="7"/>
      <c r="E26" s="13"/>
      <c r="F26" s="7"/>
      <c r="G26" s="7"/>
      <c r="H26" s="13"/>
      <c r="I26" s="14"/>
      <c r="J26" s="13"/>
      <c r="K26" s="7"/>
      <c r="L26" s="7"/>
      <c r="N26"/>
    </row>
    <row r="27" spans="1:14" s="21" customFormat="1" ht="15.95" customHeight="1" x14ac:dyDescent="0.3">
      <c r="A27"/>
      <c r="B27"/>
      <c r="C27" s="85"/>
      <c r="D27" s="7"/>
      <c r="E27" s="13"/>
      <c r="F27" s="7"/>
      <c r="G27" s="7"/>
      <c r="H27" s="13"/>
      <c r="I27" s="14"/>
      <c r="J27" s="13"/>
      <c r="K27" s="7"/>
      <c r="L27" s="7"/>
      <c r="N27"/>
    </row>
    <row r="28" spans="1:14" s="21" customFormat="1" ht="15.95" customHeight="1" x14ac:dyDescent="0.3">
      <c r="A28"/>
      <c r="B28"/>
      <c r="C28" s="85"/>
      <c r="D28" s="7"/>
      <c r="E28" s="13"/>
      <c r="F28" s="7"/>
      <c r="G28" s="7"/>
      <c r="H28" s="13"/>
      <c r="I28" s="14"/>
      <c r="J28" s="13"/>
      <c r="K28" s="7"/>
      <c r="L28" s="7"/>
      <c r="N28"/>
    </row>
    <row r="29" spans="1:14" s="21" customFormat="1" ht="15.95" customHeight="1" x14ac:dyDescent="0.3">
      <c r="A29"/>
      <c r="B29"/>
      <c r="C29" s="85"/>
      <c r="D29" s="7"/>
      <c r="E29" s="13"/>
      <c r="F29" s="7"/>
      <c r="G29" s="7"/>
      <c r="H29" s="13"/>
      <c r="I29" s="14"/>
      <c r="J29" s="13"/>
      <c r="K29" s="7"/>
      <c r="L29" s="7"/>
      <c r="N29"/>
    </row>
    <row r="30" spans="1:14" s="21" customFormat="1" ht="15.95" customHeight="1" x14ac:dyDescent="0.3">
      <c r="A30"/>
      <c r="B30"/>
      <c r="C30" s="85"/>
      <c r="D30" s="7"/>
      <c r="E30" s="13"/>
      <c r="F30" s="7"/>
      <c r="G30" s="7"/>
      <c r="H30" s="13"/>
      <c r="I30" s="14"/>
      <c r="J30" s="13"/>
      <c r="K30" s="7"/>
      <c r="L30" s="7"/>
      <c r="N30"/>
    </row>
    <row r="31" spans="1:14" s="21" customFormat="1" ht="15.95" customHeight="1" x14ac:dyDescent="0.3">
      <c r="A31"/>
      <c r="B31"/>
      <c r="C31" s="85"/>
      <c r="D31" s="7"/>
      <c r="E31" s="13"/>
      <c r="F31" s="7"/>
      <c r="G31" s="7"/>
      <c r="H31" s="13"/>
      <c r="I31" s="14"/>
      <c r="J31" s="13"/>
      <c r="K31" s="7"/>
      <c r="L31" s="7"/>
      <c r="N31"/>
    </row>
    <row r="32" spans="1:14" s="21" customFormat="1" ht="15.95" customHeight="1" x14ac:dyDescent="0.3">
      <c r="A32"/>
      <c r="B32"/>
      <c r="C32" s="85"/>
      <c r="D32" s="7"/>
      <c r="E32" s="13"/>
      <c r="F32" s="7"/>
      <c r="G32" s="7"/>
      <c r="H32" s="13"/>
      <c r="I32" s="14"/>
      <c r="J32" s="13"/>
      <c r="K32" s="7"/>
      <c r="L32" s="7"/>
      <c r="N32"/>
    </row>
    <row r="33" spans="1:14" s="21" customFormat="1" ht="15.95" customHeight="1" x14ac:dyDescent="0.3">
      <c r="A33"/>
      <c r="B33"/>
      <c r="C33" s="85"/>
      <c r="D33" s="7"/>
      <c r="E33" s="13"/>
      <c r="F33" s="7"/>
      <c r="G33" s="7"/>
      <c r="H33" s="13"/>
      <c r="I33" s="14"/>
      <c r="J33" s="13"/>
      <c r="K33" s="7"/>
      <c r="L33" s="7"/>
      <c r="N33"/>
    </row>
    <row r="34" spans="1:14" s="21" customFormat="1" ht="15.95" customHeight="1" x14ac:dyDescent="0.3">
      <c r="A34"/>
      <c r="B34"/>
      <c r="C34" s="85"/>
      <c r="D34" s="7"/>
      <c r="E34" s="13"/>
      <c r="F34" s="7"/>
      <c r="G34" s="7"/>
      <c r="H34" s="13"/>
      <c r="I34" s="14"/>
      <c r="J34" s="13"/>
      <c r="K34" s="7"/>
      <c r="L34" s="7"/>
      <c r="N34"/>
    </row>
    <row r="35" spans="1:14" s="21" customFormat="1" ht="15.95" customHeight="1" x14ac:dyDescent="0.3">
      <c r="A35"/>
      <c r="B35"/>
      <c r="C35" s="85"/>
      <c r="D35" s="7"/>
      <c r="E35" s="13"/>
      <c r="F35" s="7"/>
      <c r="G35" s="7"/>
      <c r="H35" s="13"/>
      <c r="I35" s="14"/>
      <c r="J35" s="13"/>
      <c r="K35" s="7"/>
      <c r="L35" s="7"/>
      <c r="N35"/>
    </row>
    <row r="36" spans="1:14" s="21" customFormat="1" ht="15.95" customHeight="1" x14ac:dyDescent="0.3">
      <c r="A36"/>
      <c r="B36"/>
      <c r="C36" s="85"/>
      <c r="D36" s="7"/>
      <c r="E36" s="13"/>
      <c r="F36" s="7"/>
      <c r="G36" s="7"/>
      <c r="H36" s="13"/>
      <c r="I36" s="14"/>
      <c r="J36" s="13"/>
      <c r="K36" s="7"/>
      <c r="L36" s="7"/>
      <c r="N36"/>
    </row>
    <row r="37" spans="1:14" s="21" customFormat="1" ht="15.95" customHeight="1" x14ac:dyDescent="0.3">
      <c r="A37"/>
      <c r="B37"/>
      <c r="C37" s="85"/>
      <c r="D37" s="7"/>
      <c r="E37" s="13"/>
      <c r="F37" s="7"/>
      <c r="G37" s="7"/>
      <c r="H37" s="13"/>
      <c r="I37" s="14"/>
      <c r="J37" s="13"/>
      <c r="K37" s="7"/>
      <c r="L37" s="7"/>
      <c r="N37"/>
    </row>
    <row r="38" spans="1:14" s="21" customFormat="1" ht="15.95" customHeight="1" x14ac:dyDescent="0.3">
      <c r="A38"/>
      <c r="B38"/>
      <c r="C38" s="85"/>
      <c r="D38" s="7"/>
      <c r="E38" s="13"/>
      <c r="F38" s="7"/>
      <c r="G38" s="7"/>
      <c r="H38" s="13"/>
      <c r="I38" s="14"/>
      <c r="J38" s="13"/>
      <c r="K38" s="7"/>
      <c r="L38" s="7"/>
      <c r="N38"/>
    </row>
    <row r="39" spans="1:14" s="21" customFormat="1" ht="15.95" customHeight="1" x14ac:dyDescent="0.3">
      <c r="A39"/>
      <c r="B39"/>
      <c r="C39" s="85"/>
      <c r="D39" s="7"/>
      <c r="E39" s="13"/>
      <c r="F39" s="7"/>
      <c r="G39" s="7"/>
      <c r="H39" s="13"/>
      <c r="I39" s="14"/>
      <c r="J39" s="13"/>
      <c r="K39" s="7"/>
      <c r="L39" s="7"/>
      <c r="N39"/>
    </row>
    <row r="40" spans="1:14" ht="15.95" customHeight="1" x14ac:dyDescent="0.3">
      <c r="C40" s="85"/>
      <c r="D40" s="7"/>
      <c r="E40" s="13"/>
      <c r="F40" s="7"/>
      <c r="G40" s="7"/>
      <c r="H40" s="13"/>
      <c r="I40" s="13"/>
      <c r="J40" s="13"/>
      <c r="K40" s="7"/>
      <c r="L40" s="7"/>
    </row>
    <row r="41" spans="1:14" ht="5.0999999999999996" customHeight="1" x14ac:dyDescent="0.3">
      <c r="C41" s="85"/>
      <c r="D41" s="5"/>
      <c r="E41" s="12"/>
      <c r="F41" s="5"/>
      <c r="G41" s="5"/>
      <c r="H41" s="5"/>
      <c r="I41" s="5"/>
      <c r="J41" s="12"/>
      <c r="K41" s="5"/>
      <c r="L41" s="5"/>
    </row>
    <row r="42" spans="1:14" ht="15.95" customHeight="1" x14ac:dyDescent="0.3">
      <c r="C42" s="84">
        <v>2</v>
      </c>
      <c r="D42" s="343" t="s">
        <v>474</v>
      </c>
      <c r="E42" s="343"/>
      <c r="F42" s="343"/>
      <c r="G42" s="343"/>
      <c r="H42" s="343"/>
      <c r="I42" s="343"/>
      <c r="J42" s="343"/>
      <c r="K42" s="343"/>
      <c r="L42" s="343"/>
      <c r="M42" s="343"/>
      <c r="N42" s="183"/>
    </row>
    <row r="43" spans="1:14" ht="5.0999999999999996" customHeight="1" x14ac:dyDescent="0.3">
      <c r="C43" s="86"/>
      <c r="D43" s="5"/>
      <c r="E43" s="12"/>
      <c r="F43" s="5"/>
      <c r="G43" s="5"/>
      <c r="H43" s="5"/>
      <c r="I43" s="5"/>
      <c r="J43" s="12"/>
      <c r="K43" s="5"/>
      <c r="L43" s="5"/>
    </row>
    <row r="44" spans="1:14" ht="15.95" customHeight="1" x14ac:dyDescent="0.3">
      <c r="C44" s="86"/>
      <c r="D44" s="344" t="s">
        <v>2207</v>
      </c>
      <c r="E44" s="344"/>
      <c r="F44" s="344"/>
      <c r="G44" s="344"/>
      <c r="H44" s="344"/>
      <c r="I44" s="344"/>
      <c r="J44" s="344"/>
      <c r="K44" s="344"/>
      <c r="L44" s="344"/>
      <c r="M44" s="344"/>
    </row>
    <row r="45" spans="1:14" ht="5.0999999999999996" customHeight="1" x14ac:dyDescent="0.3">
      <c r="C45" s="86"/>
      <c r="D45" s="59"/>
      <c r="E45" s="59"/>
      <c r="F45" s="59"/>
      <c r="G45" s="59"/>
      <c r="H45" s="59"/>
      <c r="I45" s="59"/>
      <c r="J45" s="59"/>
      <c r="K45" s="59"/>
      <c r="L45" s="161"/>
      <c r="M45" s="59"/>
    </row>
    <row r="46" spans="1:14" ht="23.25" customHeight="1" x14ac:dyDescent="0.3">
      <c r="C46" s="87"/>
      <c r="D46" s="43" t="s">
        <v>371</v>
      </c>
      <c r="E46" s="43" t="s">
        <v>7</v>
      </c>
      <c r="F46" s="43" t="s">
        <v>8</v>
      </c>
      <c r="G46" s="43" t="s">
        <v>9</v>
      </c>
      <c r="H46" s="43" t="s">
        <v>10</v>
      </c>
      <c r="I46" s="43" t="s">
        <v>473</v>
      </c>
      <c r="J46" s="43" t="s">
        <v>581</v>
      </c>
      <c r="K46" s="44" t="s">
        <v>2429</v>
      </c>
      <c r="L46" s="44" t="s">
        <v>2359</v>
      </c>
      <c r="M46" s="45" t="s">
        <v>18</v>
      </c>
      <c r="N46" s="45" t="s">
        <v>2351</v>
      </c>
    </row>
    <row r="47" spans="1:14" ht="42.75" customHeight="1" x14ac:dyDescent="0.3">
      <c r="C47" s="87"/>
      <c r="D47" s="39" t="s">
        <v>372</v>
      </c>
      <c r="E47" s="40" t="s">
        <v>827</v>
      </c>
      <c r="F47" s="41" t="s">
        <v>2201</v>
      </c>
      <c r="G47" s="172" t="s">
        <v>2235</v>
      </c>
      <c r="H47" s="41" t="s">
        <v>578</v>
      </c>
      <c r="I47" s="41"/>
      <c r="J47" s="41" t="s">
        <v>590</v>
      </c>
      <c r="K47" s="41" t="s">
        <v>2424</v>
      </c>
      <c r="L47" s="41" t="s">
        <v>2427</v>
      </c>
      <c r="M47" s="42" t="s">
        <v>2200</v>
      </c>
      <c r="N47" s="42"/>
    </row>
    <row r="48" spans="1:14" ht="24.95" customHeight="1" x14ac:dyDescent="0.3">
      <c r="C48" s="87"/>
      <c r="D48" s="25" t="s">
        <v>373</v>
      </c>
      <c r="E48" s="26" t="s">
        <v>828</v>
      </c>
      <c r="F48" s="27" t="s">
        <v>865</v>
      </c>
      <c r="G48" s="27" t="s">
        <v>835</v>
      </c>
      <c r="H48" s="27" t="s">
        <v>577</v>
      </c>
      <c r="I48" s="27"/>
      <c r="J48" s="41" t="s">
        <v>590</v>
      </c>
      <c r="K48" s="27" t="s">
        <v>2424</v>
      </c>
      <c r="L48" s="27" t="s">
        <v>19</v>
      </c>
      <c r="M48" s="28"/>
      <c r="N48" s="28"/>
    </row>
    <row r="49" spans="3:14" ht="24.95" customHeight="1" x14ac:dyDescent="0.3">
      <c r="C49" s="87"/>
      <c r="D49" s="25" t="s">
        <v>374</v>
      </c>
      <c r="E49" s="26" t="s">
        <v>829</v>
      </c>
      <c r="F49" s="27" t="s">
        <v>865</v>
      </c>
      <c r="G49" s="27" t="s">
        <v>35</v>
      </c>
      <c r="H49" s="27" t="s">
        <v>577</v>
      </c>
      <c r="I49" s="27"/>
      <c r="J49" s="41" t="s">
        <v>590</v>
      </c>
      <c r="K49" s="27" t="s">
        <v>2424</v>
      </c>
      <c r="L49" s="27" t="s">
        <v>19</v>
      </c>
      <c r="M49" s="28"/>
      <c r="N49" s="28"/>
    </row>
    <row r="50" spans="3:14" ht="24.95" customHeight="1" x14ac:dyDescent="0.3">
      <c r="C50" s="87"/>
      <c r="D50" s="25" t="s">
        <v>375</v>
      </c>
      <c r="E50" s="26" t="s">
        <v>830</v>
      </c>
      <c r="F50" s="27" t="s">
        <v>865</v>
      </c>
      <c r="G50" s="27" t="s">
        <v>836</v>
      </c>
      <c r="H50" s="27" t="s">
        <v>579</v>
      </c>
      <c r="I50" s="27"/>
      <c r="J50" s="41" t="s">
        <v>590</v>
      </c>
      <c r="K50" s="27" t="s">
        <v>2424</v>
      </c>
      <c r="L50" s="27" t="s">
        <v>19</v>
      </c>
      <c r="M50" s="28"/>
      <c r="N50" s="28"/>
    </row>
    <row r="51" spans="3:14" ht="24.95" customHeight="1" x14ac:dyDescent="0.3">
      <c r="C51" s="87"/>
      <c r="D51" s="25" t="s">
        <v>376</v>
      </c>
      <c r="E51" s="26" t="s">
        <v>831</v>
      </c>
      <c r="F51" s="27" t="s">
        <v>865</v>
      </c>
      <c r="G51" s="27" t="s">
        <v>38</v>
      </c>
      <c r="H51" s="27" t="s">
        <v>579</v>
      </c>
      <c r="I51" s="27"/>
      <c r="J51" s="41" t="s">
        <v>590</v>
      </c>
      <c r="K51" s="27" t="s">
        <v>2424</v>
      </c>
      <c r="L51" s="27" t="s">
        <v>19</v>
      </c>
      <c r="M51" s="28"/>
      <c r="N51" s="28"/>
    </row>
    <row r="52" spans="3:14" ht="24.95" customHeight="1" x14ac:dyDescent="0.3">
      <c r="C52" s="87"/>
      <c r="D52" s="25" t="s">
        <v>377</v>
      </c>
      <c r="E52" s="26" t="s">
        <v>832</v>
      </c>
      <c r="F52" s="27" t="s">
        <v>865</v>
      </c>
      <c r="G52" s="27" t="s">
        <v>41</v>
      </c>
      <c r="H52" s="27" t="s">
        <v>580</v>
      </c>
      <c r="I52" s="27"/>
      <c r="J52" s="41" t="s">
        <v>590</v>
      </c>
      <c r="K52" s="165" t="s">
        <v>2422</v>
      </c>
      <c r="L52" s="27" t="s">
        <v>24</v>
      </c>
      <c r="M52" s="28"/>
      <c r="N52" s="28"/>
    </row>
    <row r="53" spans="3:14" ht="24.95" customHeight="1" x14ac:dyDescent="0.3">
      <c r="C53" s="87"/>
      <c r="D53" s="25" t="s">
        <v>378</v>
      </c>
      <c r="E53" s="26" t="s">
        <v>833</v>
      </c>
      <c r="F53" s="27" t="s">
        <v>865</v>
      </c>
      <c r="G53" s="27" t="s">
        <v>72</v>
      </c>
      <c r="H53" s="27" t="s">
        <v>584</v>
      </c>
      <c r="I53" s="27"/>
      <c r="J53" s="41" t="s">
        <v>590</v>
      </c>
      <c r="K53" s="27" t="s">
        <v>2425</v>
      </c>
      <c r="L53" s="27" t="s">
        <v>19</v>
      </c>
      <c r="M53" s="28"/>
      <c r="N53" s="28"/>
    </row>
    <row r="54" spans="3:14" ht="24.95" customHeight="1" x14ac:dyDescent="0.3">
      <c r="C54" s="87"/>
      <c r="D54" s="33" t="s">
        <v>379</v>
      </c>
      <c r="E54" s="79" t="s">
        <v>834</v>
      </c>
      <c r="F54" s="35" t="s">
        <v>865</v>
      </c>
      <c r="G54" s="35" t="s">
        <v>43</v>
      </c>
      <c r="H54" s="35" t="s">
        <v>589</v>
      </c>
      <c r="I54" s="35"/>
      <c r="J54" s="35" t="s">
        <v>590</v>
      </c>
      <c r="K54" s="35" t="s">
        <v>2426</v>
      </c>
      <c r="L54" s="35" t="s">
        <v>19</v>
      </c>
      <c r="M54" s="38"/>
      <c r="N54" s="38"/>
    </row>
    <row r="55" spans="3:14" ht="18.75" customHeight="1" x14ac:dyDescent="0.3">
      <c r="C55" s="87"/>
      <c r="D55" s="68"/>
      <c r="E55" s="223"/>
      <c r="F55" s="69"/>
      <c r="G55" s="69"/>
      <c r="H55" s="69"/>
      <c r="I55" s="69"/>
      <c r="J55" s="220" t="s">
        <v>2513</v>
      </c>
      <c r="K55" s="237">
        <v>1</v>
      </c>
      <c r="L55" s="69"/>
      <c r="M55" s="219"/>
      <c r="N55" s="219"/>
    </row>
    <row r="56" spans="3:14" ht="5.0999999999999996" customHeight="1" x14ac:dyDescent="0.3">
      <c r="D56" s="16"/>
    </row>
    <row r="57" spans="3:14" x14ac:dyDescent="0.3">
      <c r="C57" s="170">
        <v>3</v>
      </c>
      <c r="D57" s="335" t="s">
        <v>2219</v>
      </c>
      <c r="E57" s="335"/>
      <c r="F57" s="335"/>
      <c r="G57" s="335"/>
      <c r="H57" s="335"/>
      <c r="I57" s="335"/>
      <c r="J57" s="335"/>
      <c r="K57" s="335"/>
      <c r="L57" s="335"/>
      <c r="M57" s="335"/>
      <c r="N57" s="183"/>
    </row>
    <row r="58" spans="3:14" ht="5.0999999999999996" customHeight="1" x14ac:dyDescent="0.3"/>
    <row r="59" spans="3:14" x14ac:dyDescent="0.3">
      <c r="D59" s="338" t="s">
        <v>2231</v>
      </c>
      <c r="E59" s="339"/>
      <c r="F59" s="339"/>
      <c r="G59" s="339"/>
      <c r="H59" s="339"/>
      <c r="I59" s="339"/>
      <c r="J59" s="339"/>
      <c r="K59" s="339"/>
      <c r="L59" s="339"/>
      <c r="M59" s="339"/>
    </row>
    <row r="60" spans="3:14" x14ac:dyDescent="0.3">
      <c r="D60" s="339"/>
      <c r="E60" s="339"/>
      <c r="F60" s="339"/>
      <c r="G60" s="339"/>
      <c r="H60" s="339"/>
      <c r="I60" s="339"/>
      <c r="J60" s="339"/>
      <c r="K60" s="339"/>
      <c r="L60" s="339"/>
      <c r="M60" s="339"/>
    </row>
    <row r="61" spans="3:14" x14ac:dyDescent="0.3">
      <c r="D61" s="339"/>
      <c r="E61" s="339"/>
      <c r="F61" s="339"/>
      <c r="G61" s="339"/>
      <c r="H61" s="339"/>
      <c r="I61" s="339"/>
      <c r="J61" s="339"/>
      <c r="K61" s="339"/>
      <c r="L61" s="339"/>
      <c r="M61" s="339"/>
    </row>
    <row r="62" spans="3:14" x14ac:dyDescent="0.3">
      <c r="D62" s="339"/>
      <c r="E62" s="339"/>
      <c r="F62" s="339"/>
      <c r="G62" s="339"/>
      <c r="H62" s="339"/>
      <c r="I62" s="339"/>
      <c r="J62" s="339"/>
      <c r="K62" s="339"/>
      <c r="L62" s="339"/>
      <c r="M62" s="339"/>
    </row>
    <row r="63" spans="3:14" x14ac:dyDescent="0.3">
      <c r="D63" s="339"/>
      <c r="E63" s="339"/>
      <c r="F63" s="339"/>
      <c r="G63" s="339"/>
      <c r="H63" s="339"/>
      <c r="I63" s="339"/>
      <c r="J63" s="339"/>
      <c r="K63" s="339"/>
      <c r="L63" s="339"/>
      <c r="M63" s="339"/>
    </row>
    <row r="64" spans="3:14" x14ac:dyDescent="0.3">
      <c r="D64" s="339"/>
      <c r="E64" s="339"/>
      <c r="F64" s="339"/>
      <c r="G64" s="339"/>
      <c r="H64" s="339"/>
      <c r="I64" s="339"/>
      <c r="J64" s="339"/>
      <c r="K64" s="339"/>
      <c r="L64" s="339"/>
      <c r="M64" s="339"/>
    </row>
    <row r="65" spans="4:13" x14ac:dyDescent="0.3">
      <c r="D65" s="339"/>
      <c r="E65" s="339"/>
      <c r="F65" s="339"/>
      <c r="G65" s="339"/>
      <c r="H65" s="339"/>
      <c r="I65" s="339"/>
      <c r="J65" s="339"/>
      <c r="K65" s="339"/>
      <c r="L65" s="339"/>
      <c r="M65" s="339"/>
    </row>
    <row r="66" spans="4:13" x14ac:dyDescent="0.3">
      <c r="D66" s="339"/>
      <c r="E66" s="339"/>
      <c r="F66" s="339"/>
      <c r="G66" s="339"/>
      <c r="H66" s="339"/>
      <c r="I66" s="339"/>
      <c r="J66" s="339"/>
      <c r="K66" s="339"/>
      <c r="L66" s="339"/>
      <c r="M66" s="339"/>
    </row>
    <row r="67" spans="4:13" x14ac:dyDescent="0.3">
      <c r="D67" s="339"/>
      <c r="E67" s="339"/>
      <c r="F67" s="339"/>
      <c r="G67" s="339"/>
      <c r="H67" s="339"/>
      <c r="I67" s="339"/>
      <c r="J67" s="339"/>
      <c r="K67" s="339"/>
      <c r="L67" s="339"/>
      <c r="M67" s="339"/>
    </row>
    <row r="68" spans="4:13" x14ac:dyDescent="0.3">
      <c r="D68" s="339"/>
      <c r="E68" s="339"/>
      <c r="F68" s="339"/>
      <c r="G68" s="339"/>
      <c r="H68" s="339"/>
      <c r="I68" s="339"/>
      <c r="J68" s="339"/>
      <c r="K68" s="339"/>
      <c r="L68" s="339"/>
      <c r="M68" s="339"/>
    </row>
    <row r="69" spans="4:13" x14ac:dyDescent="0.3">
      <c r="D69" s="339"/>
      <c r="E69" s="339"/>
      <c r="F69" s="339"/>
      <c r="G69" s="339"/>
      <c r="H69" s="339"/>
      <c r="I69" s="339"/>
      <c r="J69" s="339"/>
      <c r="K69" s="339"/>
      <c r="L69" s="339"/>
      <c r="M69" s="339"/>
    </row>
    <row r="70" spans="4:13" x14ac:dyDescent="0.3">
      <c r="D70" s="339"/>
      <c r="E70" s="339"/>
      <c r="F70" s="339"/>
      <c r="G70" s="339"/>
      <c r="H70" s="339"/>
      <c r="I70" s="339"/>
      <c r="J70" s="339"/>
      <c r="K70" s="339"/>
      <c r="L70" s="339"/>
      <c r="M70" s="339"/>
    </row>
    <row r="71" spans="4:13" x14ac:dyDescent="0.3">
      <c r="D71" s="339"/>
      <c r="E71" s="339"/>
      <c r="F71" s="339"/>
      <c r="G71" s="339"/>
      <c r="H71" s="339"/>
      <c r="I71" s="339"/>
      <c r="J71" s="339"/>
      <c r="K71" s="339"/>
      <c r="L71" s="339"/>
      <c r="M71" s="339"/>
    </row>
    <row r="72" spans="4:13" x14ac:dyDescent="0.3">
      <c r="D72" s="339"/>
      <c r="E72" s="339"/>
      <c r="F72" s="339"/>
      <c r="G72" s="339"/>
      <c r="H72" s="339"/>
      <c r="I72" s="339"/>
      <c r="J72" s="339"/>
      <c r="K72" s="339"/>
      <c r="L72" s="339"/>
      <c r="M72" s="339"/>
    </row>
    <row r="73" spans="4:13" x14ac:dyDescent="0.3">
      <c r="D73" s="339"/>
      <c r="E73" s="339"/>
      <c r="F73" s="339"/>
      <c r="G73" s="339"/>
      <c r="H73" s="339"/>
      <c r="I73" s="339"/>
      <c r="J73" s="339"/>
      <c r="K73" s="339"/>
      <c r="L73" s="339"/>
      <c r="M73" s="339"/>
    </row>
    <row r="74" spans="4:13" x14ac:dyDescent="0.3">
      <c r="D74" s="339"/>
      <c r="E74" s="339"/>
      <c r="F74" s="339"/>
      <c r="G74" s="339"/>
      <c r="H74" s="339"/>
      <c r="I74" s="339"/>
      <c r="J74" s="339"/>
      <c r="K74" s="339"/>
      <c r="L74" s="339"/>
      <c r="M74" s="339"/>
    </row>
    <row r="75" spans="4:13" x14ac:dyDescent="0.3">
      <c r="D75" s="339"/>
      <c r="E75" s="339"/>
      <c r="F75" s="339"/>
      <c r="G75" s="339"/>
      <c r="H75" s="339"/>
      <c r="I75" s="339"/>
      <c r="J75" s="339"/>
      <c r="K75" s="339"/>
      <c r="L75" s="339"/>
      <c r="M75" s="339"/>
    </row>
    <row r="76" spans="4:13" x14ac:dyDescent="0.3">
      <c r="D76" s="339"/>
      <c r="E76" s="339"/>
      <c r="F76" s="339"/>
      <c r="G76" s="339"/>
      <c r="H76" s="339"/>
      <c r="I76" s="339"/>
      <c r="J76" s="339"/>
      <c r="K76" s="339"/>
      <c r="L76" s="339"/>
      <c r="M76" s="339"/>
    </row>
    <row r="77" spans="4:13" x14ac:dyDescent="0.3">
      <c r="D77" s="339"/>
      <c r="E77" s="339"/>
      <c r="F77" s="339"/>
      <c r="G77" s="339"/>
      <c r="H77" s="339"/>
      <c r="I77" s="339"/>
      <c r="J77" s="339"/>
      <c r="K77" s="339"/>
      <c r="L77" s="339"/>
      <c r="M77" s="339"/>
    </row>
    <row r="78" spans="4:13" x14ac:dyDescent="0.3">
      <c r="D78" s="339"/>
      <c r="E78" s="339"/>
      <c r="F78" s="339"/>
      <c r="G78" s="339"/>
      <c r="H78" s="339"/>
      <c r="I78" s="339"/>
      <c r="J78" s="339"/>
      <c r="K78" s="339"/>
      <c r="L78" s="339"/>
      <c r="M78" s="339"/>
    </row>
    <row r="79" spans="4:13" x14ac:dyDescent="0.3">
      <c r="D79" s="339"/>
      <c r="E79" s="339"/>
      <c r="F79" s="339"/>
      <c r="G79" s="339"/>
      <c r="H79" s="339"/>
      <c r="I79" s="339"/>
      <c r="J79" s="339"/>
      <c r="K79" s="339"/>
      <c r="L79" s="339"/>
      <c r="M79" s="339"/>
    </row>
    <row r="80" spans="4:13" x14ac:dyDescent="0.3">
      <c r="D80" s="339"/>
      <c r="E80" s="339"/>
      <c r="F80" s="339"/>
      <c r="G80" s="339"/>
      <c r="H80" s="339"/>
      <c r="I80" s="339"/>
      <c r="J80" s="339"/>
      <c r="K80" s="339"/>
      <c r="L80" s="339"/>
      <c r="M80" s="339"/>
    </row>
    <row r="81" spans="4:13" x14ac:dyDescent="0.3">
      <c r="D81" s="339"/>
      <c r="E81" s="339"/>
      <c r="F81" s="339"/>
      <c r="G81" s="339"/>
      <c r="H81" s="339"/>
      <c r="I81" s="339"/>
      <c r="J81" s="339"/>
      <c r="K81" s="339"/>
      <c r="L81" s="339"/>
      <c r="M81" s="339"/>
    </row>
    <row r="82" spans="4:13" x14ac:dyDescent="0.3">
      <c r="D82" s="339"/>
      <c r="E82" s="339"/>
      <c r="F82" s="339"/>
      <c r="G82" s="339"/>
      <c r="H82" s="339"/>
      <c r="I82" s="339"/>
      <c r="J82" s="339"/>
      <c r="K82" s="339"/>
      <c r="L82" s="339"/>
      <c r="M82" s="339"/>
    </row>
    <row r="83" spans="4:13" x14ac:dyDescent="0.3">
      <c r="D83" s="339"/>
      <c r="E83" s="339"/>
      <c r="F83" s="339"/>
      <c r="G83" s="339"/>
      <c r="H83" s="339"/>
      <c r="I83" s="339"/>
      <c r="J83" s="339"/>
      <c r="K83" s="339"/>
      <c r="L83" s="339"/>
      <c r="M83" s="339"/>
    </row>
    <row r="84" spans="4:13" x14ac:dyDescent="0.3">
      <c r="D84" s="339"/>
      <c r="E84" s="339"/>
      <c r="F84" s="339"/>
      <c r="G84" s="339"/>
      <c r="H84" s="339"/>
      <c r="I84" s="339"/>
      <c r="J84" s="339"/>
      <c r="K84" s="339"/>
      <c r="L84" s="339"/>
      <c r="M84" s="339"/>
    </row>
    <row r="85" spans="4:13" x14ac:dyDescent="0.3">
      <c r="D85" s="339"/>
      <c r="E85" s="339"/>
      <c r="F85" s="339"/>
      <c r="G85" s="339"/>
      <c r="H85" s="339"/>
      <c r="I85" s="339"/>
      <c r="J85" s="339"/>
      <c r="K85" s="339"/>
      <c r="L85" s="339"/>
      <c r="M85" s="339"/>
    </row>
    <row r="86" spans="4:13" x14ac:dyDescent="0.3">
      <c r="D86" s="339"/>
      <c r="E86" s="339"/>
      <c r="F86" s="339"/>
      <c r="G86" s="339"/>
      <c r="H86" s="339"/>
      <c r="I86" s="339"/>
      <c r="J86" s="339"/>
      <c r="K86" s="339"/>
      <c r="L86" s="339"/>
      <c r="M86" s="339"/>
    </row>
    <row r="87" spans="4:13" x14ac:dyDescent="0.3">
      <c r="D87" s="339"/>
      <c r="E87" s="339"/>
      <c r="F87" s="339"/>
      <c r="G87" s="339"/>
      <c r="H87" s="339"/>
      <c r="I87" s="339"/>
      <c r="J87" s="339"/>
      <c r="K87" s="339"/>
      <c r="L87" s="339"/>
      <c r="M87" s="339"/>
    </row>
    <row r="88" spans="4:13" x14ac:dyDescent="0.3">
      <c r="D88" s="339"/>
      <c r="E88" s="339"/>
      <c r="F88" s="339"/>
      <c r="G88" s="339"/>
      <c r="H88" s="339"/>
      <c r="I88" s="339"/>
      <c r="J88" s="339"/>
      <c r="K88" s="339"/>
      <c r="L88" s="339"/>
      <c r="M88" s="339"/>
    </row>
    <row r="89" spans="4:13" x14ac:dyDescent="0.3">
      <c r="D89" s="339"/>
      <c r="E89" s="339"/>
      <c r="F89" s="339"/>
      <c r="G89" s="339"/>
      <c r="H89" s="339"/>
      <c r="I89" s="339"/>
      <c r="J89" s="339"/>
      <c r="K89" s="339"/>
      <c r="L89" s="339"/>
      <c r="M89" s="339"/>
    </row>
    <row r="90" spans="4:13" x14ac:dyDescent="0.3">
      <c r="D90" s="339"/>
      <c r="E90" s="339"/>
      <c r="F90" s="339"/>
      <c r="G90" s="339"/>
      <c r="H90" s="339"/>
      <c r="I90" s="339"/>
      <c r="J90" s="339"/>
      <c r="K90" s="339"/>
      <c r="L90" s="339"/>
      <c r="M90" s="339"/>
    </row>
    <row r="91" spans="4:13" x14ac:dyDescent="0.3">
      <c r="D91" s="339"/>
      <c r="E91" s="339"/>
      <c r="F91" s="339"/>
      <c r="G91" s="339"/>
      <c r="H91" s="339"/>
      <c r="I91" s="339"/>
      <c r="J91" s="339"/>
      <c r="K91" s="339"/>
      <c r="L91" s="339"/>
      <c r="M91" s="339"/>
    </row>
    <row r="92" spans="4:13" x14ac:dyDescent="0.3">
      <c r="D92" s="339"/>
      <c r="E92" s="339"/>
      <c r="F92" s="339"/>
      <c r="G92" s="339"/>
      <c r="H92" s="339"/>
      <c r="I92" s="339"/>
      <c r="J92" s="339"/>
      <c r="K92" s="339"/>
      <c r="L92" s="339"/>
      <c r="M92" s="339"/>
    </row>
    <row r="93" spans="4:13" x14ac:dyDescent="0.3">
      <c r="D93" s="339"/>
      <c r="E93" s="339"/>
      <c r="F93" s="339"/>
      <c r="G93" s="339"/>
      <c r="H93" s="339"/>
      <c r="I93" s="339"/>
      <c r="J93" s="339"/>
      <c r="K93" s="339"/>
      <c r="L93" s="339"/>
      <c r="M93" s="339"/>
    </row>
    <row r="94" spans="4:13" x14ac:dyDescent="0.3">
      <c r="D94" s="339"/>
      <c r="E94" s="339"/>
      <c r="F94" s="339"/>
      <c r="G94" s="339"/>
      <c r="H94" s="339"/>
      <c r="I94" s="339"/>
      <c r="J94" s="339"/>
      <c r="K94" s="339"/>
      <c r="L94" s="339"/>
      <c r="M94" s="339"/>
    </row>
    <row r="95" spans="4:13" x14ac:dyDescent="0.3">
      <c r="D95" s="339"/>
      <c r="E95" s="339"/>
      <c r="F95" s="339"/>
      <c r="G95" s="339"/>
      <c r="H95" s="339"/>
      <c r="I95" s="339"/>
      <c r="J95" s="339"/>
      <c r="K95" s="339"/>
      <c r="L95" s="339"/>
      <c r="M95" s="339"/>
    </row>
    <row r="96" spans="4:13" x14ac:dyDescent="0.3">
      <c r="D96" s="339"/>
      <c r="E96" s="339"/>
      <c r="F96" s="339"/>
      <c r="G96" s="339"/>
      <c r="H96" s="339"/>
      <c r="I96" s="339"/>
      <c r="J96" s="339"/>
      <c r="K96" s="339"/>
      <c r="L96" s="339"/>
      <c r="M96" s="339"/>
    </row>
    <row r="97" spans="3:13" x14ac:dyDescent="0.3">
      <c r="D97" s="339"/>
      <c r="E97" s="339"/>
      <c r="F97" s="339"/>
      <c r="G97" s="339"/>
      <c r="H97" s="339"/>
      <c r="I97" s="339"/>
      <c r="J97" s="339"/>
      <c r="K97" s="339"/>
      <c r="L97" s="339"/>
      <c r="M97" s="339"/>
    </row>
    <row r="98" spans="3:13" x14ac:dyDescent="0.3">
      <c r="D98" s="339"/>
      <c r="E98" s="339"/>
      <c r="F98" s="339"/>
      <c r="G98" s="339"/>
      <c r="H98" s="339"/>
      <c r="I98" s="339"/>
      <c r="J98" s="339"/>
      <c r="K98" s="339"/>
      <c r="L98" s="339"/>
      <c r="M98" s="339"/>
    </row>
    <row r="99" spans="3:13" x14ac:dyDescent="0.3">
      <c r="D99" s="339"/>
      <c r="E99" s="339"/>
      <c r="F99" s="339"/>
      <c r="G99" s="339"/>
      <c r="H99" s="339"/>
      <c r="I99" s="339"/>
      <c r="J99" s="339"/>
      <c r="K99" s="339"/>
      <c r="L99" s="339"/>
      <c r="M99" s="339"/>
    </row>
    <row r="100" spans="3:13" x14ac:dyDescent="0.3">
      <c r="D100" s="339"/>
      <c r="E100" s="339"/>
      <c r="F100" s="339"/>
      <c r="G100" s="339"/>
      <c r="H100" s="339"/>
      <c r="I100" s="339"/>
      <c r="J100" s="339"/>
      <c r="K100" s="339"/>
      <c r="L100" s="339"/>
      <c r="M100" s="339"/>
    </row>
    <row r="101" spans="3:13" x14ac:dyDescent="0.3">
      <c r="D101" s="339"/>
      <c r="E101" s="339"/>
      <c r="F101" s="339"/>
      <c r="G101" s="339"/>
      <c r="H101" s="339"/>
      <c r="I101" s="339"/>
      <c r="J101" s="339"/>
      <c r="K101" s="339"/>
      <c r="L101" s="339"/>
      <c r="M101" s="339"/>
    </row>
    <row r="102" spans="3:13" x14ac:dyDescent="0.3">
      <c r="D102" s="339"/>
      <c r="E102" s="339"/>
      <c r="F102" s="339"/>
      <c r="G102" s="339"/>
      <c r="H102" s="339"/>
      <c r="I102" s="339"/>
      <c r="J102" s="339"/>
      <c r="K102" s="339"/>
      <c r="L102" s="339"/>
      <c r="M102" s="339"/>
    </row>
    <row r="103" spans="3:13" x14ac:dyDescent="0.3">
      <c r="D103" s="339"/>
      <c r="E103" s="339"/>
      <c r="F103" s="339"/>
      <c r="G103" s="339"/>
      <c r="H103" s="339"/>
      <c r="I103" s="339"/>
      <c r="J103" s="339"/>
      <c r="K103" s="339"/>
      <c r="L103" s="339"/>
      <c r="M103" s="339"/>
    </row>
    <row r="104" spans="3:13" x14ac:dyDescent="0.3">
      <c r="D104" s="339"/>
      <c r="E104" s="339"/>
      <c r="F104" s="339"/>
      <c r="G104" s="339"/>
      <c r="H104" s="339"/>
      <c r="I104" s="339"/>
      <c r="J104" s="339"/>
      <c r="K104" s="339"/>
      <c r="L104" s="339"/>
      <c r="M104" s="339"/>
    </row>
    <row r="105" spans="3:13" x14ac:dyDescent="0.3">
      <c r="D105" s="339"/>
      <c r="E105" s="339"/>
      <c r="F105" s="339"/>
      <c r="G105" s="339"/>
      <c r="H105" s="339"/>
      <c r="I105" s="339"/>
      <c r="J105" s="339"/>
      <c r="K105" s="339"/>
      <c r="L105" s="339"/>
      <c r="M105" s="339"/>
    </row>
    <row r="106" spans="3:13" x14ac:dyDescent="0.3">
      <c r="D106" s="339"/>
      <c r="E106" s="339"/>
      <c r="F106" s="339"/>
      <c r="G106" s="339"/>
      <c r="H106" s="339"/>
      <c r="I106" s="339"/>
      <c r="J106" s="339"/>
      <c r="K106" s="339"/>
      <c r="L106" s="339"/>
      <c r="M106" s="339"/>
    </row>
    <row r="107" spans="3:13" x14ac:dyDescent="0.3">
      <c r="D107" s="339"/>
      <c r="E107" s="339"/>
      <c r="F107" s="339"/>
      <c r="G107" s="339"/>
      <c r="H107" s="339"/>
      <c r="I107" s="339"/>
      <c r="J107" s="339"/>
      <c r="K107" s="339"/>
      <c r="L107" s="339"/>
      <c r="M107" s="339"/>
    </row>
    <row r="108" spans="3:13" x14ac:dyDescent="0.3">
      <c r="D108" s="339"/>
      <c r="E108" s="339"/>
      <c r="F108" s="339"/>
      <c r="G108" s="339"/>
      <c r="H108" s="339"/>
      <c r="I108" s="339"/>
      <c r="J108" s="339"/>
      <c r="K108" s="339"/>
      <c r="L108" s="339"/>
      <c r="M108" s="339"/>
    </row>
    <row r="109" spans="3:13" x14ac:dyDescent="0.3">
      <c r="C109" s="84">
        <v>4</v>
      </c>
      <c r="D109" s="335" t="s">
        <v>2232</v>
      </c>
      <c r="E109" s="335"/>
      <c r="F109" s="335"/>
      <c r="G109" s="335"/>
      <c r="H109" s="335"/>
      <c r="I109" s="335"/>
      <c r="J109" s="335"/>
      <c r="K109" s="335"/>
      <c r="L109" s="335"/>
      <c r="M109" s="335"/>
    </row>
    <row r="110" spans="3:13" x14ac:dyDescent="0.3">
      <c r="D110" s="171" t="s">
        <v>2233</v>
      </c>
      <c r="E110" s="171" t="s">
        <v>2233</v>
      </c>
      <c r="F110" s="169"/>
      <c r="G110" s="169"/>
      <c r="H110" s="169"/>
      <c r="M110" s="21" t="s">
        <v>2211</v>
      </c>
    </row>
    <row r="111" spans="3:13" x14ac:dyDescent="0.3">
      <c r="D111" s="340" t="s">
        <v>2216</v>
      </c>
      <c r="E111" s="340"/>
      <c r="F111" t="s">
        <v>75</v>
      </c>
      <c r="G111" t="s">
        <v>2208</v>
      </c>
      <c r="H111" t="s">
        <v>2215</v>
      </c>
    </row>
    <row r="112" spans="3:13" x14ac:dyDescent="0.3">
      <c r="D112" s="340"/>
      <c r="E112" s="340"/>
      <c r="F112" t="s">
        <v>2213</v>
      </c>
      <c r="G112" t="s">
        <v>80</v>
      </c>
      <c r="H112" t="s">
        <v>2214</v>
      </c>
    </row>
    <row r="113" spans="3:14" x14ac:dyDescent="0.3">
      <c r="D113" s="340"/>
      <c r="E113" s="340"/>
      <c r="F113" t="s">
        <v>2210</v>
      </c>
      <c r="G113" t="s">
        <v>2209</v>
      </c>
      <c r="H113" t="s">
        <v>2214</v>
      </c>
    </row>
    <row r="114" spans="3:14" x14ac:dyDescent="0.3">
      <c r="D114" s="340"/>
      <c r="E114" s="340"/>
      <c r="F114" t="s">
        <v>2212</v>
      </c>
      <c r="G114" t="s">
        <v>82</v>
      </c>
      <c r="H114" t="s">
        <v>2214</v>
      </c>
    </row>
    <row r="117" spans="3:14" x14ac:dyDescent="0.3">
      <c r="D117" s="340" t="s">
        <v>2234</v>
      </c>
      <c r="E117" s="337"/>
      <c r="F117" s="337"/>
      <c r="G117" s="337"/>
      <c r="H117" s="337"/>
      <c r="I117" s="337"/>
      <c r="J117" s="337"/>
      <c r="K117" s="337"/>
      <c r="L117" s="337"/>
      <c r="M117" s="337"/>
    </row>
    <row r="119" spans="3:14" x14ac:dyDescent="0.3">
      <c r="D119" s="337"/>
      <c r="E119" s="337"/>
      <c r="F119" s="337"/>
      <c r="G119" s="337"/>
      <c r="H119" s="337"/>
      <c r="I119" s="337"/>
      <c r="J119" s="337"/>
      <c r="K119" s="337"/>
      <c r="L119" s="337"/>
      <c r="M119" s="337"/>
    </row>
    <row r="122" spans="3:14" x14ac:dyDescent="0.3">
      <c r="C122" s="187">
        <v>5</v>
      </c>
      <c r="D122" s="335" t="s">
        <v>2381</v>
      </c>
      <c r="E122" s="335"/>
      <c r="F122" s="335"/>
      <c r="G122" s="335"/>
      <c r="H122" s="335"/>
      <c r="I122" s="335"/>
      <c r="J122" s="335"/>
      <c r="K122" s="335"/>
      <c r="L122" s="335"/>
      <c r="M122" s="335"/>
      <c r="N122" s="183"/>
    </row>
    <row r="123" spans="3:14" x14ac:dyDescent="0.3">
      <c r="C123" s="82" t="s">
        <v>2385</v>
      </c>
      <c r="D123" s="336" t="s">
        <v>2382</v>
      </c>
      <c r="E123" s="336"/>
      <c r="F123" s="336"/>
      <c r="G123" s="336"/>
      <c r="H123" s="336"/>
      <c r="I123" s="336"/>
      <c r="J123" s="336"/>
      <c r="K123" s="336"/>
      <c r="L123" s="336"/>
      <c r="M123" s="336"/>
    </row>
    <row r="124" spans="3:14" x14ac:dyDescent="0.3">
      <c r="D124" s="190"/>
      <c r="E124" s="190"/>
      <c r="F124" s="190"/>
      <c r="G124" s="190"/>
      <c r="H124" s="190"/>
      <c r="I124" s="190"/>
      <c r="J124" s="190"/>
      <c r="K124" s="190"/>
      <c r="L124" s="190"/>
      <c r="M124" s="190"/>
    </row>
    <row r="125" spans="3:14" x14ac:dyDescent="0.3">
      <c r="D125" s="190"/>
      <c r="E125" s="190"/>
      <c r="F125" s="190"/>
      <c r="G125" s="190"/>
      <c r="H125" s="190"/>
      <c r="I125" s="190"/>
      <c r="J125" s="190"/>
      <c r="K125" s="190"/>
      <c r="L125" s="190"/>
      <c r="M125" s="190"/>
    </row>
    <row r="126" spans="3:14" x14ac:dyDescent="0.3">
      <c r="D126" s="190"/>
      <c r="E126" s="190"/>
      <c r="F126" s="190"/>
      <c r="G126" s="190"/>
      <c r="H126" s="190"/>
      <c r="I126" s="190"/>
      <c r="J126" s="190"/>
      <c r="K126" s="190"/>
      <c r="L126" s="190"/>
      <c r="M126" s="190"/>
    </row>
    <row r="127" spans="3:14" x14ac:dyDescent="0.3">
      <c r="D127" s="190"/>
      <c r="E127" s="190"/>
      <c r="F127" s="190"/>
      <c r="G127" s="190"/>
      <c r="H127" s="190"/>
      <c r="I127" s="190"/>
      <c r="J127" s="190"/>
      <c r="K127" s="190"/>
      <c r="L127" s="190"/>
      <c r="M127" s="190"/>
    </row>
    <row r="128" spans="3:14" x14ac:dyDescent="0.3">
      <c r="D128" s="190"/>
      <c r="E128" s="190"/>
      <c r="F128" s="190"/>
      <c r="G128" s="190"/>
      <c r="H128" s="190"/>
      <c r="I128" s="190"/>
      <c r="J128" s="190"/>
      <c r="K128" s="190"/>
      <c r="L128" s="190"/>
      <c r="M128" s="190"/>
    </row>
    <row r="129" spans="4:13" x14ac:dyDescent="0.3">
      <c r="D129" s="190"/>
      <c r="E129" s="190"/>
      <c r="F129" s="190"/>
      <c r="G129" s="190"/>
      <c r="H129" s="190"/>
      <c r="I129" s="190"/>
      <c r="J129" s="190"/>
      <c r="K129" s="190"/>
      <c r="L129" s="190"/>
      <c r="M129" s="190"/>
    </row>
    <row r="130" spans="4:13" x14ac:dyDescent="0.3">
      <c r="D130" s="190"/>
      <c r="E130" s="190"/>
      <c r="F130" s="190"/>
      <c r="G130" s="190"/>
      <c r="H130" s="190"/>
      <c r="I130" s="190"/>
      <c r="J130" s="190"/>
      <c r="K130" s="190"/>
      <c r="L130" s="190"/>
      <c r="M130" s="190"/>
    </row>
    <row r="131" spans="4:13" x14ac:dyDescent="0.3">
      <c r="D131" s="190"/>
      <c r="E131" s="190"/>
      <c r="F131" s="190"/>
      <c r="G131" s="190"/>
      <c r="H131" s="190"/>
      <c r="I131" s="190"/>
      <c r="J131" s="190"/>
      <c r="K131" s="190"/>
      <c r="L131" s="190"/>
      <c r="M131" s="190"/>
    </row>
    <row r="132" spans="4:13" x14ac:dyDescent="0.3">
      <c r="D132" s="190"/>
      <c r="E132" s="190"/>
      <c r="F132" s="190"/>
      <c r="G132" s="190"/>
      <c r="H132" s="190"/>
      <c r="I132" s="190"/>
      <c r="J132" s="190"/>
      <c r="K132" s="190"/>
      <c r="L132" s="190"/>
      <c r="M132" s="190"/>
    </row>
    <row r="133" spans="4:13" x14ac:dyDescent="0.3">
      <c r="D133" s="190"/>
      <c r="E133" s="190"/>
      <c r="F133" s="190"/>
      <c r="G133" s="190"/>
      <c r="H133" s="190"/>
      <c r="I133" s="190"/>
      <c r="J133" s="190"/>
      <c r="K133" s="190"/>
      <c r="L133" s="190"/>
      <c r="M133" s="190"/>
    </row>
    <row r="134" spans="4:13" x14ac:dyDescent="0.3">
      <c r="D134" s="190"/>
      <c r="E134" s="190"/>
      <c r="F134" s="190"/>
      <c r="G134" s="190"/>
      <c r="H134" s="190"/>
      <c r="I134" s="190"/>
      <c r="J134" s="190"/>
      <c r="K134" s="190"/>
      <c r="L134" s="190"/>
      <c r="M134" s="190"/>
    </row>
    <row r="135" spans="4:13" x14ac:dyDescent="0.3">
      <c r="D135" s="190"/>
      <c r="E135" s="190"/>
      <c r="F135" s="190"/>
      <c r="G135" s="190"/>
      <c r="H135" s="190"/>
      <c r="I135" s="190"/>
      <c r="J135" s="190"/>
      <c r="K135" s="190"/>
      <c r="L135" s="190"/>
      <c r="M135" s="190"/>
    </row>
    <row r="136" spans="4:13" x14ac:dyDescent="0.3">
      <c r="D136" s="190"/>
      <c r="E136" s="190"/>
      <c r="F136" s="190"/>
      <c r="G136" s="190"/>
      <c r="H136" s="190"/>
      <c r="I136" s="190"/>
      <c r="J136" s="190"/>
      <c r="K136" s="190"/>
      <c r="L136" s="190"/>
      <c r="M136" s="190"/>
    </row>
  </sheetData>
  <mergeCells count="13">
    <mergeCell ref="B2:K2"/>
    <mergeCell ref="D4:M4"/>
    <mergeCell ref="D6:M6"/>
    <mergeCell ref="D42:M42"/>
    <mergeCell ref="D57:M57"/>
    <mergeCell ref="D44:M44"/>
    <mergeCell ref="D122:M122"/>
    <mergeCell ref="D123:M123"/>
    <mergeCell ref="D119:M119"/>
    <mergeCell ref="D59:M108"/>
    <mergeCell ref="D109:M109"/>
    <mergeCell ref="D117:M117"/>
    <mergeCell ref="D111:E114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3"/>
  <sheetViews>
    <sheetView showGridLines="0" topLeftCell="B25" zoomScale="77" zoomScaleNormal="77" workbookViewId="0">
      <selection activeCell="K58" sqref="K45:K58"/>
    </sheetView>
  </sheetViews>
  <sheetFormatPr defaultRowHeight="16.5" x14ac:dyDescent="0.3"/>
  <cols>
    <col min="1" max="1" width="2.125" customWidth="1"/>
    <col min="2" max="2" width="3.25" customWidth="1"/>
    <col min="3" max="3" width="13" style="1" bestFit="1" customWidth="1"/>
    <col min="4" max="4" width="8" customWidth="1"/>
    <col min="5" max="5" width="14.875" style="1" customWidth="1"/>
    <col min="6" max="6" width="18.75" customWidth="1"/>
    <col min="7" max="7" width="23.5" customWidth="1"/>
    <col min="8" max="8" width="15.75" customWidth="1"/>
    <col min="9" max="9" width="9.25" customWidth="1"/>
    <col min="10" max="10" width="13.375" customWidth="1"/>
    <col min="11" max="12" width="18.75" style="1" customWidth="1"/>
    <col min="13" max="13" width="46.125" customWidth="1"/>
    <col min="14" max="14" width="56.75" customWidth="1"/>
  </cols>
  <sheetData>
    <row r="1" spans="1:15" x14ac:dyDescent="0.3">
      <c r="O1" s="1"/>
    </row>
    <row r="2" spans="1:15" ht="17.25" x14ac:dyDescent="0.3">
      <c r="A2" s="3" t="s">
        <v>710</v>
      </c>
      <c r="B2" s="341" t="s">
        <v>709</v>
      </c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O2" s="1"/>
    </row>
    <row r="3" spans="1:15" ht="5.0999999999999996" customHeight="1" x14ac:dyDescent="0.3"/>
    <row r="4" spans="1:15" x14ac:dyDescent="0.3">
      <c r="B4" s="11" t="s">
        <v>864</v>
      </c>
      <c r="C4" s="73" t="s">
        <v>708</v>
      </c>
      <c r="D4" s="2" t="s">
        <v>707</v>
      </c>
    </row>
    <row r="5" spans="1:15" ht="5.0999999999999996" customHeight="1" x14ac:dyDescent="0.3"/>
    <row r="6" spans="1:15" x14ac:dyDescent="0.3">
      <c r="C6" s="189">
        <v>1</v>
      </c>
      <c r="D6" s="347" t="s">
        <v>706</v>
      </c>
      <c r="E6" s="347"/>
      <c r="F6" s="347"/>
      <c r="G6" s="347"/>
      <c r="H6" s="347"/>
      <c r="I6" s="347"/>
      <c r="J6" s="347"/>
      <c r="K6" s="347"/>
      <c r="L6" s="347"/>
      <c r="M6" s="347"/>
      <c r="N6" s="183"/>
    </row>
    <row r="7" spans="1:15" x14ac:dyDescent="0.3">
      <c r="C7" s="22"/>
      <c r="D7" s="5"/>
      <c r="E7" s="12"/>
      <c r="F7" s="5"/>
      <c r="G7" s="5"/>
      <c r="H7" s="5"/>
      <c r="I7" s="5"/>
      <c r="J7" s="5"/>
      <c r="K7" s="12"/>
      <c r="L7" s="12"/>
      <c r="M7" s="5"/>
    </row>
    <row r="8" spans="1:15" x14ac:dyDescent="0.3">
      <c r="C8" s="22"/>
      <c r="D8" s="5"/>
      <c r="E8" s="12"/>
      <c r="F8" s="5"/>
      <c r="G8" s="5"/>
      <c r="H8" s="5"/>
      <c r="I8" s="5"/>
      <c r="J8" s="5"/>
      <c r="K8" s="12"/>
      <c r="L8" s="12"/>
      <c r="M8" s="5"/>
    </row>
    <row r="9" spans="1:15" x14ac:dyDescent="0.3">
      <c r="C9" s="22"/>
      <c r="D9" s="5"/>
      <c r="E9" s="12"/>
      <c r="F9" s="5"/>
      <c r="G9" s="5"/>
      <c r="H9" s="5"/>
      <c r="I9" s="5"/>
      <c r="J9" s="5"/>
      <c r="K9" s="12"/>
      <c r="L9" s="12"/>
      <c r="M9" s="5"/>
    </row>
    <row r="10" spans="1:15" x14ac:dyDescent="0.3">
      <c r="C10" s="22"/>
      <c r="D10" s="5"/>
      <c r="E10" s="12"/>
      <c r="F10" s="5"/>
      <c r="G10" s="5"/>
      <c r="H10" s="5"/>
      <c r="I10" s="5"/>
      <c r="J10" s="5"/>
      <c r="K10" s="12"/>
      <c r="L10" s="12"/>
      <c r="M10" s="5"/>
    </row>
    <row r="11" spans="1:15" x14ac:dyDescent="0.3">
      <c r="C11" s="22"/>
      <c r="D11" s="5"/>
      <c r="E11" s="12"/>
      <c r="F11" s="5"/>
      <c r="G11" s="5"/>
      <c r="H11" s="5"/>
      <c r="I11" s="5"/>
      <c r="J11" s="5"/>
      <c r="K11" s="12"/>
      <c r="L11" s="12"/>
      <c r="M11" s="5"/>
    </row>
    <row r="12" spans="1:15" x14ac:dyDescent="0.3">
      <c r="C12" s="22"/>
      <c r="D12" s="5"/>
      <c r="E12" s="12"/>
      <c r="F12" s="5"/>
      <c r="G12" s="5"/>
      <c r="H12" s="5"/>
      <c r="I12" s="5"/>
      <c r="J12" s="5"/>
      <c r="K12" s="12"/>
      <c r="L12" s="12"/>
      <c r="M12" s="5"/>
    </row>
    <row r="13" spans="1:15" x14ac:dyDescent="0.3">
      <c r="C13" s="22"/>
      <c r="D13" s="5"/>
      <c r="E13" s="12"/>
      <c r="F13" s="5"/>
      <c r="G13" s="5"/>
      <c r="H13" s="5"/>
      <c r="I13" s="5"/>
      <c r="J13" s="5"/>
      <c r="K13" s="12"/>
      <c r="L13" s="12"/>
      <c r="M13" s="5"/>
    </row>
    <row r="14" spans="1:15" x14ac:dyDescent="0.3">
      <c r="C14" s="22"/>
      <c r="D14" s="5"/>
      <c r="E14" s="12"/>
      <c r="F14" s="5"/>
      <c r="G14" s="5"/>
      <c r="H14" s="5"/>
      <c r="I14" s="5"/>
      <c r="J14" s="5"/>
      <c r="K14" s="12"/>
      <c r="L14" s="12"/>
      <c r="M14" s="5"/>
    </row>
    <row r="15" spans="1:15" x14ac:dyDescent="0.3">
      <c r="C15" s="22"/>
      <c r="D15" s="5"/>
      <c r="E15" s="12"/>
      <c r="F15" s="5"/>
      <c r="G15" s="5"/>
      <c r="H15" s="5"/>
      <c r="I15" s="5"/>
      <c r="J15" s="5"/>
      <c r="K15" s="12"/>
      <c r="L15" s="12"/>
      <c r="M15" s="5"/>
    </row>
    <row r="16" spans="1:15" x14ac:dyDescent="0.3">
      <c r="C16" s="22"/>
      <c r="D16" s="5"/>
      <c r="E16" s="12"/>
      <c r="F16" s="5"/>
      <c r="G16" s="5"/>
      <c r="H16" s="5"/>
      <c r="I16" s="5"/>
      <c r="J16" s="5"/>
      <c r="K16" s="12"/>
      <c r="L16" s="12"/>
      <c r="M16" s="5"/>
    </row>
    <row r="17" spans="3:13" x14ac:dyDescent="0.3">
      <c r="C17" s="22"/>
      <c r="D17" s="5"/>
      <c r="E17" s="12"/>
      <c r="F17" s="5"/>
      <c r="G17" s="5"/>
      <c r="H17" s="5"/>
      <c r="I17" s="5"/>
      <c r="J17" s="5"/>
      <c r="K17" s="12"/>
      <c r="L17" s="12"/>
      <c r="M17" s="5"/>
    </row>
    <row r="18" spans="3:13" x14ac:dyDescent="0.3">
      <c r="C18" s="22"/>
      <c r="D18" s="5"/>
      <c r="E18" s="12"/>
      <c r="F18" s="5"/>
      <c r="G18" s="5"/>
      <c r="H18" s="5"/>
      <c r="I18" s="5"/>
      <c r="J18" s="5"/>
      <c r="K18" s="12"/>
      <c r="L18" s="12"/>
      <c r="M18" s="5"/>
    </row>
    <row r="19" spans="3:13" x14ac:dyDescent="0.3">
      <c r="C19" s="22"/>
      <c r="D19" s="5"/>
      <c r="E19" s="12"/>
      <c r="F19" s="5"/>
      <c r="G19" s="5"/>
      <c r="H19" s="5"/>
      <c r="I19" s="5"/>
      <c r="J19" s="5"/>
      <c r="K19" s="12"/>
      <c r="L19" s="12"/>
      <c r="M19" s="5"/>
    </row>
    <row r="20" spans="3:13" x14ac:dyDescent="0.3">
      <c r="C20" s="22"/>
      <c r="D20" s="5"/>
      <c r="E20" s="12"/>
      <c r="F20" s="5"/>
      <c r="G20" s="5"/>
      <c r="H20" s="5"/>
      <c r="I20" s="5"/>
      <c r="J20" s="5"/>
      <c r="K20" s="12"/>
      <c r="L20" s="12"/>
      <c r="M20" s="5"/>
    </row>
    <row r="21" spans="3:13" x14ac:dyDescent="0.3">
      <c r="C21" s="22"/>
      <c r="D21" s="5"/>
      <c r="E21" s="12"/>
      <c r="F21" s="5"/>
      <c r="G21" s="5"/>
      <c r="H21" s="5"/>
      <c r="I21" s="5"/>
      <c r="J21" s="5"/>
      <c r="K21" s="12"/>
      <c r="L21" s="12"/>
      <c r="M21" s="5"/>
    </row>
    <row r="22" spans="3:13" x14ac:dyDescent="0.3">
      <c r="C22" s="22"/>
      <c r="D22" s="5"/>
      <c r="E22" s="12"/>
      <c r="F22" s="5"/>
      <c r="G22" s="5"/>
      <c r="H22" s="5"/>
      <c r="I22" s="5"/>
      <c r="J22" s="5"/>
      <c r="K22" s="12"/>
      <c r="L22" s="12"/>
      <c r="M22" s="5"/>
    </row>
    <row r="23" spans="3:13" x14ac:dyDescent="0.3">
      <c r="C23" s="22"/>
      <c r="D23" s="5"/>
      <c r="E23" s="12"/>
      <c r="F23" s="5"/>
      <c r="G23" s="5"/>
      <c r="H23" s="5"/>
      <c r="I23" s="5"/>
      <c r="J23" s="5"/>
      <c r="K23" s="12"/>
      <c r="L23" s="12"/>
      <c r="M23" s="5"/>
    </row>
    <row r="24" spans="3:13" x14ac:dyDescent="0.3">
      <c r="C24" s="22"/>
      <c r="D24" s="5"/>
      <c r="E24" s="12"/>
      <c r="F24" s="5"/>
      <c r="G24" s="5"/>
      <c r="H24" s="5"/>
      <c r="I24" s="5"/>
      <c r="J24" s="5"/>
      <c r="K24" s="12"/>
      <c r="L24" s="12"/>
      <c r="M24" s="5"/>
    </row>
    <row r="25" spans="3:13" x14ac:dyDescent="0.3">
      <c r="C25" s="22"/>
      <c r="D25" s="5"/>
      <c r="E25" s="12"/>
      <c r="F25" s="5"/>
      <c r="G25" s="5"/>
      <c r="H25" s="5"/>
      <c r="I25" s="5"/>
      <c r="J25" s="5"/>
      <c r="K25" s="12"/>
      <c r="L25" s="12"/>
      <c r="M25" s="5"/>
    </row>
    <row r="26" spans="3:13" x14ac:dyDescent="0.3">
      <c r="C26" s="22"/>
      <c r="D26" s="5"/>
      <c r="E26" s="12"/>
      <c r="F26" s="5"/>
      <c r="G26" s="5"/>
      <c r="H26" s="5"/>
      <c r="I26" s="5"/>
      <c r="J26" s="5"/>
      <c r="K26" s="12"/>
      <c r="L26" s="12"/>
      <c r="M26" s="5"/>
    </row>
    <row r="27" spans="3:13" x14ac:dyDescent="0.3">
      <c r="C27" s="22"/>
      <c r="D27" s="5"/>
      <c r="E27" s="12"/>
      <c r="F27" s="5"/>
      <c r="G27" s="5"/>
      <c r="H27" s="5"/>
      <c r="I27" s="5"/>
      <c r="J27" s="5"/>
      <c r="K27" s="12"/>
      <c r="L27" s="12"/>
      <c r="M27" s="5"/>
    </row>
    <row r="28" spans="3:13" x14ac:dyDescent="0.3">
      <c r="C28" s="22"/>
      <c r="D28" s="5"/>
      <c r="E28" s="12"/>
      <c r="F28" s="5"/>
      <c r="G28" s="5"/>
      <c r="H28" s="5"/>
      <c r="I28" s="5"/>
      <c r="J28" s="5"/>
      <c r="K28" s="12"/>
      <c r="L28" s="12"/>
      <c r="M28" s="5"/>
    </row>
    <row r="39" spans="3:14" ht="5.0999999999999996" customHeight="1" x14ac:dyDescent="0.3">
      <c r="C39" s="22"/>
      <c r="D39" s="5"/>
      <c r="E39" s="12"/>
      <c r="F39" s="5"/>
      <c r="G39" s="5"/>
      <c r="H39" s="5"/>
      <c r="I39" s="5"/>
      <c r="J39" s="5"/>
      <c r="K39" s="12"/>
      <c r="L39" s="12"/>
      <c r="M39" s="5"/>
    </row>
    <row r="40" spans="3:14" x14ac:dyDescent="0.3">
      <c r="C40" s="187">
        <v>2</v>
      </c>
      <c r="D40" s="346" t="s">
        <v>825</v>
      </c>
      <c r="E40" s="346"/>
      <c r="F40" s="346"/>
      <c r="G40" s="346"/>
      <c r="H40" s="346"/>
      <c r="I40" s="346"/>
      <c r="J40" s="346"/>
      <c r="K40" s="346"/>
      <c r="L40" s="346"/>
      <c r="M40" s="346"/>
      <c r="N40" s="183"/>
    </row>
    <row r="41" spans="3:14" ht="5.0999999999999996" customHeight="1" x14ac:dyDescent="0.3">
      <c r="C41" s="78"/>
      <c r="D41" s="74"/>
      <c r="E41" s="74"/>
      <c r="F41" s="74"/>
      <c r="G41" s="74"/>
      <c r="H41" s="74"/>
      <c r="I41" s="74"/>
      <c r="J41" s="74"/>
      <c r="K41" s="74"/>
      <c r="L41" s="74"/>
      <c r="M41" s="74"/>
    </row>
    <row r="42" spans="3:14" x14ac:dyDescent="0.3">
      <c r="C42" s="78"/>
      <c r="D42" s="344" t="s">
        <v>971</v>
      </c>
      <c r="E42" s="344"/>
      <c r="F42" s="344"/>
      <c r="G42" s="344"/>
      <c r="H42" s="344"/>
      <c r="I42" s="344"/>
      <c r="J42" s="344"/>
      <c r="K42" s="344"/>
      <c r="L42" s="344"/>
      <c r="M42" s="344"/>
    </row>
    <row r="43" spans="3:14" ht="5.0999999999999996" customHeight="1" x14ac:dyDescent="0.3">
      <c r="C43" s="78"/>
      <c r="D43" s="8"/>
      <c r="E43" s="6"/>
      <c r="F43" s="5"/>
      <c r="G43" s="5"/>
      <c r="H43" s="5"/>
      <c r="I43" s="5"/>
      <c r="J43" s="5"/>
      <c r="K43" s="12"/>
      <c r="L43" s="12"/>
      <c r="M43" s="5"/>
    </row>
    <row r="44" spans="3:14" ht="24.75" customHeight="1" x14ac:dyDescent="0.3">
      <c r="C44" s="22"/>
      <c r="D44" s="43" t="s">
        <v>705</v>
      </c>
      <c r="E44" s="43" t="s">
        <v>704</v>
      </c>
      <c r="F44" s="43" t="s">
        <v>703</v>
      </c>
      <c r="G44" s="43" t="s">
        <v>702</v>
      </c>
      <c r="H44" s="43" t="s">
        <v>701</v>
      </c>
      <c r="I44" s="43" t="s">
        <v>700</v>
      </c>
      <c r="J44" s="43" t="s">
        <v>699</v>
      </c>
      <c r="K44" s="44" t="s">
        <v>2428</v>
      </c>
      <c r="L44" s="44" t="s">
        <v>2204</v>
      </c>
      <c r="M44" s="43" t="s">
        <v>698</v>
      </c>
      <c r="N44" s="43" t="s">
        <v>2352</v>
      </c>
    </row>
    <row r="45" spans="3:14" ht="24.95" customHeight="1" x14ac:dyDescent="0.3">
      <c r="C45" s="22"/>
      <c r="D45" s="39" t="s">
        <v>697</v>
      </c>
      <c r="E45" s="41" t="s">
        <v>696</v>
      </c>
      <c r="F45" s="41" t="s">
        <v>826</v>
      </c>
      <c r="G45" s="41" t="s">
        <v>695</v>
      </c>
      <c r="H45" s="41" t="s">
        <v>694</v>
      </c>
      <c r="I45" s="41"/>
      <c r="J45" s="41" t="s">
        <v>1414</v>
      </c>
      <c r="K45" s="41" t="s">
        <v>2430</v>
      </c>
      <c r="L45" s="41" t="s">
        <v>19</v>
      </c>
      <c r="M45" s="41"/>
      <c r="N45" s="41"/>
    </row>
    <row r="46" spans="3:14" ht="24.95" customHeight="1" x14ac:dyDescent="0.3">
      <c r="C46" s="22"/>
      <c r="D46" s="25" t="s">
        <v>693</v>
      </c>
      <c r="E46" s="31" t="s">
        <v>692</v>
      </c>
      <c r="F46" s="31" t="s">
        <v>688</v>
      </c>
      <c r="G46" s="31" t="s">
        <v>89</v>
      </c>
      <c r="H46" s="27" t="s">
        <v>691</v>
      </c>
      <c r="I46" s="31"/>
      <c r="J46" s="27" t="s">
        <v>1414</v>
      </c>
      <c r="K46" s="31" t="s">
        <v>2423</v>
      </c>
      <c r="L46" s="31" t="s">
        <v>19</v>
      </c>
      <c r="M46" s="31"/>
      <c r="N46" s="27"/>
    </row>
    <row r="47" spans="3:14" ht="24.95" customHeight="1" x14ac:dyDescent="0.3">
      <c r="C47" s="22"/>
      <c r="D47" s="25" t="s">
        <v>374</v>
      </c>
      <c r="E47" s="31" t="s">
        <v>690</v>
      </c>
      <c r="F47" s="31" t="s">
        <v>688</v>
      </c>
      <c r="G47" s="31" t="s">
        <v>167</v>
      </c>
      <c r="H47" s="27" t="s">
        <v>678</v>
      </c>
      <c r="I47" s="31"/>
      <c r="J47" s="27" t="s">
        <v>1414</v>
      </c>
      <c r="K47" s="31" t="s">
        <v>2423</v>
      </c>
      <c r="L47" s="31" t="s">
        <v>19</v>
      </c>
      <c r="M47" s="31"/>
      <c r="N47" s="31"/>
    </row>
    <row r="48" spans="3:14" ht="24.95" customHeight="1" x14ac:dyDescent="0.3">
      <c r="D48" s="25" t="s">
        <v>375</v>
      </c>
      <c r="E48" s="31" t="s">
        <v>689</v>
      </c>
      <c r="F48" s="31" t="s">
        <v>688</v>
      </c>
      <c r="G48" s="31" t="s">
        <v>169</v>
      </c>
      <c r="H48" s="27" t="s">
        <v>594</v>
      </c>
      <c r="I48" s="31"/>
      <c r="J48" s="27" t="s">
        <v>1414</v>
      </c>
      <c r="K48" s="31" t="s">
        <v>2423</v>
      </c>
      <c r="L48" s="31" t="s">
        <v>19</v>
      </c>
      <c r="M48" s="31"/>
      <c r="N48" s="31"/>
    </row>
    <row r="49" spans="3:14" ht="24.95" customHeight="1" x14ac:dyDescent="0.3">
      <c r="C49" s="22"/>
      <c r="D49" s="25" t="s">
        <v>376</v>
      </c>
      <c r="E49" s="31" t="s">
        <v>655</v>
      </c>
      <c r="F49" s="31" t="s">
        <v>687</v>
      </c>
      <c r="G49" s="31" t="s">
        <v>22</v>
      </c>
      <c r="H49" s="27" t="s">
        <v>678</v>
      </c>
      <c r="I49" s="31"/>
      <c r="J49" s="27" t="s">
        <v>1414</v>
      </c>
      <c r="K49" s="31" t="s">
        <v>2423</v>
      </c>
      <c r="L49" s="31" t="s">
        <v>19</v>
      </c>
      <c r="M49" s="31"/>
      <c r="N49" s="31"/>
    </row>
    <row r="50" spans="3:14" ht="24.95" customHeight="1" x14ac:dyDescent="0.3">
      <c r="C50" s="22"/>
      <c r="D50" s="25" t="s">
        <v>377</v>
      </c>
      <c r="E50" s="31" t="s">
        <v>686</v>
      </c>
      <c r="F50" s="31" t="s">
        <v>667</v>
      </c>
      <c r="G50" s="31" t="s">
        <v>685</v>
      </c>
      <c r="H50" s="27" t="s">
        <v>594</v>
      </c>
      <c r="I50" s="31"/>
      <c r="J50" s="27" t="s">
        <v>1414</v>
      </c>
      <c r="K50" s="31" t="s">
        <v>2423</v>
      </c>
      <c r="L50" s="31" t="s">
        <v>19</v>
      </c>
      <c r="M50" s="185" t="s">
        <v>2357</v>
      </c>
      <c r="N50" s="51"/>
    </row>
    <row r="51" spans="3:14" ht="24.95" customHeight="1" x14ac:dyDescent="0.3">
      <c r="C51" s="22"/>
      <c r="D51" s="25" t="s">
        <v>378</v>
      </c>
      <c r="E51" s="31" t="s">
        <v>684</v>
      </c>
      <c r="F51" s="31" t="s">
        <v>667</v>
      </c>
      <c r="G51" s="31" t="s">
        <v>40</v>
      </c>
      <c r="H51" s="27" t="s">
        <v>683</v>
      </c>
      <c r="I51" s="31"/>
      <c r="J51" s="27" t="s">
        <v>1414</v>
      </c>
      <c r="K51" s="31" t="s">
        <v>2423</v>
      </c>
      <c r="L51" s="31" t="s">
        <v>19</v>
      </c>
      <c r="M51" s="31"/>
      <c r="N51" s="51"/>
    </row>
    <row r="52" spans="3:14" ht="24.95" customHeight="1" x14ac:dyDescent="0.3">
      <c r="C52" s="22"/>
      <c r="D52" s="25" t="s">
        <v>379</v>
      </c>
      <c r="E52" s="31" t="s">
        <v>682</v>
      </c>
      <c r="F52" s="31" t="s">
        <v>667</v>
      </c>
      <c r="G52" s="31" t="s">
        <v>681</v>
      </c>
      <c r="H52" s="27" t="s">
        <v>594</v>
      </c>
      <c r="I52" s="31"/>
      <c r="J52" s="27" t="s">
        <v>1414</v>
      </c>
      <c r="K52" s="31" t="s">
        <v>2423</v>
      </c>
      <c r="L52" s="31" t="s">
        <v>19</v>
      </c>
      <c r="M52" s="168"/>
      <c r="N52" s="51"/>
    </row>
    <row r="53" spans="3:14" ht="24.95" customHeight="1" x14ac:dyDescent="0.3">
      <c r="C53" s="22"/>
      <c r="D53" s="25" t="s">
        <v>380</v>
      </c>
      <c r="E53" s="31" t="s">
        <v>680</v>
      </c>
      <c r="F53" s="31" t="s">
        <v>667</v>
      </c>
      <c r="G53" s="31" t="s">
        <v>679</v>
      </c>
      <c r="H53" s="27" t="s">
        <v>678</v>
      </c>
      <c r="I53" s="31"/>
      <c r="J53" s="27" t="s">
        <v>1414</v>
      </c>
      <c r="K53" s="31" t="s">
        <v>2423</v>
      </c>
      <c r="L53" s="31" t="s">
        <v>19</v>
      </c>
      <c r="M53" s="185" t="s">
        <v>2358</v>
      </c>
      <c r="N53" s="51"/>
    </row>
    <row r="54" spans="3:14" ht="24.95" customHeight="1" x14ac:dyDescent="0.3">
      <c r="C54" s="22"/>
      <c r="D54" s="25" t="s">
        <v>381</v>
      </c>
      <c r="E54" s="31" t="s">
        <v>677</v>
      </c>
      <c r="F54" s="31" t="s">
        <v>667</v>
      </c>
      <c r="G54" s="31" t="s">
        <v>665</v>
      </c>
      <c r="H54" s="27" t="s">
        <v>673</v>
      </c>
      <c r="I54" s="31"/>
      <c r="J54" s="27" t="s">
        <v>1414</v>
      </c>
      <c r="K54" s="31" t="s">
        <v>2423</v>
      </c>
      <c r="L54" s="31" t="s">
        <v>19</v>
      </c>
      <c r="M54" s="31"/>
      <c r="N54" s="51"/>
    </row>
    <row r="55" spans="3:14" ht="24.95" customHeight="1" x14ac:dyDescent="0.3">
      <c r="C55" s="22"/>
      <c r="D55" s="25" t="s">
        <v>382</v>
      </c>
      <c r="E55" s="31" t="s">
        <v>676</v>
      </c>
      <c r="F55" s="31" t="s">
        <v>671</v>
      </c>
      <c r="G55" s="31" t="s">
        <v>670</v>
      </c>
      <c r="H55" s="27" t="s">
        <v>675</v>
      </c>
      <c r="I55" s="31"/>
      <c r="J55" s="27" t="s">
        <v>1414</v>
      </c>
      <c r="K55" s="31" t="s">
        <v>2423</v>
      </c>
      <c r="L55" s="31" t="s">
        <v>19</v>
      </c>
      <c r="M55" s="31"/>
      <c r="N55" s="50"/>
    </row>
    <row r="56" spans="3:14" ht="24.95" customHeight="1" x14ac:dyDescent="0.3">
      <c r="C56" s="12"/>
      <c r="D56" s="25" t="s">
        <v>383</v>
      </c>
      <c r="E56" s="31" t="s">
        <v>674</v>
      </c>
      <c r="F56" s="31" t="s">
        <v>667</v>
      </c>
      <c r="G56" s="31" t="s">
        <v>51</v>
      </c>
      <c r="H56" s="27" t="s">
        <v>673</v>
      </c>
      <c r="I56" s="31"/>
      <c r="J56" s="27" t="s">
        <v>1414</v>
      </c>
      <c r="K56" s="31" t="s">
        <v>2423</v>
      </c>
      <c r="L56" s="31" t="s">
        <v>19</v>
      </c>
      <c r="M56" s="31"/>
      <c r="N56" s="51"/>
    </row>
    <row r="57" spans="3:14" ht="24.95" customHeight="1" x14ac:dyDescent="0.3">
      <c r="C57" s="12"/>
      <c r="D57" s="25" t="s">
        <v>384</v>
      </c>
      <c r="E57" s="31" t="s">
        <v>672</v>
      </c>
      <c r="F57" s="31" t="s">
        <v>671</v>
      </c>
      <c r="G57" s="31" t="s">
        <v>670</v>
      </c>
      <c r="H57" s="27" t="s">
        <v>669</v>
      </c>
      <c r="I57" s="31"/>
      <c r="J57" s="27" t="s">
        <v>1414</v>
      </c>
      <c r="K57" s="31" t="s">
        <v>2423</v>
      </c>
      <c r="L57" s="31" t="s">
        <v>19</v>
      </c>
      <c r="M57" s="31"/>
      <c r="N57" s="51"/>
    </row>
    <row r="58" spans="3:14" ht="30.75" customHeight="1" x14ac:dyDescent="0.3">
      <c r="C58" s="12"/>
      <c r="D58" s="33" t="s">
        <v>385</v>
      </c>
      <c r="E58" s="36" t="s">
        <v>668</v>
      </c>
      <c r="F58" s="36" t="s">
        <v>667</v>
      </c>
      <c r="G58" s="36" t="s">
        <v>270</v>
      </c>
      <c r="H58" s="35" t="s">
        <v>666</v>
      </c>
      <c r="I58" s="36"/>
      <c r="J58" s="35" t="s">
        <v>1414</v>
      </c>
      <c r="K58" s="36" t="s">
        <v>2431</v>
      </c>
      <c r="L58" s="36" t="s">
        <v>19</v>
      </c>
      <c r="M58" s="201" t="s">
        <v>2420</v>
      </c>
      <c r="N58" s="184"/>
    </row>
    <row r="59" spans="3:14" x14ac:dyDescent="0.3">
      <c r="C59" s="12"/>
      <c r="J59" s="220" t="s">
        <v>2513</v>
      </c>
      <c r="K59" s="221">
        <v>0</v>
      </c>
    </row>
    <row r="60" spans="3:14" x14ac:dyDescent="0.3">
      <c r="C60" s="187">
        <v>3</v>
      </c>
      <c r="D60" s="335" t="s">
        <v>863</v>
      </c>
      <c r="E60" s="335"/>
      <c r="F60" s="335"/>
      <c r="G60" s="335"/>
      <c r="H60" s="335"/>
      <c r="I60" s="335"/>
      <c r="J60" s="335"/>
      <c r="K60" s="335"/>
      <c r="L60" s="335"/>
      <c r="M60" s="335"/>
      <c r="N60" s="183"/>
    </row>
    <row r="61" spans="3:14" x14ac:dyDescent="0.3">
      <c r="C61" s="12"/>
      <c r="D61" s="75" t="s">
        <v>837</v>
      </c>
    </row>
    <row r="62" spans="3:14" x14ac:dyDescent="0.3">
      <c r="C62" s="12"/>
      <c r="D62" s="76" t="s">
        <v>838</v>
      </c>
    </row>
    <row r="63" spans="3:14" x14ac:dyDescent="0.3">
      <c r="C63" s="12"/>
      <c r="D63" s="76" t="s">
        <v>866</v>
      </c>
    </row>
    <row r="64" spans="3:14" x14ac:dyDescent="0.3">
      <c r="C64" s="12"/>
      <c r="D64" s="76" t="s">
        <v>845</v>
      </c>
    </row>
    <row r="65" spans="3:4" x14ac:dyDescent="0.3">
      <c r="C65" s="12"/>
      <c r="D65" s="76" t="s">
        <v>867</v>
      </c>
    </row>
    <row r="66" spans="3:4" x14ac:dyDescent="0.3">
      <c r="C66" s="12"/>
      <c r="D66" s="75" t="s">
        <v>859</v>
      </c>
    </row>
    <row r="67" spans="3:4" x14ac:dyDescent="0.3">
      <c r="C67" s="12"/>
      <c r="D67" s="76" t="s">
        <v>868</v>
      </c>
    </row>
    <row r="68" spans="3:4" x14ac:dyDescent="0.3">
      <c r="D68" s="75" t="s">
        <v>860</v>
      </c>
    </row>
    <row r="69" spans="3:4" x14ac:dyDescent="0.3">
      <c r="D69" s="76" t="s">
        <v>861</v>
      </c>
    </row>
    <row r="70" spans="3:4" x14ac:dyDescent="0.3">
      <c r="D70" s="76" t="s">
        <v>869</v>
      </c>
    </row>
    <row r="73" spans="3:4" x14ac:dyDescent="0.3">
      <c r="D73" s="75" t="s">
        <v>837</v>
      </c>
    </row>
    <row r="74" spans="3:4" x14ac:dyDescent="0.3">
      <c r="D74" s="76" t="s">
        <v>870</v>
      </c>
    </row>
    <row r="75" spans="3:4" x14ac:dyDescent="0.3">
      <c r="D75" s="76" t="s">
        <v>871</v>
      </c>
    </row>
    <row r="76" spans="3:4" x14ac:dyDescent="0.3">
      <c r="D76" s="76" t="s">
        <v>838</v>
      </c>
    </row>
    <row r="77" spans="3:4" x14ac:dyDescent="0.3">
      <c r="D77" s="76" t="s">
        <v>866</v>
      </c>
    </row>
    <row r="78" spans="3:4" x14ac:dyDescent="0.3">
      <c r="D78" s="76" t="s">
        <v>872</v>
      </c>
    </row>
    <row r="79" spans="3:4" x14ac:dyDescent="0.3">
      <c r="D79" s="76" t="s">
        <v>873</v>
      </c>
    </row>
    <row r="80" spans="3:4" x14ac:dyDescent="0.3">
      <c r="D80" s="76" t="s">
        <v>874</v>
      </c>
    </row>
    <row r="81" spans="4:4" x14ac:dyDescent="0.3">
      <c r="D81" s="76" t="s">
        <v>849</v>
      </c>
    </row>
    <row r="82" spans="4:4" x14ac:dyDescent="0.3">
      <c r="D82" s="76" t="s">
        <v>875</v>
      </c>
    </row>
    <row r="83" spans="4:4" x14ac:dyDescent="0.3">
      <c r="D83" s="76" t="s">
        <v>876</v>
      </c>
    </row>
    <row r="84" spans="4:4" x14ac:dyDescent="0.3">
      <c r="D84" s="76" t="s">
        <v>846</v>
      </c>
    </row>
    <row r="85" spans="4:4" x14ac:dyDescent="0.3">
      <c r="D85" s="76" t="s">
        <v>850</v>
      </c>
    </row>
    <row r="86" spans="4:4" x14ac:dyDescent="0.3">
      <c r="D86" s="76" t="s">
        <v>851</v>
      </c>
    </row>
    <row r="87" spans="4:4" x14ac:dyDescent="0.3">
      <c r="D87" s="76" t="s">
        <v>877</v>
      </c>
    </row>
    <row r="88" spans="4:4" x14ac:dyDescent="0.3">
      <c r="D88" s="76" t="s">
        <v>852</v>
      </c>
    </row>
    <row r="89" spans="4:4" x14ac:dyDescent="0.3">
      <c r="D89" s="76" t="s">
        <v>853</v>
      </c>
    </row>
    <row r="90" spans="4:4" x14ac:dyDescent="0.3">
      <c r="D90" s="76" t="s">
        <v>878</v>
      </c>
    </row>
    <row r="91" spans="4:4" x14ac:dyDescent="0.3">
      <c r="D91" s="76" t="s">
        <v>879</v>
      </c>
    </row>
    <row r="92" spans="4:4" x14ac:dyDescent="0.3">
      <c r="D92" s="76" t="s">
        <v>880</v>
      </c>
    </row>
    <row r="93" spans="4:4" x14ac:dyDescent="0.3">
      <c r="D93" s="75" t="s">
        <v>859</v>
      </c>
    </row>
    <row r="94" spans="4:4" x14ac:dyDescent="0.3">
      <c r="D94" s="76" t="s">
        <v>840</v>
      </c>
    </row>
    <row r="95" spans="4:4" x14ac:dyDescent="0.3">
      <c r="D95" s="76" t="s">
        <v>841</v>
      </c>
    </row>
    <row r="96" spans="4:4" x14ac:dyDescent="0.3">
      <c r="D96" s="76" t="s">
        <v>881</v>
      </c>
    </row>
    <row r="97" spans="4:4" x14ac:dyDescent="0.3">
      <c r="D97" s="76" t="s">
        <v>882</v>
      </c>
    </row>
    <row r="98" spans="4:4" x14ac:dyDescent="0.3">
      <c r="D98" s="76" t="s">
        <v>883</v>
      </c>
    </row>
    <row r="99" spans="4:4" x14ac:dyDescent="0.3">
      <c r="D99" s="76" t="s">
        <v>884</v>
      </c>
    </row>
    <row r="100" spans="4:4" x14ac:dyDescent="0.3">
      <c r="D100" s="76" t="s">
        <v>885</v>
      </c>
    </row>
    <row r="101" spans="4:4" x14ac:dyDescent="0.3">
      <c r="D101" s="76" t="s">
        <v>886</v>
      </c>
    </row>
    <row r="102" spans="4:4" x14ac:dyDescent="0.3">
      <c r="D102" s="76" t="s">
        <v>887</v>
      </c>
    </row>
    <row r="103" spans="4:4" x14ac:dyDescent="0.3">
      <c r="D103" s="76" t="s">
        <v>888</v>
      </c>
    </row>
    <row r="104" spans="4:4" x14ac:dyDescent="0.3">
      <c r="D104" s="76" t="s">
        <v>889</v>
      </c>
    </row>
    <row r="105" spans="4:4" x14ac:dyDescent="0.3">
      <c r="D105" s="76" t="s">
        <v>890</v>
      </c>
    </row>
    <row r="106" spans="4:4" x14ac:dyDescent="0.3">
      <c r="D106" s="76" t="s">
        <v>891</v>
      </c>
    </row>
    <row r="107" spans="4:4" x14ac:dyDescent="0.3">
      <c r="D107" s="76" t="s">
        <v>892</v>
      </c>
    </row>
    <row r="108" spans="4:4" x14ac:dyDescent="0.3">
      <c r="D108" s="76" t="s">
        <v>893</v>
      </c>
    </row>
    <row r="109" spans="4:4" x14ac:dyDescent="0.3">
      <c r="D109" s="76" t="s">
        <v>894</v>
      </c>
    </row>
    <row r="110" spans="4:4" x14ac:dyDescent="0.3">
      <c r="D110" s="76" t="s">
        <v>895</v>
      </c>
    </row>
    <row r="111" spans="4:4" x14ac:dyDescent="0.3">
      <c r="D111" s="76" t="s">
        <v>896</v>
      </c>
    </row>
    <row r="112" spans="4:4" x14ac:dyDescent="0.3">
      <c r="D112" s="76" t="s">
        <v>897</v>
      </c>
    </row>
    <row r="113" spans="4:4" x14ac:dyDescent="0.3">
      <c r="D113" s="76" t="s">
        <v>898</v>
      </c>
    </row>
    <row r="114" spans="4:4" x14ac:dyDescent="0.3">
      <c r="D114" s="76" t="s">
        <v>899</v>
      </c>
    </row>
    <row r="115" spans="4:4" x14ac:dyDescent="0.3">
      <c r="D115" s="76" t="s">
        <v>900</v>
      </c>
    </row>
    <row r="116" spans="4:4" x14ac:dyDescent="0.3">
      <c r="D116" s="76" t="s">
        <v>842</v>
      </c>
    </row>
    <row r="117" spans="4:4" x14ac:dyDescent="0.3">
      <c r="D117" s="76" t="s">
        <v>901</v>
      </c>
    </row>
    <row r="118" spans="4:4" x14ac:dyDescent="0.3">
      <c r="D118" s="76" t="s">
        <v>902</v>
      </c>
    </row>
    <row r="119" spans="4:4" x14ac:dyDescent="0.3">
      <c r="D119" s="76" t="s">
        <v>843</v>
      </c>
    </row>
    <row r="120" spans="4:4" x14ac:dyDescent="0.3">
      <c r="D120" s="76" t="s">
        <v>903</v>
      </c>
    </row>
    <row r="121" spans="4:4" x14ac:dyDescent="0.3">
      <c r="D121" s="76" t="s">
        <v>904</v>
      </c>
    </row>
    <row r="122" spans="4:4" x14ac:dyDescent="0.3">
      <c r="D122" s="76" t="s">
        <v>905</v>
      </c>
    </row>
    <row r="123" spans="4:4" x14ac:dyDescent="0.3">
      <c r="D123" s="76" t="s">
        <v>906</v>
      </c>
    </row>
    <row r="124" spans="4:4" x14ac:dyDescent="0.3">
      <c r="D124" s="76" t="s">
        <v>907</v>
      </c>
    </row>
    <row r="125" spans="4:4" x14ac:dyDescent="0.3">
      <c r="D125" s="76" t="s">
        <v>908</v>
      </c>
    </row>
    <row r="126" spans="4:4" x14ac:dyDescent="0.3">
      <c r="D126" s="75" t="s">
        <v>860</v>
      </c>
    </row>
    <row r="127" spans="4:4" x14ac:dyDescent="0.3">
      <c r="D127" s="76" t="s">
        <v>861</v>
      </c>
    </row>
    <row r="128" spans="4:4" x14ac:dyDescent="0.3">
      <c r="D128" s="76" t="s">
        <v>909</v>
      </c>
    </row>
    <row r="129" spans="3:14" x14ac:dyDescent="0.3">
      <c r="D129" s="75" t="s">
        <v>910</v>
      </c>
    </row>
    <row r="130" spans="3:14" x14ac:dyDescent="0.3">
      <c r="D130" s="76" t="s">
        <v>911</v>
      </c>
    </row>
    <row r="131" spans="3:14" x14ac:dyDescent="0.3">
      <c r="D131" s="76" t="s">
        <v>912</v>
      </c>
    </row>
    <row r="133" spans="3:14" x14ac:dyDescent="0.3">
      <c r="C133" s="187">
        <v>4</v>
      </c>
      <c r="D133" s="335" t="s">
        <v>2217</v>
      </c>
      <c r="E133" s="335"/>
      <c r="F133" s="335"/>
      <c r="G133" s="335"/>
      <c r="H133" s="335"/>
      <c r="I133" s="335"/>
      <c r="J133" s="335"/>
      <c r="K133" s="335"/>
      <c r="L133" s="335"/>
      <c r="M133" s="335"/>
    </row>
    <row r="135" spans="3:14" x14ac:dyDescent="0.3">
      <c r="D135" s="75"/>
    </row>
    <row r="136" spans="3:14" x14ac:dyDescent="0.3">
      <c r="C136" s="187">
        <v>5</v>
      </c>
      <c r="D136" s="335" t="s">
        <v>2381</v>
      </c>
      <c r="E136" s="335"/>
      <c r="F136" s="335"/>
      <c r="G136" s="335"/>
      <c r="H136" s="335"/>
      <c r="I136" s="335"/>
      <c r="J136" s="335"/>
      <c r="K136" s="335"/>
      <c r="L136" s="335"/>
      <c r="M136" s="335"/>
      <c r="N136" s="183"/>
    </row>
    <row r="137" spans="3:14" x14ac:dyDescent="0.3">
      <c r="C137" s="193" t="s">
        <v>2384</v>
      </c>
      <c r="D137" s="345" t="s">
        <v>2383</v>
      </c>
      <c r="E137" s="345"/>
      <c r="F137" s="345"/>
      <c r="G137" s="345"/>
      <c r="H137" s="345"/>
      <c r="I137" s="345"/>
      <c r="J137" s="345"/>
      <c r="K137" s="345"/>
      <c r="L137" s="345"/>
      <c r="M137" s="345"/>
    </row>
    <row r="138" spans="3:14" x14ac:dyDescent="0.3">
      <c r="C138" s="193" t="s">
        <v>2387</v>
      </c>
      <c r="D138" s="345" t="s">
        <v>2386</v>
      </c>
      <c r="E138" s="345"/>
      <c r="F138" s="345"/>
      <c r="G138" s="345"/>
      <c r="H138" s="345"/>
      <c r="I138" s="345"/>
      <c r="J138" s="345"/>
      <c r="K138" s="345"/>
      <c r="L138" s="345"/>
      <c r="M138" s="345"/>
    </row>
    <row r="139" spans="3:14" x14ac:dyDescent="0.3">
      <c r="C139" s="193" t="s">
        <v>2388</v>
      </c>
      <c r="D139" s="345" t="s">
        <v>2389</v>
      </c>
      <c r="E139" s="345"/>
      <c r="F139" s="345"/>
      <c r="G139" s="345"/>
      <c r="H139" s="345"/>
      <c r="I139" s="345"/>
      <c r="J139" s="345"/>
      <c r="K139" s="345"/>
      <c r="L139" s="345"/>
      <c r="M139" s="345"/>
    </row>
    <row r="140" spans="3:14" x14ac:dyDescent="0.3">
      <c r="D140" s="76"/>
    </row>
    <row r="141" spans="3:14" x14ac:dyDescent="0.3">
      <c r="D141" s="76"/>
    </row>
    <row r="142" spans="3:14" x14ac:dyDescent="0.3">
      <c r="D142" s="76"/>
    </row>
    <row r="143" spans="3:14" x14ac:dyDescent="0.3">
      <c r="D143" s="76"/>
    </row>
    <row r="144" spans="3:14" x14ac:dyDescent="0.3">
      <c r="D144" s="76"/>
    </row>
    <row r="145" spans="4:4" x14ac:dyDescent="0.3">
      <c r="D145" s="76"/>
    </row>
    <row r="146" spans="4:4" x14ac:dyDescent="0.3">
      <c r="D146" s="76"/>
    </row>
    <row r="147" spans="4:4" x14ac:dyDescent="0.3">
      <c r="D147" s="76"/>
    </row>
    <row r="148" spans="4:4" x14ac:dyDescent="0.3">
      <c r="D148" s="76"/>
    </row>
    <row r="149" spans="4:4" x14ac:dyDescent="0.3">
      <c r="D149" s="76"/>
    </row>
    <row r="150" spans="4:4" x14ac:dyDescent="0.3">
      <c r="D150" s="76"/>
    </row>
    <row r="151" spans="4:4" x14ac:dyDescent="0.3">
      <c r="D151" s="76"/>
    </row>
    <row r="152" spans="4:4" x14ac:dyDescent="0.3">
      <c r="D152" s="76"/>
    </row>
    <row r="153" spans="4:4" x14ac:dyDescent="0.3">
      <c r="D153" s="76"/>
    </row>
    <row r="154" spans="4:4" x14ac:dyDescent="0.3">
      <c r="D154" s="76"/>
    </row>
    <row r="155" spans="4:4" x14ac:dyDescent="0.3">
      <c r="D155" s="75"/>
    </row>
    <row r="156" spans="4:4" x14ac:dyDescent="0.3">
      <c r="D156" s="76"/>
    </row>
    <row r="157" spans="4:4" x14ac:dyDescent="0.3">
      <c r="D157" s="76"/>
    </row>
    <row r="158" spans="4:4" x14ac:dyDescent="0.3">
      <c r="D158" s="76"/>
    </row>
    <row r="159" spans="4:4" x14ac:dyDescent="0.3">
      <c r="D159" s="76"/>
    </row>
    <row r="160" spans="4:4" x14ac:dyDescent="0.3">
      <c r="D160" s="76"/>
    </row>
    <row r="161" spans="4:4" x14ac:dyDescent="0.3">
      <c r="D161" s="76"/>
    </row>
    <row r="162" spans="4:4" x14ac:dyDescent="0.3">
      <c r="D162" s="76"/>
    </row>
    <row r="163" spans="4:4" x14ac:dyDescent="0.3">
      <c r="D163" s="76"/>
    </row>
    <row r="164" spans="4:4" x14ac:dyDescent="0.3">
      <c r="D164" s="76"/>
    </row>
    <row r="165" spans="4:4" x14ac:dyDescent="0.3">
      <c r="D165" s="76"/>
    </row>
    <row r="166" spans="4:4" x14ac:dyDescent="0.3">
      <c r="D166" s="76"/>
    </row>
    <row r="167" spans="4:4" x14ac:dyDescent="0.3">
      <c r="D167" s="76"/>
    </row>
    <row r="168" spans="4:4" x14ac:dyDescent="0.3">
      <c r="D168" s="76"/>
    </row>
    <row r="169" spans="4:4" x14ac:dyDescent="0.3">
      <c r="D169" s="76"/>
    </row>
    <row r="170" spans="4:4" x14ac:dyDescent="0.3">
      <c r="D170" s="76"/>
    </row>
    <row r="171" spans="4:4" x14ac:dyDescent="0.3">
      <c r="D171" s="76"/>
    </row>
    <row r="172" spans="4:4" x14ac:dyDescent="0.3">
      <c r="D172" s="76"/>
    </row>
    <row r="173" spans="4:4" x14ac:dyDescent="0.3">
      <c r="D173" s="76"/>
    </row>
    <row r="174" spans="4:4" x14ac:dyDescent="0.3">
      <c r="D174" s="76"/>
    </row>
    <row r="175" spans="4:4" x14ac:dyDescent="0.3">
      <c r="D175" s="76"/>
    </row>
    <row r="176" spans="4:4" x14ac:dyDescent="0.3">
      <c r="D176" s="76"/>
    </row>
    <row r="177" spans="4:4" x14ac:dyDescent="0.3">
      <c r="D177" s="76"/>
    </row>
    <row r="178" spans="4:4" x14ac:dyDescent="0.3">
      <c r="D178" s="76"/>
    </row>
    <row r="179" spans="4:4" x14ac:dyDescent="0.3">
      <c r="D179" s="76"/>
    </row>
    <row r="180" spans="4:4" x14ac:dyDescent="0.3">
      <c r="D180" s="76"/>
    </row>
    <row r="181" spans="4:4" x14ac:dyDescent="0.3">
      <c r="D181" s="76"/>
    </row>
    <row r="182" spans="4:4" x14ac:dyDescent="0.3">
      <c r="D182" s="76"/>
    </row>
    <row r="183" spans="4:4" x14ac:dyDescent="0.3">
      <c r="D183" s="76"/>
    </row>
    <row r="184" spans="4:4" x14ac:dyDescent="0.3">
      <c r="D184" s="76"/>
    </row>
    <row r="185" spans="4:4" x14ac:dyDescent="0.3">
      <c r="D185" s="76"/>
    </row>
    <row r="186" spans="4:4" x14ac:dyDescent="0.3">
      <c r="D186" s="76"/>
    </row>
    <row r="187" spans="4:4" x14ac:dyDescent="0.3">
      <c r="D187" s="76"/>
    </row>
    <row r="188" spans="4:4" x14ac:dyDescent="0.3">
      <c r="D188" s="75"/>
    </row>
    <row r="189" spans="4:4" x14ac:dyDescent="0.3">
      <c r="D189" s="76"/>
    </row>
    <row r="190" spans="4:4" x14ac:dyDescent="0.3">
      <c r="D190" s="76"/>
    </row>
    <row r="191" spans="4:4" x14ac:dyDescent="0.3">
      <c r="D191" s="75"/>
    </row>
    <row r="192" spans="4:4" x14ac:dyDescent="0.3">
      <c r="D192" s="76"/>
    </row>
    <row r="193" spans="4:4" x14ac:dyDescent="0.3">
      <c r="D193" s="76"/>
    </row>
  </sheetData>
  <mergeCells count="10">
    <mergeCell ref="B2:M2"/>
    <mergeCell ref="D40:M40"/>
    <mergeCell ref="D6:M6"/>
    <mergeCell ref="D42:M42"/>
    <mergeCell ref="D60:M60"/>
    <mergeCell ref="D136:M136"/>
    <mergeCell ref="D137:M137"/>
    <mergeCell ref="D138:M138"/>
    <mergeCell ref="D139:M139"/>
    <mergeCell ref="D133:M13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GridLines="0" topLeftCell="C138" zoomScale="85" zoomScaleNormal="85" workbookViewId="0">
      <selection activeCell="E142" sqref="E139:E142"/>
    </sheetView>
  </sheetViews>
  <sheetFormatPr defaultRowHeight="16.5" x14ac:dyDescent="0.3"/>
  <cols>
    <col min="1" max="1" width="2.125" customWidth="1"/>
    <col min="2" max="2" width="2.25" customWidth="1"/>
    <col min="3" max="3" width="13.125" style="1" bestFit="1" customWidth="1"/>
    <col min="4" max="4" width="7.375" bestFit="1" customWidth="1"/>
    <col min="5" max="5" width="22.5" style="1" bestFit="1" customWidth="1"/>
    <col min="6" max="6" width="12.125" bestFit="1" customWidth="1"/>
    <col min="7" max="7" width="25.125" bestFit="1" customWidth="1"/>
    <col min="8" max="8" width="16" bestFit="1" customWidth="1"/>
    <col min="9" max="9" width="8.375" bestFit="1" customWidth="1"/>
    <col min="10" max="10" width="10" style="1" bestFit="1" customWidth="1"/>
    <col min="11" max="11" width="18.125" bestFit="1" customWidth="1"/>
    <col min="12" max="12" width="17.875" bestFit="1" customWidth="1"/>
    <col min="13" max="13" width="37.25" style="21" bestFit="1" customWidth="1"/>
    <col min="14" max="14" width="28.125" bestFit="1" customWidth="1"/>
  </cols>
  <sheetData>
    <row r="1" spans="1:14" ht="5.0999999999999996" customHeight="1" x14ac:dyDescent="0.3"/>
    <row r="2" spans="1:14" ht="24.95" customHeight="1" x14ac:dyDescent="0.3">
      <c r="A2" s="3" t="s">
        <v>5</v>
      </c>
      <c r="B2" s="341" t="s">
        <v>17</v>
      </c>
      <c r="C2" s="341"/>
      <c r="D2" s="341"/>
      <c r="E2" s="341"/>
      <c r="F2" s="341"/>
      <c r="G2" s="341"/>
      <c r="H2" s="341"/>
      <c r="I2" s="341"/>
      <c r="J2" s="341"/>
      <c r="K2" s="341"/>
      <c r="L2" s="160"/>
    </row>
    <row r="3" spans="1:14" ht="5.0999999999999996" customHeight="1" x14ac:dyDescent="0.3"/>
    <row r="4" spans="1:14" x14ac:dyDescent="0.3">
      <c r="B4" s="11" t="s">
        <v>12</v>
      </c>
      <c r="C4" s="77" t="s">
        <v>13</v>
      </c>
      <c r="D4" s="342" t="s">
        <v>1687</v>
      </c>
      <c r="E4" s="342"/>
      <c r="F4" s="342"/>
      <c r="G4" s="342"/>
      <c r="H4" s="342"/>
      <c r="I4" s="342"/>
      <c r="J4" s="342"/>
      <c r="K4" s="342"/>
      <c r="L4" s="342"/>
      <c r="M4" s="342"/>
    </row>
    <row r="5" spans="1:14" ht="5.0999999999999996" customHeight="1" x14ac:dyDescent="0.3"/>
    <row r="6" spans="1:14" ht="15.95" customHeight="1" x14ac:dyDescent="0.3">
      <c r="C6" s="81">
        <v>1</v>
      </c>
      <c r="D6" s="343" t="s">
        <v>11</v>
      </c>
      <c r="E6" s="343"/>
      <c r="F6" s="343"/>
      <c r="G6" s="343"/>
      <c r="H6" s="343"/>
      <c r="I6" s="343"/>
      <c r="J6" s="343"/>
      <c r="K6" s="343"/>
      <c r="L6" s="343"/>
      <c r="M6" s="343"/>
      <c r="N6" s="183"/>
    </row>
    <row r="7" spans="1:14" ht="5.0999999999999996" customHeight="1" x14ac:dyDescent="0.3">
      <c r="C7" s="22"/>
      <c r="D7" s="5"/>
      <c r="E7" s="12"/>
      <c r="F7" s="5"/>
      <c r="G7" s="5"/>
      <c r="H7" s="5"/>
      <c r="I7" s="5"/>
      <c r="J7" s="12"/>
      <c r="K7" s="5"/>
      <c r="L7" s="5"/>
    </row>
    <row r="8" spans="1:14" x14ac:dyDescent="0.3">
      <c r="C8" s="22"/>
      <c r="D8" s="7"/>
      <c r="E8" s="13"/>
      <c r="F8" s="7"/>
      <c r="G8" s="7"/>
      <c r="H8" s="13"/>
      <c r="I8" s="13"/>
      <c r="J8" s="13"/>
      <c r="K8" s="7"/>
      <c r="L8" s="7"/>
    </row>
    <row r="9" spans="1:14" ht="15.75" customHeight="1" x14ac:dyDescent="0.3">
      <c r="C9" s="22"/>
      <c r="D9" s="7"/>
      <c r="E9" s="13"/>
      <c r="F9" s="7"/>
      <c r="G9" s="7"/>
      <c r="H9" s="13"/>
      <c r="I9" s="14"/>
      <c r="J9" s="13"/>
      <c r="K9" s="7"/>
      <c r="L9" s="7"/>
    </row>
    <row r="10" spans="1:14" ht="15.75" customHeight="1" x14ac:dyDescent="0.3">
      <c r="C10" s="22"/>
      <c r="D10" s="7"/>
      <c r="E10" s="13"/>
      <c r="F10" s="7"/>
      <c r="G10" s="7"/>
      <c r="H10" s="13"/>
      <c r="I10" s="14"/>
      <c r="J10" s="13"/>
      <c r="K10" s="7"/>
      <c r="L10" s="7"/>
    </row>
    <row r="11" spans="1:14" ht="15.75" customHeight="1" x14ac:dyDescent="0.3">
      <c r="C11" s="22"/>
      <c r="D11" s="7"/>
      <c r="E11" s="13"/>
      <c r="F11" s="7"/>
      <c r="G11" s="7"/>
      <c r="H11" s="13"/>
      <c r="I11" s="14"/>
      <c r="J11" s="13"/>
      <c r="K11" s="7"/>
      <c r="L11" s="7"/>
    </row>
    <row r="12" spans="1:14" ht="15.75" customHeight="1" x14ac:dyDescent="0.3">
      <c r="C12" s="22"/>
      <c r="D12" s="7"/>
      <c r="E12" s="13"/>
      <c r="F12" s="7"/>
      <c r="G12" s="7"/>
      <c r="H12" s="13"/>
      <c r="I12" s="14"/>
      <c r="J12" s="13"/>
      <c r="K12" s="7"/>
      <c r="L12" s="7"/>
    </row>
    <row r="13" spans="1:14" ht="15.75" customHeight="1" x14ac:dyDescent="0.3">
      <c r="C13" s="22"/>
      <c r="D13" s="7"/>
      <c r="E13" s="13"/>
      <c r="F13" s="7"/>
      <c r="G13" s="7"/>
      <c r="H13" s="13"/>
      <c r="I13" s="14"/>
      <c r="J13" s="13"/>
      <c r="K13" s="7"/>
      <c r="L13" s="7"/>
    </row>
    <row r="14" spans="1:14" ht="15.75" customHeight="1" x14ac:dyDescent="0.3">
      <c r="C14" s="22"/>
      <c r="D14" s="7"/>
      <c r="E14" s="13"/>
      <c r="F14" s="7"/>
      <c r="G14" s="7"/>
      <c r="H14" s="13"/>
      <c r="I14" s="14"/>
      <c r="J14" s="13"/>
      <c r="K14" s="7"/>
      <c r="L14" s="7"/>
    </row>
    <row r="15" spans="1:14" ht="15.75" customHeight="1" x14ac:dyDescent="0.3">
      <c r="C15" s="22"/>
      <c r="D15" s="7"/>
      <c r="E15" s="13"/>
      <c r="F15" s="7"/>
      <c r="G15" s="7"/>
      <c r="H15" s="13"/>
      <c r="I15" s="14"/>
      <c r="J15" s="13"/>
      <c r="K15" s="7"/>
      <c r="L15" s="7"/>
    </row>
    <row r="16" spans="1:14" x14ac:dyDescent="0.3">
      <c r="C16" s="22"/>
      <c r="D16" s="7"/>
      <c r="E16" s="13"/>
      <c r="F16" s="7"/>
      <c r="G16" s="7"/>
      <c r="H16" s="13"/>
      <c r="I16" s="14"/>
      <c r="J16" s="13"/>
      <c r="K16" s="7"/>
      <c r="L16" s="7"/>
    </row>
    <row r="17" spans="3:12" x14ac:dyDescent="0.3">
      <c r="C17" s="22"/>
      <c r="D17" s="7"/>
      <c r="E17" s="13"/>
      <c r="F17" s="7"/>
      <c r="G17" s="7"/>
      <c r="H17" s="13"/>
      <c r="I17" s="14"/>
      <c r="J17" s="13"/>
      <c r="K17" s="7"/>
      <c r="L17" s="7"/>
    </row>
    <row r="18" spans="3:12" x14ac:dyDescent="0.3">
      <c r="C18" s="22"/>
      <c r="D18" s="7"/>
      <c r="E18" s="13"/>
      <c r="F18" s="7"/>
      <c r="G18" s="7"/>
      <c r="H18" s="13"/>
      <c r="I18" s="14"/>
      <c r="J18" s="13"/>
      <c r="K18" s="7"/>
      <c r="L18" s="7"/>
    </row>
    <row r="19" spans="3:12" x14ac:dyDescent="0.3">
      <c r="C19" s="22"/>
      <c r="D19" s="7"/>
      <c r="E19" s="13"/>
      <c r="F19" s="7"/>
      <c r="G19" s="7"/>
      <c r="H19" s="13"/>
      <c r="I19" s="14"/>
      <c r="J19" s="13"/>
      <c r="K19" s="7"/>
      <c r="L19" s="7"/>
    </row>
    <row r="20" spans="3:12" x14ac:dyDescent="0.3">
      <c r="C20" s="22"/>
      <c r="D20" s="7"/>
      <c r="E20" s="13"/>
      <c r="F20" s="7"/>
      <c r="G20" s="7"/>
      <c r="H20" s="13"/>
      <c r="I20" s="14"/>
      <c r="J20" s="13"/>
      <c r="K20" s="7"/>
      <c r="L20" s="7"/>
    </row>
    <row r="21" spans="3:12" x14ac:dyDescent="0.3">
      <c r="C21" s="22"/>
      <c r="D21" s="7"/>
      <c r="E21" s="13"/>
      <c r="F21" s="7"/>
      <c r="G21" s="7"/>
      <c r="H21" s="13"/>
      <c r="I21" s="14"/>
      <c r="J21" s="13"/>
      <c r="K21" s="7"/>
      <c r="L21" s="7"/>
    </row>
    <row r="22" spans="3:12" x14ac:dyDescent="0.3">
      <c r="C22" s="22"/>
      <c r="D22" s="7"/>
      <c r="E22" s="13"/>
      <c r="F22" s="7"/>
      <c r="G22" s="7"/>
      <c r="H22" s="13"/>
      <c r="I22" s="14"/>
      <c r="J22" s="13"/>
      <c r="K22" s="7"/>
      <c r="L22" s="7"/>
    </row>
    <row r="23" spans="3:12" x14ac:dyDescent="0.3">
      <c r="C23" s="22"/>
      <c r="D23" s="7"/>
      <c r="E23" s="13"/>
      <c r="F23" s="7"/>
      <c r="G23" s="7"/>
      <c r="H23" s="13"/>
      <c r="I23" s="14"/>
      <c r="J23" s="13"/>
      <c r="K23" s="7"/>
      <c r="L23" s="7"/>
    </row>
    <row r="24" spans="3:12" x14ac:dyDescent="0.3">
      <c r="C24" s="22"/>
      <c r="D24" s="7"/>
      <c r="E24" s="13"/>
      <c r="F24" s="7"/>
      <c r="G24" s="7"/>
      <c r="H24" s="13"/>
      <c r="I24" s="14"/>
      <c r="J24" s="13"/>
      <c r="K24" s="7"/>
      <c r="L24" s="7"/>
    </row>
    <row r="25" spans="3:12" x14ac:dyDescent="0.3">
      <c r="C25" s="22"/>
      <c r="D25" s="7"/>
      <c r="E25" s="13"/>
      <c r="F25" s="7"/>
      <c r="G25" s="7"/>
      <c r="H25" s="13"/>
      <c r="I25" s="14"/>
      <c r="J25" s="13"/>
      <c r="K25" s="7"/>
      <c r="L25" s="7"/>
    </row>
    <row r="26" spans="3:12" x14ac:dyDescent="0.3">
      <c r="C26" s="22"/>
      <c r="D26" s="7"/>
      <c r="E26" s="13"/>
      <c r="F26" s="7"/>
      <c r="G26" s="7"/>
      <c r="H26" s="13"/>
      <c r="I26" s="14"/>
      <c r="J26" s="13"/>
      <c r="K26" s="7"/>
      <c r="L26" s="7"/>
    </row>
    <row r="27" spans="3:12" x14ac:dyDescent="0.3">
      <c r="C27" s="22"/>
      <c r="D27" s="7"/>
      <c r="E27" s="13"/>
      <c r="F27" s="7"/>
      <c r="G27" s="7"/>
      <c r="H27" s="13"/>
      <c r="I27" s="14"/>
      <c r="J27" s="13"/>
      <c r="K27" s="7"/>
      <c r="L27" s="7"/>
    </row>
    <row r="28" spans="3:12" x14ac:dyDescent="0.3">
      <c r="C28" s="22"/>
      <c r="D28" s="7"/>
      <c r="E28" s="13"/>
      <c r="F28" s="7"/>
      <c r="G28" s="7"/>
      <c r="H28" s="13"/>
      <c r="I28" s="14"/>
      <c r="J28" s="13"/>
      <c r="K28" s="7"/>
      <c r="L28" s="7"/>
    </row>
    <row r="29" spans="3:12" x14ac:dyDescent="0.3">
      <c r="C29" s="22"/>
      <c r="D29" s="7"/>
      <c r="E29" s="13"/>
      <c r="F29" s="7"/>
      <c r="G29" s="7"/>
      <c r="H29" s="13"/>
      <c r="I29" s="14"/>
      <c r="J29" s="13"/>
      <c r="K29" s="7"/>
      <c r="L29" s="7"/>
    </row>
    <row r="30" spans="3:12" x14ac:dyDescent="0.3">
      <c r="C30" s="22"/>
      <c r="D30" s="7"/>
      <c r="E30" s="13"/>
      <c r="F30" s="7"/>
      <c r="G30" s="7"/>
      <c r="H30" s="13"/>
      <c r="I30" s="14"/>
      <c r="J30" s="13"/>
      <c r="K30" s="7"/>
      <c r="L30" s="7"/>
    </row>
    <row r="31" spans="3:12" x14ac:dyDescent="0.3">
      <c r="C31" s="22"/>
      <c r="D31" s="7"/>
      <c r="E31" s="13"/>
      <c r="F31" s="7"/>
      <c r="G31" s="7"/>
      <c r="H31" s="13"/>
      <c r="I31" s="14"/>
      <c r="J31" s="13"/>
      <c r="K31" s="7"/>
      <c r="L31" s="7"/>
    </row>
    <row r="32" spans="3:12" x14ac:dyDescent="0.3">
      <c r="C32" s="22"/>
      <c r="D32" s="7"/>
      <c r="E32" s="13"/>
      <c r="F32" s="7"/>
      <c r="G32" s="7"/>
      <c r="H32" s="13"/>
      <c r="I32" s="14"/>
      <c r="J32" s="13"/>
      <c r="K32" s="7"/>
      <c r="L32" s="7"/>
    </row>
    <row r="33" spans="3:14" x14ac:dyDescent="0.3">
      <c r="C33" s="22"/>
      <c r="D33" s="7"/>
      <c r="E33" s="13"/>
      <c r="F33" s="7"/>
      <c r="G33" s="7"/>
      <c r="H33" s="13"/>
      <c r="I33" s="13"/>
      <c r="J33" s="13"/>
      <c r="K33" s="7"/>
      <c r="L33" s="7"/>
    </row>
    <row r="34" spans="3:14" x14ac:dyDescent="0.3">
      <c r="C34" s="22"/>
      <c r="D34" s="7"/>
      <c r="E34" s="13"/>
      <c r="F34" s="7"/>
      <c r="G34" s="7"/>
      <c r="H34" s="13"/>
      <c r="I34" s="13"/>
      <c r="J34" s="13"/>
      <c r="K34" s="7"/>
      <c r="L34" s="7"/>
    </row>
    <row r="35" spans="3:14" x14ac:dyDescent="0.3">
      <c r="C35" s="22"/>
      <c r="D35" s="7"/>
      <c r="E35" s="13"/>
      <c r="F35" s="7"/>
      <c r="G35" s="7"/>
      <c r="H35" s="13"/>
      <c r="I35" s="13"/>
      <c r="J35" s="13"/>
      <c r="K35" s="7"/>
      <c r="L35" s="7"/>
    </row>
    <row r="36" spans="3:14" x14ac:dyDescent="0.3">
      <c r="C36" s="22"/>
      <c r="D36" s="7"/>
      <c r="E36" s="13"/>
      <c r="F36" s="7"/>
      <c r="G36" s="7"/>
      <c r="H36" s="13"/>
      <c r="I36" s="13"/>
      <c r="J36" s="13"/>
      <c r="K36" s="7"/>
      <c r="L36" s="7"/>
    </row>
    <row r="37" spans="3:14" x14ac:dyDescent="0.3">
      <c r="C37" s="22"/>
      <c r="D37" s="7"/>
      <c r="E37" s="13"/>
      <c r="F37" s="7"/>
      <c r="G37" s="7"/>
      <c r="H37" s="13"/>
      <c r="I37" s="13"/>
      <c r="J37" s="13"/>
      <c r="K37" s="7"/>
      <c r="L37" s="7"/>
    </row>
    <row r="38" spans="3:14" x14ac:dyDescent="0.3">
      <c r="C38" s="22"/>
      <c r="D38" s="7"/>
      <c r="E38" s="13"/>
      <c r="F38" s="7"/>
      <c r="G38" s="7"/>
      <c r="H38" s="13"/>
      <c r="I38" s="13"/>
      <c r="J38" s="13"/>
      <c r="K38" s="7"/>
      <c r="L38" s="7"/>
    </row>
    <row r="39" spans="3:14" x14ac:dyDescent="0.3">
      <c r="C39" s="22"/>
      <c r="D39" s="7"/>
      <c r="E39" s="13"/>
      <c r="F39" s="7"/>
      <c r="G39" s="7"/>
      <c r="H39" s="13"/>
      <c r="I39" s="13"/>
      <c r="J39" s="13"/>
      <c r="K39" s="7"/>
      <c r="L39" s="7"/>
    </row>
    <row r="40" spans="3:14" x14ac:dyDescent="0.3">
      <c r="C40" s="22"/>
      <c r="D40" s="7"/>
      <c r="E40" s="13"/>
      <c r="F40" s="7"/>
      <c r="G40" s="7"/>
      <c r="H40" s="13"/>
      <c r="I40" s="13"/>
      <c r="J40" s="13"/>
      <c r="K40" s="7"/>
      <c r="L40" s="7"/>
    </row>
    <row r="41" spans="3:14" ht="5.0999999999999996" customHeight="1" x14ac:dyDescent="0.3">
      <c r="C41" s="22"/>
      <c r="D41" s="5"/>
      <c r="E41" s="12"/>
      <c r="F41" s="5"/>
      <c r="G41" s="5"/>
      <c r="H41" s="5"/>
      <c r="I41" s="5"/>
      <c r="J41" s="12"/>
      <c r="K41" s="5"/>
      <c r="L41" s="5"/>
    </row>
    <row r="42" spans="3:14" ht="15.95" customHeight="1" x14ac:dyDescent="0.3">
      <c r="C42" s="80">
        <v>2</v>
      </c>
      <c r="D42" s="343" t="s">
        <v>660</v>
      </c>
      <c r="E42" s="343"/>
      <c r="F42" s="343"/>
      <c r="G42" s="343"/>
      <c r="H42" s="343"/>
      <c r="I42" s="343"/>
      <c r="J42" s="343"/>
      <c r="K42" s="343"/>
      <c r="L42" s="343"/>
      <c r="M42" s="343"/>
      <c r="N42" s="183"/>
    </row>
    <row r="43" spans="3:14" ht="5.0999999999999996" customHeight="1" x14ac:dyDescent="0.3">
      <c r="C43" s="78"/>
      <c r="D43" s="5"/>
      <c r="E43" s="12"/>
      <c r="F43" s="5"/>
      <c r="G43" s="5"/>
      <c r="H43" s="5"/>
      <c r="I43" s="5"/>
      <c r="J43" s="12"/>
      <c r="K43" s="5"/>
      <c r="L43" s="5"/>
    </row>
    <row r="44" spans="3:14" ht="16.5" customHeight="1" x14ac:dyDescent="0.3">
      <c r="C44" s="78"/>
      <c r="D44" s="344" t="s">
        <v>2419</v>
      </c>
      <c r="E44" s="344"/>
      <c r="F44" s="344"/>
      <c r="G44" s="344"/>
      <c r="H44" s="344"/>
      <c r="I44" s="344"/>
      <c r="J44" s="344"/>
      <c r="K44" s="344"/>
      <c r="L44" s="344"/>
      <c r="M44" s="344"/>
    </row>
    <row r="45" spans="3:14" ht="5.0999999999999996" customHeight="1" x14ac:dyDescent="0.3">
      <c r="C45" s="78"/>
      <c r="D45" s="46"/>
      <c r="E45" s="46"/>
      <c r="F45" s="46"/>
      <c r="G45" s="46"/>
      <c r="H45" s="46"/>
      <c r="I45" s="46"/>
      <c r="J45" s="46"/>
      <c r="K45" s="46"/>
      <c r="L45" s="161"/>
      <c r="M45" s="46"/>
    </row>
    <row r="46" spans="3:14" ht="23.25" customHeight="1" x14ac:dyDescent="0.3">
      <c r="C46" s="12"/>
      <c r="D46" s="43" t="s">
        <v>371</v>
      </c>
      <c r="E46" s="43" t="s">
        <v>7</v>
      </c>
      <c r="F46" s="43" t="s">
        <v>8</v>
      </c>
      <c r="G46" s="43" t="s">
        <v>9</v>
      </c>
      <c r="H46" s="43" t="s">
        <v>10</v>
      </c>
      <c r="I46" s="43" t="s">
        <v>473</v>
      </c>
      <c r="J46" s="43" t="s">
        <v>581</v>
      </c>
      <c r="K46" s="44" t="s">
        <v>2432</v>
      </c>
      <c r="L46" s="44" t="s">
        <v>2204</v>
      </c>
      <c r="M46" s="45" t="s">
        <v>18</v>
      </c>
      <c r="N46" s="45" t="s">
        <v>2353</v>
      </c>
    </row>
    <row r="47" spans="3:14" ht="24.95" customHeight="1" x14ac:dyDescent="0.3">
      <c r="C47" s="12"/>
      <c r="D47" s="39" t="s">
        <v>372</v>
      </c>
      <c r="E47" s="40" t="s">
        <v>470</v>
      </c>
      <c r="F47" s="41" t="s">
        <v>472</v>
      </c>
      <c r="G47" s="41" t="s">
        <v>576</v>
      </c>
      <c r="H47" s="41" t="s">
        <v>578</v>
      </c>
      <c r="I47" s="41"/>
      <c r="J47" s="41" t="s">
        <v>582</v>
      </c>
      <c r="K47" s="41" t="s">
        <v>2439</v>
      </c>
      <c r="L47" s="41" t="s">
        <v>19</v>
      </c>
      <c r="M47" s="42"/>
      <c r="N47" s="42"/>
    </row>
    <row r="48" spans="3:14" ht="24.95" customHeight="1" x14ac:dyDescent="0.3">
      <c r="C48" s="12"/>
      <c r="D48" s="25" t="s">
        <v>373</v>
      </c>
      <c r="E48" s="26" t="s">
        <v>471</v>
      </c>
      <c r="F48" s="27" t="s">
        <v>472</v>
      </c>
      <c r="G48" s="27" t="s">
        <v>179</v>
      </c>
      <c r="H48" s="27" t="s">
        <v>577</v>
      </c>
      <c r="I48" s="27"/>
      <c r="J48" s="27" t="s">
        <v>582</v>
      </c>
      <c r="K48" s="41" t="s">
        <v>2439</v>
      </c>
      <c r="L48" s="27" t="s">
        <v>19</v>
      </c>
      <c r="M48" s="28"/>
      <c r="N48" s="28"/>
    </row>
    <row r="49" spans="3:14" ht="24.95" customHeight="1" x14ac:dyDescent="0.3">
      <c r="C49" s="12"/>
      <c r="D49" s="25" t="s">
        <v>374</v>
      </c>
      <c r="E49" s="26" t="s">
        <v>475</v>
      </c>
      <c r="F49" s="27" t="s">
        <v>472</v>
      </c>
      <c r="G49" s="27" t="s">
        <v>149</v>
      </c>
      <c r="H49" s="27" t="s">
        <v>577</v>
      </c>
      <c r="I49" s="27"/>
      <c r="J49" s="27" t="s">
        <v>582</v>
      </c>
      <c r="K49" s="41" t="s">
        <v>2439</v>
      </c>
      <c r="L49" s="27" t="s">
        <v>19</v>
      </c>
      <c r="M49" s="28"/>
      <c r="N49" s="28"/>
    </row>
    <row r="50" spans="3:14" ht="24.95" customHeight="1" x14ac:dyDescent="0.3">
      <c r="C50" s="12"/>
      <c r="D50" s="25" t="s">
        <v>375</v>
      </c>
      <c r="E50" s="26" t="s">
        <v>476</v>
      </c>
      <c r="F50" s="27" t="s">
        <v>472</v>
      </c>
      <c r="G50" s="27" t="s">
        <v>89</v>
      </c>
      <c r="H50" s="27" t="s">
        <v>579</v>
      </c>
      <c r="I50" s="27"/>
      <c r="J50" s="27" t="s">
        <v>582</v>
      </c>
      <c r="K50" s="41" t="s">
        <v>2439</v>
      </c>
      <c r="L50" s="27" t="s">
        <v>19</v>
      </c>
      <c r="M50" s="28"/>
      <c r="N50" s="28"/>
    </row>
    <row r="51" spans="3:14" ht="24.95" customHeight="1" x14ac:dyDescent="0.3">
      <c r="C51" s="12"/>
      <c r="D51" s="25" t="s">
        <v>376</v>
      </c>
      <c r="E51" s="26" t="s">
        <v>477</v>
      </c>
      <c r="F51" s="27" t="s">
        <v>472</v>
      </c>
      <c r="G51" s="27" t="s">
        <v>91</v>
      </c>
      <c r="H51" s="27" t="s">
        <v>579</v>
      </c>
      <c r="I51" s="27"/>
      <c r="J51" s="27" t="s">
        <v>582</v>
      </c>
      <c r="K51" s="41" t="s">
        <v>2439</v>
      </c>
      <c r="L51" s="27" t="s">
        <v>19</v>
      </c>
      <c r="M51" s="28"/>
      <c r="N51" s="28"/>
    </row>
    <row r="52" spans="3:14" ht="24.95" customHeight="1" x14ac:dyDescent="0.3">
      <c r="C52" s="12"/>
      <c r="D52" s="25" t="s">
        <v>377</v>
      </c>
      <c r="E52" s="26" t="s">
        <v>478</v>
      </c>
      <c r="F52" s="27" t="s">
        <v>472</v>
      </c>
      <c r="G52" s="27" t="s">
        <v>238</v>
      </c>
      <c r="H52" s="27" t="s">
        <v>580</v>
      </c>
      <c r="I52" s="27"/>
      <c r="J52" s="27" t="s">
        <v>583</v>
      </c>
      <c r="K52" s="41" t="s">
        <v>2439</v>
      </c>
      <c r="L52" s="27" t="s">
        <v>19</v>
      </c>
      <c r="M52" s="28" t="s">
        <v>240</v>
      </c>
      <c r="N52" s="28"/>
    </row>
    <row r="53" spans="3:14" ht="24.95" customHeight="1" x14ac:dyDescent="0.3">
      <c r="C53" s="12"/>
      <c r="D53" s="25" t="s">
        <v>378</v>
      </c>
      <c r="E53" s="26" t="s">
        <v>479</v>
      </c>
      <c r="F53" s="27" t="s">
        <v>472</v>
      </c>
      <c r="G53" s="27" t="s">
        <v>306</v>
      </c>
      <c r="H53" s="27" t="s">
        <v>584</v>
      </c>
      <c r="I53" s="27"/>
      <c r="J53" s="27" t="s">
        <v>583</v>
      </c>
      <c r="K53" s="41" t="s">
        <v>2439</v>
      </c>
      <c r="L53" s="27" t="s">
        <v>19</v>
      </c>
      <c r="M53" s="28"/>
      <c r="N53" s="28"/>
    </row>
    <row r="54" spans="3:14" ht="24.95" customHeight="1" x14ac:dyDescent="0.3">
      <c r="C54" s="12"/>
      <c r="D54" s="25" t="s">
        <v>379</v>
      </c>
      <c r="E54" s="26" t="s">
        <v>480</v>
      </c>
      <c r="F54" s="27" t="s">
        <v>472</v>
      </c>
      <c r="G54" s="27" t="s">
        <v>2371</v>
      </c>
      <c r="H54" s="27" t="s">
        <v>589</v>
      </c>
      <c r="I54" s="27"/>
      <c r="J54" s="27" t="s">
        <v>582</v>
      </c>
      <c r="K54" s="165" t="s">
        <v>2435</v>
      </c>
      <c r="L54" s="27" t="s">
        <v>24</v>
      </c>
      <c r="M54" s="29" t="s">
        <v>2374</v>
      </c>
      <c r="N54" s="47" t="s">
        <v>2372</v>
      </c>
    </row>
    <row r="55" spans="3:14" ht="24.95" customHeight="1" x14ac:dyDescent="0.3">
      <c r="C55" s="12"/>
      <c r="D55" s="25" t="s">
        <v>380</v>
      </c>
      <c r="E55" s="26" t="s">
        <v>481</v>
      </c>
      <c r="F55" s="27" t="s">
        <v>661</v>
      </c>
      <c r="G55" s="27" t="s">
        <v>587</v>
      </c>
      <c r="H55" s="27" t="s">
        <v>589</v>
      </c>
      <c r="I55" s="27"/>
      <c r="J55" s="27" t="s">
        <v>583</v>
      </c>
      <c r="K55" s="41" t="s">
        <v>2439</v>
      </c>
      <c r="L55" s="27" t="s">
        <v>19</v>
      </c>
      <c r="M55" s="29" t="s">
        <v>588</v>
      </c>
      <c r="N55" s="29"/>
    </row>
    <row r="56" spans="3:14" ht="24.95" customHeight="1" x14ac:dyDescent="0.3">
      <c r="C56" s="12"/>
      <c r="D56" s="25" t="s">
        <v>381</v>
      </c>
      <c r="E56" s="26" t="s">
        <v>482</v>
      </c>
      <c r="F56" s="27" t="s">
        <v>472</v>
      </c>
      <c r="G56" s="27" t="s">
        <v>297</v>
      </c>
      <c r="H56" s="27" t="s">
        <v>580</v>
      </c>
      <c r="I56" s="27"/>
      <c r="J56" s="27" t="s">
        <v>583</v>
      </c>
      <c r="K56" s="41" t="s">
        <v>2439</v>
      </c>
      <c r="L56" s="27" t="s">
        <v>19</v>
      </c>
      <c r="M56" s="29"/>
      <c r="N56" s="29"/>
    </row>
    <row r="57" spans="3:14" ht="24.95" customHeight="1" x14ac:dyDescent="0.3">
      <c r="C57" s="12"/>
      <c r="D57" s="25" t="s">
        <v>382</v>
      </c>
      <c r="E57" s="30" t="s">
        <v>483</v>
      </c>
      <c r="F57" s="27" t="s">
        <v>472</v>
      </c>
      <c r="G57" s="31" t="s">
        <v>592</v>
      </c>
      <c r="H57" s="27" t="s">
        <v>589</v>
      </c>
      <c r="I57" s="31"/>
      <c r="J57" s="27" t="s">
        <v>582</v>
      </c>
      <c r="K57" s="41" t="s">
        <v>2439</v>
      </c>
      <c r="L57" s="31" t="s">
        <v>24</v>
      </c>
      <c r="M57" s="29" t="s">
        <v>2375</v>
      </c>
      <c r="N57" s="47" t="s">
        <v>2373</v>
      </c>
    </row>
    <row r="58" spans="3:14" ht="24.95" customHeight="1" x14ac:dyDescent="0.3">
      <c r="C58" s="12"/>
      <c r="D58" s="25" t="s">
        <v>383</v>
      </c>
      <c r="E58" s="30" t="s">
        <v>484</v>
      </c>
      <c r="F58" s="27" t="s">
        <v>472</v>
      </c>
      <c r="G58" s="31" t="s">
        <v>243</v>
      </c>
      <c r="H58" s="27" t="s">
        <v>580</v>
      </c>
      <c r="I58" s="31"/>
      <c r="J58" s="27" t="s">
        <v>582</v>
      </c>
      <c r="K58" s="41" t="s">
        <v>2439</v>
      </c>
      <c r="L58" s="31" t="s">
        <v>19</v>
      </c>
      <c r="M58" s="29"/>
      <c r="N58" s="29"/>
    </row>
    <row r="59" spans="3:14" ht="24.95" customHeight="1" x14ac:dyDescent="0.3">
      <c r="C59" s="12"/>
      <c r="D59" s="25" t="s">
        <v>384</v>
      </c>
      <c r="E59" s="30" t="s">
        <v>485</v>
      </c>
      <c r="F59" s="27" t="s">
        <v>472</v>
      </c>
      <c r="G59" s="31" t="s">
        <v>593</v>
      </c>
      <c r="H59" s="27" t="s">
        <v>594</v>
      </c>
      <c r="I59" s="31"/>
      <c r="J59" s="27" t="s">
        <v>582</v>
      </c>
      <c r="K59" s="41" t="s">
        <v>2439</v>
      </c>
      <c r="L59" s="31" t="s">
        <v>19</v>
      </c>
      <c r="M59" s="29"/>
      <c r="N59" s="29"/>
    </row>
    <row r="60" spans="3:14" ht="24.95" customHeight="1" x14ac:dyDescent="0.3">
      <c r="C60" s="12"/>
      <c r="D60" s="25" t="s">
        <v>385</v>
      </c>
      <c r="E60" s="30" t="s">
        <v>486</v>
      </c>
      <c r="F60" s="27" t="s">
        <v>472</v>
      </c>
      <c r="G60" s="31" t="s">
        <v>265</v>
      </c>
      <c r="H60" s="27" t="s">
        <v>580</v>
      </c>
      <c r="I60" s="31"/>
      <c r="J60" s="27" t="s">
        <v>583</v>
      </c>
      <c r="K60" s="41" t="s">
        <v>2439</v>
      </c>
      <c r="L60" s="31" t="s">
        <v>19</v>
      </c>
      <c r="M60" s="29"/>
      <c r="N60" s="29"/>
    </row>
    <row r="61" spans="3:14" ht="24.95" customHeight="1" x14ac:dyDescent="0.3">
      <c r="C61" s="12"/>
      <c r="D61" s="25" t="s">
        <v>386</v>
      </c>
      <c r="E61" s="30" t="s">
        <v>487</v>
      </c>
      <c r="F61" s="27" t="s">
        <v>472</v>
      </c>
      <c r="G61" s="31" t="s">
        <v>595</v>
      </c>
      <c r="H61" s="27" t="s">
        <v>596</v>
      </c>
      <c r="I61" s="31"/>
      <c r="J61" s="27" t="s">
        <v>583</v>
      </c>
      <c r="K61" s="41" t="s">
        <v>2439</v>
      </c>
      <c r="L61" s="31" t="s">
        <v>19</v>
      </c>
      <c r="M61" s="29"/>
      <c r="N61" s="29"/>
    </row>
    <row r="62" spans="3:14" ht="24.95" customHeight="1" x14ac:dyDescent="0.3">
      <c r="C62" s="12"/>
      <c r="D62" s="25" t="s">
        <v>387</v>
      </c>
      <c r="E62" s="30" t="s">
        <v>488</v>
      </c>
      <c r="F62" s="27" t="s">
        <v>472</v>
      </c>
      <c r="G62" s="31" t="s">
        <v>300</v>
      </c>
      <c r="H62" s="27" t="s">
        <v>596</v>
      </c>
      <c r="I62" s="31"/>
      <c r="J62" s="27" t="s">
        <v>583</v>
      </c>
      <c r="K62" s="41" t="s">
        <v>2439</v>
      </c>
      <c r="L62" s="31" t="s">
        <v>19</v>
      </c>
      <c r="M62" s="29"/>
      <c r="N62" s="29"/>
    </row>
    <row r="63" spans="3:14" ht="24.95" customHeight="1" x14ac:dyDescent="0.3">
      <c r="C63" s="12"/>
      <c r="D63" s="25" t="s">
        <v>388</v>
      </c>
      <c r="E63" s="30" t="s">
        <v>489</v>
      </c>
      <c r="F63" s="27" t="s">
        <v>472</v>
      </c>
      <c r="G63" s="31" t="s">
        <v>591</v>
      </c>
      <c r="H63" s="27" t="s">
        <v>597</v>
      </c>
      <c r="I63" s="31"/>
      <c r="J63" s="27" t="s">
        <v>583</v>
      </c>
      <c r="K63" s="41" t="s">
        <v>2439</v>
      </c>
      <c r="L63" s="31" t="s">
        <v>19</v>
      </c>
      <c r="M63" s="29"/>
      <c r="N63" s="29"/>
    </row>
    <row r="64" spans="3:14" ht="24.95" customHeight="1" x14ac:dyDescent="0.3">
      <c r="C64" s="12"/>
      <c r="D64" s="25" t="s">
        <v>389</v>
      </c>
      <c r="E64" s="30" t="s">
        <v>490</v>
      </c>
      <c r="F64" s="27" t="s">
        <v>472</v>
      </c>
      <c r="G64" s="31" t="s">
        <v>302</v>
      </c>
      <c r="H64" s="27" t="s">
        <v>598</v>
      </c>
      <c r="I64" s="31"/>
      <c r="J64" s="27" t="s">
        <v>583</v>
      </c>
      <c r="K64" s="41" t="s">
        <v>2439</v>
      </c>
      <c r="L64" s="31" t="s">
        <v>19</v>
      </c>
      <c r="M64" s="29"/>
      <c r="N64" s="29"/>
    </row>
    <row r="65" spans="3:14" ht="24.95" customHeight="1" x14ac:dyDescent="0.3">
      <c r="C65" s="12"/>
      <c r="D65" s="25" t="s">
        <v>390</v>
      </c>
      <c r="E65" s="30" t="s">
        <v>491</v>
      </c>
      <c r="F65" s="27" t="s">
        <v>604</v>
      </c>
      <c r="G65" s="31" t="s">
        <v>603</v>
      </c>
      <c r="H65" s="27" t="s">
        <v>578</v>
      </c>
      <c r="I65" s="31"/>
      <c r="J65" s="27" t="s">
        <v>582</v>
      </c>
      <c r="K65" s="196" t="s">
        <v>2434</v>
      </c>
      <c r="L65" s="31" t="s">
        <v>2433</v>
      </c>
      <c r="M65" s="29"/>
      <c r="N65" s="47"/>
    </row>
    <row r="66" spans="3:14" ht="24.95" customHeight="1" x14ac:dyDescent="0.3">
      <c r="C66" s="12"/>
      <c r="D66" s="25" t="s">
        <v>391</v>
      </c>
      <c r="E66" s="30" t="s">
        <v>492</v>
      </c>
      <c r="F66" s="27" t="s">
        <v>472</v>
      </c>
      <c r="G66" s="31" t="s">
        <v>314</v>
      </c>
      <c r="H66" s="27" t="s">
        <v>596</v>
      </c>
      <c r="I66" s="31"/>
      <c r="J66" s="27" t="s">
        <v>583</v>
      </c>
      <c r="K66" s="196" t="s">
        <v>2436</v>
      </c>
      <c r="L66" s="31" t="s">
        <v>19</v>
      </c>
      <c r="M66" s="29"/>
      <c r="N66" s="29"/>
    </row>
    <row r="67" spans="3:14" ht="24.95" customHeight="1" x14ac:dyDescent="0.3">
      <c r="C67" s="12"/>
      <c r="D67" s="25" t="s">
        <v>392</v>
      </c>
      <c r="E67" s="30" t="s">
        <v>493</v>
      </c>
      <c r="F67" s="27" t="s">
        <v>472</v>
      </c>
      <c r="G67" s="31" t="s">
        <v>304</v>
      </c>
      <c r="H67" s="27" t="s">
        <v>596</v>
      </c>
      <c r="I67" s="31"/>
      <c r="J67" s="27" t="s">
        <v>583</v>
      </c>
      <c r="K67" s="41" t="s">
        <v>2439</v>
      </c>
      <c r="L67" s="31" t="s">
        <v>19</v>
      </c>
      <c r="M67" s="29"/>
      <c r="N67" s="29"/>
    </row>
    <row r="68" spans="3:14" ht="24.95" customHeight="1" x14ac:dyDescent="0.3">
      <c r="C68" s="12"/>
      <c r="D68" s="25" t="s">
        <v>393</v>
      </c>
      <c r="E68" s="30" t="s">
        <v>494</v>
      </c>
      <c r="F68" s="27" t="s">
        <v>472</v>
      </c>
      <c r="G68" s="31" t="s">
        <v>306</v>
      </c>
      <c r="H68" s="27" t="s">
        <v>596</v>
      </c>
      <c r="I68" s="31"/>
      <c r="J68" s="27" t="s">
        <v>583</v>
      </c>
      <c r="K68" s="41" t="s">
        <v>2439</v>
      </c>
      <c r="L68" s="31" t="s">
        <v>19</v>
      </c>
      <c r="M68" s="29"/>
      <c r="N68" s="29"/>
    </row>
    <row r="69" spans="3:14" ht="45.75" customHeight="1" x14ac:dyDescent="0.3">
      <c r="C69" s="12"/>
      <c r="D69" s="25" t="s">
        <v>394</v>
      </c>
      <c r="E69" s="30" t="s">
        <v>495</v>
      </c>
      <c r="F69" s="27" t="s">
        <v>586</v>
      </c>
      <c r="G69" s="27" t="s">
        <v>656</v>
      </c>
      <c r="H69" s="27" t="s">
        <v>657</v>
      </c>
      <c r="I69" s="31"/>
      <c r="J69" s="31" t="s">
        <v>590</v>
      </c>
      <c r="K69" s="41" t="s">
        <v>2439</v>
      </c>
      <c r="L69" s="31" t="s">
        <v>2376</v>
      </c>
      <c r="M69" s="47" t="s">
        <v>2437</v>
      </c>
      <c r="N69" s="29"/>
    </row>
    <row r="70" spans="3:14" ht="24.95" customHeight="1" x14ac:dyDescent="0.3">
      <c r="C70" s="12"/>
      <c r="D70" s="25" t="s">
        <v>395</v>
      </c>
      <c r="E70" s="30" t="s">
        <v>496</v>
      </c>
      <c r="F70" s="27" t="s">
        <v>472</v>
      </c>
      <c r="G70" s="31" t="s">
        <v>183</v>
      </c>
      <c r="H70" s="27" t="s">
        <v>580</v>
      </c>
      <c r="I70" s="31"/>
      <c r="J70" s="27" t="s">
        <v>582</v>
      </c>
      <c r="K70" s="41" t="s">
        <v>2439</v>
      </c>
      <c r="L70" s="31" t="s">
        <v>19</v>
      </c>
      <c r="M70" s="29"/>
      <c r="N70" s="29"/>
    </row>
    <row r="71" spans="3:14" ht="24.95" customHeight="1" x14ac:dyDescent="0.3">
      <c r="C71" s="12"/>
      <c r="D71" s="25" t="s">
        <v>396</v>
      </c>
      <c r="E71" s="30" t="s">
        <v>497</v>
      </c>
      <c r="F71" s="27" t="s">
        <v>472</v>
      </c>
      <c r="G71" s="31" t="s">
        <v>93</v>
      </c>
      <c r="H71" s="27" t="s">
        <v>580</v>
      </c>
      <c r="I71" s="31"/>
      <c r="J71" s="27" t="s">
        <v>582</v>
      </c>
      <c r="K71" s="41" t="s">
        <v>2439</v>
      </c>
      <c r="L71" s="31" t="s">
        <v>19</v>
      </c>
      <c r="M71" s="29"/>
      <c r="N71" s="29"/>
    </row>
    <row r="72" spans="3:14" ht="24.95" customHeight="1" x14ac:dyDescent="0.3">
      <c r="C72" s="12"/>
      <c r="D72" s="25" t="s">
        <v>397</v>
      </c>
      <c r="E72" s="30" t="s">
        <v>498</v>
      </c>
      <c r="F72" s="27" t="s">
        <v>472</v>
      </c>
      <c r="G72" s="31" t="s">
        <v>95</v>
      </c>
      <c r="H72" s="27" t="s">
        <v>580</v>
      </c>
      <c r="I72" s="31"/>
      <c r="J72" s="27" t="s">
        <v>582</v>
      </c>
      <c r="K72" s="196" t="s">
        <v>2436</v>
      </c>
      <c r="L72" s="31" t="s">
        <v>24</v>
      </c>
      <c r="M72" s="29"/>
      <c r="N72" s="29"/>
    </row>
    <row r="73" spans="3:14" ht="24.95" customHeight="1" x14ac:dyDescent="0.3">
      <c r="C73" s="12"/>
      <c r="D73" s="25" t="s">
        <v>398</v>
      </c>
      <c r="E73" s="30" t="s">
        <v>499</v>
      </c>
      <c r="F73" s="27" t="s">
        <v>472</v>
      </c>
      <c r="G73" s="31" t="s">
        <v>308</v>
      </c>
      <c r="H73" s="27" t="s">
        <v>580</v>
      </c>
      <c r="I73" s="31"/>
      <c r="J73" s="27" t="s">
        <v>582</v>
      </c>
      <c r="K73" s="41" t="s">
        <v>2439</v>
      </c>
      <c r="L73" s="31" t="s">
        <v>19</v>
      </c>
      <c r="M73" s="29"/>
      <c r="N73" s="29"/>
    </row>
    <row r="74" spans="3:14" ht="24.95" customHeight="1" x14ac:dyDescent="0.3">
      <c r="C74" s="12"/>
      <c r="D74" s="25" t="s">
        <v>399</v>
      </c>
      <c r="E74" s="30" t="s">
        <v>501</v>
      </c>
      <c r="F74" s="27" t="s">
        <v>472</v>
      </c>
      <c r="G74" s="31" t="s">
        <v>118</v>
      </c>
      <c r="H74" s="31" t="s">
        <v>602</v>
      </c>
      <c r="I74" s="31"/>
      <c r="J74" s="27" t="s">
        <v>582</v>
      </c>
      <c r="K74" s="41" t="s">
        <v>2439</v>
      </c>
      <c r="L74" s="31" t="s">
        <v>19</v>
      </c>
      <c r="M74" s="29"/>
      <c r="N74" s="29"/>
    </row>
    <row r="75" spans="3:14" ht="24.95" customHeight="1" x14ac:dyDescent="0.3">
      <c r="C75" s="12"/>
      <c r="D75" s="25" t="s">
        <v>400</v>
      </c>
      <c r="E75" s="30" t="s">
        <v>500</v>
      </c>
      <c r="F75" s="27" t="s">
        <v>472</v>
      </c>
      <c r="G75" s="31" t="s">
        <v>296</v>
      </c>
      <c r="H75" s="31" t="s">
        <v>602</v>
      </c>
      <c r="I75" s="31"/>
      <c r="J75" s="27" t="s">
        <v>582</v>
      </c>
      <c r="K75" s="41" t="s">
        <v>2439</v>
      </c>
      <c r="L75" s="31" t="s">
        <v>19</v>
      </c>
      <c r="M75" s="29"/>
      <c r="N75" s="29"/>
    </row>
    <row r="76" spans="3:14" ht="45" customHeight="1" x14ac:dyDescent="0.3">
      <c r="C76" s="12"/>
      <c r="D76" s="25" t="s">
        <v>401</v>
      </c>
      <c r="E76" s="30" t="s">
        <v>502</v>
      </c>
      <c r="F76" s="27" t="s">
        <v>472</v>
      </c>
      <c r="G76" s="27" t="s">
        <v>600</v>
      </c>
      <c r="H76" s="27" t="s">
        <v>601</v>
      </c>
      <c r="I76" s="31"/>
      <c r="J76" s="27" t="s">
        <v>582</v>
      </c>
      <c r="K76" s="41" t="s">
        <v>2439</v>
      </c>
      <c r="L76" s="31" t="s">
        <v>19</v>
      </c>
      <c r="M76" s="29"/>
      <c r="N76" s="29"/>
    </row>
    <row r="77" spans="3:14" ht="45" customHeight="1" x14ac:dyDescent="0.3">
      <c r="C77" s="12"/>
      <c r="D77" s="25" t="s">
        <v>402</v>
      </c>
      <c r="E77" s="30" t="s">
        <v>605</v>
      </c>
      <c r="F77" s="27" t="s">
        <v>472</v>
      </c>
      <c r="G77" s="27" t="s">
        <v>111</v>
      </c>
      <c r="H77" s="27" t="s">
        <v>606</v>
      </c>
      <c r="I77" s="31"/>
      <c r="J77" s="27" t="s">
        <v>582</v>
      </c>
      <c r="K77" s="41" t="s">
        <v>2439</v>
      </c>
      <c r="L77" s="31" t="s">
        <v>19</v>
      </c>
      <c r="M77" s="29"/>
      <c r="N77" s="29"/>
    </row>
    <row r="78" spans="3:14" ht="48.75" customHeight="1" x14ac:dyDescent="0.3">
      <c r="C78" s="12"/>
      <c r="D78" s="25" t="s">
        <v>403</v>
      </c>
      <c r="E78" s="30" t="s">
        <v>503</v>
      </c>
      <c r="F78" s="27" t="s">
        <v>472</v>
      </c>
      <c r="G78" s="27" t="s">
        <v>599</v>
      </c>
      <c r="H78" s="27" t="s">
        <v>601</v>
      </c>
      <c r="I78" s="31"/>
      <c r="J78" s="27" t="s">
        <v>582</v>
      </c>
      <c r="K78" s="196" t="s">
        <v>2436</v>
      </c>
      <c r="L78" s="31" t="s">
        <v>24</v>
      </c>
      <c r="M78" s="29"/>
      <c r="N78" s="29"/>
    </row>
    <row r="79" spans="3:14" ht="24.95" customHeight="1" x14ac:dyDescent="0.3">
      <c r="C79" s="12"/>
      <c r="D79" s="25" t="s">
        <v>404</v>
      </c>
      <c r="E79" s="30" t="s">
        <v>504</v>
      </c>
      <c r="F79" s="27" t="s">
        <v>472</v>
      </c>
      <c r="G79" s="31" t="s">
        <v>609</v>
      </c>
      <c r="H79" s="31" t="s">
        <v>610</v>
      </c>
      <c r="I79" s="31"/>
      <c r="J79" s="27" t="s">
        <v>582</v>
      </c>
      <c r="K79" s="41" t="s">
        <v>2439</v>
      </c>
      <c r="L79" s="31" t="s">
        <v>19</v>
      </c>
      <c r="M79" s="29"/>
      <c r="N79" s="29"/>
    </row>
    <row r="80" spans="3:14" ht="24.95" customHeight="1" x14ac:dyDescent="0.3">
      <c r="C80" s="12"/>
      <c r="D80" s="25" t="s">
        <v>405</v>
      </c>
      <c r="E80" s="30" t="s">
        <v>505</v>
      </c>
      <c r="F80" s="27" t="s">
        <v>472</v>
      </c>
      <c r="G80" s="31" t="s">
        <v>607</v>
      </c>
      <c r="H80" s="31" t="s">
        <v>610</v>
      </c>
      <c r="I80" s="31"/>
      <c r="J80" s="27" t="s">
        <v>582</v>
      </c>
      <c r="K80" s="41" t="s">
        <v>2439</v>
      </c>
      <c r="L80" s="31" t="s">
        <v>19</v>
      </c>
      <c r="M80" s="29"/>
      <c r="N80" s="29"/>
    </row>
    <row r="81" spans="3:14" ht="32.25" customHeight="1" x14ac:dyDescent="0.3">
      <c r="C81" s="12"/>
      <c r="D81" s="25" t="s">
        <v>406</v>
      </c>
      <c r="E81" s="30" t="s">
        <v>506</v>
      </c>
      <c r="F81" s="27" t="s">
        <v>472</v>
      </c>
      <c r="G81" s="27" t="s">
        <v>608</v>
      </c>
      <c r="H81" s="27" t="s">
        <v>612</v>
      </c>
      <c r="I81" s="31"/>
      <c r="J81" s="27" t="s">
        <v>582</v>
      </c>
      <c r="K81" s="41" t="s">
        <v>2439</v>
      </c>
      <c r="L81" s="31" t="s">
        <v>19</v>
      </c>
      <c r="M81" s="29"/>
      <c r="N81" s="29"/>
    </row>
    <row r="82" spans="3:14" ht="24.95" customHeight="1" x14ac:dyDescent="0.3">
      <c r="C82" s="12"/>
      <c r="D82" s="25" t="s">
        <v>407</v>
      </c>
      <c r="E82" s="30" t="s">
        <v>507</v>
      </c>
      <c r="F82" s="27" t="s">
        <v>472</v>
      </c>
      <c r="G82" s="31" t="s">
        <v>613</v>
      </c>
      <c r="H82" s="27" t="s">
        <v>615</v>
      </c>
      <c r="I82" s="31"/>
      <c r="J82" s="31" t="s">
        <v>616</v>
      </c>
      <c r="K82" s="41" t="s">
        <v>2439</v>
      </c>
      <c r="L82" s="31" t="s">
        <v>19</v>
      </c>
      <c r="M82" s="29"/>
      <c r="N82" s="29"/>
    </row>
    <row r="83" spans="3:14" ht="24.95" customHeight="1" x14ac:dyDescent="0.3">
      <c r="C83" s="12"/>
      <c r="D83" s="25" t="s">
        <v>408</v>
      </c>
      <c r="E83" s="30" t="s">
        <v>508</v>
      </c>
      <c r="F83" s="27" t="s">
        <v>472</v>
      </c>
      <c r="G83" s="31" t="s">
        <v>145</v>
      </c>
      <c r="H83" s="31" t="s">
        <v>611</v>
      </c>
      <c r="I83" s="31"/>
      <c r="J83" s="27" t="s">
        <v>582</v>
      </c>
      <c r="K83" s="41" t="s">
        <v>2439</v>
      </c>
      <c r="L83" s="31" t="s">
        <v>19</v>
      </c>
      <c r="M83" s="29"/>
      <c r="N83" s="29"/>
    </row>
    <row r="84" spans="3:14" ht="24.95" customHeight="1" x14ac:dyDescent="0.3">
      <c r="C84" s="12"/>
      <c r="D84" s="25" t="s">
        <v>409</v>
      </c>
      <c r="E84" s="30" t="s">
        <v>509</v>
      </c>
      <c r="F84" s="27" t="s">
        <v>472</v>
      </c>
      <c r="G84" s="31" t="s">
        <v>207</v>
      </c>
      <c r="H84" s="31" t="s">
        <v>611</v>
      </c>
      <c r="I84" s="31"/>
      <c r="J84" s="27" t="s">
        <v>582</v>
      </c>
      <c r="K84" s="41" t="s">
        <v>2439</v>
      </c>
      <c r="L84" s="31" t="s">
        <v>19</v>
      </c>
      <c r="M84" s="29"/>
      <c r="N84" s="29"/>
    </row>
    <row r="85" spans="3:14" ht="24.95" customHeight="1" x14ac:dyDescent="0.3">
      <c r="C85" s="12"/>
      <c r="D85" s="25" t="s">
        <v>410</v>
      </c>
      <c r="E85" s="30" t="s">
        <v>510</v>
      </c>
      <c r="F85" s="27" t="s">
        <v>472</v>
      </c>
      <c r="G85" s="31" t="s">
        <v>135</v>
      </c>
      <c r="H85" s="27" t="s">
        <v>615</v>
      </c>
      <c r="I85" s="31"/>
      <c r="J85" s="31" t="s">
        <v>616</v>
      </c>
      <c r="K85" s="41" t="s">
        <v>2439</v>
      </c>
      <c r="L85" s="31" t="s">
        <v>19</v>
      </c>
      <c r="M85" s="29"/>
      <c r="N85" s="29"/>
    </row>
    <row r="86" spans="3:14" ht="24.95" customHeight="1" x14ac:dyDescent="0.3">
      <c r="C86" s="12"/>
      <c r="D86" s="25" t="s">
        <v>411</v>
      </c>
      <c r="E86" s="30" t="s">
        <v>511</v>
      </c>
      <c r="F86" s="27" t="s">
        <v>472</v>
      </c>
      <c r="G86" s="31" t="s">
        <v>614</v>
      </c>
      <c r="H86" s="27" t="s">
        <v>594</v>
      </c>
      <c r="I86" s="31"/>
      <c r="J86" s="31" t="s">
        <v>583</v>
      </c>
      <c r="K86" s="41" t="s">
        <v>2439</v>
      </c>
      <c r="L86" s="31" t="s">
        <v>19</v>
      </c>
      <c r="M86" s="29"/>
      <c r="N86" s="29"/>
    </row>
    <row r="87" spans="3:14" ht="24.95" customHeight="1" x14ac:dyDescent="0.3">
      <c r="C87" s="12"/>
      <c r="D87" s="25" t="s">
        <v>412</v>
      </c>
      <c r="E87" s="30" t="s">
        <v>512</v>
      </c>
      <c r="F87" s="27" t="s">
        <v>472</v>
      </c>
      <c r="G87" s="31" t="s">
        <v>208</v>
      </c>
      <c r="H87" s="31" t="s">
        <v>611</v>
      </c>
      <c r="I87" s="31"/>
      <c r="J87" s="27" t="s">
        <v>582</v>
      </c>
      <c r="K87" s="41" t="s">
        <v>2439</v>
      </c>
      <c r="L87" s="31" t="s">
        <v>19</v>
      </c>
      <c r="M87" s="29"/>
      <c r="N87" s="29"/>
    </row>
    <row r="88" spans="3:14" ht="24.95" customHeight="1" x14ac:dyDescent="0.3">
      <c r="C88" s="12"/>
      <c r="D88" s="25" t="s">
        <v>413</v>
      </c>
      <c r="E88" s="30" t="s">
        <v>513</v>
      </c>
      <c r="F88" s="27" t="s">
        <v>472</v>
      </c>
      <c r="G88" s="31" t="s">
        <v>139</v>
      </c>
      <c r="H88" s="27" t="s">
        <v>615</v>
      </c>
      <c r="I88" s="31"/>
      <c r="J88" s="31" t="s">
        <v>616</v>
      </c>
      <c r="K88" s="196" t="s">
        <v>2436</v>
      </c>
      <c r="L88" s="31" t="s">
        <v>19</v>
      </c>
      <c r="M88" s="29"/>
      <c r="N88" s="29"/>
    </row>
    <row r="89" spans="3:14" ht="24.95" customHeight="1" x14ac:dyDescent="0.3">
      <c r="C89" s="12"/>
      <c r="D89" s="25" t="s">
        <v>414</v>
      </c>
      <c r="E89" s="30" t="s">
        <v>514</v>
      </c>
      <c r="F89" s="27" t="s">
        <v>472</v>
      </c>
      <c r="G89" s="31" t="s">
        <v>141</v>
      </c>
      <c r="H89" s="31" t="s">
        <v>44</v>
      </c>
      <c r="I89" s="31"/>
      <c r="J89" s="27" t="s">
        <v>582</v>
      </c>
      <c r="K89" s="41" t="s">
        <v>2439</v>
      </c>
      <c r="L89" s="31" t="s">
        <v>19</v>
      </c>
      <c r="M89" s="29"/>
      <c r="N89" s="29"/>
    </row>
    <row r="90" spans="3:14" ht="24.95" customHeight="1" x14ac:dyDescent="0.3">
      <c r="C90" s="12"/>
      <c r="D90" s="25" t="s">
        <v>415</v>
      </c>
      <c r="E90" s="30" t="s">
        <v>515</v>
      </c>
      <c r="F90" s="27" t="s">
        <v>472</v>
      </c>
      <c r="G90" s="31" t="s">
        <v>210</v>
      </c>
      <c r="H90" s="31" t="s">
        <v>44</v>
      </c>
      <c r="I90" s="31"/>
      <c r="J90" s="27" t="s">
        <v>582</v>
      </c>
      <c r="K90" s="41" t="s">
        <v>2439</v>
      </c>
      <c r="L90" s="31" t="s">
        <v>19</v>
      </c>
      <c r="M90" s="29"/>
      <c r="N90" s="29"/>
    </row>
    <row r="91" spans="3:14" ht="24.95" customHeight="1" x14ac:dyDescent="0.3">
      <c r="C91" s="12"/>
      <c r="D91" s="25" t="s">
        <v>416</v>
      </c>
      <c r="E91" s="30" t="s">
        <v>516</v>
      </c>
      <c r="F91" s="27" t="s">
        <v>472</v>
      </c>
      <c r="G91" s="31" t="s">
        <v>212</v>
      </c>
      <c r="H91" s="31" t="s">
        <v>44</v>
      </c>
      <c r="I91" s="31"/>
      <c r="J91" s="27" t="s">
        <v>582</v>
      </c>
      <c r="K91" s="41" t="s">
        <v>2439</v>
      </c>
      <c r="L91" s="31" t="s">
        <v>19</v>
      </c>
      <c r="M91" s="29"/>
      <c r="N91" s="29"/>
    </row>
    <row r="92" spans="3:14" ht="24.95" customHeight="1" x14ac:dyDescent="0.3">
      <c r="C92" s="12"/>
      <c r="D92" s="25" t="s">
        <v>417</v>
      </c>
      <c r="E92" s="30" t="s">
        <v>517</v>
      </c>
      <c r="F92" s="27" t="s">
        <v>472</v>
      </c>
      <c r="G92" s="31" t="s">
        <v>214</v>
      </c>
      <c r="H92" s="27" t="s">
        <v>617</v>
      </c>
      <c r="I92" s="31"/>
      <c r="J92" s="27" t="s">
        <v>582</v>
      </c>
      <c r="K92" s="222" t="s">
        <v>2438</v>
      </c>
      <c r="L92" s="31" t="s">
        <v>19</v>
      </c>
      <c r="M92" s="29"/>
      <c r="N92" s="29"/>
    </row>
    <row r="93" spans="3:14" ht="24.95" customHeight="1" x14ac:dyDescent="0.3">
      <c r="C93" s="12"/>
      <c r="D93" s="25" t="s">
        <v>418</v>
      </c>
      <c r="E93" s="30" t="s">
        <v>518</v>
      </c>
      <c r="F93" s="27" t="s">
        <v>472</v>
      </c>
      <c r="G93" s="31" t="s">
        <v>292</v>
      </c>
      <c r="H93" s="27" t="s">
        <v>615</v>
      </c>
      <c r="I93" s="31"/>
      <c r="J93" s="31" t="s">
        <v>616</v>
      </c>
      <c r="K93" s="222" t="s">
        <v>2438</v>
      </c>
      <c r="L93" s="31" t="s">
        <v>19</v>
      </c>
      <c r="M93" s="29"/>
      <c r="N93" s="29"/>
    </row>
    <row r="94" spans="3:14" ht="24.95" customHeight="1" x14ac:dyDescent="0.3">
      <c r="C94" s="12"/>
      <c r="D94" s="25" t="s">
        <v>419</v>
      </c>
      <c r="E94" s="30" t="s">
        <v>519</v>
      </c>
      <c r="F94" s="27" t="s">
        <v>472</v>
      </c>
      <c r="G94" s="31" t="s">
        <v>294</v>
      </c>
      <c r="H94" s="27" t="s">
        <v>615</v>
      </c>
      <c r="I94" s="31"/>
      <c r="J94" s="31" t="s">
        <v>616</v>
      </c>
      <c r="K94" s="222" t="s">
        <v>2438</v>
      </c>
      <c r="L94" s="31" t="s">
        <v>19</v>
      </c>
      <c r="M94" s="29"/>
      <c r="N94" s="29"/>
    </row>
    <row r="95" spans="3:14" ht="24.95" customHeight="1" x14ac:dyDescent="0.3">
      <c r="C95" s="12"/>
      <c r="D95" s="25" t="s">
        <v>420</v>
      </c>
      <c r="E95" s="30" t="s">
        <v>520</v>
      </c>
      <c r="F95" s="27" t="s">
        <v>472</v>
      </c>
      <c r="G95" s="31" t="s">
        <v>618</v>
      </c>
      <c r="H95" s="27" t="s">
        <v>619</v>
      </c>
      <c r="I95" s="31"/>
      <c r="J95" s="31" t="s">
        <v>620</v>
      </c>
      <c r="K95" s="41" t="s">
        <v>2439</v>
      </c>
      <c r="L95" s="31" t="s">
        <v>19</v>
      </c>
      <c r="M95" s="29"/>
      <c r="N95" s="29"/>
    </row>
    <row r="96" spans="3:14" ht="24.95" customHeight="1" x14ac:dyDescent="0.3">
      <c r="C96" s="12"/>
      <c r="D96" s="25" t="s">
        <v>421</v>
      </c>
      <c r="E96" s="30" t="s">
        <v>521</v>
      </c>
      <c r="F96" s="27" t="s">
        <v>472</v>
      </c>
      <c r="G96" s="31" t="s">
        <v>143</v>
      </c>
      <c r="H96" s="31" t="s">
        <v>44</v>
      </c>
      <c r="I96" s="31"/>
      <c r="J96" s="27" t="s">
        <v>582</v>
      </c>
      <c r="K96" s="41" t="s">
        <v>2439</v>
      </c>
      <c r="L96" s="31" t="s">
        <v>19</v>
      </c>
      <c r="M96" s="29"/>
      <c r="N96" s="29"/>
    </row>
    <row r="97" spans="3:14" ht="24.95" customHeight="1" x14ac:dyDescent="0.3">
      <c r="C97" s="12"/>
      <c r="D97" s="25" t="s">
        <v>422</v>
      </c>
      <c r="E97" s="30" t="s">
        <v>522</v>
      </c>
      <c r="F97" s="27" t="s">
        <v>472</v>
      </c>
      <c r="G97" s="31" t="s">
        <v>284</v>
      </c>
      <c r="H97" s="31" t="s">
        <v>44</v>
      </c>
      <c r="I97" s="31"/>
      <c r="J97" s="27" t="s">
        <v>582</v>
      </c>
      <c r="K97" s="41" t="s">
        <v>2439</v>
      </c>
      <c r="L97" s="31" t="s">
        <v>19</v>
      </c>
      <c r="M97" s="29"/>
      <c r="N97" s="29"/>
    </row>
    <row r="98" spans="3:14" ht="24.95" customHeight="1" x14ac:dyDescent="0.3">
      <c r="C98" s="12"/>
      <c r="D98" s="25" t="s">
        <v>423</v>
      </c>
      <c r="E98" s="30" t="s">
        <v>523</v>
      </c>
      <c r="F98" s="27" t="s">
        <v>472</v>
      </c>
      <c r="G98" s="31" t="s">
        <v>286</v>
      </c>
      <c r="H98" s="31" t="s">
        <v>44</v>
      </c>
      <c r="I98" s="31"/>
      <c r="J98" s="27" t="s">
        <v>582</v>
      </c>
      <c r="K98" s="41" t="s">
        <v>2439</v>
      </c>
      <c r="L98" s="31" t="s">
        <v>19</v>
      </c>
      <c r="M98" s="29"/>
      <c r="N98" s="29"/>
    </row>
    <row r="99" spans="3:14" ht="24.95" customHeight="1" x14ac:dyDescent="0.3">
      <c r="C99" s="12"/>
      <c r="D99" s="25" t="s">
        <v>424</v>
      </c>
      <c r="E99" s="30" t="s">
        <v>524</v>
      </c>
      <c r="F99" s="27" t="s">
        <v>472</v>
      </c>
      <c r="G99" s="31" t="s">
        <v>621</v>
      </c>
      <c r="H99" s="31" t="s">
        <v>44</v>
      </c>
      <c r="I99" s="31"/>
      <c r="J99" s="27" t="s">
        <v>583</v>
      </c>
      <c r="K99" s="41" t="s">
        <v>2439</v>
      </c>
      <c r="L99" s="31" t="s">
        <v>19</v>
      </c>
      <c r="M99" s="29"/>
      <c r="N99" s="29"/>
    </row>
    <row r="100" spans="3:14" ht="24.95" customHeight="1" x14ac:dyDescent="0.3">
      <c r="C100" s="12"/>
      <c r="D100" s="25" t="s">
        <v>425</v>
      </c>
      <c r="E100" s="30" t="s">
        <v>525</v>
      </c>
      <c r="F100" s="27" t="s">
        <v>472</v>
      </c>
      <c r="G100" s="31" t="s">
        <v>167</v>
      </c>
      <c r="H100" s="27" t="s">
        <v>594</v>
      </c>
      <c r="I100" s="31"/>
      <c r="J100" s="27" t="s">
        <v>583</v>
      </c>
      <c r="K100" s="41" t="s">
        <v>2439</v>
      </c>
      <c r="L100" s="31" t="s">
        <v>19</v>
      </c>
      <c r="M100" s="29"/>
      <c r="N100" s="29"/>
    </row>
    <row r="101" spans="3:14" ht="24.95" customHeight="1" x14ac:dyDescent="0.3">
      <c r="C101" s="12"/>
      <c r="D101" s="25" t="s">
        <v>426</v>
      </c>
      <c r="E101" s="30" t="s">
        <v>526</v>
      </c>
      <c r="F101" s="27" t="s">
        <v>472</v>
      </c>
      <c r="G101" s="31" t="s">
        <v>205</v>
      </c>
      <c r="H101" s="27" t="s">
        <v>594</v>
      </c>
      <c r="I101" s="31"/>
      <c r="J101" s="27" t="s">
        <v>583</v>
      </c>
      <c r="K101" s="41" t="s">
        <v>2439</v>
      </c>
      <c r="L101" s="31" t="s">
        <v>19</v>
      </c>
      <c r="M101" s="29"/>
      <c r="N101" s="29"/>
    </row>
    <row r="102" spans="3:14" ht="24.95" customHeight="1" x14ac:dyDescent="0.3">
      <c r="C102" s="12"/>
      <c r="D102" s="25" t="s">
        <v>427</v>
      </c>
      <c r="E102" s="30" t="s">
        <v>527</v>
      </c>
      <c r="F102" s="27" t="s">
        <v>472</v>
      </c>
      <c r="G102" s="31" t="s">
        <v>169</v>
      </c>
      <c r="H102" s="27" t="s">
        <v>594</v>
      </c>
      <c r="I102" s="31"/>
      <c r="J102" s="27" t="s">
        <v>583</v>
      </c>
      <c r="K102" s="41" t="s">
        <v>2439</v>
      </c>
      <c r="L102" s="31" t="s">
        <v>19</v>
      </c>
      <c r="M102" s="29"/>
      <c r="N102" s="29"/>
    </row>
    <row r="103" spans="3:14" ht="24.95" customHeight="1" x14ac:dyDescent="0.3">
      <c r="C103" s="12"/>
      <c r="D103" s="25" t="s">
        <v>428</v>
      </c>
      <c r="E103" s="30" t="s">
        <v>528</v>
      </c>
      <c r="F103" s="27" t="s">
        <v>472</v>
      </c>
      <c r="G103" s="31" t="s">
        <v>255</v>
      </c>
      <c r="H103" s="27" t="s">
        <v>594</v>
      </c>
      <c r="I103" s="31"/>
      <c r="J103" s="27" t="s">
        <v>583</v>
      </c>
      <c r="K103" s="41" t="s">
        <v>2439</v>
      </c>
      <c r="L103" s="31" t="s">
        <v>19</v>
      </c>
      <c r="M103" s="29"/>
      <c r="N103" s="29"/>
    </row>
    <row r="104" spans="3:14" ht="24.95" customHeight="1" x14ac:dyDescent="0.3">
      <c r="C104" s="12"/>
      <c r="D104" s="25" t="s">
        <v>429</v>
      </c>
      <c r="E104" s="30" t="s">
        <v>529</v>
      </c>
      <c r="F104" s="27" t="s">
        <v>472</v>
      </c>
      <c r="G104" s="31" t="s">
        <v>175</v>
      </c>
      <c r="H104" s="27" t="s">
        <v>594</v>
      </c>
      <c r="I104" s="31"/>
      <c r="J104" s="27" t="s">
        <v>583</v>
      </c>
      <c r="K104" s="41" t="s">
        <v>2439</v>
      </c>
      <c r="L104" s="31" t="s">
        <v>19</v>
      </c>
      <c r="M104" s="29"/>
      <c r="N104" s="29"/>
    </row>
    <row r="105" spans="3:14" ht="24.95" customHeight="1" x14ac:dyDescent="0.3">
      <c r="C105" s="12"/>
      <c r="D105" s="25" t="s">
        <v>430</v>
      </c>
      <c r="E105" s="30" t="s">
        <v>530</v>
      </c>
      <c r="F105" s="27" t="s">
        <v>472</v>
      </c>
      <c r="G105" s="31" t="s">
        <v>257</v>
      </c>
      <c r="H105" s="27" t="s">
        <v>594</v>
      </c>
      <c r="I105" s="31"/>
      <c r="J105" s="27" t="s">
        <v>583</v>
      </c>
      <c r="K105" s="41" t="s">
        <v>2439</v>
      </c>
      <c r="L105" s="31" t="s">
        <v>19</v>
      </c>
      <c r="M105" s="29"/>
      <c r="N105" s="29"/>
    </row>
    <row r="106" spans="3:14" ht="24.95" customHeight="1" x14ac:dyDescent="0.3">
      <c r="C106" s="12"/>
      <c r="D106" s="25" t="s">
        <v>431</v>
      </c>
      <c r="E106" s="30" t="s">
        <v>531</v>
      </c>
      <c r="F106" s="27" t="s">
        <v>472</v>
      </c>
      <c r="G106" s="31" t="s">
        <v>249</v>
      </c>
      <c r="H106" s="27" t="s">
        <v>594</v>
      </c>
      <c r="I106" s="31"/>
      <c r="J106" s="27" t="s">
        <v>583</v>
      </c>
      <c r="K106" s="41" t="s">
        <v>2439</v>
      </c>
      <c r="L106" s="31" t="s">
        <v>19</v>
      </c>
      <c r="M106" s="29"/>
      <c r="N106" s="29"/>
    </row>
    <row r="107" spans="3:14" ht="24.95" customHeight="1" x14ac:dyDescent="0.3">
      <c r="C107" s="12"/>
      <c r="D107" s="25" t="s">
        <v>432</v>
      </c>
      <c r="E107" s="30" t="s">
        <v>532</v>
      </c>
      <c r="F107" s="27" t="s">
        <v>472</v>
      </c>
      <c r="G107" s="31" t="s">
        <v>259</v>
      </c>
      <c r="H107" s="27" t="s">
        <v>594</v>
      </c>
      <c r="I107" s="31"/>
      <c r="J107" s="27" t="s">
        <v>583</v>
      </c>
      <c r="K107" s="41" t="s">
        <v>2439</v>
      </c>
      <c r="L107" s="31" t="s">
        <v>19</v>
      </c>
      <c r="M107" s="29"/>
      <c r="N107" s="29"/>
    </row>
    <row r="108" spans="3:14" ht="24.95" customHeight="1" x14ac:dyDescent="0.3">
      <c r="C108" s="12"/>
      <c r="D108" s="25" t="s">
        <v>433</v>
      </c>
      <c r="E108" s="30" t="s">
        <v>533</v>
      </c>
      <c r="F108" s="27" t="s">
        <v>472</v>
      </c>
      <c r="G108" s="31" t="s">
        <v>251</v>
      </c>
      <c r="H108" s="27" t="s">
        <v>594</v>
      </c>
      <c r="I108" s="31"/>
      <c r="J108" s="27" t="s">
        <v>583</v>
      </c>
      <c r="K108" s="41" t="s">
        <v>2439</v>
      </c>
      <c r="L108" s="31" t="s">
        <v>19</v>
      </c>
      <c r="M108" s="29"/>
      <c r="N108" s="29"/>
    </row>
    <row r="109" spans="3:14" ht="24.95" customHeight="1" x14ac:dyDescent="0.3">
      <c r="C109" s="12"/>
      <c r="D109" s="25" t="s">
        <v>434</v>
      </c>
      <c r="E109" s="30" t="s">
        <v>534</v>
      </c>
      <c r="F109" s="27" t="s">
        <v>472</v>
      </c>
      <c r="G109" s="31" t="s">
        <v>120</v>
      </c>
      <c r="H109" s="27" t="s">
        <v>594</v>
      </c>
      <c r="I109" s="31"/>
      <c r="J109" s="31" t="s">
        <v>628</v>
      </c>
      <c r="K109" s="41" t="s">
        <v>2439</v>
      </c>
      <c r="L109" s="31" t="s">
        <v>19</v>
      </c>
      <c r="M109" s="29"/>
      <c r="N109" s="29"/>
    </row>
    <row r="110" spans="3:14" ht="24.95" customHeight="1" x14ac:dyDescent="0.3">
      <c r="C110" s="12"/>
      <c r="D110" s="25" t="s">
        <v>435</v>
      </c>
      <c r="E110" s="30" t="s">
        <v>535</v>
      </c>
      <c r="F110" s="27" t="s">
        <v>472</v>
      </c>
      <c r="G110" s="31" t="s">
        <v>632</v>
      </c>
      <c r="H110" s="31" t="s">
        <v>633</v>
      </c>
      <c r="I110" s="31"/>
      <c r="J110" s="31" t="s">
        <v>628</v>
      </c>
      <c r="K110" s="41" t="s">
        <v>2439</v>
      </c>
      <c r="L110" s="31" t="s">
        <v>19</v>
      </c>
      <c r="M110" s="29"/>
      <c r="N110" s="29"/>
    </row>
    <row r="111" spans="3:14" ht="24.95" customHeight="1" x14ac:dyDescent="0.3">
      <c r="C111" s="12"/>
      <c r="D111" s="25" t="s">
        <v>436</v>
      </c>
      <c r="E111" s="30" t="s">
        <v>536</v>
      </c>
      <c r="F111" s="27" t="s">
        <v>472</v>
      </c>
      <c r="G111" s="31" t="s">
        <v>173</v>
      </c>
      <c r="H111" s="31" t="s">
        <v>633</v>
      </c>
      <c r="I111" s="31"/>
      <c r="J111" s="31" t="s">
        <v>628</v>
      </c>
      <c r="K111" s="41" t="s">
        <v>2439</v>
      </c>
      <c r="L111" s="31" t="s">
        <v>19</v>
      </c>
      <c r="M111" s="29"/>
      <c r="N111" s="29"/>
    </row>
    <row r="112" spans="3:14" ht="24.95" customHeight="1" x14ac:dyDescent="0.3">
      <c r="C112" s="12"/>
      <c r="D112" s="25" t="s">
        <v>437</v>
      </c>
      <c r="E112" s="30" t="s">
        <v>537</v>
      </c>
      <c r="F112" s="27" t="s">
        <v>472</v>
      </c>
      <c r="G112" s="31" t="s">
        <v>188</v>
      </c>
      <c r="H112" s="31" t="s">
        <v>633</v>
      </c>
      <c r="I112" s="31"/>
      <c r="J112" s="31" t="s">
        <v>628</v>
      </c>
      <c r="K112" s="41" t="s">
        <v>2439</v>
      </c>
      <c r="L112" s="31" t="s">
        <v>19</v>
      </c>
      <c r="M112" s="29"/>
      <c r="N112" s="29"/>
    </row>
    <row r="113" spans="3:14" ht="24.95" customHeight="1" x14ac:dyDescent="0.3">
      <c r="C113" s="12"/>
      <c r="D113" s="25" t="s">
        <v>438</v>
      </c>
      <c r="E113" s="30" t="s">
        <v>538</v>
      </c>
      <c r="F113" s="27" t="s">
        <v>472</v>
      </c>
      <c r="G113" s="31" t="s">
        <v>194</v>
      </c>
      <c r="H113" s="31" t="s">
        <v>633</v>
      </c>
      <c r="I113" s="31"/>
      <c r="J113" s="31" t="s">
        <v>628</v>
      </c>
      <c r="K113" s="41" t="s">
        <v>2439</v>
      </c>
      <c r="L113" s="31" t="s">
        <v>19</v>
      </c>
      <c r="M113" s="29"/>
      <c r="N113" s="29"/>
    </row>
    <row r="114" spans="3:14" ht="24.95" customHeight="1" x14ac:dyDescent="0.3">
      <c r="C114" s="12"/>
      <c r="D114" s="25" t="s">
        <v>439</v>
      </c>
      <c r="E114" s="30" t="s">
        <v>539</v>
      </c>
      <c r="F114" s="27" t="s">
        <v>472</v>
      </c>
      <c r="G114" s="31" t="s">
        <v>622</v>
      </c>
      <c r="H114" s="27" t="s">
        <v>594</v>
      </c>
      <c r="I114" s="31"/>
      <c r="J114" s="31" t="s">
        <v>628</v>
      </c>
      <c r="K114" s="41" t="s">
        <v>2439</v>
      </c>
      <c r="L114" s="31" t="s">
        <v>24</v>
      </c>
      <c r="M114" s="29"/>
      <c r="N114" s="29"/>
    </row>
    <row r="115" spans="3:14" ht="24.95" customHeight="1" x14ac:dyDescent="0.3">
      <c r="C115" s="12"/>
      <c r="D115" s="25" t="s">
        <v>440</v>
      </c>
      <c r="E115" s="30" t="s">
        <v>540</v>
      </c>
      <c r="F115" s="27" t="s">
        <v>472</v>
      </c>
      <c r="G115" s="31" t="s">
        <v>122</v>
      </c>
      <c r="H115" s="27" t="s">
        <v>594</v>
      </c>
      <c r="I115" s="31"/>
      <c r="J115" s="31" t="s">
        <v>628</v>
      </c>
      <c r="K115" s="41" t="s">
        <v>2439</v>
      </c>
      <c r="L115" s="31" t="s">
        <v>19</v>
      </c>
      <c r="M115" s="29"/>
      <c r="N115" s="29"/>
    </row>
    <row r="116" spans="3:14" ht="24.95" customHeight="1" x14ac:dyDescent="0.3">
      <c r="C116" s="12"/>
      <c r="D116" s="25" t="s">
        <v>441</v>
      </c>
      <c r="E116" s="30" t="s">
        <v>541</v>
      </c>
      <c r="F116" s="27" t="s">
        <v>472</v>
      </c>
      <c r="G116" s="31" t="s">
        <v>126</v>
      </c>
      <c r="H116" s="31" t="s">
        <v>633</v>
      </c>
      <c r="I116" s="31" t="s">
        <v>654</v>
      </c>
      <c r="J116" s="31" t="s">
        <v>628</v>
      </c>
      <c r="K116" s="41" t="s">
        <v>2439</v>
      </c>
      <c r="L116" s="31" t="s">
        <v>19</v>
      </c>
      <c r="M116" s="29" t="s">
        <v>653</v>
      </c>
      <c r="N116" s="29"/>
    </row>
    <row r="117" spans="3:14" ht="24.95" customHeight="1" x14ac:dyDescent="0.3">
      <c r="C117" s="12"/>
      <c r="D117" s="25" t="s">
        <v>442</v>
      </c>
      <c r="E117" s="30" t="s">
        <v>542</v>
      </c>
      <c r="F117" s="27" t="s">
        <v>472</v>
      </c>
      <c r="G117" s="31" t="s">
        <v>196</v>
      </c>
      <c r="H117" s="27" t="s">
        <v>594</v>
      </c>
      <c r="I117" s="31" t="s">
        <v>654</v>
      </c>
      <c r="J117" s="31" t="s">
        <v>628</v>
      </c>
      <c r="K117" s="41" t="s">
        <v>2439</v>
      </c>
      <c r="L117" s="31" t="s">
        <v>19</v>
      </c>
      <c r="M117" s="29" t="s">
        <v>652</v>
      </c>
      <c r="N117" s="29"/>
    </row>
    <row r="118" spans="3:14" ht="24.95" customHeight="1" x14ac:dyDescent="0.3">
      <c r="C118" s="12"/>
      <c r="D118" s="25" t="s">
        <v>443</v>
      </c>
      <c r="E118" s="30" t="s">
        <v>543</v>
      </c>
      <c r="F118" s="27" t="s">
        <v>472</v>
      </c>
      <c r="G118" s="31" t="s">
        <v>637</v>
      </c>
      <c r="H118" s="31" t="s">
        <v>633</v>
      </c>
      <c r="I118" s="31" t="s">
        <v>654</v>
      </c>
      <c r="J118" s="31" t="s">
        <v>628</v>
      </c>
      <c r="K118" s="41" t="s">
        <v>2439</v>
      </c>
      <c r="L118" s="31" t="s">
        <v>19</v>
      </c>
      <c r="M118" s="29"/>
      <c r="N118" s="29"/>
    </row>
    <row r="119" spans="3:14" ht="24.95" customHeight="1" x14ac:dyDescent="0.3">
      <c r="C119" s="12"/>
      <c r="D119" s="25" t="s">
        <v>444</v>
      </c>
      <c r="E119" s="30" t="s">
        <v>544</v>
      </c>
      <c r="F119" s="27" t="s">
        <v>472</v>
      </c>
      <c r="G119" s="31" t="s">
        <v>216</v>
      </c>
      <c r="H119" s="27" t="s">
        <v>635</v>
      </c>
      <c r="I119" s="31" t="s">
        <v>654</v>
      </c>
      <c r="J119" s="31" t="s">
        <v>628</v>
      </c>
      <c r="K119" s="41" t="s">
        <v>2439</v>
      </c>
      <c r="L119" s="31" t="s">
        <v>19</v>
      </c>
      <c r="M119" s="29"/>
      <c r="N119" s="29"/>
    </row>
    <row r="120" spans="3:14" ht="24.95" customHeight="1" x14ac:dyDescent="0.3">
      <c r="C120" s="12"/>
      <c r="D120" s="25" t="s">
        <v>445</v>
      </c>
      <c r="E120" s="30" t="s">
        <v>545</v>
      </c>
      <c r="F120" s="27" t="s">
        <v>472</v>
      </c>
      <c r="G120" s="31" t="s">
        <v>191</v>
      </c>
      <c r="H120" s="31" t="s">
        <v>633</v>
      </c>
      <c r="I120" s="31" t="s">
        <v>654</v>
      </c>
      <c r="J120" s="31" t="s">
        <v>628</v>
      </c>
      <c r="K120" s="41" t="s">
        <v>2439</v>
      </c>
      <c r="L120" s="31" t="s">
        <v>19</v>
      </c>
      <c r="M120" s="29"/>
      <c r="N120" s="29"/>
    </row>
    <row r="121" spans="3:14" ht="24.95" customHeight="1" x14ac:dyDescent="0.3">
      <c r="C121" s="12"/>
      <c r="D121" s="25" t="s">
        <v>446</v>
      </c>
      <c r="E121" s="30" t="s">
        <v>546</v>
      </c>
      <c r="F121" s="27" t="s">
        <v>472</v>
      </c>
      <c r="G121" s="31" t="s">
        <v>181</v>
      </c>
      <c r="H121" s="27" t="s">
        <v>594</v>
      </c>
      <c r="I121" s="31" t="s">
        <v>654</v>
      </c>
      <c r="J121" s="31" t="s">
        <v>628</v>
      </c>
      <c r="K121" s="41" t="s">
        <v>2439</v>
      </c>
      <c r="L121" s="31" t="s">
        <v>19</v>
      </c>
      <c r="M121" s="29"/>
      <c r="N121" s="29"/>
    </row>
    <row r="122" spans="3:14" ht="24.95" customHeight="1" x14ac:dyDescent="0.3">
      <c r="C122" s="12"/>
      <c r="D122" s="25" t="s">
        <v>447</v>
      </c>
      <c r="E122" s="30" t="s">
        <v>547</v>
      </c>
      <c r="F122" s="27" t="s">
        <v>472</v>
      </c>
      <c r="G122" s="31" t="s">
        <v>636</v>
      </c>
      <c r="H122" s="27" t="s">
        <v>594</v>
      </c>
      <c r="I122" s="31" t="s">
        <v>654</v>
      </c>
      <c r="J122" s="31" t="s">
        <v>628</v>
      </c>
      <c r="K122" s="41" t="s">
        <v>2439</v>
      </c>
      <c r="L122" s="31" t="s">
        <v>19</v>
      </c>
      <c r="M122" s="29"/>
      <c r="N122" s="29"/>
    </row>
    <row r="123" spans="3:14" ht="24.95" customHeight="1" x14ac:dyDescent="0.3">
      <c r="C123" s="12"/>
      <c r="D123" s="25" t="s">
        <v>448</v>
      </c>
      <c r="E123" s="30" t="s">
        <v>548</v>
      </c>
      <c r="F123" s="27" t="s">
        <v>472</v>
      </c>
      <c r="G123" s="31" t="s">
        <v>128</v>
      </c>
      <c r="H123" s="31" t="s">
        <v>633</v>
      </c>
      <c r="I123" s="31" t="s">
        <v>654</v>
      </c>
      <c r="J123" s="31" t="s">
        <v>628</v>
      </c>
      <c r="K123" s="41" t="s">
        <v>2439</v>
      </c>
      <c r="L123" s="31" t="s">
        <v>19</v>
      </c>
      <c r="M123" s="29"/>
      <c r="N123" s="29"/>
    </row>
    <row r="124" spans="3:14" ht="24.95" customHeight="1" x14ac:dyDescent="0.3">
      <c r="C124" s="12"/>
      <c r="D124" s="25" t="s">
        <v>449</v>
      </c>
      <c r="E124" s="30" t="s">
        <v>549</v>
      </c>
      <c r="F124" s="27" t="s">
        <v>472</v>
      </c>
      <c r="G124" s="31" t="s">
        <v>234</v>
      </c>
      <c r="H124" s="27" t="s">
        <v>594</v>
      </c>
      <c r="I124" s="31"/>
      <c r="J124" s="31" t="s">
        <v>628</v>
      </c>
      <c r="K124" s="41" t="s">
        <v>2439</v>
      </c>
      <c r="L124" s="31" t="s">
        <v>19</v>
      </c>
      <c r="M124" s="29"/>
      <c r="N124" s="29"/>
    </row>
    <row r="125" spans="3:14" ht="24.95" customHeight="1" x14ac:dyDescent="0.3">
      <c r="C125" s="12"/>
      <c r="D125" s="25" t="s">
        <v>450</v>
      </c>
      <c r="E125" s="30" t="s">
        <v>550</v>
      </c>
      <c r="F125" s="27" t="s">
        <v>472</v>
      </c>
      <c r="G125" s="31" t="s">
        <v>177</v>
      </c>
      <c r="H125" s="31" t="s">
        <v>633</v>
      </c>
      <c r="I125" s="31" t="s">
        <v>654</v>
      </c>
      <c r="J125" s="31" t="s">
        <v>628</v>
      </c>
      <c r="K125" s="41" t="s">
        <v>2439</v>
      </c>
      <c r="L125" s="31" t="s">
        <v>19</v>
      </c>
      <c r="M125" s="29"/>
      <c r="N125" s="29"/>
    </row>
    <row r="126" spans="3:14" ht="24.95" customHeight="1" x14ac:dyDescent="0.3">
      <c r="C126" s="12"/>
      <c r="D126" s="25" t="s">
        <v>451</v>
      </c>
      <c r="E126" s="30" t="s">
        <v>551</v>
      </c>
      <c r="F126" s="27" t="s">
        <v>472</v>
      </c>
      <c r="G126" s="31" t="s">
        <v>623</v>
      </c>
      <c r="H126" s="31" t="s">
        <v>602</v>
      </c>
      <c r="I126" s="31"/>
      <c r="J126" s="31" t="s">
        <v>629</v>
      </c>
      <c r="K126" s="41" t="s">
        <v>2439</v>
      </c>
      <c r="L126" s="31" t="s">
        <v>19</v>
      </c>
      <c r="M126" s="32" t="s">
        <v>630</v>
      </c>
      <c r="N126" s="32"/>
    </row>
    <row r="127" spans="3:14" ht="24.95" customHeight="1" x14ac:dyDescent="0.3">
      <c r="C127" s="12"/>
      <c r="D127" s="25" t="s">
        <v>452</v>
      </c>
      <c r="E127" s="30" t="s">
        <v>552</v>
      </c>
      <c r="F127" s="27" t="s">
        <v>472</v>
      </c>
      <c r="G127" s="31" t="s">
        <v>227</v>
      </c>
      <c r="H127" s="27" t="s">
        <v>635</v>
      </c>
      <c r="I127" s="31"/>
      <c r="J127" s="31" t="s">
        <v>628</v>
      </c>
      <c r="K127" s="41" t="s">
        <v>2439</v>
      </c>
      <c r="L127" s="31" t="s">
        <v>19</v>
      </c>
      <c r="M127" s="29"/>
      <c r="N127" s="29"/>
    </row>
    <row r="128" spans="3:14" ht="24.95" customHeight="1" x14ac:dyDescent="0.3">
      <c r="C128" s="12"/>
      <c r="D128" s="25" t="s">
        <v>453</v>
      </c>
      <c r="E128" s="30" t="s">
        <v>553</v>
      </c>
      <c r="F128" s="27" t="s">
        <v>472</v>
      </c>
      <c r="G128" s="31" t="s">
        <v>221</v>
      </c>
      <c r="H128" s="27" t="s">
        <v>635</v>
      </c>
      <c r="I128" s="31"/>
      <c r="J128" s="31" t="s">
        <v>628</v>
      </c>
      <c r="K128" s="41" t="s">
        <v>2439</v>
      </c>
      <c r="L128" s="31" t="s">
        <v>19</v>
      </c>
      <c r="M128" s="29"/>
      <c r="N128" s="29"/>
    </row>
    <row r="129" spans="3:14" ht="24.95" customHeight="1" x14ac:dyDescent="0.3">
      <c r="C129" s="12"/>
      <c r="D129" s="25" t="s">
        <v>454</v>
      </c>
      <c r="E129" s="30" t="s">
        <v>554</v>
      </c>
      <c r="F129" s="27" t="s">
        <v>472</v>
      </c>
      <c r="G129" s="31" t="s">
        <v>223</v>
      </c>
      <c r="H129" s="27" t="s">
        <v>635</v>
      </c>
      <c r="I129" s="31"/>
      <c r="J129" s="31" t="s">
        <v>628</v>
      </c>
      <c r="K129" s="41" t="s">
        <v>2439</v>
      </c>
      <c r="L129" s="31" t="s">
        <v>19</v>
      </c>
      <c r="M129" s="29"/>
      <c r="N129" s="29"/>
    </row>
    <row r="130" spans="3:14" ht="24.95" customHeight="1" x14ac:dyDescent="0.3">
      <c r="C130" s="12"/>
      <c r="D130" s="25" t="s">
        <v>455</v>
      </c>
      <c r="E130" s="30" t="s">
        <v>555</v>
      </c>
      <c r="F130" s="27" t="s">
        <v>472</v>
      </c>
      <c r="G130" s="31" t="s">
        <v>218</v>
      </c>
      <c r="H130" s="27" t="s">
        <v>635</v>
      </c>
      <c r="I130" s="31"/>
      <c r="J130" s="31" t="s">
        <v>625</v>
      </c>
      <c r="K130" s="41" t="s">
        <v>2439</v>
      </c>
      <c r="L130" s="31" t="s">
        <v>19</v>
      </c>
      <c r="M130" s="29"/>
      <c r="N130" s="29"/>
    </row>
    <row r="131" spans="3:14" ht="24.95" customHeight="1" x14ac:dyDescent="0.3">
      <c r="C131" s="12"/>
      <c r="D131" s="25" t="s">
        <v>456</v>
      </c>
      <c r="E131" s="30" t="s">
        <v>556</v>
      </c>
      <c r="F131" s="27" t="s">
        <v>472</v>
      </c>
      <c r="G131" s="31" t="s">
        <v>225</v>
      </c>
      <c r="H131" s="27" t="s">
        <v>635</v>
      </c>
      <c r="I131" s="31"/>
      <c r="J131" s="31" t="s">
        <v>628</v>
      </c>
      <c r="K131" s="41" t="s">
        <v>2439</v>
      </c>
      <c r="L131" s="31" t="s">
        <v>24</v>
      </c>
      <c r="M131" s="29"/>
      <c r="N131" s="29"/>
    </row>
    <row r="132" spans="3:14" ht="24.95" customHeight="1" x14ac:dyDescent="0.3">
      <c r="C132" s="12"/>
      <c r="D132" s="25" t="s">
        <v>457</v>
      </c>
      <c r="E132" s="30" t="s">
        <v>557</v>
      </c>
      <c r="F132" s="27" t="s">
        <v>472</v>
      </c>
      <c r="G132" s="31" t="s">
        <v>290</v>
      </c>
      <c r="H132" s="27" t="s">
        <v>594</v>
      </c>
      <c r="I132" s="31" t="s">
        <v>654</v>
      </c>
      <c r="J132" s="31" t="s">
        <v>628</v>
      </c>
      <c r="K132" s="41" t="s">
        <v>2439</v>
      </c>
      <c r="L132" s="31" t="s">
        <v>19</v>
      </c>
      <c r="M132" s="29"/>
      <c r="N132" s="29"/>
    </row>
    <row r="133" spans="3:14" ht="24.95" customHeight="1" x14ac:dyDescent="0.3">
      <c r="C133" s="12"/>
      <c r="D133" s="25" t="s">
        <v>458</v>
      </c>
      <c r="E133" s="30" t="s">
        <v>558</v>
      </c>
      <c r="F133" s="27" t="s">
        <v>472</v>
      </c>
      <c r="G133" s="31" t="s">
        <v>245</v>
      </c>
      <c r="H133" s="27" t="s">
        <v>594</v>
      </c>
      <c r="I133" s="31" t="s">
        <v>654</v>
      </c>
      <c r="J133" s="31" t="s">
        <v>628</v>
      </c>
      <c r="K133" s="41" t="s">
        <v>2439</v>
      </c>
      <c r="L133" s="31" t="s">
        <v>19</v>
      </c>
      <c r="M133" s="29"/>
      <c r="N133" s="29"/>
    </row>
    <row r="134" spans="3:14" ht="24.95" customHeight="1" x14ac:dyDescent="0.3">
      <c r="C134" s="12"/>
      <c r="D134" s="25" t="s">
        <v>459</v>
      </c>
      <c r="E134" s="30" t="s">
        <v>559</v>
      </c>
      <c r="F134" s="27" t="s">
        <v>472</v>
      </c>
      <c r="G134" s="31" t="s">
        <v>626</v>
      </c>
      <c r="H134" s="27" t="s">
        <v>594</v>
      </c>
      <c r="I134" s="31" t="s">
        <v>654</v>
      </c>
      <c r="J134" s="31" t="s">
        <v>628</v>
      </c>
      <c r="K134" s="41" t="s">
        <v>2439</v>
      </c>
      <c r="L134" s="31" t="s">
        <v>19</v>
      </c>
      <c r="M134" s="29"/>
      <c r="N134" s="29"/>
    </row>
    <row r="135" spans="3:14" ht="24.95" customHeight="1" x14ac:dyDescent="0.3">
      <c r="C135" s="12"/>
      <c r="D135" s="25" t="s">
        <v>460</v>
      </c>
      <c r="E135" s="30" t="s">
        <v>560</v>
      </c>
      <c r="F135" s="27" t="s">
        <v>472</v>
      </c>
      <c r="G135" s="31" t="s">
        <v>147</v>
      </c>
      <c r="H135" s="31" t="s">
        <v>633</v>
      </c>
      <c r="I135" s="31"/>
      <c r="J135" s="31" t="s">
        <v>628</v>
      </c>
      <c r="K135" s="41" t="s">
        <v>2439</v>
      </c>
      <c r="L135" s="31" t="s">
        <v>19</v>
      </c>
      <c r="M135" s="29"/>
      <c r="N135" s="29"/>
    </row>
    <row r="136" spans="3:14" ht="24.95" customHeight="1" x14ac:dyDescent="0.3">
      <c r="C136" s="12"/>
      <c r="D136" s="25" t="s">
        <v>461</v>
      </c>
      <c r="E136" s="30" t="s">
        <v>561</v>
      </c>
      <c r="F136" s="27" t="s">
        <v>472</v>
      </c>
      <c r="G136" s="31" t="s">
        <v>281</v>
      </c>
      <c r="H136" s="27" t="s">
        <v>594</v>
      </c>
      <c r="I136" s="31"/>
      <c r="J136" s="31" t="s">
        <v>628</v>
      </c>
      <c r="K136" s="41" t="s">
        <v>2439</v>
      </c>
      <c r="L136" s="31" t="s">
        <v>19</v>
      </c>
      <c r="M136" s="29"/>
      <c r="N136" s="29"/>
    </row>
    <row r="137" spans="3:14" ht="24.95" customHeight="1" x14ac:dyDescent="0.3">
      <c r="C137" s="12"/>
      <c r="D137" s="25" t="s">
        <v>462</v>
      </c>
      <c r="E137" s="30" t="s">
        <v>562</v>
      </c>
      <c r="F137" s="27" t="s">
        <v>472</v>
      </c>
      <c r="G137" s="31" t="s">
        <v>268</v>
      </c>
      <c r="H137" s="27" t="s">
        <v>634</v>
      </c>
      <c r="I137" s="31"/>
      <c r="J137" s="31" t="s">
        <v>627</v>
      </c>
      <c r="K137" s="41" t="s">
        <v>2439</v>
      </c>
      <c r="L137" s="31" t="s">
        <v>24</v>
      </c>
      <c r="M137" s="29"/>
      <c r="N137" s="29"/>
    </row>
    <row r="138" spans="3:14" ht="24.95" customHeight="1" x14ac:dyDescent="0.3">
      <c r="C138" s="12"/>
      <c r="D138" s="25" t="s">
        <v>463</v>
      </c>
      <c r="E138" s="30" t="s">
        <v>631</v>
      </c>
      <c r="F138" s="27" t="s">
        <v>472</v>
      </c>
      <c r="G138" s="31" t="s">
        <v>93</v>
      </c>
      <c r="H138" s="27" t="s">
        <v>639</v>
      </c>
      <c r="I138" s="31"/>
      <c r="J138" s="31" t="s">
        <v>625</v>
      </c>
      <c r="K138" s="41" t="s">
        <v>2439</v>
      </c>
      <c r="L138" s="31" t="s">
        <v>19</v>
      </c>
      <c r="M138" s="29"/>
      <c r="N138" s="29"/>
    </row>
    <row r="139" spans="3:14" ht="24.95" customHeight="1" x14ac:dyDescent="0.3">
      <c r="C139" s="12"/>
      <c r="D139" s="25" t="s">
        <v>566</v>
      </c>
      <c r="E139" s="30" t="s">
        <v>563</v>
      </c>
      <c r="F139" s="27" t="s">
        <v>472</v>
      </c>
      <c r="G139" s="31" t="s">
        <v>95</v>
      </c>
      <c r="H139" s="27" t="s">
        <v>638</v>
      </c>
      <c r="I139" s="31"/>
      <c r="J139" s="31" t="s">
        <v>625</v>
      </c>
      <c r="K139" s="196" t="s">
        <v>2436</v>
      </c>
      <c r="L139" s="31" t="s">
        <v>24</v>
      </c>
      <c r="M139" s="29"/>
      <c r="N139" s="29"/>
    </row>
    <row r="140" spans="3:14" ht="24.95" customHeight="1" x14ac:dyDescent="0.3">
      <c r="C140" s="12"/>
      <c r="D140" s="25" t="s">
        <v>567</v>
      </c>
      <c r="E140" s="30" t="s">
        <v>564</v>
      </c>
      <c r="F140" s="27" t="s">
        <v>472</v>
      </c>
      <c r="G140" s="31" t="s">
        <v>641</v>
      </c>
      <c r="H140" s="31" t="s">
        <v>640</v>
      </c>
      <c r="I140" s="31"/>
      <c r="J140" s="31" t="s">
        <v>625</v>
      </c>
      <c r="K140" s="196" t="s">
        <v>2436</v>
      </c>
      <c r="L140" s="31" t="s">
        <v>24</v>
      </c>
      <c r="M140" s="29"/>
      <c r="N140" s="29"/>
    </row>
    <row r="141" spans="3:14" ht="24.95" customHeight="1" x14ac:dyDescent="0.3">
      <c r="C141" s="12"/>
      <c r="D141" s="25" t="s">
        <v>568</v>
      </c>
      <c r="E141" s="30" t="s">
        <v>569</v>
      </c>
      <c r="F141" s="27" t="s">
        <v>472</v>
      </c>
      <c r="G141" s="31" t="s">
        <v>642</v>
      </c>
      <c r="H141" s="27" t="s">
        <v>638</v>
      </c>
      <c r="I141" s="31"/>
      <c r="J141" s="31" t="s">
        <v>625</v>
      </c>
      <c r="K141" s="196" t="s">
        <v>2436</v>
      </c>
      <c r="L141" s="31" t="s">
        <v>24</v>
      </c>
      <c r="M141" s="29"/>
      <c r="N141" s="29"/>
    </row>
    <row r="142" spans="3:14" ht="24.95" customHeight="1" x14ac:dyDescent="0.3">
      <c r="C142" s="12"/>
      <c r="D142" s="25" t="s">
        <v>464</v>
      </c>
      <c r="E142" s="30" t="s">
        <v>570</v>
      </c>
      <c r="F142" s="27" t="s">
        <v>472</v>
      </c>
      <c r="G142" s="31" t="s">
        <v>643</v>
      </c>
      <c r="H142" s="27" t="s">
        <v>638</v>
      </c>
      <c r="I142" s="31"/>
      <c r="J142" s="31" t="s">
        <v>625</v>
      </c>
      <c r="K142" s="196" t="s">
        <v>2436</v>
      </c>
      <c r="L142" s="31" t="s">
        <v>24</v>
      </c>
      <c r="M142" s="29"/>
      <c r="N142" s="29"/>
    </row>
    <row r="143" spans="3:14" ht="48.75" customHeight="1" x14ac:dyDescent="0.3">
      <c r="C143" s="12"/>
      <c r="D143" s="25" t="s">
        <v>465</v>
      </c>
      <c r="E143" s="30" t="s">
        <v>565</v>
      </c>
      <c r="F143" s="27" t="s">
        <v>472</v>
      </c>
      <c r="G143" s="27" t="s">
        <v>644</v>
      </c>
      <c r="H143" s="27" t="s">
        <v>645</v>
      </c>
      <c r="I143" s="31"/>
      <c r="J143" s="31" t="s">
        <v>625</v>
      </c>
      <c r="K143" s="41" t="s">
        <v>2439</v>
      </c>
      <c r="L143" s="31" t="s">
        <v>19</v>
      </c>
      <c r="M143" s="29"/>
      <c r="N143" s="29"/>
    </row>
    <row r="144" spans="3:14" ht="24.95" customHeight="1" x14ac:dyDescent="0.3">
      <c r="C144" s="12"/>
      <c r="D144" s="25" t="s">
        <v>466</v>
      </c>
      <c r="E144" s="186" t="s">
        <v>646</v>
      </c>
      <c r="F144" s="27" t="s">
        <v>472</v>
      </c>
      <c r="G144" s="31" t="s">
        <v>649</v>
      </c>
      <c r="H144" s="31" t="s">
        <v>647</v>
      </c>
      <c r="I144" s="31"/>
      <c r="J144" s="31" t="s">
        <v>583</v>
      </c>
      <c r="K144" s="41" t="s">
        <v>2439</v>
      </c>
      <c r="L144" s="31" t="s">
        <v>19</v>
      </c>
      <c r="M144" s="29"/>
      <c r="N144" s="29"/>
    </row>
    <row r="145" spans="3:14" ht="24.95" customHeight="1" x14ac:dyDescent="0.3">
      <c r="C145" s="12"/>
      <c r="D145" s="25" t="s">
        <v>467</v>
      </c>
      <c r="E145" s="30" t="s">
        <v>575</v>
      </c>
      <c r="F145" s="27" t="s">
        <v>472</v>
      </c>
      <c r="G145" s="31" t="s">
        <v>650</v>
      </c>
      <c r="H145" s="31" t="s">
        <v>647</v>
      </c>
      <c r="I145" s="31"/>
      <c r="J145" s="31" t="s">
        <v>583</v>
      </c>
      <c r="K145" s="41" t="s">
        <v>2439</v>
      </c>
      <c r="L145" s="31" t="s">
        <v>2377</v>
      </c>
      <c r="M145" s="29"/>
      <c r="N145" s="29"/>
    </row>
    <row r="146" spans="3:14" ht="24.95" customHeight="1" x14ac:dyDescent="0.3">
      <c r="C146" s="12"/>
      <c r="D146" s="25" t="s">
        <v>468</v>
      </c>
      <c r="E146" s="30" t="s">
        <v>571</v>
      </c>
      <c r="F146" s="27" t="s">
        <v>472</v>
      </c>
      <c r="G146" s="31" t="s">
        <v>275</v>
      </c>
      <c r="H146" s="31" t="s">
        <v>647</v>
      </c>
      <c r="I146" s="31"/>
      <c r="J146" s="31" t="s">
        <v>583</v>
      </c>
      <c r="K146" s="41" t="s">
        <v>2439</v>
      </c>
      <c r="L146" s="31" t="s">
        <v>19</v>
      </c>
      <c r="M146" s="29"/>
      <c r="N146" s="29"/>
    </row>
    <row r="147" spans="3:14" ht="24.95" customHeight="1" x14ac:dyDescent="0.3">
      <c r="C147" s="12"/>
      <c r="D147" s="25" t="s">
        <v>469</v>
      </c>
      <c r="E147" s="30" t="s">
        <v>572</v>
      </c>
      <c r="F147" s="27" t="s">
        <v>472</v>
      </c>
      <c r="G147" s="31" t="s">
        <v>279</v>
      </c>
      <c r="H147" s="31" t="s">
        <v>647</v>
      </c>
      <c r="I147" s="31"/>
      <c r="J147" s="31" t="s">
        <v>583</v>
      </c>
      <c r="K147" s="41" t="s">
        <v>2440</v>
      </c>
      <c r="L147" s="31" t="s">
        <v>19</v>
      </c>
      <c r="M147" s="29"/>
      <c r="N147" s="29"/>
    </row>
    <row r="148" spans="3:14" ht="24.95" customHeight="1" x14ac:dyDescent="0.3">
      <c r="C148" s="12"/>
      <c r="D148" s="33" t="s">
        <v>574</v>
      </c>
      <c r="E148" s="34" t="s">
        <v>573</v>
      </c>
      <c r="F148" s="35" t="s">
        <v>472</v>
      </c>
      <c r="G148" s="36" t="s">
        <v>277</v>
      </c>
      <c r="H148" s="36" t="s">
        <v>651</v>
      </c>
      <c r="I148" s="36"/>
      <c r="J148" s="36" t="s">
        <v>648</v>
      </c>
      <c r="K148" s="36" t="s">
        <v>2441</v>
      </c>
      <c r="L148" s="36" t="s">
        <v>19</v>
      </c>
      <c r="M148" s="38"/>
      <c r="N148" s="38"/>
    </row>
    <row r="149" spans="3:14" x14ac:dyDescent="0.3">
      <c r="D149" s="16"/>
      <c r="J149" s="220" t="s">
        <v>2512</v>
      </c>
      <c r="K149" s="221">
        <v>10</v>
      </c>
    </row>
    <row r="150" spans="3:14" ht="5.0999999999999996" customHeight="1" x14ac:dyDescent="0.3">
      <c r="D150" s="16"/>
    </row>
    <row r="151" spans="3:14" x14ac:dyDescent="0.3">
      <c r="C151" s="80">
        <v>3</v>
      </c>
      <c r="D151" s="353" t="s">
        <v>1515</v>
      </c>
      <c r="E151" s="353"/>
      <c r="F151" s="353"/>
      <c r="G151" s="353"/>
      <c r="H151" s="353"/>
      <c r="I151" s="353"/>
      <c r="J151" s="353"/>
      <c r="K151" s="353"/>
      <c r="L151" s="353"/>
      <c r="M151" s="353"/>
      <c r="N151" s="183"/>
    </row>
    <row r="152" spans="3:14" x14ac:dyDescent="0.3">
      <c r="C152" s="1" t="s">
        <v>2192</v>
      </c>
      <c r="D152" t="s">
        <v>2193</v>
      </c>
    </row>
    <row r="154" spans="3:14" x14ac:dyDescent="0.3">
      <c r="C154" s="84">
        <v>4</v>
      </c>
      <c r="D154" s="335" t="s">
        <v>2360</v>
      </c>
      <c r="E154" s="335"/>
      <c r="F154" s="335"/>
      <c r="G154" s="335"/>
      <c r="H154" s="335"/>
      <c r="I154" s="335"/>
      <c r="J154" s="335"/>
      <c r="K154" s="335"/>
      <c r="L154" s="335"/>
      <c r="M154" s="335"/>
      <c r="N154" s="183"/>
    </row>
    <row r="155" spans="3:14" x14ac:dyDescent="0.3">
      <c r="D155" s="351"/>
      <c r="E155" s="351"/>
      <c r="F155" s="351"/>
      <c r="G155" s="351"/>
      <c r="H155" s="351"/>
      <c r="I155" s="351"/>
      <c r="J155" s="351"/>
      <c r="K155" s="351"/>
      <c r="L155" s="351"/>
      <c r="M155" s="351"/>
      <c r="N155" s="351"/>
    </row>
    <row r="156" spans="3:14" x14ac:dyDescent="0.3">
      <c r="D156" s="342" t="s">
        <v>2363</v>
      </c>
      <c r="E156" s="342"/>
      <c r="F156" s="342"/>
      <c r="G156" s="342"/>
      <c r="H156" s="342"/>
      <c r="I156" s="342"/>
      <c r="J156" s="342"/>
      <c r="K156" s="342"/>
      <c r="L156" s="342"/>
      <c r="M156" s="342"/>
      <c r="N156" s="342"/>
    </row>
    <row r="157" spans="3:14" x14ac:dyDescent="0.3">
      <c r="D157" s="340" t="s">
        <v>2361</v>
      </c>
      <c r="E157" s="340"/>
      <c r="F157" s="340"/>
      <c r="G157" s="340"/>
      <c r="H157" s="340"/>
      <c r="I157" s="340"/>
      <c r="J157" s="340"/>
      <c r="K157" s="340"/>
      <c r="L157" s="340"/>
      <c r="M157" s="340"/>
      <c r="N157" s="340"/>
    </row>
    <row r="158" spans="3:14" ht="74.25" customHeight="1" x14ac:dyDescent="0.3">
      <c r="D158" s="352" t="s">
        <v>2362</v>
      </c>
      <c r="E158" s="352"/>
      <c r="F158" s="352"/>
      <c r="G158" s="352"/>
      <c r="H158" s="352"/>
      <c r="I158" s="352"/>
      <c r="J158" s="352"/>
      <c r="K158" s="352"/>
      <c r="L158" s="352"/>
      <c r="M158" s="352"/>
      <c r="N158" s="352"/>
    </row>
    <row r="159" spans="3:14" x14ac:dyDescent="0.3">
      <c r="D159" s="336"/>
      <c r="E159" s="336"/>
      <c r="F159" s="336"/>
      <c r="G159" s="336"/>
      <c r="H159" s="336"/>
      <c r="I159" s="336"/>
      <c r="J159" s="336"/>
      <c r="K159" s="336"/>
      <c r="L159" s="336"/>
      <c r="M159" s="336"/>
      <c r="N159" s="336"/>
    </row>
    <row r="160" spans="3:14" x14ac:dyDescent="0.3">
      <c r="D160" s="349" t="s">
        <v>2364</v>
      </c>
      <c r="E160" s="350"/>
      <c r="F160" s="350"/>
      <c r="G160" s="350"/>
      <c r="H160" s="350"/>
      <c r="I160" s="350"/>
      <c r="J160" s="350"/>
      <c r="K160" s="350"/>
      <c r="L160" s="350"/>
      <c r="M160" s="350"/>
      <c r="N160" s="350"/>
    </row>
    <row r="161" spans="3:14" x14ac:dyDescent="0.3">
      <c r="D161" s="336"/>
      <c r="E161" s="336"/>
      <c r="F161" s="336"/>
      <c r="G161" s="336"/>
      <c r="H161" s="336"/>
      <c r="I161" s="336"/>
      <c r="J161" s="336"/>
      <c r="K161" s="336"/>
      <c r="L161" s="336"/>
      <c r="M161" s="336"/>
      <c r="N161" s="336"/>
    </row>
    <row r="162" spans="3:14" x14ac:dyDescent="0.3">
      <c r="D162" s="336"/>
      <c r="E162" s="336"/>
      <c r="F162" s="336"/>
      <c r="G162" s="336"/>
      <c r="H162" s="336"/>
      <c r="I162" s="336"/>
      <c r="J162" s="336"/>
      <c r="K162" s="336"/>
      <c r="L162" s="336"/>
      <c r="M162" s="336"/>
      <c r="N162" s="336"/>
    </row>
    <row r="163" spans="3:14" x14ac:dyDescent="0.3">
      <c r="C163" s="187">
        <v>5</v>
      </c>
      <c r="D163" s="335" t="s">
        <v>2381</v>
      </c>
      <c r="E163" s="335"/>
      <c r="F163" s="335"/>
      <c r="G163" s="335"/>
      <c r="H163" s="335"/>
      <c r="I163" s="335"/>
      <c r="J163" s="335"/>
      <c r="K163" s="335"/>
      <c r="L163" s="335"/>
      <c r="M163" s="335"/>
      <c r="N163" s="183"/>
    </row>
    <row r="164" spans="3:14" x14ac:dyDescent="0.3">
      <c r="C164" s="1" t="s">
        <v>2390</v>
      </c>
      <c r="D164" s="348" t="s">
        <v>2378</v>
      </c>
      <c r="E164" s="336"/>
      <c r="F164" s="336"/>
      <c r="G164" s="336"/>
      <c r="H164" s="336"/>
      <c r="I164" s="336"/>
      <c r="J164" s="336"/>
      <c r="K164" s="336"/>
      <c r="L164" s="336"/>
      <c r="M164" s="336"/>
      <c r="N164" s="190"/>
    </row>
    <row r="165" spans="3:14" x14ac:dyDescent="0.3">
      <c r="C165" s="188" t="s">
        <v>2392</v>
      </c>
      <c r="E165" s="348" t="s">
        <v>2391</v>
      </c>
      <c r="F165" s="336"/>
      <c r="G165" s="336"/>
      <c r="H165" s="336"/>
      <c r="I165" s="336"/>
      <c r="J165" s="336"/>
      <c r="K165" s="336"/>
      <c r="L165" s="336"/>
      <c r="M165" s="336"/>
    </row>
  </sheetData>
  <mergeCells count="18">
    <mergeCell ref="B2:K2"/>
    <mergeCell ref="D42:M42"/>
    <mergeCell ref="D4:M4"/>
    <mergeCell ref="D6:M6"/>
    <mergeCell ref="D151:M151"/>
    <mergeCell ref="D44:M44"/>
    <mergeCell ref="D156:N156"/>
    <mergeCell ref="D155:N155"/>
    <mergeCell ref="D157:N157"/>
    <mergeCell ref="D158:N158"/>
    <mergeCell ref="D154:M154"/>
    <mergeCell ref="E165:M165"/>
    <mergeCell ref="D159:N159"/>
    <mergeCell ref="D160:N160"/>
    <mergeCell ref="D162:N162"/>
    <mergeCell ref="D161:N161"/>
    <mergeCell ref="D163:M163"/>
    <mergeCell ref="D164:M164"/>
  </mergeCells>
  <phoneticPr fontId="2" type="noConversion"/>
  <hyperlinks>
    <hyperlink ref="D151:M151" location="SQL!B3" display="AS-IS 화면 조회 SQL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5"/>
  <sheetViews>
    <sheetView showGridLines="0" topLeftCell="A94" zoomScale="82" zoomScaleNormal="82" workbookViewId="0">
      <selection activeCell="M106" sqref="M106"/>
    </sheetView>
  </sheetViews>
  <sheetFormatPr defaultRowHeight="16.5" x14ac:dyDescent="0.3"/>
  <cols>
    <col min="1" max="1" width="3.75" bestFit="1" customWidth="1"/>
    <col min="2" max="2" width="3.75" customWidth="1"/>
    <col min="3" max="3" width="13.625" bestFit="1" customWidth="1"/>
    <col min="4" max="4" width="8.875" customWidth="1"/>
    <col min="5" max="5" width="23.5" style="1" customWidth="1"/>
    <col min="6" max="6" width="20.25" customWidth="1"/>
    <col min="7" max="7" width="23.75" customWidth="1"/>
    <col min="8" max="8" width="16.625" customWidth="1"/>
    <col min="9" max="9" width="9" customWidth="1"/>
    <col min="10" max="10" width="10" style="1" bestFit="1" customWidth="1"/>
    <col min="11" max="11" width="20.125" customWidth="1"/>
    <col min="12" max="12" width="17.875" bestFit="1" customWidth="1"/>
    <col min="13" max="13" width="59.75" style="21" customWidth="1"/>
    <col min="14" max="14" width="64.25" customWidth="1"/>
  </cols>
  <sheetData>
    <row r="1" spans="1:14" ht="5.0999999999999996" customHeight="1" x14ac:dyDescent="0.3"/>
    <row r="2" spans="1:14" ht="24.95" customHeight="1" x14ac:dyDescent="0.3">
      <c r="A2" s="3" t="s">
        <v>1031</v>
      </c>
      <c r="B2" s="341" t="s">
        <v>1686</v>
      </c>
      <c r="C2" s="341"/>
      <c r="D2" s="341"/>
      <c r="E2" s="341"/>
      <c r="F2" s="341"/>
      <c r="G2" s="341"/>
      <c r="H2" s="341"/>
      <c r="I2" s="341"/>
      <c r="J2" s="341"/>
      <c r="K2" s="341"/>
      <c r="L2" s="160"/>
    </row>
    <row r="3" spans="1:14" ht="5.0999999999999996" customHeight="1" x14ac:dyDescent="0.3"/>
    <row r="4" spans="1:14" x14ac:dyDescent="0.3">
      <c r="B4" s="11" t="s">
        <v>1569</v>
      </c>
      <c r="C4" s="2" t="s">
        <v>1685</v>
      </c>
      <c r="D4" s="342" t="s">
        <v>1684</v>
      </c>
      <c r="E4" s="342"/>
      <c r="F4" s="342"/>
      <c r="G4" s="342"/>
      <c r="H4" s="342"/>
      <c r="I4" s="342"/>
      <c r="J4" s="342"/>
      <c r="K4" s="342"/>
      <c r="L4" s="342"/>
      <c r="M4" s="342"/>
    </row>
    <row r="5" spans="1:14" ht="5.0999999999999996" customHeight="1" x14ac:dyDescent="0.3"/>
    <row r="6" spans="1:14" ht="15.95" customHeight="1" x14ac:dyDescent="0.3">
      <c r="C6" s="122">
        <v>1</v>
      </c>
      <c r="D6" s="343" t="s">
        <v>1683</v>
      </c>
      <c r="E6" s="343"/>
      <c r="F6" s="343"/>
      <c r="G6" s="343"/>
      <c r="H6" s="343"/>
      <c r="I6" s="343"/>
      <c r="J6" s="343"/>
      <c r="K6" s="343"/>
      <c r="L6" s="343"/>
      <c r="M6" s="343"/>
      <c r="N6" s="183"/>
    </row>
    <row r="7" spans="1:14" ht="5.0999999999999996" customHeight="1" x14ac:dyDescent="0.3">
      <c r="C7" s="4"/>
      <c r="D7" s="5"/>
      <c r="E7" s="12"/>
      <c r="F7" s="5"/>
      <c r="G7" s="5"/>
      <c r="H7" s="5"/>
      <c r="I7" s="5"/>
      <c r="J7" s="12"/>
      <c r="K7" s="5"/>
      <c r="L7" s="5"/>
    </row>
    <row r="8" spans="1:14" x14ac:dyDescent="0.3">
      <c r="C8" s="4"/>
      <c r="D8" s="7"/>
      <c r="E8" s="13"/>
      <c r="F8" s="7"/>
      <c r="G8" s="7"/>
      <c r="H8" s="13"/>
      <c r="I8" s="13"/>
      <c r="J8" s="13"/>
      <c r="K8" s="7"/>
      <c r="L8" s="7"/>
    </row>
    <row r="9" spans="1:14" ht="15.75" customHeight="1" x14ac:dyDescent="0.3">
      <c r="C9" s="4"/>
      <c r="D9" s="7"/>
      <c r="E9" s="13"/>
      <c r="F9" s="7"/>
      <c r="G9" s="7"/>
      <c r="H9" s="13"/>
      <c r="I9" s="14"/>
      <c r="J9" s="13"/>
      <c r="K9" s="7"/>
      <c r="L9" s="7"/>
    </row>
    <row r="10" spans="1:14" ht="15.75" customHeight="1" x14ac:dyDescent="0.3">
      <c r="C10" s="4"/>
      <c r="D10" s="7"/>
      <c r="E10" s="13"/>
      <c r="F10" s="7"/>
      <c r="G10" s="7"/>
      <c r="H10" s="13"/>
      <c r="I10" s="14"/>
      <c r="J10" s="13"/>
      <c r="K10" s="7"/>
      <c r="L10" s="7"/>
    </row>
    <row r="11" spans="1:14" ht="15.75" customHeight="1" x14ac:dyDescent="0.3">
      <c r="C11" s="4"/>
      <c r="D11" s="7"/>
      <c r="E11" s="13"/>
      <c r="F11" s="7"/>
      <c r="G11" s="7"/>
      <c r="H11" s="13"/>
      <c r="I11" s="14"/>
      <c r="J11" s="13"/>
      <c r="K11" s="7"/>
      <c r="L11" s="7"/>
    </row>
    <row r="12" spans="1:14" ht="15.75" customHeight="1" x14ac:dyDescent="0.3">
      <c r="C12" s="4"/>
      <c r="D12" s="7"/>
      <c r="E12" s="13"/>
      <c r="F12" s="7"/>
      <c r="G12" s="7"/>
      <c r="H12" s="13"/>
      <c r="I12" s="14"/>
      <c r="J12" s="13"/>
      <c r="K12" s="7"/>
      <c r="L12" s="7"/>
    </row>
    <row r="13" spans="1:14" ht="15.75" customHeight="1" x14ac:dyDescent="0.3">
      <c r="C13" s="4"/>
      <c r="D13" s="7"/>
      <c r="E13" s="13"/>
      <c r="F13" s="7"/>
      <c r="G13" s="7"/>
      <c r="H13" s="13"/>
      <c r="I13" s="14"/>
      <c r="J13" s="13"/>
      <c r="K13" s="7"/>
      <c r="L13" s="7"/>
    </row>
    <row r="14" spans="1:14" ht="15.75" customHeight="1" x14ac:dyDescent="0.3">
      <c r="C14" s="4"/>
      <c r="D14" s="7"/>
      <c r="E14" s="13"/>
      <c r="F14" s="7"/>
      <c r="G14" s="7"/>
      <c r="H14" s="13"/>
      <c r="I14" s="14"/>
      <c r="J14" s="13"/>
      <c r="K14" s="7"/>
      <c r="L14" s="7"/>
    </row>
    <row r="15" spans="1:14" ht="15.75" customHeight="1" x14ac:dyDescent="0.3">
      <c r="C15" s="4"/>
      <c r="D15" s="7"/>
      <c r="E15" s="13"/>
      <c r="F15" s="7"/>
      <c r="G15" s="7"/>
      <c r="H15" s="13"/>
      <c r="I15" s="14"/>
      <c r="J15" s="13"/>
      <c r="K15" s="7"/>
      <c r="L15" s="7"/>
    </row>
    <row r="16" spans="1:14" x14ac:dyDescent="0.3">
      <c r="C16" s="4"/>
      <c r="D16" s="7"/>
      <c r="E16" s="13"/>
      <c r="F16" s="7"/>
      <c r="G16" s="7"/>
      <c r="H16" s="13"/>
      <c r="I16" s="14"/>
      <c r="J16" s="13"/>
      <c r="K16" s="7"/>
      <c r="L16" s="7"/>
    </row>
    <row r="17" spans="3:12" x14ac:dyDescent="0.3">
      <c r="C17" s="4"/>
      <c r="D17" s="7"/>
      <c r="E17" s="13"/>
      <c r="F17" s="7"/>
      <c r="G17" s="7"/>
      <c r="H17" s="13"/>
      <c r="I17" s="14"/>
      <c r="J17" s="13"/>
      <c r="K17" s="7"/>
      <c r="L17" s="7"/>
    </row>
    <row r="18" spans="3:12" x14ac:dyDescent="0.3">
      <c r="C18" s="4"/>
      <c r="D18" s="7"/>
      <c r="E18" s="13"/>
      <c r="F18" s="7"/>
      <c r="G18" s="7"/>
      <c r="H18" s="13"/>
      <c r="I18" s="14"/>
      <c r="J18" s="13"/>
      <c r="K18" s="7"/>
      <c r="L18" s="7"/>
    </row>
    <row r="19" spans="3:12" x14ac:dyDescent="0.3">
      <c r="C19" s="4"/>
      <c r="D19" s="7"/>
      <c r="E19" s="13"/>
      <c r="F19" s="7"/>
      <c r="G19" s="7"/>
      <c r="H19" s="13"/>
      <c r="I19" s="14"/>
      <c r="J19" s="13"/>
      <c r="K19" s="7"/>
      <c r="L19" s="7"/>
    </row>
    <row r="20" spans="3:12" x14ac:dyDescent="0.3">
      <c r="C20" s="4"/>
      <c r="D20" s="7"/>
      <c r="E20" s="13"/>
      <c r="F20" s="7"/>
      <c r="G20" s="7"/>
      <c r="H20" s="13"/>
      <c r="I20" s="14"/>
      <c r="J20" s="13"/>
      <c r="K20" s="7"/>
      <c r="L20" s="7"/>
    </row>
    <row r="21" spans="3:12" x14ac:dyDescent="0.3">
      <c r="C21" s="4"/>
      <c r="D21" s="7"/>
      <c r="E21" s="13"/>
      <c r="F21" s="7"/>
      <c r="G21" s="7"/>
      <c r="H21" s="13"/>
      <c r="I21" s="14"/>
      <c r="J21" s="13"/>
      <c r="K21" s="7"/>
      <c r="L21" s="7"/>
    </row>
    <row r="22" spans="3:12" x14ac:dyDescent="0.3">
      <c r="C22" s="4"/>
      <c r="D22" s="7"/>
      <c r="E22" s="13"/>
      <c r="F22" s="7"/>
      <c r="G22" s="7"/>
      <c r="H22" s="13"/>
      <c r="I22" s="14"/>
      <c r="J22" s="13"/>
      <c r="K22" s="7"/>
      <c r="L22" s="7"/>
    </row>
    <row r="23" spans="3:12" x14ac:dyDescent="0.3">
      <c r="C23" s="4"/>
      <c r="D23" s="7"/>
      <c r="E23" s="13"/>
      <c r="F23" s="7"/>
      <c r="G23" s="7"/>
      <c r="H23" s="13"/>
      <c r="I23" s="14"/>
      <c r="J23" s="13"/>
      <c r="K23" s="7"/>
      <c r="L23" s="7"/>
    </row>
    <row r="24" spans="3:12" x14ac:dyDescent="0.3">
      <c r="C24" s="4"/>
      <c r="D24" s="7"/>
      <c r="E24" s="13"/>
      <c r="F24" s="7"/>
      <c r="G24" s="7"/>
      <c r="H24" s="13"/>
      <c r="I24" s="14"/>
      <c r="J24" s="13"/>
      <c r="K24" s="7"/>
      <c r="L24" s="7"/>
    </row>
    <row r="25" spans="3:12" x14ac:dyDescent="0.3">
      <c r="C25" s="4"/>
      <c r="D25" s="7"/>
      <c r="E25" s="13"/>
      <c r="F25" s="7"/>
      <c r="G25" s="7"/>
      <c r="H25" s="13"/>
      <c r="I25" s="14"/>
      <c r="J25" s="13"/>
      <c r="K25" s="7"/>
      <c r="L25" s="7"/>
    </row>
    <row r="26" spans="3:12" x14ac:dyDescent="0.3">
      <c r="C26" s="4"/>
      <c r="D26" s="7"/>
      <c r="E26" s="13"/>
      <c r="F26" s="7"/>
      <c r="G26" s="7"/>
      <c r="H26" s="13"/>
      <c r="I26" s="14"/>
      <c r="J26" s="13"/>
      <c r="K26" s="7"/>
      <c r="L26" s="7"/>
    </row>
    <row r="27" spans="3:12" x14ac:dyDescent="0.3">
      <c r="C27" s="4"/>
      <c r="D27" s="7"/>
      <c r="E27" s="13"/>
      <c r="F27" s="7"/>
      <c r="G27" s="7"/>
      <c r="H27" s="13"/>
      <c r="I27" s="14"/>
      <c r="J27" s="13"/>
      <c r="K27" s="7"/>
      <c r="L27" s="7"/>
    </row>
    <row r="28" spans="3:12" x14ac:dyDescent="0.3">
      <c r="C28" s="4"/>
      <c r="D28" s="7"/>
      <c r="E28" s="13"/>
      <c r="F28" s="7"/>
      <c r="G28" s="7"/>
      <c r="H28" s="13"/>
      <c r="I28" s="14"/>
      <c r="J28" s="13"/>
      <c r="K28" s="7"/>
      <c r="L28" s="7"/>
    </row>
    <row r="29" spans="3:12" x14ac:dyDescent="0.3">
      <c r="C29" s="4"/>
      <c r="D29" s="7"/>
      <c r="E29" s="13"/>
      <c r="F29" s="7"/>
      <c r="G29" s="7"/>
      <c r="H29" s="13"/>
      <c r="I29" s="14"/>
      <c r="J29" s="13"/>
      <c r="K29" s="7"/>
      <c r="L29" s="7"/>
    </row>
    <row r="30" spans="3:12" x14ac:dyDescent="0.3">
      <c r="C30" s="4"/>
      <c r="D30" s="7"/>
      <c r="E30" s="13"/>
      <c r="F30" s="7"/>
      <c r="G30" s="7"/>
      <c r="H30" s="13"/>
      <c r="I30" s="14"/>
      <c r="J30" s="13"/>
      <c r="K30" s="7"/>
      <c r="L30" s="7"/>
    </row>
    <row r="31" spans="3:12" x14ac:dyDescent="0.3">
      <c r="C31" s="4"/>
      <c r="D31" s="7"/>
      <c r="E31" s="13"/>
      <c r="F31" s="7"/>
      <c r="G31" s="7"/>
      <c r="H31" s="13"/>
      <c r="I31" s="14"/>
      <c r="J31" s="13"/>
      <c r="K31" s="7"/>
      <c r="L31" s="7"/>
    </row>
    <row r="32" spans="3:12" x14ac:dyDescent="0.3">
      <c r="C32" s="4"/>
      <c r="D32" s="7"/>
      <c r="E32" s="13"/>
      <c r="F32" s="7"/>
      <c r="G32" s="7"/>
      <c r="H32" s="13"/>
      <c r="I32" s="14"/>
      <c r="J32" s="13"/>
      <c r="K32" s="7"/>
      <c r="L32" s="7"/>
    </row>
    <row r="33" spans="3:14" x14ac:dyDescent="0.3">
      <c r="C33" s="4"/>
      <c r="D33" s="7"/>
      <c r="E33" s="13"/>
      <c r="F33" s="7"/>
      <c r="G33" s="7"/>
      <c r="H33" s="13"/>
      <c r="I33" s="13"/>
      <c r="J33" s="13"/>
      <c r="K33" s="7"/>
      <c r="L33" s="7"/>
    </row>
    <row r="34" spans="3:14" x14ac:dyDescent="0.3">
      <c r="C34" s="4"/>
      <c r="D34" s="7"/>
      <c r="E34" s="13"/>
      <c r="F34" s="7"/>
      <c r="G34" s="7"/>
      <c r="H34" s="13"/>
      <c r="I34" s="13"/>
      <c r="J34" s="13"/>
      <c r="K34" s="7"/>
      <c r="L34" s="7"/>
    </row>
    <row r="35" spans="3:14" x14ac:dyDescent="0.3">
      <c r="C35" s="4"/>
      <c r="D35" s="7"/>
      <c r="E35" s="13"/>
      <c r="F35" s="7"/>
      <c r="G35" s="7"/>
      <c r="H35" s="13"/>
      <c r="I35" s="13"/>
      <c r="J35" s="13"/>
      <c r="K35" s="7"/>
      <c r="L35" s="7"/>
    </row>
    <row r="36" spans="3:14" x14ac:dyDescent="0.3">
      <c r="C36" s="4"/>
      <c r="D36" s="7"/>
      <c r="E36" s="13"/>
      <c r="F36" s="7"/>
      <c r="G36" s="7"/>
      <c r="H36" s="13"/>
      <c r="I36" s="13"/>
      <c r="J36" s="13"/>
      <c r="K36" s="7"/>
      <c r="L36" s="7"/>
    </row>
    <row r="37" spans="3:14" x14ac:dyDescent="0.3">
      <c r="C37" s="4"/>
      <c r="D37" s="7"/>
      <c r="E37" s="13"/>
      <c r="F37" s="7"/>
      <c r="G37" s="7"/>
      <c r="H37" s="13"/>
      <c r="I37" s="13"/>
      <c r="J37" s="13"/>
      <c r="K37" s="7"/>
      <c r="L37" s="7"/>
      <c r="M37" s="215" t="s">
        <v>2505</v>
      </c>
    </row>
    <row r="38" spans="3:14" x14ac:dyDescent="0.3">
      <c r="C38" s="4"/>
      <c r="D38" s="7"/>
      <c r="E38" s="13"/>
      <c r="F38" s="7"/>
      <c r="G38" s="7"/>
      <c r="H38" s="13"/>
      <c r="I38" s="13"/>
      <c r="J38" s="13"/>
      <c r="K38" s="7"/>
      <c r="L38" s="7"/>
    </row>
    <row r="39" spans="3:14" x14ac:dyDescent="0.3">
      <c r="C39" s="4"/>
      <c r="D39" s="7"/>
      <c r="E39" s="13"/>
      <c r="F39" s="7"/>
      <c r="G39" s="7"/>
      <c r="H39" s="13"/>
      <c r="I39" s="13"/>
      <c r="J39" s="13"/>
      <c r="K39" s="7"/>
      <c r="L39" s="7"/>
    </row>
    <row r="40" spans="3:14" x14ac:dyDescent="0.3">
      <c r="C40" s="4"/>
      <c r="D40" s="7"/>
      <c r="E40" s="13"/>
      <c r="F40" s="7"/>
      <c r="G40" s="7"/>
      <c r="H40" s="13"/>
      <c r="I40" s="13"/>
      <c r="J40" s="13"/>
      <c r="K40" s="7"/>
      <c r="L40" s="7"/>
    </row>
    <row r="41" spans="3:14" ht="5.0999999999999996" customHeight="1" x14ac:dyDescent="0.3">
      <c r="C41" s="4"/>
      <c r="D41" s="5"/>
      <c r="E41" s="12"/>
      <c r="F41" s="5"/>
      <c r="G41" s="5"/>
      <c r="H41" s="5"/>
      <c r="I41" s="5"/>
      <c r="J41" s="12"/>
      <c r="K41" s="5"/>
      <c r="L41" s="5"/>
    </row>
    <row r="42" spans="3:14" ht="15.95" customHeight="1" x14ac:dyDescent="0.3">
      <c r="C42" s="122">
        <v>2</v>
      </c>
      <c r="D42" s="343" t="s">
        <v>1682</v>
      </c>
      <c r="E42" s="343"/>
      <c r="F42" s="343"/>
      <c r="G42" s="343"/>
      <c r="H42" s="343"/>
      <c r="I42" s="343"/>
      <c r="J42" s="343"/>
      <c r="K42" s="343"/>
      <c r="L42" s="343"/>
      <c r="M42" s="343"/>
      <c r="N42" s="183"/>
    </row>
    <row r="43" spans="3:14" ht="5.0999999999999996" customHeight="1" x14ac:dyDescent="0.3">
      <c r="C43" s="58"/>
      <c r="D43" s="5"/>
      <c r="E43" s="12"/>
      <c r="F43" s="5"/>
      <c r="G43" s="5"/>
      <c r="H43" s="5"/>
      <c r="I43" s="5"/>
      <c r="J43" s="12"/>
      <c r="K43" s="5"/>
      <c r="L43" s="5"/>
    </row>
    <row r="44" spans="3:14" ht="20.25" customHeight="1" x14ac:dyDescent="0.3">
      <c r="C44" s="58"/>
      <c r="D44" s="344" t="s">
        <v>1681</v>
      </c>
      <c r="E44" s="344"/>
      <c r="F44" s="344"/>
      <c r="G44" s="344"/>
      <c r="H44" s="344"/>
      <c r="I44" s="344"/>
      <c r="J44" s="344"/>
      <c r="K44" s="344"/>
      <c r="L44" s="344"/>
      <c r="M44" s="344"/>
    </row>
    <row r="45" spans="3:14" ht="5.0999999999999996" customHeight="1" x14ac:dyDescent="0.3">
      <c r="C45" s="58"/>
      <c r="D45" s="5"/>
      <c r="E45" s="12"/>
      <c r="F45" s="5"/>
      <c r="G45" s="5"/>
      <c r="H45" s="5"/>
      <c r="I45" s="5"/>
      <c r="J45" s="12"/>
      <c r="K45" s="5"/>
      <c r="L45" s="5"/>
    </row>
    <row r="46" spans="3:14" ht="23.25" customHeight="1" x14ac:dyDescent="0.3">
      <c r="C46" s="5"/>
      <c r="D46" s="43" t="s">
        <v>1680</v>
      </c>
      <c r="E46" s="43" t="s">
        <v>1679</v>
      </c>
      <c r="F46" s="43" t="s">
        <v>1678</v>
      </c>
      <c r="G46" s="43" t="s">
        <v>1677</v>
      </c>
      <c r="H46" s="43" t="s">
        <v>1676</v>
      </c>
      <c r="I46" s="43" t="s">
        <v>1675</v>
      </c>
      <c r="J46" s="43" t="s">
        <v>1674</v>
      </c>
      <c r="K46" s="44" t="s">
        <v>1673</v>
      </c>
      <c r="L46" s="44" t="s">
        <v>2204</v>
      </c>
      <c r="M46" s="45" t="s">
        <v>1672</v>
      </c>
      <c r="N46" s="45" t="s">
        <v>2354</v>
      </c>
    </row>
    <row r="47" spans="3:14" ht="24.95" customHeight="1" x14ac:dyDescent="0.3">
      <c r="C47" s="5"/>
      <c r="D47" s="39" t="s">
        <v>1671</v>
      </c>
      <c r="E47" s="40" t="s">
        <v>1670</v>
      </c>
      <c r="F47" s="27" t="s">
        <v>2393</v>
      </c>
      <c r="G47" s="41" t="s">
        <v>1669</v>
      </c>
      <c r="H47" s="60" t="s">
        <v>1668</v>
      </c>
      <c r="I47" s="41" t="s">
        <v>2196</v>
      </c>
      <c r="J47" s="41" t="s">
        <v>1523</v>
      </c>
      <c r="K47" s="41" t="s">
        <v>2442</v>
      </c>
      <c r="L47" s="41" t="s">
        <v>19</v>
      </c>
      <c r="M47" s="42"/>
      <c r="N47" s="42"/>
    </row>
    <row r="48" spans="3:14" ht="24.95" customHeight="1" x14ac:dyDescent="0.3">
      <c r="C48" s="5"/>
      <c r="D48" s="25" t="s">
        <v>1667</v>
      </c>
      <c r="E48" s="26" t="s">
        <v>1666</v>
      </c>
      <c r="F48" s="27" t="s">
        <v>1622</v>
      </c>
      <c r="G48" s="27" t="s">
        <v>662</v>
      </c>
      <c r="H48" s="61" t="s">
        <v>1520</v>
      </c>
      <c r="I48" s="27" t="s">
        <v>19</v>
      </c>
      <c r="J48" s="27" t="s">
        <v>1523</v>
      </c>
      <c r="K48" s="27" t="s">
        <v>2439</v>
      </c>
      <c r="L48" s="27" t="s">
        <v>19</v>
      </c>
      <c r="M48" s="28"/>
      <c r="N48" s="28"/>
    </row>
    <row r="49" spans="3:14" ht="24.95" customHeight="1" x14ac:dyDescent="0.3">
      <c r="C49" s="5"/>
      <c r="D49" s="25" t="s">
        <v>374</v>
      </c>
      <c r="E49" s="26" t="s">
        <v>1665</v>
      </c>
      <c r="F49" s="27" t="s">
        <v>1622</v>
      </c>
      <c r="G49" s="27" t="s">
        <v>1664</v>
      </c>
      <c r="H49" s="61" t="s">
        <v>1624</v>
      </c>
      <c r="I49" s="27" t="s">
        <v>19</v>
      </c>
      <c r="J49" s="27" t="s">
        <v>1585</v>
      </c>
      <c r="K49" s="27" t="s">
        <v>2439</v>
      </c>
      <c r="L49" s="27" t="s">
        <v>19</v>
      </c>
      <c r="M49" s="28"/>
      <c r="N49" s="28"/>
    </row>
    <row r="50" spans="3:14" ht="24.95" customHeight="1" x14ac:dyDescent="0.3">
      <c r="C50" s="5"/>
      <c r="D50" s="25" t="s">
        <v>375</v>
      </c>
      <c r="E50" s="26" t="s">
        <v>1663</v>
      </c>
      <c r="F50" s="27" t="s">
        <v>1622</v>
      </c>
      <c r="G50" s="27" t="s">
        <v>1662</v>
      </c>
      <c r="H50" s="61" t="s">
        <v>1661</v>
      </c>
      <c r="I50" s="27"/>
      <c r="J50" s="27" t="s">
        <v>1573</v>
      </c>
      <c r="K50" s="27" t="s">
        <v>2439</v>
      </c>
      <c r="L50" s="27" t="s">
        <v>19</v>
      </c>
      <c r="M50" s="28"/>
      <c r="N50" s="28"/>
    </row>
    <row r="51" spans="3:14" ht="24.95" customHeight="1" x14ac:dyDescent="0.3">
      <c r="C51" s="5"/>
      <c r="D51" s="25" t="s">
        <v>376</v>
      </c>
      <c r="E51" s="26" t="s">
        <v>1660</v>
      </c>
      <c r="F51" s="27" t="s">
        <v>1659</v>
      </c>
      <c r="G51" s="27" t="s">
        <v>1658</v>
      </c>
      <c r="H51" s="61" t="s">
        <v>1657</v>
      </c>
      <c r="I51" s="27"/>
      <c r="J51" s="27" t="s">
        <v>1573</v>
      </c>
      <c r="K51" s="27" t="s">
        <v>2439</v>
      </c>
      <c r="L51" s="27" t="s">
        <v>19</v>
      </c>
      <c r="M51" s="28"/>
      <c r="N51" s="28"/>
    </row>
    <row r="52" spans="3:14" ht="24.95" customHeight="1" x14ac:dyDescent="0.3">
      <c r="C52" s="5"/>
      <c r="D52" s="25" t="s">
        <v>377</v>
      </c>
      <c r="E52" s="26" t="s">
        <v>1656</v>
      </c>
      <c r="F52" s="27" t="s">
        <v>1613</v>
      </c>
      <c r="G52" s="27" t="s">
        <v>663</v>
      </c>
      <c r="H52" s="61" t="s">
        <v>1624</v>
      </c>
      <c r="I52" s="27"/>
      <c r="J52" s="27" t="s">
        <v>1585</v>
      </c>
      <c r="K52" s="27" t="s">
        <v>2439</v>
      </c>
      <c r="L52" s="27" t="s">
        <v>19</v>
      </c>
      <c r="M52" s="28"/>
      <c r="N52" s="28"/>
    </row>
    <row r="53" spans="3:14" ht="24.95" customHeight="1" x14ac:dyDescent="0.3">
      <c r="C53" s="5"/>
      <c r="D53" s="25" t="s">
        <v>378</v>
      </c>
      <c r="E53" s="26" t="s">
        <v>1655</v>
      </c>
      <c r="F53" s="27" t="s">
        <v>1622</v>
      </c>
      <c r="G53" s="27" t="s">
        <v>1654</v>
      </c>
      <c r="H53" s="61" t="s">
        <v>1624</v>
      </c>
      <c r="I53" s="27"/>
      <c r="J53" s="27" t="s">
        <v>1585</v>
      </c>
      <c r="K53" s="27" t="s">
        <v>2439</v>
      </c>
      <c r="L53" s="27" t="s">
        <v>19</v>
      </c>
      <c r="M53" s="28"/>
      <c r="N53" s="28"/>
    </row>
    <row r="54" spans="3:14" ht="24.95" customHeight="1" x14ac:dyDescent="0.3">
      <c r="C54" s="5"/>
      <c r="D54" s="25" t="s">
        <v>379</v>
      </c>
      <c r="E54" s="26" t="s">
        <v>1653</v>
      </c>
      <c r="F54" s="27" t="s">
        <v>1613</v>
      </c>
      <c r="G54" s="27" t="s">
        <v>664</v>
      </c>
      <c r="H54" s="61" t="s">
        <v>1652</v>
      </c>
      <c r="I54" s="27"/>
      <c r="J54" s="27" t="s">
        <v>1573</v>
      </c>
      <c r="K54" s="27" t="s">
        <v>2439</v>
      </c>
      <c r="L54" s="27" t="s">
        <v>19</v>
      </c>
      <c r="M54" s="29"/>
      <c r="N54" s="29"/>
    </row>
    <row r="55" spans="3:14" ht="24.95" customHeight="1" x14ac:dyDescent="0.3">
      <c r="C55" s="5"/>
      <c r="D55" s="25" t="s">
        <v>380</v>
      </c>
      <c r="E55" s="26" t="s">
        <v>1651</v>
      </c>
      <c r="F55" s="27" t="s">
        <v>1622</v>
      </c>
      <c r="G55" s="27" t="s">
        <v>1650</v>
      </c>
      <c r="H55" s="61" t="s">
        <v>1624</v>
      </c>
      <c r="I55" s="27"/>
      <c r="J55" s="27" t="s">
        <v>1581</v>
      </c>
      <c r="K55" s="27" t="s">
        <v>2439</v>
      </c>
      <c r="L55" s="27" t="s">
        <v>19</v>
      </c>
      <c r="M55" s="29"/>
      <c r="N55" s="29"/>
    </row>
    <row r="56" spans="3:14" ht="24.95" customHeight="1" x14ac:dyDescent="0.3">
      <c r="C56" s="5"/>
      <c r="D56" s="25" t="s">
        <v>381</v>
      </c>
      <c r="E56" s="26" t="s">
        <v>1649</v>
      </c>
      <c r="F56" s="27" t="s">
        <v>1613</v>
      </c>
      <c r="G56" s="27" t="s">
        <v>1648</v>
      </c>
      <c r="H56" s="61" t="s">
        <v>1624</v>
      </c>
      <c r="I56" s="27" t="s">
        <v>19</v>
      </c>
      <c r="J56" s="27" t="s">
        <v>1581</v>
      </c>
      <c r="K56" s="27" t="s">
        <v>2439</v>
      </c>
      <c r="L56" s="27" t="s">
        <v>19</v>
      </c>
      <c r="M56" s="29"/>
      <c r="N56" s="29"/>
    </row>
    <row r="57" spans="3:14" ht="24.95" customHeight="1" x14ac:dyDescent="0.3">
      <c r="C57" s="5"/>
      <c r="D57" s="25" t="s">
        <v>382</v>
      </c>
      <c r="E57" s="30" t="s">
        <v>1647</v>
      </c>
      <c r="F57" s="27" t="s">
        <v>1613</v>
      </c>
      <c r="G57" s="31" t="s">
        <v>1646</v>
      </c>
      <c r="H57" s="61" t="s">
        <v>1624</v>
      </c>
      <c r="I57" s="31" t="s">
        <v>19</v>
      </c>
      <c r="J57" s="27" t="s">
        <v>1573</v>
      </c>
      <c r="K57" s="27" t="s">
        <v>2439</v>
      </c>
      <c r="L57" s="31" t="s">
        <v>19</v>
      </c>
      <c r="M57" s="29"/>
      <c r="N57" s="29"/>
    </row>
    <row r="58" spans="3:14" ht="24.95" customHeight="1" x14ac:dyDescent="0.3">
      <c r="C58" s="5"/>
      <c r="D58" s="25" t="s">
        <v>383</v>
      </c>
      <c r="E58" s="30" t="s">
        <v>1645</v>
      </c>
      <c r="F58" s="27" t="s">
        <v>1613</v>
      </c>
      <c r="G58" s="31" t="s">
        <v>1644</v>
      </c>
      <c r="H58" s="61" t="s">
        <v>1624</v>
      </c>
      <c r="I58" s="31"/>
      <c r="J58" s="27" t="s">
        <v>1585</v>
      </c>
      <c r="K58" s="27" t="s">
        <v>2439</v>
      </c>
      <c r="L58" s="31" t="s">
        <v>19</v>
      </c>
      <c r="M58" s="29"/>
      <c r="N58" s="29"/>
    </row>
    <row r="59" spans="3:14" ht="24.95" customHeight="1" x14ac:dyDescent="0.3">
      <c r="C59" s="5"/>
      <c r="D59" s="25" t="s">
        <v>384</v>
      </c>
      <c r="E59" s="30" t="s">
        <v>1643</v>
      </c>
      <c r="F59" s="27" t="s">
        <v>1622</v>
      </c>
      <c r="G59" s="31" t="s">
        <v>1642</v>
      </c>
      <c r="H59" s="61" t="s">
        <v>1624</v>
      </c>
      <c r="I59" s="31" t="s">
        <v>19</v>
      </c>
      <c r="J59" s="27" t="s">
        <v>1585</v>
      </c>
      <c r="K59" s="27" t="s">
        <v>2439</v>
      </c>
      <c r="L59" s="31" t="s">
        <v>19</v>
      </c>
      <c r="M59" s="29"/>
      <c r="N59" s="29"/>
    </row>
    <row r="60" spans="3:14" ht="24.95" customHeight="1" x14ac:dyDescent="0.3">
      <c r="C60" s="5"/>
      <c r="D60" s="25" t="s">
        <v>385</v>
      </c>
      <c r="E60" s="30" t="s">
        <v>1641</v>
      </c>
      <c r="F60" s="27" t="s">
        <v>1622</v>
      </c>
      <c r="G60" s="31" t="s">
        <v>1640</v>
      </c>
      <c r="H60" s="61" t="s">
        <v>1591</v>
      </c>
      <c r="I60" s="31" t="s">
        <v>19</v>
      </c>
      <c r="J60" s="27" t="s">
        <v>1585</v>
      </c>
      <c r="K60" s="27" t="s">
        <v>2439</v>
      </c>
      <c r="L60" s="31" t="s">
        <v>19</v>
      </c>
      <c r="M60" s="29"/>
      <c r="N60" s="29"/>
    </row>
    <row r="61" spans="3:14" ht="24.95" customHeight="1" x14ac:dyDescent="0.3">
      <c r="C61" s="5"/>
      <c r="D61" s="25" t="s">
        <v>386</v>
      </c>
      <c r="E61" s="30" t="s">
        <v>1639</v>
      </c>
      <c r="F61" s="27" t="s">
        <v>1622</v>
      </c>
      <c r="G61" s="31" t="s">
        <v>1638</v>
      </c>
      <c r="H61" s="61" t="s">
        <v>1591</v>
      </c>
      <c r="I61" s="31" t="s">
        <v>19</v>
      </c>
      <c r="J61" s="27" t="s">
        <v>1585</v>
      </c>
      <c r="K61" s="27" t="s">
        <v>2439</v>
      </c>
      <c r="L61" s="31" t="s">
        <v>19</v>
      </c>
      <c r="M61" s="29"/>
      <c r="N61" s="29"/>
    </row>
    <row r="62" spans="3:14" ht="24.95" customHeight="1" x14ac:dyDescent="0.3">
      <c r="C62" s="5"/>
      <c r="D62" s="25" t="s">
        <v>387</v>
      </c>
      <c r="E62" s="30" t="s">
        <v>1637</v>
      </c>
      <c r="F62" s="27" t="s">
        <v>1622</v>
      </c>
      <c r="G62" s="31" t="s">
        <v>1636</v>
      </c>
      <c r="H62" s="61" t="s">
        <v>1633</v>
      </c>
      <c r="I62" s="31" t="s">
        <v>19</v>
      </c>
      <c r="J62" s="27" t="s">
        <v>1573</v>
      </c>
      <c r="K62" s="27" t="s">
        <v>2439</v>
      </c>
      <c r="L62" s="31" t="s">
        <v>19</v>
      </c>
      <c r="M62" s="29"/>
      <c r="N62" s="29"/>
    </row>
    <row r="63" spans="3:14" ht="24.95" customHeight="1" x14ac:dyDescent="0.3">
      <c r="C63" s="5"/>
      <c r="D63" s="25" t="s">
        <v>388</v>
      </c>
      <c r="E63" s="30" t="s">
        <v>1635</v>
      </c>
      <c r="F63" s="27" t="s">
        <v>1613</v>
      </c>
      <c r="G63" s="31" t="s">
        <v>1634</v>
      </c>
      <c r="H63" s="61" t="s">
        <v>1633</v>
      </c>
      <c r="I63" s="31"/>
      <c r="J63" s="27" t="s">
        <v>1616</v>
      </c>
      <c r="K63" s="27" t="s">
        <v>2439</v>
      </c>
      <c r="L63" s="31" t="s">
        <v>19</v>
      </c>
      <c r="M63" s="29" t="s">
        <v>2198</v>
      </c>
      <c r="N63" s="29"/>
    </row>
    <row r="64" spans="3:14" ht="24.95" customHeight="1" x14ac:dyDescent="0.3">
      <c r="C64" s="5"/>
      <c r="D64" s="25" t="s">
        <v>389</v>
      </c>
      <c r="E64" s="30" t="s">
        <v>1632</v>
      </c>
      <c r="F64" s="27" t="s">
        <v>1622</v>
      </c>
      <c r="G64" s="31" t="s">
        <v>49</v>
      </c>
      <c r="H64" s="61" t="s">
        <v>1624</v>
      </c>
      <c r="I64" s="31"/>
      <c r="J64" s="27" t="s">
        <v>1523</v>
      </c>
      <c r="K64" s="27" t="s">
        <v>2439</v>
      </c>
      <c r="L64" s="31" t="s">
        <v>19</v>
      </c>
      <c r="M64" s="29" t="s">
        <v>2197</v>
      </c>
      <c r="N64" s="29"/>
    </row>
    <row r="65" spans="3:14" ht="24.95" customHeight="1" x14ac:dyDescent="0.3">
      <c r="C65" s="5"/>
      <c r="D65" s="25" t="s">
        <v>390</v>
      </c>
      <c r="E65" s="30" t="s">
        <v>1631</v>
      </c>
      <c r="F65" s="27" t="s">
        <v>1613</v>
      </c>
      <c r="G65" s="31" t="s">
        <v>1630</v>
      </c>
      <c r="H65" s="61" t="s">
        <v>1627</v>
      </c>
      <c r="I65" s="31" t="s">
        <v>19</v>
      </c>
      <c r="J65" s="27" t="s">
        <v>1523</v>
      </c>
      <c r="K65" s="27" t="s">
        <v>2439</v>
      </c>
      <c r="L65" s="31" t="s">
        <v>19</v>
      </c>
      <c r="M65" s="29"/>
      <c r="N65" s="29"/>
    </row>
    <row r="66" spans="3:14" ht="24.95" customHeight="1" x14ac:dyDescent="0.3">
      <c r="C66" s="5"/>
      <c r="D66" s="25" t="s">
        <v>391</v>
      </c>
      <c r="E66" s="30" t="s">
        <v>1629</v>
      </c>
      <c r="F66" s="27" t="s">
        <v>1613</v>
      </c>
      <c r="G66" s="31" t="s">
        <v>1628</v>
      </c>
      <c r="H66" s="61" t="s">
        <v>1627</v>
      </c>
      <c r="I66" s="31"/>
      <c r="J66" s="27" t="s">
        <v>1528</v>
      </c>
      <c r="K66" s="27" t="s">
        <v>2439</v>
      </c>
      <c r="L66" s="31" t="s">
        <v>19</v>
      </c>
      <c r="M66" s="29" t="s">
        <v>2197</v>
      </c>
      <c r="N66" s="29"/>
    </row>
    <row r="67" spans="3:14" ht="24.95" customHeight="1" x14ac:dyDescent="0.3">
      <c r="C67" s="5"/>
      <c r="D67" s="25" t="s">
        <v>392</v>
      </c>
      <c r="E67" s="30" t="s">
        <v>1626</v>
      </c>
      <c r="F67" s="27" t="s">
        <v>1622</v>
      </c>
      <c r="G67" s="31" t="s">
        <v>1625</v>
      </c>
      <c r="H67" s="61" t="s">
        <v>1624</v>
      </c>
      <c r="I67" s="31"/>
      <c r="J67" s="27" t="s">
        <v>1573</v>
      </c>
      <c r="K67" s="27" t="s">
        <v>2439</v>
      </c>
      <c r="L67" s="31" t="s">
        <v>19</v>
      </c>
      <c r="M67" s="29" t="s">
        <v>2197</v>
      </c>
      <c r="N67" s="29"/>
    </row>
    <row r="68" spans="3:14" ht="44.25" customHeight="1" x14ac:dyDescent="0.3">
      <c r="C68" s="5"/>
      <c r="D68" s="25" t="s">
        <v>393</v>
      </c>
      <c r="E68" s="30" t="s">
        <v>1623</v>
      </c>
      <c r="F68" s="27" t="s">
        <v>1622</v>
      </c>
      <c r="G68" s="31" t="s">
        <v>1621</v>
      </c>
      <c r="H68" s="61" t="s">
        <v>1524</v>
      </c>
      <c r="I68" s="31"/>
      <c r="J68" s="27" t="s">
        <v>1523</v>
      </c>
      <c r="K68" s="27" t="s">
        <v>2439</v>
      </c>
      <c r="L68" s="31" t="s">
        <v>19</v>
      </c>
      <c r="M68" s="47" t="s">
        <v>1620</v>
      </c>
      <c r="N68" s="47"/>
    </row>
    <row r="69" spans="3:14" x14ac:dyDescent="0.3">
      <c r="C69" s="5"/>
      <c r="D69" s="25" t="s">
        <v>394</v>
      </c>
      <c r="E69" s="30" t="s">
        <v>1619</v>
      </c>
      <c r="F69" s="27" t="s">
        <v>1613</v>
      </c>
      <c r="G69" s="27" t="s">
        <v>1618</v>
      </c>
      <c r="H69" s="61" t="s">
        <v>1617</v>
      </c>
      <c r="I69" s="31"/>
      <c r="J69" s="31" t="s">
        <v>1616</v>
      </c>
      <c r="K69" s="27" t="s">
        <v>2439</v>
      </c>
      <c r="L69" s="31" t="s">
        <v>19</v>
      </c>
      <c r="M69" s="29" t="s">
        <v>1615</v>
      </c>
      <c r="N69" s="29"/>
    </row>
    <row r="70" spans="3:14" ht="24.95" customHeight="1" x14ac:dyDescent="0.3">
      <c r="C70" s="5"/>
      <c r="D70" s="25" t="s">
        <v>395</v>
      </c>
      <c r="E70" s="30" t="s">
        <v>1614</v>
      </c>
      <c r="F70" s="27" t="s">
        <v>1613</v>
      </c>
      <c r="G70" s="31" t="s">
        <v>1612</v>
      </c>
      <c r="H70" s="61" t="s">
        <v>1520</v>
      </c>
      <c r="I70" s="31"/>
      <c r="J70" s="27" t="s">
        <v>1585</v>
      </c>
      <c r="K70" s="27" t="s">
        <v>2439</v>
      </c>
      <c r="L70" s="31" t="s">
        <v>19</v>
      </c>
      <c r="M70" s="29"/>
      <c r="N70" s="29"/>
    </row>
    <row r="71" spans="3:14" ht="24.95" customHeight="1" x14ac:dyDescent="0.3">
      <c r="C71" s="5"/>
      <c r="D71" s="25" t="s">
        <v>396</v>
      </c>
      <c r="E71" s="30" t="s">
        <v>1611</v>
      </c>
      <c r="F71" s="27" t="s">
        <v>659</v>
      </c>
      <c r="G71" s="31" t="s">
        <v>327</v>
      </c>
      <c r="H71" s="61" t="s">
        <v>1610</v>
      </c>
      <c r="I71" s="31"/>
      <c r="J71" s="27" t="s">
        <v>1573</v>
      </c>
      <c r="K71" s="27" t="s">
        <v>2439</v>
      </c>
      <c r="L71" s="31" t="s">
        <v>19</v>
      </c>
      <c r="M71" s="29"/>
      <c r="N71" s="29"/>
    </row>
    <row r="72" spans="3:14" ht="36" customHeight="1" x14ac:dyDescent="0.3">
      <c r="C72" s="5"/>
      <c r="D72" s="25" t="s">
        <v>397</v>
      </c>
      <c r="E72" s="30" t="s">
        <v>1609</v>
      </c>
      <c r="F72" s="27" t="s">
        <v>1608</v>
      </c>
      <c r="G72" s="27" t="s">
        <v>1607</v>
      </c>
      <c r="H72" s="61" t="s">
        <v>1606</v>
      </c>
      <c r="I72" s="31"/>
      <c r="J72" s="27" t="s">
        <v>1523</v>
      </c>
      <c r="K72" s="27" t="s">
        <v>2439</v>
      </c>
      <c r="L72" s="31" t="s">
        <v>19</v>
      </c>
      <c r="M72" s="29"/>
      <c r="N72" s="29"/>
    </row>
    <row r="73" spans="3:14" ht="24.95" customHeight="1" x14ac:dyDescent="0.3">
      <c r="C73" s="5"/>
      <c r="D73" s="25" t="s">
        <v>398</v>
      </c>
      <c r="E73" s="30" t="s">
        <v>1605</v>
      </c>
      <c r="F73" s="27" t="s">
        <v>1521</v>
      </c>
      <c r="G73" s="31" t="s">
        <v>1604</v>
      </c>
      <c r="H73" s="27" t="s">
        <v>1529</v>
      </c>
      <c r="I73" s="31"/>
      <c r="J73" s="31" t="s">
        <v>1528</v>
      </c>
      <c r="K73" s="27" t="s">
        <v>2439</v>
      </c>
      <c r="L73" s="31" t="s">
        <v>24</v>
      </c>
      <c r="M73" s="29" t="s">
        <v>2369</v>
      </c>
      <c r="N73" s="47" t="s">
        <v>2365</v>
      </c>
    </row>
    <row r="74" spans="3:14" ht="24.95" customHeight="1" x14ac:dyDescent="0.3">
      <c r="C74" s="5"/>
      <c r="D74" s="25" t="s">
        <v>399</v>
      </c>
      <c r="E74" s="30" t="s">
        <v>1603</v>
      </c>
      <c r="F74" s="27" t="s">
        <v>1574</v>
      </c>
      <c r="G74" s="31" t="s">
        <v>1602</v>
      </c>
      <c r="H74" s="27" t="s">
        <v>1529</v>
      </c>
      <c r="I74" s="31"/>
      <c r="J74" s="31" t="s">
        <v>1528</v>
      </c>
      <c r="K74" s="27" t="s">
        <v>2439</v>
      </c>
      <c r="L74" s="31" t="s">
        <v>24</v>
      </c>
      <c r="M74" s="29" t="s">
        <v>2370</v>
      </c>
      <c r="N74" s="47" t="s">
        <v>2366</v>
      </c>
    </row>
    <row r="75" spans="3:14" ht="24.95" customHeight="1" x14ac:dyDescent="0.3">
      <c r="C75" s="5"/>
      <c r="D75" s="25" t="s">
        <v>400</v>
      </c>
      <c r="E75" s="30" t="s">
        <v>1601</v>
      </c>
      <c r="F75" s="27" t="s">
        <v>1521</v>
      </c>
      <c r="G75" s="31" t="s">
        <v>1600</v>
      </c>
      <c r="H75" s="31" t="s">
        <v>1586</v>
      </c>
      <c r="I75" s="31"/>
      <c r="J75" s="31" t="s">
        <v>1581</v>
      </c>
      <c r="K75" s="27" t="s">
        <v>2439</v>
      </c>
      <c r="L75" s="31" t="s">
        <v>19</v>
      </c>
      <c r="M75" s="29"/>
      <c r="N75" s="29"/>
    </row>
    <row r="76" spans="3:14" ht="24.95" customHeight="1" x14ac:dyDescent="0.3">
      <c r="C76" s="5"/>
      <c r="D76" s="25" t="s">
        <v>401</v>
      </c>
      <c r="E76" s="30" t="s">
        <v>1599</v>
      </c>
      <c r="F76" s="27" t="s">
        <v>1521</v>
      </c>
      <c r="G76" s="27" t="s">
        <v>1598</v>
      </c>
      <c r="H76" s="31" t="s">
        <v>1586</v>
      </c>
      <c r="I76" s="31"/>
      <c r="J76" s="31" t="s">
        <v>1585</v>
      </c>
      <c r="K76" s="27" t="s">
        <v>2439</v>
      </c>
      <c r="L76" s="31" t="s">
        <v>19</v>
      </c>
      <c r="M76" s="29"/>
      <c r="N76" s="29"/>
    </row>
    <row r="77" spans="3:14" ht="24.95" customHeight="1" x14ac:dyDescent="0.3">
      <c r="C77" s="5"/>
      <c r="D77" s="25" t="s">
        <v>402</v>
      </c>
      <c r="E77" s="30" t="s">
        <v>1597</v>
      </c>
      <c r="F77" s="27" t="s">
        <v>1574</v>
      </c>
      <c r="G77" s="27" t="s">
        <v>1596</v>
      </c>
      <c r="H77" s="31" t="s">
        <v>1586</v>
      </c>
      <c r="I77" s="31"/>
      <c r="J77" s="31" t="s">
        <v>1585</v>
      </c>
      <c r="K77" s="27" t="s">
        <v>2439</v>
      </c>
      <c r="L77" s="31" t="s">
        <v>19</v>
      </c>
      <c r="M77" s="29"/>
      <c r="N77" s="29"/>
    </row>
    <row r="78" spans="3:14" ht="24.95" customHeight="1" x14ac:dyDescent="0.3">
      <c r="C78" s="5"/>
      <c r="D78" s="25" t="s">
        <v>403</v>
      </c>
      <c r="E78" s="30" t="s">
        <v>1595</v>
      </c>
      <c r="F78" s="27" t="s">
        <v>1521</v>
      </c>
      <c r="G78" s="27" t="s">
        <v>1594</v>
      </c>
      <c r="H78" s="31" t="s">
        <v>1586</v>
      </c>
      <c r="I78" s="31"/>
      <c r="J78" s="31" t="s">
        <v>1581</v>
      </c>
      <c r="K78" s="27" t="s">
        <v>2439</v>
      </c>
      <c r="L78" s="31" t="s">
        <v>19</v>
      </c>
      <c r="M78" s="29"/>
      <c r="N78" s="29"/>
    </row>
    <row r="79" spans="3:14" ht="24.95" customHeight="1" x14ac:dyDescent="0.3">
      <c r="C79" s="5"/>
      <c r="D79" s="25" t="s">
        <v>404</v>
      </c>
      <c r="E79" s="30" t="s">
        <v>1593</v>
      </c>
      <c r="F79" s="27" t="s">
        <v>1521</v>
      </c>
      <c r="G79" s="31" t="s">
        <v>1592</v>
      </c>
      <c r="H79" s="31" t="s">
        <v>1591</v>
      </c>
      <c r="I79" s="31"/>
      <c r="J79" s="31" t="s">
        <v>1585</v>
      </c>
      <c r="K79" s="27" t="s">
        <v>2439</v>
      </c>
      <c r="L79" s="31" t="s">
        <v>19</v>
      </c>
      <c r="M79" s="29"/>
      <c r="N79" s="29"/>
    </row>
    <row r="80" spans="3:14" ht="24.95" customHeight="1" x14ac:dyDescent="0.3">
      <c r="C80" s="5"/>
      <c r="D80" s="25" t="s">
        <v>405</v>
      </c>
      <c r="E80" s="30" t="s">
        <v>1590</v>
      </c>
      <c r="F80" s="27" t="s">
        <v>1574</v>
      </c>
      <c r="G80" s="31" t="s">
        <v>1589</v>
      </c>
      <c r="H80" s="31" t="s">
        <v>1586</v>
      </c>
      <c r="I80" s="31"/>
      <c r="J80" s="31" t="s">
        <v>1585</v>
      </c>
      <c r="K80" s="27" t="s">
        <v>2439</v>
      </c>
      <c r="L80" s="31" t="s">
        <v>19</v>
      </c>
      <c r="M80" s="29"/>
      <c r="N80" s="29"/>
    </row>
    <row r="81" spans="3:14" ht="32.25" customHeight="1" x14ac:dyDescent="0.3">
      <c r="C81" s="5"/>
      <c r="D81" s="25" t="s">
        <v>406</v>
      </c>
      <c r="E81" s="30" t="s">
        <v>1588</v>
      </c>
      <c r="F81" s="27" t="s">
        <v>1521</v>
      </c>
      <c r="G81" s="27" t="s">
        <v>1587</v>
      </c>
      <c r="H81" s="31" t="s">
        <v>1586</v>
      </c>
      <c r="I81" s="31"/>
      <c r="J81" s="31" t="s">
        <v>1585</v>
      </c>
      <c r="K81" s="27" t="s">
        <v>2439</v>
      </c>
      <c r="L81" s="31" t="s">
        <v>19</v>
      </c>
      <c r="M81" s="29"/>
      <c r="N81" s="29"/>
    </row>
    <row r="82" spans="3:14" ht="24.95" customHeight="1" x14ac:dyDescent="0.3">
      <c r="C82" s="5"/>
      <c r="D82" s="25" t="s">
        <v>407</v>
      </c>
      <c r="E82" s="30" t="s">
        <v>1584</v>
      </c>
      <c r="F82" s="27" t="s">
        <v>1574</v>
      </c>
      <c r="G82" s="31" t="s">
        <v>1583</v>
      </c>
      <c r="H82" s="31" t="s">
        <v>1582</v>
      </c>
      <c r="I82" s="31"/>
      <c r="J82" s="31" t="s">
        <v>1581</v>
      </c>
      <c r="K82" s="27" t="s">
        <v>2439</v>
      </c>
      <c r="L82" s="31" t="s">
        <v>19</v>
      </c>
      <c r="M82" s="29"/>
      <c r="N82" s="29"/>
    </row>
    <row r="83" spans="3:14" ht="24.95" customHeight="1" x14ac:dyDescent="0.3">
      <c r="C83" s="5"/>
      <c r="D83" s="25" t="s">
        <v>408</v>
      </c>
      <c r="E83" s="30" t="s">
        <v>1580</v>
      </c>
      <c r="F83" s="27" t="s">
        <v>1521</v>
      </c>
      <c r="G83" s="31" t="s">
        <v>1579</v>
      </c>
      <c r="H83" s="27" t="s">
        <v>1524</v>
      </c>
      <c r="I83" s="31"/>
      <c r="J83" s="27" t="s">
        <v>1523</v>
      </c>
      <c r="K83" s="165" t="s">
        <v>2447</v>
      </c>
      <c r="L83" s="31" t="s">
        <v>19</v>
      </c>
      <c r="M83" s="194" t="s">
        <v>2452</v>
      </c>
      <c r="N83" s="47" t="s">
        <v>2469</v>
      </c>
    </row>
    <row r="84" spans="3:14" ht="24.95" customHeight="1" x14ac:dyDescent="0.3">
      <c r="C84" s="5"/>
      <c r="D84" s="25" t="s">
        <v>409</v>
      </c>
      <c r="E84" s="30" t="s">
        <v>1578</v>
      </c>
      <c r="F84" s="27" t="s">
        <v>1574</v>
      </c>
      <c r="G84" s="31" t="s">
        <v>2466</v>
      </c>
      <c r="H84" s="27" t="s">
        <v>1524</v>
      </c>
      <c r="I84" s="31"/>
      <c r="J84" s="27" t="s">
        <v>1573</v>
      </c>
      <c r="K84" s="165" t="s">
        <v>2454</v>
      </c>
      <c r="L84" s="31" t="s">
        <v>19</v>
      </c>
      <c r="M84" s="195" t="s">
        <v>2463</v>
      </c>
      <c r="N84" s="47" t="s">
        <v>2467</v>
      </c>
    </row>
    <row r="85" spans="3:14" ht="24.95" customHeight="1" x14ac:dyDescent="0.3">
      <c r="C85" s="5"/>
      <c r="D85" s="25" t="s">
        <v>410</v>
      </c>
      <c r="E85" s="30" t="s">
        <v>1577</v>
      </c>
      <c r="F85" s="27" t="s">
        <v>1574</v>
      </c>
      <c r="G85" s="31" t="s">
        <v>2451</v>
      </c>
      <c r="H85" s="27" t="s">
        <v>1571</v>
      </c>
      <c r="I85" s="31"/>
      <c r="J85" s="27" t="s">
        <v>1523</v>
      </c>
      <c r="K85" s="165" t="s">
        <v>2447</v>
      </c>
      <c r="L85" s="31" t="s">
        <v>19</v>
      </c>
      <c r="M85" s="195" t="s">
        <v>2464</v>
      </c>
      <c r="N85" s="47" t="s">
        <v>2465</v>
      </c>
    </row>
    <row r="86" spans="3:14" ht="24.95" customHeight="1" x14ac:dyDescent="0.3">
      <c r="C86" s="5"/>
      <c r="D86" s="25" t="s">
        <v>411</v>
      </c>
      <c r="E86" s="30" t="s">
        <v>1576</v>
      </c>
      <c r="F86" s="27" t="s">
        <v>1574</v>
      </c>
      <c r="G86" s="31" t="s">
        <v>2468</v>
      </c>
      <c r="H86" s="27" t="s">
        <v>1571</v>
      </c>
      <c r="I86" s="31"/>
      <c r="J86" s="27" t="s">
        <v>1523</v>
      </c>
      <c r="K86" s="165" t="s">
        <v>2455</v>
      </c>
      <c r="L86" s="31" t="s">
        <v>19</v>
      </c>
      <c r="M86" s="195" t="s">
        <v>2462</v>
      </c>
      <c r="N86" s="47" t="s">
        <v>2465</v>
      </c>
    </row>
    <row r="87" spans="3:14" ht="24.95" customHeight="1" x14ac:dyDescent="0.3">
      <c r="C87" s="5"/>
      <c r="D87" s="25" t="s">
        <v>412</v>
      </c>
      <c r="E87" s="30" t="s">
        <v>1575</v>
      </c>
      <c r="F87" s="27" t="s">
        <v>1574</v>
      </c>
      <c r="G87" s="31" t="s">
        <v>2453</v>
      </c>
      <c r="H87" s="27" t="s">
        <v>1524</v>
      </c>
      <c r="I87" s="31"/>
      <c r="J87" s="27" t="s">
        <v>1573</v>
      </c>
      <c r="K87" s="27" t="s">
        <v>2439</v>
      </c>
      <c r="L87" s="31" t="s">
        <v>19</v>
      </c>
      <c r="M87" s="195"/>
      <c r="N87" s="29"/>
    </row>
    <row r="88" spans="3:14" ht="24.95" customHeight="1" x14ac:dyDescent="0.3">
      <c r="C88" s="5"/>
      <c r="D88" s="25" t="s">
        <v>413</v>
      </c>
      <c r="E88" s="30" t="s">
        <v>1572</v>
      </c>
      <c r="F88" s="27" t="s">
        <v>1521</v>
      </c>
      <c r="G88" s="31" t="s">
        <v>2450</v>
      </c>
      <c r="H88" s="27" t="s">
        <v>1571</v>
      </c>
      <c r="I88" s="31"/>
      <c r="J88" s="27" t="s">
        <v>1523</v>
      </c>
      <c r="K88" s="27" t="s">
        <v>2439</v>
      </c>
      <c r="L88" s="31" t="s">
        <v>19</v>
      </c>
      <c r="M88" s="29"/>
      <c r="N88" s="47"/>
    </row>
    <row r="89" spans="3:14" ht="24.95" customHeight="1" x14ac:dyDescent="0.3">
      <c r="C89" s="5"/>
      <c r="D89" s="53" t="s">
        <v>414</v>
      </c>
      <c r="E89" s="54" t="s">
        <v>1570</v>
      </c>
      <c r="F89" s="52" t="s">
        <v>1569</v>
      </c>
      <c r="G89" s="55" t="s">
        <v>1568</v>
      </c>
      <c r="H89" s="52"/>
      <c r="I89" s="55"/>
      <c r="J89" s="52"/>
      <c r="K89" s="202" t="s">
        <v>2447</v>
      </c>
      <c r="L89" s="55"/>
      <c r="M89" s="57" t="s">
        <v>1567</v>
      </c>
      <c r="N89" s="57"/>
    </row>
    <row r="90" spans="3:14" ht="24.95" customHeight="1" x14ac:dyDescent="0.3">
      <c r="C90" s="5"/>
      <c r="D90" s="25" t="s">
        <v>415</v>
      </c>
      <c r="E90" s="30" t="s">
        <v>1566</v>
      </c>
      <c r="F90" s="27" t="s">
        <v>1521</v>
      </c>
      <c r="G90" s="31" t="s">
        <v>2367</v>
      </c>
      <c r="H90" s="27" t="s">
        <v>1524</v>
      </c>
      <c r="I90" s="31"/>
      <c r="J90" s="27" t="s">
        <v>1523</v>
      </c>
      <c r="K90" s="165" t="s">
        <v>2448</v>
      </c>
      <c r="L90" s="31" t="s">
        <v>24</v>
      </c>
      <c r="M90" s="194" t="s">
        <v>2471</v>
      </c>
      <c r="N90" s="47" t="s">
        <v>2470</v>
      </c>
    </row>
    <row r="91" spans="3:14" ht="63" customHeight="1" x14ac:dyDescent="0.3">
      <c r="C91" s="5"/>
      <c r="D91" s="53" t="s">
        <v>416</v>
      </c>
      <c r="E91" s="54" t="s">
        <v>1565</v>
      </c>
      <c r="F91" s="52" t="s">
        <v>1557</v>
      </c>
      <c r="G91" s="52" t="s">
        <v>1564</v>
      </c>
      <c r="H91" s="52"/>
      <c r="I91" s="55"/>
      <c r="J91" s="52"/>
      <c r="K91" s="202" t="s">
        <v>2447</v>
      </c>
      <c r="L91" s="55"/>
      <c r="M91" s="56" t="s">
        <v>2456</v>
      </c>
      <c r="N91" s="56"/>
    </row>
    <row r="92" spans="3:14" ht="76.5" customHeight="1" x14ac:dyDescent="0.3">
      <c r="C92" s="5"/>
      <c r="D92" s="53" t="s">
        <v>417</v>
      </c>
      <c r="E92" s="54" t="s">
        <v>1563</v>
      </c>
      <c r="F92" s="52" t="s">
        <v>1557</v>
      </c>
      <c r="G92" s="52" t="s">
        <v>2449</v>
      </c>
      <c r="H92" s="52"/>
      <c r="I92" s="55"/>
      <c r="J92" s="52"/>
      <c r="K92" s="202" t="s">
        <v>2458</v>
      </c>
      <c r="L92" s="55"/>
      <c r="M92" s="56" t="s">
        <v>2457</v>
      </c>
      <c r="N92" s="56"/>
    </row>
    <row r="93" spans="3:14" ht="24.95" customHeight="1" x14ac:dyDescent="0.3">
      <c r="C93" s="5"/>
      <c r="D93" s="25" t="s">
        <v>418</v>
      </c>
      <c r="E93" s="30" t="s">
        <v>2446</v>
      </c>
      <c r="F93" s="27" t="s">
        <v>1521</v>
      </c>
      <c r="G93" s="31" t="s">
        <v>2460</v>
      </c>
      <c r="H93" s="27" t="s">
        <v>1524</v>
      </c>
      <c r="I93" s="31"/>
      <c r="J93" s="27" t="s">
        <v>1523</v>
      </c>
      <c r="K93" s="165" t="s">
        <v>2458</v>
      </c>
      <c r="L93" s="31" t="s">
        <v>19</v>
      </c>
      <c r="M93" s="195" t="s">
        <v>2461</v>
      </c>
      <c r="N93" s="29"/>
    </row>
    <row r="94" spans="3:14" ht="24.95" customHeight="1" x14ac:dyDescent="0.3">
      <c r="C94" s="5"/>
      <c r="D94" s="25" t="s">
        <v>419</v>
      </c>
      <c r="E94" s="30" t="s">
        <v>1562</v>
      </c>
      <c r="F94" s="27" t="s">
        <v>1521</v>
      </c>
      <c r="G94" s="31" t="s">
        <v>1561</v>
      </c>
      <c r="H94" s="27" t="s">
        <v>1524</v>
      </c>
      <c r="I94" s="31"/>
      <c r="J94" s="27" t="s">
        <v>1523</v>
      </c>
      <c r="K94" s="165" t="s">
        <v>2458</v>
      </c>
      <c r="L94" s="31" t="s">
        <v>19</v>
      </c>
      <c r="M94" s="195" t="s">
        <v>2459</v>
      </c>
      <c r="N94" s="29"/>
    </row>
    <row r="95" spans="3:14" ht="24.95" customHeight="1" x14ac:dyDescent="0.3">
      <c r="C95" s="5"/>
      <c r="D95" s="53" t="s">
        <v>420</v>
      </c>
      <c r="E95" s="54" t="s">
        <v>1560</v>
      </c>
      <c r="F95" s="52" t="s">
        <v>1557</v>
      </c>
      <c r="G95" s="55" t="s">
        <v>1556</v>
      </c>
      <c r="H95" s="52"/>
      <c r="I95" s="55"/>
      <c r="J95" s="52"/>
      <c r="K95" s="202" t="s">
        <v>2458</v>
      </c>
      <c r="L95" s="55"/>
      <c r="M95" s="57" t="s">
        <v>1559</v>
      </c>
      <c r="N95" s="57"/>
    </row>
    <row r="96" spans="3:14" ht="24.95" customHeight="1" x14ac:dyDescent="0.3">
      <c r="C96" s="5"/>
      <c r="D96" s="53" t="s">
        <v>421</v>
      </c>
      <c r="E96" s="54" t="s">
        <v>1558</v>
      </c>
      <c r="F96" s="52" t="s">
        <v>1557</v>
      </c>
      <c r="G96" s="55" t="s">
        <v>1556</v>
      </c>
      <c r="H96" s="55"/>
      <c r="I96" s="55"/>
      <c r="J96" s="52"/>
      <c r="K96" s="202" t="s">
        <v>2472</v>
      </c>
      <c r="L96" s="55"/>
      <c r="M96" s="57" t="s">
        <v>1555</v>
      </c>
      <c r="N96" s="57"/>
    </row>
    <row r="97" spans="3:14" ht="24.95" customHeight="1" x14ac:dyDescent="0.3">
      <c r="C97" s="5"/>
      <c r="D97" s="48" t="s">
        <v>422</v>
      </c>
      <c r="E97" s="49" t="s">
        <v>1554</v>
      </c>
      <c r="F97" s="50" t="s">
        <v>1521</v>
      </c>
      <c r="G97" s="51" t="s">
        <v>1553</v>
      </c>
      <c r="H97" s="51" t="s">
        <v>44</v>
      </c>
      <c r="I97" s="51"/>
      <c r="J97" s="50" t="s">
        <v>1523</v>
      </c>
      <c r="K97" s="27" t="s">
        <v>2439</v>
      </c>
      <c r="L97" s="31" t="s">
        <v>19</v>
      </c>
      <c r="M97" s="29"/>
      <c r="N97" s="29"/>
    </row>
    <row r="98" spans="3:14" ht="24.95" customHeight="1" x14ac:dyDescent="0.3">
      <c r="C98" s="5"/>
      <c r="D98" s="25" t="s">
        <v>423</v>
      </c>
      <c r="E98" s="30" t="s">
        <v>1552</v>
      </c>
      <c r="F98" s="27" t="s">
        <v>1521</v>
      </c>
      <c r="G98" s="31" t="s">
        <v>1551</v>
      </c>
      <c r="H98" s="31" t="s">
        <v>44</v>
      </c>
      <c r="I98" s="31"/>
      <c r="J98" s="27" t="s">
        <v>1523</v>
      </c>
      <c r="K98" s="27" t="s">
        <v>2439</v>
      </c>
      <c r="L98" s="31" t="s">
        <v>19</v>
      </c>
      <c r="M98" s="29"/>
      <c r="N98" s="29"/>
    </row>
    <row r="99" spans="3:14" ht="24.95" customHeight="1" x14ac:dyDescent="0.3">
      <c r="C99" s="5"/>
      <c r="D99" s="25" t="s">
        <v>424</v>
      </c>
      <c r="E99" s="30" t="s">
        <v>1550</v>
      </c>
      <c r="F99" s="27" t="s">
        <v>1521</v>
      </c>
      <c r="G99" s="31" t="s">
        <v>1549</v>
      </c>
      <c r="H99" s="31" t="s">
        <v>44</v>
      </c>
      <c r="I99" s="31"/>
      <c r="J99" s="27" t="s">
        <v>1523</v>
      </c>
      <c r="K99" s="27" t="s">
        <v>2439</v>
      </c>
      <c r="L99" s="31" t="s">
        <v>19</v>
      </c>
      <c r="M99" s="29"/>
      <c r="N99" s="29"/>
    </row>
    <row r="100" spans="3:14" ht="40.5" x14ac:dyDescent="0.3">
      <c r="C100" s="5"/>
      <c r="D100" s="25" t="s">
        <v>425</v>
      </c>
      <c r="E100" s="30" t="s">
        <v>1548</v>
      </c>
      <c r="F100" s="27" t="s">
        <v>1521</v>
      </c>
      <c r="G100" s="31" t="s">
        <v>2473</v>
      </c>
      <c r="H100" s="27" t="s">
        <v>1520</v>
      </c>
      <c r="I100" s="31"/>
      <c r="J100" s="27" t="s">
        <v>1523</v>
      </c>
      <c r="K100" s="165" t="s">
        <v>2447</v>
      </c>
      <c r="L100" s="31" t="s">
        <v>2398</v>
      </c>
      <c r="M100" s="203" t="s">
        <v>2504</v>
      </c>
      <c r="N100" s="47" t="s">
        <v>2368</v>
      </c>
    </row>
    <row r="101" spans="3:14" ht="24.95" customHeight="1" x14ac:dyDescent="0.3">
      <c r="C101" s="5"/>
      <c r="D101" s="25" t="s">
        <v>426</v>
      </c>
      <c r="E101" s="30" t="s">
        <v>1547</v>
      </c>
      <c r="F101" s="27" t="s">
        <v>1526</v>
      </c>
      <c r="G101" s="31" t="s">
        <v>1546</v>
      </c>
      <c r="H101" s="27" t="s">
        <v>1529</v>
      </c>
      <c r="I101" s="31"/>
      <c r="J101" s="31" t="s">
        <v>1528</v>
      </c>
      <c r="K101" s="27" t="s">
        <v>2439</v>
      </c>
      <c r="L101" s="31" t="s">
        <v>19</v>
      </c>
      <c r="M101" s="29"/>
      <c r="N101" s="29"/>
    </row>
    <row r="102" spans="3:14" ht="24.95" customHeight="1" x14ac:dyDescent="0.3">
      <c r="C102" s="5"/>
      <c r="D102" s="25" t="s">
        <v>427</v>
      </c>
      <c r="E102" s="30" t="s">
        <v>1545</v>
      </c>
      <c r="F102" s="27" t="s">
        <v>1526</v>
      </c>
      <c r="G102" s="31" t="s">
        <v>1544</v>
      </c>
      <c r="H102" s="27" t="s">
        <v>1529</v>
      </c>
      <c r="I102" s="31"/>
      <c r="J102" s="31" t="s">
        <v>1528</v>
      </c>
      <c r="K102" s="27" t="s">
        <v>2439</v>
      </c>
      <c r="L102" s="31" t="s">
        <v>19</v>
      </c>
      <c r="M102" s="29"/>
      <c r="N102" s="29"/>
    </row>
    <row r="103" spans="3:14" ht="24.95" customHeight="1" x14ac:dyDescent="0.3">
      <c r="C103" s="5"/>
      <c r="D103" s="25" t="s">
        <v>428</v>
      </c>
      <c r="E103" s="30" t="s">
        <v>1543</v>
      </c>
      <c r="F103" s="27" t="s">
        <v>1526</v>
      </c>
      <c r="G103" s="31" t="s">
        <v>1542</v>
      </c>
      <c r="H103" s="27" t="s">
        <v>1524</v>
      </c>
      <c r="I103" s="31"/>
      <c r="J103" s="27" t="s">
        <v>1523</v>
      </c>
      <c r="K103" s="27" t="s">
        <v>2439</v>
      </c>
      <c r="L103" s="31" t="s">
        <v>19</v>
      </c>
      <c r="M103" s="29"/>
      <c r="N103" s="29"/>
    </row>
    <row r="104" spans="3:14" ht="30.75" customHeight="1" x14ac:dyDescent="0.3">
      <c r="C104" s="5"/>
      <c r="D104" s="25" t="s">
        <v>429</v>
      </c>
      <c r="E104" s="30" t="s">
        <v>1541</v>
      </c>
      <c r="F104" s="27" t="s">
        <v>2474</v>
      </c>
      <c r="G104" s="31" t="s">
        <v>2475</v>
      </c>
      <c r="H104" s="27" t="s">
        <v>1529</v>
      </c>
      <c r="I104" s="31"/>
      <c r="J104" s="31" t="s">
        <v>1528</v>
      </c>
      <c r="K104" s="165" t="s">
        <v>2447</v>
      </c>
      <c r="L104" s="31" t="s">
        <v>24</v>
      </c>
      <c r="M104" s="47" t="s">
        <v>2479</v>
      </c>
      <c r="N104" s="204" t="s">
        <v>2476</v>
      </c>
    </row>
    <row r="105" spans="3:14" ht="24.95" customHeight="1" x14ac:dyDescent="0.3">
      <c r="C105" s="5"/>
      <c r="D105" s="25" t="s">
        <v>430</v>
      </c>
      <c r="E105" s="30" t="s">
        <v>1540</v>
      </c>
      <c r="F105" s="27" t="s">
        <v>1526</v>
      </c>
      <c r="G105" s="31" t="s">
        <v>1539</v>
      </c>
      <c r="H105" s="27" t="s">
        <v>1529</v>
      </c>
      <c r="I105" s="31"/>
      <c r="J105" s="31" t="s">
        <v>1528</v>
      </c>
      <c r="K105" s="27" t="s">
        <v>2439</v>
      </c>
      <c r="L105" s="31" t="s">
        <v>19</v>
      </c>
      <c r="M105" s="29"/>
      <c r="N105" s="29"/>
    </row>
    <row r="106" spans="3:14" ht="24.95" customHeight="1" x14ac:dyDescent="0.3">
      <c r="C106" s="5"/>
      <c r="D106" s="25" t="s">
        <v>431</v>
      </c>
      <c r="E106" s="30" t="s">
        <v>1538</v>
      </c>
      <c r="F106" s="27" t="s">
        <v>1526</v>
      </c>
      <c r="G106" s="31" t="s">
        <v>1537</v>
      </c>
      <c r="H106" s="27" t="s">
        <v>1529</v>
      </c>
      <c r="I106" s="31"/>
      <c r="J106" s="31" t="s">
        <v>1528</v>
      </c>
      <c r="K106" s="27" t="s">
        <v>2439</v>
      </c>
      <c r="L106" s="31" t="s">
        <v>19</v>
      </c>
      <c r="M106" s="29"/>
      <c r="N106" s="29"/>
    </row>
    <row r="107" spans="3:14" ht="24.95" customHeight="1" x14ac:dyDescent="0.3">
      <c r="C107" s="5"/>
      <c r="D107" s="25" t="s">
        <v>432</v>
      </c>
      <c r="E107" s="30" t="s">
        <v>1536</v>
      </c>
      <c r="F107" s="27" t="s">
        <v>1526</v>
      </c>
      <c r="G107" s="31" t="s">
        <v>1535</v>
      </c>
      <c r="H107" s="27" t="s">
        <v>1524</v>
      </c>
      <c r="I107" s="31"/>
      <c r="J107" s="27" t="s">
        <v>1523</v>
      </c>
      <c r="K107" s="27" t="s">
        <v>2439</v>
      </c>
      <c r="L107" s="31" t="s">
        <v>19</v>
      </c>
      <c r="M107" s="29"/>
      <c r="N107" s="29"/>
    </row>
    <row r="108" spans="3:14" ht="30" customHeight="1" x14ac:dyDescent="0.3">
      <c r="C108" s="5"/>
      <c r="D108" s="25" t="s">
        <v>433</v>
      </c>
      <c r="E108" s="30" t="s">
        <v>1534</v>
      </c>
      <c r="F108" s="27" t="s">
        <v>1526</v>
      </c>
      <c r="G108" s="31" t="s">
        <v>2477</v>
      </c>
      <c r="H108" s="27" t="s">
        <v>1529</v>
      </c>
      <c r="I108" s="31"/>
      <c r="J108" s="31" t="s">
        <v>1528</v>
      </c>
      <c r="K108" s="165" t="s">
        <v>2447</v>
      </c>
      <c r="L108" s="31" t="s">
        <v>24</v>
      </c>
      <c r="M108" s="47" t="s">
        <v>2479</v>
      </c>
      <c r="N108" s="204" t="s">
        <v>2478</v>
      </c>
    </row>
    <row r="109" spans="3:14" ht="24.95" customHeight="1" x14ac:dyDescent="0.3">
      <c r="C109" s="5"/>
      <c r="D109" s="25" t="s">
        <v>434</v>
      </c>
      <c r="E109" s="30" t="s">
        <v>1533</v>
      </c>
      <c r="F109" s="27" t="s">
        <v>1526</v>
      </c>
      <c r="G109" s="31" t="s">
        <v>1532</v>
      </c>
      <c r="H109" s="27" t="s">
        <v>1529</v>
      </c>
      <c r="I109" s="31"/>
      <c r="J109" s="31" t="s">
        <v>1528</v>
      </c>
      <c r="K109" s="27" t="s">
        <v>2439</v>
      </c>
      <c r="L109" s="31" t="s">
        <v>19</v>
      </c>
      <c r="M109" s="29"/>
      <c r="N109" s="29"/>
    </row>
    <row r="110" spans="3:14" ht="24.95" customHeight="1" x14ac:dyDescent="0.3">
      <c r="C110" s="5"/>
      <c r="D110" s="25" t="s">
        <v>435</v>
      </c>
      <c r="E110" s="30" t="s">
        <v>1531</v>
      </c>
      <c r="F110" s="27" t="s">
        <v>1526</v>
      </c>
      <c r="G110" s="31" t="s">
        <v>1530</v>
      </c>
      <c r="H110" s="27" t="s">
        <v>1529</v>
      </c>
      <c r="I110" s="31"/>
      <c r="J110" s="31" t="s">
        <v>1528</v>
      </c>
      <c r="K110" s="27" t="s">
        <v>2439</v>
      </c>
      <c r="L110" s="31" t="s">
        <v>19</v>
      </c>
      <c r="M110" s="29"/>
      <c r="N110" s="29"/>
    </row>
    <row r="111" spans="3:14" ht="24.95" customHeight="1" x14ac:dyDescent="0.3">
      <c r="C111" s="5"/>
      <c r="D111" s="25" t="s">
        <v>436</v>
      </c>
      <c r="E111" s="30" t="s">
        <v>1527</v>
      </c>
      <c r="F111" s="27" t="s">
        <v>1526</v>
      </c>
      <c r="G111" s="31" t="s">
        <v>1525</v>
      </c>
      <c r="H111" s="31" t="s">
        <v>1524</v>
      </c>
      <c r="I111" s="31"/>
      <c r="J111" s="27" t="s">
        <v>1523</v>
      </c>
      <c r="K111" s="27" t="s">
        <v>2439</v>
      </c>
      <c r="L111" s="31" t="s">
        <v>19</v>
      </c>
      <c r="M111" s="29"/>
      <c r="N111" s="29"/>
    </row>
    <row r="112" spans="3:14" ht="30" customHeight="1" x14ac:dyDescent="0.3">
      <c r="C112" s="5"/>
      <c r="D112" s="25" t="s">
        <v>437</v>
      </c>
      <c r="E112" s="30" t="s">
        <v>1522</v>
      </c>
      <c r="F112" s="27" t="s">
        <v>2444</v>
      </c>
      <c r="G112" s="31" t="s">
        <v>2445</v>
      </c>
      <c r="H112" s="27" t="s">
        <v>1520</v>
      </c>
      <c r="I112" s="31"/>
      <c r="J112" s="31" t="s">
        <v>624</v>
      </c>
      <c r="K112" s="165" t="s">
        <v>2447</v>
      </c>
      <c r="L112" s="31" t="s">
        <v>2443</v>
      </c>
      <c r="M112" s="203" t="s">
        <v>2480</v>
      </c>
      <c r="N112" s="29"/>
    </row>
    <row r="113" spans="3:14" ht="24.95" customHeight="1" x14ac:dyDescent="0.3">
      <c r="C113" s="5"/>
      <c r="D113" s="33" t="s">
        <v>438</v>
      </c>
      <c r="E113" s="34" t="s">
        <v>1519</v>
      </c>
      <c r="F113" s="35"/>
      <c r="G113" s="36"/>
      <c r="H113" s="36"/>
      <c r="I113" s="36"/>
      <c r="J113" s="36" t="s">
        <v>1518</v>
      </c>
      <c r="K113" s="167" t="s">
        <v>2447</v>
      </c>
      <c r="L113" s="36"/>
      <c r="M113" s="205" t="s">
        <v>2481</v>
      </c>
      <c r="N113" s="38"/>
    </row>
    <row r="114" spans="3:14" ht="24.95" customHeight="1" x14ac:dyDescent="0.3">
      <c r="C114" s="5"/>
      <c r="D114" s="68"/>
      <c r="E114" s="216"/>
      <c r="F114" s="69"/>
      <c r="G114" s="217"/>
      <c r="H114" s="217"/>
      <c r="I114" s="217"/>
      <c r="J114" s="220" t="s">
        <v>2511</v>
      </c>
      <c r="K114" s="221">
        <v>17</v>
      </c>
      <c r="L114" s="217"/>
      <c r="M114" s="218"/>
      <c r="N114" s="219"/>
    </row>
    <row r="115" spans="3:14" x14ac:dyDescent="0.3">
      <c r="D115" s="16"/>
    </row>
    <row r="116" spans="3:14" ht="5.0999999999999996" customHeight="1" x14ac:dyDescent="0.3">
      <c r="D116" s="16"/>
    </row>
    <row r="117" spans="3:14" x14ac:dyDescent="0.3">
      <c r="C117" s="122">
        <v>3</v>
      </c>
      <c r="D117" s="335" t="s">
        <v>1517</v>
      </c>
      <c r="E117" s="335"/>
      <c r="F117" s="335"/>
      <c r="G117" s="335"/>
      <c r="H117" s="335"/>
      <c r="I117" s="335"/>
      <c r="J117" s="335"/>
      <c r="K117" s="335"/>
      <c r="L117" s="335"/>
      <c r="M117" s="335"/>
      <c r="N117" s="183"/>
    </row>
    <row r="118" spans="3:14" x14ac:dyDescent="0.3">
      <c r="D118" s="75"/>
      <c r="J118" s="75"/>
    </row>
    <row r="119" spans="3:14" x14ac:dyDescent="0.3">
      <c r="E119" s="75" t="s">
        <v>837</v>
      </c>
      <c r="G119" s="75" t="s">
        <v>837</v>
      </c>
      <c r="J119" s="76"/>
      <c r="K119" s="75" t="s">
        <v>837</v>
      </c>
      <c r="L119" s="75"/>
    </row>
    <row r="120" spans="3:14" x14ac:dyDescent="0.3">
      <c r="E120" s="76" t="s">
        <v>913</v>
      </c>
      <c r="G120" s="76" t="s">
        <v>913</v>
      </c>
      <c r="J120" s="76"/>
      <c r="K120" s="76" t="s">
        <v>913</v>
      </c>
      <c r="L120" s="76"/>
    </row>
    <row r="121" spans="3:14" x14ac:dyDescent="0.3">
      <c r="E121" s="76" t="s">
        <v>933</v>
      </c>
      <c r="G121" s="76" t="s">
        <v>947</v>
      </c>
      <c r="J121" s="76"/>
      <c r="K121" s="76" t="s">
        <v>914</v>
      </c>
      <c r="L121" s="76"/>
    </row>
    <row r="122" spans="3:14" x14ac:dyDescent="0.3">
      <c r="E122" s="76" t="s">
        <v>934</v>
      </c>
      <c r="G122" s="76" t="s">
        <v>916</v>
      </c>
      <c r="J122" s="76"/>
      <c r="K122" s="76" t="s">
        <v>915</v>
      </c>
      <c r="L122" s="76"/>
    </row>
    <row r="123" spans="3:14" x14ac:dyDescent="0.3">
      <c r="E123" s="76" t="s">
        <v>935</v>
      </c>
      <c r="G123" s="76" t="s">
        <v>917</v>
      </c>
      <c r="J123" s="76"/>
      <c r="K123" s="76" t="s">
        <v>916</v>
      </c>
      <c r="L123" s="76"/>
    </row>
    <row r="124" spans="3:14" x14ac:dyDescent="0.3">
      <c r="E124" s="76" t="s">
        <v>936</v>
      </c>
      <c r="G124" s="76" t="s">
        <v>918</v>
      </c>
      <c r="J124" s="76"/>
      <c r="K124" s="76" t="s">
        <v>838</v>
      </c>
      <c r="L124" s="76"/>
    </row>
    <row r="125" spans="3:14" x14ac:dyDescent="0.3">
      <c r="E125" s="76" t="s">
        <v>937</v>
      </c>
      <c r="G125" s="76" t="s">
        <v>919</v>
      </c>
      <c r="J125" s="76"/>
      <c r="K125" s="76" t="s">
        <v>846</v>
      </c>
      <c r="L125" s="76"/>
    </row>
    <row r="126" spans="3:14" x14ac:dyDescent="0.3">
      <c r="E126" s="76" t="s">
        <v>938</v>
      </c>
      <c r="G126" s="76" t="s">
        <v>920</v>
      </c>
      <c r="J126" s="76"/>
      <c r="K126" s="76" t="s">
        <v>917</v>
      </c>
      <c r="L126" s="76"/>
    </row>
    <row r="127" spans="3:14" x14ac:dyDescent="0.3">
      <c r="E127" s="76" t="s">
        <v>939</v>
      </c>
      <c r="G127" s="76" t="s">
        <v>921</v>
      </c>
      <c r="J127" s="76"/>
      <c r="K127" s="76" t="s">
        <v>918</v>
      </c>
      <c r="L127" s="76"/>
    </row>
    <row r="128" spans="3:14" x14ac:dyDescent="0.3">
      <c r="E128" s="76" t="s">
        <v>940</v>
      </c>
      <c r="G128" s="76" t="s">
        <v>948</v>
      </c>
      <c r="J128" s="76"/>
      <c r="K128" s="76" t="s">
        <v>919</v>
      </c>
      <c r="L128" s="76"/>
    </row>
    <row r="129" spans="4:12" x14ac:dyDescent="0.3">
      <c r="E129" s="76" t="s">
        <v>941</v>
      </c>
      <c r="G129" s="76" t="s">
        <v>949</v>
      </c>
      <c r="J129" s="76"/>
      <c r="K129" s="76" t="s">
        <v>920</v>
      </c>
      <c r="L129" s="76"/>
    </row>
    <row r="130" spans="4:12" x14ac:dyDescent="0.3">
      <c r="E130" s="76" t="s">
        <v>942</v>
      </c>
      <c r="G130" s="76" t="s">
        <v>950</v>
      </c>
      <c r="J130" s="76"/>
      <c r="K130" s="76" t="s">
        <v>921</v>
      </c>
      <c r="L130" s="76"/>
    </row>
    <row r="131" spans="4:12" x14ac:dyDescent="0.3">
      <c r="E131" s="76" t="s">
        <v>943</v>
      </c>
      <c r="G131" s="76" t="s">
        <v>951</v>
      </c>
      <c r="J131" s="76"/>
      <c r="K131" s="76" t="s">
        <v>922</v>
      </c>
      <c r="L131" s="76"/>
    </row>
    <row r="132" spans="4:12" x14ac:dyDescent="0.3">
      <c r="E132" s="76" t="s">
        <v>839</v>
      </c>
      <c r="G132" s="76" t="s">
        <v>952</v>
      </c>
      <c r="J132" s="76"/>
      <c r="K132" s="76" t="s">
        <v>841</v>
      </c>
      <c r="L132" s="76"/>
    </row>
    <row r="133" spans="4:12" x14ac:dyDescent="0.3">
      <c r="E133" s="76" t="s">
        <v>854</v>
      </c>
      <c r="G133" s="76" t="s">
        <v>953</v>
      </c>
      <c r="J133" s="76"/>
      <c r="K133" s="76" t="s">
        <v>847</v>
      </c>
      <c r="L133" s="76"/>
    </row>
    <row r="134" spans="4:12" x14ac:dyDescent="0.3">
      <c r="E134" s="76" t="s">
        <v>855</v>
      </c>
      <c r="G134" s="76" t="s">
        <v>954</v>
      </c>
      <c r="J134" s="76"/>
      <c r="K134" s="76" t="s">
        <v>842</v>
      </c>
      <c r="L134" s="76"/>
    </row>
    <row r="135" spans="4:12" x14ac:dyDescent="0.3">
      <c r="E135" s="76" t="s">
        <v>856</v>
      </c>
      <c r="G135" s="76" t="s">
        <v>955</v>
      </c>
      <c r="J135" s="76"/>
      <c r="K135" s="76" t="s">
        <v>848</v>
      </c>
      <c r="L135" s="76"/>
    </row>
    <row r="136" spans="4:12" x14ac:dyDescent="0.3">
      <c r="E136" s="76" t="s">
        <v>857</v>
      </c>
      <c r="G136" s="76" t="s">
        <v>956</v>
      </c>
      <c r="J136" s="76"/>
      <c r="K136" s="76" t="s">
        <v>843</v>
      </c>
      <c r="L136" s="76"/>
    </row>
    <row r="137" spans="4:12" x14ac:dyDescent="0.3">
      <c r="E137" s="76" t="s">
        <v>944</v>
      </c>
      <c r="G137" s="76" t="s">
        <v>957</v>
      </c>
      <c r="J137" s="75"/>
      <c r="K137" s="76" t="s">
        <v>923</v>
      </c>
      <c r="L137" s="76"/>
    </row>
    <row r="138" spans="4:12" x14ac:dyDescent="0.3">
      <c r="E138" s="75" t="s">
        <v>859</v>
      </c>
      <c r="G138" s="76" t="s">
        <v>958</v>
      </c>
      <c r="J138" s="76"/>
      <c r="K138" s="76" t="s">
        <v>844</v>
      </c>
      <c r="L138" s="76"/>
    </row>
    <row r="139" spans="4:12" x14ac:dyDescent="0.3">
      <c r="E139" s="76" t="s">
        <v>945</v>
      </c>
      <c r="G139" s="76" t="s">
        <v>959</v>
      </c>
      <c r="J139" s="75"/>
      <c r="K139" s="76" t="s">
        <v>924</v>
      </c>
      <c r="L139" s="76"/>
    </row>
    <row r="140" spans="4:12" x14ac:dyDescent="0.3">
      <c r="E140" s="75" t="s">
        <v>860</v>
      </c>
      <c r="G140" s="76" t="s">
        <v>960</v>
      </c>
      <c r="J140" s="76"/>
      <c r="K140" s="76" t="s">
        <v>841</v>
      </c>
      <c r="L140" s="76"/>
    </row>
    <row r="141" spans="4:12" x14ac:dyDescent="0.3">
      <c r="E141" s="76" t="s">
        <v>861</v>
      </c>
      <c r="G141" s="76" t="s">
        <v>961</v>
      </c>
      <c r="J141" s="76"/>
      <c r="K141" s="76" t="s">
        <v>847</v>
      </c>
      <c r="L141" s="76"/>
    </row>
    <row r="142" spans="4:12" x14ac:dyDescent="0.3">
      <c r="E142" s="76" t="s">
        <v>946</v>
      </c>
      <c r="G142" s="76" t="s">
        <v>962</v>
      </c>
      <c r="J142" s="76"/>
      <c r="K142" s="76" t="s">
        <v>842</v>
      </c>
      <c r="L142" s="76"/>
    </row>
    <row r="143" spans="4:12" x14ac:dyDescent="0.3">
      <c r="E143" s="76" t="s">
        <v>869</v>
      </c>
      <c r="G143" s="76" t="s">
        <v>963</v>
      </c>
      <c r="K143" s="76" t="s">
        <v>848</v>
      </c>
      <c r="L143" s="76"/>
    </row>
    <row r="144" spans="4:12" x14ac:dyDescent="0.3">
      <c r="D144" s="76"/>
      <c r="G144" s="76" t="s">
        <v>964</v>
      </c>
      <c r="K144" s="76" t="s">
        <v>843</v>
      </c>
      <c r="L144" s="76"/>
    </row>
    <row r="145" spans="4:12" x14ac:dyDescent="0.3">
      <c r="D145" s="76"/>
      <c r="G145" s="76" t="s">
        <v>850</v>
      </c>
      <c r="K145" s="76" t="s">
        <v>925</v>
      </c>
      <c r="L145" s="76"/>
    </row>
    <row r="146" spans="4:12" x14ac:dyDescent="0.3">
      <c r="D146" s="76"/>
      <c r="G146" s="76" t="s">
        <v>851</v>
      </c>
      <c r="K146" s="76" t="s">
        <v>844</v>
      </c>
      <c r="L146" s="76"/>
    </row>
    <row r="147" spans="4:12" x14ac:dyDescent="0.3">
      <c r="D147" s="75"/>
      <c r="G147" s="76" t="s">
        <v>852</v>
      </c>
      <c r="K147" s="76" t="s">
        <v>926</v>
      </c>
      <c r="L147" s="76"/>
    </row>
    <row r="148" spans="4:12" x14ac:dyDescent="0.3">
      <c r="D148" s="76"/>
      <c r="G148" s="76" t="s">
        <v>853</v>
      </c>
      <c r="K148" s="75" t="s">
        <v>859</v>
      </c>
      <c r="L148" s="75"/>
    </row>
    <row r="149" spans="4:12" x14ac:dyDescent="0.3">
      <c r="D149" s="76"/>
      <c r="G149" s="76" t="s">
        <v>839</v>
      </c>
      <c r="K149" s="76" t="s">
        <v>927</v>
      </c>
      <c r="L149" s="76"/>
    </row>
    <row r="150" spans="4:12" x14ac:dyDescent="0.3">
      <c r="D150" s="75"/>
      <c r="G150" s="76" t="s">
        <v>965</v>
      </c>
      <c r="K150" s="76" t="s">
        <v>928</v>
      </c>
      <c r="L150" s="76"/>
    </row>
    <row r="151" spans="4:12" x14ac:dyDescent="0.3">
      <c r="D151" s="76"/>
      <c r="G151" s="76" t="s">
        <v>966</v>
      </c>
      <c r="K151" s="75" t="s">
        <v>860</v>
      </c>
      <c r="L151" s="75"/>
    </row>
    <row r="152" spans="4:12" x14ac:dyDescent="0.3">
      <c r="D152" s="76"/>
      <c r="G152" s="76" t="s">
        <v>854</v>
      </c>
      <c r="K152" s="76" t="s">
        <v>929</v>
      </c>
      <c r="L152" s="76"/>
    </row>
    <row r="153" spans="4:12" x14ac:dyDescent="0.3">
      <c r="D153" s="76"/>
      <c r="G153" s="76" t="s">
        <v>855</v>
      </c>
      <c r="K153" s="76" t="s">
        <v>930</v>
      </c>
      <c r="L153" s="76"/>
    </row>
    <row r="154" spans="4:12" x14ac:dyDescent="0.3">
      <c r="D154" s="76"/>
      <c r="G154" s="76" t="s">
        <v>856</v>
      </c>
      <c r="K154" s="76" t="s">
        <v>931</v>
      </c>
      <c r="L154" s="76"/>
    </row>
    <row r="155" spans="4:12" x14ac:dyDescent="0.3">
      <c r="G155" s="76" t="s">
        <v>857</v>
      </c>
      <c r="K155" s="76" t="s">
        <v>932</v>
      </c>
      <c r="L155" s="76"/>
    </row>
    <row r="156" spans="4:12" x14ac:dyDescent="0.3">
      <c r="G156" s="76" t="s">
        <v>858</v>
      </c>
    </row>
    <row r="157" spans="4:12" x14ac:dyDescent="0.3">
      <c r="G157" s="76" t="s">
        <v>967</v>
      </c>
    </row>
    <row r="158" spans="4:12" x14ac:dyDescent="0.3">
      <c r="G158" s="75" t="s">
        <v>859</v>
      </c>
    </row>
    <row r="159" spans="4:12" x14ac:dyDescent="0.3">
      <c r="G159" s="76" t="s">
        <v>968</v>
      </c>
    </row>
    <row r="160" spans="4:12" x14ac:dyDescent="0.3">
      <c r="G160" s="75" t="s">
        <v>860</v>
      </c>
    </row>
    <row r="161" spans="3:14" x14ac:dyDescent="0.3">
      <c r="G161" s="76" t="s">
        <v>861</v>
      </c>
    </row>
    <row r="162" spans="3:14" x14ac:dyDescent="0.3">
      <c r="G162" s="76" t="s">
        <v>969</v>
      </c>
    </row>
    <row r="163" spans="3:14" x14ac:dyDescent="0.3">
      <c r="G163" s="76" t="s">
        <v>970</v>
      </c>
    </row>
    <row r="164" spans="3:14" x14ac:dyDescent="0.3">
      <c r="G164" s="76" t="s">
        <v>869</v>
      </c>
    </row>
    <row r="168" spans="3:14" x14ac:dyDescent="0.3">
      <c r="C168" s="191">
        <v>4</v>
      </c>
      <c r="D168" s="335" t="s">
        <v>2217</v>
      </c>
      <c r="E168" s="335"/>
      <c r="F168" s="335"/>
      <c r="G168" s="335"/>
      <c r="H168" s="335"/>
      <c r="I168" s="335"/>
      <c r="J168" s="335"/>
      <c r="K168" s="335"/>
      <c r="L168" s="335"/>
      <c r="M168" s="335"/>
      <c r="N168" s="183"/>
    </row>
    <row r="171" spans="3:14" x14ac:dyDescent="0.3">
      <c r="C171" s="187">
        <v>5</v>
      </c>
      <c r="D171" s="335" t="s">
        <v>2381</v>
      </c>
      <c r="E171" s="335"/>
      <c r="F171" s="335"/>
      <c r="G171" s="335"/>
      <c r="H171" s="335"/>
      <c r="I171" s="335"/>
      <c r="J171" s="335"/>
      <c r="K171" s="335"/>
      <c r="L171" s="335"/>
      <c r="M171" s="335"/>
      <c r="N171" s="183"/>
    </row>
    <row r="172" spans="3:14" x14ac:dyDescent="0.3">
      <c r="C172" t="s">
        <v>712</v>
      </c>
      <c r="D172" t="s">
        <v>2380</v>
      </c>
    </row>
    <row r="173" spans="3:14" x14ac:dyDescent="0.3">
      <c r="C173" t="s">
        <v>2394</v>
      </c>
      <c r="D173" s="354" t="s">
        <v>2397</v>
      </c>
      <c r="E173" s="354"/>
      <c r="F173" s="354"/>
      <c r="G173" s="354"/>
      <c r="H173" s="354"/>
      <c r="I173" s="354"/>
      <c r="J173" s="354"/>
      <c r="K173" s="354"/>
      <c r="L173" s="354"/>
      <c r="M173" s="354"/>
      <c r="N173" s="354"/>
    </row>
    <row r="174" spans="3:14" x14ac:dyDescent="0.3">
      <c r="C174" t="s">
        <v>723</v>
      </c>
      <c r="D174" s="348" t="s">
        <v>2396</v>
      </c>
      <c r="E174" s="348"/>
      <c r="F174" s="348"/>
      <c r="G174" s="348"/>
      <c r="H174" s="348"/>
      <c r="I174" s="348"/>
      <c r="J174" s="348"/>
      <c r="K174" s="348"/>
      <c r="L174" s="348"/>
      <c r="M174" s="348"/>
      <c r="N174" s="348"/>
    </row>
    <row r="175" spans="3:14" x14ac:dyDescent="0.3">
      <c r="C175" t="s">
        <v>2395</v>
      </c>
      <c r="D175" s="348" t="s">
        <v>2399</v>
      </c>
      <c r="E175" s="336"/>
      <c r="F175" s="336"/>
      <c r="G175" s="336"/>
      <c r="H175" s="336"/>
      <c r="I175" s="336"/>
      <c r="J175" s="336"/>
      <c r="K175" s="336"/>
      <c r="L175" s="336"/>
      <c r="M175" s="336"/>
      <c r="N175" s="336"/>
    </row>
  </sheetData>
  <mergeCells count="11">
    <mergeCell ref="D117:M117"/>
    <mergeCell ref="D44:M44"/>
    <mergeCell ref="B2:K2"/>
    <mergeCell ref="D4:M4"/>
    <mergeCell ref="D6:M6"/>
    <mergeCell ref="D42:M42"/>
    <mergeCell ref="D173:N173"/>
    <mergeCell ref="D174:N174"/>
    <mergeCell ref="D175:N175"/>
    <mergeCell ref="D171:M171"/>
    <mergeCell ref="D168:M168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3"/>
  <sheetViews>
    <sheetView showGridLines="0" topLeftCell="A147" zoomScale="85" zoomScaleNormal="85" workbookViewId="0">
      <selection activeCell="J227" sqref="J227"/>
    </sheetView>
  </sheetViews>
  <sheetFormatPr defaultRowHeight="16.5" x14ac:dyDescent="0.3"/>
  <cols>
    <col min="1" max="1" width="2.125" customWidth="1"/>
    <col min="2" max="2" width="2.25" customWidth="1"/>
    <col min="3" max="3" width="14.375" bestFit="1" customWidth="1"/>
    <col min="4" max="4" width="7.625" bestFit="1" customWidth="1"/>
    <col min="5" max="5" width="16.625" style="1" customWidth="1"/>
    <col min="6" max="6" width="23.125" bestFit="1" customWidth="1"/>
    <col min="7" max="7" width="24.125" bestFit="1" customWidth="1"/>
    <col min="8" max="8" width="14.625" bestFit="1" customWidth="1"/>
    <col min="9" max="9" width="8.375" bestFit="1" customWidth="1"/>
    <col min="10" max="10" width="10" style="1" bestFit="1" customWidth="1"/>
    <col min="11" max="11" width="18.625" style="1" bestFit="1" customWidth="1"/>
    <col min="12" max="12" width="18" bestFit="1" customWidth="1"/>
    <col min="13" max="13" width="34.875" style="21" customWidth="1"/>
    <col min="14" max="14" width="143.375" style="21" customWidth="1"/>
  </cols>
  <sheetData>
    <row r="1" spans="1:14" ht="5.0999999999999996" customHeight="1" x14ac:dyDescent="0.3"/>
    <row r="2" spans="1:14" ht="24.95" customHeight="1" x14ac:dyDescent="0.3">
      <c r="A2" s="3" t="s">
        <v>2346</v>
      </c>
      <c r="B2" s="341" t="s">
        <v>17</v>
      </c>
      <c r="C2" s="341"/>
      <c r="D2" s="341"/>
      <c r="E2" s="341"/>
      <c r="F2" s="341"/>
      <c r="G2" s="341"/>
      <c r="H2" s="341"/>
      <c r="I2" s="341"/>
      <c r="J2" s="341"/>
      <c r="K2" s="341"/>
      <c r="L2" s="341"/>
    </row>
    <row r="3" spans="1:14" ht="5.0999999999999996" customHeight="1" x14ac:dyDescent="0.3"/>
    <row r="4" spans="1:14" x14ac:dyDescent="0.3">
      <c r="B4" s="11" t="s">
        <v>2345</v>
      </c>
      <c r="C4" s="2" t="s">
        <v>2344</v>
      </c>
      <c r="D4" s="342" t="s">
        <v>2343</v>
      </c>
      <c r="E4" s="342"/>
      <c r="F4" s="342"/>
      <c r="G4" s="342"/>
      <c r="H4" s="342"/>
      <c r="I4" s="342"/>
      <c r="J4" s="342"/>
      <c r="K4" s="342"/>
      <c r="L4" s="342"/>
      <c r="M4" s="342"/>
      <c r="N4"/>
    </row>
    <row r="5" spans="1:14" ht="5.0999999999999996" customHeight="1" x14ac:dyDescent="0.3"/>
    <row r="6" spans="1:14" ht="18.75" customHeight="1" x14ac:dyDescent="0.3">
      <c r="C6" s="182">
        <v>1</v>
      </c>
      <c r="D6" s="343" t="s">
        <v>2342</v>
      </c>
      <c r="E6" s="343"/>
      <c r="F6" s="343"/>
      <c r="G6" s="343"/>
      <c r="H6" s="343"/>
      <c r="I6" s="343"/>
      <c r="J6" s="343"/>
      <c r="K6" s="343"/>
      <c r="L6" s="343"/>
      <c r="M6" s="343"/>
      <c r="N6"/>
    </row>
    <row r="7" spans="1:14" ht="5.0999999999999996" customHeight="1" x14ac:dyDescent="0.3">
      <c r="C7" s="4"/>
      <c r="D7" s="5"/>
      <c r="E7" s="12"/>
      <c r="F7" s="5"/>
      <c r="G7" s="5"/>
      <c r="H7" s="5"/>
      <c r="I7" s="5"/>
      <c r="J7" s="12"/>
      <c r="K7" s="12"/>
      <c r="L7" s="5"/>
    </row>
    <row r="8" spans="1:14" x14ac:dyDescent="0.3">
      <c r="C8" s="4"/>
      <c r="D8" s="7"/>
      <c r="E8" s="13"/>
      <c r="F8" s="7"/>
      <c r="G8" s="7"/>
      <c r="H8" s="13"/>
      <c r="I8" s="13"/>
      <c r="J8" s="13"/>
      <c r="K8" s="13"/>
      <c r="L8" s="7"/>
    </row>
    <row r="9" spans="1:14" x14ac:dyDescent="0.3">
      <c r="C9" s="4"/>
      <c r="D9" s="7"/>
      <c r="E9" s="13"/>
      <c r="F9" s="7"/>
      <c r="G9" s="7"/>
      <c r="H9" s="13"/>
      <c r="I9" s="13"/>
      <c r="J9" s="13"/>
      <c r="K9" s="13"/>
      <c r="L9" s="7"/>
    </row>
    <row r="10" spans="1:14" x14ac:dyDescent="0.3">
      <c r="C10" s="4"/>
      <c r="D10" s="7"/>
      <c r="E10" s="13"/>
      <c r="F10" s="7"/>
      <c r="G10" s="7"/>
      <c r="H10" s="13"/>
      <c r="I10" s="13"/>
      <c r="J10" s="13"/>
      <c r="K10" s="13"/>
      <c r="L10" s="7"/>
    </row>
    <row r="11" spans="1:14" x14ac:dyDescent="0.3">
      <c r="C11" s="4"/>
      <c r="D11" s="7"/>
      <c r="E11" s="13"/>
      <c r="F11" s="7"/>
      <c r="G11" s="7"/>
      <c r="H11" s="13"/>
      <c r="I11" s="13"/>
      <c r="J11" s="13"/>
      <c r="K11" s="13"/>
      <c r="L11" s="7"/>
    </row>
    <row r="12" spans="1:14" x14ac:dyDescent="0.3">
      <c r="C12" s="4"/>
      <c r="D12" s="7"/>
      <c r="E12" s="13"/>
      <c r="F12" s="7"/>
      <c r="G12" s="7"/>
      <c r="H12" s="13"/>
      <c r="I12" s="13"/>
      <c r="J12" s="13"/>
      <c r="K12" s="13"/>
      <c r="L12" s="7"/>
    </row>
    <row r="13" spans="1:14" x14ac:dyDescent="0.3">
      <c r="C13" s="4"/>
      <c r="D13" s="7"/>
      <c r="E13" s="13"/>
      <c r="F13" s="7"/>
      <c r="G13" s="7"/>
      <c r="H13" s="13"/>
      <c r="I13" s="13"/>
      <c r="J13" s="13"/>
      <c r="K13" s="13"/>
      <c r="L13" s="7"/>
    </row>
    <row r="14" spans="1:14" x14ac:dyDescent="0.3">
      <c r="C14" s="4"/>
      <c r="D14" s="7"/>
      <c r="E14" s="13"/>
      <c r="F14" s="7"/>
      <c r="G14" s="7"/>
      <c r="H14" s="13"/>
      <c r="I14" s="13"/>
      <c r="J14" s="13"/>
      <c r="K14" s="13"/>
      <c r="L14" s="7"/>
    </row>
    <row r="15" spans="1:14" x14ac:dyDescent="0.3">
      <c r="C15" s="4"/>
      <c r="D15" s="7"/>
      <c r="E15" s="13"/>
      <c r="F15" s="7"/>
      <c r="G15" s="7"/>
      <c r="H15" s="13"/>
      <c r="I15" s="13"/>
      <c r="J15" s="13"/>
      <c r="K15" s="13"/>
      <c r="L15" s="7"/>
    </row>
    <row r="16" spans="1:14" x14ac:dyDescent="0.3">
      <c r="C16" s="4"/>
      <c r="D16" s="7"/>
      <c r="E16" s="13"/>
      <c r="F16" s="7"/>
      <c r="G16" s="7"/>
      <c r="H16" s="13"/>
      <c r="I16" s="13"/>
      <c r="J16" s="13"/>
      <c r="K16" s="13"/>
      <c r="L16" s="7"/>
    </row>
    <row r="17" spans="3:14" x14ac:dyDescent="0.3">
      <c r="C17" s="4"/>
      <c r="D17" s="7"/>
      <c r="E17" s="13"/>
      <c r="F17" s="7"/>
      <c r="G17" s="7"/>
      <c r="H17" s="13"/>
      <c r="I17" s="13"/>
      <c r="J17" s="13"/>
      <c r="K17" s="13"/>
      <c r="L17" s="7"/>
      <c r="M17" s="120"/>
      <c r="N17" s="120"/>
    </row>
    <row r="18" spans="3:14" x14ac:dyDescent="0.3">
      <c r="C18" s="4"/>
      <c r="D18" s="7"/>
      <c r="E18" s="13"/>
      <c r="F18" s="7"/>
      <c r="G18" s="7"/>
      <c r="H18" s="13"/>
      <c r="I18" s="13"/>
      <c r="J18" s="13"/>
      <c r="K18" s="13"/>
      <c r="L18" s="7"/>
    </row>
    <row r="19" spans="3:14" x14ac:dyDescent="0.3">
      <c r="C19" s="4"/>
      <c r="D19" s="7"/>
      <c r="E19" s="13"/>
      <c r="F19" s="7"/>
      <c r="G19" s="7"/>
      <c r="H19" s="13"/>
      <c r="I19" s="13"/>
      <c r="J19" s="13"/>
      <c r="K19" s="13"/>
      <c r="L19" s="7"/>
    </row>
    <row r="20" spans="3:14" x14ac:dyDescent="0.3">
      <c r="C20" s="4"/>
      <c r="D20" s="7"/>
      <c r="E20" s="13"/>
      <c r="F20" s="7"/>
      <c r="G20" s="7"/>
      <c r="H20" s="13"/>
      <c r="I20" s="13"/>
      <c r="J20" s="13"/>
      <c r="K20" s="13"/>
      <c r="L20" s="7"/>
    </row>
    <row r="21" spans="3:14" x14ac:dyDescent="0.3">
      <c r="C21" s="4"/>
      <c r="D21" s="7"/>
      <c r="E21" s="13"/>
      <c r="F21" s="7"/>
      <c r="G21" s="7"/>
      <c r="H21" s="13"/>
      <c r="I21" s="13"/>
      <c r="J21" s="13"/>
      <c r="K21" s="13"/>
      <c r="L21" s="7"/>
    </row>
    <row r="22" spans="3:14" x14ac:dyDescent="0.3">
      <c r="C22" s="4"/>
      <c r="D22" s="7"/>
      <c r="E22" s="13"/>
      <c r="F22" s="7"/>
      <c r="G22" s="7"/>
      <c r="H22" s="13"/>
      <c r="I22" s="13"/>
      <c r="J22" s="13"/>
      <c r="K22" s="13"/>
      <c r="L22" s="7"/>
    </row>
    <row r="23" spans="3:14" x14ac:dyDescent="0.3">
      <c r="C23" s="4"/>
      <c r="D23" s="7"/>
      <c r="E23" s="13"/>
      <c r="F23" s="7"/>
      <c r="G23" s="7"/>
      <c r="H23" s="13"/>
      <c r="I23" s="13"/>
      <c r="J23" s="13"/>
      <c r="K23" s="13"/>
      <c r="L23" s="7"/>
    </row>
    <row r="24" spans="3:14" x14ac:dyDescent="0.3">
      <c r="C24" s="4"/>
      <c r="D24" s="7"/>
      <c r="E24" s="13"/>
      <c r="F24" s="7"/>
      <c r="G24" s="7"/>
      <c r="H24" s="13"/>
      <c r="I24" s="13"/>
      <c r="J24" s="13"/>
      <c r="K24" s="13"/>
      <c r="L24" s="7"/>
    </row>
    <row r="25" spans="3:14" x14ac:dyDescent="0.3">
      <c r="C25" s="4"/>
      <c r="D25" s="7"/>
      <c r="E25" s="13"/>
      <c r="F25" s="7"/>
      <c r="G25" s="7"/>
      <c r="H25" s="13"/>
      <c r="I25" s="13"/>
      <c r="J25" s="13"/>
      <c r="K25" s="13"/>
      <c r="L25" s="7"/>
    </row>
    <row r="26" spans="3:14" x14ac:dyDescent="0.3">
      <c r="C26" s="4"/>
      <c r="D26" s="7"/>
      <c r="E26" s="13"/>
      <c r="F26" s="7"/>
      <c r="G26" s="7"/>
      <c r="H26" s="13"/>
      <c r="I26" s="13"/>
      <c r="J26" s="13"/>
      <c r="K26" s="13"/>
      <c r="L26" s="7"/>
      <c r="M26" s="120"/>
      <c r="N26" s="120"/>
    </row>
    <row r="27" spans="3:14" x14ac:dyDescent="0.3">
      <c r="C27" s="4"/>
      <c r="D27" s="7"/>
      <c r="E27" s="13"/>
      <c r="F27" s="7"/>
      <c r="G27" s="7"/>
      <c r="H27" s="13"/>
      <c r="I27" s="13"/>
      <c r="J27" s="13"/>
      <c r="K27" s="13"/>
      <c r="L27" s="7"/>
    </row>
    <row r="28" spans="3:14" x14ac:dyDescent="0.3">
      <c r="C28" s="4"/>
      <c r="D28" s="7"/>
      <c r="E28" s="13"/>
      <c r="F28" s="7"/>
      <c r="G28" s="7"/>
      <c r="H28" s="13"/>
      <c r="I28" s="13"/>
      <c r="J28" s="13"/>
      <c r="K28" s="13"/>
      <c r="L28" s="7"/>
    </row>
    <row r="29" spans="3:14" x14ac:dyDescent="0.3">
      <c r="C29" s="4"/>
      <c r="D29" s="7"/>
      <c r="E29" s="13"/>
      <c r="F29" s="7"/>
      <c r="G29" s="7"/>
      <c r="H29" s="13"/>
      <c r="I29" s="13"/>
      <c r="J29" s="13"/>
      <c r="K29" s="13"/>
      <c r="L29" s="7"/>
    </row>
    <row r="30" spans="3:14" x14ac:dyDescent="0.3">
      <c r="C30" s="4"/>
      <c r="D30" s="7"/>
      <c r="E30" s="13"/>
      <c r="F30" s="7"/>
      <c r="G30" s="7"/>
      <c r="H30" s="13"/>
      <c r="I30" s="13"/>
      <c r="J30" s="13"/>
      <c r="K30" s="13"/>
      <c r="L30" s="7"/>
    </row>
    <row r="31" spans="3:14" x14ac:dyDescent="0.3">
      <c r="C31" s="4"/>
      <c r="D31" s="7"/>
      <c r="E31" s="13"/>
      <c r="F31" s="7"/>
      <c r="G31" s="7"/>
      <c r="H31" s="13"/>
      <c r="I31" s="13"/>
      <c r="J31" s="13"/>
      <c r="K31" s="13"/>
      <c r="L31" s="7"/>
    </row>
    <row r="32" spans="3:14" x14ac:dyDescent="0.3">
      <c r="C32" s="4"/>
      <c r="D32" s="7"/>
      <c r="E32" s="13"/>
      <c r="F32" s="7"/>
      <c r="G32" s="7"/>
      <c r="H32" s="13"/>
      <c r="I32" s="13"/>
      <c r="J32" s="13"/>
      <c r="K32" s="13"/>
      <c r="L32" s="7"/>
    </row>
    <row r="33" spans="3:12" x14ac:dyDescent="0.3">
      <c r="C33" s="4"/>
      <c r="D33" s="7"/>
      <c r="E33" s="13"/>
      <c r="F33" s="7"/>
      <c r="G33" s="7"/>
      <c r="H33" s="13"/>
      <c r="I33" s="13"/>
      <c r="J33" s="13"/>
      <c r="K33" s="13"/>
      <c r="L33" s="7"/>
    </row>
    <row r="34" spans="3:12" x14ac:dyDescent="0.3">
      <c r="C34" s="4"/>
      <c r="D34" s="7"/>
      <c r="E34" s="13"/>
      <c r="F34" s="7"/>
      <c r="G34" s="7"/>
      <c r="H34" s="13"/>
      <c r="I34" s="13"/>
      <c r="J34" s="13"/>
      <c r="K34" s="13"/>
      <c r="L34" s="7"/>
    </row>
    <row r="35" spans="3:12" x14ac:dyDescent="0.3">
      <c r="C35" s="4"/>
      <c r="D35" s="7"/>
      <c r="E35" s="13"/>
      <c r="F35" s="7"/>
      <c r="G35" s="7"/>
      <c r="H35" s="13"/>
      <c r="I35" s="13"/>
      <c r="J35" s="13"/>
      <c r="K35" s="13"/>
      <c r="L35" s="7"/>
    </row>
    <row r="36" spans="3:12" x14ac:dyDescent="0.3">
      <c r="C36" s="4"/>
      <c r="D36" s="7"/>
      <c r="E36" s="13"/>
      <c r="F36" s="7"/>
      <c r="G36" s="7"/>
      <c r="H36" s="13"/>
      <c r="I36" s="13"/>
      <c r="J36" s="13"/>
      <c r="K36" s="13"/>
      <c r="L36" s="7"/>
    </row>
    <row r="37" spans="3:12" x14ac:dyDescent="0.3">
      <c r="C37" s="4"/>
      <c r="D37" s="7"/>
      <c r="E37" s="13"/>
      <c r="F37" s="7"/>
      <c r="G37" s="7"/>
      <c r="H37" s="13"/>
      <c r="I37" s="13"/>
      <c r="J37" s="13"/>
      <c r="K37" s="13"/>
      <c r="L37" s="7"/>
    </row>
    <row r="38" spans="3:12" x14ac:dyDescent="0.3">
      <c r="C38" s="4"/>
      <c r="D38" s="7"/>
      <c r="E38" s="13"/>
      <c r="F38" s="7"/>
      <c r="G38" s="7"/>
      <c r="H38" s="13"/>
      <c r="I38" s="13"/>
      <c r="J38" s="13"/>
      <c r="K38" s="13"/>
      <c r="L38" s="7"/>
    </row>
    <row r="39" spans="3:12" x14ac:dyDescent="0.3">
      <c r="C39" s="4"/>
      <c r="D39" s="7"/>
      <c r="E39" s="13"/>
      <c r="F39" s="7"/>
      <c r="G39" s="7"/>
      <c r="H39" s="13"/>
      <c r="I39" s="13"/>
      <c r="J39" s="13"/>
      <c r="K39" s="13"/>
      <c r="L39" s="7"/>
    </row>
    <row r="40" spans="3:12" x14ac:dyDescent="0.3">
      <c r="C40" s="4"/>
      <c r="D40" s="7"/>
      <c r="E40" s="13"/>
      <c r="F40" s="7"/>
      <c r="G40" s="7"/>
      <c r="H40" s="13"/>
      <c r="I40" s="13"/>
      <c r="J40" s="13"/>
      <c r="K40" s="13"/>
      <c r="L40" s="7"/>
    </row>
    <row r="41" spans="3:12" x14ac:dyDescent="0.3">
      <c r="C41" s="4"/>
      <c r="D41" s="7"/>
      <c r="E41" s="13"/>
      <c r="F41" s="7"/>
      <c r="G41" s="7"/>
      <c r="H41" s="13"/>
      <c r="I41" s="13"/>
      <c r="J41" s="13"/>
      <c r="K41" s="13"/>
      <c r="L41" s="7"/>
    </row>
    <row r="42" spans="3:12" x14ac:dyDescent="0.3">
      <c r="C42" s="4"/>
      <c r="D42" s="7"/>
      <c r="E42" s="13"/>
      <c r="F42" s="7"/>
      <c r="G42" s="7"/>
      <c r="H42" s="13"/>
      <c r="I42" s="13"/>
      <c r="J42" s="13"/>
      <c r="K42" s="13"/>
      <c r="L42" s="7"/>
    </row>
    <row r="43" spans="3:12" x14ac:dyDescent="0.3">
      <c r="C43" s="4"/>
      <c r="D43" s="7"/>
      <c r="E43" s="13"/>
      <c r="F43" s="7"/>
      <c r="G43" s="7"/>
      <c r="H43" s="13"/>
      <c r="I43" s="13"/>
      <c r="J43" s="13"/>
      <c r="K43" s="13"/>
      <c r="L43" s="7"/>
    </row>
    <row r="44" spans="3:12" x14ac:dyDescent="0.3">
      <c r="C44" s="4"/>
      <c r="D44" s="7"/>
      <c r="E44" s="13"/>
      <c r="F44" s="7"/>
      <c r="G44" s="7"/>
      <c r="H44" s="13"/>
      <c r="I44" s="13"/>
      <c r="J44" s="13"/>
      <c r="K44" s="13"/>
      <c r="L44" s="7"/>
    </row>
    <row r="45" spans="3:12" x14ac:dyDescent="0.3">
      <c r="C45" s="213"/>
      <c r="D45" s="7"/>
      <c r="E45" s="13"/>
      <c r="F45" s="7"/>
      <c r="G45" s="7"/>
      <c r="H45" s="13"/>
      <c r="I45" s="13"/>
      <c r="J45" s="13"/>
      <c r="K45" s="13"/>
      <c r="L45" s="7"/>
    </row>
    <row r="46" spans="3:12" x14ac:dyDescent="0.3">
      <c r="C46" s="214"/>
      <c r="D46" s="7"/>
      <c r="E46" s="13"/>
      <c r="F46" s="7"/>
      <c r="G46" s="7"/>
      <c r="H46" s="13"/>
      <c r="I46" s="13"/>
      <c r="J46" s="13"/>
      <c r="K46" s="13"/>
      <c r="L46" s="7"/>
    </row>
    <row r="47" spans="3:12" x14ac:dyDescent="0.3">
      <c r="C47" s="4"/>
      <c r="D47" s="7"/>
      <c r="E47" s="13"/>
      <c r="F47" s="7"/>
      <c r="G47" s="7"/>
      <c r="H47" s="13"/>
      <c r="I47" s="13"/>
      <c r="J47" s="13"/>
      <c r="K47" s="13"/>
      <c r="L47" s="7"/>
    </row>
    <row r="48" spans="3:12" x14ac:dyDescent="0.3">
      <c r="C48" s="4"/>
      <c r="D48" s="7"/>
      <c r="E48" s="13"/>
      <c r="F48" s="7"/>
      <c r="G48" s="7"/>
      <c r="H48" s="13"/>
      <c r="I48" s="13"/>
      <c r="J48" s="13"/>
      <c r="K48" s="13"/>
      <c r="L48" s="7"/>
    </row>
    <row r="49" spans="3:12" x14ac:dyDescent="0.3">
      <c r="C49" s="4"/>
      <c r="D49" s="7"/>
      <c r="E49" s="13"/>
      <c r="F49" s="7"/>
      <c r="G49" s="7"/>
      <c r="H49" s="13"/>
      <c r="I49" s="13"/>
      <c r="J49" s="13"/>
      <c r="K49" s="13"/>
      <c r="L49" s="7"/>
    </row>
    <row r="50" spans="3:12" x14ac:dyDescent="0.3">
      <c r="C50" s="4"/>
      <c r="D50" s="7"/>
      <c r="E50" s="13"/>
      <c r="F50" s="7"/>
      <c r="G50" s="7"/>
      <c r="H50" s="13"/>
      <c r="I50" s="13"/>
      <c r="J50" s="13"/>
      <c r="K50" s="13"/>
      <c r="L50" s="7"/>
    </row>
    <row r="51" spans="3:12" x14ac:dyDescent="0.3">
      <c r="C51" s="4"/>
      <c r="D51" s="7"/>
      <c r="E51" s="13"/>
      <c r="F51" s="7"/>
      <c r="G51" s="7"/>
      <c r="H51" s="13"/>
      <c r="I51" s="13"/>
      <c r="J51" s="13"/>
      <c r="K51" s="13"/>
      <c r="L51" s="7"/>
    </row>
    <row r="52" spans="3:12" x14ac:dyDescent="0.3">
      <c r="C52" s="4"/>
      <c r="D52" s="7"/>
      <c r="E52" s="13"/>
      <c r="F52" s="7"/>
      <c r="G52" s="7"/>
      <c r="H52" s="13"/>
      <c r="I52" s="13"/>
      <c r="J52" s="13"/>
      <c r="K52" s="13"/>
      <c r="L52" s="7"/>
    </row>
    <row r="53" spans="3:12" x14ac:dyDescent="0.3">
      <c r="C53" s="4"/>
      <c r="D53" s="7"/>
      <c r="E53" s="13"/>
      <c r="F53" s="7"/>
      <c r="G53" s="7"/>
      <c r="H53" s="13"/>
      <c r="I53" s="13"/>
      <c r="J53" s="13"/>
      <c r="K53" s="13"/>
      <c r="L53" s="7"/>
    </row>
    <row r="54" spans="3:12" x14ac:dyDescent="0.3">
      <c r="C54" s="4"/>
      <c r="D54" s="7"/>
      <c r="E54" s="13"/>
      <c r="F54" s="7"/>
      <c r="G54" s="7"/>
      <c r="H54" s="13"/>
      <c r="I54" s="13"/>
      <c r="J54" s="13"/>
      <c r="K54" s="13"/>
      <c r="L54" s="7"/>
    </row>
    <row r="55" spans="3:12" x14ac:dyDescent="0.3">
      <c r="C55" s="4"/>
      <c r="D55" s="7"/>
      <c r="E55" s="13"/>
      <c r="F55" s="7"/>
      <c r="G55" s="7"/>
      <c r="H55" s="13"/>
      <c r="I55" s="13"/>
      <c r="J55" s="13"/>
      <c r="K55" s="13"/>
      <c r="L55" s="7"/>
    </row>
    <row r="56" spans="3:12" x14ac:dyDescent="0.3">
      <c r="C56" s="4"/>
      <c r="D56" s="7"/>
      <c r="E56" s="13"/>
      <c r="F56" s="7"/>
      <c r="G56" s="7"/>
      <c r="H56" s="13"/>
      <c r="I56" s="13"/>
      <c r="J56" s="13"/>
      <c r="K56" s="13"/>
      <c r="L56" s="7"/>
    </row>
    <row r="57" spans="3:12" x14ac:dyDescent="0.3">
      <c r="C57" s="4"/>
      <c r="D57" s="7"/>
      <c r="E57" s="13"/>
      <c r="F57" s="7"/>
      <c r="G57" s="7"/>
      <c r="H57" s="13"/>
      <c r="I57" s="13"/>
      <c r="J57" s="13"/>
      <c r="K57" s="13"/>
      <c r="L57" s="7"/>
    </row>
    <row r="58" spans="3:12" x14ac:dyDescent="0.3">
      <c r="C58" s="4"/>
      <c r="D58" s="7"/>
      <c r="E58" s="13"/>
      <c r="F58" s="7"/>
      <c r="G58" s="7"/>
      <c r="H58" s="13"/>
      <c r="I58" s="13"/>
      <c r="J58" s="13"/>
      <c r="K58" s="13"/>
      <c r="L58" s="7"/>
    </row>
    <row r="59" spans="3:12" x14ac:dyDescent="0.3">
      <c r="C59" s="4"/>
      <c r="D59" s="7"/>
      <c r="E59" s="13"/>
      <c r="F59" s="7"/>
      <c r="G59" s="7"/>
      <c r="H59" s="13"/>
      <c r="I59" s="13"/>
      <c r="J59" s="13"/>
      <c r="K59" s="13"/>
      <c r="L59" s="7"/>
    </row>
    <row r="60" spans="3:12" x14ac:dyDescent="0.3">
      <c r="C60" s="4"/>
      <c r="D60" s="7"/>
      <c r="E60" s="13"/>
      <c r="F60" s="7"/>
      <c r="G60" s="7"/>
      <c r="H60" s="13"/>
      <c r="I60" s="13"/>
      <c r="J60" s="13"/>
      <c r="K60" s="13"/>
      <c r="L60" s="7"/>
    </row>
    <row r="61" spans="3:12" x14ac:dyDescent="0.3">
      <c r="C61" s="4"/>
      <c r="D61" s="7"/>
      <c r="E61" s="13"/>
      <c r="F61" s="7"/>
      <c r="G61" s="7"/>
      <c r="H61" s="13"/>
      <c r="I61" s="13"/>
      <c r="J61" s="13"/>
      <c r="K61" s="13"/>
      <c r="L61" s="7"/>
    </row>
    <row r="62" spans="3:12" x14ac:dyDescent="0.3">
      <c r="C62" s="4"/>
      <c r="D62" s="7"/>
      <c r="E62" s="13"/>
      <c r="F62" s="7"/>
      <c r="G62" s="7"/>
      <c r="H62" s="13"/>
      <c r="I62" s="13"/>
      <c r="J62" s="13"/>
      <c r="K62" s="13"/>
      <c r="L62" s="7"/>
    </row>
    <row r="63" spans="3:12" x14ac:dyDescent="0.3">
      <c r="C63" s="4"/>
      <c r="D63" s="7"/>
      <c r="E63" s="13"/>
      <c r="F63" s="7"/>
      <c r="G63" s="7"/>
      <c r="H63" s="13"/>
      <c r="I63" s="13"/>
      <c r="J63" s="13"/>
      <c r="K63" s="13"/>
      <c r="L63" s="7"/>
    </row>
    <row r="64" spans="3:12" x14ac:dyDescent="0.3">
      <c r="C64" s="4"/>
      <c r="D64" s="7"/>
      <c r="E64" s="13"/>
      <c r="F64" s="7"/>
      <c r="G64" s="7"/>
      <c r="H64" s="13"/>
      <c r="I64" s="13"/>
      <c r="J64" s="13"/>
      <c r="K64" s="13"/>
      <c r="L64" s="7"/>
    </row>
    <row r="65" spans="3:12" x14ac:dyDescent="0.3">
      <c r="C65" s="4"/>
      <c r="D65" s="7"/>
      <c r="E65" s="13"/>
      <c r="F65" s="7"/>
      <c r="G65" s="7"/>
      <c r="H65" s="13"/>
      <c r="I65" s="13"/>
      <c r="J65" s="13"/>
      <c r="K65" s="13"/>
      <c r="L65" s="7"/>
    </row>
    <row r="66" spans="3:12" x14ac:dyDescent="0.3">
      <c r="C66" s="4"/>
      <c r="D66" s="7"/>
      <c r="E66" s="13"/>
      <c r="F66" s="7"/>
      <c r="G66" s="7"/>
      <c r="H66" s="13"/>
      <c r="I66" s="13"/>
      <c r="J66" s="13"/>
      <c r="K66" s="13"/>
      <c r="L66" s="7"/>
    </row>
    <row r="67" spans="3:12" x14ac:dyDescent="0.3">
      <c r="C67" s="4"/>
      <c r="D67" s="7"/>
      <c r="E67" s="13"/>
      <c r="F67" s="7"/>
      <c r="G67" s="7"/>
      <c r="H67" s="13"/>
      <c r="I67" s="13"/>
      <c r="J67" s="13"/>
      <c r="K67" s="13"/>
      <c r="L67" s="7"/>
    </row>
    <row r="68" spans="3:12" x14ac:dyDescent="0.3">
      <c r="C68" s="4"/>
      <c r="D68" s="7"/>
      <c r="E68" s="13"/>
      <c r="F68" s="7"/>
      <c r="G68" s="7"/>
      <c r="H68" s="13"/>
      <c r="I68" s="13"/>
      <c r="J68" s="13"/>
      <c r="K68" s="13"/>
      <c r="L68" s="7"/>
    </row>
    <row r="69" spans="3:12" x14ac:dyDescent="0.3">
      <c r="C69" s="4"/>
      <c r="D69" s="7"/>
      <c r="E69" s="13"/>
      <c r="F69" s="7"/>
      <c r="G69" s="7"/>
      <c r="H69" s="13"/>
      <c r="I69" s="13"/>
      <c r="J69" s="13"/>
      <c r="K69" s="13"/>
      <c r="L69" s="7"/>
    </row>
    <row r="70" spans="3:12" x14ac:dyDescent="0.3">
      <c r="C70" s="4"/>
      <c r="D70" s="7"/>
      <c r="E70" s="13"/>
      <c r="F70" s="7"/>
      <c r="G70" s="7"/>
      <c r="H70" s="13"/>
      <c r="I70" s="13"/>
      <c r="J70" s="13"/>
      <c r="K70" s="13"/>
      <c r="L70" s="7"/>
    </row>
    <row r="71" spans="3:12" x14ac:dyDescent="0.3">
      <c r="C71" s="4"/>
      <c r="D71" s="7"/>
      <c r="E71" s="13"/>
      <c r="F71" s="7"/>
      <c r="G71" s="7"/>
      <c r="H71" s="13"/>
      <c r="I71" s="13"/>
      <c r="J71" s="13"/>
      <c r="K71" s="13"/>
      <c r="L71" s="7"/>
    </row>
    <row r="72" spans="3:12" x14ac:dyDescent="0.3">
      <c r="C72" s="4"/>
      <c r="D72" s="7"/>
      <c r="E72" s="13"/>
      <c r="F72" s="7"/>
      <c r="G72" s="7"/>
      <c r="H72" s="13"/>
      <c r="I72" s="13"/>
      <c r="J72" s="13"/>
      <c r="K72" s="13"/>
      <c r="L72" s="7"/>
    </row>
    <row r="73" spans="3:12" x14ac:dyDescent="0.3">
      <c r="C73" s="4"/>
      <c r="D73" s="7"/>
      <c r="E73" s="13"/>
      <c r="F73" s="7"/>
      <c r="G73" s="7"/>
      <c r="H73" s="13"/>
      <c r="I73" s="13"/>
      <c r="J73" s="13"/>
      <c r="K73" s="13"/>
      <c r="L73" s="7"/>
    </row>
    <row r="74" spans="3:12" x14ac:dyDescent="0.3">
      <c r="C74" s="4"/>
      <c r="D74" s="7"/>
      <c r="E74" s="13"/>
      <c r="F74" s="7"/>
      <c r="G74" s="7"/>
      <c r="H74" s="13"/>
      <c r="I74" s="13"/>
      <c r="J74" s="13"/>
      <c r="K74" s="13"/>
      <c r="L74" s="7"/>
    </row>
    <row r="75" spans="3:12" x14ac:dyDescent="0.3">
      <c r="C75" s="4"/>
      <c r="D75" s="7"/>
      <c r="E75" s="13"/>
      <c r="F75" s="7"/>
      <c r="G75" s="7"/>
      <c r="H75" s="13"/>
      <c r="I75" s="13"/>
      <c r="J75" s="13"/>
      <c r="K75" s="13"/>
      <c r="L75" s="7"/>
    </row>
    <row r="76" spans="3:12" x14ac:dyDescent="0.3">
      <c r="C76" s="4"/>
      <c r="D76" s="7"/>
      <c r="E76" s="13"/>
      <c r="F76" s="7"/>
      <c r="G76" s="7"/>
      <c r="H76" s="13"/>
      <c r="I76" s="13"/>
      <c r="J76" s="13"/>
      <c r="K76" s="13"/>
      <c r="L76" s="7"/>
    </row>
    <row r="77" spans="3:12" x14ac:dyDescent="0.3">
      <c r="C77" s="4"/>
      <c r="D77" s="7"/>
      <c r="E77" s="13"/>
      <c r="F77" s="7"/>
      <c r="G77" s="7"/>
      <c r="H77" s="13"/>
      <c r="I77" s="13"/>
      <c r="J77" s="13"/>
      <c r="K77" s="13"/>
      <c r="L77" s="7"/>
    </row>
    <row r="78" spans="3:12" x14ac:dyDescent="0.3">
      <c r="C78" s="4"/>
      <c r="D78" s="7"/>
      <c r="E78" s="13"/>
      <c r="F78" s="7"/>
      <c r="G78" s="7"/>
      <c r="H78" s="13"/>
      <c r="I78" s="13"/>
      <c r="J78" s="13"/>
      <c r="K78" s="13"/>
      <c r="L78" s="7"/>
    </row>
    <row r="79" spans="3:12" x14ac:dyDescent="0.3">
      <c r="C79" s="4"/>
      <c r="D79" s="7"/>
      <c r="E79" s="13"/>
      <c r="F79" s="7"/>
      <c r="G79" s="7"/>
      <c r="H79" s="13"/>
      <c r="I79" s="13"/>
      <c r="J79" s="13"/>
      <c r="K79" s="13"/>
      <c r="L79" s="7"/>
    </row>
    <row r="80" spans="3:12" ht="5.0999999999999996" customHeight="1" x14ac:dyDescent="0.3">
      <c r="C80" s="4"/>
      <c r="D80" s="5"/>
      <c r="E80" s="12"/>
      <c r="F80" s="5"/>
      <c r="G80" s="5"/>
      <c r="H80" s="5"/>
      <c r="I80" s="5"/>
      <c r="J80" s="12"/>
      <c r="K80" s="12"/>
      <c r="L80" s="5"/>
    </row>
    <row r="81" spans="3:14" ht="18.75" customHeight="1" x14ac:dyDescent="0.3">
      <c r="C81" s="182">
        <v>2</v>
      </c>
      <c r="D81" s="343" t="s">
        <v>2341</v>
      </c>
      <c r="E81" s="343"/>
      <c r="F81" s="343"/>
      <c r="G81" s="343"/>
      <c r="H81" s="343"/>
      <c r="I81" s="343"/>
      <c r="J81" s="343"/>
      <c r="K81" s="343"/>
      <c r="L81" s="343"/>
      <c r="M81" s="343"/>
      <c r="N81" s="183"/>
    </row>
    <row r="82" spans="3:14" ht="5.0999999999999996" customHeight="1" x14ac:dyDescent="0.3">
      <c r="C82" s="58"/>
      <c r="D82" s="5"/>
      <c r="E82" s="12"/>
      <c r="F82" s="5"/>
      <c r="G82" s="5"/>
      <c r="H82" s="5"/>
      <c r="I82" s="5"/>
      <c r="J82" s="12"/>
      <c r="K82" s="12"/>
      <c r="L82" s="5"/>
    </row>
    <row r="83" spans="3:14" ht="33.75" customHeight="1" x14ac:dyDescent="0.3">
      <c r="C83" s="58"/>
      <c r="D83" s="355" t="s">
        <v>2340</v>
      </c>
      <c r="E83" s="356"/>
      <c r="F83" s="356"/>
      <c r="G83" s="356"/>
      <c r="H83" s="356"/>
      <c r="I83" s="356"/>
      <c r="J83" s="356"/>
      <c r="K83" s="356"/>
      <c r="L83" s="356"/>
      <c r="M83" s="356"/>
      <c r="N83"/>
    </row>
    <row r="84" spans="3:14" ht="5.0999999999999996" customHeight="1" x14ac:dyDescent="0.3">
      <c r="C84" s="58"/>
      <c r="D84" s="5"/>
      <c r="E84" s="12"/>
      <c r="F84" s="5"/>
      <c r="G84" s="5"/>
      <c r="H84" s="5"/>
      <c r="I84" s="5"/>
      <c r="J84" s="12"/>
      <c r="K84" s="12"/>
      <c r="L84" s="5"/>
    </row>
    <row r="85" spans="3:14" ht="24.95" customHeight="1" x14ac:dyDescent="0.3">
      <c r="C85" s="5"/>
      <c r="D85" s="43" t="s">
        <v>2273</v>
      </c>
      <c r="E85" s="43" t="s">
        <v>7</v>
      </c>
      <c r="F85" s="43" t="s">
        <v>2271</v>
      </c>
      <c r="G85" s="43" t="s">
        <v>2270</v>
      </c>
      <c r="H85" s="43" t="s">
        <v>2269</v>
      </c>
      <c r="I85" s="43" t="s">
        <v>2290</v>
      </c>
      <c r="J85" s="43" t="s">
        <v>2267</v>
      </c>
      <c r="K85" s="44" t="s">
        <v>2421</v>
      </c>
      <c r="L85" s="44" t="s">
        <v>2347</v>
      </c>
      <c r="M85" s="45" t="s">
        <v>2266</v>
      </c>
      <c r="N85" s="45" t="s">
        <v>2356</v>
      </c>
    </row>
    <row r="86" spans="3:14" ht="31.5" customHeight="1" x14ac:dyDescent="0.3">
      <c r="C86" s="5"/>
      <c r="D86" s="39" t="s">
        <v>759</v>
      </c>
      <c r="E86" s="40" t="s">
        <v>370</v>
      </c>
      <c r="F86" s="27" t="s">
        <v>2483</v>
      </c>
      <c r="G86" s="41" t="s">
        <v>2484</v>
      </c>
      <c r="H86" s="60" t="s">
        <v>760</v>
      </c>
      <c r="I86" s="41"/>
      <c r="J86" s="41" t="s">
        <v>761</v>
      </c>
      <c r="K86" s="206" t="s">
        <v>2422</v>
      </c>
      <c r="L86" s="41" t="s">
        <v>24</v>
      </c>
      <c r="M86" s="42" t="s">
        <v>2485</v>
      </c>
      <c r="N86" s="42"/>
    </row>
    <row r="87" spans="3:14" ht="24.95" customHeight="1" x14ac:dyDescent="0.3">
      <c r="C87" s="5"/>
      <c r="D87" s="25" t="s">
        <v>693</v>
      </c>
      <c r="E87" s="26" t="s">
        <v>328</v>
      </c>
      <c r="F87" s="27" t="s">
        <v>2339</v>
      </c>
      <c r="G87" s="27" t="s">
        <v>327</v>
      </c>
      <c r="H87" s="61" t="s">
        <v>762</v>
      </c>
      <c r="I87" s="27" t="s">
        <v>19</v>
      </c>
      <c r="J87" s="27" t="s">
        <v>624</v>
      </c>
      <c r="K87" s="27" t="s">
        <v>2423</v>
      </c>
      <c r="L87" s="27" t="s">
        <v>19</v>
      </c>
      <c r="M87" s="28"/>
      <c r="N87" s="28"/>
    </row>
    <row r="88" spans="3:14" ht="24.95" customHeight="1" x14ac:dyDescent="0.3">
      <c r="C88" s="5"/>
      <c r="D88" s="25" t="s">
        <v>374</v>
      </c>
      <c r="E88" s="26" t="s">
        <v>763</v>
      </c>
      <c r="F88" s="27" t="s">
        <v>712</v>
      </c>
      <c r="G88" s="27" t="s">
        <v>33</v>
      </c>
      <c r="H88" s="61" t="s">
        <v>764</v>
      </c>
      <c r="I88" s="27" t="s">
        <v>19</v>
      </c>
      <c r="J88" s="27" t="s">
        <v>765</v>
      </c>
      <c r="K88" s="27" t="s">
        <v>2423</v>
      </c>
      <c r="L88" s="27" t="s">
        <v>19</v>
      </c>
      <c r="M88" s="28"/>
      <c r="N88" s="28"/>
    </row>
    <row r="89" spans="3:14" ht="24.95" customHeight="1" x14ac:dyDescent="0.3">
      <c r="C89" s="5"/>
      <c r="D89" s="25" t="s">
        <v>375</v>
      </c>
      <c r="E89" s="26" t="s">
        <v>766</v>
      </c>
      <c r="F89" s="27" t="s">
        <v>712</v>
      </c>
      <c r="G89" s="27" t="s">
        <v>22</v>
      </c>
      <c r="H89" s="61" t="s">
        <v>764</v>
      </c>
      <c r="I89" s="27" t="s">
        <v>19</v>
      </c>
      <c r="J89" s="27" t="s">
        <v>765</v>
      </c>
      <c r="K89" s="27" t="s">
        <v>2423</v>
      </c>
      <c r="L89" s="27" t="s">
        <v>19</v>
      </c>
      <c r="M89" s="28"/>
      <c r="N89" s="28"/>
    </row>
    <row r="90" spans="3:14" ht="24.95" customHeight="1" x14ac:dyDescent="0.3">
      <c r="C90" s="5"/>
      <c r="D90" s="25" t="s">
        <v>376</v>
      </c>
      <c r="E90" s="26" t="s">
        <v>767</v>
      </c>
      <c r="F90" s="27" t="s">
        <v>712</v>
      </c>
      <c r="G90" s="27" t="s">
        <v>713</v>
      </c>
      <c r="H90" s="61" t="s">
        <v>764</v>
      </c>
      <c r="I90" s="27" t="s">
        <v>19</v>
      </c>
      <c r="J90" s="27" t="s">
        <v>624</v>
      </c>
      <c r="K90" s="27" t="s">
        <v>2423</v>
      </c>
      <c r="L90" s="27" t="s">
        <v>19</v>
      </c>
      <c r="M90" s="28"/>
      <c r="N90" s="28"/>
    </row>
    <row r="91" spans="3:14" ht="24.95" customHeight="1" x14ac:dyDescent="0.3">
      <c r="C91" s="5"/>
      <c r="D91" s="25" t="s">
        <v>377</v>
      </c>
      <c r="E91" s="26" t="s">
        <v>2338</v>
      </c>
      <c r="F91" s="27" t="s">
        <v>2336</v>
      </c>
      <c r="G91" s="27" t="s">
        <v>35</v>
      </c>
      <c r="H91" s="61" t="s">
        <v>768</v>
      </c>
      <c r="I91" s="27" t="s">
        <v>19</v>
      </c>
      <c r="J91" s="27"/>
      <c r="K91" s="27" t="s">
        <v>2423</v>
      </c>
      <c r="L91" s="27" t="s">
        <v>19</v>
      </c>
      <c r="M91" s="28"/>
      <c r="N91" s="28"/>
    </row>
    <row r="92" spans="3:14" ht="24.95" customHeight="1" x14ac:dyDescent="0.3">
      <c r="C92" s="5"/>
      <c r="D92" s="25" t="s">
        <v>378</v>
      </c>
      <c r="E92" s="26" t="s">
        <v>769</v>
      </c>
      <c r="F92" s="27" t="s">
        <v>712</v>
      </c>
      <c r="G92" s="27" t="s">
        <v>770</v>
      </c>
      <c r="H92" s="61" t="s">
        <v>764</v>
      </c>
      <c r="I92" s="27" t="s">
        <v>19</v>
      </c>
      <c r="J92" s="27" t="s">
        <v>765</v>
      </c>
      <c r="K92" s="27" t="s">
        <v>2423</v>
      </c>
      <c r="L92" s="27" t="s">
        <v>19</v>
      </c>
      <c r="M92" s="28"/>
      <c r="N92" s="28"/>
    </row>
    <row r="93" spans="3:14" ht="24.95" customHeight="1" x14ac:dyDescent="0.3">
      <c r="C93" s="5"/>
      <c r="D93" s="25" t="s">
        <v>379</v>
      </c>
      <c r="E93" s="26" t="s">
        <v>771</v>
      </c>
      <c r="F93" s="27" t="s">
        <v>712</v>
      </c>
      <c r="G93" s="27" t="s">
        <v>714</v>
      </c>
      <c r="H93" s="61" t="s">
        <v>764</v>
      </c>
      <c r="I93" s="27" t="s">
        <v>19</v>
      </c>
      <c r="J93" s="27" t="s">
        <v>765</v>
      </c>
      <c r="K93" s="27" t="s">
        <v>2423</v>
      </c>
      <c r="L93" s="27" t="s">
        <v>19</v>
      </c>
      <c r="M93" s="29"/>
      <c r="N93" s="29"/>
    </row>
    <row r="94" spans="3:14" ht="24.95" customHeight="1" x14ac:dyDescent="0.3">
      <c r="C94" s="5"/>
      <c r="D94" s="25" t="s">
        <v>380</v>
      </c>
      <c r="E94" s="26" t="s">
        <v>772</v>
      </c>
      <c r="F94" s="27" t="s">
        <v>712</v>
      </c>
      <c r="G94" s="27" t="s">
        <v>715</v>
      </c>
      <c r="H94" s="61" t="s">
        <v>764</v>
      </c>
      <c r="I94" s="27" t="s">
        <v>19</v>
      </c>
      <c r="J94" s="27" t="s">
        <v>765</v>
      </c>
      <c r="K94" s="27" t="s">
        <v>2423</v>
      </c>
      <c r="L94" s="27" t="s">
        <v>19</v>
      </c>
      <c r="M94" s="29"/>
      <c r="N94" s="29"/>
    </row>
    <row r="95" spans="3:14" ht="24.95" customHeight="1" x14ac:dyDescent="0.3">
      <c r="C95" s="5"/>
      <c r="D95" s="25" t="s">
        <v>381</v>
      </c>
      <c r="E95" s="26" t="s">
        <v>773</v>
      </c>
      <c r="F95" s="27" t="s">
        <v>2489</v>
      </c>
      <c r="G95" s="27" t="s">
        <v>2490</v>
      </c>
      <c r="H95" s="61" t="s">
        <v>764</v>
      </c>
      <c r="I95" s="27" t="s">
        <v>19</v>
      </c>
      <c r="J95" s="27" t="s">
        <v>765</v>
      </c>
      <c r="K95" s="165" t="s">
        <v>2422</v>
      </c>
      <c r="L95" s="27" t="s">
        <v>19</v>
      </c>
      <c r="M95" s="29" t="s">
        <v>2482</v>
      </c>
      <c r="N95" s="29"/>
    </row>
    <row r="96" spans="3:14" ht="24.95" customHeight="1" x14ac:dyDescent="0.3">
      <c r="C96" s="5"/>
      <c r="D96" s="25" t="s">
        <v>382</v>
      </c>
      <c r="E96" s="30" t="s">
        <v>774</v>
      </c>
      <c r="F96" s="27" t="s">
        <v>712</v>
      </c>
      <c r="G96" s="31" t="s">
        <v>717</v>
      </c>
      <c r="H96" s="61" t="s">
        <v>764</v>
      </c>
      <c r="I96" s="31"/>
      <c r="J96" s="27" t="s">
        <v>765</v>
      </c>
      <c r="K96" s="27" t="s">
        <v>2423</v>
      </c>
      <c r="L96" s="31" t="s">
        <v>19</v>
      </c>
      <c r="M96" s="29"/>
      <c r="N96" s="29"/>
    </row>
    <row r="97" spans="3:14" ht="24.95" customHeight="1" x14ac:dyDescent="0.3">
      <c r="C97" s="5"/>
      <c r="D97" s="25" t="s">
        <v>383</v>
      </c>
      <c r="E97" s="30" t="s">
        <v>775</v>
      </c>
      <c r="F97" s="27" t="s">
        <v>711</v>
      </c>
      <c r="G97" s="31" t="s">
        <v>348</v>
      </c>
      <c r="H97" s="61" t="s">
        <v>776</v>
      </c>
      <c r="I97" s="31"/>
      <c r="J97" s="27" t="s">
        <v>624</v>
      </c>
      <c r="K97" s="27" t="s">
        <v>2423</v>
      </c>
      <c r="L97" s="31" t="s">
        <v>19</v>
      </c>
      <c r="M97" s="29"/>
      <c r="N97" s="29"/>
    </row>
    <row r="98" spans="3:14" ht="24.95" customHeight="1" x14ac:dyDescent="0.3">
      <c r="C98" s="5"/>
      <c r="D98" s="25" t="s">
        <v>384</v>
      </c>
      <c r="E98" s="30" t="s">
        <v>368</v>
      </c>
      <c r="F98" s="27" t="s">
        <v>711</v>
      </c>
      <c r="G98" s="31" t="s">
        <v>355</v>
      </c>
      <c r="H98" s="61" t="s">
        <v>768</v>
      </c>
      <c r="I98" s="31"/>
      <c r="J98" s="27" t="s">
        <v>624</v>
      </c>
      <c r="K98" s="27" t="s">
        <v>2423</v>
      </c>
      <c r="L98" s="31" t="s">
        <v>19</v>
      </c>
      <c r="M98" s="29"/>
      <c r="N98" s="29"/>
    </row>
    <row r="99" spans="3:14" ht="24.95" customHeight="1" x14ac:dyDescent="0.3">
      <c r="C99" s="5"/>
      <c r="D99" s="25" t="s">
        <v>385</v>
      </c>
      <c r="E99" s="30" t="s">
        <v>777</v>
      </c>
      <c r="F99" s="27" t="s">
        <v>711</v>
      </c>
      <c r="G99" s="31" t="s">
        <v>347</v>
      </c>
      <c r="H99" s="61" t="s">
        <v>776</v>
      </c>
      <c r="I99" s="31"/>
      <c r="J99" s="27" t="s">
        <v>624</v>
      </c>
      <c r="K99" s="27" t="s">
        <v>2423</v>
      </c>
      <c r="L99" s="31" t="s">
        <v>19</v>
      </c>
      <c r="M99" s="29"/>
      <c r="N99" s="29"/>
    </row>
    <row r="100" spans="3:14" ht="24.95" customHeight="1" x14ac:dyDescent="0.3">
      <c r="C100" s="5"/>
      <c r="D100" s="25" t="s">
        <v>386</v>
      </c>
      <c r="E100" s="30" t="s">
        <v>778</v>
      </c>
      <c r="F100" s="27" t="s">
        <v>712</v>
      </c>
      <c r="G100" s="31" t="s">
        <v>718</v>
      </c>
      <c r="H100" s="61" t="s">
        <v>779</v>
      </c>
      <c r="I100" s="31" t="s">
        <v>19</v>
      </c>
      <c r="J100" s="27" t="s">
        <v>624</v>
      </c>
      <c r="K100" s="27" t="s">
        <v>2423</v>
      </c>
      <c r="L100" s="31" t="s">
        <v>19</v>
      </c>
      <c r="M100" s="29"/>
      <c r="N100" s="29"/>
    </row>
    <row r="101" spans="3:14" ht="24.95" customHeight="1" x14ac:dyDescent="0.3">
      <c r="C101" s="5"/>
      <c r="D101" s="25" t="s">
        <v>387</v>
      </c>
      <c r="E101" s="30" t="s">
        <v>780</v>
      </c>
      <c r="F101" s="27" t="s">
        <v>712</v>
      </c>
      <c r="G101" s="31" t="s">
        <v>781</v>
      </c>
      <c r="H101" s="61" t="s">
        <v>760</v>
      </c>
      <c r="I101" s="31"/>
      <c r="J101" s="27" t="s">
        <v>761</v>
      </c>
      <c r="K101" s="27" t="s">
        <v>2423</v>
      </c>
      <c r="L101" s="31" t="s">
        <v>19</v>
      </c>
      <c r="M101" s="29"/>
      <c r="N101" s="29"/>
    </row>
    <row r="102" spans="3:14" ht="24.95" customHeight="1" x14ac:dyDescent="0.3">
      <c r="C102" s="5"/>
      <c r="D102" s="25" t="s">
        <v>388</v>
      </c>
      <c r="E102" s="30" t="s">
        <v>782</v>
      </c>
      <c r="F102" s="27" t="s">
        <v>712</v>
      </c>
      <c r="G102" s="31" t="s">
        <v>719</v>
      </c>
      <c r="H102" s="61" t="s">
        <v>779</v>
      </c>
      <c r="I102" s="31" t="s">
        <v>19</v>
      </c>
      <c r="J102" s="27" t="s">
        <v>624</v>
      </c>
      <c r="K102" s="27" t="s">
        <v>2423</v>
      </c>
      <c r="L102" s="31" t="s">
        <v>19</v>
      </c>
      <c r="M102" s="29"/>
      <c r="N102" s="29"/>
    </row>
    <row r="103" spans="3:14" ht="61.5" customHeight="1" x14ac:dyDescent="0.3">
      <c r="C103" s="5"/>
      <c r="D103" s="25" t="s">
        <v>389</v>
      </c>
      <c r="E103" s="30" t="s">
        <v>783</v>
      </c>
      <c r="F103" s="27" t="s">
        <v>1163</v>
      </c>
      <c r="G103" s="31" t="s">
        <v>2486</v>
      </c>
      <c r="H103" s="61" t="s">
        <v>760</v>
      </c>
      <c r="I103" s="31"/>
      <c r="J103" s="27" t="s">
        <v>761</v>
      </c>
      <c r="K103" s="165" t="s">
        <v>2506</v>
      </c>
      <c r="L103" s="31" t="s">
        <v>19</v>
      </c>
      <c r="M103" s="203" t="s">
        <v>2503</v>
      </c>
      <c r="N103" s="29"/>
    </row>
    <row r="104" spans="3:14" ht="24.95" customHeight="1" x14ac:dyDescent="0.3">
      <c r="C104" s="5"/>
      <c r="D104" s="25" t="s">
        <v>390</v>
      </c>
      <c r="E104" s="30" t="s">
        <v>784</v>
      </c>
      <c r="F104" s="27" t="s">
        <v>712</v>
      </c>
      <c r="G104" s="31" t="s">
        <v>720</v>
      </c>
      <c r="H104" s="61" t="s">
        <v>764</v>
      </c>
      <c r="I104" s="31" t="s">
        <v>19</v>
      </c>
      <c r="J104" s="27" t="s">
        <v>765</v>
      </c>
      <c r="K104" s="27" t="s">
        <v>2487</v>
      </c>
      <c r="L104" s="31" t="s">
        <v>19</v>
      </c>
      <c r="M104" s="29"/>
      <c r="N104" s="29"/>
    </row>
    <row r="105" spans="3:14" ht="24.95" customHeight="1" x14ac:dyDescent="0.3">
      <c r="C105" s="5"/>
      <c r="D105" s="25" t="s">
        <v>391</v>
      </c>
      <c r="E105" s="30" t="s">
        <v>785</v>
      </c>
      <c r="F105" s="27" t="s">
        <v>712</v>
      </c>
      <c r="G105" s="31" t="s">
        <v>721</v>
      </c>
      <c r="H105" s="61" t="s">
        <v>764</v>
      </c>
      <c r="I105" s="31" t="s">
        <v>19</v>
      </c>
      <c r="J105" s="27" t="s">
        <v>765</v>
      </c>
      <c r="K105" s="27" t="s">
        <v>2423</v>
      </c>
      <c r="L105" s="31" t="s">
        <v>19</v>
      </c>
      <c r="M105" s="29"/>
      <c r="N105" s="29"/>
    </row>
    <row r="106" spans="3:14" ht="24.95" customHeight="1" x14ac:dyDescent="0.3">
      <c r="C106" s="5"/>
      <c r="D106" s="25" t="s">
        <v>392</v>
      </c>
      <c r="E106" s="30" t="s">
        <v>786</v>
      </c>
      <c r="F106" s="27" t="s">
        <v>712</v>
      </c>
      <c r="G106" s="31" t="s">
        <v>722</v>
      </c>
      <c r="H106" s="61" t="s">
        <v>764</v>
      </c>
      <c r="I106" s="31" t="s">
        <v>19</v>
      </c>
      <c r="J106" s="27" t="s">
        <v>765</v>
      </c>
      <c r="K106" s="27" t="s">
        <v>2423</v>
      </c>
      <c r="L106" s="31" t="s">
        <v>19</v>
      </c>
      <c r="M106" s="29"/>
      <c r="N106" s="29"/>
    </row>
    <row r="107" spans="3:14" ht="60" customHeight="1" x14ac:dyDescent="0.3">
      <c r="C107" s="5"/>
      <c r="D107" s="25" t="s">
        <v>393</v>
      </c>
      <c r="E107" s="30" t="s">
        <v>787</v>
      </c>
      <c r="F107" s="27" t="s">
        <v>2229</v>
      </c>
      <c r="G107" s="27" t="s">
        <v>2417</v>
      </c>
      <c r="H107" s="61" t="s">
        <v>764</v>
      </c>
      <c r="I107" s="31" t="s">
        <v>19</v>
      </c>
      <c r="J107" s="27" t="s">
        <v>765</v>
      </c>
      <c r="K107" s="27" t="s">
        <v>2423</v>
      </c>
      <c r="L107" s="31" t="s">
        <v>19</v>
      </c>
      <c r="M107" s="47"/>
      <c r="N107" s="47"/>
    </row>
    <row r="108" spans="3:14" ht="24.95" customHeight="1" x14ac:dyDescent="0.3">
      <c r="C108" s="5"/>
      <c r="D108" s="25" t="s">
        <v>394</v>
      </c>
      <c r="E108" s="30" t="s">
        <v>788</v>
      </c>
      <c r="F108" s="27" t="s">
        <v>723</v>
      </c>
      <c r="G108" s="27" t="s">
        <v>662</v>
      </c>
      <c r="H108" s="61" t="s">
        <v>768</v>
      </c>
      <c r="I108" s="31" t="s">
        <v>19</v>
      </c>
      <c r="J108" s="31" t="s">
        <v>624</v>
      </c>
      <c r="K108" s="31" t="s">
        <v>2423</v>
      </c>
      <c r="L108" s="31" t="s">
        <v>19</v>
      </c>
      <c r="M108" s="29"/>
      <c r="N108" s="29"/>
    </row>
    <row r="109" spans="3:14" ht="24.95" customHeight="1" x14ac:dyDescent="0.3">
      <c r="C109" s="5"/>
      <c r="D109" s="25" t="s">
        <v>395</v>
      </c>
      <c r="E109" s="30" t="s">
        <v>789</v>
      </c>
      <c r="F109" s="27" t="s">
        <v>712</v>
      </c>
      <c r="G109" s="31" t="s">
        <v>664</v>
      </c>
      <c r="H109" s="61" t="s">
        <v>790</v>
      </c>
      <c r="I109" s="31" t="s">
        <v>19</v>
      </c>
      <c r="J109" s="27" t="s">
        <v>765</v>
      </c>
      <c r="K109" s="27" t="s">
        <v>2423</v>
      </c>
      <c r="L109" s="31" t="s">
        <v>19</v>
      </c>
      <c r="M109" s="29"/>
      <c r="N109" s="29"/>
    </row>
    <row r="110" spans="3:14" ht="92.25" customHeight="1" x14ac:dyDescent="0.3">
      <c r="C110" s="5"/>
      <c r="D110" s="25" t="s">
        <v>396</v>
      </c>
      <c r="E110" s="30" t="s">
        <v>2337</v>
      </c>
      <c r="F110" s="27" t="s">
        <v>1158</v>
      </c>
      <c r="G110" s="31" t="s">
        <v>2335</v>
      </c>
      <c r="H110" s="61" t="s">
        <v>768</v>
      </c>
      <c r="I110" s="31"/>
      <c r="J110" s="27" t="s">
        <v>624</v>
      </c>
      <c r="K110" s="27" t="s">
        <v>2423</v>
      </c>
      <c r="L110" s="31" t="s">
        <v>19</v>
      </c>
      <c r="M110" s="47" t="s">
        <v>2355</v>
      </c>
      <c r="N110" s="47"/>
    </row>
    <row r="111" spans="3:14" ht="24.95" customHeight="1" x14ac:dyDescent="0.3">
      <c r="C111" s="5"/>
      <c r="D111" s="25" t="s">
        <v>397</v>
      </c>
      <c r="E111" s="30" t="s">
        <v>791</v>
      </c>
      <c r="F111" s="27" t="s">
        <v>712</v>
      </c>
      <c r="G111" s="27" t="s">
        <v>59</v>
      </c>
      <c r="H111" s="61" t="s">
        <v>776</v>
      </c>
      <c r="I111" s="31"/>
      <c r="J111" s="27" t="s">
        <v>765</v>
      </c>
      <c r="K111" s="27" t="s">
        <v>2423</v>
      </c>
      <c r="L111" s="31" t="s">
        <v>19</v>
      </c>
      <c r="M111" s="29"/>
      <c r="N111" s="29"/>
    </row>
    <row r="112" spans="3:14" ht="40.5" x14ac:dyDescent="0.3">
      <c r="C112" s="5"/>
      <c r="D112" s="25" t="s">
        <v>398</v>
      </c>
      <c r="E112" s="30" t="s">
        <v>792</v>
      </c>
      <c r="F112" s="27" t="s">
        <v>712</v>
      </c>
      <c r="G112" s="31" t="s">
        <v>2491</v>
      </c>
      <c r="H112" s="27" t="s">
        <v>793</v>
      </c>
      <c r="I112" s="31"/>
      <c r="J112" s="31" t="s">
        <v>765</v>
      </c>
      <c r="K112" s="196" t="s">
        <v>2422</v>
      </c>
      <c r="L112" s="31" t="s">
        <v>19</v>
      </c>
      <c r="M112" s="164" t="s">
        <v>2493</v>
      </c>
      <c r="N112" s="47" t="s">
        <v>2492</v>
      </c>
    </row>
    <row r="113" spans="3:14" ht="24.95" customHeight="1" x14ac:dyDescent="0.3">
      <c r="C113" s="5"/>
      <c r="D113" s="25" t="s">
        <v>399</v>
      </c>
      <c r="E113" s="30" t="s">
        <v>794</v>
      </c>
      <c r="F113" s="27" t="s">
        <v>712</v>
      </c>
      <c r="G113" s="31" t="s">
        <v>724</v>
      </c>
      <c r="H113" s="27" t="s">
        <v>764</v>
      </c>
      <c r="I113" s="31" t="s">
        <v>19</v>
      </c>
      <c r="J113" s="31" t="s">
        <v>765</v>
      </c>
      <c r="K113" s="31" t="s">
        <v>2423</v>
      </c>
      <c r="L113" s="31" t="s">
        <v>19</v>
      </c>
      <c r="M113" s="29"/>
      <c r="N113" s="29"/>
    </row>
    <row r="114" spans="3:14" ht="24.95" customHeight="1" x14ac:dyDescent="0.3">
      <c r="C114" s="5"/>
      <c r="D114" s="25" t="s">
        <v>400</v>
      </c>
      <c r="E114" s="30" t="s">
        <v>795</v>
      </c>
      <c r="F114" s="27" t="s">
        <v>723</v>
      </c>
      <c r="G114" s="31" t="s">
        <v>725</v>
      </c>
      <c r="H114" s="31"/>
      <c r="I114" s="31"/>
      <c r="J114" s="31" t="s">
        <v>624</v>
      </c>
      <c r="K114" s="31" t="s">
        <v>2423</v>
      </c>
      <c r="L114" s="31" t="s">
        <v>19</v>
      </c>
      <c r="M114" s="29"/>
      <c r="N114" s="29"/>
    </row>
    <row r="115" spans="3:14" ht="24.95" customHeight="1" x14ac:dyDescent="0.3">
      <c r="C115" s="5"/>
      <c r="D115" s="25" t="s">
        <v>401</v>
      </c>
      <c r="E115" s="30" t="s">
        <v>796</v>
      </c>
      <c r="F115" s="27" t="s">
        <v>712</v>
      </c>
      <c r="G115" s="27" t="s">
        <v>726</v>
      </c>
      <c r="H115" s="31" t="s">
        <v>764</v>
      </c>
      <c r="I115" s="31" t="s">
        <v>19</v>
      </c>
      <c r="J115" s="31" t="s">
        <v>765</v>
      </c>
      <c r="K115" s="31" t="s">
        <v>2423</v>
      </c>
      <c r="L115" s="31" t="s">
        <v>19</v>
      </c>
      <c r="M115" s="29"/>
      <c r="N115" s="29"/>
    </row>
    <row r="116" spans="3:14" ht="24.95" customHeight="1" x14ac:dyDescent="0.3">
      <c r="C116" s="5"/>
      <c r="D116" s="25" t="s">
        <v>402</v>
      </c>
      <c r="E116" s="30" t="s">
        <v>797</v>
      </c>
      <c r="F116" s="27" t="s">
        <v>712</v>
      </c>
      <c r="G116" s="27" t="s">
        <v>727</v>
      </c>
      <c r="H116" s="31" t="s">
        <v>793</v>
      </c>
      <c r="I116" s="31" t="s">
        <v>19</v>
      </c>
      <c r="J116" s="31" t="s">
        <v>765</v>
      </c>
      <c r="K116" s="31" t="s">
        <v>2423</v>
      </c>
      <c r="L116" s="31" t="s">
        <v>19</v>
      </c>
      <c r="M116" s="29"/>
      <c r="N116" s="29"/>
    </row>
    <row r="117" spans="3:14" ht="24.95" customHeight="1" x14ac:dyDescent="0.3">
      <c r="C117" s="5"/>
      <c r="D117" s="25" t="s">
        <v>403</v>
      </c>
      <c r="E117" s="30" t="s">
        <v>798</v>
      </c>
      <c r="F117" s="27" t="s">
        <v>728</v>
      </c>
      <c r="G117" s="27" t="s">
        <v>2264</v>
      </c>
      <c r="H117" s="31" t="s">
        <v>760</v>
      </c>
      <c r="I117" s="31" t="s">
        <v>19</v>
      </c>
      <c r="J117" s="31" t="s">
        <v>761</v>
      </c>
      <c r="K117" s="31" t="s">
        <v>2423</v>
      </c>
      <c r="L117" s="31" t="s">
        <v>19</v>
      </c>
      <c r="M117" s="29"/>
      <c r="N117" s="29"/>
    </row>
    <row r="118" spans="3:14" ht="24.95" customHeight="1" x14ac:dyDescent="0.3">
      <c r="C118" s="5"/>
      <c r="D118" s="25" t="s">
        <v>404</v>
      </c>
      <c r="E118" s="30" t="s">
        <v>799</v>
      </c>
      <c r="F118" s="27" t="s">
        <v>2333</v>
      </c>
      <c r="G118" s="31" t="s">
        <v>2334</v>
      </c>
      <c r="H118" s="31" t="s">
        <v>2308</v>
      </c>
      <c r="I118" s="31"/>
      <c r="J118" s="31" t="s">
        <v>765</v>
      </c>
      <c r="K118" s="31" t="s">
        <v>2423</v>
      </c>
      <c r="L118" s="31" t="s">
        <v>19</v>
      </c>
      <c r="M118" s="29"/>
      <c r="N118" s="29"/>
    </row>
    <row r="119" spans="3:14" ht="24.95" customHeight="1" x14ac:dyDescent="0.3">
      <c r="C119" s="5"/>
      <c r="D119" s="25" t="s">
        <v>405</v>
      </c>
      <c r="E119" s="30" t="s">
        <v>800</v>
      </c>
      <c r="F119" s="27" t="s">
        <v>2333</v>
      </c>
      <c r="G119" s="31" t="s">
        <v>2332</v>
      </c>
      <c r="H119" s="31" t="s">
        <v>2295</v>
      </c>
      <c r="I119" s="31"/>
      <c r="J119" s="31" t="s">
        <v>624</v>
      </c>
      <c r="K119" s="31" t="s">
        <v>2423</v>
      </c>
      <c r="L119" s="31" t="s">
        <v>19</v>
      </c>
      <c r="M119" s="29"/>
      <c r="N119" s="29"/>
    </row>
    <row r="120" spans="3:14" ht="24.95" customHeight="1" x14ac:dyDescent="0.3">
      <c r="C120" s="5"/>
      <c r="D120" s="25" t="s">
        <v>406</v>
      </c>
      <c r="E120" s="30" t="s">
        <v>801</v>
      </c>
      <c r="F120" s="27" t="s">
        <v>712</v>
      </c>
      <c r="G120" s="27" t="s">
        <v>2331</v>
      </c>
      <c r="H120" s="31" t="s">
        <v>44</v>
      </c>
      <c r="I120" s="31"/>
      <c r="J120" s="31" t="s">
        <v>624</v>
      </c>
      <c r="K120" s="31" t="s">
        <v>2423</v>
      </c>
      <c r="L120" s="31" t="s">
        <v>19</v>
      </c>
      <c r="M120" s="29"/>
      <c r="N120" s="29"/>
    </row>
    <row r="121" spans="3:14" ht="24.95" customHeight="1" x14ac:dyDescent="0.3">
      <c r="C121" s="5"/>
      <c r="D121" s="25" t="s">
        <v>407</v>
      </c>
      <c r="E121" s="30" t="s">
        <v>802</v>
      </c>
      <c r="F121" s="27" t="s">
        <v>728</v>
      </c>
      <c r="G121" s="31" t="s">
        <v>729</v>
      </c>
      <c r="H121" s="31" t="s">
        <v>768</v>
      </c>
      <c r="I121" s="31" t="s">
        <v>19</v>
      </c>
      <c r="J121" s="31" t="s">
        <v>765</v>
      </c>
      <c r="K121" s="31" t="s">
        <v>2423</v>
      </c>
      <c r="L121" s="31" t="s">
        <v>19</v>
      </c>
      <c r="M121" s="29"/>
      <c r="N121" s="29"/>
    </row>
    <row r="122" spans="3:14" ht="24.95" customHeight="1" x14ac:dyDescent="0.3">
      <c r="C122" s="5"/>
      <c r="D122" s="25" t="s">
        <v>408</v>
      </c>
      <c r="E122" s="30" t="s">
        <v>803</v>
      </c>
      <c r="F122" s="27" t="s">
        <v>712</v>
      </c>
      <c r="G122" s="31" t="s">
        <v>730</v>
      </c>
      <c r="H122" s="27" t="s">
        <v>776</v>
      </c>
      <c r="I122" s="31"/>
      <c r="J122" s="27" t="s">
        <v>624</v>
      </c>
      <c r="K122" s="27" t="s">
        <v>2423</v>
      </c>
      <c r="L122" s="31" t="s">
        <v>19</v>
      </c>
      <c r="M122" s="29"/>
      <c r="N122" s="29"/>
    </row>
    <row r="123" spans="3:14" ht="24.95" customHeight="1" x14ac:dyDescent="0.3">
      <c r="C123" s="5"/>
      <c r="D123" s="25" t="s">
        <v>409</v>
      </c>
      <c r="E123" s="30" t="s">
        <v>804</v>
      </c>
      <c r="F123" s="27" t="s">
        <v>731</v>
      </c>
      <c r="G123" s="31" t="s">
        <v>805</v>
      </c>
      <c r="H123" s="27" t="s">
        <v>764</v>
      </c>
      <c r="I123" s="31" t="s">
        <v>19</v>
      </c>
      <c r="J123" s="27" t="s">
        <v>765</v>
      </c>
      <c r="K123" s="27" t="s">
        <v>2423</v>
      </c>
      <c r="L123" s="31" t="s">
        <v>19</v>
      </c>
      <c r="M123" s="29"/>
      <c r="N123" s="29"/>
    </row>
    <row r="124" spans="3:14" ht="24.95" customHeight="1" x14ac:dyDescent="0.3">
      <c r="C124" s="5"/>
      <c r="D124" s="25" t="s">
        <v>410</v>
      </c>
      <c r="E124" s="30" t="s">
        <v>806</v>
      </c>
      <c r="F124" s="27" t="s">
        <v>731</v>
      </c>
      <c r="G124" s="31" t="s">
        <v>732</v>
      </c>
      <c r="H124" s="27" t="s">
        <v>764</v>
      </c>
      <c r="I124" s="31" t="s">
        <v>19</v>
      </c>
      <c r="J124" s="27" t="s">
        <v>765</v>
      </c>
      <c r="K124" s="27" t="s">
        <v>2423</v>
      </c>
      <c r="L124" s="31" t="s">
        <v>19</v>
      </c>
      <c r="M124" s="29"/>
      <c r="N124" s="29"/>
    </row>
    <row r="125" spans="3:14" ht="24.95" customHeight="1" x14ac:dyDescent="0.3">
      <c r="C125" s="5"/>
      <c r="D125" s="25" t="s">
        <v>411</v>
      </c>
      <c r="E125" s="30" t="s">
        <v>807</v>
      </c>
      <c r="F125" s="27" t="s">
        <v>731</v>
      </c>
      <c r="G125" s="31" t="s">
        <v>733</v>
      </c>
      <c r="H125" s="27" t="s">
        <v>764</v>
      </c>
      <c r="I125" s="31" t="s">
        <v>19</v>
      </c>
      <c r="J125" s="27" t="s">
        <v>765</v>
      </c>
      <c r="K125" s="27" t="s">
        <v>2423</v>
      </c>
      <c r="L125" s="31" t="s">
        <v>19</v>
      </c>
      <c r="M125" s="29"/>
      <c r="N125" s="29"/>
    </row>
    <row r="126" spans="3:14" ht="24.95" customHeight="1" x14ac:dyDescent="0.3">
      <c r="C126" s="5"/>
      <c r="D126" s="25" t="s">
        <v>412</v>
      </c>
      <c r="E126" s="30" t="s">
        <v>808</v>
      </c>
      <c r="F126" s="27" t="s">
        <v>712</v>
      </c>
      <c r="G126" s="31" t="s">
        <v>734</v>
      </c>
      <c r="H126" s="27" t="s">
        <v>793</v>
      </c>
      <c r="I126" s="31" t="s">
        <v>19</v>
      </c>
      <c r="J126" s="27" t="s">
        <v>765</v>
      </c>
      <c r="K126" s="27" t="s">
        <v>2423</v>
      </c>
      <c r="L126" s="31" t="s">
        <v>19</v>
      </c>
      <c r="M126" s="29"/>
      <c r="N126" s="29"/>
    </row>
    <row r="127" spans="3:14" ht="24.95" customHeight="1" x14ac:dyDescent="0.3">
      <c r="C127" s="5"/>
      <c r="D127" s="25" t="s">
        <v>413</v>
      </c>
      <c r="E127" s="30" t="s">
        <v>809</v>
      </c>
      <c r="F127" s="27" t="s">
        <v>711</v>
      </c>
      <c r="G127" s="31" t="s">
        <v>351</v>
      </c>
      <c r="H127" s="27" t="s">
        <v>764</v>
      </c>
      <c r="I127" s="31" t="s">
        <v>19</v>
      </c>
      <c r="J127" s="27" t="s">
        <v>765</v>
      </c>
      <c r="K127" s="27" t="s">
        <v>2423</v>
      </c>
      <c r="L127" s="31" t="s">
        <v>19</v>
      </c>
      <c r="M127" s="29"/>
      <c r="N127" s="29"/>
    </row>
    <row r="128" spans="3:14" ht="24.95" customHeight="1" x14ac:dyDescent="0.3">
      <c r="C128" s="5"/>
      <c r="D128" s="63" t="s">
        <v>414</v>
      </c>
      <c r="E128" s="64" t="s">
        <v>365</v>
      </c>
      <c r="F128" s="61" t="s">
        <v>711</v>
      </c>
      <c r="G128" s="65" t="s">
        <v>352</v>
      </c>
      <c r="H128" s="61" t="s">
        <v>764</v>
      </c>
      <c r="I128" s="65"/>
      <c r="J128" s="61" t="s">
        <v>765</v>
      </c>
      <c r="K128" s="61" t="s">
        <v>2423</v>
      </c>
      <c r="L128" s="65" t="s">
        <v>19</v>
      </c>
      <c r="M128" s="66"/>
      <c r="N128" s="66"/>
    </row>
    <row r="129" spans="3:14" ht="24.95" customHeight="1" x14ac:dyDescent="0.3">
      <c r="C129" s="5"/>
      <c r="D129" s="63" t="s">
        <v>415</v>
      </c>
      <c r="E129" s="64" t="s">
        <v>366</v>
      </c>
      <c r="F129" s="61" t="s">
        <v>711</v>
      </c>
      <c r="G129" s="65" t="s">
        <v>353</v>
      </c>
      <c r="H129" s="61" t="s">
        <v>44</v>
      </c>
      <c r="I129" s="65" t="s">
        <v>19</v>
      </c>
      <c r="J129" s="61" t="s">
        <v>624</v>
      </c>
      <c r="K129" s="61" t="s">
        <v>2423</v>
      </c>
      <c r="L129" s="65" t="s">
        <v>19</v>
      </c>
      <c r="M129" s="66"/>
      <c r="N129" s="66"/>
    </row>
    <row r="130" spans="3:14" ht="24.95" customHeight="1" x14ac:dyDescent="0.3">
      <c r="C130" s="5"/>
      <c r="D130" s="63" t="s">
        <v>416</v>
      </c>
      <c r="E130" s="64" t="s">
        <v>350</v>
      </c>
      <c r="F130" s="61" t="s">
        <v>711</v>
      </c>
      <c r="G130" s="61" t="s">
        <v>349</v>
      </c>
      <c r="H130" s="61" t="s">
        <v>44</v>
      </c>
      <c r="I130" s="65"/>
      <c r="J130" s="61" t="s">
        <v>624</v>
      </c>
      <c r="K130" s="61" t="s">
        <v>2423</v>
      </c>
      <c r="L130" s="65" t="s">
        <v>19</v>
      </c>
      <c r="M130" s="67"/>
      <c r="N130" s="67"/>
    </row>
    <row r="131" spans="3:14" ht="24.95" customHeight="1" x14ac:dyDescent="0.3">
      <c r="C131" s="5"/>
      <c r="D131" s="63" t="s">
        <v>417</v>
      </c>
      <c r="E131" s="64" t="s">
        <v>810</v>
      </c>
      <c r="F131" s="61" t="s">
        <v>711</v>
      </c>
      <c r="G131" s="61" t="s">
        <v>354</v>
      </c>
      <c r="H131" s="61" t="s">
        <v>811</v>
      </c>
      <c r="I131" s="65"/>
      <c r="J131" s="61" t="s">
        <v>812</v>
      </c>
      <c r="K131" s="61" t="s">
        <v>2423</v>
      </c>
      <c r="L131" s="65" t="s">
        <v>19</v>
      </c>
      <c r="M131" s="67"/>
      <c r="N131" s="67"/>
    </row>
    <row r="132" spans="3:14" ht="24.95" customHeight="1" x14ac:dyDescent="0.3">
      <c r="C132" s="5"/>
      <c r="D132" s="63" t="s">
        <v>418</v>
      </c>
      <c r="E132" s="64" t="s">
        <v>813</v>
      </c>
      <c r="F132" s="61" t="s">
        <v>731</v>
      </c>
      <c r="G132" s="65" t="s">
        <v>814</v>
      </c>
      <c r="H132" s="61" t="s">
        <v>764</v>
      </c>
      <c r="I132" s="65"/>
      <c r="J132" s="61" t="s">
        <v>765</v>
      </c>
      <c r="K132" s="61" t="s">
        <v>2494</v>
      </c>
      <c r="L132" s="65" t="s">
        <v>19</v>
      </c>
      <c r="M132" s="66"/>
      <c r="N132" s="66"/>
    </row>
    <row r="133" spans="3:14" ht="24.95" customHeight="1" x14ac:dyDescent="0.3">
      <c r="C133" s="5"/>
      <c r="D133" s="63" t="s">
        <v>419</v>
      </c>
      <c r="E133" s="64" t="s">
        <v>815</v>
      </c>
      <c r="F133" s="61" t="s">
        <v>731</v>
      </c>
      <c r="G133" s="65" t="s">
        <v>735</v>
      </c>
      <c r="H133" s="61" t="s">
        <v>764</v>
      </c>
      <c r="I133" s="65"/>
      <c r="J133" s="61" t="s">
        <v>765</v>
      </c>
      <c r="K133" s="61" t="s">
        <v>2423</v>
      </c>
      <c r="L133" s="65" t="s">
        <v>19</v>
      </c>
      <c r="M133" s="66"/>
      <c r="N133" s="66"/>
    </row>
    <row r="134" spans="3:14" ht="24.95" customHeight="1" x14ac:dyDescent="0.3">
      <c r="C134" s="5"/>
      <c r="D134" s="63" t="s">
        <v>420</v>
      </c>
      <c r="E134" s="64" t="s">
        <v>816</v>
      </c>
      <c r="F134" s="61" t="s">
        <v>731</v>
      </c>
      <c r="G134" s="65" t="s">
        <v>817</v>
      </c>
      <c r="H134" s="61" t="s">
        <v>764</v>
      </c>
      <c r="I134" s="65" t="s">
        <v>19</v>
      </c>
      <c r="J134" s="61" t="s">
        <v>765</v>
      </c>
      <c r="K134" s="61" t="s">
        <v>2423</v>
      </c>
      <c r="L134" s="65" t="s">
        <v>19</v>
      </c>
      <c r="M134" s="66"/>
      <c r="N134" s="66"/>
    </row>
    <row r="135" spans="3:14" ht="24.95" customHeight="1" x14ac:dyDescent="0.3">
      <c r="C135" s="5"/>
      <c r="D135" s="63" t="s">
        <v>421</v>
      </c>
      <c r="E135" s="64" t="s">
        <v>818</v>
      </c>
      <c r="F135" s="61" t="s">
        <v>712</v>
      </c>
      <c r="G135" s="65" t="s">
        <v>819</v>
      </c>
      <c r="H135" s="65" t="s">
        <v>760</v>
      </c>
      <c r="I135" s="65"/>
      <c r="J135" s="61" t="s">
        <v>761</v>
      </c>
      <c r="K135" s="61" t="s">
        <v>2423</v>
      </c>
      <c r="L135" s="65" t="s">
        <v>19</v>
      </c>
      <c r="M135" s="66"/>
      <c r="N135" s="66"/>
    </row>
    <row r="136" spans="3:14" ht="24.95" customHeight="1" x14ac:dyDescent="0.3">
      <c r="C136" s="5"/>
      <c r="D136" s="63" t="s">
        <v>422</v>
      </c>
      <c r="E136" s="64" t="s">
        <v>820</v>
      </c>
      <c r="F136" s="61" t="s">
        <v>2499</v>
      </c>
      <c r="G136" s="65" t="s">
        <v>2500</v>
      </c>
      <c r="H136" s="65" t="s">
        <v>44</v>
      </c>
      <c r="I136" s="65"/>
      <c r="J136" s="61" t="s">
        <v>624</v>
      </c>
      <c r="K136" s="207" t="s">
        <v>2422</v>
      </c>
      <c r="L136" s="65" t="s">
        <v>19</v>
      </c>
      <c r="M136" s="209" t="s">
        <v>2507</v>
      </c>
      <c r="N136" s="357" t="s">
        <v>2502</v>
      </c>
    </row>
    <row r="137" spans="3:14" ht="24.95" customHeight="1" x14ac:dyDescent="0.3">
      <c r="C137" s="5"/>
      <c r="D137" s="63" t="s">
        <v>423</v>
      </c>
      <c r="E137" s="64" t="s">
        <v>821</v>
      </c>
      <c r="F137" s="61" t="s">
        <v>2499</v>
      </c>
      <c r="G137" s="65" t="s">
        <v>2501</v>
      </c>
      <c r="H137" s="65" t="s">
        <v>760</v>
      </c>
      <c r="I137" s="65"/>
      <c r="J137" s="61" t="s">
        <v>761</v>
      </c>
      <c r="K137" s="207" t="s">
        <v>2422</v>
      </c>
      <c r="L137" s="65" t="s">
        <v>19</v>
      </c>
      <c r="M137" s="66"/>
      <c r="N137" s="358"/>
    </row>
    <row r="138" spans="3:14" ht="24.95" customHeight="1" x14ac:dyDescent="0.3">
      <c r="C138" s="5"/>
      <c r="D138" s="33" t="s">
        <v>424</v>
      </c>
      <c r="E138" s="34" t="s">
        <v>823</v>
      </c>
      <c r="F138" s="35" t="s">
        <v>712</v>
      </c>
      <c r="G138" s="36" t="s">
        <v>2508</v>
      </c>
      <c r="H138" s="36" t="s">
        <v>44</v>
      </c>
      <c r="I138" s="36"/>
      <c r="J138" s="35" t="s">
        <v>624</v>
      </c>
      <c r="K138" s="210" t="s">
        <v>2422</v>
      </c>
      <c r="L138" s="36" t="s">
        <v>19</v>
      </c>
      <c r="M138" s="205" t="s">
        <v>2509</v>
      </c>
      <c r="N138" s="359"/>
    </row>
    <row r="139" spans="3:14" ht="24.95" customHeight="1" x14ac:dyDescent="0.3">
      <c r="J139" s="1" t="s">
        <v>2510</v>
      </c>
      <c r="K139" s="1">
        <v>6</v>
      </c>
    </row>
    <row r="140" spans="3:14" ht="24.95" customHeight="1" x14ac:dyDescent="0.3">
      <c r="D140" s="362" t="s">
        <v>2330</v>
      </c>
      <c r="E140" s="361"/>
      <c r="F140" s="361"/>
      <c r="G140" s="361"/>
      <c r="H140" s="361"/>
      <c r="I140" s="361"/>
      <c r="J140" s="361"/>
      <c r="K140" s="361"/>
      <c r="L140" s="361"/>
      <c r="M140" s="361"/>
      <c r="N140"/>
    </row>
    <row r="141" spans="3:14" ht="24.95" customHeight="1" x14ac:dyDescent="0.3">
      <c r="D141" s="43" t="s">
        <v>2273</v>
      </c>
      <c r="E141" s="43" t="s">
        <v>2272</v>
      </c>
      <c r="F141" s="43" t="s">
        <v>2271</v>
      </c>
      <c r="G141" s="43" t="s">
        <v>2270</v>
      </c>
      <c r="H141" s="43" t="s">
        <v>10</v>
      </c>
      <c r="I141" s="43" t="s">
        <v>2290</v>
      </c>
      <c r="J141" s="43" t="s">
        <v>2267</v>
      </c>
      <c r="K141" s="44" t="s">
        <v>2289</v>
      </c>
      <c r="L141" s="44" t="s">
        <v>2347</v>
      </c>
      <c r="M141" s="43" t="s">
        <v>2266</v>
      </c>
      <c r="N141" s="45" t="s">
        <v>2356</v>
      </c>
    </row>
    <row r="142" spans="3:14" ht="24.95" customHeight="1" x14ac:dyDescent="0.3">
      <c r="D142" s="39" t="s">
        <v>2288</v>
      </c>
      <c r="E142" s="41" t="s">
        <v>2329</v>
      </c>
      <c r="F142" s="208" t="s">
        <v>737</v>
      </c>
      <c r="G142" s="41" t="s">
        <v>738</v>
      </c>
      <c r="H142" s="41" t="s">
        <v>2252</v>
      </c>
      <c r="I142" s="41"/>
      <c r="J142" s="41" t="s">
        <v>2313</v>
      </c>
      <c r="K142" s="41" t="s">
        <v>2495</v>
      </c>
      <c r="L142" s="41" t="s">
        <v>19</v>
      </c>
      <c r="M142" s="41"/>
      <c r="N142" s="27"/>
    </row>
    <row r="143" spans="3:14" ht="24.95" customHeight="1" x14ac:dyDescent="0.3">
      <c r="D143" s="25" t="s">
        <v>2287</v>
      </c>
      <c r="E143" s="27" t="s">
        <v>2328</v>
      </c>
      <c r="F143" s="31" t="s">
        <v>737</v>
      </c>
      <c r="G143" s="27" t="s">
        <v>739</v>
      </c>
      <c r="H143" s="27" t="s">
        <v>2252</v>
      </c>
      <c r="I143" s="27"/>
      <c r="J143" s="27" t="s">
        <v>2313</v>
      </c>
      <c r="K143" s="27" t="s">
        <v>2496</v>
      </c>
      <c r="L143" s="27" t="s">
        <v>19</v>
      </c>
      <c r="M143" s="27"/>
      <c r="N143" s="27"/>
    </row>
    <row r="144" spans="3:14" ht="24.95" customHeight="1" x14ac:dyDescent="0.3">
      <c r="D144" s="25" t="s">
        <v>374</v>
      </c>
      <c r="E144" s="27" t="s">
        <v>2321</v>
      </c>
      <c r="F144" s="31" t="s">
        <v>737</v>
      </c>
      <c r="G144" s="27" t="s">
        <v>740</v>
      </c>
      <c r="H144" s="27" t="s">
        <v>2308</v>
      </c>
      <c r="I144" s="27"/>
      <c r="J144" s="27" t="s">
        <v>2301</v>
      </c>
      <c r="K144" s="27" t="s">
        <v>2496</v>
      </c>
      <c r="L144" s="27" t="s">
        <v>19</v>
      </c>
      <c r="M144" s="27"/>
      <c r="N144" s="27"/>
    </row>
    <row r="145" spans="4:14" ht="24.95" customHeight="1" x14ac:dyDescent="0.3">
      <c r="D145" s="25" t="s">
        <v>375</v>
      </c>
      <c r="E145" s="27" t="s">
        <v>2228</v>
      </c>
      <c r="F145" s="31" t="s">
        <v>737</v>
      </c>
      <c r="G145" s="27" t="s">
        <v>347</v>
      </c>
      <c r="H145" s="27" t="s">
        <v>2295</v>
      </c>
      <c r="I145" s="27"/>
      <c r="J145" s="27" t="s">
        <v>2301</v>
      </c>
      <c r="K145" s="27" t="s">
        <v>2496</v>
      </c>
      <c r="L145" s="27" t="s">
        <v>19</v>
      </c>
      <c r="M145" s="27"/>
      <c r="N145" s="27"/>
    </row>
    <row r="146" spans="4:14" ht="24.95" customHeight="1" x14ac:dyDescent="0.3">
      <c r="D146" s="25" t="s">
        <v>376</v>
      </c>
      <c r="E146" s="27" t="s">
        <v>2318</v>
      </c>
      <c r="F146" s="31" t="s">
        <v>737</v>
      </c>
      <c r="G146" s="27" t="s">
        <v>741</v>
      </c>
      <c r="H146" s="27" t="s">
        <v>2252</v>
      </c>
      <c r="I146" s="27"/>
      <c r="J146" s="27" t="s">
        <v>2310</v>
      </c>
      <c r="K146" s="27" t="s">
        <v>2496</v>
      </c>
      <c r="L146" s="27" t="s">
        <v>19</v>
      </c>
      <c r="M146" s="27"/>
      <c r="N146" s="27"/>
    </row>
    <row r="147" spans="4:14" ht="24.95" customHeight="1" x14ac:dyDescent="0.3">
      <c r="D147" s="25" t="s">
        <v>377</v>
      </c>
      <c r="E147" s="27" t="s">
        <v>2327</v>
      </c>
      <c r="F147" s="31" t="s">
        <v>737</v>
      </c>
      <c r="G147" s="27" t="s">
        <v>742</v>
      </c>
      <c r="H147" s="27" t="s">
        <v>2252</v>
      </c>
      <c r="I147" s="27"/>
      <c r="J147" s="27" t="s">
        <v>2301</v>
      </c>
      <c r="K147" s="27" t="s">
        <v>2496</v>
      </c>
      <c r="L147" s="27" t="s">
        <v>19</v>
      </c>
      <c r="M147" s="27"/>
      <c r="N147" s="27"/>
    </row>
    <row r="148" spans="4:14" ht="24.95" customHeight="1" x14ac:dyDescent="0.3">
      <c r="D148" s="25" t="s">
        <v>378</v>
      </c>
      <c r="E148" s="27" t="s">
        <v>2317</v>
      </c>
      <c r="F148" s="31" t="s">
        <v>737</v>
      </c>
      <c r="G148" s="27" t="s">
        <v>743</v>
      </c>
      <c r="H148" s="27" t="s">
        <v>2252</v>
      </c>
      <c r="I148" s="27"/>
      <c r="J148" s="27" t="s">
        <v>2301</v>
      </c>
      <c r="K148" s="27" t="s">
        <v>2496</v>
      </c>
      <c r="L148" s="27" t="s">
        <v>19</v>
      </c>
      <c r="M148" s="27"/>
      <c r="N148" s="27"/>
    </row>
    <row r="149" spans="4:14" ht="24.95" customHeight="1" x14ac:dyDescent="0.3">
      <c r="D149" s="25" t="s">
        <v>379</v>
      </c>
      <c r="E149" s="27" t="s">
        <v>2315</v>
      </c>
      <c r="F149" s="31" t="s">
        <v>737</v>
      </c>
      <c r="G149" s="27" t="s">
        <v>744</v>
      </c>
      <c r="H149" s="27" t="s">
        <v>2252</v>
      </c>
      <c r="I149" s="27"/>
      <c r="J149" s="27" t="s">
        <v>2313</v>
      </c>
      <c r="K149" s="27" t="s">
        <v>2496</v>
      </c>
      <c r="L149" s="27" t="s">
        <v>19</v>
      </c>
      <c r="M149" s="31"/>
      <c r="N149" s="31"/>
    </row>
    <row r="150" spans="4:14" ht="24.95" customHeight="1" x14ac:dyDescent="0.3">
      <c r="D150" s="25" t="s">
        <v>380</v>
      </c>
      <c r="E150" s="27" t="s">
        <v>2312</v>
      </c>
      <c r="F150" s="31" t="s">
        <v>2314</v>
      </c>
      <c r="G150" s="31" t="s">
        <v>745</v>
      </c>
      <c r="H150" s="27" t="s">
        <v>2247</v>
      </c>
      <c r="I150" s="27"/>
      <c r="J150" s="27" t="s">
        <v>2301</v>
      </c>
      <c r="K150" s="27" t="s">
        <v>2496</v>
      </c>
      <c r="L150" s="31" t="s">
        <v>19</v>
      </c>
      <c r="M150" s="31"/>
      <c r="N150" s="31"/>
    </row>
    <row r="151" spans="4:14" ht="24.95" customHeight="1" x14ac:dyDescent="0.3">
      <c r="D151" s="25" t="s">
        <v>381</v>
      </c>
      <c r="E151" s="27" t="s">
        <v>2226</v>
      </c>
      <c r="F151" s="31" t="s">
        <v>737</v>
      </c>
      <c r="G151" s="31" t="s">
        <v>331</v>
      </c>
      <c r="H151" s="27" t="s">
        <v>2247</v>
      </c>
      <c r="I151" s="27"/>
      <c r="J151" s="27" t="s">
        <v>2225</v>
      </c>
      <c r="K151" s="27" t="s">
        <v>2495</v>
      </c>
      <c r="L151" s="31" t="s">
        <v>19</v>
      </c>
      <c r="M151" s="31"/>
      <c r="N151" s="31"/>
    </row>
    <row r="152" spans="4:14" ht="24.95" customHeight="1" x14ac:dyDescent="0.3">
      <c r="D152" s="33" t="s">
        <v>382</v>
      </c>
      <c r="E152" s="35" t="s">
        <v>2309</v>
      </c>
      <c r="F152" s="36" t="s">
        <v>737</v>
      </c>
      <c r="G152" s="36" t="s">
        <v>746</v>
      </c>
      <c r="H152" s="35" t="s">
        <v>2308</v>
      </c>
      <c r="I152" s="36"/>
      <c r="J152" s="35" t="s">
        <v>2301</v>
      </c>
      <c r="K152" s="35" t="s">
        <v>2497</v>
      </c>
      <c r="L152" s="36" t="s">
        <v>19</v>
      </c>
      <c r="M152" s="36"/>
      <c r="N152" s="36"/>
    </row>
    <row r="153" spans="4:14" ht="24.95" customHeight="1" x14ac:dyDescent="0.3">
      <c r="D153" s="20"/>
      <c r="E153" s="13"/>
      <c r="F153" s="12"/>
      <c r="G153" s="12"/>
      <c r="H153" s="13"/>
      <c r="I153" s="12"/>
      <c r="J153" s="13"/>
      <c r="K153" s="13"/>
      <c r="L153" s="12"/>
      <c r="M153" s="12"/>
      <c r="N153" s="12"/>
    </row>
    <row r="154" spans="4:14" ht="24.95" customHeight="1" x14ac:dyDescent="0.3">
      <c r="D154" s="360" t="s">
        <v>2326</v>
      </c>
      <c r="E154" s="361"/>
      <c r="F154" s="361"/>
      <c r="G154" s="361"/>
      <c r="H154" s="361"/>
      <c r="I154" s="361"/>
      <c r="J154" s="361"/>
      <c r="K154" s="361"/>
      <c r="L154" s="361"/>
      <c r="M154" s="361"/>
      <c r="N154"/>
    </row>
    <row r="155" spans="4:14" ht="24.95" customHeight="1" x14ac:dyDescent="0.3">
      <c r="D155" s="43" t="s">
        <v>2273</v>
      </c>
      <c r="E155" s="43" t="s">
        <v>2325</v>
      </c>
      <c r="F155" s="43" t="s">
        <v>2271</v>
      </c>
      <c r="G155" s="43" t="s">
        <v>2270</v>
      </c>
      <c r="H155" s="43" t="s">
        <v>2269</v>
      </c>
      <c r="I155" s="43" t="s">
        <v>2290</v>
      </c>
      <c r="J155" s="43" t="s">
        <v>2267</v>
      </c>
      <c r="K155" s="44" t="s">
        <v>2289</v>
      </c>
      <c r="L155" s="44" t="s">
        <v>2347</v>
      </c>
      <c r="M155" s="43" t="s">
        <v>2266</v>
      </c>
      <c r="N155" s="45" t="s">
        <v>2356</v>
      </c>
    </row>
    <row r="156" spans="4:14" ht="24.95" customHeight="1" x14ac:dyDescent="0.3">
      <c r="D156" s="39" t="s">
        <v>2288</v>
      </c>
      <c r="E156" s="41" t="s">
        <v>2324</v>
      </c>
      <c r="F156" s="208" t="s">
        <v>737</v>
      </c>
      <c r="G156" s="41" t="s">
        <v>747</v>
      </c>
      <c r="H156" s="41" t="s">
        <v>2295</v>
      </c>
      <c r="I156" s="41"/>
      <c r="J156" s="41" t="s">
        <v>2313</v>
      </c>
      <c r="K156" s="41" t="s">
        <v>2496</v>
      </c>
      <c r="L156" s="41" t="s">
        <v>19</v>
      </c>
      <c r="M156" s="41"/>
      <c r="N156" s="27"/>
    </row>
    <row r="157" spans="4:14" ht="24.95" customHeight="1" x14ac:dyDescent="0.3">
      <c r="D157" s="25" t="s">
        <v>2287</v>
      </c>
      <c r="E157" s="27" t="s">
        <v>2323</v>
      </c>
      <c r="F157" s="31" t="s">
        <v>737</v>
      </c>
      <c r="G157" s="27" t="s">
        <v>748</v>
      </c>
      <c r="H157" s="27" t="s">
        <v>2252</v>
      </c>
      <c r="I157" s="27"/>
      <c r="J157" s="27" t="s">
        <v>2313</v>
      </c>
      <c r="K157" s="27" t="s">
        <v>2496</v>
      </c>
      <c r="L157" s="27" t="s">
        <v>19</v>
      </c>
      <c r="M157" s="27"/>
      <c r="N157" s="27"/>
    </row>
    <row r="158" spans="4:14" ht="24.95" customHeight="1" x14ac:dyDescent="0.3">
      <c r="D158" s="25" t="s">
        <v>374</v>
      </c>
      <c r="E158" s="27" t="s">
        <v>2322</v>
      </c>
      <c r="F158" s="31" t="s">
        <v>737</v>
      </c>
      <c r="G158" s="27" t="s">
        <v>749</v>
      </c>
      <c r="H158" s="27" t="s">
        <v>2252</v>
      </c>
      <c r="I158" s="27"/>
      <c r="J158" s="27" t="s">
        <v>2313</v>
      </c>
      <c r="K158" s="27" t="s">
        <v>2496</v>
      </c>
      <c r="L158" s="27" t="s">
        <v>19</v>
      </c>
      <c r="M158" s="27"/>
      <c r="N158" s="27"/>
    </row>
    <row r="159" spans="4:14" ht="24.95" customHeight="1" x14ac:dyDescent="0.3">
      <c r="D159" s="25" t="s">
        <v>375</v>
      </c>
      <c r="E159" s="27" t="s">
        <v>2321</v>
      </c>
      <c r="F159" s="31" t="s">
        <v>737</v>
      </c>
      <c r="G159" s="27" t="s">
        <v>740</v>
      </c>
      <c r="H159" s="27" t="s">
        <v>2308</v>
      </c>
      <c r="I159" s="27"/>
      <c r="J159" s="27" t="s">
        <v>2301</v>
      </c>
      <c r="K159" s="27" t="s">
        <v>2496</v>
      </c>
      <c r="L159" s="27" t="s">
        <v>19</v>
      </c>
      <c r="M159" s="27"/>
      <c r="N159" s="27"/>
    </row>
    <row r="160" spans="4:14" ht="24.95" customHeight="1" x14ac:dyDescent="0.3">
      <c r="D160" s="25" t="s">
        <v>376</v>
      </c>
      <c r="E160" s="27" t="s">
        <v>2320</v>
      </c>
      <c r="F160" s="31" t="s">
        <v>737</v>
      </c>
      <c r="G160" s="27" t="s">
        <v>2319</v>
      </c>
      <c r="H160" s="27" t="s">
        <v>2252</v>
      </c>
      <c r="I160" s="27"/>
      <c r="J160" s="27" t="s">
        <v>2310</v>
      </c>
      <c r="K160" s="27" t="s">
        <v>2496</v>
      </c>
      <c r="L160" s="27" t="s">
        <v>19</v>
      </c>
      <c r="M160" s="27"/>
      <c r="N160" s="27"/>
    </row>
    <row r="161" spans="4:14" ht="24.95" customHeight="1" x14ac:dyDescent="0.3">
      <c r="D161" s="25" t="s">
        <v>377</v>
      </c>
      <c r="E161" s="27" t="s">
        <v>2318</v>
      </c>
      <c r="F161" s="31" t="s">
        <v>737</v>
      </c>
      <c r="G161" s="27" t="s">
        <v>741</v>
      </c>
      <c r="H161" s="27" t="s">
        <v>2252</v>
      </c>
      <c r="I161" s="27"/>
      <c r="J161" s="27" t="s">
        <v>2225</v>
      </c>
      <c r="K161" s="27" t="s">
        <v>2496</v>
      </c>
      <c r="L161" s="27" t="s">
        <v>19</v>
      </c>
      <c r="M161" s="27"/>
      <c r="N161" s="27"/>
    </row>
    <row r="162" spans="4:14" ht="24.95" customHeight="1" x14ac:dyDescent="0.3">
      <c r="D162" s="25" t="s">
        <v>378</v>
      </c>
      <c r="E162" s="27" t="s">
        <v>2317</v>
      </c>
      <c r="F162" s="31" t="s">
        <v>737</v>
      </c>
      <c r="G162" s="27" t="s">
        <v>743</v>
      </c>
      <c r="H162" s="27" t="s">
        <v>2227</v>
      </c>
      <c r="I162" s="27"/>
      <c r="J162" s="27" t="s">
        <v>2316</v>
      </c>
      <c r="K162" s="27" t="s">
        <v>2496</v>
      </c>
      <c r="L162" s="27" t="s">
        <v>19</v>
      </c>
      <c r="M162" s="27"/>
      <c r="N162" s="27"/>
    </row>
    <row r="163" spans="4:14" ht="24.95" customHeight="1" x14ac:dyDescent="0.3">
      <c r="D163" s="25" t="s">
        <v>379</v>
      </c>
      <c r="E163" s="27" t="s">
        <v>2315</v>
      </c>
      <c r="F163" s="31" t="s">
        <v>2314</v>
      </c>
      <c r="G163" s="27" t="s">
        <v>744</v>
      </c>
      <c r="H163" s="27" t="s">
        <v>577</v>
      </c>
      <c r="I163" s="27"/>
      <c r="J163" s="27" t="s">
        <v>2313</v>
      </c>
      <c r="K163" s="27" t="s">
        <v>2496</v>
      </c>
      <c r="L163" s="27" t="s">
        <v>19</v>
      </c>
      <c r="M163" s="31"/>
      <c r="N163" s="31"/>
    </row>
    <row r="164" spans="4:14" ht="24.95" customHeight="1" x14ac:dyDescent="0.3">
      <c r="D164" s="25" t="s">
        <v>380</v>
      </c>
      <c r="E164" s="27" t="s">
        <v>2312</v>
      </c>
      <c r="F164" s="31" t="s">
        <v>737</v>
      </c>
      <c r="G164" s="31" t="s">
        <v>745</v>
      </c>
      <c r="H164" s="27" t="s">
        <v>2247</v>
      </c>
      <c r="I164" s="27"/>
      <c r="J164" s="27" t="s">
        <v>2301</v>
      </c>
      <c r="K164" s="27" t="s">
        <v>2496</v>
      </c>
      <c r="L164" s="27" t="s">
        <v>19</v>
      </c>
      <c r="M164" s="31"/>
      <c r="N164" s="31"/>
    </row>
    <row r="165" spans="4:14" ht="24.95" customHeight="1" x14ac:dyDescent="0.3">
      <c r="D165" s="25" t="s">
        <v>381</v>
      </c>
      <c r="E165" s="27" t="s">
        <v>2311</v>
      </c>
      <c r="F165" s="31" t="s">
        <v>737</v>
      </c>
      <c r="G165" s="31" t="s">
        <v>331</v>
      </c>
      <c r="H165" s="27" t="s">
        <v>2247</v>
      </c>
      <c r="I165" s="27"/>
      <c r="J165" s="27" t="s">
        <v>2310</v>
      </c>
      <c r="K165" s="27" t="s">
        <v>2488</v>
      </c>
      <c r="L165" s="31" t="s">
        <v>19</v>
      </c>
      <c r="M165" s="31"/>
      <c r="N165" s="31"/>
    </row>
    <row r="166" spans="4:14" ht="24.95" customHeight="1" x14ac:dyDescent="0.3">
      <c r="D166" s="33" t="s">
        <v>382</v>
      </c>
      <c r="E166" s="35" t="s">
        <v>2309</v>
      </c>
      <c r="F166" s="36" t="s">
        <v>737</v>
      </c>
      <c r="G166" s="36" t="s">
        <v>746</v>
      </c>
      <c r="H166" s="35" t="s">
        <v>2308</v>
      </c>
      <c r="I166" s="35"/>
      <c r="J166" s="35" t="s">
        <v>2301</v>
      </c>
      <c r="K166" s="35" t="s">
        <v>2497</v>
      </c>
      <c r="L166" s="36" t="s">
        <v>19</v>
      </c>
      <c r="M166" s="36"/>
      <c r="N166" s="36"/>
    </row>
    <row r="167" spans="4:14" ht="24.95" customHeight="1" x14ac:dyDescent="0.3">
      <c r="D167" s="20"/>
      <c r="E167" s="13"/>
      <c r="F167" s="12"/>
      <c r="G167" s="12"/>
      <c r="H167" s="13"/>
      <c r="I167" s="13"/>
      <c r="J167" s="13"/>
      <c r="K167" s="13"/>
      <c r="L167" s="12"/>
      <c r="M167" s="12"/>
      <c r="N167" s="12"/>
    </row>
    <row r="168" spans="4:14" ht="24.95" customHeight="1" x14ac:dyDescent="0.3">
      <c r="D168" s="360" t="s">
        <v>2224</v>
      </c>
      <c r="E168" s="361"/>
      <c r="F168" s="361"/>
      <c r="G168" s="361"/>
      <c r="H168" s="361"/>
      <c r="I168" s="361"/>
      <c r="J168" s="361"/>
      <c r="K168" s="361"/>
      <c r="L168" s="361"/>
      <c r="M168" s="361"/>
      <c r="N168"/>
    </row>
    <row r="169" spans="4:14" ht="24.95" customHeight="1" x14ac:dyDescent="0.3">
      <c r="D169" s="43" t="s">
        <v>2273</v>
      </c>
      <c r="E169" s="43" t="s">
        <v>2272</v>
      </c>
      <c r="F169" s="43" t="s">
        <v>2271</v>
      </c>
      <c r="G169" s="43" t="s">
        <v>2270</v>
      </c>
      <c r="H169" s="43" t="s">
        <v>2269</v>
      </c>
      <c r="I169" s="43" t="s">
        <v>2290</v>
      </c>
      <c r="J169" s="43" t="s">
        <v>2267</v>
      </c>
      <c r="K169" s="44" t="s">
        <v>2289</v>
      </c>
      <c r="L169" s="44" t="s">
        <v>2347</v>
      </c>
      <c r="M169" s="43" t="s">
        <v>2266</v>
      </c>
      <c r="N169" s="45" t="s">
        <v>2356</v>
      </c>
    </row>
    <row r="170" spans="4:14" ht="24.95" customHeight="1" x14ac:dyDescent="0.3">
      <c r="D170" s="39" t="s">
        <v>1671</v>
      </c>
      <c r="E170" s="41" t="s">
        <v>2307</v>
      </c>
      <c r="F170" s="41" t="s">
        <v>2306</v>
      </c>
      <c r="G170" s="41" t="s">
        <v>751</v>
      </c>
      <c r="H170" s="41" t="s">
        <v>2305</v>
      </c>
      <c r="I170" s="41"/>
      <c r="J170" s="41" t="s">
        <v>2301</v>
      </c>
      <c r="K170" s="41" t="s">
        <v>2488</v>
      </c>
      <c r="L170" s="27" t="s">
        <v>19</v>
      </c>
      <c r="M170" s="41"/>
      <c r="N170" s="27"/>
    </row>
    <row r="171" spans="4:14" ht="24.95" customHeight="1" x14ac:dyDescent="0.3">
      <c r="D171" s="25" t="s">
        <v>2287</v>
      </c>
      <c r="E171" s="27" t="s">
        <v>2304</v>
      </c>
      <c r="F171" s="27" t="s">
        <v>750</v>
      </c>
      <c r="G171" s="27" t="s">
        <v>59</v>
      </c>
      <c r="H171" s="27" t="s">
        <v>2295</v>
      </c>
      <c r="I171" s="27"/>
      <c r="J171" s="27" t="s">
        <v>2301</v>
      </c>
      <c r="K171" s="27" t="s">
        <v>2496</v>
      </c>
      <c r="L171" s="27" t="s">
        <v>19</v>
      </c>
      <c r="M171" s="27"/>
      <c r="N171" s="27"/>
    </row>
    <row r="172" spans="4:14" ht="24.95" customHeight="1" x14ac:dyDescent="0.3">
      <c r="D172" s="33" t="s">
        <v>2287</v>
      </c>
      <c r="E172" s="35" t="s">
        <v>2303</v>
      </c>
      <c r="F172" s="35" t="s">
        <v>750</v>
      </c>
      <c r="G172" s="35" t="s">
        <v>2302</v>
      </c>
      <c r="H172" s="35" t="s">
        <v>2295</v>
      </c>
      <c r="I172" s="35"/>
      <c r="J172" s="35" t="s">
        <v>2301</v>
      </c>
      <c r="K172" s="35" t="s">
        <v>2496</v>
      </c>
      <c r="L172" s="35" t="s">
        <v>19</v>
      </c>
      <c r="M172" s="35"/>
      <c r="N172" s="35"/>
    </row>
    <row r="173" spans="4:14" ht="24.95" customHeight="1" x14ac:dyDescent="0.3"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</row>
    <row r="174" spans="4:14" ht="24.95" customHeight="1" x14ac:dyDescent="0.3">
      <c r="D174" s="360" t="s">
        <v>2300</v>
      </c>
      <c r="E174" s="361"/>
      <c r="F174" s="361"/>
      <c r="G174" s="361"/>
      <c r="H174" s="361"/>
      <c r="I174" s="361"/>
      <c r="J174" s="361"/>
      <c r="K174" s="361"/>
      <c r="L174" s="361"/>
      <c r="M174" s="361"/>
      <c r="N174"/>
    </row>
    <row r="175" spans="4:14" ht="24.95" customHeight="1" x14ac:dyDescent="0.3">
      <c r="D175" s="43" t="s">
        <v>2273</v>
      </c>
      <c r="E175" s="43" t="s">
        <v>7</v>
      </c>
      <c r="F175" s="43" t="s">
        <v>2299</v>
      </c>
      <c r="G175" s="43" t="s">
        <v>2270</v>
      </c>
      <c r="H175" s="43" t="s">
        <v>10</v>
      </c>
      <c r="I175" s="43" t="s">
        <v>2290</v>
      </c>
      <c r="J175" s="43" t="s">
        <v>2267</v>
      </c>
      <c r="K175" s="44" t="s">
        <v>2289</v>
      </c>
      <c r="L175" s="44" t="s">
        <v>2347</v>
      </c>
      <c r="M175" s="43" t="s">
        <v>2266</v>
      </c>
      <c r="N175" s="45" t="s">
        <v>2356</v>
      </c>
    </row>
    <row r="176" spans="4:14" ht="24.95" customHeight="1" x14ac:dyDescent="0.3">
      <c r="D176" s="39" t="s">
        <v>2288</v>
      </c>
      <c r="E176" s="41" t="s">
        <v>2298</v>
      </c>
      <c r="F176" s="41" t="s">
        <v>2296</v>
      </c>
      <c r="G176" s="41" t="s">
        <v>2297</v>
      </c>
      <c r="H176" s="41" t="s">
        <v>2295</v>
      </c>
      <c r="I176" s="41"/>
      <c r="J176" s="41" t="s">
        <v>2246</v>
      </c>
      <c r="K176" s="41" t="s">
        <v>2488</v>
      </c>
      <c r="L176" s="41" t="s">
        <v>19</v>
      </c>
      <c r="M176" s="41"/>
      <c r="N176" s="27"/>
    </row>
    <row r="177" spans="4:14" ht="24.95" customHeight="1" x14ac:dyDescent="0.3">
      <c r="D177" s="25" t="s">
        <v>2287</v>
      </c>
      <c r="E177" s="27" t="s">
        <v>2294</v>
      </c>
      <c r="F177" s="27" t="s">
        <v>2296</v>
      </c>
      <c r="G177" s="27" t="s">
        <v>341</v>
      </c>
      <c r="H177" s="27" t="s">
        <v>2295</v>
      </c>
      <c r="I177" s="27"/>
      <c r="J177" s="27" t="s">
        <v>2246</v>
      </c>
      <c r="K177" s="27" t="s">
        <v>2496</v>
      </c>
      <c r="L177" s="27" t="s">
        <v>19</v>
      </c>
      <c r="M177" s="27"/>
      <c r="N177" s="27"/>
    </row>
    <row r="178" spans="4:14" ht="24.95" customHeight="1" x14ac:dyDescent="0.3">
      <c r="D178" s="33" t="s">
        <v>374</v>
      </c>
      <c r="E178" s="35" t="s">
        <v>2294</v>
      </c>
      <c r="F178" s="35" t="s">
        <v>2293</v>
      </c>
      <c r="G178" s="35" t="s">
        <v>341</v>
      </c>
      <c r="H178" s="35" t="s">
        <v>2292</v>
      </c>
      <c r="I178" s="35"/>
      <c r="J178" s="35" t="s">
        <v>2246</v>
      </c>
      <c r="K178" s="41" t="s">
        <v>2488</v>
      </c>
      <c r="L178" s="35" t="s">
        <v>19</v>
      </c>
      <c r="M178" s="35"/>
      <c r="N178" s="35"/>
    </row>
    <row r="179" spans="4:14" ht="24.95" customHeight="1" x14ac:dyDescent="0.3">
      <c r="D179" s="20"/>
      <c r="E179" s="13"/>
      <c r="F179" s="13"/>
      <c r="G179" s="13"/>
      <c r="H179" s="13"/>
      <c r="I179" s="13"/>
      <c r="J179" s="13"/>
      <c r="K179" s="13"/>
      <c r="L179" s="13"/>
      <c r="M179" s="13"/>
      <c r="N179" s="13"/>
    </row>
    <row r="180" spans="4:14" ht="24.95" customHeight="1" x14ac:dyDescent="0.3">
      <c r="D180" s="360" t="s">
        <v>2291</v>
      </c>
      <c r="E180" s="361"/>
      <c r="F180" s="361"/>
      <c r="G180" s="361"/>
      <c r="H180" s="361"/>
      <c r="I180" s="361"/>
      <c r="J180" s="361"/>
      <c r="K180" s="361"/>
      <c r="L180" s="361"/>
      <c r="M180" s="361"/>
      <c r="N180"/>
    </row>
    <row r="181" spans="4:14" ht="24.95" customHeight="1" x14ac:dyDescent="0.3">
      <c r="D181" s="43" t="s">
        <v>2273</v>
      </c>
      <c r="E181" s="43" t="s">
        <v>2272</v>
      </c>
      <c r="F181" s="43" t="s">
        <v>2271</v>
      </c>
      <c r="G181" s="43" t="s">
        <v>9</v>
      </c>
      <c r="H181" s="43" t="s">
        <v>2269</v>
      </c>
      <c r="I181" s="43" t="s">
        <v>2290</v>
      </c>
      <c r="J181" s="43" t="s">
        <v>2267</v>
      </c>
      <c r="K181" s="44" t="s">
        <v>2289</v>
      </c>
      <c r="L181" s="44" t="s">
        <v>2347</v>
      </c>
      <c r="M181" s="43" t="s">
        <v>2266</v>
      </c>
      <c r="N181" s="45" t="s">
        <v>2356</v>
      </c>
    </row>
    <row r="182" spans="4:14" ht="24.95" customHeight="1" x14ac:dyDescent="0.3">
      <c r="D182" s="39" t="s">
        <v>2288</v>
      </c>
      <c r="E182" s="41" t="s">
        <v>2279</v>
      </c>
      <c r="F182" s="41" t="s">
        <v>752</v>
      </c>
      <c r="G182" s="41" t="s">
        <v>2278</v>
      </c>
      <c r="H182" s="41" t="s">
        <v>2247</v>
      </c>
      <c r="I182" s="41"/>
      <c r="J182" s="41" t="s">
        <v>2246</v>
      </c>
      <c r="K182" s="41" t="s">
        <v>2495</v>
      </c>
      <c r="L182" s="41" t="s">
        <v>19</v>
      </c>
      <c r="M182" s="41"/>
      <c r="N182" s="27"/>
    </row>
    <row r="183" spans="4:14" ht="24.95" customHeight="1" x14ac:dyDescent="0.3">
      <c r="D183" s="25" t="s">
        <v>2287</v>
      </c>
      <c r="E183" s="27" t="s">
        <v>2286</v>
      </c>
      <c r="F183" s="27" t="s">
        <v>2281</v>
      </c>
      <c r="G183" s="27" t="s">
        <v>2285</v>
      </c>
      <c r="H183" s="27" t="s">
        <v>2247</v>
      </c>
      <c r="I183" s="27"/>
      <c r="J183" s="27" t="s">
        <v>2246</v>
      </c>
      <c r="K183" s="27" t="s">
        <v>2423</v>
      </c>
      <c r="L183" s="27" t="s">
        <v>19</v>
      </c>
      <c r="M183" s="27"/>
      <c r="N183" s="27"/>
    </row>
    <row r="184" spans="4:14" ht="24.95" customHeight="1" x14ac:dyDescent="0.3">
      <c r="D184" s="25" t="s">
        <v>374</v>
      </c>
      <c r="E184" s="71" t="s">
        <v>2284</v>
      </c>
      <c r="F184" s="27" t="s">
        <v>2281</v>
      </c>
      <c r="G184" s="71" t="s">
        <v>2283</v>
      </c>
      <c r="H184" s="27" t="s">
        <v>1617</v>
      </c>
      <c r="I184" s="71"/>
      <c r="J184" s="27" t="s">
        <v>2246</v>
      </c>
      <c r="K184" s="27" t="s">
        <v>2498</v>
      </c>
      <c r="L184" s="71" t="s">
        <v>19</v>
      </c>
      <c r="M184" s="71"/>
      <c r="N184" s="71"/>
    </row>
    <row r="185" spans="4:14" ht="24.95" customHeight="1" x14ac:dyDescent="0.3">
      <c r="D185" s="25" t="s">
        <v>375</v>
      </c>
      <c r="E185" s="71" t="s">
        <v>2282</v>
      </c>
      <c r="F185" s="27" t="s">
        <v>2404</v>
      </c>
      <c r="G185" s="71" t="s">
        <v>2280</v>
      </c>
      <c r="H185" s="27" t="s">
        <v>2247</v>
      </c>
      <c r="I185" s="71"/>
      <c r="J185" s="27" t="s">
        <v>2246</v>
      </c>
      <c r="K185" s="27" t="s">
        <v>2497</v>
      </c>
      <c r="L185" s="71" t="s">
        <v>19</v>
      </c>
      <c r="M185" s="71"/>
      <c r="N185" s="71"/>
    </row>
    <row r="186" spans="4:14" ht="24.95" customHeight="1" x14ac:dyDescent="0.3">
      <c r="D186" s="25" t="s">
        <v>376</v>
      </c>
      <c r="E186" s="71" t="s">
        <v>2279</v>
      </c>
      <c r="F186" s="71" t="s">
        <v>2276</v>
      </c>
      <c r="G186" s="71" t="s">
        <v>2278</v>
      </c>
      <c r="H186" s="27" t="s">
        <v>2247</v>
      </c>
      <c r="I186" s="71"/>
      <c r="J186" s="27" t="s">
        <v>2246</v>
      </c>
      <c r="K186" s="27" t="s">
        <v>2495</v>
      </c>
      <c r="L186" s="71" t="s">
        <v>19</v>
      </c>
      <c r="M186" s="71"/>
      <c r="N186" s="71"/>
    </row>
    <row r="187" spans="4:14" ht="24.95" customHeight="1" x14ac:dyDescent="0.3">
      <c r="D187" s="33" t="s">
        <v>377</v>
      </c>
      <c r="E187" s="72" t="s">
        <v>2277</v>
      </c>
      <c r="F187" s="72" t="s">
        <v>2276</v>
      </c>
      <c r="G187" s="72" t="s">
        <v>2275</v>
      </c>
      <c r="H187" s="35" t="s">
        <v>2252</v>
      </c>
      <c r="I187" s="72"/>
      <c r="J187" s="35" t="s">
        <v>2246</v>
      </c>
      <c r="K187" s="35" t="s">
        <v>2497</v>
      </c>
      <c r="L187" s="72" t="s">
        <v>19</v>
      </c>
      <c r="M187" s="72"/>
      <c r="N187" s="72"/>
    </row>
    <row r="188" spans="4:14" ht="24.95" customHeight="1" x14ac:dyDescent="0.3">
      <c r="D188" s="68"/>
      <c r="E188" s="70"/>
      <c r="F188" s="70"/>
      <c r="G188" s="70"/>
      <c r="H188" s="69"/>
      <c r="I188" s="70"/>
      <c r="J188" s="69"/>
      <c r="K188" s="69"/>
      <c r="L188" s="70"/>
      <c r="M188" s="70"/>
      <c r="N188" s="70"/>
    </row>
    <row r="189" spans="4:14" ht="24.95" customHeight="1" x14ac:dyDescent="0.3">
      <c r="D189" s="360" t="s">
        <v>2274</v>
      </c>
      <c r="E189" s="361"/>
      <c r="F189" s="361"/>
      <c r="G189" s="361"/>
      <c r="H189" s="361"/>
      <c r="I189" s="361"/>
      <c r="J189" s="361"/>
      <c r="K189" s="361"/>
      <c r="L189" s="361"/>
      <c r="M189" s="361"/>
      <c r="N189"/>
    </row>
    <row r="190" spans="4:14" ht="24.95" customHeight="1" x14ac:dyDescent="0.3">
      <c r="D190" s="62" t="s">
        <v>2273</v>
      </c>
      <c r="E190" s="62" t="s">
        <v>2272</v>
      </c>
      <c r="F190" s="62" t="s">
        <v>2271</v>
      </c>
      <c r="G190" s="62" t="s">
        <v>2270</v>
      </c>
      <c r="H190" s="62" t="s">
        <v>2269</v>
      </c>
      <c r="I190" s="62" t="s">
        <v>2268</v>
      </c>
      <c r="J190" s="62" t="s">
        <v>2267</v>
      </c>
      <c r="K190" s="44" t="s">
        <v>2348</v>
      </c>
      <c r="L190" s="44" t="s">
        <v>2347</v>
      </c>
      <c r="M190" s="62" t="s">
        <v>2266</v>
      </c>
      <c r="N190" s="45" t="s">
        <v>2356</v>
      </c>
    </row>
    <row r="191" spans="4:14" ht="24.95" customHeight="1" x14ac:dyDescent="0.3">
      <c r="D191" s="25" t="s">
        <v>1671</v>
      </c>
      <c r="E191" s="27" t="s">
        <v>2261</v>
      </c>
      <c r="F191" s="31" t="s">
        <v>753</v>
      </c>
      <c r="G191" s="27" t="s">
        <v>46</v>
      </c>
      <c r="H191" s="27" t="s">
        <v>2260</v>
      </c>
      <c r="I191" s="27"/>
      <c r="J191" s="27" t="s">
        <v>2246</v>
      </c>
      <c r="K191" s="27"/>
      <c r="L191" s="27" t="s">
        <v>19</v>
      </c>
      <c r="M191" s="27"/>
      <c r="N191" s="27"/>
    </row>
    <row r="192" spans="4:14" ht="24.95" customHeight="1" x14ac:dyDescent="0.3">
      <c r="D192" s="25" t="s">
        <v>693</v>
      </c>
      <c r="E192" s="31" t="s">
        <v>2259</v>
      </c>
      <c r="F192" s="31" t="s">
        <v>753</v>
      </c>
      <c r="G192" s="31" t="s">
        <v>327</v>
      </c>
      <c r="H192" s="27" t="s">
        <v>2252</v>
      </c>
      <c r="I192" s="31"/>
      <c r="J192" s="27" t="s">
        <v>2246</v>
      </c>
      <c r="K192" s="27"/>
      <c r="L192" s="31" t="s">
        <v>19</v>
      </c>
      <c r="M192" s="31"/>
      <c r="N192" s="31"/>
    </row>
    <row r="193" spans="3:14" ht="24.95" customHeight="1" x14ac:dyDescent="0.3">
      <c r="D193" s="25" t="s">
        <v>374</v>
      </c>
      <c r="E193" s="31" t="s">
        <v>2265</v>
      </c>
      <c r="F193" s="31" t="s">
        <v>753</v>
      </c>
      <c r="G193" s="31" t="s">
        <v>754</v>
      </c>
      <c r="H193" s="27" t="s">
        <v>2256</v>
      </c>
      <c r="I193" s="31"/>
      <c r="J193" s="27" t="s">
        <v>2246</v>
      </c>
      <c r="K193" s="27"/>
      <c r="L193" s="31" t="s">
        <v>19</v>
      </c>
      <c r="M193" s="31"/>
      <c r="N193" s="31"/>
    </row>
    <row r="194" spans="3:14" ht="24.95" customHeight="1" x14ac:dyDescent="0.3">
      <c r="D194" s="25" t="s">
        <v>375</v>
      </c>
      <c r="E194" s="31" t="s">
        <v>2251</v>
      </c>
      <c r="F194" s="31" t="s">
        <v>753</v>
      </c>
      <c r="G194" s="31" t="s">
        <v>2264</v>
      </c>
      <c r="H194" s="27" t="s">
        <v>2263</v>
      </c>
      <c r="I194" s="31"/>
      <c r="J194" s="27" t="s">
        <v>2246</v>
      </c>
      <c r="K194" s="27"/>
      <c r="L194" s="31" t="s">
        <v>19</v>
      </c>
      <c r="M194" s="31"/>
      <c r="N194" s="31"/>
    </row>
    <row r="195" spans="3:14" ht="24.95" customHeight="1" x14ac:dyDescent="0.3">
      <c r="D195" s="25" t="s">
        <v>376</v>
      </c>
      <c r="E195" s="31" t="s">
        <v>2249</v>
      </c>
      <c r="F195" s="31" t="s">
        <v>753</v>
      </c>
      <c r="G195" s="31" t="s">
        <v>2264</v>
      </c>
      <c r="H195" s="27" t="s">
        <v>2263</v>
      </c>
      <c r="I195" s="31"/>
      <c r="J195" s="27" t="s">
        <v>590</v>
      </c>
      <c r="K195" s="27"/>
      <c r="L195" s="31" t="s">
        <v>19</v>
      </c>
      <c r="M195" s="31"/>
      <c r="N195" s="31"/>
    </row>
    <row r="196" spans="3:14" ht="24.95" customHeight="1" x14ac:dyDescent="0.3">
      <c r="D196" s="25" t="s">
        <v>377</v>
      </c>
      <c r="E196" s="31" t="s">
        <v>2262</v>
      </c>
      <c r="F196" s="31" t="s">
        <v>753</v>
      </c>
      <c r="G196" s="31" t="s">
        <v>755</v>
      </c>
      <c r="H196" s="27" t="s">
        <v>2223</v>
      </c>
      <c r="I196" s="31"/>
      <c r="J196" s="27" t="s">
        <v>2246</v>
      </c>
      <c r="K196" s="27"/>
      <c r="L196" s="31" t="s">
        <v>19</v>
      </c>
      <c r="M196" s="31"/>
      <c r="N196" s="31"/>
    </row>
    <row r="197" spans="3:14" ht="24.95" customHeight="1" x14ac:dyDescent="0.3">
      <c r="D197" s="25" t="s">
        <v>378</v>
      </c>
      <c r="E197" s="31" t="s">
        <v>2261</v>
      </c>
      <c r="F197" s="31" t="s">
        <v>753</v>
      </c>
      <c r="G197" s="31" t="s">
        <v>46</v>
      </c>
      <c r="H197" s="27" t="s">
        <v>2260</v>
      </c>
      <c r="I197" s="31"/>
      <c r="J197" s="27" t="s">
        <v>2246</v>
      </c>
      <c r="K197" s="27"/>
      <c r="L197" s="31" t="s">
        <v>19</v>
      </c>
      <c r="M197" s="31"/>
      <c r="N197" s="31"/>
    </row>
    <row r="198" spans="3:14" ht="24.95" customHeight="1" x14ac:dyDescent="0.3">
      <c r="D198" s="25" t="s">
        <v>379</v>
      </c>
      <c r="E198" s="31" t="s">
        <v>2259</v>
      </c>
      <c r="F198" s="31" t="s">
        <v>753</v>
      </c>
      <c r="G198" s="31" t="s">
        <v>327</v>
      </c>
      <c r="H198" s="27" t="s">
        <v>2252</v>
      </c>
      <c r="I198" s="31"/>
      <c r="J198" s="27" t="s">
        <v>2246</v>
      </c>
      <c r="K198" s="27"/>
      <c r="L198" s="31" t="s">
        <v>19</v>
      </c>
      <c r="M198" s="31"/>
      <c r="N198" s="31"/>
    </row>
    <row r="199" spans="3:14" ht="24.95" customHeight="1" x14ac:dyDescent="0.3">
      <c r="D199" s="25" t="s">
        <v>380</v>
      </c>
      <c r="E199" s="31" t="s">
        <v>2258</v>
      </c>
      <c r="F199" s="31" t="s">
        <v>753</v>
      </c>
      <c r="G199" s="31" t="s">
        <v>754</v>
      </c>
      <c r="H199" s="27" t="s">
        <v>2257</v>
      </c>
      <c r="I199" s="31"/>
      <c r="J199" s="27" t="s">
        <v>2246</v>
      </c>
      <c r="K199" s="27"/>
      <c r="L199" s="31" t="s">
        <v>19</v>
      </c>
      <c r="M199" s="31"/>
      <c r="N199" s="31"/>
    </row>
    <row r="200" spans="3:14" ht="24.95" customHeight="1" x14ac:dyDescent="0.3">
      <c r="D200" s="25" t="s">
        <v>381</v>
      </c>
      <c r="E200" s="31" t="s">
        <v>2255</v>
      </c>
      <c r="F200" s="31" t="s">
        <v>753</v>
      </c>
      <c r="G200" s="31" t="s">
        <v>756</v>
      </c>
      <c r="H200" s="27" t="s">
        <v>2254</v>
      </c>
      <c r="I200" s="31"/>
      <c r="J200" s="27" t="s">
        <v>2246</v>
      </c>
      <c r="K200" s="27"/>
      <c r="L200" s="31" t="s">
        <v>19</v>
      </c>
      <c r="M200" s="31"/>
      <c r="N200" s="31"/>
    </row>
    <row r="201" spans="3:14" ht="24.95" customHeight="1" x14ac:dyDescent="0.3">
      <c r="D201" s="25" t="s">
        <v>382</v>
      </c>
      <c r="E201" s="31" t="s">
        <v>2222</v>
      </c>
      <c r="F201" s="31" t="s">
        <v>2253</v>
      </c>
      <c r="G201" s="31" t="s">
        <v>758</v>
      </c>
      <c r="H201" s="27" t="s">
        <v>2252</v>
      </c>
      <c r="I201" s="31"/>
      <c r="J201" s="27" t="s">
        <v>2246</v>
      </c>
      <c r="K201" s="27"/>
      <c r="L201" s="31" t="s">
        <v>19</v>
      </c>
      <c r="M201" s="31"/>
      <c r="N201" s="31"/>
    </row>
    <row r="202" spans="3:14" ht="24.95" customHeight="1" x14ac:dyDescent="0.3">
      <c r="D202" s="25" t="s">
        <v>383</v>
      </c>
      <c r="E202" s="31" t="s">
        <v>2251</v>
      </c>
      <c r="F202" s="31" t="s">
        <v>757</v>
      </c>
      <c r="G202" s="31" t="s">
        <v>2250</v>
      </c>
      <c r="H202" s="27" t="s">
        <v>2247</v>
      </c>
      <c r="I202" s="31"/>
      <c r="J202" s="27" t="s">
        <v>590</v>
      </c>
      <c r="K202" s="27"/>
      <c r="L202" s="31" t="s">
        <v>19</v>
      </c>
      <c r="M202" s="31"/>
      <c r="N202" s="31"/>
    </row>
    <row r="203" spans="3:14" ht="24.95" customHeight="1" x14ac:dyDescent="0.3">
      <c r="D203" s="33" t="s">
        <v>384</v>
      </c>
      <c r="E203" s="36" t="s">
        <v>2249</v>
      </c>
      <c r="F203" s="36" t="s">
        <v>757</v>
      </c>
      <c r="G203" s="36" t="s">
        <v>2248</v>
      </c>
      <c r="H203" s="35" t="s">
        <v>2247</v>
      </c>
      <c r="I203" s="36"/>
      <c r="J203" s="35" t="s">
        <v>2246</v>
      </c>
      <c r="K203" s="35"/>
      <c r="L203" s="36" t="s">
        <v>19</v>
      </c>
      <c r="M203" s="36"/>
      <c r="N203" s="36"/>
    </row>
    <row r="205" spans="3:14" x14ac:dyDescent="0.3">
      <c r="C205" s="182">
        <v>3</v>
      </c>
      <c r="D205" s="353" t="s">
        <v>2245</v>
      </c>
      <c r="E205" s="353"/>
      <c r="F205" s="353"/>
      <c r="G205" s="353"/>
      <c r="H205" s="353"/>
      <c r="I205" s="353"/>
      <c r="J205" s="353"/>
      <c r="K205" s="353"/>
      <c r="L205" s="353"/>
      <c r="M205" s="353"/>
      <c r="N205" s="183"/>
    </row>
    <row r="206" spans="3:14" ht="18.75" customHeight="1" x14ac:dyDescent="0.3">
      <c r="D206" s="163" t="s">
        <v>2244</v>
      </c>
    </row>
    <row r="208" spans="3:14" x14ac:dyDescent="0.3">
      <c r="C208" s="182">
        <v>4</v>
      </c>
      <c r="D208" s="335" t="s">
        <v>2243</v>
      </c>
      <c r="E208" s="335"/>
      <c r="F208" s="335"/>
      <c r="G208" s="335"/>
      <c r="H208" s="335"/>
      <c r="I208" s="335"/>
      <c r="J208" s="335"/>
      <c r="K208" s="335"/>
      <c r="L208" s="335"/>
      <c r="M208" s="335"/>
      <c r="N208" s="183"/>
    </row>
    <row r="211" spans="3:14" x14ac:dyDescent="0.3">
      <c r="C211" s="187">
        <v>5</v>
      </c>
      <c r="D211" s="335" t="s">
        <v>2381</v>
      </c>
      <c r="E211" s="335"/>
      <c r="F211" s="335"/>
      <c r="G211" s="335"/>
      <c r="H211" s="335"/>
      <c r="I211" s="335"/>
      <c r="J211" s="335"/>
      <c r="K211" s="335"/>
      <c r="L211" s="335"/>
      <c r="M211" s="335"/>
      <c r="N211" s="183"/>
    </row>
    <row r="212" spans="3:14" x14ac:dyDescent="0.3">
      <c r="C212" t="s">
        <v>711</v>
      </c>
      <c r="D212" t="s">
        <v>2403</v>
      </c>
    </row>
    <row r="213" spans="3:14" x14ac:dyDescent="0.3">
      <c r="C213" t="s">
        <v>712</v>
      </c>
      <c r="D213" t="s">
        <v>2380</v>
      </c>
    </row>
    <row r="214" spans="3:14" x14ac:dyDescent="0.3">
      <c r="C214" t="s">
        <v>2415</v>
      </c>
      <c r="D214" t="s">
        <v>2379</v>
      </c>
      <c r="E214" s="192"/>
      <c r="J214" s="192"/>
      <c r="K214" s="192"/>
    </row>
    <row r="215" spans="3:14" x14ac:dyDescent="0.3">
      <c r="C215" t="s">
        <v>731</v>
      </c>
      <c r="D215" t="s">
        <v>2416</v>
      </c>
    </row>
    <row r="216" spans="3:14" x14ac:dyDescent="0.3">
      <c r="C216" t="s">
        <v>753</v>
      </c>
      <c r="D216" t="s">
        <v>2409</v>
      </c>
    </row>
    <row r="217" spans="3:14" x14ac:dyDescent="0.3">
      <c r="C217" t="s">
        <v>750</v>
      </c>
      <c r="D217" t="s">
        <v>2414</v>
      </c>
    </row>
    <row r="218" spans="3:14" x14ac:dyDescent="0.3">
      <c r="C218" t="s">
        <v>2412</v>
      </c>
      <c r="D218" t="s">
        <v>2413</v>
      </c>
    </row>
    <row r="219" spans="3:14" x14ac:dyDescent="0.3">
      <c r="C219" t="s">
        <v>2407</v>
      </c>
      <c r="D219" t="s">
        <v>2408</v>
      </c>
    </row>
    <row r="220" spans="3:14" x14ac:dyDescent="0.3">
      <c r="C220" t="s">
        <v>2400</v>
      </c>
      <c r="D220" t="s">
        <v>2402</v>
      </c>
    </row>
    <row r="221" spans="3:14" x14ac:dyDescent="0.3">
      <c r="C221" t="s">
        <v>752</v>
      </c>
      <c r="D221" t="s">
        <v>2405</v>
      </c>
    </row>
    <row r="222" spans="3:14" x14ac:dyDescent="0.3">
      <c r="C222" t="s">
        <v>2401</v>
      </c>
      <c r="D222" t="s">
        <v>2406</v>
      </c>
    </row>
    <row r="223" spans="3:14" x14ac:dyDescent="0.3">
      <c r="C223" t="s">
        <v>2410</v>
      </c>
      <c r="D223" t="s">
        <v>2411</v>
      </c>
    </row>
  </sheetData>
  <mergeCells count="15">
    <mergeCell ref="N136:N138"/>
    <mergeCell ref="D211:M211"/>
    <mergeCell ref="D208:M208"/>
    <mergeCell ref="D205:M205"/>
    <mergeCell ref="D189:M189"/>
    <mergeCell ref="D140:M140"/>
    <mergeCell ref="D154:M154"/>
    <mergeCell ref="D168:M168"/>
    <mergeCell ref="D174:M174"/>
    <mergeCell ref="D180:M180"/>
    <mergeCell ref="B2:L2"/>
    <mergeCell ref="D4:M4"/>
    <mergeCell ref="D6:M6"/>
    <mergeCell ref="D81:M81"/>
    <mergeCell ref="D83:M83"/>
  </mergeCells>
  <phoneticPr fontId="2" type="noConversion"/>
  <hyperlinks>
    <hyperlink ref="D205:M205" location="SQL!B156" display="AS-IS 화면 조회 SQL "/>
    <hyperlink ref="N205" location="SQL!B156" display="AS-IS 화면 조회 SQL "/>
  </hyperlink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358"/>
  <sheetViews>
    <sheetView topLeftCell="A40" zoomScale="90" zoomScaleNormal="90" workbookViewId="0">
      <selection activeCell="B94" sqref="B94:B95"/>
    </sheetView>
  </sheetViews>
  <sheetFormatPr defaultRowHeight="16.5" x14ac:dyDescent="0.3"/>
  <cols>
    <col min="1" max="1" width="5.375" customWidth="1"/>
    <col min="2" max="2" width="65.625" customWidth="1"/>
    <col min="3" max="3" width="56" bestFit="1" customWidth="1"/>
    <col min="4" max="4" width="58.25" bestFit="1" customWidth="1"/>
    <col min="5" max="6" width="49.375" bestFit="1" customWidth="1"/>
    <col min="7" max="7" width="27.25" bestFit="1" customWidth="1"/>
    <col min="8" max="8" width="39.375" bestFit="1" customWidth="1"/>
    <col min="9" max="9" width="30.5" bestFit="1" customWidth="1"/>
    <col min="10" max="10" width="35" bestFit="1" customWidth="1"/>
    <col min="11" max="11" width="39.375" bestFit="1" customWidth="1"/>
    <col min="12" max="12" width="42.75" bestFit="1" customWidth="1"/>
    <col min="13" max="13" width="56" bestFit="1" customWidth="1"/>
    <col min="14" max="15" width="34.625" customWidth="1"/>
  </cols>
  <sheetData>
    <row r="3" spans="2:3" x14ac:dyDescent="0.3">
      <c r="B3" s="162" t="s">
        <v>1514</v>
      </c>
      <c r="C3" s="158"/>
    </row>
    <row r="4" spans="2:3" x14ac:dyDescent="0.3">
      <c r="B4" s="75" t="s">
        <v>837</v>
      </c>
      <c r="C4" s="75" t="s">
        <v>837</v>
      </c>
    </row>
    <row r="5" spans="2:3" x14ac:dyDescent="0.3">
      <c r="B5" s="76" t="s">
        <v>870</v>
      </c>
      <c r="C5" s="76" t="s">
        <v>870</v>
      </c>
    </row>
    <row r="6" spans="2:3" x14ac:dyDescent="0.3">
      <c r="B6" s="76" t="s">
        <v>1418</v>
      </c>
      <c r="C6" s="76" t="s">
        <v>871</v>
      </c>
    </row>
    <row r="7" spans="2:3" x14ac:dyDescent="0.3">
      <c r="B7" s="76" t="s">
        <v>1419</v>
      </c>
      <c r="C7" s="76" t="s">
        <v>838</v>
      </c>
    </row>
    <row r="8" spans="2:3" x14ac:dyDescent="0.3">
      <c r="B8" s="76" t="s">
        <v>1420</v>
      </c>
      <c r="C8" s="76" t="s">
        <v>866</v>
      </c>
    </row>
    <row r="9" spans="2:3" x14ac:dyDescent="0.3">
      <c r="B9" s="76" t="s">
        <v>1421</v>
      </c>
      <c r="C9" s="76" t="s">
        <v>872</v>
      </c>
    </row>
    <row r="10" spans="2:3" x14ac:dyDescent="0.3">
      <c r="B10" s="76" t="s">
        <v>850</v>
      </c>
      <c r="C10" s="76" t="s">
        <v>873</v>
      </c>
    </row>
    <row r="11" spans="2:3" x14ac:dyDescent="0.3">
      <c r="B11" s="76" t="s">
        <v>851</v>
      </c>
      <c r="C11" s="76" t="s">
        <v>874</v>
      </c>
    </row>
    <row r="12" spans="2:3" x14ac:dyDescent="0.3">
      <c r="B12" s="76" t="s">
        <v>840</v>
      </c>
      <c r="C12" s="76" t="s">
        <v>849</v>
      </c>
    </row>
    <row r="13" spans="2:3" x14ac:dyDescent="0.3">
      <c r="B13" s="76" t="s">
        <v>1422</v>
      </c>
      <c r="C13" s="76" t="s">
        <v>875</v>
      </c>
    </row>
    <row r="14" spans="2:3" x14ac:dyDescent="0.3">
      <c r="B14" s="76" t="s">
        <v>1423</v>
      </c>
      <c r="C14" s="76" t="s">
        <v>876</v>
      </c>
    </row>
    <row r="15" spans="2:3" x14ac:dyDescent="0.3">
      <c r="B15" s="76" t="s">
        <v>1424</v>
      </c>
      <c r="C15" s="76" t="s">
        <v>846</v>
      </c>
    </row>
    <row r="16" spans="2:3" x14ac:dyDescent="0.3">
      <c r="B16" s="76" t="s">
        <v>1425</v>
      </c>
      <c r="C16" s="76" t="s">
        <v>850</v>
      </c>
    </row>
    <row r="17" spans="2:3" x14ac:dyDescent="0.3">
      <c r="B17" s="76" t="s">
        <v>1426</v>
      </c>
      <c r="C17" s="76" t="s">
        <v>851</v>
      </c>
    </row>
    <row r="18" spans="2:3" x14ac:dyDescent="0.3">
      <c r="B18" s="76" t="s">
        <v>1427</v>
      </c>
      <c r="C18" s="76" t="s">
        <v>877</v>
      </c>
    </row>
    <row r="19" spans="2:3" x14ac:dyDescent="0.3">
      <c r="B19" s="76" t="s">
        <v>1428</v>
      </c>
      <c r="C19" s="76" t="s">
        <v>852</v>
      </c>
    </row>
    <row r="20" spans="2:3" x14ac:dyDescent="0.3">
      <c r="B20" s="76" t="s">
        <v>1429</v>
      </c>
      <c r="C20" s="76" t="s">
        <v>853</v>
      </c>
    </row>
    <row r="21" spans="2:3" x14ac:dyDescent="0.3">
      <c r="B21" s="76" t="s">
        <v>852</v>
      </c>
      <c r="C21" s="76" t="s">
        <v>878</v>
      </c>
    </row>
    <row r="22" spans="2:3" x14ac:dyDescent="0.3">
      <c r="B22" s="76" t="s">
        <v>853</v>
      </c>
      <c r="C22" s="76" t="s">
        <v>879</v>
      </c>
    </row>
    <row r="23" spans="2:3" x14ac:dyDescent="0.3">
      <c r="B23" s="76" t="s">
        <v>840</v>
      </c>
      <c r="C23" s="76" t="s">
        <v>880</v>
      </c>
    </row>
    <row r="24" spans="2:3" x14ac:dyDescent="0.3">
      <c r="B24" s="76" t="s">
        <v>1422</v>
      </c>
      <c r="C24" s="75" t="s">
        <v>859</v>
      </c>
    </row>
    <row r="25" spans="2:3" x14ac:dyDescent="0.3">
      <c r="B25" s="76" t="s">
        <v>1423</v>
      </c>
      <c r="C25" s="76" t="s">
        <v>840</v>
      </c>
    </row>
    <row r="26" spans="2:3" x14ac:dyDescent="0.3">
      <c r="B26" s="76" t="s">
        <v>1424</v>
      </c>
      <c r="C26" s="76" t="s">
        <v>841</v>
      </c>
    </row>
    <row r="27" spans="2:3" x14ac:dyDescent="0.3">
      <c r="B27" s="76" t="s">
        <v>1425</v>
      </c>
      <c r="C27" s="76" t="s">
        <v>881</v>
      </c>
    </row>
    <row r="28" spans="2:3" x14ac:dyDescent="0.3">
      <c r="B28" s="76" t="s">
        <v>1426</v>
      </c>
      <c r="C28" s="76" t="s">
        <v>882</v>
      </c>
    </row>
    <row r="29" spans="2:3" x14ac:dyDescent="0.3">
      <c r="B29" s="76" t="s">
        <v>1430</v>
      </c>
      <c r="C29" s="76" t="s">
        <v>883</v>
      </c>
    </row>
    <row r="30" spans="2:3" x14ac:dyDescent="0.3">
      <c r="B30" s="76" t="s">
        <v>1428</v>
      </c>
      <c r="C30" s="76" t="s">
        <v>884</v>
      </c>
    </row>
    <row r="31" spans="2:3" x14ac:dyDescent="0.3">
      <c r="B31" s="76" t="s">
        <v>1431</v>
      </c>
      <c r="C31" s="76" t="s">
        <v>885</v>
      </c>
    </row>
    <row r="32" spans="2:3" x14ac:dyDescent="0.3">
      <c r="B32" s="76" t="s">
        <v>1432</v>
      </c>
      <c r="C32" s="76" t="s">
        <v>886</v>
      </c>
    </row>
    <row r="33" spans="2:3" x14ac:dyDescent="0.3">
      <c r="B33" s="76" t="s">
        <v>1433</v>
      </c>
      <c r="C33" s="76" t="s">
        <v>887</v>
      </c>
    </row>
    <row r="34" spans="2:3" x14ac:dyDescent="0.3">
      <c r="B34" s="76" t="s">
        <v>1434</v>
      </c>
      <c r="C34" s="76" t="s">
        <v>888</v>
      </c>
    </row>
    <row r="35" spans="2:3" x14ac:dyDescent="0.3">
      <c r="B35" s="76" t="s">
        <v>1435</v>
      </c>
      <c r="C35" s="76" t="s">
        <v>889</v>
      </c>
    </row>
    <row r="36" spans="2:3" x14ac:dyDescent="0.3">
      <c r="B36" s="76" t="s">
        <v>1436</v>
      </c>
      <c r="C36" s="76" t="s">
        <v>890</v>
      </c>
    </row>
    <row r="37" spans="2:3" x14ac:dyDescent="0.3">
      <c r="B37" s="76" t="s">
        <v>1437</v>
      </c>
      <c r="C37" s="76" t="s">
        <v>891</v>
      </c>
    </row>
    <row r="38" spans="2:3" x14ac:dyDescent="0.3">
      <c r="B38" s="76" t="s">
        <v>1437</v>
      </c>
      <c r="C38" s="76" t="s">
        <v>892</v>
      </c>
    </row>
    <row r="39" spans="2:3" x14ac:dyDescent="0.3">
      <c r="B39" s="76" t="s">
        <v>1438</v>
      </c>
      <c r="C39" s="76" t="s">
        <v>893</v>
      </c>
    </row>
    <row r="40" spans="2:3" x14ac:dyDescent="0.3">
      <c r="B40" s="76" t="s">
        <v>1439</v>
      </c>
      <c r="C40" s="76" t="s">
        <v>894</v>
      </c>
    </row>
    <row r="41" spans="2:3" x14ac:dyDescent="0.3">
      <c r="B41" s="76" t="s">
        <v>1440</v>
      </c>
      <c r="C41" s="76" t="s">
        <v>895</v>
      </c>
    </row>
    <row r="42" spans="2:3" x14ac:dyDescent="0.3">
      <c r="B42" s="76" t="s">
        <v>1441</v>
      </c>
      <c r="C42" s="76" t="s">
        <v>896</v>
      </c>
    </row>
    <row r="43" spans="2:3" x14ac:dyDescent="0.3">
      <c r="B43" s="76" t="s">
        <v>1435</v>
      </c>
      <c r="C43" s="76" t="s">
        <v>897</v>
      </c>
    </row>
    <row r="44" spans="2:3" x14ac:dyDescent="0.3">
      <c r="B44" s="76" t="s">
        <v>1442</v>
      </c>
      <c r="C44" s="76" t="s">
        <v>898</v>
      </c>
    </row>
    <row r="45" spans="2:3" x14ac:dyDescent="0.3">
      <c r="B45" s="76" t="s">
        <v>1437</v>
      </c>
      <c r="C45" s="76" t="s">
        <v>899</v>
      </c>
    </row>
    <row r="46" spans="2:3" x14ac:dyDescent="0.3">
      <c r="B46" s="76" t="s">
        <v>1437</v>
      </c>
      <c r="C46" s="76" t="s">
        <v>900</v>
      </c>
    </row>
    <row r="47" spans="2:3" x14ac:dyDescent="0.3">
      <c r="B47" s="76" t="s">
        <v>1443</v>
      </c>
      <c r="C47" s="76" t="s">
        <v>842</v>
      </c>
    </row>
    <row r="48" spans="2:3" x14ac:dyDescent="0.3">
      <c r="B48" s="76" t="s">
        <v>1444</v>
      </c>
      <c r="C48" s="76" t="s">
        <v>901</v>
      </c>
    </row>
    <row r="49" spans="2:3" x14ac:dyDescent="0.3">
      <c r="B49" s="76" t="s">
        <v>1445</v>
      </c>
      <c r="C49" s="76" t="s">
        <v>902</v>
      </c>
    </row>
    <row r="50" spans="2:3" x14ac:dyDescent="0.3">
      <c r="B50" s="76" t="s">
        <v>1446</v>
      </c>
      <c r="C50" s="76" t="s">
        <v>843</v>
      </c>
    </row>
    <row r="51" spans="2:3" x14ac:dyDescent="0.3">
      <c r="B51" s="76" t="s">
        <v>966</v>
      </c>
      <c r="C51" s="76" t="s">
        <v>903</v>
      </c>
    </row>
    <row r="52" spans="2:3" x14ac:dyDescent="0.3">
      <c r="B52" s="76" t="s">
        <v>965</v>
      </c>
      <c r="C52" s="76" t="s">
        <v>904</v>
      </c>
    </row>
    <row r="53" spans="2:3" x14ac:dyDescent="0.3">
      <c r="B53" s="76" t="s">
        <v>1447</v>
      </c>
      <c r="C53" s="76" t="s">
        <v>905</v>
      </c>
    </row>
    <row r="54" spans="2:3" x14ac:dyDescent="0.3">
      <c r="B54" s="76" t="s">
        <v>1448</v>
      </c>
      <c r="C54" s="76" t="s">
        <v>906</v>
      </c>
    </row>
    <row r="55" spans="2:3" x14ac:dyDescent="0.3">
      <c r="B55" s="76" t="s">
        <v>1449</v>
      </c>
      <c r="C55" s="76" t="s">
        <v>907</v>
      </c>
    </row>
    <row r="56" spans="2:3" x14ac:dyDescent="0.3">
      <c r="B56" s="76" t="s">
        <v>1450</v>
      </c>
      <c r="C56" s="76" t="s">
        <v>908</v>
      </c>
    </row>
    <row r="57" spans="2:3" x14ac:dyDescent="0.3">
      <c r="B57" s="76" t="s">
        <v>1451</v>
      </c>
      <c r="C57" s="75" t="s">
        <v>860</v>
      </c>
    </row>
    <row r="58" spans="2:3" x14ac:dyDescent="0.3">
      <c r="B58" s="76" t="s">
        <v>918</v>
      </c>
      <c r="C58" s="76" t="s">
        <v>861</v>
      </c>
    </row>
    <row r="59" spans="2:3" x14ac:dyDescent="0.3">
      <c r="B59" s="76" t="s">
        <v>1452</v>
      </c>
      <c r="C59" s="76" t="s">
        <v>1513</v>
      </c>
    </row>
    <row r="60" spans="2:3" x14ac:dyDescent="0.3">
      <c r="B60" s="76" t="s">
        <v>1453</v>
      </c>
      <c r="C60" s="75" t="s">
        <v>910</v>
      </c>
    </row>
    <row r="61" spans="2:3" x14ac:dyDescent="0.3">
      <c r="B61" s="76" t="s">
        <v>917</v>
      </c>
      <c r="C61" s="76" t="s">
        <v>911</v>
      </c>
    </row>
    <row r="62" spans="2:3" x14ac:dyDescent="0.3">
      <c r="B62" s="76" t="s">
        <v>948</v>
      </c>
      <c r="C62" s="76" t="s">
        <v>912</v>
      </c>
    </row>
    <row r="63" spans="2:3" x14ac:dyDescent="0.3">
      <c r="B63" s="76" t="s">
        <v>1454</v>
      </c>
    </row>
    <row r="64" spans="2:3" x14ac:dyDescent="0.3">
      <c r="B64" s="76" t="s">
        <v>1455</v>
      </c>
    </row>
    <row r="65" spans="2:2" x14ac:dyDescent="0.3">
      <c r="B65" s="76" t="s">
        <v>1456</v>
      </c>
    </row>
    <row r="66" spans="2:2" x14ac:dyDescent="0.3">
      <c r="B66" s="76" t="s">
        <v>1457</v>
      </c>
    </row>
    <row r="67" spans="2:2" x14ac:dyDescent="0.3">
      <c r="B67" s="76" t="s">
        <v>1458</v>
      </c>
    </row>
    <row r="68" spans="2:2" x14ac:dyDescent="0.3">
      <c r="B68" s="76" t="s">
        <v>1459</v>
      </c>
    </row>
    <row r="69" spans="2:2" x14ac:dyDescent="0.3">
      <c r="B69" s="76" t="s">
        <v>1460</v>
      </c>
    </row>
    <row r="70" spans="2:2" x14ac:dyDescent="0.3">
      <c r="B70" s="76" t="s">
        <v>1461</v>
      </c>
    </row>
    <row r="71" spans="2:2" x14ac:dyDescent="0.3">
      <c r="B71" s="76" t="s">
        <v>1462</v>
      </c>
    </row>
    <row r="72" spans="2:2" x14ac:dyDescent="0.3">
      <c r="B72" s="76" t="s">
        <v>1463</v>
      </c>
    </row>
    <row r="73" spans="2:2" x14ac:dyDescent="0.3">
      <c r="B73" s="76" t="s">
        <v>1464</v>
      </c>
    </row>
    <row r="74" spans="2:2" x14ac:dyDescent="0.3">
      <c r="B74" s="76" t="s">
        <v>1465</v>
      </c>
    </row>
    <row r="75" spans="2:2" x14ac:dyDescent="0.3">
      <c r="B75" s="76" t="s">
        <v>1466</v>
      </c>
    </row>
    <row r="76" spans="2:2" x14ac:dyDescent="0.3">
      <c r="B76" s="76" t="s">
        <v>1467</v>
      </c>
    </row>
    <row r="77" spans="2:2" x14ac:dyDescent="0.3">
      <c r="B77" s="76" t="s">
        <v>1468</v>
      </c>
    </row>
    <row r="78" spans="2:2" x14ac:dyDescent="0.3">
      <c r="B78" s="76" t="s">
        <v>1469</v>
      </c>
    </row>
    <row r="79" spans="2:2" x14ac:dyDescent="0.3">
      <c r="B79" s="76" t="s">
        <v>1435</v>
      </c>
    </row>
    <row r="80" spans="2:2" x14ac:dyDescent="0.3">
      <c r="B80" s="76" t="s">
        <v>1470</v>
      </c>
    </row>
    <row r="81" spans="2:2" x14ac:dyDescent="0.3">
      <c r="B81" s="76" t="s">
        <v>1437</v>
      </c>
    </row>
    <row r="82" spans="2:2" x14ac:dyDescent="0.3">
      <c r="B82" s="76" t="s">
        <v>1437</v>
      </c>
    </row>
    <row r="83" spans="2:2" x14ac:dyDescent="0.3">
      <c r="B83" s="76" t="s">
        <v>1471</v>
      </c>
    </row>
    <row r="84" spans="2:2" x14ac:dyDescent="0.3">
      <c r="B84" s="76" t="s">
        <v>1472</v>
      </c>
    </row>
    <row r="85" spans="2:2" x14ac:dyDescent="0.3">
      <c r="B85" s="76" t="s">
        <v>1473</v>
      </c>
    </row>
    <row r="86" spans="2:2" x14ac:dyDescent="0.3">
      <c r="B86" s="76" t="s">
        <v>1474</v>
      </c>
    </row>
    <row r="87" spans="2:2" x14ac:dyDescent="0.3">
      <c r="B87" s="76" t="s">
        <v>875</v>
      </c>
    </row>
    <row r="88" spans="2:2" x14ac:dyDescent="0.3">
      <c r="B88" s="76" t="s">
        <v>876</v>
      </c>
    </row>
    <row r="89" spans="2:2" x14ac:dyDescent="0.3">
      <c r="B89" s="76" t="s">
        <v>1475</v>
      </c>
    </row>
    <row r="90" spans="2:2" x14ac:dyDescent="0.3">
      <c r="B90" s="76" t="s">
        <v>921</v>
      </c>
    </row>
    <row r="91" spans="2:2" x14ac:dyDescent="0.3">
      <c r="B91" s="76" t="s">
        <v>1476</v>
      </c>
    </row>
    <row r="92" spans="2:2" x14ac:dyDescent="0.3">
      <c r="B92" s="76" t="s">
        <v>1477</v>
      </c>
    </row>
    <row r="93" spans="2:2" x14ac:dyDescent="0.3">
      <c r="B93" s="76" t="s">
        <v>1478</v>
      </c>
    </row>
    <row r="94" spans="2:2" x14ac:dyDescent="0.3">
      <c r="B94" s="76" t="s">
        <v>1479</v>
      </c>
    </row>
    <row r="95" spans="2:2" x14ac:dyDescent="0.3">
      <c r="B95" s="76" t="s">
        <v>1480</v>
      </c>
    </row>
    <row r="96" spans="2:2" x14ac:dyDescent="0.3">
      <c r="B96" s="76" t="s">
        <v>839</v>
      </c>
    </row>
    <row r="97" spans="2:2" x14ac:dyDescent="0.3">
      <c r="B97" s="76" t="s">
        <v>1447</v>
      </c>
    </row>
    <row r="98" spans="2:2" x14ac:dyDescent="0.3">
      <c r="B98" s="76" t="s">
        <v>1481</v>
      </c>
    </row>
    <row r="99" spans="2:2" x14ac:dyDescent="0.3">
      <c r="B99" s="76" t="s">
        <v>1482</v>
      </c>
    </row>
    <row r="100" spans="2:2" x14ac:dyDescent="0.3">
      <c r="B100" s="76" t="s">
        <v>1483</v>
      </c>
    </row>
    <row r="101" spans="2:2" x14ac:dyDescent="0.3">
      <c r="B101" s="76" t="s">
        <v>1484</v>
      </c>
    </row>
    <row r="102" spans="2:2" x14ac:dyDescent="0.3">
      <c r="B102" s="76" t="s">
        <v>1485</v>
      </c>
    </row>
    <row r="103" spans="2:2" x14ac:dyDescent="0.3">
      <c r="B103" s="76" t="s">
        <v>854</v>
      </c>
    </row>
    <row r="104" spans="2:2" x14ac:dyDescent="0.3">
      <c r="B104" s="76" t="s">
        <v>855</v>
      </c>
    </row>
    <row r="105" spans="2:2" x14ac:dyDescent="0.3">
      <c r="B105" s="76" t="s">
        <v>856</v>
      </c>
    </row>
    <row r="106" spans="2:2" x14ac:dyDescent="0.3">
      <c r="B106" s="76" t="s">
        <v>857</v>
      </c>
    </row>
    <row r="107" spans="2:2" x14ac:dyDescent="0.3">
      <c r="B107" s="76" t="s">
        <v>858</v>
      </c>
    </row>
    <row r="108" spans="2:2" x14ac:dyDescent="0.3">
      <c r="B108" s="76" t="s">
        <v>1486</v>
      </c>
    </row>
    <row r="109" spans="2:2" x14ac:dyDescent="0.3">
      <c r="B109" s="76" t="s">
        <v>1487</v>
      </c>
    </row>
    <row r="110" spans="2:2" x14ac:dyDescent="0.3">
      <c r="B110" s="76" t="s">
        <v>1488</v>
      </c>
    </row>
    <row r="111" spans="2:2" x14ac:dyDescent="0.3">
      <c r="B111" s="76" t="s">
        <v>840</v>
      </c>
    </row>
    <row r="112" spans="2:2" x14ac:dyDescent="0.3">
      <c r="B112" s="76" t="s">
        <v>841</v>
      </c>
    </row>
    <row r="113" spans="2:2" x14ac:dyDescent="0.3">
      <c r="B113" s="76" t="s">
        <v>847</v>
      </c>
    </row>
    <row r="114" spans="2:2" x14ac:dyDescent="0.3">
      <c r="B114" s="76" t="s">
        <v>842</v>
      </c>
    </row>
    <row r="115" spans="2:2" x14ac:dyDescent="0.3">
      <c r="B115" s="76" t="s">
        <v>1489</v>
      </c>
    </row>
    <row r="116" spans="2:2" x14ac:dyDescent="0.3">
      <c r="B116" s="76" t="s">
        <v>843</v>
      </c>
    </row>
    <row r="117" spans="2:2" x14ac:dyDescent="0.3">
      <c r="B117" s="76" t="s">
        <v>1490</v>
      </c>
    </row>
    <row r="118" spans="2:2" x14ac:dyDescent="0.3">
      <c r="B118" s="76" t="s">
        <v>1491</v>
      </c>
    </row>
    <row r="119" spans="2:2" x14ac:dyDescent="0.3">
      <c r="B119" s="76" t="s">
        <v>840</v>
      </c>
    </row>
    <row r="120" spans="2:2" x14ac:dyDescent="0.3">
      <c r="B120" s="76" t="s">
        <v>841</v>
      </c>
    </row>
    <row r="121" spans="2:2" x14ac:dyDescent="0.3">
      <c r="B121" s="76" t="s">
        <v>1492</v>
      </c>
    </row>
    <row r="122" spans="2:2" x14ac:dyDescent="0.3">
      <c r="B122" s="76" t="s">
        <v>842</v>
      </c>
    </row>
    <row r="123" spans="2:2" x14ac:dyDescent="0.3">
      <c r="B123" s="76" t="s">
        <v>1493</v>
      </c>
    </row>
    <row r="124" spans="2:2" x14ac:dyDescent="0.3">
      <c r="B124" s="76" t="s">
        <v>843</v>
      </c>
    </row>
    <row r="125" spans="2:2" x14ac:dyDescent="0.3">
      <c r="B125" s="76" t="s">
        <v>1494</v>
      </c>
    </row>
    <row r="126" spans="2:2" x14ac:dyDescent="0.3">
      <c r="B126" s="76" t="s">
        <v>1495</v>
      </c>
    </row>
    <row r="127" spans="2:2" x14ac:dyDescent="0.3">
      <c r="B127" s="76" t="s">
        <v>1496</v>
      </c>
    </row>
    <row r="128" spans="2:2" x14ac:dyDescent="0.3">
      <c r="B128" s="76" t="s">
        <v>1428</v>
      </c>
    </row>
    <row r="129" spans="2:2" x14ac:dyDescent="0.3">
      <c r="B129" s="76" t="s">
        <v>1497</v>
      </c>
    </row>
    <row r="130" spans="2:2" x14ac:dyDescent="0.3">
      <c r="B130" s="76" t="s">
        <v>840</v>
      </c>
    </row>
    <row r="131" spans="2:2" x14ac:dyDescent="0.3">
      <c r="B131" s="76" t="s">
        <v>841</v>
      </c>
    </row>
    <row r="132" spans="2:2" x14ac:dyDescent="0.3">
      <c r="B132" s="76" t="s">
        <v>1498</v>
      </c>
    </row>
    <row r="133" spans="2:2" x14ac:dyDescent="0.3">
      <c r="B133" s="76" t="s">
        <v>842</v>
      </c>
    </row>
    <row r="134" spans="2:2" x14ac:dyDescent="0.3">
      <c r="B134" s="76" t="s">
        <v>1499</v>
      </c>
    </row>
    <row r="135" spans="2:2" x14ac:dyDescent="0.3">
      <c r="B135" s="76" t="s">
        <v>1500</v>
      </c>
    </row>
    <row r="136" spans="2:2" x14ac:dyDescent="0.3">
      <c r="B136" s="76" t="s">
        <v>843</v>
      </c>
    </row>
    <row r="137" spans="2:2" x14ac:dyDescent="0.3">
      <c r="B137" s="76" t="s">
        <v>1501</v>
      </c>
    </row>
    <row r="138" spans="2:2" x14ac:dyDescent="0.3">
      <c r="B138" s="76" t="s">
        <v>904</v>
      </c>
    </row>
    <row r="139" spans="2:2" x14ac:dyDescent="0.3">
      <c r="B139" s="76" t="s">
        <v>1502</v>
      </c>
    </row>
    <row r="140" spans="2:2" x14ac:dyDescent="0.3">
      <c r="B140" s="76" t="s">
        <v>1503</v>
      </c>
    </row>
    <row r="141" spans="2:2" x14ac:dyDescent="0.3">
      <c r="B141" s="76" t="s">
        <v>1504</v>
      </c>
    </row>
    <row r="142" spans="2:2" x14ac:dyDescent="0.3">
      <c r="B142" s="76" t="s">
        <v>1505</v>
      </c>
    </row>
    <row r="143" spans="2:2" x14ac:dyDescent="0.3">
      <c r="B143" s="76" t="s">
        <v>1506</v>
      </c>
    </row>
    <row r="144" spans="2:2" x14ac:dyDescent="0.3">
      <c r="B144" s="76" t="s">
        <v>1507</v>
      </c>
    </row>
    <row r="145" spans="2:13" x14ac:dyDescent="0.3">
      <c r="B145" s="76" t="s">
        <v>1508</v>
      </c>
    </row>
    <row r="146" spans="2:13" x14ac:dyDescent="0.3">
      <c r="B146" s="76" t="s">
        <v>1509</v>
      </c>
    </row>
    <row r="147" spans="2:13" x14ac:dyDescent="0.3">
      <c r="B147" s="75" t="s">
        <v>859</v>
      </c>
    </row>
    <row r="148" spans="2:13" x14ac:dyDescent="0.3">
      <c r="B148" s="76" t="s">
        <v>1510</v>
      </c>
    </row>
    <row r="149" spans="2:13" x14ac:dyDescent="0.3">
      <c r="B149" s="75" t="s">
        <v>860</v>
      </c>
    </row>
    <row r="150" spans="2:13" x14ac:dyDescent="0.3">
      <c r="B150" s="76" t="s">
        <v>861</v>
      </c>
    </row>
    <row r="151" spans="2:13" x14ac:dyDescent="0.3">
      <c r="B151" s="76" t="s">
        <v>1511</v>
      </c>
    </row>
    <row r="152" spans="2:13" x14ac:dyDescent="0.3">
      <c r="B152" s="76" t="s">
        <v>1512</v>
      </c>
    </row>
    <row r="156" spans="2:13" x14ac:dyDescent="0.3">
      <c r="B156" s="162" t="s">
        <v>1516</v>
      </c>
      <c r="C156" s="159"/>
      <c r="D156" s="159"/>
      <c r="E156" s="159"/>
      <c r="F156" s="159"/>
      <c r="G156" s="159"/>
      <c r="H156" s="159"/>
      <c r="I156" s="159"/>
      <c r="J156" s="159"/>
      <c r="K156" s="159"/>
      <c r="L156" s="159"/>
      <c r="M156" s="159"/>
    </row>
    <row r="157" spans="2:13" x14ac:dyDescent="0.3">
      <c r="B157" s="75" t="s">
        <v>837</v>
      </c>
      <c r="C157" s="75" t="s">
        <v>837</v>
      </c>
      <c r="D157" s="75" t="s">
        <v>1688</v>
      </c>
      <c r="E157" s="75" t="s">
        <v>837</v>
      </c>
      <c r="F157" s="75" t="s">
        <v>837</v>
      </c>
      <c r="G157" s="75" t="s">
        <v>837</v>
      </c>
      <c r="H157" s="75" t="s">
        <v>837</v>
      </c>
      <c r="I157" s="75" t="s">
        <v>837</v>
      </c>
      <c r="J157" s="75" t="s">
        <v>837</v>
      </c>
      <c r="K157" s="75" t="s">
        <v>837</v>
      </c>
      <c r="L157" s="75" t="s">
        <v>1689</v>
      </c>
      <c r="M157" s="75" t="s">
        <v>837</v>
      </c>
    </row>
    <row r="158" spans="2:13" x14ac:dyDescent="0.3">
      <c r="B158" s="76" t="s">
        <v>1690</v>
      </c>
      <c r="C158" s="76" t="s">
        <v>1691</v>
      </c>
      <c r="D158" s="76" t="s">
        <v>1692</v>
      </c>
      <c r="E158" s="76" t="s">
        <v>1420</v>
      </c>
      <c r="F158" s="76" t="s">
        <v>1420</v>
      </c>
      <c r="G158" s="76" t="s">
        <v>947</v>
      </c>
      <c r="H158" s="76" t="s">
        <v>1693</v>
      </c>
      <c r="I158" s="76" t="s">
        <v>947</v>
      </c>
      <c r="J158" s="76" t="s">
        <v>947</v>
      </c>
      <c r="K158" s="76" t="s">
        <v>947</v>
      </c>
      <c r="L158" s="76" t="s">
        <v>1692</v>
      </c>
      <c r="M158" s="76" t="s">
        <v>1694</v>
      </c>
    </row>
    <row r="159" spans="2:13" x14ac:dyDescent="0.3">
      <c r="B159" s="76" t="s">
        <v>1695</v>
      </c>
      <c r="C159" s="76" t="s">
        <v>1696</v>
      </c>
      <c r="D159" s="76" t="s">
        <v>1697</v>
      </c>
      <c r="E159" s="76" t="s">
        <v>1698</v>
      </c>
      <c r="F159" s="76" t="s">
        <v>1698</v>
      </c>
      <c r="G159" s="76" t="s">
        <v>1699</v>
      </c>
      <c r="H159" s="76" t="s">
        <v>1700</v>
      </c>
      <c r="I159" s="76" t="s">
        <v>1699</v>
      </c>
      <c r="J159" s="76" t="s">
        <v>1701</v>
      </c>
      <c r="K159" s="76" t="s">
        <v>1702</v>
      </c>
      <c r="L159" s="76" t="s">
        <v>1703</v>
      </c>
      <c r="M159" s="75" t="s">
        <v>859</v>
      </c>
    </row>
    <row r="160" spans="2:13" x14ac:dyDescent="0.3">
      <c r="B160" s="76" t="s">
        <v>1704</v>
      </c>
      <c r="C160" s="76" t="s">
        <v>1705</v>
      </c>
      <c r="D160" s="76" t="s">
        <v>1706</v>
      </c>
      <c r="E160" s="76" t="s">
        <v>1707</v>
      </c>
      <c r="F160" s="76" t="s">
        <v>1707</v>
      </c>
      <c r="G160" s="76" t="s">
        <v>1708</v>
      </c>
      <c r="H160" s="76" t="s">
        <v>1709</v>
      </c>
      <c r="I160" s="76" t="s">
        <v>1420</v>
      </c>
      <c r="J160" s="76" t="s">
        <v>1710</v>
      </c>
      <c r="K160" s="76" t="s">
        <v>1711</v>
      </c>
      <c r="L160" s="76" t="s">
        <v>1712</v>
      </c>
      <c r="M160" s="76" t="s">
        <v>1713</v>
      </c>
    </row>
    <row r="161" spans="2:13" x14ac:dyDescent="0.3">
      <c r="B161" s="76" t="s">
        <v>1714</v>
      </c>
      <c r="C161" s="76" t="s">
        <v>1715</v>
      </c>
      <c r="D161" s="76" t="s">
        <v>1716</v>
      </c>
      <c r="E161" s="76" t="s">
        <v>1717</v>
      </c>
      <c r="F161" s="76" t="s">
        <v>1717</v>
      </c>
      <c r="G161" s="76" t="s">
        <v>1718</v>
      </c>
      <c r="H161" s="76" t="s">
        <v>1719</v>
      </c>
      <c r="I161" s="76" t="s">
        <v>1720</v>
      </c>
      <c r="J161" s="76" t="s">
        <v>1721</v>
      </c>
      <c r="K161" s="76" t="s">
        <v>1722</v>
      </c>
      <c r="L161" s="76" t="s">
        <v>1723</v>
      </c>
      <c r="M161" s="76" t="s">
        <v>1724</v>
      </c>
    </row>
    <row r="162" spans="2:13" x14ac:dyDescent="0.3">
      <c r="B162" s="76" t="s">
        <v>1725</v>
      </c>
      <c r="C162" s="76" t="s">
        <v>1726</v>
      </c>
      <c r="D162" s="76" t="s">
        <v>1727</v>
      </c>
      <c r="E162" s="76" t="s">
        <v>1728</v>
      </c>
      <c r="F162" s="76" t="s">
        <v>1728</v>
      </c>
      <c r="G162" s="75" t="s">
        <v>859</v>
      </c>
      <c r="H162" s="76" t="s">
        <v>838</v>
      </c>
      <c r="I162" s="76" t="s">
        <v>1729</v>
      </c>
      <c r="J162" s="76" t="s">
        <v>1730</v>
      </c>
      <c r="K162" s="76" t="s">
        <v>1731</v>
      </c>
      <c r="L162" s="76" t="s">
        <v>1732</v>
      </c>
      <c r="M162" s="76" t="s">
        <v>1733</v>
      </c>
    </row>
    <row r="163" spans="2:13" x14ac:dyDescent="0.3">
      <c r="B163" s="76" t="s">
        <v>1734</v>
      </c>
      <c r="C163" s="76" t="s">
        <v>1735</v>
      </c>
      <c r="D163" s="76" t="s">
        <v>1736</v>
      </c>
      <c r="E163" s="76" t="s">
        <v>1737</v>
      </c>
      <c r="F163" s="76" t="s">
        <v>1737</v>
      </c>
      <c r="G163" s="76" t="s">
        <v>1738</v>
      </c>
      <c r="H163" s="76" t="s">
        <v>1739</v>
      </c>
      <c r="I163" s="76" t="s">
        <v>1740</v>
      </c>
      <c r="J163" s="76" t="s">
        <v>1741</v>
      </c>
      <c r="K163" s="76" t="s">
        <v>1742</v>
      </c>
      <c r="L163" s="76" t="s">
        <v>1743</v>
      </c>
      <c r="M163" s="75" t="s">
        <v>860</v>
      </c>
    </row>
    <row r="164" spans="2:13" x14ac:dyDescent="0.3">
      <c r="B164" s="76" t="s">
        <v>1744</v>
      </c>
      <c r="C164" s="76" t="s">
        <v>1745</v>
      </c>
      <c r="D164" s="76" t="s">
        <v>1746</v>
      </c>
      <c r="E164" s="76" t="s">
        <v>1747</v>
      </c>
      <c r="F164" s="76" t="s">
        <v>1747</v>
      </c>
      <c r="G164" s="75" t="s">
        <v>860</v>
      </c>
      <c r="H164" s="76" t="s">
        <v>1748</v>
      </c>
      <c r="I164" s="76" t="s">
        <v>1749</v>
      </c>
      <c r="J164" s="76" t="s">
        <v>1750</v>
      </c>
      <c r="K164" s="75" t="s">
        <v>859</v>
      </c>
      <c r="L164" s="76" t="s">
        <v>1751</v>
      </c>
      <c r="M164" s="76" t="s">
        <v>1752</v>
      </c>
    </row>
    <row r="165" spans="2:13" x14ac:dyDescent="0.3">
      <c r="B165" s="76" t="s">
        <v>1422</v>
      </c>
      <c r="C165" s="76" t="s">
        <v>840</v>
      </c>
      <c r="D165" s="76" t="s">
        <v>1753</v>
      </c>
      <c r="E165" s="76" t="s">
        <v>1754</v>
      </c>
      <c r="F165" s="76" t="s">
        <v>1754</v>
      </c>
      <c r="G165" s="76" t="s">
        <v>1755</v>
      </c>
      <c r="H165" s="76" t="s">
        <v>850</v>
      </c>
      <c r="I165" s="76" t="s">
        <v>1748</v>
      </c>
      <c r="J165" s="76" t="s">
        <v>1756</v>
      </c>
      <c r="K165" s="76" t="s">
        <v>1757</v>
      </c>
      <c r="L165" s="76" t="s">
        <v>1758</v>
      </c>
      <c r="M165" s="76" t="s">
        <v>1759</v>
      </c>
    </row>
    <row r="166" spans="2:13" x14ac:dyDescent="0.3">
      <c r="B166" s="76" t="s">
        <v>847</v>
      </c>
      <c r="C166" s="76" t="s">
        <v>1760</v>
      </c>
      <c r="D166" s="76" t="s">
        <v>1743</v>
      </c>
      <c r="E166" s="76" t="s">
        <v>1761</v>
      </c>
      <c r="F166" s="76" t="s">
        <v>1761</v>
      </c>
      <c r="G166" s="76" t="s">
        <v>1762</v>
      </c>
      <c r="H166" s="76" t="s">
        <v>851</v>
      </c>
      <c r="I166" s="76" t="s">
        <v>850</v>
      </c>
      <c r="J166" s="76" t="s">
        <v>1763</v>
      </c>
      <c r="K166" s="75" t="s">
        <v>860</v>
      </c>
      <c r="L166" s="76" t="s">
        <v>1764</v>
      </c>
      <c r="M166" s="75" t="s">
        <v>1765</v>
      </c>
    </row>
    <row r="167" spans="2:13" x14ac:dyDescent="0.3">
      <c r="B167" s="76" t="s">
        <v>1424</v>
      </c>
      <c r="C167" s="76" t="s">
        <v>1766</v>
      </c>
      <c r="D167" s="76" t="s">
        <v>1767</v>
      </c>
      <c r="E167" s="76" t="s">
        <v>1768</v>
      </c>
      <c r="F167" s="76" t="s">
        <v>1768</v>
      </c>
      <c r="G167" s="75" t="s">
        <v>910</v>
      </c>
      <c r="H167" s="76" t="s">
        <v>852</v>
      </c>
      <c r="I167" s="76" t="s">
        <v>851</v>
      </c>
      <c r="J167" s="76" t="s">
        <v>1769</v>
      </c>
      <c r="K167" s="76" t="s">
        <v>1755</v>
      </c>
      <c r="L167" s="76" t="s">
        <v>1770</v>
      </c>
      <c r="M167" s="76" t="s">
        <v>1771</v>
      </c>
    </row>
    <row r="168" spans="2:13" x14ac:dyDescent="0.3">
      <c r="B168" s="76" t="s">
        <v>1772</v>
      </c>
      <c r="C168" s="76" t="s">
        <v>1773</v>
      </c>
      <c r="D168" s="76" t="s">
        <v>1758</v>
      </c>
      <c r="E168" s="76" t="s">
        <v>1774</v>
      </c>
      <c r="F168" s="76" t="s">
        <v>1774</v>
      </c>
      <c r="G168" s="76" t="s">
        <v>1775</v>
      </c>
      <c r="H168" s="76" t="s">
        <v>853</v>
      </c>
      <c r="I168" s="76" t="s">
        <v>852</v>
      </c>
      <c r="J168" s="76" t="s">
        <v>1776</v>
      </c>
      <c r="K168" s="76" t="s">
        <v>1777</v>
      </c>
      <c r="L168" s="76" t="s">
        <v>1778</v>
      </c>
    </row>
    <row r="169" spans="2:13" x14ac:dyDescent="0.3">
      <c r="B169" s="76" t="s">
        <v>1426</v>
      </c>
      <c r="C169" s="76" t="s">
        <v>1779</v>
      </c>
      <c r="D169" s="76" t="s">
        <v>1764</v>
      </c>
      <c r="E169" s="76" t="s">
        <v>1780</v>
      </c>
      <c r="F169" s="76" t="s">
        <v>1780</v>
      </c>
      <c r="H169" s="76" t="s">
        <v>1781</v>
      </c>
      <c r="I169" s="76" t="s">
        <v>853</v>
      </c>
      <c r="J169" s="76" t="s">
        <v>1782</v>
      </c>
      <c r="K169" s="76" t="s">
        <v>1783</v>
      </c>
      <c r="L169" s="76" t="s">
        <v>1784</v>
      </c>
    </row>
    <row r="170" spans="2:13" x14ac:dyDescent="0.3">
      <c r="B170" s="76" t="s">
        <v>1785</v>
      </c>
      <c r="C170" s="76" t="s">
        <v>1786</v>
      </c>
      <c r="D170" s="76" t="s">
        <v>1787</v>
      </c>
      <c r="E170" s="76" t="s">
        <v>1788</v>
      </c>
      <c r="F170" s="76" t="s">
        <v>1788</v>
      </c>
      <c r="H170" s="76" t="s">
        <v>1789</v>
      </c>
      <c r="I170" s="76" t="s">
        <v>1781</v>
      </c>
      <c r="J170" s="76" t="s">
        <v>1790</v>
      </c>
      <c r="K170" s="75" t="s">
        <v>910</v>
      </c>
      <c r="L170" s="75" t="s">
        <v>837</v>
      </c>
    </row>
    <row r="171" spans="2:13" x14ac:dyDescent="0.3">
      <c r="B171" s="76" t="s">
        <v>1791</v>
      </c>
      <c r="C171" s="76" t="s">
        <v>1792</v>
      </c>
      <c r="D171" s="76" t="s">
        <v>1778</v>
      </c>
      <c r="E171" s="76" t="s">
        <v>1793</v>
      </c>
      <c r="F171" s="76" t="s">
        <v>1793</v>
      </c>
      <c r="H171" s="76" t="s">
        <v>839</v>
      </c>
      <c r="I171" s="76" t="s">
        <v>1789</v>
      </c>
      <c r="J171" s="76" t="s">
        <v>1794</v>
      </c>
      <c r="K171" s="76" t="s">
        <v>1795</v>
      </c>
      <c r="L171" s="76" t="s">
        <v>1711</v>
      </c>
    </row>
    <row r="172" spans="2:13" x14ac:dyDescent="0.3">
      <c r="B172" s="76" t="s">
        <v>1796</v>
      </c>
      <c r="C172" s="76" t="s">
        <v>1797</v>
      </c>
      <c r="D172" s="76" t="s">
        <v>1798</v>
      </c>
      <c r="E172" s="76" t="s">
        <v>1693</v>
      </c>
      <c r="F172" s="76" t="s">
        <v>1693</v>
      </c>
      <c r="H172" s="76" t="s">
        <v>854</v>
      </c>
      <c r="I172" s="76" t="s">
        <v>839</v>
      </c>
      <c r="J172" s="76" t="s">
        <v>1799</v>
      </c>
      <c r="L172" s="76" t="s">
        <v>1800</v>
      </c>
    </row>
    <row r="173" spans="2:13" x14ac:dyDescent="0.3">
      <c r="B173" s="76" t="s">
        <v>841</v>
      </c>
      <c r="C173" s="76" t="s">
        <v>1801</v>
      </c>
      <c r="D173" s="76" t="s">
        <v>1802</v>
      </c>
      <c r="E173" s="76" t="s">
        <v>1803</v>
      </c>
      <c r="F173" s="76" t="s">
        <v>1803</v>
      </c>
      <c r="H173" s="76" t="s">
        <v>855</v>
      </c>
      <c r="I173" s="76" t="s">
        <v>854</v>
      </c>
      <c r="J173" s="76" t="s">
        <v>1804</v>
      </c>
      <c r="L173" s="76" t="s">
        <v>1805</v>
      </c>
    </row>
    <row r="174" spans="2:13" x14ac:dyDescent="0.3">
      <c r="B174" s="76" t="s">
        <v>1806</v>
      </c>
      <c r="C174" s="76" t="s">
        <v>1807</v>
      </c>
      <c r="D174" s="76" t="s">
        <v>1808</v>
      </c>
      <c r="E174" s="76" t="s">
        <v>850</v>
      </c>
      <c r="F174" s="76" t="s">
        <v>850</v>
      </c>
      <c r="H174" s="76" t="s">
        <v>856</v>
      </c>
      <c r="I174" s="76" t="s">
        <v>855</v>
      </c>
      <c r="J174" s="76" t="s">
        <v>1809</v>
      </c>
      <c r="L174" s="76" t="s">
        <v>1810</v>
      </c>
    </row>
    <row r="175" spans="2:13" x14ac:dyDescent="0.3">
      <c r="B175" s="76" t="s">
        <v>842</v>
      </c>
      <c r="C175" s="76" t="s">
        <v>1811</v>
      </c>
      <c r="D175" s="76" t="s">
        <v>1812</v>
      </c>
      <c r="E175" s="76" t="s">
        <v>851</v>
      </c>
      <c r="F175" s="76" t="s">
        <v>851</v>
      </c>
      <c r="H175" s="76" t="s">
        <v>857</v>
      </c>
      <c r="I175" s="76" t="s">
        <v>856</v>
      </c>
      <c r="J175" s="76" t="s">
        <v>1813</v>
      </c>
      <c r="L175" s="76" t="s">
        <v>1814</v>
      </c>
    </row>
    <row r="176" spans="2:13" x14ac:dyDescent="0.3">
      <c r="B176" s="76" t="s">
        <v>1815</v>
      </c>
      <c r="C176" s="76" t="s">
        <v>1816</v>
      </c>
      <c r="D176" s="76" t="s">
        <v>1817</v>
      </c>
      <c r="E176" s="76" t="s">
        <v>852</v>
      </c>
      <c r="F176" s="76" t="s">
        <v>852</v>
      </c>
      <c r="H176" s="76" t="s">
        <v>944</v>
      </c>
      <c r="I176" s="76" t="s">
        <v>857</v>
      </c>
      <c r="J176" s="76" t="s">
        <v>1818</v>
      </c>
      <c r="L176" s="76" t="s">
        <v>1819</v>
      </c>
    </row>
    <row r="177" spans="2:12" x14ac:dyDescent="0.3">
      <c r="B177" s="76" t="s">
        <v>1820</v>
      </c>
      <c r="C177" s="76" t="s">
        <v>1821</v>
      </c>
      <c r="D177" s="76" t="s">
        <v>1822</v>
      </c>
      <c r="E177" s="76" t="s">
        <v>853</v>
      </c>
      <c r="F177" s="76" t="s">
        <v>853</v>
      </c>
      <c r="H177" s="75" t="s">
        <v>859</v>
      </c>
      <c r="I177" s="76" t="s">
        <v>944</v>
      </c>
      <c r="J177" s="76" t="s">
        <v>1823</v>
      </c>
      <c r="L177" s="76" t="s">
        <v>1824</v>
      </c>
    </row>
    <row r="178" spans="2:12" x14ac:dyDescent="0.3">
      <c r="B178" s="76" t="s">
        <v>843</v>
      </c>
      <c r="C178" s="76" t="s">
        <v>1825</v>
      </c>
      <c r="D178" s="76" t="s">
        <v>1692</v>
      </c>
      <c r="E178" s="76" t="s">
        <v>1781</v>
      </c>
      <c r="F178" s="76" t="s">
        <v>1781</v>
      </c>
      <c r="H178" s="76" t="s">
        <v>1826</v>
      </c>
      <c r="I178" s="75" t="s">
        <v>859</v>
      </c>
      <c r="J178" s="76" t="s">
        <v>1827</v>
      </c>
      <c r="L178" s="76" t="s">
        <v>1828</v>
      </c>
    </row>
    <row r="179" spans="2:12" x14ac:dyDescent="0.3">
      <c r="B179" s="76" t="s">
        <v>1829</v>
      </c>
      <c r="C179" s="76" t="s">
        <v>1830</v>
      </c>
      <c r="D179" s="76" t="s">
        <v>1697</v>
      </c>
      <c r="E179" s="76" t="s">
        <v>1789</v>
      </c>
      <c r="F179" s="76" t="s">
        <v>1789</v>
      </c>
      <c r="H179" s="75" t="s">
        <v>860</v>
      </c>
      <c r="I179" s="76" t="s">
        <v>1831</v>
      </c>
      <c r="J179" s="76" t="s">
        <v>1832</v>
      </c>
      <c r="L179" s="76" t="s">
        <v>1833</v>
      </c>
    </row>
    <row r="180" spans="2:12" x14ac:dyDescent="0.3">
      <c r="B180" s="76" t="s">
        <v>1834</v>
      </c>
      <c r="C180" s="76" t="s">
        <v>1835</v>
      </c>
      <c r="D180" s="76" t="s">
        <v>1836</v>
      </c>
      <c r="E180" s="76" t="s">
        <v>839</v>
      </c>
      <c r="F180" s="76" t="s">
        <v>839</v>
      </c>
      <c r="H180" s="76" t="s">
        <v>861</v>
      </c>
      <c r="I180" s="75" t="s">
        <v>860</v>
      </c>
      <c r="J180" s="76" t="s">
        <v>1837</v>
      </c>
      <c r="L180" s="76" t="s">
        <v>1838</v>
      </c>
    </row>
    <row r="181" spans="2:12" x14ac:dyDescent="0.3">
      <c r="B181" s="76" t="s">
        <v>1839</v>
      </c>
      <c r="C181" s="76" t="s">
        <v>1840</v>
      </c>
      <c r="D181" s="76" t="s">
        <v>1727</v>
      </c>
      <c r="E181" s="76" t="s">
        <v>854</v>
      </c>
      <c r="F181" s="76" t="s">
        <v>854</v>
      </c>
      <c r="H181" s="76" t="s">
        <v>1841</v>
      </c>
      <c r="I181" s="76" t="s">
        <v>1755</v>
      </c>
      <c r="J181" s="76" t="s">
        <v>1842</v>
      </c>
      <c r="L181" s="76" t="s">
        <v>1843</v>
      </c>
    </row>
    <row r="182" spans="2:12" x14ac:dyDescent="0.3">
      <c r="B182" s="76" t="s">
        <v>1422</v>
      </c>
      <c r="C182" s="76" t="s">
        <v>1844</v>
      </c>
      <c r="D182" s="76" t="s">
        <v>1716</v>
      </c>
      <c r="E182" s="76" t="s">
        <v>855</v>
      </c>
      <c r="F182" s="76" t="s">
        <v>855</v>
      </c>
      <c r="H182" s="76" t="s">
        <v>1762</v>
      </c>
      <c r="I182" s="76" t="s">
        <v>1762</v>
      </c>
      <c r="J182" s="76" t="s">
        <v>1845</v>
      </c>
      <c r="L182" s="76" t="s">
        <v>1846</v>
      </c>
    </row>
    <row r="183" spans="2:12" x14ac:dyDescent="0.3">
      <c r="B183" s="76" t="s">
        <v>847</v>
      </c>
      <c r="C183" s="76" t="s">
        <v>1847</v>
      </c>
      <c r="D183" s="76" t="s">
        <v>1736</v>
      </c>
      <c r="E183" s="76" t="s">
        <v>856</v>
      </c>
      <c r="F183" s="76" t="s">
        <v>856</v>
      </c>
      <c r="H183" s="76" t="s">
        <v>1848</v>
      </c>
      <c r="I183" s="76" t="s">
        <v>1848</v>
      </c>
      <c r="J183" s="76" t="s">
        <v>1849</v>
      </c>
      <c r="L183" s="76" t="s">
        <v>1850</v>
      </c>
    </row>
    <row r="184" spans="2:12" x14ac:dyDescent="0.3">
      <c r="B184" s="76" t="s">
        <v>1424</v>
      </c>
      <c r="C184" s="76" t="s">
        <v>1851</v>
      </c>
      <c r="D184" s="76" t="s">
        <v>1753</v>
      </c>
      <c r="E184" s="76" t="s">
        <v>857</v>
      </c>
      <c r="F184" s="76" t="s">
        <v>857</v>
      </c>
      <c r="J184" s="75" t="s">
        <v>859</v>
      </c>
      <c r="L184" s="76" t="s">
        <v>1852</v>
      </c>
    </row>
    <row r="185" spans="2:12" x14ac:dyDescent="0.3">
      <c r="B185" s="76" t="s">
        <v>1772</v>
      </c>
      <c r="C185" s="76" t="s">
        <v>1853</v>
      </c>
      <c r="D185" s="76" t="s">
        <v>1743</v>
      </c>
      <c r="E185" s="76" t="s">
        <v>858</v>
      </c>
      <c r="F185" s="76" t="s">
        <v>858</v>
      </c>
      <c r="J185" s="76" t="s">
        <v>1854</v>
      </c>
      <c r="L185" s="76" t="s">
        <v>1855</v>
      </c>
    </row>
    <row r="186" spans="2:12" x14ac:dyDescent="0.3">
      <c r="B186" s="76" t="s">
        <v>1426</v>
      </c>
      <c r="C186" s="76" t="s">
        <v>1856</v>
      </c>
      <c r="D186" s="76" t="s">
        <v>1824</v>
      </c>
      <c r="E186" s="76" t="s">
        <v>1857</v>
      </c>
      <c r="F186" s="76" t="s">
        <v>1857</v>
      </c>
      <c r="J186" s="75" t="s">
        <v>860</v>
      </c>
      <c r="L186" s="76" t="s">
        <v>1858</v>
      </c>
    </row>
    <row r="187" spans="2:12" x14ac:dyDescent="0.3">
      <c r="B187" s="76" t="s">
        <v>1785</v>
      </c>
      <c r="C187" s="76" t="s">
        <v>1859</v>
      </c>
      <c r="D187" s="76" t="s">
        <v>1828</v>
      </c>
      <c r="E187" s="76" t="s">
        <v>841</v>
      </c>
      <c r="F187" s="76" t="s">
        <v>841</v>
      </c>
      <c r="J187" s="76" t="s">
        <v>1755</v>
      </c>
      <c r="L187" s="76" t="s">
        <v>1860</v>
      </c>
    </row>
    <row r="188" spans="2:12" x14ac:dyDescent="0.3">
      <c r="B188" s="76" t="s">
        <v>1791</v>
      </c>
      <c r="C188" s="76" t="s">
        <v>1861</v>
      </c>
      <c r="D188" s="76" t="s">
        <v>1862</v>
      </c>
      <c r="E188" s="76" t="s">
        <v>1863</v>
      </c>
      <c r="F188" s="76" t="s">
        <v>1863</v>
      </c>
      <c r="L188" s="76" t="s">
        <v>1864</v>
      </c>
    </row>
    <row r="189" spans="2:12" x14ac:dyDescent="0.3">
      <c r="B189" s="76" t="s">
        <v>1865</v>
      </c>
      <c r="C189" s="76" t="s">
        <v>1866</v>
      </c>
      <c r="D189" s="76" t="s">
        <v>1867</v>
      </c>
      <c r="E189" s="76" t="s">
        <v>842</v>
      </c>
      <c r="F189" s="76" t="s">
        <v>842</v>
      </c>
      <c r="L189" s="75" t="s">
        <v>859</v>
      </c>
    </row>
    <row r="190" spans="2:12" x14ac:dyDescent="0.3">
      <c r="B190" s="76" t="s">
        <v>1868</v>
      </c>
      <c r="C190" s="76" t="s">
        <v>1869</v>
      </c>
      <c r="D190" s="76" t="s">
        <v>1870</v>
      </c>
      <c r="E190" s="76" t="s">
        <v>1489</v>
      </c>
      <c r="F190" s="76" t="s">
        <v>1489</v>
      </c>
      <c r="L190" s="76" t="s">
        <v>1871</v>
      </c>
    </row>
    <row r="191" spans="2:12" x14ac:dyDescent="0.3">
      <c r="B191" s="76" t="s">
        <v>840</v>
      </c>
      <c r="C191" s="76" t="s">
        <v>1872</v>
      </c>
      <c r="D191" s="76" t="s">
        <v>1838</v>
      </c>
      <c r="E191" s="76" t="s">
        <v>843</v>
      </c>
      <c r="F191" s="76" t="s">
        <v>843</v>
      </c>
      <c r="L191" s="76" t="s">
        <v>1873</v>
      </c>
    </row>
    <row r="192" spans="2:12" x14ac:dyDescent="0.3">
      <c r="B192" s="76" t="s">
        <v>841</v>
      </c>
      <c r="C192" s="76" t="s">
        <v>1874</v>
      </c>
      <c r="D192" s="76" t="s">
        <v>1875</v>
      </c>
      <c r="E192" s="76" t="s">
        <v>1876</v>
      </c>
      <c r="F192" s="76" t="s">
        <v>1876</v>
      </c>
      <c r="L192" s="76" t="s">
        <v>840</v>
      </c>
    </row>
    <row r="193" spans="2:12" x14ac:dyDescent="0.3">
      <c r="B193" s="76" t="s">
        <v>1877</v>
      </c>
      <c r="C193" s="76" t="s">
        <v>1878</v>
      </c>
      <c r="D193" s="76" t="s">
        <v>1879</v>
      </c>
      <c r="E193" s="76" t="s">
        <v>1880</v>
      </c>
      <c r="F193" s="76" t="s">
        <v>1880</v>
      </c>
      <c r="L193" s="76" t="s">
        <v>841</v>
      </c>
    </row>
    <row r="194" spans="2:12" x14ac:dyDescent="0.3">
      <c r="B194" s="76" t="s">
        <v>842</v>
      </c>
      <c r="C194" s="76" t="s">
        <v>1881</v>
      </c>
      <c r="D194" s="76" t="s">
        <v>1846</v>
      </c>
      <c r="E194" s="76" t="s">
        <v>1747</v>
      </c>
      <c r="F194" s="76" t="s">
        <v>1747</v>
      </c>
      <c r="L194" s="76" t="s">
        <v>1882</v>
      </c>
    </row>
    <row r="195" spans="2:12" x14ac:dyDescent="0.3">
      <c r="B195" s="76" t="s">
        <v>1883</v>
      </c>
      <c r="C195" s="76" t="s">
        <v>1884</v>
      </c>
      <c r="D195" s="76" t="s">
        <v>1885</v>
      </c>
      <c r="E195" s="76" t="s">
        <v>1886</v>
      </c>
      <c r="F195" s="76" t="s">
        <v>1886</v>
      </c>
      <c r="L195" s="76" t="s">
        <v>842</v>
      </c>
    </row>
    <row r="196" spans="2:12" x14ac:dyDescent="0.3">
      <c r="B196" s="76" t="s">
        <v>843</v>
      </c>
      <c r="C196" s="76" t="s">
        <v>1887</v>
      </c>
      <c r="D196" s="76" t="s">
        <v>1888</v>
      </c>
      <c r="E196" s="76" t="s">
        <v>1889</v>
      </c>
      <c r="F196" s="76" t="s">
        <v>1889</v>
      </c>
      <c r="L196" s="76" t="s">
        <v>1890</v>
      </c>
    </row>
    <row r="197" spans="2:12" x14ac:dyDescent="0.3">
      <c r="B197" s="76" t="s">
        <v>1891</v>
      </c>
      <c r="C197" s="76" t="s">
        <v>1892</v>
      </c>
      <c r="D197" s="76" t="s">
        <v>1893</v>
      </c>
      <c r="E197" s="76" t="s">
        <v>1894</v>
      </c>
      <c r="F197" s="76" t="s">
        <v>1894</v>
      </c>
      <c r="L197" s="76" t="s">
        <v>1895</v>
      </c>
    </row>
    <row r="198" spans="2:12" x14ac:dyDescent="0.3">
      <c r="B198" s="76" t="s">
        <v>1896</v>
      </c>
      <c r="C198" s="76" t="s">
        <v>1897</v>
      </c>
      <c r="D198" s="76" t="s">
        <v>1898</v>
      </c>
      <c r="E198" s="76" t="s">
        <v>1899</v>
      </c>
      <c r="F198" s="76" t="s">
        <v>1899</v>
      </c>
      <c r="L198" s="75" t="s">
        <v>860</v>
      </c>
    </row>
    <row r="199" spans="2:12" x14ac:dyDescent="0.3">
      <c r="B199" s="76" t="s">
        <v>1900</v>
      </c>
      <c r="C199" s="76" t="s">
        <v>1901</v>
      </c>
      <c r="D199" s="76" t="s">
        <v>1824</v>
      </c>
      <c r="E199" s="76" t="s">
        <v>1902</v>
      </c>
      <c r="F199" s="76" t="s">
        <v>1902</v>
      </c>
      <c r="L199" s="76" t="s">
        <v>1903</v>
      </c>
    </row>
    <row r="200" spans="2:12" x14ac:dyDescent="0.3">
      <c r="B200" s="76" t="s">
        <v>1705</v>
      </c>
      <c r="C200" s="76" t="s">
        <v>1904</v>
      </c>
      <c r="D200" s="76" t="s">
        <v>1828</v>
      </c>
      <c r="E200" s="76" t="s">
        <v>1905</v>
      </c>
      <c r="F200" s="76" t="s">
        <v>1905</v>
      </c>
      <c r="L200" s="76" t="s">
        <v>1906</v>
      </c>
    </row>
    <row r="201" spans="2:12" x14ac:dyDescent="0.3">
      <c r="B201" s="76" t="s">
        <v>1907</v>
      </c>
      <c r="C201" s="76" t="s">
        <v>1908</v>
      </c>
      <c r="D201" s="76" t="s">
        <v>1909</v>
      </c>
      <c r="E201" s="76" t="s">
        <v>1910</v>
      </c>
      <c r="F201" s="76" t="s">
        <v>1910</v>
      </c>
      <c r="L201" s="76" t="s">
        <v>1911</v>
      </c>
    </row>
    <row r="202" spans="2:12" x14ac:dyDescent="0.3">
      <c r="B202" s="76" t="s">
        <v>1912</v>
      </c>
      <c r="C202" s="76" t="s">
        <v>1913</v>
      </c>
      <c r="D202" s="76" t="s">
        <v>1914</v>
      </c>
      <c r="E202" s="76" t="s">
        <v>1915</v>
      </c>
      <c r="F202" s="76" t="s">
        <v>1916</v>
      </c>
      <c r="L202" s="75" t="s">
        <v>910</v>
      </c>
    </row>
    <row r="203" spans="2:12" x14ac:dyDescent="0.3">
      <c r="B203" s="76" t="s">
        <v>1917</v>
      </c>
      <c r="C203" s="76" t="s">
        <v>1918</v>
      </c>
      <c r="D203" s="76" t="s">
        <v>1919</v>
      </c>
      <c r="E203" s="75" t="s">
        <v>859</v>
      </c>
      <c r="F203" s="76" t="s">
        <v>1920</v>
      </c>
      <c r="L203" s="76" t="s">
        <v>1921</v>
      </c>
    </row>
    <row r="204" spans="2:12" x14ac:dyDescent="0.3">
      <c r="B204" s="76" t="s">
        <v>1922</v>
      </c>
      <c r="C204" s="76" t="s">
        <v>1923</v>
      </c>
      <c r="D204" s="76" t="s">
        <v>1838</v>
      </c>
      <c r="E204" s="76" t="s">
        <v>1924</v>
      </c>
      <c r="F204" s="75" t="s">
        <v>859</v>
      </c>
      <c r="L204" s="76" t="s">
        <v>1925</v>
      </c>
    </row>
    <row r="205" spans="2:12" x14ac:dyDescent="0.3">
      <c r="B205" s="76" t="s">
        <v>1926</v>
      </c>
      <c r="C205" s="76" t="s">
        <v>1927</v>
      </c>
      <c r="D205" s="76" t="s">
        <v>1928</v>
      </c>
      <c r="E205" s="75" t="s">
        <v>860</v>
      </c>
      <c r="F205" s="76" t="s">
        <v>1924</v>
      </c>
      <c r="L205" s="76" t="s">
        <v>1929</v>
      </c>
    </row>
    <row r="206" spans="2:12" x14ac:dyDescent="0.3">
      <c r="B206" s="76" t="s">
        <v>1930</v>
      </c>
      <c r="C206" s="76" t="s">
        <v>1931</v>
      </c>
      <c r="D206" s="76" t="s">
        <v>1932</v>
      </c>
      <c r="E206" s="76" t="s">
        <v>1755</v>
      </c>
      <c r="F206" s="75" t="s">
        <v>860</v>
      </c>
      <c r="L206" s="76" t="s">
        <v>1933</v>
      </c>
    </row>
    <row r="207" spans="2:12" x14ac:dyDescent="0.3">
      <c r="B207" s="76" t="s">
        <v>1934</v>
      </c>
      <c r="C207" s="76" t="s">
        <v>1935</v>
      </c>
      <c r="D207" s="76" t="s">
        <v>1936</v>
      </c>
      <c r="E207" s="76" t="s">
        <v>1762</v>
      </c>
      <c r="F207" s="76" t="s">
        <v>1755</v>
      </c>
      <c r="L207" s="76" t="s">
        <v>1937</v>
      </c>
    </row>
    <row r="208" spans="2:12" x14ac:dyDescent="0.3">
      <c r="B208" s="76" t="s">
        <v>1938</v>
      </c>
      <c r="C208" s="76" t="s">
        <v>1939</v>
      </c>
      <c r="D208" s="76" t="s">
        <v>1940</v>
      </c>
      <c r="E208" s="76" t="s">
        <v>1848</v>
      </c>
      <c r="F208" s="76" t="s">
        <v>1762</v>
      </c>
    </row>
    <row r="209" spans="2:6" x14ac:dyDescent="0.3">
      <c r="B209" s="76" t="s">
        <v>840</v>
      </c>
      <c r="C209" s="76" t="s">
        <v>1897</v>
      </c>
      <c r="D209" s="76" t="s">
        <v>1784</v>
      </c>
      <c r="E209" s="76" t="s">
        <v>1941</v>
      </c>
      <c r="F209" s="76" t="s">
        <v>1848</v>
      </c>
    </row>
    <row r="210" spans="2:6" x14ac:dyDescent="0.3">
      <c r="B210" s="76" t="s">
        <v>1422</v>
      </c>
      <c r="C210" s="76" t="s">
        <v>1901</v>
      </c>
      <c r="D210" s="75" t="s">
        <v>837</v>
      </c>
      <c r="E210" s="76" t="s">
        <v>1783</v>
      </c>
      <c r="F210" s="76" t="s">
        <v>1942</v>
      </c>
    </row>
    <row r="211" spans="2:6" x14ac:dyDescent="0.3">
      <c r="B211" s="76" t="s">
        <v>1943</v>
      </c>
      <c r="C211" s="76" t="s">
        <v>1904</v>
      </c>
      <c r="D211" s="76" t="s">
        <v>947</v>
      </c>
      <c r="F211" s="76" t="s">
        <v>1783</v>
      </c>
    </row>
    <row r="212" spans="2:6" x14ac:dyDescent="0.3">
      <c r="B212" s="76" t="s">
        <v>1424</v>
      </c>
      <c r="C212" s="76" t="s">
        <v>1944</v>
      </c>
      <c r="D212" s="76" t="s">
        <v>1699</v>
      </c>
      <c r="F212" s="75" t="s">
        <v>910</v>
      </c>
    </row>
    <row r="213" spans="2:6" x14ac:dyDescent="0.3">
      <c r="B213" s="76" t="s">
        <v>1945</v>
      </c>
      <c r="C213" s="76" t="s">
        <v>1913</v>
      </c>
      <c r="D213" s="76" t="s">
        <v>1420</v>
      </c>
      <c r="F213" s="76" t="s">
        <v>1946</v>
      </c>
    </row>
    <row r="214" spans="2:6" x14ac:dyDescent="0.3">
      <c r="B214" s="76" t="s">
        <v>1426</v>
      </c>
      <c r="C214" s="76" t="s">
        <v>1918</v>
      </c>
      <c r="D214" s="76" t="s">
        <v>1947</v>
      </c>
    </row>
    <row r="215" spans="2:6" x14ac:dyDescent="0.3">
      <c r="B215" s="76" t="s">
        <v>1948</v>
      </c>
      <c r="C215" s="76" t="s">
        <v>1923</v>
      </c>
      <c r="D215" s="76" t="s">
        <v>1949</v>
      </c>
    </row>
    <row r="216" spans="2:6" x14ac:dyDescent="0.3">
      <c r="B216" s="76" t="s">
        <v>1950</v>
      </c>
      <c r="C216" s="76" t="s">
        <v>1927</v>
      </c>
      <c r="D216" s="76" t="s">
        <v>1951</v>
      </c>
    </row>
    <row r="217" spans="2:6" x14ac:dyDescent="0.3">
      <c r="B217" s="76" t="s">
        <v>1952</v>
      </c>
      <c r="C217" s="76" t="s">
        <v>1931</v>
      </c>
      <c r="D217" s="76" t="s">
        <v>1953</v>
      </c>
    </row>
    <row r="218" spans="2:6" x14ac:dyDescent="0.3">
      <c r="B218" s="76" t="s">
        <v>1954</v>
      </c>
      <c r="C218" s="76" t="s">
        <v>1935</v>
      </c>
      <c r="D218" s="76" t="s">
        <v>1955</v>
      </c>
    </row>
    <row r="219" spans="2:6" x14ac:dyDescent="0.3">
      <c r="B219" s="76" t="s">
        <v>1956</v>
      </c>
      <c r="C219" s="76" t="s">
        <v>1957</v>
      </c>
      <c r="D219" s="76" t="s">
        <v>1958</v>
      </c>
    </row>
    <row r="220" spans="2:6" x14ac:dyDescent="0.3">
      <c r="B220" s="76" t="s">
        <v>840</v>
      </c>
      <c r="C220" s="76" t="s">
        <v>1959</v>
      </c>
      <c r="D220" s="76" t="s">
        <v>1960</v>
      </c>
    </row>
    <row r="221" spans="2:6" x14ac:dyDescent="0.3">
      <c r="B221" s="76" t="s">
        <v>1422</v>
      </c>
      <c r="C221" s="76" t="s">
        <v>1961</v>
      </c>
      <c r="D221" s="76" t="s">
        <v>1962</v>
      </c>
    </row>
    <row r="222" spans="2:6" x14ac:dyDescent="0.3">
      <c r="B222" s="76" t="s">
        <v>1943</v>
      </c>
      <c r="C222" s="76" t="s">
        <v>1963</v>
      </c>
      <c r="D222" s="76" t="s">
        <v>1964</v>
      </c>
    </row>
    <row r="223" spans="2:6" x14ac:dyDescent="0.3">
      <c r="B223" s="76" t="s">
        <v>1424</v>
      </c>
      <c r="C223" s="76" t="s">
        <v>1965</v>
      </c>
      <c r="D223" s="76" t="s">
        <v>1966</v>
      </c>
    </row>
    <row r="224" spans="2:6" x14ac:dyDescent="0.3">
      <c r="B224" s="76" t="s">
        <v>1945</v>
      </c>
      <c r="C224" s="76" t="s">
        <v>1821</v>
      </c>
      <c r="D224" s="76" t="s">
        <v>1967</v>
      </c>
    </row>
    <row r="225" spans="2:4" x14ac:dyDescent="0.3">
      <c r="B225" s="76" t="s">
        <v>1426</v>
      </c>
      <c r="C225" s="76" t="s">
        <v>1968</v>
      </c>
      <c r="D225" s="76" t="s">
        <v>1969</v>
      </c>
    </row>
    <row r="226" spans="2:4" x14ac:dyDescent="0.3">
      <c r="B226" s="76" t="s">
        <v>1970</v>
      </c>
      <c r="C226" s="76" t="s">
        <v>1830</v>
      </c>
      <c r="D226" s="76" t="s">
        <v>1971</v>
      </c>
    </row>
    <row r="227" spans="2:4" x14ac:dyDescent="0.3">
      <c r="B227" s="76" t="s">
        <v>1950</v>
      </c>
      <c r="C227" s="76" t="s">
        <v>1835</v>
      </c>
      <c r="D227" s="76" t="s">
        <v>1972</v>
      </c>
    </row>
    <row r="228" spans="2:4" x14ac:dyDescent="0.3">
      <c r="B228" s="76" t="s">
        <v>1952</v>
      </c>
      <c r="C228" s="76" t="s">
        <v>1840</v>
      </c>
      <c r="D228" s="76" t="s">
        <v>1973</v>
      </c>
    </row>
    <row r="229" spans="2:4" x14ac:dyDescent="0.3">
      <c r="B229" s="76" t="s">
        <v>1974</v>
      </c>
      <c r="C229" s="76" t="s">
        <v>1975</v>
      </c>
      <c r="D229" s="76" t="s">
        <v>1976</v>
      </c>
    </row>
    <row r="230" spans="2:4" x14ac:dyDescent="0.3">
      <c r="B230" s="76" t="s">
        <v>1977</v>
      </c>
      <c r="C230" s="76" t="s">
        <v>1978</v>
      </c>
      <c r="D230" s="76" t="s">
        <v>1979</v>
      </c>
    </row>
    <row r="231" spans="2:4" x14ac:dyDescent="0.3">
      <c r="B231" s="76" t="s">
        <v>1980</v>
      </c>
      <c r="C231" s="76" t="s">
        <v>1981</v>
      </c>
      <c r="D231" s="76" t="s">
        <v>1982</v>
      </c>
    </row>
    <row r="232" spans="2:4" x14ac:dyDescent="0.3">
      <c r="B232" s="76" t="s">
        <v>1983</v>
      </c>
      <c r="C232" s="76" t="s">
        <v>1984</v>
      </c>
      <c r="D232" s="76" t="s">
        <v>1985</v>
      </c>
    </row>
    <row r="233" spans="2:4" x14ac:dyDescent="0.3">
      <c r="B233" s="76" t="s">
        <v>1986</v>
      </c>
      <c r="C233" s="76" t="s">
        <v>1987</v>
      </c>
      <c r="D233" s="76" t="s">
        <v>1988</v>
      </c>
    </row>
    <row r="234" spans="2:4" x14ac:dyDescent="0.3">
      <c r="B234" s="76" t="s">
        <v>1989</v>
      </c>
      <c r="C234" s="76" t="s">
        <v>1990</v>
      </c>
      <c r="D234" s="76" t="s">
        <v>1991</v>
      </c>
    </row>
    <row r="235" spans="2:4" x14ac:dyDescent="0.3">
      <c r="B235" s="76" t="s">
        <v>1992</v>
      </c>
      <c r="C235" s="76" t="s">
        <v>1993</v>
      </c>
      <c r="D235" s="76" t="s">
        <v>1994</v>
      </c>
    </row>
    <row r="236" spans="2:4" x14ac:dyDescent="0.3">
      <c r="B236" s="76" t="s">
        <v>1995</v>
      </c>
      <c r="C236" s="76" t="s">
        <v>1996</v>
      </c>
      <c r="D236" s="76" t="s">
        <v>1997</v>
      </c>
    </row>
    <row r="237" spans="2:4" x14ac:dyDescent="0.3">
      <c r="B237" s="76" t="s">
        <v>840</v>
      </c>
      <c r="C237" s="76" t="s">
        <v>1998</v>
      </c>
      <c r="D237" s="76" t="s">
        <v>1999</v>
      </c>
    </row>
    <row r="238" spans="2:4" x14ac:dyDescent="0.3">
      <c r="B238" s="76" t="s">
        <v>1760</v>
      </c>
      <c r="C238" s="76" t="s">
        <v>2000</v>
      </c>
      <c r="D238" s="76" t="s">
        <v>2001</v>
      </c>
    </row>
    <row r="239" spans="2:4" x14ac:dyDescent="0.3">
      <c r="B239" s="76" t="s">
        <v>2002</v>
      </c>
      <c r="C239" s="76" t="s">
        <v>2003</v>
      </c>
      <c r="D239" s="76" t="s">
        <v>2004</v>
      </c>
    </row>
    <row r="240" spans="2:4" x14ac:dyDescent="0.3">
      <c r="B240" s="76" t="s">
        <v>2005</v>
      </c>
      <c r="C240" s="76" t="s">
        <v>2006</v>
      </c>
      <c r="D240" s="76" t="s">
        <v>2007</v>
      </c>
    </row>
    <row r="241" spans="2:4" x14ac:dyDescent="0.3">
      <c r="B241" s="76" t="s">
        <v>2008</v>
      </c>
      <c r="C241" s="76" t="s">
        <v>2009</v>
      </c>
      <c r="D241" s="76" t="s">
        <v>2010</v>
      </c>
    </row>
    <row r="242" spans="2:4" x14ac:dyDescent="0.3">
      <c r="B242" s="76" t="s">
        <v>2011</v>
      </c>
      <c r="C242" s="76" t="s">
        <v>2012</v>
      </c>
      <c r="D242" s="76" t="s">
        <v>2013</v>
      </c>
    </row>
    <row r="243" spans="2:4" x14ac:dyDescent="0.3">
      <c r="B243" s="76" t="s">
        <v>2014</v>
      </c>
      <c r="C243" s="76" t="s">
        <v>2015</v>
      </c>
      <c r="D243" s="76" t="s">
        <v>2016</v>
      </c>
    </row>
    <row r="244" spans="2:4" x14ac:dyDescent="0.3">
      <c r="B244" s="76" t="s">
        <v>2017</v>
      </c>
      <c r="C244" s="76" t="s">
        <v>2018</v>
      </c>
      <c r="D244" s="76" t="s">
        <v>2019</v>
      </c>
    </row>
    <row r="245" spans="2:4" x14ac:dyDescent="0.3">
      <c r="B245" s="76" t="s">
        <v>2020</v>
      </c>
      <c r="C245" s="76" t="s">
        <v>2021</v>
      </c>
      <c r="D245" s="76" t="s">
        <v>2022</v>
      </c>
    </row>
    <row r="246" spans="2:4" x14ac:dyDescent="0.3">
      <c r="B246" s="76" t="s">
        <v>2023</v>
      </c>
      <c r="C246" s="76" t="s">
        <v>2024</v>
      </c>
      <c r="D246" s="76" t="s">
        <v>2025</v>
      </c>
    </row>
    <row r="247" spans="2:4" x14ac:dyDescent="0.3">
      <c r="B247" s="76" t="s">
        <v>2026</v>
      </c>
      <c r="C247" s="76" t="s">
        <v>2027</v>
      </c>
      <c r="D247" s="76" t="s">
        <v>2028</v>
      </c>
    </row>
    <row r="248" spans="2:4" x14ac:dyDescent="0.3">
      <c r="B248" s="76" t="s">
        <v>2029</v>
      </c>
      <c r="C248" s="76" t="s">
        <v>2030</v>
      </c>
      <c r="D248" s="75" t="s">
        <v>859</v>
      </c>
    </row>
    <row r="249" spans="2:4" x14ac:dyDescent="0.3">
      <c r="B249" s="76" t="s">
        <v>2031</v>
      </c>
      <c r="C249" s="76" t="s">
        <v>2032</v>
      </c>
      <c r="D249" s="76" t="s">
        <v>840</v>
      </c>
    </row>
    <row r="250" spans="2:4" x14ac:dyDescent="0.3">
      <c r="B250" s="76" t="s">
        <v>2027</v>
      </c>
      <c r="C250" s="76" t="s">
        <v>2033</v>
      </c>
      <c r="D250" s="76" t="s">
        <v>841</v>
      </c>
    </row>
    <row r="251" spans="2:4" x14ac:dyDescent="0.3">
      <c r="B251" s="76" t="s">
        <v>2034</v>
      </c>
      <c r="C251" s="76" t="s">
        <v>2035</v>
      </c>
      <c r="D251" s="76" t="s">
        <v>2036</v>
      </c>
    </row>
    <row r="252" spans="2:4" x14ac:dyDescent="0.3">
      <c r="B252" s="76" t="s">
        <v>2037</v>
      </c>
      <c r="C252" s="76" t="s">
        <v>2038</v>
      </c>
      <c r="D252" s="76" t="s">
        <v>2039</v>
      </c>
    </row>
    <row r="253" spans="2:4" x14ac:dyDescent="0.3">
      <c r="B253" s="76" t="s">
        <v>2040</v>
      </c>
      <c r="C253" s="76" t="s">
        <v>2041</v>
      </c>
      <c r="D253" s="76" t="s">
        <v>2042</v>
      </c>
    </row>
    <row r="254" spans="2:4" x14ac:dyDescent="0.3">
      <c r="B254" s="76" t="s">
        <v>2043</v>
      </c>
      <c r="C254" s="76" t="s">
        <v>2044</v>
      </c>
      <c r="D254" s="76" t="s">
        <v>2045</v>
      </c>
    </row>
    <row r="255" spans="2:4" x14ac:dyDescent="0.3">
      <c r="B255" s="76" t="s">
        <v>2046</v>
      </c>
      <c r="C255" s="76" t="s">
        <v>2047</v>
      </c>
      <c r="D255" s="76" t="s">
        <v>2048</v>
      </c>
    </row>
    <row r="256" spans="2:4" x14ac:dyDescent="0.3">
      <c r="B256" s="76" t="s">
        <v>2049</v>
      </c>
      <c r="C256" s="76" t="s">
        <v>2050</v>
      </c>
      <c r="D256" s="76" t="s">
        <v>2051</v>
      </c>
    </row>
    <row r="257" spans="2:4" x14ac:dyDescent="0.3">
      <c r="B257" s="76" t="s">
        <v>2052</v>
      </c>
      <c r="C257" s="76" t="s">
        <v>2053</v>
      </c>
      <c r="D257" s="76" t="s">
        <v>2054</v>
      </c>
    </row>
    <row r="258" spans="2:4" x14ac:dyDescent="0.3">
      <c r="B258" s="76" t="s">
        <v>2055</v>
      </c>
      <c r="C258" s="76" t="s">
        <v>2056</v>
      </c>
      <c r="D258" s="76" t="s">
        <v>2057</v>
      </c>
    </row>
    <row r="259" spans="2:4" x14ac:dyDescent="0.3">
      <c r="B259" s="76" t="s">
        <v>2058</v>
      </c>
      <c r="C259" s="76" t="s">
        <v>2059</v>
      </c>
      <c r="D259" s="76" t="s">
        <v>2060</v>
      </c>
    </row>
    <row r="260" spans="2:4" x14ac:dyDescent="0.3">
      <c r="B260" s="76" t="s">
        <v>2061</v>
      </c>
      <c r="C260" s="76" t="s">
        <v>2062</v>
      </c>
      <c r="D260" s="76" t="s">
        <v>2063</v>
      </c>
    </row>
    <row r="261" spans="2:4" x14ac:dyDescent="0.3">
      <c r="B261" s="76" t="s">
        <v>2064</v>
      </c>
      <c r="C261" s="76" t="s">
        <v>2065</v>
      </c>
      <c r="D261" s="76" t="s">
        <v>2066</v>
      </c>
    </row>
    <row r="262" spans="2:4" x14ac:dyDescent="0.3">
      <c r="B262" s="76" t="s">
        <v>2067</v>
      </c>
      <c r="C262" s="76" t="s">
        <v>2068</v>
      </c>
      <c r="D262" s="76" t="s">
        <v>2069</v>
      </c>
    </row>
    <row r="263" spans="2:4" x14ac:dyDescent="0.3">
      <c r="B263" s="76" t="s">
        <v>2070</v>
      </c>
      <c r="C263" s="76" t="s">
        <v>2071</v>
      </c>
      <c r="D263" s="76" t="s">
        <v>2072</v>
      </c>
    </row>
    <row r="264" spans="2:4" x14ac:dyDescent="0.3">
      <c r="B264" s="76" t="s">
        <v>2073</v>
      </c>
      <c r="C264" s="76" t="s">
        <v>2074</v>
      </c>
      <c r="D264" s="76" t="s">
        <v>2075</v>
      </c>
    </row>
    <row r="265" spans="2:4" x14ac:dyDescent="0.3">
      <c r="B265" s="76" t="s">
        <v>2076</v>
      </c>
      <c r="C265" s="76" t="s">
        <v>2077</v>
      </c>
      <c r="D265" s="76" t="s">
        <v>842</v>
      </c>
    </row>
    <row r="266" spans="2:4" x14ac:dyDescent="0.3">
      <c r="B266" s="76" t="s">
        <v>2078</v>
      </c>
      <c r="C266" s="76" t="s">
        <v>2079</v>
      </c>
      <c r="D266" s="76" t="s">
        <v>2080</v>
      </c>
    </row>
    <row r="267" spans="2:4" x14ac:dyDescent="0.3">
      <c r="B267" s="76" t="s">
        <v>2081</v>
      </c>
      <c r="C267" s="76" t="s">
        <v>2082</v>
      </c>
      <c r="D267" s="76" t="s">
        <v>2083</v>
      </c>
    </row>
    <row r="268" spans="2:4" x14ac:dyDescent="0.3">
      <c r="B268" s="76" t="s">
        <v>2084</v>
      </c>
      <c r="C268" s="76" t="s">
        <v>2085</v>
      </c>
      <c r="D268" s="76" t="s">
        <v>2086</v>
      </c>
    </row>
    <row r="269" spans="2:4" x14ac:dyDescent="0.3">
      <c r="B269" s="76" t="s">
        <v>2087</v>
      </c>
      <c r="C269" s="76" t="s">
        <v>2088</v>
      </c>
      <c r="D269" s="76" t="s">
        <v>2089</v>
      </c>
    </row>
    <row r="270" spans="2:4" x14ac:dyDescent="0.3">
      <c r="B270" s="76" t="s">
        <v>2090</v>
      </c>
      <c r="C270" s="76" t="s">
        <v>2091</v>
      </c>
      <c r="D270" s="76" t="s">
        <v>2092</v>
      </c>
    </row>
    <row r="271" spans="2:4" x14ac:dyDescent="0.3">
      <c r="B271" s="76" t="s">
        <v>2093</v>
      </c>
      <c r="C271" s="76" t="s">
        <v>2094</v>
      </c>
      <c r="D271" s="76" t="s">
        <v>2095</v>
      </c>
    </row>
    <row r="272" spans="2:4" x14ac:dyDescent="0.3">
      <c r="B272" s="76" t="s">
        <v>840</v>
      </c>
      <c r="C272" s="76" t="s">
        <v>2096</v>
      </c>
      <c r="D272" s="75" t="s">
        <v>1765</v>
      </c>
    </row>
    <row r="273" spans="2:4" x14ac:dyDescent="0.3">
      <c r="B273" s="76" t="s">
        <v>841</v>
      </c>
      <c r="C273" s="76" t="s">
        <v>2097</v>
      </c>
      <c r="D273" s="76" t="s">
        <v>2098</v>
      </c>
    </row>
    <row r="274" spans="2:4" x14ac:dyDescent="0.3">
      <c r="B274" s="76" t="s">
        <v>2099</v>
      </c>
      <c r="C274" s="76" t="s">
        <v>2100</v>
      </c>
      <c r="D274" s="76" t="s">
        <v>2101</v>
      </c>
    </row>
    <row r="275" spans="2:4" x14ac:dyDescent="0.3">
      <c r="B275" s="76" t="s">
        <v>2102</v>
      </c>
      <c r="C275" s="76" t="s">
        <v>2103</v>
      </c>
      <c r="D275" s="76" t="s">
        <v>2104</v>
      </c>
    </row>
    <row r="276" spans="2:4" x14ac:dyDescent="0.3">
      <c r="B276" s="76" t="s">
        <v>2021</v>
      </c>
      <c r="C276" s="76" t="s">
        <v>2105</v>
      </c>
      <c r="D276" s="76" t="s">
        <v>2101</v>
      </c>
    </row>
    <row r="277" spans="2:4" x14ac:dyDescent="0.3">
      <c r="B277" s="76" t="s">
        <v>2024</v>
      </c>
      <c r="C277" s="76" t="s">
        <v>2106</v>
      </c>
      <c r="D277" s="76" t="s">
        <v>2107</v>
      </c>
    </row>
    <row r="278" spans="2:4" x14ac:dyDescent="0.3">
      <c r="B278" s="76" t="s">
        <v>842</v>
      </c>
      <c r="C278" s="76" t="s">
        <v>2108</v>
      </c>
      <c r="D278" s="76" t="s">
        <v>2109</v>
      </c>
    </row>
    <row r="279" spans="2:4" x14ac:dyDescent="0.3">
      <c r="B279" s="76" t="s">
        <v>2110</v>
      </c>
      <c r="C279" s="76" t="s">
        <v>2111</v>
      </c>
      <c r="D279" s="75" t="s">
        <v>910</v>
      </c>
    </row>
    <row r="280" spans="2:4" x14ac:dyDescent="0.3">
      <c r="B280" s="76" t="s">
        <v>843</v>
      </c>
      <c r="C280" s="76" t="s">
        <v>2112</v>
      </c>
      <c r="D280" s="76" t="s">
        <v>2113</v>
      </c>
    </row>
    <row r="281" spans="2:4" x14ac:dyDescent="0.3">
      <c r="B281" s="76" t="s">
        <v>2114</v>
      </c>
      <c r="C281" s="76" t="s">
        <v>2115</v>
      </c>
    </row>
    <row r="282" spans="2:4" x14ac:dyDescent="0.3">
      <c r="B282" s="76" t="s">
        <v>2116</v>
      </c>
      <c r="C282" s="76" t="s">
        <v>2117</v>
      </c>
    </row>
    <row r="283" spans="2:4" x14ac:dyDescent="0.3">
      <c r="B283" s="76" t="s">
        <v>2118</v>
      </c>
      <c r="C283" s="76" t="s">
        <v>2119</v>
      </c>
    </row>
    <row r="284" spans="2:4" x14ac:dyDescent="0.3">
      <c r="B284" s="76" t="s">
        <v>2120</v>
      </c>
      <c r="C284" s="76" t="s">
        <v>2121</v>
      </c>
    </row>
    <row r="285" spans="2:4" x14ac:dyDescent="0.3">
      <c r="B285" s="76" t="s">
        <v>2122</v>
      </c>
      <c r="C285" s="76" t="s">
        <v>2123</v>
      </c>
    </row>
    <row r="286" spans="2:4" x14ac:dyDescent="0.3">
      <c r="B286" s="76" t="s">
        <v>2124</v>
      </c>
      <c r="C286" s="76" t="s">
        <v>2125</v>
      </c>
    </row>
    <row r="287" spans="2:4" x14ac:dyDescent="0.3">
      <c r="B287" s="76" t="s">
        <v>2126</v>
      </c>
      <c r="C287" s="76" t="s">
        <v>2127</v>
      </c>
    </row>
    <row r="288" spans="2:4" x14ac:dyDescent="0.3">
      <c r="B288" s="76" t="s">
        <v>2128</v>
      </c>
      <c r="C288" s="76" t="s">
        <v>2129</v>
      </c>
    </row>
    <row r="289" spans="2:3" x14ac:dyDescent="0.3">
      <c r="B289" s="76" t="s">
        <v>2130</v>
      </c>
      <c r="C289" s="76" t="s">
        <v>2131</v>
      </c>
    </row>
    <row r="290" spans="2:3" x14ac:dyDescent="0.3">
      <c r="B290" s="76" t="s">
        <v>2132</v>
      </c>
      <c r="C290" s="76" t="s">
        <v>2133</v>
      </c>
    </row>
    <row r="291" spans="2:3" x14ac:dyDescent="0.3">
      <c r="B291" s="76" t="s">
        <v>2134</v>
      </c>
      <c r="C291" s="76" t="s">
        <v>2135</v>
      </c>
    </row>
    <row r="292" spans="2:3" x14ac:dyDescent="0.3">
      <c r="B292" s="75" t="s">
        <v>859</v>
      </c>
      <c r="C292" s="76" t="s">
        <v>2136</v>
      </c>
    </row>
    <row r="293" spans="2:3" x14ac:dyDescent="0.3">
      <c r="B293" s="76" t="s">
        <v>2137</v>
      </c>
      <c r="C293" s="76" t="s">
        <v>2138</v>
      </c>
    </row>
    <row r="294" spans="2:3" x14ac:dyDescent="0.3">
      <c r="B294" s="76" t="s">
        <v>2139</v>
      </c>
      <c r="C294" s="76" t="s">
        <v>2140</v>
      </c>
    </row>
    <row r="295" spans="2:3" x14ac:dyDescent="0.3">
      <c r="B295" s="75" t="s">
        <v>860</v>
      </c>
      <c r="C295" s="76" t="s">
        <v>2141</v>
      </c>
    </row>
    <row r="296" spans="2:3" x14ac:dyDescent="0.3">
      <c r="B296" s="76" t="s">
        <v>2142</v>
      </c>
      <c r="C296" s="76" t="s">
        <v>2143</v>
      </c>
    </row>
    <row r="297" spans="2:3" x14ac:dyDescent="0.3">
      <c r="B297" s="76" t="s">
        <v>2144</v>
      </c>
      <c r="C297" s="76" t="s">
        <v>2145</v>
      </c>
    </row>
    <row r="298" spans="2:3" x14ac:dyDescent="0.3">
      <c r="B298" s="76" t="s">
        <v>2146</v>
      </c>
      <c r="C298" s="75" t="s">
        <v>2147</v>
      </c>
    </row>
    <row r="299" spans="2:3" x14ac:dyDescent="0.3">
      <c r="B299" s="76" t="s">
        <v>2148</v>
      </c>
      <c r="C299" s="76" t="s">
        <v>2149</v>
      </c>
    </row>
    <row r="300" spans="2:3" x14ac:dyDescent="0.3">
      <c r="B300" s="76" t="s">
        <v>2150</v>
      </c>
      <c r="C300" s="76" t="s">
        <v>1828</v>
      </c>
    </row>
    <row r="301" spans="2:3" x14ac:dyDescent="0.3">
      <c r="C301" s="76" t="s">
        <v>2151</v>
      </c>
    </row>
    <row r="302" spans="2:3" x14ac:dyDescent="0.3">
      <c r="C302" s="76" t="s">
        <v>2152</v>
      </c>
    </row>
    <row r="303" spans="2:3" x14ac:dyDescent="0.3">
      <c r="C303" s="76" t="s">
        <v>2153</v>
      </c>
    </row>
    <row r="304" spans="2:3" x14ac:dyDescent="0.3">
      <c r="C304" s="76" t="s">
        <v>2154</v>
      </c>
    </row>
    <row r="305" spans="3:3" x14ac:dyDescent="0.3">
      <c r="C305" s="76" t="s">
        <v>2155</v>
      </c>
    </row>
    <row r="306" spans="3:3" x14ac:dyDescent="0.3">
      <c r="C306" s="76" t="s">
        <v>1838</v>
      </c>
    </row>
    <row r="307" spans="3:3" x14ac:dyDescent="0.3">
      <c r="C307" s="76" t="s">
        <v>2156</v>
      </c>
    </row>
    <row r="308" spans="3:3" x14ac:dyDescent="0.3">
      <c r="C308" s="76" t="s">
        <v>1773</v>
      </c>
    </row>
    <row r="309" spans="3:3" x14ac:dyDescent="0.3">
      <c r="C309" s="76" t="s">
        <v>1779</v>
      </c>
    </row>
    <row r="310" spans="3:3" x14ac:dyDescent="0.3">
      <c r="C310" s="76" t="s">
        <v>2157</v>
      </c>
    </row>
    <row r="311" spans="3:3" x14ac:dyDescent="0.3">
      <c r="C311" s="76" t="s">
        <v>1792</v>
      </c>
    </row>
    <row r="312" spans="3:3" x14ac:dyDescent="0.3">
      <c r="C312" s="76" t="s">
        <v>2158</v>
      </c>
    </row>
    <row r="313" spans="3:3" x14ac:dyDescent="0.3">
      <c r="C313" s="76" t="s">
        <v>2159</v>
      </c>
    </row>
    <row r="314" spans="3:3" x14ac:dyDescent="0.3">
      <c r="C314" s="76" t="s">
        <v>1801</v>
      </c>
    </row>
    <row r="315" spans="3:3" x14ac:dyDescent="0.3">
      <c r="C315" s="76" t="s">
        <v>2160</v>
      </c>
    </row>
    <row r="316" spans="3:3" x14ac:dyDescent="0.3">
      <c r="C316" s="76" t="s">
        <v>2161</v>
      </c>
    </row>
    <row r="317" spans="3:3" x14ac:dyDescent="0.3">
      <c r="C317" s="76" t="s">
        <v>2162</v>
      </c>
    </row>
    <row r="318" spans="3:3" x14ac:dyDescent="0.3">
      <c r="C318" s="76" t="s">
        <v>1846</v>
      </c>
    </row>
    <row r="319" spans="3:3" x14ac:dyDescent="0.3">
      <c r="C319" s="76" t="s">
        <v>2163</v>
      </c>
    </row>
    <row r="320" spans="3:3" x14ac:dyDescent="0.3">
      <c r="C320" s="76" t="s">
        <v>2164</v>
      </c>
    </row>
    <row r="321" spans="3:3" x14ac:dyDescent="0.3">
      <c r="C321" s="76" t="s">
        <v>841</v>
      </c>
    </row>
    <row r="322" spans="3:3" x14ac:dyDescent="0.3">
      <c r="C322" s="76" t="s">
        <v>2165</v>
      </c>
    </row>
    <row r="323" spans="3:3" x14ac:dyDescent="0.3">
      <c r="C323" s="76" t="s">
        <v>2166</v>
      </c>
    </row>
    <row r="324" spans="3:3" x14ac:dyDescent="0.3">
      <c r="C324" s="76" t="s">
        <v>2167</v>
      </c>
    </row>
    <row r="325" spans="3:3" x14ac:dyDescent="0.3">
      <c r="C325" s="76" t="s">
        <v>2042</v>
      </c>
    </row>
    <row r="326" spans="3:3" x14ac:dyDescent="0.3">
      <c r="C326" s="76" t="s">
        <v>2036</v>
      </c>
    </row>
    <row r="327" spans="3:3" x14ac:dyDescent="0.3">
      <c r="C327" s="76" t="s">
        <v>2168</v>
      </c>
    </row>
    <row r="328" spans="3:3" x14ac:dyDescent="0.3">
      <c r="C328" s="76" t="s">
        <v>2169</v>
      </c>
    </row>
    <row r="329" spans="3:3" x14ac:dyDescent="0.3">
      <c r="C329" s="76" t="s">
        <v>2170</v>
      </c>
    </row>
    <row r="330" spans="3:3" x14ac:dyDescent="0.3">
      <c r="C330" s="76" t="s">
        <v>2171</v>
      </c>
    </row>
    <row r="331" spans="3:3" x14ac:dyDescent="0.3">
      <c r="C331" s="76" t="s">
        <v>2172</v>
      </c>
    </row>
    <row r="332" spans="3:3" x14ac:dyDescent="0.3">
      <c r="C332" s="76" t="s">
        <v>2173</v>
      </c>
    </row>
    <row r="333" spans="3:3" x14ac:dyDescent="0.3">
      <c r="C333" s="76" t="s">
        <v>2174</v>
      </c>
    </row>
    <row r="334" spans="3:3" x14ac:dyDescent="0.3">
      <c r="C334" s="76" t="s">
        <v>2018</v>
      </c>
    </row>
    <row r="335" spans="3:3" x14ac:dyDescent="0.3">
      <c r="C335" s="76" t="s">
        <v>2175</v>
      </c>
    </row>
    <row r="336" spans="3:3" x14ac:dyDescent="0.3">
      <c r="C336" s="76" t="s">
        <v>2176</v>
      </c>
    </row>
    <row r="337" spans="3:3" x14ac:dyDescent="0.3">
      <c r="C337" s="76" t="s">
        <v>2177</v>
      </c>
    </row>
    <row r="338" spans="3:3" x14ac:dyDescent="0.3">
      <c r="C338" s="76" t="s">
        <v>2066</v>
      </c>
    </row>
    <row r="339" spans="3:3" x14ac:dyDescent="0.3">
      <c r="C339" s="76" t="s">
        <v>2178</v>
      </c>
    </row>
    <row r="340" spans="3:3" x14ac:dyDescent="0.3">
      <c r="C340" s="76" t="s">
        <v>2179</v>
      </c>
    </row>
    <row r="341" spans="3:3" x14ac:dyDescent="0.3">
      <c r="C341" s="76" t="s">
        <v>2075</v>
      </c>
    </row>
    <row r="342" spans="3:3" x14ac:dyDescent="0.3">
      <c r="C342" s="76" t="s">
        <v>842</v>
      </c>
    </row>
    <row r="343" spans="3:3" x14ac:dyDescent="0.3">
      <c r="C343" s="76" t="s">
        <v>2180</v>
      </c>
    </row>
    <row r="344" spans="3:3" x14ac:dyDescent="0.3">
      <c r="C344" s="76" t="s">
        <v>2181</v>
      </c>
    </row>
    <row r="345" spans="3:3" x14ac:dyDescent="0.3">
      <c r="C345" s="76" t="s">
        <v>843</v>
      </c>
    </row>
    <row r="346" spans="3:3" x14ac:dyDescent="0.3">
      <c r="C346" s="76" t="s">
        <v>2182</v>
      </c>
    </row>
    <row r="347" spans="3:3" x14ac:dyDescent="0.3">
      <c r="C347" s="76" t="s">
        <v>2183</v>
      </c>
    </row>
    <row r="348" spans="3:3" x14ac:dyDescent="0.3">
      <c r="C348" s="76" t="s">
        <v>908</v>
      </c>
    </row>
    <row r="349" spans="3:3" x14ac:dyDescent="0.3">
      <c r="C349" s="76" t="s">
        <v>2184</v>
      </c>
    </row>
    <row r="350" spans="3:3" x14ac:dyDescent="0.3">
      <c r="C350" s="76" t="s">
        <v>2185</v>
      </c>
    </row>
    <row r="351" spans="3:3" x14ac:dyDescent="0.3">
      <c r="C351" s="76" t="s">
        <v>2186</v>
      </c>
    </row>
    <row r="352" spans="3:3" x14ac:dyDescent="0.3">
      <c r="C352" s="75" t="s">
        <v>1765</v>
      </c>
    </row>
    <row r="353" spans="3:3" x14ac:dyDescent="0.3">
      <c r="C353" s="76" t="s">
        <v>2187</v>
      </c>
    </row>
    <row r="354" spans="3:3" x14ac:dyDescent="0.3">
      <c r="C354" s="76" t="s">
        <v>2188</v>
      </c>
    </row>
    <row r="355" spans="3:3" x14ac:dyDescent="0.3">
      <c r="C355" s="76" t="s">
        <v>2189</v>
      </c>
    </row>
    <row r="356" spans="3:3" x14ac:dyDescent="0.3">
      <c r="C356" s="76" t="s">
        <v>2190</v>
      </c>
    </row>
    <row r="357" spans="3:3" x14ac:dyDescent="0.3">
      <c r="C357" s="75" t="s">
        <v>910</v>
      </c>
    </row>
    <row r="358" spans="3:3" x14ac:dyDescent="0.3">
      <c r="C358" s="76" t="s">
        <v>2191</v>
      </c>
    </row>
  </sheetData>
  <phoneticPr fontId="2" type="noConversion"/>
  <hyperlinks>
    <hyperlink ref="B156" location="'화면-작업지시등록 '!D205" display="작업시지등록"/>
    <hyperlink ref="B3" location="'화면-매장정보'!D151" display="매장정보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U905"/>
  <sheetViews>
    <sheetView topLeftCell="A249" zoomScaleNormal="100" workbookViewId="0">
      <selection activeCell="E13" sqref="E13"/>
    </sheetView>
  </sheetViews>
  <sheetFormatPr defaultRowHeight="16.5" x14ac:dyDescent="0.3"/>
  <cols>
    <col min="1" max="1" width="0.25" style="106" customWidth="1"/>
    <col min="2" max="2" width="2.625" style="19" customWidth="1"/>
    <col min="3" max="3" width="3.375" style="18" bestFit="1" customWidth="1"/>
    <col min="4" max="4" width="25.875" style="21" customWidth="1"/>
    <col min="5" max="5" width="20.125" style="21" customWidth="1"/>
    <col min="6" max="6" width="7" style="22" customWidth="1"/>
    <col min="7" max="7" width="19.625" style="15" customWidth="1"/>
    <col min="8" max="8" width="3.5" style="22" bestFit="1" customWidth="1"/>
    <col min="9" max="9" width="44" style="21" customWidth="1"/>
    <col min="10" max="10" width="2.625" style="105" customWidth="1"/>
    <col min="11" max="11" width="0.25" style="111" customWidth="1"/>
    <col min="12" max="12" width="2.625" style="19" customWidth="1"/>
    <col min="13" max="13" width="3.375" style="19" bestFit="1" customWidth="1"/>
    <col min="14" max="14" width="26.5" style="19" customWidth="1"/>
    <col min="15" max="15" width="20.125" style="19" customWidth="1"/>
    <col min="16" max="16" width="7" style="19" bestFit="1" customWidth="1"/>
    <col min="17" max="17" width="19.625" style="19" customWidth="1"/>
    <col min="18" max="18" width="3.5" style="19" bestFit="1" customWidth="1"/>
    <col min="19" max="19" width="43.625" style="19" customWidth="1"/>
    <col min="20" max="20" width="2.625" style="19" customWidth="1"/>
    <col min="21" max="21" width="0.25" style="106" customWidth="1"/>
    <col min="22" max="16384" width="9" style="19"/>
  </cols>
  <sheetData>
    <row r="1" spans="2:20" ht="1.5" customHeight="1" x14ac:dyDescent="0.3">
      <c r="B1" s="106"/>
      <c r="C1" s="107"/>
      <c r="D1" s="108"/>
      <c r="E1" s="108"/>
      <c r="F1" s="109"/>
      <c r="G1" s="110"/>
      <c r="H1" s="109"/>
      <c r="I1" s="108"/>
      <c r="J1" s="108"/>
      <c r="L1" s="112"/>
      <c r="M1" s="112"/>
      <c r="N1" s="112"/>
      <c r="O1" s="112"/>
      <c r="P1" s="112"/>
      <c r="Q1" s="112"/>
      <c r="R1" s="112"/>
      <c r="S1" s="112"/>
      <c r="T1" s="112"/>
    </row>
    <row r="2" spans="2:20" ht="15" customHeight="1" x14ac:dyDescent="0.3">
      <c r="C2" s="116"/>
      <c r="D2" s="105"/>
      <c r="E2" s="105"/>
      <c r="F2" s="113"/>
      <c r="G2" s="114"/>
      <c r="H2" s="113"/>
      <c r="I2" s="105"/>
      <c r="K2" s="89"/>
      <c r="L2" s="115"/>
      <c r="M2" s="115"/>
      <c r="N2" s="115"/>
      <c r="O2" s="115"/>
      <c r="P2" s="115"/>
      <c r="Q2" s="115"/>
      <c r="R2" s="115"/>
      <c r="S2" s="115"/>
      <c r="T2" s="115"/>
    </row>
    <row r="3" spans="2:20" x14ac:dyDescent="0.3">
      <c r="C3" s="18" t="s">
        <v>5</v>
      </c>
      <c r="D3" s="2" t="s">
        <v>980</v>
      </c>
      <c r="G3" s="22"/>
      <c r="H3" s="18" t="s">
        <v>5</v>
      </c>
      <c r="I3" s="2" t="s">
        <v>979</v>
      </c>
      <c r="J3" s="2"/>
      <c r="M3" s="18" t="s">
        <v>5</v>
      </c>
      <c r="N3" s="2" t="s">
        <v>981</v>
      </c>
      <c r="R3" s="18" t="s">
        <v>5</v>
      </c>
      <c r="S3" s="2" t="s">
        <v>982</v>
      </c>
    </row>
    <row r="4" spans="2:20" x14ac:dyDescent="0.3">
      <c r="C4" s="19"/>
      <c r="D4" s="23" t="s">
        <v>2194</v>
      </c>
      <c r="G4" s="22"/>
      <c r="I4" s="175" t="s">
        <v>973</v>
      </c>
      <c r="J4" s="88"/>
      <c r="N4" s="23" t="s">
        <v>2194</v>
      </c>
      <c r="R4" s="22"/>
      <c r="S4" s="175" t="s">
        <v>865</v>
      </c>
    </row>
    <row r="5" spans="2:20" x14ac:dyDescent="0.3">
      <c r="C5" s="19"/>
      <c r="D5" s="24" t="s">
        <v>2195</v>
      </c>
      <c r="G5" s="22"/>
      <c r="I5" s="176" t="s">
        <v>472</v>
      </c>
      <c r="J5" s="21"/>
      <c r="N5" s="24" t="s">
        <v>2195</v>
      </c>
      <c r="R5" s="22"/>
      <c r="S5" s="176" t="s">
        <v>472</v>
      </c>
    </row>
    <row r="6" spans="2:20" x14ac:dyDescent="0.3">
      <c r="D6" s="24" t="s">
        <v>2220</v>
      </c>
      <c r="G6" s="22"/>
      <c r="I6" s="176" t="s">
        <v>586</v>
      </c>
      <c r="J6" s="21"/>
      <c r="M6" s="18"/>
      <c r="N6" s="24" t="s">
        <v>2221</v>
      </c>
      <c r="R6" s="22"/>
      <c r="S6" s="176" t="s">
        <v>586</v>
      </c>
    </row>
    <row r="7" spans="2:20" x14ac:dyDescent="0.3">
      <c r="D7" s="24"/>
      <c r="G7" s="22"/>
      <c r="I7" s="176" t="s">
        <v>659</v>
      </c>
      <c r="J7" s="21"/>
      <c r="R7" s="22"/>
      <c r="S7" s="176" t="s">
        <v>659</v>
      </c>
    </row>
    <row r="8" spans="2:20" x14ac:dyDescent="0.3">
      <c r="D8" s="24" t="s">
        <v>2205</v>
      </c>
      <c r="I8" s="176" t="s">
        <v>1094</v>
      </c>
      <c r="J8" s="21"/>
      <c r="R8" s="22"/>
      <c r="S8" s="176" t="s">
        <v>1094</v>
      </c>
    </row>
    <row r="9" spans="2:20" x14ac:dyDescent="0.3">
      <c r="D9" s="24" t="s">
        <v>2206</v>
      </c>
      <c r="I9" s="178" t="s">
        <v>974</v>
      </c>
      <c r="J9" s="21"/>
      <c r="R9" s="22"/>
      <c r="S9" s="181" t="s">
        <v>974</v>
      </c>
    </row>
    <row r="10" spans="2:20" x14ac:dyDescent="0.3">
      <c r="D10" s="24" t="s">
        <v>2218</v>
      </c>
      <c r="G10" s="22"/>
      <c r="I10" s="177" t="s">
        <v>975</v>
      </c>
      <c r="J10" s="21"/>
      <c r="R10" s="22"/>
      <c r="S10" s="179" t="s">
        <v>975</v>
      </c>
    </row>
    <row r="11" spans="2:20" x14ac:dyDescent="0.3">
      <c r="D11" s="24" t="s">
        <v>2236</v>
      </c>
      <c r="G11" s="22"/>
      <c r="I11" s="173" t="s">
        <v>1376</v>
      </c>
      <c r="J11" s="21"/>
      <c r="R11" s="22"/>
      <c r="S11" s="173" t="s">
        <v>1376</v>
      </c>
    </row>
    <row r="12" spans="2:20" x14ac:dyDescent="0.3">
      <c r="D12" s="24" t="s">
        <v>2349</v>
      </c>
      <c r="G12" s="22"/>
      <c r="I12" s="173" t="s">
        <v>1158</v>
      </c>
      <c r="J12" s="21"/>
      <c r="R12" s="22"/>
      <c r="S12" s="173" t="s">
        <v>1158</v>
      </c>
    </row>
    <row r="13" spans="2:20" x14ac:dyDescent="0.3">
      <c r="D13" s="24" t="s">
        <v>2350</v>
      </c>
      <c r="G13" s="22"/>
      <c r="I13" s="173" t="s">
        <v>1119</v>
      </c>
      <c r="J13" s="21"/>
      <c r="R13" s="22"/>
      <c r="S13" s="173" t="s">
        <v>1119</v>
      </c>
    </row>
    <row r="14" spans="2:20" x14ac:dyDescent="0.3">
      <c r="D14" s="24" t="s">
        <v>2237</v>
      </c>
      <c r="E14" s="138"/>
      <c r="I14" s="173" t="s">
        <v>984</v>
      </c>
      <c r="J14" s="21"/>
      <c r="R14" s="22"/>
      <c r="S14" s="173" t="s">
        <v>984</v>
      </c>
    </row>
    <row r="15" spans="2:20" x14ac:dyDescent="0.3">
      <c r="D15" s="24"/>
      <c r="E15" s="138"/>
      <c r="G15" s="22"/>
      <c r="I15" s="173" t="s">
        <v>1163</v>
      </c>
      <c r="J15" s="21"/>
      <c r="R15" s="22"/>
      <c r="S15" s="180"/>
    </row>
    <row r="16" spans="2:20" x14ac:dyDescent="0.3">
      <c r="D16" s="24"/>
      <c r="E16" s="138"/>
      <c r="G16" s="22"/>
      <c r="I16" s="173" t="s">
        <v>1167</v>
      </c>
      <c r="J16" s="21"/>
      <c r="Q16" s="138"/>
      <c r="R16" s="22"/>
      <c r="S16" s="173" t="s">
        <v>1167</v>
      </c>
    </row>
    <row r="17" spans="3:19" x14ac:dyDescent="0.3">
      <c r="D17" s="24"/>
      <c r="E17" s="138"/>
      <c r="G17" s="22"/>
      <c r="I17" s="173" t="s">
        <v>983</v>
      </c>
      <c r="J17" s="21"/>
      <c r="R17" s="22"/>
      <c r="S17" s="173" t="s">
        <v>972</v>
      </c>
    </row>
    <row r="18" spans="3:19" x14ac:dyDescent="0.3">
      <c r="D18" s="24"/>
      <c r="G18" s="22"/>
      <c r="I18" s="173" t="s">
        <v>1045</v>
      </c>
      <c r="J18" s="21"/>
      <c r="R18" s="22"/>
      <c r="S18" s="173" t="s">
        <v>1045</v>
      </c>
    </row>
    <row r="19" spans="3:19" x14ac:dyDescent="0.3">
      <c r="D19" s="24"/>
      <c r="G19" s="22"/>
      <c r="I19" s="173" t="s">
        <v>1209</v>
      </c>
      <c r="J19" s="21"/>
      <c r="R19" s="22"/>
      <c r="S19" s="173" t="s">
        <v>1209</v>
      </c>
    </row>
    <row r="20" spans="3:19" x14ac:dyDescent="0.3">
      <c r="D20" s="24"/>
      <c r="E20" s="88"/>
      <c r="G20" s="22"/>
      <c r="I20" s="173" t="s">
        <v>976</v>
      </c>
      <c r="J20" s="21"/>
      <c r="R20" s="22"/>
      <c r="S20" s="173" t="s">
        <v>976</v>
      </c>
    </row>
    <row r="21" spans="3:19" x14ac:dyDescent="0.3">
      <c r="D21" s="24"/>
      <c r="G21" s="22"/>
      <c r="I21" s="173" t="s">
        <v>977</v>
      </c>
      <c r="J21" s="21"/>
      <c r="R21" s="22"/>
      <c r="S21" s="173" t="s">
        <v>977</v>
      </c>
    </row>
    <row r="22" spans="3:19" x14ac:dyDescent="0.3">
      <c r="D22" s="24"/>
      <c r="G22" s="22"/>
      <c r="I22" s="173" t="s">
        <v>1375</v>
      </c>
      <c r="J22" s="21"/>
      <c r="R22" s="22"/>
      <c r="S22" s="173" t="s">
        <v>1375</v>
      </c>
    </row>
    <row r="23" spans="3:19" x14ac:dyDescent="0.3">
      <c r="D23" s="24"/>
      <c r="G23" s="22"/>
      <c r="I23" s="173" t="s">
        <v>1374</v>
      </c>
      <c r="J23" s="21"/>
      <c r="R23" s="22"/>
      <c r="S23" s="173" t="s">
        <v>1417</v>
      </c>
    </row>
    <row r="24" spans="3:19" x14ac:dyDescent="0.3">
      <c r="D24" s="24"/>
      <c r="G24" s="22"/>
      <c r="I24" s="173" t="s">
        <v>1373</v>
      </c>
      <c r="J24" s="21"/>
      <c r="R24" s="22"/>
      <c r="S24" s="173" t="s">
        <v>1373</v>
      </c>
    </row>
    <row r="25" spans="3:19" x14ac:dyDescent="0.3">
      <c r="D25" s="24"/>
      <c r="G25" s="22"/>
      <c r="I25" s="174" t="s">
        <v>978</v>
      </c>
      <c r="J25" s="21"/>
      <c r="R25" s="22"/>
      <c r="S25" s="174" t="s">
        <v>978</v>
      </c>
    </row>
    <row r="26" spans="3:19" x14ac:dyDescent="0.3">
      <c r="D26" s="24"/>
      <c r="G26" s="22"/>
      <c r="J26" s="21"/>
      <c r="R26" s="22"/>
    </row>
    <row r="27" spans="3:19" x14ac:dyDescent="0.3">
      <c r="G27" s="22"/>
      <c r="J27" s="21"/>
    </row>
    <row r="28" spans="3:19" x14ac:dyDescent="0.3">
      <c r="C28" s="18" t="s">
        <v>5</v>
      </c>
      <c r="D28" s="2" t="s">
        <v>319</v>
      </c>
      <c r="G28" s="22"/>
      <c r="J28" s="21"/>
      <c r="M28" s="18" t="s">
        <v>5</v>
      </c>
      <c r="N28" s="2" t="s">
        <v>320</v>
      </c>
      <c r="O28" s="21"/>
      <c r="P28" s="22"/>
      <c r="Q28" s="22"/>
      <c r="R28" s="22"/>
      <c r="S28" s="21"/>
    </row>
    <row r="29" spans="3:19" ht="5.0999999999999996" customHeight="1" x14ac:dyDescent="0.3">
      <c r="G29" s="22"/>
      <c r="J29" s="21"/>
      <c r="M29" s="18"/>
      <c r="N29" s="21"/>
      <c r="O29" s="21"/>
      <c r="P29" s="22"/>
      <c r="Q29" s="22"/>
      <c r="R29" s="22"/>
      <c r="S29" s="21"/>
    </row>
    <row r="30" spans="3:19" x14ac:dyDescent="0.3">
      <c r="D30" s="10" t="s">
        <v>2230</v>
      </c>
      <c r="G30" s="22"/>
      <c r="J30" s="21"/>
      <c r="M30" s="18"/>
      <c r="N30" s="10" t="s">
        <v>6</v>
      </c>
      <c r="O30" s="21"/>
      <c r="P30" s="22"/>
      <c r="Q30" s="22"/>
      <c r="R30" s="22"/>
      <c r="S30" s="21"/>
    </row>
    <row r="31" spans="3:19" x14ac:dyDescent="0.3">
      <c r="D31" s="43" t="s">
        <v>85</v>
      </c>
      <c r="E31" s="43" t="s">
        <v>0</v>
      </c>
      <c r="F31" s="43" t="s">
        <v>1</v>
      </c>
      <c r="G31" s="43" t="s">
        <v>2</v>
      </c>
      <c r="H31" s="43" t="s">
        <v>21</v>
      </c>
      <c r="I31" s="43" t="s">
        <v>3</v>
      </c>
      <c r="J31" s="19"/>
      <c r="M31" s="18"/>
      <c r="N31" s="43" t="s">
        <v>85</v>
      </c>
      <c r="O31" s="43" t="s">
        <v>0</v>
      </c>
      <c r="P31" s="43" t="s">
        <v>1</v>
      </c>
      <c r="Q31" s="43" t="s">
        <v>2</v>
      </c>
      <c r="R31" s="43" t="s">
        <v>21</v>
      </c>
      <c r="S31" s="43" t="s">
        <v>3</v>
      </c>
    </row>
    <row r="32" spans="3:19" x14ac:dyDescent="0.3">
      <c r="D32" s="92" t="s">
        <v>22</v>
      </c>
      <c r="E32" s="92" t="s">
        <v>23</v>
      </c>
      <c r="F32" s="93"/>
      <c r="G32" s="93"/>
      <c r="H32" s="93">
        <v>1</v>
      </c>
      <c r="I32" s="92" t="s">
        <v>25</v>
      </c>
      <c r="J32" s="19"/>
      <c r="M32" s="18"/>
      <c r="N32" s="94" t="s">
        <v>22</v>
      </c>
      <c r="O32" s="94" t="s">
        <v>23</v>
      </c>
      <c r="P32" s="95" t="s">
        <v>24</v>
      </c>
      <c r="Q32" s="95"/>
      <c r="R32" s="95">
        <v>1</v>
      </c>
      <c r="S32" s="94" t="s">
        <v>25</v>
      </c>
    </row>
    <row r="33" spans="4:19" x14ac:dyDescent="0.3">
      <c r="D33" s="90" t="s">
        <v>26</v>
      </c>
      <c r="E33" s="90" t="s">
        <v>23</v>
      </c>
      <c r="F33" s="91"/>
      <c r="G33" s="91"/>
      <c r="H33" s="91">
        <v>2</v>
      </c>
      <c r="I33" s="90" t="s">
        <v>27</v>
      </c>
      <c r="J33" s="19"/>
      <c r="M33" s="18"/>
      <c r="N33" s="90" t="s">
        <v>26</v>
      </c>
      <c r="O33" s="90" t="s">
        <v>23</v>
      </c>
      <c r="P33" s="91" t="s">
        <v>24</v>
      </c>
      <c r="Q33" s="91"/>
      <c r="R33" s="91">
        <v>2</v>
      </c>
      <c r="S33" s="90" t="s">
        <v>27</v>
      </c>
    </row>
    <row r="34" spans="4:19" x14ac:dyDescent="0.3">
      <c r="D34" s="90" t="s">
        <v>28</v>
      </c>
      <c r="E34" s="90" t="s">
        <v>23</v>
      </c>
      <c r="F34" s="91"/>
      <c r="G34" s="91" t="s">
        <v>83</v>
      </c>
      <c r="H34" s="91">
        <v>3</v>
      </c>
      <c r="I34" s="90" t="s">
        <v>29</v>
      </c>
      <c r="J34" s="19"/>
      <c r="M34" s="18"/>
      <c r="N34" s="90" t="s">
        <v>28</v>
      </c>
      <c r="O34" s="90" t="s">
        <v>23</v>
      </c>
      <c r="P34" s="91" t="s">
        <v>24</v>
      </c>
      <c r="Q34" s="102" t="s">
        <v>325</v>
      </c>
      <c r="R34" s="91">
        <v>3</v>
      </c>
      <c r="S34" s="90" t="s">
        <v>29</v>
      </c>
    </row>
    <row r="35" spans="4:19" x14ac:dyDescent="0.3">
      <c r="D35" s="28" t="s">
        <v>30</v>
      </c>
      <c r="E35" s="28" t="s">
        <v>31</v>
      </c>
      <c r="F35" s="27"/>
      <c r="G35" s="27"/>
      <c r="H35" s="27"/>
      <c r="I35" s="28" t="s">
        <v>32</v>
      </c>
      <c r="J35" s="7"/>
      <c r="M35" s="18"/>
      <c r="N35" s="28" t="s">
        <v>30</v>
      </c>
      <c r="O35" s="28" t="s">
        <v>31</v>
      </c>
      <c r="P35" s="27" t="s">
        <v>24</v>
      </c>
      <c r="Q35" s="27"/>
      <c r="R35" s="27"/>
      <c r="S35" s="28" t="s">
        <v>32</v>
      </c>
    </row>
    <row r="36" spans="4:19" x14ac:dyDescent="0.3">
      <c r="D36" s="28" t="s">
        <v>33</v>
      </c>
      <c r="E36" s="28" t="s">
        <v>23</v>
      </c>
      <c r="F36" s="27" t="s">
        <v>19</v>
      </c>
      <c r="G36" s="27"/>
      <c r="H36" s="27"/>
      <c r="I36" s="28" t="s">
        <v>34</v>
      </c>
      <c r="J36" s="7"/>
      <c r="M36" s="18"/>
      <c r="N36" s="28" t="s">
        <v>33</v>
      </c>
      <c r="O36" s="28" t="s">
        <v>23</v>
      </c>
      <c r="P36" s="27" t="s">
        <v>19</v>
      </c>
      <c r="Q36" s="27"/>
      <c r="R36" s="27"/>
      <c r="S36" s="28" t="s">
        <v>34</v>
      </c>
    </row>
    <row r="37" spans="4:19" x14ac:dyDescent="0.3">
      <c r="D37" s="28" t="s">
        <v>35</v>
      </c>
      <c r="E37" s="28" t="s">
        <v>36</v>
      </c>
      <c r="F37" s="27"/>
      <c r="G37" s="27"/>
      <c r="H37" s="27"/>
      <c r="I37" s="28" t="s">
        <v>37</v>
      </c>
      <c r="J37" s="7"/>
      <c r="M37" s="18"/>
      <c r="N37" s="28" t="s">
        <v>35</v>
      </c>
      <c r="O37" s="28" t="s">
        <v>36</v>
      </c>
      <c r="P37" s="27" t="s">
        <v>24</v>
      </c>
      <c r="Q37" s="27"/>
      <c r="R37" s="27"/>
      <c r="S37" s="28" t="s">
        <v>37</v>
      </c>
    </row>
    <row r="38" spans="4:19" x14ac:dyDescent="0.3">
      <c r="D38" s="28" t="s">
        <v>38</v>
      </c>
      <c r="E38" s="28" t="s">
        <v>39</v>
      </c>
      <c r="F38" s="27"/>
      <c r="G38" s="27"/>
      <c r="H38" s="27"/>
      <c r="I38" s="28" t="s">
        <v>15</v>
      </c>
      <c r="J38" s="7"/>
      <c r="M38" s="18"/>
      <c r="N38" s="28" t="s">
        <v>38</v>
      </c>
      <c r="O38" s="28" t="s">
        <v>39</v>
      </c>
      <c r="P38" s="27" t="s">
        <v>24</v>
      </c>
      <c r="Q38" s="27"/>
      <c r="R38" s="27"/>
      <c r="S38" s="28" t="s">
        <v>15</v>
      </c>
    </row>
    <row r="39" spans="4:19" x14ac:dyDescent="0.3">
      <c r="D39" s="28" t="s">
        <v>40</v>
      </c>
      <c r="E39" s="28" t="s">
        <v>39</v>
      </c>
      <c r="F39" s="27"/>
      <c r="G39" s="27"/>
      <c r="H39" s="27"/>
      <c r="I39" s="28" t="s">
        <v>14</v>
      </c>
      <c r="J39" s="7"/>
      <c r="M39" s="18"/>
      <c r="N39" s="28" t="s">
        <v>40</v>
      </c>
      <c r="O39" s="28" t="s">
        <v>39</v>
      </c>
      <c r="P39" s="27" t="s">
        <v>24</v>
      </c>
      <c r="Q39" s="27"/>
      <c r="R39" s="27"/>
      <c r="S39" s="28" t="s">
        <v>14</v>
      </c>
    </row>
    <row r="40" spans="4:19" x14ac:dyDescent="0.3">
      <c r="D40" s="28" t="s">
        <v>41</v>
      </c>
      <c r="E40" s="28" t="s">
        <v>42</v>
      </c>
      <c r="F40" s="27" t="s">
        <v>19</v>
      </c>
      <c r="G40" s="27"/>
      <c r="H40" s="27"/>
      <c r="I40" s="28" t="s">
        <v>16</v>
      </c>
      <c r="J40" s="7"/>
      <c r="M40" s="18"/>
      <c r="N40" s="28" t="s">
        <v>41</v>
      </c>
      <c r="O40" s="28" t="s">
        <v>42</v>
      </c>
      <c r="P40" s="27" t="s">
        <v>19</v>
      </c>
      <c r="Q40" s="27"/>
      <c r="R40" s="27"/>
      <c r="S40" s="28" t="s">
        <v>16</v>
      </c>
    </row>
    <row r="41" spans="4:19" x14ac:dyDescent="0.3">
      <c r="D41" s="28" t="s">
        <v>43</v>
      </c>
      <c r="E41" s="28" t="s">
        <v>44</v>
      </c>
      <c r="F41" s="27" t="s">
        <v>19</v>
      </c>
      <c r="G41" s="27"/>
      <c r="H41" s="27"/>
      <c r="I41" s="28" t="s">
        <v>45</v>
      </c>
      <c r="J41" s="7"/>
      <c r="M41" s="18"/>
      <c r="N41" s="28" t="s">
        <v>43</v>
      </c>
      <c r="O41" s="28" t="s">
        <v>44</v>
      </c>
      <c r="P41" s="27" t="s">
        <v>19</v>
      </c>
      <c r="Q41" s="27"/>
      <c r="R41" s="27"/>
      <c r="S41" s="28" t="s">
        <v>45</v>
      </c>
    </row>
    <row r="42" spans="4:19" ht="27" x14ac:dyDescent="0.3">
      <c r="D42" s="28" t="s">
        <v>46</v>
      </c>
      <c r="E42" s="28" t="s">
        <v>47</v>
      </c>
      <c r="F42" s="27"/>
      <c r="G42" s="27" t="s">
        <v>316</v>
      </c>
      <c r="H42" s="27"/>
      <c r="I42" s="28" t="s">
        <v>48</v>
      </c>
      <c r="J42" s="7"/>
      <c r="M42" s="18"/>
      <c r="N42" s="28" t="s">
        <v>46</v>
      </c>
      <c r="O42" s="28" t="s">
        <v>47</v>
      </c>
      <c r="P42" s="27" t="s">
        <v>24</v>
      </c>
      <c r="Q42" s="27" t="s">
        <v>84</v>
      </c>
      <c r="R42" s="27"/>
      <c r="S42" s="28" t="s">
        <v>48</v>
      </c>
    </row>
    <row r="43" spans="4:19" x14ac:dyDescent="0.3">
      <c r="D43" s="28" t="s">
        <v>49</v>
      </c>
      <c r="E43" s="28" t="s">
        <v>23</v>
      </c>
      <c r="F43" s="27"/>
      <c r="G43" s="27"/>
      <c r="H43" s="27"/>
      <c r="I43" s="28" t="s">
        <v>50</v>
      </c>
      <c r="J43" s="7"/>
      <c r="M43" s="18"/>
      <c r="N43" s="28" t="s">
        <v>49</v>
      </c>
      <c r="O43" s="28" t="s">
        <v>23</v>
      </c>
      <c r="P43" s="27" t="s">
        <v>24</v>
      </c>
      <c r="Q43" s="27"/>
      <c r="R43" s="27"/>
      <c r="S43" s="28" t="s">
        <v>50</v>
      </c>
    </row>
    <row r="44" spans="4:19" x14ac:dyDescent="0.3">
      <c r="D44" s="28" t="s">
        <v>51</v>
      </c>
      <c r="E44" s="28" t="s">
        <v>47</v>
      </c>
      <c r="F44" s="27" t="s">
        <v>19</v>
      </c>
      <c r="G44" s="27"/>
      <c r="H44" s="27"/>
      <c r="I44" s="28" t="s">
        <v>52</v>
      </c>
      <c r="J44" s="7"/>
      <c r="M44" s="18"/>
      <c r="N44" s="28" t="s">
        <v>51</v>
      </c>
      <c r="O44" s="28" t="s">
        <v>47</v>
      </c>
      <c r="P44" s="27" t="s">
        <v>19</v>
      </c>
      <c r="Q44" s="27"/>
      <c r="R44" s="27"/>
      <c r="S44" s="28" t="s">
        <v>52</v>
      </c>
    </row>
    <row r="45" spans="4:19" x14ac:dyDescent="0.3">
      <c r="D45" s="28" t="s">
        <v>53</v>
      </c>
      <c r="E45" s="28" t="s">
        <v>23</v>
      </c>
      <c r="F45" s="27" t="s">
        <v>19</v>
      </c>
      <c r="G45" s="27"/>
      <c r="H45" s="27"/>
      <c r="I45" s="28" t="s">
        <v>54</v>
      </c>
      <c r="J45" s="7"/>
      <c r="M45" s="18"/>
      <c r="N45" s="28" t="s">
        <v>53</v>
      </c>
      <c r="O45" s="28" t="s">
        <v>23</v>
      </c>
      <c r="P45" s="27" t="s">
        <v>19</v>
      </c>
      <c r="Q45" s="27"/>
      <c r="R45" s="27"/>
      <c r="S45" s="28" t="s">
        <v>54</v>
      </c>
    </row>
    <row r="46" spans="4:19" x14ac:dyDescent="0.3">
      <c r="D46" s="28" t="s">
        <v>55</v>
      </c>
      <c r="E46" s="28" t="s">
        <v>47</v>
      </c>
      <c r="F46" s="27" t="s">
        <v>19</v>
      </c>
      <c r="G46" s="27"/>
      <c r="H46" s="27"/>
      <c r="I46" s="28" t="s">
        <v>56</v>
      </c>
      <c r="J46" s="7"/>
      <c r="M46" s="18"/>
      <c r="N46" s="28" t="s">
        <v>55</v>
      </c>
      <c r="O46" s="28" t="s">
        <v>47</v>
      </c>
      <c r="P46" s="27" t="s">
        <v>19</v>
      </c>
      <c r="Q46" s="27"/>
      <c r="R46" s="27"/>
      <c r="S46" s="28" t="s">
        <v>56</v>
      </c>
    </row>
    <row r="47" spans="4:19" x14ac:dyDescent="0.3">
      <c r="D47" s="28" t="s">
        <v>57</v>
      </c>
      <c r="E47" s="28" t="s">
        <v>23</v>
      </c>
      <c r="F47" s="27" t="s">
        <v>19</v>
      </c>
      <c r="G47" s="27"/>
      <c r="H47" s="27"/>
      <c r="I47" s="28" t="s">
        <v>58</v>
      </c>
      <c r="J47" s="7"/>
      <c r="M47" s="18"/>
      <c r="N47" s="28" t="s">
        <v>57</v>
      </c>
      <c r="O47" s="28" t="s">
        <v>23</v>
      </c>
      <c r="P47" s="27" t="s">
        <v>19</v>
      </c>
      <c r="Q47" s="27"/>
      <c r="R47" s="27"/>
      <c r="S47" s="28" t="s">
        <v>58</v>
      </c>
    </row>
    <row r="48" spans="4:19" x14ac:dyDescent="0.3">
      <c r="D48" s="28" t="s">
        <v>59</v>
      </c>
      <c r="E48" s="28" t="s">
        <v>60</v>
      </c>
      <c r="F48" s="27" t="s">
        <v>19</v>
      </c>
      <c r="G48" s="27"/>
      <c r="H48" s="27"/>
      <c r="I48" s="28" t="s">
        <v>61</v>
      </c>
      <c r="J48" s="7"/>
      <c r="M48" s="18"/>
      <c r="N48" s="28" t="s">
        <v>59</v>
      </c>
      <c r="O48" s="28" t="s">
        <v>60</v>
      </c>
      <c r="P48" s="27" t="s">
        <v>19</v>
      </c>
      <c r="Q48" s="27"/>
      <c r="R48" s="27"/>
      <c r="S48" s="28" t="s">
        <v>61</v>
      </c>
    </row>
    <row r="49" spans="4:19" x14ac:dyDescent="0.3">
      <c r="D49" s="28" t="s">
        <v>62</v>
      </c>
      <c r="E49" s="28" t="s">
        <v>60</v>
      </c>
      <c r="F49" s="27" t="s">
        <v>19</v>
      </c>
      <c r="G49" s="27"/>
      <c r="H49" s="27"/>
      <c r="I49" s="28" t="s">
        <v>63</v>
      </c>
      <c r="J49" s="7"/>
      <c r="M49" s="18"/>
      <c r="N49" s="28" t="s">
        <v>62</v>
      </c>
      <c r="O49" s="28" t="s">
        <v>60</v>
      </c>
      <c r="P49" s="27" t="s">
        <v>19</v>
      </c>
      <c r="Q49" s="27"/>
      <c r="R49" s="27"/>
      <c r="S49" s="28" t="s">
        <v>63</v>
      </c>
    </row>
    <row r="50" spans="4:19" x14ac:dyDescent="0.3">
      <c r="D50" s="28" t="s">
        <v>64</v>
      </c>
      <c r="E50" s="28" t="s">
        <v>60</v>
      </c>
      <c r="F50" s="27" t="s">
        <v>19</v>
      </c>
      <c r="G50" s="27"/>
      <c r="H50" s="27"/>
      <c r="I50" s="28" t="s">
        <v>65</v>
      </c>
      <c r="J50" s="7"/>
      <c r="M50" s="18"/>
      <c r="N50" s="28" t="s">
        <v>64</v>
      </c>
      <c r="O50" s="28" t="s">
        <v>60</v>
      </c>
      <c r="P50" s="27" t="s">
        <v>19</v>
      </c>
      <c r="Q50" s="27"/>
      <c r="R50" s="27"/>
      <c r="S50" s="28"/>
    </row>
    <row r="51" spans="4:19" x14ac:dyDescent="0.3">
      <c r="D51" s="28" t="s">
        <v>2202</v>
      </c>
      <c r="E51" s="28" t="s">
        <v>60</v>
      </c>
      <c r="F51" s="27" t="s">
        <v>19</v>
      </c>
      <c r="G51" s="27"/>
      <c r="H51" s="27"/>
      <c r="I51" s="28"/>
      <c r="J51" s="7"/>
      <c r="M51" s="18"/>
      <c r="N51" s="28" t="s">
        <v>66</v>
      </c>
      <c r="O51" s="28" t="s">
        <v>60</v>
      </c>
      <c r="P51" s="27" t="s">
        <v>19</v>
      </c>
      <c r="Q51" s="27"/>
      <c r="R51" s="27"/>
      <c r="S51" s="28"/>
    </row>
    <row r="52" spans="4:19" x14ac:dyDescent="0.3">
      <c r="D52" s="28" t="s">
        <v>67</v>
      </c>
      <c r="E52" s="28" t="s">
        <v>60</v>
      </c>
      <c r="F52" s="27" t="s">
        <v>19</v>
      </c>
      <c r="G52" s="27"/>
      <c r="H52" s="27"/>
      <c r="I52" s="28" t="s">
        <v>68</v>
      </c>
      <c r="J52" s="7"/>
      <c r="M52" s="18"/>
      <c r="N52" s="28" t="s">
        <v>67</v>
      </c>
      <c r="O52" s="28" t="s">
        <v>60</v>
      </c>
      <c r="P52" s="27" t="s">
        <v>19</v>
      </c>
      <c r="Q52" s="27"/>
      <c r="R52" s="27"/>
      <c r="S52" s="28" t="s">
        <v>68</v>
      </c>
    </row>
    <row r="53" spans="4:19" x14ac:dyDescent="0.3">
      <c r="D53" s="28" t="s">
        <v>69</v>
      </c>
      <c r="E53" s="28" t="s">
        <v>44</v>
      </c>
      <c r="F53" s="27" t="s">
        <v>19</v>
      </c>
      <c r="G53" s="27"/>
      <c r="H53" s="27"/>
      <c r="I53" s="28"/>
      <c r="J53" s="7"/>
      <c r="M53" s="18"/>
      <c r="N53" s="28" t="s">
        <v>69</v>
      </c>
      <c r="O53" s="28" t="s">
        <v>44</v>
      </c>
      <c r="P53" s="27" t="s">
        <v>19</v>
      </c>
      <c r="Q53" s="27"/>
      <c r="R53" s="27"/>
      <c r="S53" s="28"/>
    </row>
    <row r="54" spans="4:19" x14ac:dyDescent="0.3">
      <c r="D54" s="28" t="s">
        <v>70</v>
      </c>
      <c r="E54" s="28" t="s">
        <v>71</v>
      </c>
      <c r="F54" s="27" t="s">
        <v>19</v>
      </c>
      <c r="G54" s="27"/>
      <c r="H54" s="27"/>
      <c r="I54" s="28"/>
      <c r="J54" s="7"/>
      <c r="M54" s="18"/>
      <c r="N54" s="28" t="s">
        <v>72</v>
      </c>
      <c r="O54" s="28" t="s">
        <v>73</v>
      </c>
      <c r="P54" s="27" t="s">
        <v>19</v>
      </c>
      <c r="Q54" s="27"/>
      <c r="R54" s="27"/>
      <c r="S54" s="28" t="s">
        <v>74</v>
      </c>
    </row>
    <row r="55" spans="4:19" x14ac:dyDescent="0.3">
      <c r="D55" s="28" t="s">
        <v>72</v>
      </c>
      <c r="E55" s="28" t="s">
        <v>73</v>
      </c>
      <c r="F55" s="27" t="s">
        <v>19</v>
      </c>
      <c r="G55" s="27"/>
      <c r="H55" s="27"/>
      <c r="I55" s="28" t="s">
        <v>74</v>
      </c>
      <c r="J55" s="7"/>
      <c r="M55" s="18"/>
      <c r="N55" s="28" t="s">
        <v>70</v>
      </c>
      <c r="O55" s="28" t="s">
        <v>71</v>
      </c>
      <c r="P55" s="27" t="s">
        <v>19</v>
      </c>
      <c r="Q55" s="27"/>
      <c r="R55" s="27"/>
      <c r="S55" s="28"/>
    </row>
    <row r="56" spans="4:19" x14ac:dyDescent="0.3">
      <c r="D56" s="164" t="s">
        <v>75</v>
      </c>
      <c r="E56" s="164" t="s">
        <v>23</v>
      </c>
      <c r="F56" s="165" t="s">
        <v>19</v>
      </c>
      <c r="H56" s="165"/>
      <c r="I56" s="164" t="s">
        <v>2238</v>
      </c>
      <c r="J56" s="7"/>
      <c r="M56" s="18"/>
      <c r="N56" s="164" t="s">
        <v>75</v>
      </c>
      <c r="O56" s="164" t="s">
        <v>23</v>
      </c>
      <c r="P56" s="165" t="s">
        <v>19</v>
      </c>
      <c r="Q56" s="165" t="s">
        <v>2241</v>
      </c>
      <c r="R56" s="165"/>
      <c r="S56" s="164" t="s">
        <v>76</v>
      </c>
    </row>
    <row r="57" spans="4:19" x14ac:dyDescent="0.3">
      <c r="D57" s="164" t="s">
        <v>77</v>
      </c>
      <c r="E57" s="164" t="s">
        <v>23</v>
      </c>
      <c r="F57" s="165" t="s">
        <v>19</v>
      </c>
      <c r="G57" s="165" t="s">
        <v>2239</v>
      </c>
      <c r="H57" s="165"/>
      <c r="I57" s="164" t="s">
        <v>78</v>
      </c>
      <c r="J57" s="7"/>
      <c r="M57" s="18"/>
      <c r="N57" s="164" t="s">
        <v>77</v>
      </c>
      <c r="O57" s="164" t="s">
        <v>23</v>
      </c>
      <c r="P57" s="165" t="s">
        <v>19</v>
      </c>
      <c r="Q57" s="165" t="s">
        <v>2241</v>
      </c>
      <c r="R57" s="165"/>
      <c r="S57" s="164" t="s">
        <v>78</v>
      </c>
    </row>
    <row r="58" spans="4:19" x14ac:dyDescent="0.3">
      <c r="D58" s="164" t="s">
        <v>79</v>
      </c>
      <c r="E58" s="164" t="s">
        <v>23</v>
      </c>
      <c r="F58" s="165" t="s">
        <v>19</v>
      </c>
      <c r="G58" s="165" t="s">
        <v>2240</v>
      </c>
      <c r="H58" s="165"/>
      <c r="I58" s="164" t="s">
        <v>80</v>
      </c>
      <c r="J58" s="7"/>
      <c r="M58" s="18"/>
      <c r="N58" s="164" t="s">
        <v>79</v>
      </c>
      <c r="O58" s="164" t="s">
        <v>23</v>
      </c>
      <c r="P58" s="165" t="s">
        <v>19</v>
      </c>
      <c r="Q58" s="165" t="s">
        <v>2241</v>
      </c>
      <c r="R58" s="165"/>
      <c r="S58" s="164" t="s">
        <v>80</v>
      </c>
    </row>
    <row r="59" spans="4:19" x14ac:dyDescent="0.3">
      <c r="D59" s="166" t="s">
        <v>81</v>
      </c>
      <c r="E59" s="166" t="s">
        <v>23</v>
      </c>
      <c r="F59" s="167" t="s">
        <v>19</v>
      </c>
      <c r="G59" s="167" t="s">
        <v>2239</v>
      </c>
      <c r="H59" s="167"/>
      <c r="I59" s="166" t="s">
        <v>82</v>
      </c>
      <c r="J59" s="7"/>
      <c r="M59" s="18"/>
      <c r="N59" s="166" t="s">
        <v>81</v>
      </c>
      <c r="O59" s="166" t="s">
        <v>23</v>
      </c>
      <c r="P59" s="167" t="s">
        <v>19</v>
      </c>
      <c r="Q59" s="167" t="s">
        <v>2242</v>
      </c>
      <c r="R59" s="167"/>
      <c r="S59" s="166" t="s">
        <v>82</v>
      </c>
    </row>
    <row r="60" spans="4:19" x14ac:dyDescent="0.3">
      <c r="G60" s="22"/>
      <c r="J60" s="21"/>
      <c r="M60" s="18"/>
      <c r="N60" s="21"/>
      <c r="O60" s="21"/>
      <c r="P60" s="22"/>
      <c r="Q60" s="22"/>
      <c r="R60" s="22"/>
      <c r="S60" s="21"/>
    </row>
    <row r="61" spans="4:19" x14ac:dyDescent="0.3">
      <c r="D61" s="10" t="s">
        <v>317</v>
      </c>
      <c r="G61" s="22"/>
      <c r="J61" s="21"/>
      <c r="M61" s="18"/>
      <c r="N61" s="10" t="s">
        <v>317</v>
      </c>
      <c r="O61" s="21"/>
      <c r="P61" s="22"/>
      <c r="Q61" s="22"/>
      <c r="R61" s="22"/>
      <c r="S61" s="21"/>
    </row>
    <row r="62" spans="4:19" x14ac:dyDescent="0.3">
      <c r="D62" s="43" t="s">
        <v>85</v>
      </c>
      <c r="E62" s="43" t="s">
        <v>0</v>
      </c>
      <c r="F62" s="43" t="s">
        <v>1</v>
      </c>
      <c r="G62" s="43" t="s">
        <v>2</v>
      </c>
      <c r="H62" s="43" t="s">
        <v>21</v>
      </c>
      <c r="I62" s="43" t="s">
        <v>3</v>
      </c>
      <c r="J62" s="9"/>
      <c r="M62" s="18"/>
      <c r="N62" s="43" t="s">
        <v>85</v>
      </c>
      <c r="O62" s="43" t="s">
        <v>0</v>
      </c>
      <c r="P62" s="43" t="s">
        <v>1</v>
      </c>
      <c r="Q62" s="43" t="s">
        <v>2</v>
      </c>
      <c r="R62" s="43" t="s">
        <v>21</v>
      </c>
      <c r="S62" s="43" t="s">
        <v>3</v>
      </c>
    </row>
    <row r="63" spans="4:19" x14ac:dyDescent="0.3">
      <c r="D63" s="94" t="s">
        <v>86</v>
      </c>
      <c r="E63" s="94" t="s">
        <v>87</v>
      </c>
      <c r="F63" s="95"/>
      <c r="G63" s="96"/>
      <c r="H63" s="95">
        <v>1</v>
      </c>
      <c r="I63" s="94" t="s">
        <v>88</v>
      </c>
      <c r="J63" s="17"/>
      <c r="M63" s="18"/>
      <c r="N63" s="94" t="s">
        <v>86</v>
      </c>
      <c r="O63" s="94" t="s">
        <v>87</v>
      </c>
      <c r="P63" s="95" t="s">
        <v>24</v>
      </c>
      <c r="Q63" s="96"/>
      <c r="R63" s="95">
        <v>1</v>
      </c>
      <c r="S63" s="94" t="s">
        <v>88</v>
      </c>
    </row>
    <row r="64" spans="4:19" x14ac:dyDescent="0.3">
      <c r="D64" s="28" t="s">
        <v>89</v>
      </c>
      <c r="E64" s="28" t="s">
        <v>36</v>
      </c>
      <c r="F64" s="27"/>
      <c r="G64" s="25"/>
      <c r="H64" s="27"/>
      <c r="I64" s="28" t="s">
        <v>90</v>
      </c>
      <c r="J64" s="7"/>
      <c r="M64" s="18"/>
      <c r="N64" s="28" t="s">
        <v>89</v>
      </c>
      <c r="O64" s="28" t="s">
        <v>36</v>
      </c>
      <c r="P64" s="27" t="s">
        <v>24</v>
      </c>
      <c r="Q64" s="25"/>
      <c r="R64" s="27"/>
      <c r="S64" s="28" t="s">
        <v>90</v>
      </c>
    </row>
    <row r="65" spans="4:19" ht="27" x14ac:dyDescent="0.3">
      <c r="D65" s="32" t="s">
        <v>46</v>
      </c>
      <c r="E65" s="32" t="s">
        <v>47</v>
      </c>
      <c r="F65" s="31"/>
      <c r="G65" s="27" t="s">
        <v>318</v>
      </c>
      <c r="H65" s="31"/>
      <c r="I65" s="32" t="s">
        <v>48</v>
      </c>
      <c r="J65" s="5"/>
      <c r="M65" s="18"/>
      <c r="N65" s="32" t="s">
        <v>46</v>
      </c>
      <c r="O65" s="32" t="s">
        <v>47</v>
      </c>
      <c r="P65" s="31" t="s">
        <v>24</v>
      </c>
      <c r="Q65" s="27" t="s">
        <v>84</v>
      </c>
      <c r="R65" s="31"/>
      <c r="S65" s="32" t="s">
        <v>48</v>
      </c>
    </row>
    <row r="66" spans="4:19" x14ac:dyDescent="0.3">
      <c r="D66" s="32" t="s">
        <v>49</v>
      </c>
      <c r="E66" s="32" t="s">
        <v>23</v>
      </c>
      <c r="F66" s="31"/>
      <c r="G66" s="100"/>
      <c r="H66" s="31"/>
      <c r="I66" s="32" t="s">
        <v>50</v>
      </c>
      <c r="J66" s="5"/>
      <c r="M66" s="18"/>
      <c r="N66" s="32" t="s">
        <v>49</v>
      </c>
      <c r="O66" s="32" t="s">
        <v>23</v>
      </c>
      <c r="P66" s="31" t="s">
        <v>24</v>
      </c>
      <c r="Q66" s="100"/>
      <c r="R66" s="31"/>
      <c r="S66" s="32" t="s">
        <v>50</v>
      </c>
    </row>
    <row r="67" spans="4:19" x14ac:dyDescent="0.3">
      <c r="D67" s="32" t="s">
        <v>51</v>
      </c>
      <c r="E67" s="32" t="s">
        <v>47</v>
      </c>
      <c r="F67" s="31" t="s">
        <v>19</v>
      </c>
      <c r="G67" s="100"/>
      <c r="H67" s="31"/>
      <c r="I67" s="32" t="s">
        <v>52</v>
      </c>
      <c r="J67" s="5"/>
      <c r="M67" s="18"/>
      <c r="N67" s="32" t="s">
        <v>51</v>
      </c>
      <c r="O67" s="32" t="s">
        <v>47</v>
      </c>
      <c r="P67" s="31" t="s">
        <v>19</v>
      </c>
      <c r="Q67" s="100"/>
      <c r="R67" s="31"/>
      <c r="S67" s="32" t="s">
        <v>52</v>
      </c>
    </row>
    <row r="68" spans="4:19" x14ac:dyDescent="0.3">
      <c r="D68" s="32" t="s">
        <v>53</v>
      </c>
      <c r="E68" s="32" t="s">
        <v>23</v>
      </c>
      <c r="F68" s="31" t="s">
        <v>19</v>
      </c>
      <c r="G68" s="100"/>
      <c r="H68" s="31"/>
      <c r="I68" s="32" t="s">
        <v>54</v>
      </c>
      <c r="J68" s="5"/>
      <c r="M68" s="18"/>
      <c r="N68" s="32" t="s">
        <v>53</v>
      </c>
      <c r="O68" s="32" t="s">
        <v>23</v>
      </c>
      <c r="P68" s="31" t="s">
        <v>19</v>
      </c>
      <c r="Q68" s="100"/>
      <c r="R68" s="31"/>
      <c r="S68" s="32" t="s">
        <v>54</v>
      </c>
    </row>
    <row r="69" spans="4:19" x14ac:dyDescent="0.3">
      <c r="D69" s="32" t="s">
        <v>91</v>
      </c>
      <c r="E69" s="32" t="s">
        <v>36</v>
      </c>
      <c r="F69" s="31"/>
      <c r="G69" s="100"/>
      <c r="H69" s="31"/>
      <c r="I69" s="32" t="s">
        <v>92</v>
      </c>
      <c r="J69" s="5"/>
      <c r="M69" s="18"/>
      <c r="N69" s="32" t="s">
        <v>91</v>
      </c>
      <c r="O69" s="32" t="s">
        <v>36</v>
      </c>
      <c r="P69" s="31" t="s">
        <v>24</v>
      </c>
      <c r="Q69" s="100"/>
      <c r="R69" s="31"/>
      <c r="S69" s="32" t="s">
        <v>92</v>
      </c>
    </row>
    <row r="70" spans="4:19" x14ac:dyDescent="0.3">
      <c r="D70" s="32" t="s">
        <v>93</v>
      </c>
      <c r="E70" s="32" t="s">
        <v>36</v>
      </c>
      <c r="F70" s="31"/>
      <c r="G70" s="100"/>
      <c r="H70" s="31"/>
      <c r="I70" s="32" t="s">
        <v>94</v>
      </c>
      <c r="J70" s="5"/>
      <c r="M70" s="18"/>
      <c r="N70" s="32" t="s">
        <v>93</v>
      </c>
      <c r="O70" s="32" t="s">
        <v>36</v>
      </c>
      <c r="P70" s="31" t="s">
        <v>24</v>
      </c>
      <c r="Q70" s="100"/>
      <c r="R70" s="31"/>
      <c r="S70" s="32" t="s">
        <v>94</v>
      </c>
    </row>
    <row r="71" spans="4:19" x14ac:dyDescent="0.3">
      <c r="D71" s="32" t="s">
        <v>95</v>
      </c>
      <c r="E71" s="32" t="s">
        <v>96</v>
      </c>
      <c r="F71" s="31" t="s">
        <v>19</v>
      </c>
      <c r="G71" s="100"/>
      <c r="H71" s="31"/>
      <c r="I71" s="32" t="s">
        <v>97</v>
      </c>
      <c r="J71" s="5"/>
      <c r="M71" s="18"/>
      <c r="N71" s="32" t="s">
        <v>95</v>
      </c>
      <c r="O71" s="32" t="s">
        <v>96</v>
      </c>
      <c r="P71" s="31" t="s">
        <v>19</v>
      </c>
      <c r="Q71" s="100"/>
      <c r="R71" s="31"/>
      <c r="S71" s="32" t="s">
        <v>97</v>
      </c>
    </row>
    <row r="72" spans="4:19" x14ac:dyDescent="0.3">
      <c r="D72" s="32" t="s">
        <v>98</v>
      </c>
      <c r="E72" s="32" t="s">
        <v>99</v>
      </c>
      <c r="F72" s="31" t="s">
        <v>19</v>
      </c>
      <c r="G72" s="100"/>
      <c r="H72" s="31"/>
      <c r="I72" s="32" t="s">
        <v>100</v>
      </c>
      <c r="J72" s="5"/>
      <c r="M72" s="18"/>
      <c r="N72" s="32" t="s">
        <v>98</v>
      </c>
      <c r="O72" s="32" t="s">
        <v>99</v>
      </c>
      <c r="P72" s="31" t="s">
        <v>19</v>
      </c>
      <c r="Q72" s="100"/>
      <c r="R72" s="31"/>
      <c r="S72" s="32" t="s">
        <v>100</v>
      </c>
    </row>
    <row r="73" spans="4:19" x14ac:dyDescent="0.3">
      <c r="D73" s="32" t="s">
        <v>101</v>
      </c>
      <c r="E73" s="32" t="s">
        <v>99</v>
      </c>
      <c r="F73" s="31" t="s">
        <v>19</v>
      </c>
      <c r="G73" s="100"/>
      <c r="H73" s="31"/>
      <c r="I73" s="32" t="s">
        <v>102</v>
      </c>
      <c r="J73" s="5"/>
      <c r="M73" s="18"/>
      <c r="N73" s="32" t="s">
        <v>101</v>
      </c>
      <c r="O73" s="32" t="s">
        <v>99</v>
      </c>
      <c r="P73" s="31" t="s">
        <v>19</v>
      </c>
      <c r="Q73" s="100"/>
      <c r="R73" s="31"/>
      <c r="S73" s="32" t="s">
        <v>102</v>
      </c>
    </row>
    <row r="74" spans="4:19" x14ac:dyDescent="0.3">
      <c r="D74" s="32" t="s">
        <v>103</v>
      </c>
      <c r="E74" s="32" t="s">
        <v>99</v>
      </c>
      <c r="F74" s="31" t="s">
        <v>19</v>
      </c>
      <c r="G74" s="100"/>
      <c r="H74" s="31"/>
      <c r="I74" s="32" t="s">
        <v>104</v>
      </c>
      <c r="J74" s="5"/>
      <c r="M74" s="18"/>
      <c r="N74" s="32" t="s">
        <v>103</v>
      </c>
      <c r="O74" s="32" t="s">
        <v>99</v>
      </c>
      <c r="P74" s="31" t="s">
        <v>19</v>
      </c>
      <c r="Q74" s="100"/>
      <c r="R74" s="31"/>
      <c r="S74" s="32" t="s">
        <v>104</v>
      </c>
    </row>
    <row r="75" spans="4:19" x14ac:dyDescent="0.3">
      <c r="D75" s="32" t="s">
        <v>105</v>
      </c>
      <c r="E75" s="32" t="s">
        <v>99</v>
      </c>
      <c r="F75" s="31" t="s">
        <v>19</v>
      </c>
      <c r="G75" s="100"/>
      <c r="H75" s="31"/>
      <c r="I75" s="32" t="s">
        <v>106</v>
      </c>
      <c r="J75" s="5"/>
      <c r="M75" s="18"/>
      <c r="N75" s="32" t="s">
        <v>105</v>
      </c>
      <c r="O75" s="32" t="s">
        <v>99</v>
      </c>
      <c r="P75" s="31" t="s">
        <v>19</v>
      </c>
      <c r="Q75" s="100"/>
      <c r="R75" s="31"/>
      <c r="S75" s="32" t="s">
        <v>106</v>
      </c>
    </row>
    <row r="76" spans="4:19" x14ac:dyDescent="0.3">
      <c r="D76" s="32" t="s">
        <v>107</v>
      </c>
      <c r="E76" s="32" t="s">
        <v>99</v>
      </c>
      <c r="F76" s="31" t="s">
        <v>19</v>
      </c>
      <c r="G76" s="100"/>
      <c r="H76" s="31"/>
      <c r="I76" s="32" t="s">
        <v>108</v>
      </c>
      <c r="J76" s="5"/>
      <c r="M76" s="18"/>
      <c r="N76" s="32" t="s">
        <v>107</v>
      </c>
      <c r="O76" s="32" t="s">
        <v>99</v>
      </c>
      <c r="P76" s="31" t="s">
        <v>19</v>
      </c>
      <c r="Q76" s="100"/>
      <c r="R76" s="31"/>
      <c r="S76" s="32" t="s">
        <v>108</v>
      </c>
    </row>
    <row r="77" spans="4:19" x14ac:dyDescent="0.3">
      <c r="D77" s="32" t="s">
        <v>109</v>
      </c>
      <c r="E77" s="32" t="s">
        <v>99</v>
      </c>
      <c r="F77" s="31" t="s">
        <v>19</v>
      </c>
      <c r="G77" s="100"/>
      <c r="H77" s="31"/>
      <c r="I77" s="32" t="s">
        <v>110</v>
      </c>
      <c r="J77" s="5"/>
      <c r="M77" s="18"/>
      <c r="N77" s="32" t="s">
        <v>109</v>
      </c>
      <c r="O77" s="32" t="s">
        <v>99</v>
      </c>
      <c r="P77" s="31" t="s">
        <v>19</v>
      </c>
      <c r="Q77" s="100"/>
      <c r="R77" s="31"/>
      <c r="S77" s="32" t="s">
        <v>110</v>
      </c>
    </row>
    <row r="78" spans="4:19" x14ac:dyDescent="0.3">
      <c r="D78" s="32" t="s">
        <v>111</v>
      </c>
      <c r="E78" s="32" t="s">
        <v>112</v>
      </c>
      <c r="F78" s="31" t="s">
        <v>19</v>
      </c>
      <c r="G78" s="100"/>
      <c r="H78" s="31"/>
      <c r="I78" s="32" t="s">
        <v>113</v>
      </c>
      <c r="J78" s="5"/>
      <c r="M78" s="18"/>
      <c r="N78" s="32" t="s">
        <v>111</v>
      </c>
      <c r="O78" s="32" t="s">
        <v>112</v>
      </c>
      <c r="P78" s="31" t="s">
        <v>19</v>
      </c>
      <c r="Q78" s="100"/>
      <c r="R78" s="31"/>
      <c r="S78" s="32" t="s">
        <v>113</v>
      </c>
    </row>
    <row r="79" spans="4:19" x14ac:dyDescent="0.3">
      <c r="D79" s="32" t="s">
        <v>114</v>
      </c>
      <c r="E79" s="32" t="s">
        <v>96</v>
      </c>
      <c r="F79" s="31" t="s">
        <v>19</v>
      </c>
      <c r="G79" s="100"/>
      <c r="H79" s="31"/>
      <c r="I79" s="32" t="s">
        <v>115</v>
      </c>
      <c r="J79" s="5"/>
      <c r="M79" s="18"/>
      <c r="N79" s="32" t="s">
        <v>114</v>
      </c>
      <c r="O79" s="32" t="s">
        <v>96</v>
      </c>
      <c r="P79" s="31" t="s">
        <v>19</v>
      </c>
      <c r="Q79" s="100"/>
      <c r="R79" s="31"/>
      <c r="S79" s="32" t="s">
        <v>115</v>
      </c>
    </row>
    <row r="80" spans="4:19" x14ac:dyDescent="0.3">
      <c r="D80" s="32" t="s">
        <v>116</v>
      </c>
      <c r="E80" s="32" t="s">
        <v>96</v>
      </c>
      <c r="F80" s="31" t="s">
        <v>19</v>
      </c>
      <c r="G80" s="100"/>
      <c r="H80" s="31"/>
      <c r="I80" s="32" t="s">
        <v>117</v>
      </c>
      <c r="J80" s="5"/>
      <c r="M80" s="18"/>
      <c r="N80" s="32" t="s">
        <v>116</v>
      </c>
      <c r="O80" s="32" t="s">
        <v>96</v>
      </c>
      <c r="P80" s="31" t="s">
        <v>19</v>
      </c>
      <c r="Q80" s="100"/>
      <c r="R80" s="31"/>
      <c r="S80" s="32" t="s">
        <v>117</v>
      </c>
    </row>
    <row r="81" spans="4:19" x14ac:dyDescent="0.3">
      <c r="D81" s="32" t="s">
        <v>118</v>
      </c>
      <c r="E81" s="32" t="s">
        <v>44</v>
      </c>
      <c r="F81" s="31" t="s">
        <v>19</v>
      </c>
      <c r="G81" s="100">
        <v>0</v>
      </c>
      <c r="H81" s="31"/>
      <c r="I81" s="32" t="s">
        <v>119</v>
      </c>
      <c r="J81" s="5"/>
      <c r="M81" s="18"/>
      <c r="N81" s="32" t="s">
        <v>118</v>
      </c>
      <c r="O81" s="32" t="s">
        <v>44</v>
      </c>
      <c r="P81" s="31" t="s">
        <v>19</v>
      </c>
      <c r="Q81" s="100" t="s">
        <v>20</v>
      </c>
      <c r="R81" s="31"/>
      <c r="S81" s="32" t="s">
        <v>119</v>
      </c>
    </row>
    <row r="82" spans="4:19" x14ac:dyDescent="0.3">
      <c r="D82" s="32" t="s">
        <v>120</v>
      </c>
      <c r="E82" s="32" t="s">
        <v>23</v>
      </c>
      <c r="F82" s="31"/>
      <c r="G82" s="100"/>
      <c r="H82" s="31"/>
      <c r="I82" s="32" t="s">
        <v>121</v>
      </c>
      <c r="J82" s="5"/>
      <c r="M82" s="18"/>
      <c r="N82" s="32" t="s">
        <v>120</v>
      </c>
      <c r="O82" s="32" t="s">
        <v>23</v>
      </c>
      <c r="P82" s="31" t="s">
        <v>24</v>
      </c>
      <c r="Q82" s="100"/>
      <c r="R82" s="31"/>
      <c r="S82" s="32" t="s">
        <v>121</v>
      </c>
    </row>
    <row r="83" spans="4:19" x14ac:dyDescent="0.3">
      <c r="D83" s="32" t="s">
        <v>122</v>
      </c>
      <c r="E83" s="32" t="s">
        <v>23</v>
      </c>
      <c r="F83" s="31"/>
      <c r="G83" s="100"/>
      <c r="H83" s="31"/>
      <c r="I83" s="32" t="s">
        <v>123</v>
      </c>
      <c r="J83" s="5"/>
      <c r="M83" s="18"/>
      <c r="N83" s="32" t="s">
        <v>122</v>
      </c>
      <c r="O83" s="32" t="s">
        <v>23</v>
      </c>
      <c r="P83" s="31" t="s">
        <v>24</v>
      </c>
      <c r="Q83" s="100"/>
      <c r="R83" s="31"/>
      <c r="S83" s="32" t="s">
        <v>123</v>
      </c>
    </row>
    <row r="84" spans="4:19" x14ac:dyDescent="0.3">
      <c r="D84" s="32" t="s">
        <v>124</v>
      </c>
      <c r="E84" s="32" t="s">
        <v>39</v>
      </c>
      <c r="F84" s="31"/>
      <c r="G84" s="100"/>
      <c r="H84" s="31"/>
      <c r="I84" s="32" t="s">
        <v>125</v>
      </c>
      <c r="J84" s="5"/>
      <c r="M84" s="18"/>
      <c r="N84" s="32" t="s">
        <v>124</v>
      </c>
      <c r="O84" s="32" t="s">
        <v>39</v>
      </c>
      <c r="P84" s="31" t="s">
        <v>24</v>
      </c>
      <c r="Q84" s="100"/>
      <c r="R84" s="31"/>
      <c r="S84" s="32" t="s">
        <v>125</v>
      </c>
    </row>
    <row r="85" spans="4:19" x14ac:dyDescent="0.3">
      <c r="D85" s="32" t="s">
        <v>126</v>
      </c>
      <c r="E85" s="32" t="s">
        <v>39</v>
      </c>
      <c r="F85" s="31"/>
      <c r="G85" s="100"/>
      <c r="H85" s="31"/>
      <c r="I85" s="32" t="s">
        <v>127</v>
      </c>
      <c r="J85" s="5"/>
      <c r="M85" s="18"/>
      <c r="N85" s="32" t="s">
        <v>126</v>
      </c>
      <c r="O85" s="32" t="s">
        <v>39</v>
      </c>
      <c r="P85" s="31" t="s">
        <v>24</v>
      </c>
      <c r="Q85" s="100"/>
      <c r="R85" s="31"/>
      <c r="S85" s="32" t="s">
        <v>127</v>
      </c>
    </row>
    <row r="86" spans="4:19" x14ac:dyDescent="0.3">
      <c r="D86" s="32" t="s">
        <v>128</v>
      </c>
      <c r="E86" s="32" t="s">
        <v>39</v>
      </c>
      <c r="F86" s="31"/>
      <c r="G86" s="100"/>
      <c r="H86" s="31"/>
      <c r="I86" s="32" t="s">
        <v>129</v>
      </c>
      <c r="J86" s="5"/>
      <c r="M86" s="18"/>
      <c r="N86" s="32" t="s">
        <v>128</v>
      </c>
      <c r="O86" s="32" t="s">
        <v>39</v>
      </c>
      <c r="P86" s="31" t="s">
        <v>24</v>
      </c>
      <c r="Q86" s="100"/>
      <c r="R86" s="31"/>
      <c r="S86" s="32" t="s">
        <v>129</v>
      </c>
    </row>
    <row r="87" spans="4:19" x14ac:dyDescent="0.3">
      <c r="D87" s="32" t="s">
        <v>130</v>
      </c>
      <c r="E87" s="32" t="s">
        <v>23</v>
      </c>
      <c r="F87" s="31" t="s">
        <v>19</v>
      </c>
      <c r="G87" s="100"/>
      <c r="H87" s="31"/>
      <c r="I87" s="32" t="s">
        <v>131</v>
      </c>
      <c r="J87" s="5"/>
      <c r="M87" s="18"/>
      <c r="N87" s="32" t="s">
        <v>130</v>
      </c>
      <c r="O87" s="32" t="s">
        <v>23</v>
      </c>
      <c r="P87" s="31" t="s">
        <v>19</v>
      </c>
      <c r="Q87" s="100"/>
      <c r="R87" s="31"/>
      <c r="S87" s="32" t="s">
        <v>131</v>
      </c>
    </row>
    <row r="88" spans="4:19" x14ac:dyDescent="0.3">
      <c r="D88" s="32" t="s">
        <v>132</v>
      </c>
      <c r="E88" s="32" t="s">
        <v>133</v>
      </c>
      <c r="F88" s="31"/>
      <c r="G88" s="100" t="s">
        <v>4</v>
      </c>
      <c r="H88" s="31"/>
      <c r="I88" s="32" t="s">
        <v>134</v>
      </c>
      <c r="J88" s="5"/>
      <c r="M88" s="18"/>
      <c r="N88" s="32" t="s">
        <v>132</v>
      </c>
      <c r="O88" s="32" t="s">
        <v>133</v>
      </c>
      <c r="P88" s="31" t="s">
        <v>24</v>
      </c>
      <c r="Q88" s="100" t="s">
        <v>4</v>
      </c>
      <c r="R88" s="31"/>
      <c r="S88" s="32" t="s">
        <v>134</v>
      </c>
    </row>
    <row r="89" spans="4:19" x14ac:dyDescent="0.3">
      <c r="D89" s="32" t="s">
        <v>135</v>
      </c>
      <c r="E89" s="32" t="s">
        <v>133</v>
      </c>
      <c r="F89" s="31" t="s">
        <v>19</v>
      </c>
      <c r="G89" s="100" t="s">
        <v>4</v>
      </c>
      <c r="H89" s="31"/>
      <c r="I89" s="32" t="s">
        <v>136</v>
      </c>
      <c r="J89" s="5"/>
      <c r="M89" s="18"/>
      <c r="N89" s="32" t="s">
        <v>135</v>
      </c>
      <c r="O89" s="32" t="s">
        <v>133</v>
      </c>
      <c r="P89" s="31" t="s">
        <v>19</v>
      </c>
      <c r="Q89" s="100" t="s">
        <v>4</v>
      </c>
      <c r="R89" s="31"/>
      <c r="S89" s="32" t="s">
        <v>136</v>
      </c>
    </row>
    <row r="90" spans="4:19" x14ac:dyDescent="0.3">
      <c r="D90" s="32" t="s">
        <v>137</v>
      </c>
      <c r="E90" s="32" t="s">
        <v>23</v>
      </c>
      <c r="F90" s="31"/>
      <c r="G90" s="100"/>
      <c r="H90" s="31"/>
      <c r="I90" s="32" t="s">
        <v>138</v>
      </c>
      <c r="J90" s="5"/>
      <c r="M90" s="18"/>
      <c r="N90" s="32" t="s">
        <v>137</v>
      </c>
      <c r="O90" s="32" t="s">
        <v>23</v>
      </c>
      <c r="P90" s="31" t="s">
        <v>24</v>
      </c>
      <c r="Q90" s="100"/>
      <c r="R90" s="31"/>
      <c r="S90" s="32" t="s">
        <v>138</v>
      </c>
    </row>
    <row r="91" spans="4:19" x14ac:dyDescent="0.3">
      <c r="D91" s="32" t="s">
        <v>139</v>
      </c>
      <c r="E91" s="32" t="s">
        <v>133</v>
      </c>
      <c r="F91" s="31" t="s">
        <v>19</v>
      </c>
      <c r="G91" s="100" t="s">
        <v>4</v>
      </c>
      <c r="H91" s="31"/>
      <c r="I91" s="32" t="s">
        <v>140</v>
      </c>
      <c r="J91" s="5"/>
      <c r="M91" s="18"/>
      <c r="N91" s="32" t="s">
        <v>139</v>
      </c>
      <c r="O91" s="32" t="s">
        <v>133</v>
      </c>
      <c r="P91" s="31" t="s">
        <v>19</v>
      </c>
      <c r="Q91" s="100" t="s">
        <v>4</v>
      </c>
      <c r="R91" s="31"/>
      <c r="S91" s="32" t="s">
        <v>140</v>
      </c>
    </row>
    <row r="92" spans="4:19" x14ac:dyDescent="0.3">
      <c r="D92" s="32" t="s">
        <v>141</v>
      </c>
      <c r="E92" s="32" t="s">
        <v>44</v>
      </c>
      <c r="F92" s="31" t="s">
        <v>19</v>
      </c>
      <c r="G92" s="100">
        <v>0</v>
      </c>
      <c r="H92" s="31"/>
      <c r="I92" s="32" t="s">
        <v>142</v>
      </c>
      <c r="J92" s="5"/>
      <c r="M92" s="18"/>
      <c r="N92" s="32" t="s">
        <v>141</v>
      </c>
      <c r="O92" s="32" t="s">
        <v>44</v>
      </c>
      <c r="P92" s="31" t="s">
        <v>19</v>
      </c>
      <c r="Q92" s="100" t="s">
        <v>20</v>
      </c>
      <c r="R92" s="31"/>
      <c r="S92" s="32" t="s">
        <v>142</v>
      </c>
    </row>
    <row r="93" spans="4:19" x14ac:dyDescent="0.3">
      <c r="D93" s="32" t="s">
        <v>143</v>
      </c>
      <c r="E93" s="32" t="s">
        <v>44</v>
      </c>
      <c r="F93" s="31" t="s">
        <v>19</v>
      </c>
      <c r="G93" s="100">
        <v>0</v>
      </c>
      <c r="H93" s="31"/>
      <c r="I93" s="32" t="s">
        <v>144</v>
      </c>
      <c r="J93" s="5"/>
      <c r="M93" s="18"/>
      <c r="N93" s="32" t="s">
        <v>143</v>
      </c>
      <c r="O93" s="32" t="s">
        <v>44</v>
      </c>
      <c r="P93" s="31" t="s">
        <v>19</v>
      </c>
      <c r="Q93" s="100" t="s">
        <v>20</v>
      </c>
      <c r="R93" s="31"/>
      <c r="S93" s="32" t="s">
        <v>144</v>
      </c>
    </row>
    <row r="94" spans="4:19" x14ac:dyDescent="0.3">
      <c r="D94" s="32" t="s">
        <v>145</v>
      </c>
      <c r="E94" s="32" t="s">
        <v>44</v>
      </c>
      <c r="F94" s="31"/>
      <c r="G94" s="100">
        <v>0</v>
      </c>
      <c r="H94" s="31"/>
      <c r="I94" s="32" t="s">
        <v>146</v>
      </c>
      <c r="J94" s="5"/>
      <c r="M94" s="18"/>
      <c r="N94" s="32" t="s">
        <v>145</v>
      </c>
      <c r="O94" s="32" t="s">
        <v>44</v>
      </c>
      <c r="P94" s="31" t="s">
        <v>24</v>
      </c>
      <c r="Q94" s="100" t="s">
        <v>20</v>
      </c>
      <c r="R94" s="31"/>
      <c r="S94" s="32" t="s">
        <v>146</v>
      </c>
    </row>
    <row r="95" spans="4:19" x14ac:dyDescent="0.3">
      <c r="D95" s="32" t="s">
        <v>147</v>
      </c>
      <c r="E95" s="32" t="s">
        <v>39</v>
      </c>
      <c r="F95" s="31" t="s">
        <v>19</v>
      </c>
      <c r="G95" s="100"/>
      <c r="H95" s="31"/>
      <c r="I95" s="32" t="s">
        <v>148</v>
      </c>
      <c r="J95" s="5"/>
      <c r="M95" s="18"/>
      <c r="N95" s="32" t="s">
        <v>147</v>
      </c>
      <c r="O95" s="32" t="s">
        <v>39</v>
      </c>
      <c r="P95" s="31" t="s">
        <v>19</v>
      </c>
      <c r="Q95" s="100"/>
      <c r="R95" s="31"/>
      <c r="S95" s="32" t="s">
        <v>148</v>
      </c>
    </row>
    <row r="96" spans="4:19" x14ac:dyDescent="0.3">
      <c r="D96" s="32" t="s">
        <v>149</v>
      </c>
      <c r="E96" s="32" t="s">
        <v>23</v>
      </c>
      <c r="F96" s="31" t="s">
        <v>19</v>
      </c>
      <c r="G96" s="100"/>
      <c r="H96" s="31"/>
      <c r="I96" s="32" t="s">
        <v>150</v>
      </c>
      <c r="J96" s="5"/>
      <c r="M96" s="18"/>
      <c r="N96" s="32" t="s">
        <v>149</v>
      </c>
      <c r="O96" s="32" t="s">
        <v>23</v>
      </c>
      <c r="P96" s="31" t="s">
        <v>19</v>
      </c>
      <c r="Q96" s="100"/>
      <c r="R96" s="31"/>
      <c r="S96" s="32" t="s">
        <v>150</v>
      </c>
    </row>
    <row r="97" spans="4:19" x14ac:dyDescent="0.3">
      <c r="D97" s="32" t="s">
        <v>151</v>
      </c>
      <c r="E97" s="32" t="s">
        <v>36</v>
      </c>
      <c r="F97" s="31" t="s">
        <v>19</v>
      </c>
      <c r="G97" s="100"/>
      <c r="H97" s="31"/>
      <c r="I97" s="32" t="s">
        <v>152</v>
      </c>
      <c r="J97" s="5"/>
      <c r="M97" s="18"/>
      <c r="N97" s="32" t="s">
        <v>151</v>
      </c>
      <c r="O97" s="32" t="s">
        <v>36</v>
      </c>
      <c r="P97" s="31" t="s">
        <v>19</v>
      </c>
      <c r="Q97" s="100"/>
      <c r="R97" s="31"/>
      <c r="S97" s="32" t="s">
        <v>152</v>
      </c>
    </row>
    <row r="98" spans="4:19" x14ac:dyDescent="0.3">
      <c r="D98" s="32" t="s">
        <v>153</v>
      </c>
      <c r="E98" s="32" t="s">
        <v>96</v>
      </c>
      <c r="F98" s="31" t="s">
        <v>19</v>
      </c>
      <c r="G98" s="100"/>
      <c r="H98" s="31"/>
      <c r="I98" s="32" t="s">
        <v>154</v>
      </c>
      <c r="J98" s="5"/>
      <c r="M98" s="18"/>
      <c r="N98" s="32" t="s">
        <v>153</v>
      </c>
      <c r="O98" s="32" t="s">
        <v>96</v>
      </c>
      <c r="P98" s="31" t="s">
        <v>19</v>
      </c>
      <c r="Q98" s="100"/>
      <c r="R98" s="31"/>
      <c r="S98" s="32" t="s">
        <v>154</v>
      </c>
    </row>
    <row r="99" spans="4:19" x14ac:dyDescent="0.3">
      <c r="D99" s="32" t="s">
        <v>155</v>
      </c>
      <c r="E99" s="32" t="s">
        <v>112</v>
      </c>
      <c r="F99" s="31" t="s">
        <v>19</v>
      </c>
      <c r="G99" s="100"/>
      <c r="H99" s="31"/>
      <c r="I99" s="32" t="s">
        <v>156</v>
      </c>
      <c r="J99" s="5"/>
      <c r="M99" s="18"/>
      <c r="N99" s="32" t="s">
        <v>155</v>
      </c>
      <c r="O99" s="32" t="s">
        <v>112</v>
      </c>
      <c r="P99" s="31" t="s">
        <v>19</v>
      </c>
      <c r="Q99" s="100"/>
      <c r="R99" s="31"/>
      <c r="S99" s="32" t="s">
        <v>156</v>
      </c>
    </row>
    <row r="100" spans="4:19" x14ac:dyDescent="0.3">
      <c r="D100" s="32" t="s">
        <v>157</v>
      </c>
      <c r="E100" s="32" t="s">
        <v>96</v>
      </c>
      <c r="F100" s="31" t="s">
        <v>19</v>
      </c>
      <c r="G100" s="100"/>
      <c r="H100" s="31"/>
      <c r="I100" s="32" t="s">
        <v>158</v>
      </c>
      <c r="J100" s="5"/>
      <c r="M100" s="18"/>
      <c r="N100" s="32" t="s">
        <v>157</v>
      </c>
      <c r="O100" s="32" t="s">
        <v>96</v>
      </c>
      <c r="P100" s="31" t="s">
        <v>19</v>
      </c>
      <c r="Q100" s="100"/>
      <c r="R100" s="31"/>
      <c r="S100" s="32" t="s">
        <v>158</v>
      </c>
    </row>
    <row r="101" spans="4:19" x14ac:dyDescent="0.3">
      <c r="D101" s="32" t="s">
        <v>159</v>
      </c>
      <c r="E101" s="32" t="s">
        <v>96</v>
      </c>
      <c r="F101" s="31" t="s">
        <v>19</v>
      </c>
      <c r="G101" s="100"/>
      <c r="H101" s="31"/>
      <c r="I101" s="32" t="s">
        <v>160</v>
      </c>
      <c r="J101" s="5"/>
      <c r="M101" s="18"/>
      <c r="N101" s="32" t="s">
        <v>159</v>
      </c>
      <c r="O101" s="32" t="s">
        <v>96</v>
      </c>
      <c r="P101" s="31" t="s">
        <v>19</v>
      </c>
      <c r="Q101" s="100"/>
      <c r="R101" s="31"/>
      <c r="S101" s="32" t="s">
        <v>160</v>
      </c>
    </row>
    <row r="102" spans="4:19" x14ac:dyDescent="0.3">
      <c r="D102" s="32" t="s">
        <v>161</v>
      </c>
      <c r="E102" s="32" t="s">
        <v>99</v>
      </c>
      <c r="F102" s="31" t="s">
        <v>19</v>
      </c>
      <c r="G102" s="100"/>
      <c r="H102" s="31"/>
      <c r="I102" s="32" t="s">
        <v>162</v>
      </c>
      <c r="J102" s="5"/>
      <c r="M102" s="18"/>
      <c r="N102" s="32" t="s">
        <v>161</v>
      </c>
      <c r="O102" s="32" t="s">
        <v>99</v>
      </c>
      <c r="P102" s="31" t="s">
        <v>19</v>
      </c>
      <c r="Q102" s="100"/>
      <c r="R102" s="31"/>
      <c r="S102" s="32" t="s">
        <v>162</v>
      </c>
    </row>
    <row r="103" spans="4:19" x14ac:dyDescent="0.3">
      <c r="D103" s="32" t="s">
        <v>163</v>
      </c>
      <c r="E103" s="32" t="s">
        <v>99</v>
      </c>
      <c r="F103" s="31" t="s">
        <v>19</v>
      </c>
      <c r="G103" s="100"/>
      <c r="H103" s="31"/>
      <c r="I103" s="32" t="s">
        <v>164</v>
      </c>
      <c r="J103" s="5"/>
      <c r="M103" s="18"/>
      <c r="N103" s="32" t="s">
        <v>163</v>
      </c>
      <c r="O103" s="32" t="s">
        <v>99</v>
      </c>
      <c r="P103" s="31" t="s">
        <v>19</v>
      </c>
      <c r="Q103" s="100"/>
      <c r="R103" s="31"/>
      <c r="S103" s="32" t="s">
        <v>164</v>
      </c>
    </row>
    <row r="104" spans="4:19" x14ac:dyDescent="0.3">
      <c r="D104" s="32" t="s">
        <v>165</v>
      </c>
      <c r="E104" s="32" t="s">
        <v>99</v>
      </c>
      <c r="F104" s="31" t="s">
        <v>19</v>
      </c>
      <c r="G104" s="100"/>
      <c r="H104" s="31"/>
      <c r="I104" s="32" t="s">
        <v>166</v>
      </c>
      <c r="J104" s="5"/>
      <c r="M104" s="18"/>
      <c r="N104" s="32" t="s">
        <v>165</v>
      </c>
      <c r="O104" s="32" t="s">
        <v>99</v>
      </c>
      <c r="P104" s="31" t="s">
        <v>19</v>
      </c>
      <c r="Q104" s="100"/>
      <c r="R104" s="31"/>
      <c r="S104" s="32" t="s">
        <v>166</v>
      </c>
    </row>
    <row r="105" spans="4:19" x14ac:dyDescent="0.3">
      <c r="D105" s="32" t="s">
        <v>167</v>
      </c>
      <c r="E105" s="32" t="s">
        <v>23</v>
      </c>
      <c r="F105" s="31"/>
      <c r="G105" s="100"/>
      <c r="H105" s="31"/>
      <c r="I105" s="32" t="s">
        <v>168</v>
      </c>
      <c r="J105" s="5"/>
      <c r="M105" s="18"/>
      <c r="N105" s="32" t="s">
        <v>167</v>
      </c>
      <c r="O105" s="32" t="s">
        <v>23</v>
      </c>
      <c r="P105" s="31" t="s">
        <v>24</v>
      </c>
      <c r="Q105" s="100"/>
      <c r="R105" s="31"/>
      <c r="S105" s="32" t="s">
        <v>168</v>
      </c>
    </row>
    <row r="106" spans="4:19" x14ac:dyDescent="0.3">
      <c r="D106" s="32" t="s">
        <v>169</v>
      </c>
      <c r="E106" s="32" t="s">
        <v>23</v>
      </c>
      <c r="F106" s="31"/>
      <c r="G106" s="100"/>
      <c r="H106" s="31"/>
      <c r="I106" s="32" t="s">
        <v>170</v>
      </c>
      <c r="J106" s="5"/>
      <c r="M106" s="18"/>
      <c r="N106" s="32" t="s">
        <v>169</v>
      </c>
      <c r="O106" s="32" t="s">
        <v>23</v>
      </c>
      <c r="P106" s="31" t="s">
        <v>24</v>
      </c>
      <c r="Q106" s="100"/>
      <c r="R106" s="31"/>
      <c r="S106" s="32" t="s">
        <v>170</v>
      </c>
    </row>
    <row r="107" spans="4:19" x14ac:dyDescent="0.3">
      <c r="D107" s="32" t="s">
        <v>171</v>
      </c>
      <c r="E107" s="32" t="s">
        <v>23</v>
      </c>
      <c r="F107" s="31"/>
      <c r="G107" s="100"/>
      <c r="H107" s="31"/>
      <c r="I107" s="32" t="s">
        <v>172</v>
      </c>
      <c r="J107" s="5"/>
      <c r="M107" s="18"/>
      <c r="N107" s="32" t="s">
        <v>171</v>
      </c>
      <c r="O107" s="32" t="s">
        <v>23</v>
      </c>
      <c r="P107" s="31" t="s">
        <v>24</v>
      </c>
      <c r="Q107" s="100"/>
      <c r="R107" s="31"/>
      <c r="S107" s="32" t="s">
        <v>172</v>
      </c>
    </row>
    <row r="108" spans="4:19" x14ac:dyDescent="0.3">
      <c r="D108" s="32" t="s">
        <v>173</v>
      </c>
      <c r="E108" s="32" t="s">
        <v>39</v>
      </c>
      <c r="F108" s="31"/>
      <c r="G108" s="100"/>
      <c r="H108" s="31"/>
      <c r="I108" s="32" t="s">
        <v>174</v>
      </c>
      <c r="J108" s="5"/>
      <c r="M108" s="18"/>
      <c r="N108" s="32" t="s">
        <v>173</v>
      </c>
      <c r="O108" s="32" t="s">
        <v>39</v>
      </c>
      <c r="P108" s="31" t="s">
        <v>24</v>
      </c>
      <c r="Q108" s="100"/>
      <c r="R108" s="31"/>
      <c r="S108" s="32" t="s">
        <v>174</v>
      </c>
    </row>
    <row r="109" spans="4:19" x14ac:dyDescent="0.3">
      <c r="D109" s="32" t="s">
        <v>175</v>
      </c>
      <c r="E109" s="32" t="s">
        <v>23</v>
      </c>
      <c r="F109" s="31" t="s">
        <v>19</v>
      </c>
      <c r="G109" s="100"/>
      <c r="H109" s="31"/>
      <c r="I109" s="32" t="s">
        <v>176</v>
      </c>
      <c r="J109" s="5"/>
      <c r="M109" s="18"/>
      <c r="N109" s="32" t="s">
        <v>175</v>
      </c>
      <c r="O109" s="32" t="s">
        <v>23</v>
      </c>
      <c r="P109" s="31" t="s">
        <v>19</v>
      </c>
      <c r="Q109" s="100"/>
      <c r="R109" s="31"/>
      <c r="S109" s="32" t="s">
        <v>176</v>
      </c>
    </row>
    <row r="110" spans="4:19" x14ac:dyDescent="0.3">
      <c r="D110" s="32" t="s">
        <v>177</v>
      </c>
      <c r="E110" s="32" t="s">
        <v>39</v>
      </c>
      <c r="F110" s="31"/>
      <c r="G110" s="100"/>
      <c r="H110" s="31"/>
      <c r="I110" s="32" t="s">
        <v>178</v>
      </c>
      <c r="J110" s="5"/>
      <c r="M110" s="18"/>
      <c r="N110" s="32" t="s">
        <v>177</v>
      </c>
      <c r="O110" s="32" t="s">
        <v>39</v>
      </c>
      <c r="P110" s="31" t="s">
        <v>24</v>
      </c>
      <c r="Q110" s="100"/>
      <c r="R110" s="31"/>
      <c r="S110" s="32" t="s">
        <v>178</v>
      </c>
    </row>
    <row r="111" spans="4:19" x14ac:dyDescent="0.3">
      <c r="D111" s="32" t="s">
        <v>179</v>
      </c>
      <c r="E111" s="32" t="s">
        <v>23</v>
      </c>
      <c r="F111" s="31"/>
      <c r="G111" s="100"/>
      <c r="H111" s="31"/>
      <c r="I111" s="32" t="s">
        <v>180</v>
      </c>
      <c r="J111" s="5"/>
      <c r="M111" s="18"/>
      <c r="N111" s="32" t="s">
        <v>179</v>
      </c>
      <c r="O111" s="32" t="s">
        <v>23</v>
      </c>
      <c r="P111" s="31" t="s">
        <v>24</v>
      </c>
      <c r="Q111" s="100"/>
      <c r="R111" s="31"/>
      <c r="S111" s="32" t="s">
        <v>180</v>
      </c>
    </row>
    <row r="112" spans="4:19" x14ac:dyDescent="0.3">
      <c r="D112" s="32" t="s">
        <v>181</v>
      </c>
      <c r="E112" s="32" t="s">
        <v>23</v>
      </c>
      <c r="F112" s="31"/>
      <c r="G112" s="100"/>
      <c r="H112" s="31"/>
      <c r="I112" s="32" t="s">
        <v>182</v>
      </c>
      <c r="J112" s="5"/>
      <c r="M112" s="18"/>
      <c r="N112" s="32" t="s">
        <v>181</v>
      </c>
      <c r="O112" s="32" t="s">
        <v>23</v>
      </c>
      <c r="P112" s="31" t="s">
        <v>24</v>
      </c>
      <c r="Q112" s="100"/>
      <c r="R112" s="31"/>
      <c r="S112" s="32" t="s">
        <v>182</v>
      </c>
    </row>
    <row r="113" spans="4:19" x14ac:dyDescent="0.3">
      <c r="D113" s="32" t="s">
        <v>183</v>
      </c>
      <c r="E113" s="32" t="s">
        <v>184</v>
      </c>
      <c r="F113" s="31" t="s">
        <v>19</v>
      </c>
      <c r="G113" s="100"/>
      <c r="H113" s="31"/>
      <c r="I113" s="32" t="s">
        <v>185</v>
      </c>
      <c r="J113" s="5"/>
      <c r="M113" s="18"/>
      <c r="N113" s="32" t="s">
        <v>183</v>
      </c>
      <c r="O113" s="32" t="s">
        <v>184</v>
      </c>
      <c r="P113" s="31" t="s">
        <v>19</v>
      </c>
      <c r="Q113" s="100"/>
      <c r="R113" s="31"/>
      <c r="S113" s="32" t="s">
        <v>185</v>
      </c>
    </row>
    <row r="114" spans="4:19" x14ac:dyDescent="0.3">
      <c r="D114" s="32" t="s">
        <v>186</v>
      </c>
      <c r="E114" s="32" t="s">
        <v>44</v>
      </c>
      <c r="F114" s="31" t="s">
        <v>19</v>
      </c>
      <c r="G114" s="100"/>
      <c r="H114" s="31"/>
      <c r="I114" s="32" t="s">
        <v>187</v>
      </c>
      <c r="J114" s="5"/>
      <c r="M114" s="18"/>
      <c r="N114" s="32" t="s">
        <v>186</v>
      </c>
      <c r="O114" s="32" t="s">
        <v>44</v>
      </c>
      <c r="P114" s="31" t="s">
        <v>19</v>
      </c>
      <c r="Q114" s="100"/>
      <c r="R114" s="31"/>
      <c r="S114" s="32" t="s">
        <v>187</v>
      </c>
    </row>
    <row r="115" spans="4:19" x14ac:dyDescent="0.3">
      <c r="D115" s="32" t="s">
        <v>188</v>
      </c>
      <c r="E115" s="32" t="s">
        <v>39</v>
      </c>
      <c r="F115" s="31" t="s">
        <v>19</v>
      </c>
      <c r="G115" s="100" t="s">
        <v>189</v>
      </c>
      <c r="H115" s="31"/>
      <c r="I115" s="32" t="s">
        <v>190</v>
      </c>
      <c r="J115" s="5"/>
      <c r="M115" s="18"/>
      <c r="N115" s="32" t="s">
        <v>188</v>
      </c>
      <c r="O115" s="32" t="s">
        <v>39</v>
      </c>
      <c r="P115" s="31" t="s">
        <v>19</v>
      </c>
      <c r="Q115" s="100" t="s">
        <v>189</v>
      </c>
      <c r="R115" s="31"/>
      <c r="S115" s="32" t="s">
        <v>190</v>
      </c>
    </row>
    <row r="116" spans="4:19" x14ac:dyDescent="0.3">
      <c r="D116" s="32" t="s">
        <v>191</v>
      </c>
      <c r="E116" s="32" t="s">
        <v>39</v>
      </c>
      <c r="F116" s="31" t="s">
        <v>19</v>
      </c>
      <c r="G116" s="100" t="s">
        <v>192</v>
      </c>
      <c r="H116" s="31"/>
      <c r="I116" s="32" t="s">
        <v>193</v>
      </c>
      <c r="J116" s="5"/>
      <c r="M116" s="18"/>
      <c r="N116" s="32" t="s">
        <v>191</v>
      </c>
      <c r="O116" s="32" t="s">
        <v>39</v>
      </c>
      <c r="P116" s="31" t="s">
        <v>19</v>
      </c>
      <c r="Q116" s="100" t="s">
        <v>192</v>
      </c>
      <c r="R116" s="31"/>
      <c r="S116" s="32" t="s">
        <v>193</v>
      </c>
    </row>
    <row r="117" spans="4:19" x14ac:dyDescent="0.3">
      <c r="D117" s="32" t="s">
        <v>194</v>
      </c>
      <c r="E117" s="32" t="s">
        <v>39</v>
      </c>
      <c r="F117" s="31" t="s">
        <v>19</v>
      </c>
      <c r="G117" s="100" t="s">
        <v>192</v>
      </c>
      <c r="H117" s="31"/>
      <c r="I117" s="32" t="s">
        <v>195</v>
      </c>
      <c r="J117" s="5"/>
      <c r="M117" s="18"/>
      <c r="N117" s="32" t="s">
        <v>194</v>
      </c>
      <c r="O117" s="32" t="s">
        <v>39</v>
      </c>
      <c r="P117" s="31" t="s">
        <v>19</v>
      </c>
      <c r="Q117" s="100" t="s">
        <v>192</v>
      </c>
      <c r="R117" s="31"/>
      <c r="S117" s="32" t="s">
        <v>195</v>
      </c>
    </row>
    <row r="118" spans="4:19" x14ac:dyDescent="0.3">
      <c r="D118" s="32" t="s">
        <v>196</v>
      </c>
      <c r="E118" s="32" t="s">
        <v>23</v>
      </c>
      <c r="F118" s="31" t="s">
        <v>19</v>
      </c>
      <c r="G118" s="100"/>
      <c r="H118" s="31"/>
      <c r="I118" s="32" t="s">
        <v>197</v>
      </c>
      <c r="J118" s="5"/>
      <c r="M118" s="18"/>
      <c r="N118" s="32" t="s">
        <v>196</v>
      </c>
      <c r="O118" s="32" t="s">
        <v>23</v>
      </c>
      <c r="P118" s="31" t="s">
        <v>19</v>
      </c>
      <c r="Q118" s="100"/>
      <c r="R118" s="31"/>
      <c r="S118" s="32" t="s">
        <v>197</v>
      </c>
    </row>
    <row r="119" spans="4:19" x14ac:dyDescent="0.3">
      <c r="D119" s="32" t="s">
        <v>28</v>
      </c>
      <c r="E119" s="32" t="s">
        <v>23</v>
      </c>
      <c r="F119" s="31" t="s">
        <v>19</v>
      </c>
      <c r="G119" s="100"/>
      <c r="H119" s="31"/>
      <c r="I119" s="32" t="s">
        <v>29</v>
      </c>
      <c r="J119" s="5"/>
      <c r="M119" s="18"/>
      <c r="N119" s="32" t="s">
        <v>28</v>
      </c>
      <c r="O119" s="32" t="s">
        <v>23</v>
      </c>
      <c r="P119" s="31" t="s">
        <v>19</v>
      </c>
      <c r="Q119" s="100"/>
      <c r="R119" s="31"/>
      <c r="S119" s="32" t="s">
        <v>29</v>
      </c>
    </row>
    <row r="120" spans="4:19" x14ac:dyDescent="0.3">
      <c r="D120" s="32" t="s">
        <v>59</v>
      </c>
      <c r="E120" s="32" t="s">
        <v>60</v>
      </c>
      <c r="F120" s="31" t="s">
        <v>19</v>
      </c>
      <c r="G120" s="100"/>
      <c r="H120" s="31"/>
      <c r="I120" s="32" t="s">
        <v>198</v>
      </c>
      <c r="J120" s="5"/>
      <c r="M120" s="18"/>
      <c r="N120" s="32" t="s">
        <v>59</v>
      </c>
      <c r="O120" s="32" t="s">
        <v>60</v>
      </c>
      <c r="P120" s="31" t="s">
        <v>19</v>
      </c>
      <c r="Q120" s="100"/>
      <c r="R120" s="31"/>
      <c r="S120" s="32" t="s">
        <v>198</v>
      </c>
    </row>
    <row r="121" spans="4:19" x14ac:dyDescent="0.3">
      <c r="D121" s="32" t="s">
        <v>62</v>
      </c>
      <c r="E121" s="32" t="s">
        <v>60</v>
      </c>
      <c r="F121" s="31" t="s">
        <v>19</v>
      </c>
      <c r="G121" s="100"/>
      <c r="H121" s="31"/>
      <c r="I121" s="32" t="s">
        <v>199</v>
      </c>
      <c r="J121" s="5"/>
      <c r="M121" s="18"/>
      <c r="N121" s="32" t="s">
        <v>62</v>
      </c>
      <c r="O121" s="32" t="s">
        <v>60</v>
      </c>
      <c r="P121" s="31" t="s">
        <v>19</v>
      </c>
      <c r="Q121" s="100"/>
      <c r="R121" s="31"/>
      <c r="S121" s="32" t="s">
        <v>199</v>
      </c>
    </row>
    <row r="122" spans="4:19" x14ac:dyDescent="0.3">
      <c r="D122" s="32" t="s">
        <v>64</v>
      </c>
      <c r="E122" s="32" t="s">
        <v>60</v>
      </c>
      <c r="F122" s="31" t="s">
        <v>19</v>
      </c>
      <c r="G122" s="100"/>
      <c r="H122" s="31"/>
      <c r="I122" s="32" t="s">
        <v>200</v>
      </c>
      <c r="J122" s="5"/>
      <c r="M122" s="18"/>
      <c r="N122" s="32" t="s">
        <v>64</v>
      </c>
      <c r="O122" s="32" t="s">
        <v>60</v>
      </c>
      <c r="P122" s="31" t="s">
        <v>19</v>
      </c>
      <c r="Q122" s="100"/>
      <c r="R122" s="31"/>
      <c r="S122" s="32" t="s">
        <v>200</v>
      </c>
    </row>
    <row r="123" spans="4:19" x14ac:dyDescent="0.3">
      <c r="D123" s="32" t="s">
        <v>66</v>
      </c>
      <c r="E123" s="32" t="s">
        <v>60</v>
      </c>
      <c r="F123" s="31" t="s">
        <v>19</v>
      </c>
      <c r="G123" s="100"/>
      <c r="H123" s="31"/>
      <c r="I123" s="32" t="s">
        <v>201</v>
      </c>
      <c r="J123" s="5"/>
      <c r="M123" s="18"/>
      <c r="N123" s="32" t="s">
        <v>66</v>
      </c>
      <c r="O123" s="32" t="s">
        <v>60</v>
      </c>
      <c r="P123" s="31" t="s">
        <v>19</v>
      </c>
      <c r="Q123" s="100"/>
      <c r="R123" s="31"/>
      <c r="S123" s="32" t="s">
        <v>201</v>
      </c>
    </row>
    <row r="124" spans="4:19" x14ac:dyDescent="0.3">
      <c r="D124" s="32" t="s">
        <v>67</v>
      </c>
      <c r="E124" s="32" t="s">
        <v>60</v>
      </c>
      <c r="F124" s="31" t="s">
        <v>19</v>
      </c>
      <c r="G124" s="100"/>
      <c r="H124" s="31"/>
      <c r="I124" s="32" t="s">
        <v>202</v>
      </c>
      <c r="J124" s="5"/>
      <c r="M124" s="18"/>
      <c r="N124" s="32" t="s">
        <v>67</v>
      </c>
      <c r="O124" s="32" t="s">
        <v>60</v>
      </c>
      <c r="P124" s="31" t="s">
        <v>19</v>
      </c>
      <c r="Q124" s="100"/>
      <c r="R124" s="31"/>
      <c r="S124" s="32" t="s">
        <v>202</v>
      </c>
    </row>
    <row r="125" spans="4:19" x14ac:dyDescent="0.3">
      <c r="D125" s="32" t="s">
        <v>203</v>
      </c>
      <c r="E125" s="32" t="s">
        <v>23</v>
      </c>
      <c r="F125" s="31" t="s">
        <v>19</v>
      </c>
      <c r="G125" s="100"/>
      <c r="H125" s="31"/>
      <c r="I125" s="32" t="s">
        <v>204</v>
      </c>
      <c r="J125" s="5"/>
      <c r="M125" s="18"/>
      <c r="N125" s="32" t="s">
        <v>203</v>
      </c>
      <c r="O125" s="32" t="s">
        <v>23</v>
      </c>
      <c r="P125" s="31" t="s">
        <v>19</v>
      </c>
      <c r="Q125" s="100"/>
      <c r="R125" s="31"/>
      <c r="S125" s="32" t="s">
        <v>204</v>
      </c>
    </row>
    <row r="126" spans="4:19" x14ac:dyDescent="0.3">
      <c r="D126" s="32" t="s">
        <v>205</v>
      </c>
      <c r="E126" s="32" t="s">
        <v>23</v>
      </c>
      <c r="F126" s="31" t="s">
        <v>19</v>
      </c>
      <c r="G126" s="100"/>
      <c r="H126" s="31"/>
      <c r="I126" s="32" t="s">
        <v>206</v>
      </c>
      <c r="J126" s="5"/>
      <c r="M126" s="18"/>
      <c r="N126" s="32" t="s">
        <v>205</v>
      </c>
      <c r="O126" s="32" t="s">
        <v>23</v>
      </c>
      <c r="P126" s="31" t="s">
        <v>19</v>
      </c>
      <c r="Q126" s="100"/>
      <c r="R126" s="31"/>
      <c r="S126" s="32" t="s">
        <v>206</v>
      </c>
    </row>
    <row r="127" spans="4:19" x14ac:dyDescent="0.3">
      <c r="D127" s="32" t="s">
        <v>207</v>
      </c>
      <c r="E127" s="32" t="s">
        <v>44</v>
      </c>
      <c r="F127" s="31" t="s">
        <v>19</v>
      </c>
      <c r="G127" s="100">
        <v>0</v>
      </c>
      <c r="H127" s="31"/>
      <c r="I127" s="32"/>
      <c r="J127" s="5"/>
      <c r="M127" s="18"/>
      <c r="N127" s="32" t="s">
        <v>207</v>
      </c>
      <c r="O127" s="32" t="s">
        <v>44</v>
      </c>
      <c r="P127" s="31" t="s">
        <v>19</v>
      </c>
      <c r="Q127" s="100" t="s">
        <v>20</v>
      </c>
      <c r="R127" s="31"/>
      <c r="S127" s="32"/>
    </row>
    <row r="128" spans="4:19" x14ac:dyDescent="0.3">
      <c r="D128" s="32" t="s">
        <v>208</v>
      </c>
      <c r="E128" s="32" t="s">
        <v>44</v>
      </c>
      <c r="F128" s="31" t="s">
        <v>19</v>
      </c>
      <c r="G128" s="100">
        <v>0</v>
      </c>
      <c r="H128" s="31"/>
      <c r="I128" s="32" t="s">
        <v>209</v>
      </c>
      <c r="J128" s="5"/>
      <c r="M128" s="18"/>
      <c r="N128" s="32" t="s">
        <v>208</v>
      </c>
      <c r="O128" s="32" t="s">
        <v>44</v>
      </c>
      <c r="P128" s="31" t="s">
        <v>19</v>
      </c>
      <c r="Q128" s="100" t="s">
        <v>20</v>
      </c>
      <c r="R128" s="31"/>
      <c r="S128" s="32" t="s">
        <v>209</v>
      </c>
    </row>
    <row r="129" spans="4:19" x14ac:dyDescent="0.3">
      <c r="D129" s="32" t="s">
        <v>210</v>
      </c>
      <c r="E129" s="32" t="s">
        <v>44</v>
      </c>
      <c r="F129" s="31" t="s">
        <v>19</v>
      </c>
      <c r="G129" s="100">
        <v>0</v>
      </c>
      <c r="H129" s="31"/>
      <c r="I129" s="32" t="s">
        <v>211</v>
      </c>
      <c r="J129" s="5"/>
      <c r="M129" s="18"/>
      <c r="N129" s="32" t="s">
        <v>210</v>
      </c>
      <c r="O129" s="32" t="s">
        <v>44</v>
      </c>
      <c r="P129" s="31" t="s">
        <v>19</v>
      </c>
      <c r="Q129" s="100" t="s">
        <v>20</v>
      </c>
      <c r="R129" s="31"/>
      <c r="S129" s="32" t="s">
        <v>211</v>
      </c>
    </row>
    <row r="130" spans="4:19" x14ac:dyDescent="0.3">
      <c r="D130" s="32" t="s">
        <v>212</v>
      </c>
      <c r="E130" s="32" t="s">
        <v>44</v>
      </c>
      <c r="F130" s="31" t="s">
        <v>19</v>
      </c>
      <c r="G130" s="100">
        <v>0</v>
      </c>
      <c r="H130" s="31"/>
      <c r="I130" s="32" t="s">
        <v>213</v>
      </c>
      <c r="J130" s="5"/>
      <c r="M130" s="18"/>
      <c r="N130" s="32" t="s">
        <v>212</v>
      </c>
      <c r="O130" s="32" t="s">
        <v>44</v>
      </c>
      <c r="P130" s="31" t="s">
        <v>19</v>
      </c>
      <c r="Q130" s="100" t="s">
        <v>20</v>
      </c>
      <c r="R130" s="31"/>
      <c r="S130" s="32" t="s">
        <v>213</v>
      </c>
    </row>
    <row r="131" spans="4:19" x14ac:dyDescent="0.3">
      <c r="D131" s="32" t="s">
        <v>214</v>
      </c>
      <c r="E131" s="32" t="s">
        <v>60</v>
      </c>
      <c r="F131" s="31" t="s">
        <v>19</v>
      </c>
      <c r="G131" s="100"/>
      <c r="H131" s="31"/>
      <c r="I131" s="32" t="s">
        <v>215</v>
      </c>
      <c r="J131" s="5"/>
      <c r="M131" s="18"/>
      <c r="N131" s="32" t="s">
        <v>214</v>
      </c>
      <c r="O131" s="32" t="s">
        <v>60</v>
      </c>
      <c r="P131" s="31" t="s">
        <v>19</v>
      </c>
      <c r="Q131" s="100"/>
      <c r="R131" s="31"/>
      <c r="S131" s="32" t="s">
        <v>321</v>
      </c>
    </row>
    <row r="132" spans="4:19" x14ac:dyDescent="0.3">
      <c r="D132" s="32" t="s">
        <v>216</v>
      </c>
      <c r="E132" s="32" t="s">
        <v>60</v>
      </c>
      <c r="F132" s="31" t="s">
        <v>19</v>
      </c>
      <c r="G132" s="100"/>
      <c r="H132" s="31"/>
      <c r="I132" s="32" t="s">
        <v>217</v>
      </c>
      <c r="J132" s="5"/>
      <c r="M132" s="18"/>
      <c r="N132" s="32" t="s">
        <v>216</v>
      </c>
      <c r="O132" s="32" t="s">
        <v>60</v>
      </c>
      <c r="P132" s="31" t="s">
        <v>19</v>
      </c>
      <c r="Q132" s="100"/>
      <c r="R132" s="31"/>
      <c r="S132" s="32" t="s">
        <v>217</v>
      </c>
    </row>
    <row r="133" spans="4:19" x14ac:dyDescent="0.3">
      <c r="D133" s="32" t="s">
        <v>218</v>
      </c>
      <c r="E133" s="32" t="s">
        <v>60</v>
      </c>
      <c r="F133" s="31" t="s">
        <v>19</v>
      </c>
      <c r="G133" s="100"/>
      <c r="H133" s="31"/>
      <c r="I133" s="32" t="s">
        <v>219</v>
      </c>
      <c r="J133" s="5"/>
      <c r="M133" s="18"/>
      <c r="N133" s="32" t="s">
        <v>218</v>
      </c>
      <c r="O133" s="32" t="s">
        <v>60</v>
      </c>
      <c r="P133" s="31" t="s">
        <v>19</v>
      </c>
      <c r="Q133" s="100"/>
      <c r="R133" s="31"/>
      <c r="S133" s="32" t="s">
        <v>219</v>
      </c>
    </row>
    <row r="134" spans="4:19" x14ac:dyDescent="0.3">
      <c r="D134" s="32" t="s">
        <v>220</v>
      </c>
      <c r="E134" s="32" t="s">
        <v>60</v>
      </c>
      <c r="F134" s="31" t="s">
        <v>19</v>
      </c>
      <c r="G134" s="100"/>
      <c r="H134" s="31"/>
      <c r="I134" s="32"/>
      <c r="J134" s="5"/>
      <c r="M134" s="18"/>
      <c r="N134" s="32" t="s">
        <v>220</v>
      </c>
      <c r="O134" s="32" t="s">
        <v>60</v>
      </c>
      <c r="P134" s="31" t="s">
        <v>19</v>
      </c>
      <c r="Q134" s="100"/>
      <c r="R134" s="31"/>
      <c r="S134" s="32"/>
    </row>
    <row r="135" spans="4:19" x14ac:dyDescent="0.3">
      <c r="D135" s="32" t="s">
        <v>221</v>
      </c>
      <c r="E135" s="32" t="s">
        <v>60</v>
      </c>
      <c r="F135" s="31" t="s">
        <v>19</v>
      </c>
      <c r="G135" s="100"/>
      <c r="H135" s="31"/>
      <c r="I135" s="32" t="s">
        <v>222</v>
      </c>
      <c r="J135" s="5"/>
      <c r="M135" s="18"/>
      <c r="N135" s="32" t="s">
        <v>221</v>
      </c>
      <c r="O135" s="32" t="s">
        <v>60</v>
      </c>
      <c r="P135" s="31" t="s">
        <v>19</v>
      </c>
      <c r="Q135" s="100"/>
      <c r="R135" s="31"/>
      <c r="S135" s="32" t="s">
        <v>222</v>
      </c>
    </row>
    <row r="136" spans="4:19" x14ac:dyDescent="0.3">
      <c r="D136" s="32" t="s">
        <v>223</v>
      </c>
      <c r="E136" s="32" t="s">
        <v>60</v>
      </c>
      <c r="F136" s="31" t="s">
        <v>19</v>
      </c>
      <c r="G136" s="100"/>
      <c r="H136" s="31"/>
      <c r="I136" s="32" t="s">
        <v>224</v>
      </c>
      <c r="J136" s="5"/>
      <c r="M136" s="18"/>
      <c r="N136" s="32" t="s">
        <v>223</v>
      </c>
      <c r="O136" s="32" t="s">
        <v>60</v>
      </c>
      <c r="P136" s="31" t="s">
        <v>19</v>
      </c>
      <c r="Q136" s="100"/>
      <c r="R136" s="31"/>
      <c r="S136" s="32" t="s">
        <v>224</v>
      </c>
    </row>
    <row r="137" spans="4:19" x14ac:dyDescent="0.3">
      <c r="D137" s="32" t="s">
        <v>225</v>
      </c>
      <c r="E137" s="32" t="s">
        <v>60</v>
      </c>
      <c r="F137" s="31" t="s">
        <v>19</v>
      </c>
      <c r="G137" s="100"/>
      <c r="H137" s="31"/>
      <c r="I137" s="32" t="s">
        <v>226</v>
      </c>
      <c r="J137" s="5"/>
      <c r="M137" s="18"/>
      <c r="N137" s="32" t="s">
        <v>225</v>
      </c>
      <c r="O137" s="32" t="s">
        <v>60</v>
      </c>
      <c r="P137" s="31" t="s">
        <v>19</v>
      </c>
      <c r="Q137" s="100"/>
      <c r="R137" s="31"/>
      <c r="S137" s="32" t="s">
        <v>226</v>
      </c>
    </row>
    <row r="138" spans="4:19" x14ac:dyDescent="0.3">
      <c r="D138" s="32" t="s">
        <v>227</v>
      </c>
      <c r="E138" s="32" t="s">
        <v>60</v>
      </c>
      <c r="F138" s="31" t="s">
        <v>19</v>
      </c>
      <c r="G138" s="100"/>
      <c r="H138" s="31"/>
      <c r="I138" s="32" t="s">
        <v>228</v>
      </c>
      <c r="J138" s="5"/>
      <c r="M138" s="18"/>
      <c r="N138" s="32" t="s">
        <v>227</v>
      </c>
      <c r="O138" s="32" t="s">
        <v>60</v>
      </c>
      <c r="P138" s="31" t="s">
        <v>19</v>
      </c>
      <c r="Q138" s="100"/>
      <c r="R138" s="31"/>
      <c r="S138" s="32" t="s">
        <v>322</v>
      </c>
    </row>
    <row r="139" spans="4:19" x14ac:dyDescent="0.3">
      <c r="D139" s="32" t="s">
        <v>229</v>
      </c>
      <c r="E139" s="32" t="s">
        <v>60</v>
      </c>
      <c r="F139" s="31" t="s">
        <v>19</v>
      </c>
      <c r="G139" s="100"/>
      <c r="H139" s="31"/>
      <c r="I139" s="32" t="s">
        <v>230</v>
      </c>
      <c r="J139" s="5"/>
      <c r="M139" s="18"/>
      <c r="N139" s="32" t="s">
        <v>229</v>
      </c>
      <c r="O139" s="32" t="s">
        <v>60</v>
      </c>
      <c r="P139" s="31" t="s">
        <v>19</v>
      </c>
      <c r="Q139" s="100"/>
      <c r="R139" s="31"/>
      <c r="S139" s="32" t="s">
        <v>230</v>
      </c>
    </row>
    <row r="140" spans="4:19" x14ac:dyDescent="0.3">
      <c r="D140" s="32" t="s">
        <v>231</v>
      </c>
      <c r="E140" s="32" t="s">
        <v>60</v>
      </c>
      <c r="F140" s="31" t="s">
        <v>19</v>
      </c>
      <c r="G140" s="100"/>
      <c r="H140" s="31"/>
      <c r="I140" s="32" t="s">
        <v>232</v>
      </c>
      <c r="J140" s="5"/>
      <c r="M140" s="18"/>
      <c r="N140" s="32" t="s">
        <v>231</v>
      </c>
      <c r="O140" s="32" t="s">
        <v>60</v>
      </c>
      <c r="P140" s="31" t="s">
        <v>19</v>
      </c>
      <c r="Q140" s="100"/>
      <c r="R140" s="31"/>
      <c r="S140" s="32" t="s">
        <v>323</v>
      </c>
    </row>
    <row r="141" spans="4:19" x14ac:dyDescent="0.3">
      <c r="D141" s="32" t="s">
        <v>233</v>
      </c>
      <c r="E141" s="32" t="s">
        <v>60</v>
      </c>
      <c r="F141" s="31" t="s">
        <v>19</v>
      </c>
      <c r="G141" s="100"/>
      <c r="H141" s="31"/>
      <c r="I141" s="32"/>
      <c r="J141" s="5"/>
      <c r="M141" s="18"/>
      <c r="N141" s="32" t="s">
        <v>233</v>
      </c>
      <c r="O141" s="32" t="s">
        <v>60</v>
      </c>
      <c r="P141" s="31" t="s">
        <v>19</v>
      </c>
      <c r="Q141" s="100"/>
      <c r="R141" s="31"/>
      <c r="S141" s="32"/>
    </row>
    <row r="142" spans="4:19" x14ac:dyDescent="0.3">
      <c r="D142" s="32" t="s">
        <v>234</v>
      </c>
      <c r="E142" s="32" t="s">
        <v>23</v>
      </c>
      <c r="F142" s="31" t="s">
        <v>19</v>
      </c>
      <c r="G142" s="100"/>
      <c r="H142" s="31"/>
      <c r="I142" s="32" t="s">
        <v>235</v>
      </c>
      <c r="J142" s="5"/>
      <c r="M142" s="18"/>
      <c r="N142" s="32" t="s">
        <v>234</v>
      </c>
      <c r="O142" s="32" t="s">
        <v>23</v>
      </c>
      <c r="P142" s="31" t="s">
        <v>19</v>
      </c>
      <c r="Q142" s="100"/>
      <c r="R142" s="31"/>
      <c r="S142" s="32" t="s">
        <v>235</v>
      </c>
    </row>
    <row r="143" spans="4:19" x14ac:dyDescent="0.3">
      <c r="D143" s="32" t="s">
        <v>236</v>
      </c>
      <c r="E143" s="32" t="s">
        <v>39</v>
      </c>
      <c r="F143" s="31" t="s">
        <v>19</v>
      </c>
      <c r="G143" s="100"/>
      <c r="H143" s="31"/>
      <c r="I143" s="32" t="s">
        <v>237</v>
      </c>
      <c r="J143" s="5"/>
      <c r="M143" s="18"/>
      <c r="N143" s="32" t="s">
        <v>236</v>
      </c>
      <c r="O143" s="32" t="s">
        <v>39</v>
      </c>
      <c r="P143" s="31" t="s">
        <v>19</v>
      </c>
      <c r="Q143" s="100"/>
      <c r="R143" s="31"/>
      <c r="S143" s="32" t="s">
        <v>237</v>
      </c>
    </row>
    <row r="144" spans="4:19" x14ac:dyDescent="0.3">
      <c r="D144" s="32" t="s">
        <v>238</v>
      </c>
      <c r="E144" s="32" t="s">
        <v>239</v>
      </c>
      <c r="F144" s="31" t="s">
        <v>19</v>
      </c>
      <c r="G144" s="100"/>
      <c r="H144" s="31"/>
      <c r="I144" s="32" t="s">
        <v>240</v>
      </c>
      <c r="J144" s="5"/>
      <c r="M144" s="18"/>
      <c r="N144" s="32" t="s">
        <v>238</v>
      </c>
      <c r="O144" s="32" t="s">
        <v>239</v>
      </c>
      <c r="P144" s="31" t="s">
        <v>19</v>
      </c>
      <c r="Q144" s="100"/>
      <c r="R144" s="31"/>
      <c r="S144" s="32" t="s">
        <v>240</v>
      </c>
    </row>
    <row r="145" spans="4:19" x14ac:dyDescent="0.3">
      <c r="D145" s="32" t="s">
        <v>241</v>
      </c>
      <c r="E145" s="32" t="s">
        <v>23</v>
      </c>
      <c r="F145" s="31" t="s">
        <v>19</v>
      </c>
      <c r="G145" s="100"/>
      <c r="H145" s="31"/>
      <c r="I145" s="32" t="s">
        <v>242</v>
      </c>
      <c r="J145" s="5"/>
      <c r="M145" s="18"/>
      <c r="N145" s="32" t="s">
        <v>241</v>
      </c>
      <c r="O145" s="32" t="s">
        <v>23</v>
      </c>
      <c r="P145" s="31" t="s">
        <v>19</v>
      </c>
      <c r="Q145" s="100"/>
      <c r="R145" s="31"/>
      <c r="S145" s="32" t="s">
        <v>242</v>
      </c>
    </row>
    <row r="146" spans="4:19" x14ac:dyDescent="0.3">
      <c r="D146" s="32" t="s">
        <v>243</v>
      </c>
      <c r="E146" s="32" t="s">
        <v>239</v>
      </c>
      <c r="F146" s="31" t="s">
        <v>19</v>
      </c>
      <c r="G146" s="100"/>
      <c r="H146" s="31"/>
      <c r="I146" s="32"/>
      <c r="J146" s="5"/>
      <c r="M146" s="18"/>
      <c r="N146" s="32" t="s">
        <v>243</v>
      </c>
      <c r="O146" s="32" t="s">
        <v>239</v>
      </c>
      <c r="P146" s="31" t="s">
        <v>19</v>
      </c>
      <c r="Q146" s="100"/>
      <c r="R146" s="31"/>
      <c r="S146" s="32"/>
    </row>
    <row r="147" spans="4:19" x14ac:dyDescent="0.3">
      <c r="D147" s="32" t="s">
        <v>244</v>
      </c>
      <c r="E147" s="32" t="s">
        <v>23</v>
      </c>
      <c r="F147" s="31" t="s">
        <v>19</v>
      </c>
      <c r="G147" s="100"/>
      <c r="H147" s="31"/>
      <c r="I147" s="32"/>
      <c r="J147" s="5"/>
      <c r="M147" s="18"/>
      <c r="N147" s="32" t="s">
        <v>244</v>
      </c>
      <c r="O147" s="32" t="s">
        <v>23</v>
      </c>
      <c r="P147" s="31" t="s">
        <v>19</v>
      </c>
      <c r="Q147" s="100"/>
      <c r="R147" s="31"/>
      <c r="S147" s="32"/>
    </row>
    <row r="148" spans="4:19" x14ac:dyDescent="0.3">
      <c r="D148" s="32" t="s">
        <v>245</v>
      </c>
      <c r="E148" s="32" t="s">
        <v>23</v>
      </c>
      <c r="F148" s="31" t="s">
        <v>19</v>
      </c>
      <c r="G148" s="100"/>
      <c r="H148" s="31"/>
      <c r="I148" s="32" t="s">
        <v>246</v>
      </c>
      <c r="J148" s="5"/>
      <c r="M148" s="18"/>
      <c r="N148" s="32" t="s">
        <v>245</v>
      </c>
      <c r="O148" s="32" t="s">
        <v>23</v>
      </c>
      <c r="P148" s="31" t="s">
        <v>19</v>
      </c>
      <c r="Q148" s="100"/>
      <c r="R148" s="31"/>
      <c r="S148" s="32" t="s">
        <v>246</v>
      </c>
    </row>
    <row r="149" spans="4:19" x14ac:dyDescent="0.3">
      <c r="D149" s="32" t="s">
        <v>247</v>
      </c>
      <c r="E149" s="32" t="s">
        <v>23</v>
      </c>
      <c r="F149" s="31" t="s">
        <v>19</v>
      </c>
      <c r="G149" s="100"/>
      <c r="H149" s="31"/>
      <c r="I149" s="32" t="s">
        <v>248</v>
      </c>
      <c r="J149" s="5"/>
      <c r="M149" s="18"/>
      <c r="N149" s="32" t="s">
        <v>249</v>
      </c>
      <c r="O149" s="32" t="s">
        <v>23</v>
      </c>
      <c r="P149" s="31" t="s">
        <v>19</v>
      </c>
      <c r="Q149" s="100"/>
      <c r="R149" s="31"/>
      <c r="S149" s="32" t="s">
        <v>119</v>
      </c>
    </row>
    <row r="150" spans="4:19" x14ac:dyDescent="0.3">
      <c r="D150" s="32" t="s">
        <v>249</v>
      </c>
      <c r="E150" s="32" t="s">
        <v>23</v>
      </c>
      <c r="F150" s="31" t="s">
        <v>19</v>
      </c>
      <c r="G150" s="100"/>
      <c r="H150" s="31"/>
      <c r="I150" s="32" t="s">
        <v>250</v>
      </c>
      <c r="J150" s="5"/>
      <c r="M150" s="18"/>
      <c r="N150" s="32" t="s">
        <v>251</v>
      </c>
      <c r="O150" s="32" t="s">
        <v>23</v>
      </c>
      <c r="P150" s="31" t="s">
        <v>19</v>
      </c>
      <c r="Q150" s="100"/>
      <c r="R150" s="31"/>
      <c r="S150" s="32" t="s">
        <v>252</v>
      </c>
    </row>
    <row r="151" spans="4:19" x14ac:dyDescent="0.3">
      <c r="D151" s="32" t="s">
        <v>251</v>
      </c>
      <c r="E151" s="32" t="s">
        <v>23</v>
      </c>
      <c r="F151" s="31" t="s">
        <v>19</v>
      </c>
      <c r="G151" s="100"/>
      <c r="H151" s="31"/>
      <c r="I151" s="32" t="s">
        <v>252</v>
      </c>
      <c r="J151" s="5"/>
      <c r="M151" s="18"/>
      <c r="N151" s="32" t="s">
        <v>253</v>
      </c>
      <c r="O151" s="32" t="s">
        <v>23</v>
      </c>
      <c r="P151" s="31" t="s">
        <v>19</v>
      </c>
      <c r="Q151" s="100"/>
      <c r="R151" s="31"/>
      <c r="S151" s="32" t="s">
        <v>254</v>
      </c>
    </row>
    <row r="152" spans="4:19" x14ac:dyDescent="0.3">
      <c r="D152" s="32" t="s">
        <v>253</v>
      </c>
      <c r="E152" s="32" t="s">
        <v>23</v>
      </c>
      <c r="F152" s="31" t="s">
        <v>19</v>
      </c>
      <c r="G152" s="100"/>
      <c r="H152" s="31"/>
      <c r="I152" s="32" t="s">
        <v>254</v>
      </c>
      <c r="J152" s="5"/>
      <c r="M152" s="18"/>
      <c r="N152" s="32" t="s">
        <v>255</v>
      </c>
      <c r="O152" s="32" t="s">
        <v>23</v>
      </c>
      <c r="P152" s="31" t="s">
        <v>19</v>
      </c>
      <c r="Q152" s="100"/>
      <c r="R152" s="31"/>
      <c r="S152" s="32" t="s">
        <v>256</v>
      </c>
    </row>
    <row r="153" spans="4:19" x14ac:dyDescent="0.3">
      <c r="D153" s="32" t="s">
        <v>255</v>
      </c>
      <c r="E153" s="32" t="s">
        <v>23</v>
      </c>
      <c r="F153" s="31" t="s">
        <v>19</v>
      </c>
      <c r="G153" s="100"/>
      <c r="H153" s="31"/>
      <c r="I153" s="32" t="s">
        <v>256</v>
      </c>
      <c r="J153" s="5"/>
      <c r="M153" s="18"/>
      <c r="N153" s="32" t="s">
        <v>257</v>
      </c>
      <c r="O153" s="32" t="s">
        <v>23</v>
      </c>
      <c r="P153" s="31" t="s">
        <v>19</v>
      </c>
      <c r="Q153" s="100"/>
      <c r="R153" s="31"/>
      <c r="S153" s="32" t="s">
        <v>258</v>
      </c>
    </row>
    <row r="154" spans="4:19" x14ac:dyDescent="0.3">
      <c r="D154" s="32" t="s">
        <v>257</v>
      </c>
      <c r="E154" s="32" t="s">
        <v>23</v>
      </c>
      <c r="F154" s="31" t="s">
        <v>19</v>
      </c>
      <c r="G154" s="100"/>
      <c r="H154" s="31"/>
      <c r="I154" s="32" t="s">
        <v>258</v>
      </c>
      <c r="J154" s="5"/>
      <c r="M154" s="18"/>
      <c r="N154" s="32" t="s">
        <v>259</v>
      </c>
      <c r="O154" s="32" t="s">
        <v>23</v>
      </c>
      <c r="P154" s="31" t="s">
        <v>19</v>
      </c>
      <c r="Q154" s="100"/>
      <c r="R154" s="31"/>
      <c r="S154" s="32" t="s">
        <v>260</v>
      </c>
    </row>
    <row r="155" spans="4:19" x14ac:dyDescent="0.3">
      <c r="D155" s="32" t="s">
        <v>259</v>
      </c>
      <c r="E155" s="32" t="s">
        <v>23</v>
      </c>
      <c r="F155" s="31" t="s">
        <v>19</v>
      </c>
      <c r="G155" s="100"/>
      <c r="H155" s="31"/>
      <c r="I155" s="32" t="s">
        <v>260</v>
      </c>
      <c r="J155" s="5"/>
      <c r="M155" s="18"/>
      <c r="N155" s="32" t="s">
        <v>261</v>
      </c>
      <c r="O155" s="32" t="s">
        <v>44</v>
      </c>
      <c r="P155" s="31" t="s">
        <v>19</v>
      </c>
      <c r="Q155" s="100"/>
      <c r="R155" s="31"/>
      <c r="S155" s="32"/>
    </row>
    <row r="156" spans="4:19" x14ac:dyDescent="0.3">
      <c r="D156" s="32" t="s">
        <v>261</v>
      </c>
      <c r="E156" s="32" t="s">
        <v>44</v>
      </c>
      <c r="F156" s="31" t="s">
        <v>19</v>
      </c>
      <c r="G156" s="100"/>
      <c r="H156" s="31"/>
      <c r="I156" s="32"/>
      <c r="J156" s="5"/>
      <c r="M156" s="18"/>
      <c r="N156" s="32" t="s">
        <v>262</v>
      </c>
      <c r="O156" s="32" t="s">
        <v>23</v>
      </c>
      <c r="P156" s="31" t="s">
        <v>19</v>
      </c>
      <c r="Q156" s="100"/>
      <c r="R156" s="31"/>
      <c r="S156" s="32" t="s">
        <v>263</v>
      </c>
    </row>
    <row r="157" spans="4:19" x14ac:dyDescent="0.3">
      <c r="D157" s="32" t="s">
        <v>262</v>
      </c>
      <c r="E157" s="32" t="s">
        <v>23</v>
      </c>
      <c r="F157" s="31" t="s">
        <v>19</v>
      </c>
      <c r="G157" s="100"/>
      <c r="H157" s="31"/>
      <c r="I157" s="32" t="s">
        <v>263</v>
      </c>
      <c r="J157" s="5"/>
      <c r="M157" s="18"/>
      <c r="N157" s="32" t="s">
        <v>247</v>
      </c>
      <c r="O157" s="32" t="s">
        <v>23</v>
      </c>
      <c r="P157" s="31" t="s">
        <v>19</v>
      </c>
      <c r="Q157" s="100"/>
      <c r="R157" s="31"/>
      <c r="S157" s="32" t="s">
        <v>248</v>
      </c>
    </row>
    <row r="158" spans="4:19" x14ac:dyDescent="0.3">
      <c r="D158" s="32" t="s">
        <v>264</v>
      </c>
      <c r="E158" s="32" t="s">
        <v>44</v>
      </c>
      <c r="F158" s="31" t="s">
        <v>19</v>
      </c>
      <c r="G158" s="100"/>
      <c r="H158" s="31"/>
      <c r="I158" s="32"/>
      <c r="J158" s="5"/>
      <c r="M158" s="18"/>
      <c r="N158" s="32" t="s">
        <v>264</v>
      </c>
      <c r="O158" s="32" t="s">
        <v>44</v>
      </c>
      <c r="P158" s="31" t="s">
        <v>19</v>
      </c>
      <c r="Q158" s="100"/>
      <c r="R158" s="31"/>
      <c r="S158" s="32"/>
    </row>
    <row r="159" spans="4:19" x14ac:dyDescent="0.3">
      <c r="D159" s="32" t="s">
        <v>265</v>
      </c>
      <c r="E159" s="32" t="s">
        <v>239</v>
      </c>
      <c r="F159" s="31" t="s">
        <v>19</v>
      </c>
      <c r="G159" s="100"/>
      <c r="H159" s="31"/>
      <c r="I159" s="32"/>
      <c r="J159" s="5"/>
      <c r="M159" s="18"/>
      <c r="N159" s="32" t="s">
        <v>268</v>
      </c>
      <c r="O159" s="32" t="s">
        <v>269</v>
      </c>
      <c r="P159" s="31" t="s">
        <v>19</v>
      </c>
      <c r="Q159" s="100"/>
      <c r="R159" s="31"/>
      <c r="S159" s="32"/>
    </row>
    <row r="160" spans="4:19" x14ac:dyDescent="0.3">
      <c r="D160" s="32" t="s">
        <v>266</v>
      </c>
      <c r="E160" s="32" t="s">
        <v>44</v>
      </c>
      <c r="F160" s="31" t="s">
        <v>19</v>
      </c>
      <c r="G160" s="100">
        <v>0</v>
      </c>
      <c r="H160" s="31"/>
      <c r="I160" s="32" t="s">
        <v>267</v>
      </c>
      <c r="J160" s="5"/>
      <c r="M160" s="18"/>
      <c r="N160" s="32" t="s">
        <v>282</v>
      </c>
      <c r="O160" s="32" t="s">
        <v>271</v>
      </c>
      <c r="P160" s="31" t="s">
        <v>19</v>
      </c>
      <c r="Q160" s="100"/>
      <c r="R160" s="31"/>
      <c r="S160" s="32" t="s">
        <v>283</v>
      </c>
    </row>
    <row r="161" spans="4:19" x14ac:dyDescent="0.3">
      <c r="D161" s="32" t="s">
        <v>268</v>
      </c>
      <c r="E161" s="32" t="s">
        <v>269</v>
      </c>
      <c r="F161" s="31" t="s">
        <v>19</v>
      </c>
      <c r="G161" s="100"/>
      <c r="H161" s="31"/>
      <c r="I161" s="32"/>
      <c r="J161" s="5"/>
      <c r="M161" s="18"/>
      <c r="N161" s="32" t="s">
        <v>284</v>
      </c>
      <c r="O161" s="32" t="s">
        <v>44</v>
      </c>
      <c r="P161" s="31" t="s">
        <v>19</v>
      </c>
      <c r="Q161" s="100"/>
      <c r="R161" s="31"/>
      <c r="S161" s="32" t="s">
        <v>285</v>
      </c>
    </row>
    <row r="162" spans="4:19" x14ac:dyDescent="0.3">
      <c r="D162" s="32" t="s">
        <v>270</v>
      </c>
      <c r="E162" s="32" t="s">
        <v>271</v>
      </c>
      <c r="F162" s="31" t="s">
        <v>19</v>
      </c>
      <c r="G162" s="100"/>
      <c r="H162" s="31"/>
      <c r="I162" s="32" t="s">
        <v>272</v>
      </c>
      <c r="J162" s="5"/>
      <c r="M162" s="18"/>
      <c r="N162" s="32" t="s">
        <v>286</v>
      </c>
      <c r="O162" s="32" t="s">
        <v>44</v>
      </c>
      <c r="P162" s="31" t="s">
        <v>19</v>
      </c>
      <c r="Q162" s="100"/>
      <c r="R162" s="31"/>
      <c r="S162" s="32" t="s">
        <v>287</v>
      </c>
    </row>
    <row r="163" spans="4:19" x14ac:dyDescent="0.3">
      <c r="D163" s="32" t="s">
        <v>273</v>
      </c>
      <c r="E163" s="32" t="s">
        <v>271</v>
      </c>
      <c r="F163" s="31" t="s">
        <v>19</v>
      </c>
      <c r="G163" s="100"/>
      <c r="H163" s="31"/>
      <c r="I163" s="32" t="s">
        <v>274</v>
      </c>
      <c r="J163" s="5"/>
      <c r="M163" s="18"/>
      <c r="N163" s="32" t="s">
        <v>270</v>
      </c>
      <c r="O163" s="32" t="s">
        <v>271</v>
      </c>
      <c r="P163" s="31" t="s">
        <v>19</v>
      </c>
      <c r="Q163" s="100"/>
      <c r="R163" s="31"/>
      <c r="S163" s="32" t="s">
        <v>324</v>
      </c>
    </row>
    <row r="164" spans="4:19" x14ac:dyDescent="0.3">
      <c r="D164" s="32" t="s">
        <v>275</v>
      </c>
      <c r="E164" s="32" t="s">
        <v>271</v>
      </c>
      <c r="F164" s="31" t="s">
        <v>19</v>
      </c>
      <c r="G164" s="100"/>
      <c r="H164" s="31"/>
      <c r="I164" s="32" t="s">
        <v>276</v>
      </c>
      <c r="J164" s="5"/>
      <c r="M164" s="18"/>
      <c r="N164" s="32" t="s">
        <v>273</v>
      </c>
      <c r="O164" s="32" t="s">
        <v>271</v>
      </c>
      <c r="P164" s="31" t="s">
        <v>19</v>
      </c>
      <c r="Q164" s="100"/>
      <c r="R164" s="31"/>
      <c r="S164" s="32" t="s">
        <v>274</v>
      </c>
    </row>
    <row r="165" spans="4:19" x14ac:dyDescent="0.3">
      <c r="D165" s="32" t="s">
        <v>277</v>
      </c>
      <c r="E165" s="32" t="s">
        <v>36</v>
      </c>
      <c r="F165" s="31" t="s">
        <v>19</v>
      </c>
      <c r="G165" s="100"/>
      <c r="H165" s="31"/>
      <c r="I165" s="32" t="s">
        <v>278</v>
      </c>
      <c r="J165" s="5"/>
      <c r="M165" s="18"/>
      <c r="N165" s="32" t="s">
        <v>275</v>
      </c>
      <c r="O165" s="32" t="s">
        <v>271</v>
      </c>
      <c r="P165" s="31" t="s">
        <v>19</v>
      </c>
      <c r="Q165" s="100"/>
      <c r="R165" s="31"/>
      <c r="S165" s="32" t="s">
        <v>276</v>
      </c>
    </row>
    <row r="166" spans="4:19" x14ac:dyDescent="0.3">
      <c r="D166" s="32" t="s">
        <v>279</v>
      </c>
      <c r="E166" s="32" t="s">
        <v>271</v>
      </c>
      <c r="F166" s="31" t="s">
        <v>19</v>
      </c>
      <c r="G166" s="100"/>
      <c r="H166" s="31"/>
      <c r="I166" s="32" t="s">
        <v>280</v>
      </c>
      <c r="J166" s="5"/>
      <c r="M166" s="18"/>
      <c r="N166" s="32" t="s">
        <v>277</v>
      </c>
      <c r="O166" s="32" t="s">
        <v>36</v>
      </c>
      <c r="P166" s="31" t="s">
        <v>19</v>
      </c>
      <c r="Q166" s="100"/>
      <c r="R166" s="31"/>
      <c r="S166" s="32" t="s">
        <v>278</v>
      </c>
    </row>
    <row r="167" spans="4:19" x14ac:dyDescent="0.3">
      <c r="D167" s="32" t="s">
        <v>281</v>
      </c>
      <c r="E167" s="32" t="s">
        <v>23</v>
      </c>
      <c r="F167" s="31" t="s">
        <v>19</v>
      </c>
      <c r="G167" s="100"/>
      <c r="H167" s="31"/>
      <c r="I167" s="32"/>
      <c r="J167" s="5"/>
      <c r="M167" s="18"/>
      <c r="N167" s="32" t="s">
        <v>279</v>
      </c>
      <c r="O167" s="32" t="s">
        <v>271</v>
      </c>
      <c r="P167" s="31" t="s">
        <v>19</v>
      </c>
      <c r="Q167" s="100"/>
      <c r="R167" s="31"/>
      <c r="S167" s="32" t="s">
        <v>280</v>
      </c>
    </row>
    <row r="168" spans="4:19" x14ac:dyDescent="0.3">
      <c r="D168" s="32" t="s">
        <v>282</v>
      </c>
      <c r="E168" s="32" t="s">
        <v>271</v>
      </c>
      <c r="F168" s="31" t="s">
        <v>19</v>
      </c>
      <c r="G168" s="100"/>
      <c r="H168" s="31"/>
      <c r="I168" s="32" t="s">
        <v>283</v>
      </c>
      <c r="J168" s="5"/>
      <c r="M168" s="18"/>
      <c r="N168" s="32" t="s">
        <v>298</v>
      </c>
      <c r="O168" s="32" t="s">
        <v>271</v>
      </c>
      <c r="P168" s="31" t="s">
        <v>19</v>
      </c>
      <c r="Q168" s="100" t="s">
        <v>189</v>
      </c>
      <c r="R168" s="31"/>
      <c r="S168" s="32" t="s">
        <v>299</v>
      </c>
    </row>
    <row r="169" spans="4:19" x14ac:dyDescent="0.3">
      <c r="D169" s="32" t="s">
        <v>284</v>
      </c>
      <c r="E169" s="32" t="s">
        <v>44</v>
      </c>
      <c r="F169" s="31" t="s">
        <v>19</v>
      </c>
      <c r="G169" s="100"/>
      <c r="H169" s="31"/>
      <c r="I169" s="32" t="s">
        <v>285</v>
      </c>
      <c r="J169" s="5"/>
      <c r="M169" s="18"/>
      <c r="N169" s="32" t="s">
        <v>290</v>
      </c>
      <c r="O169" s="32" t="s">
        <v>23</v>
      </c>
      <c r="P169" s="31" t="s">
        <v>19</v>
      </c>
      <c r="Q169" s="100"/>
      <c r="R169" s="31"/>
      <c r="S169" s="32"/>
    </row>
    <row r="170" spans="4:19" x14ac:dyDescent="0.3">
      <c r="D170" s="32" t="s">
        <v>286</v>
      </c>
      <c r="E170" s="32" t="s">
        <v>44</v>
      </c>
      <c r="F170" s="31" t="s">
        <v>19</v>
      </c>
      <c r="G170" s="100"/>
      <c r="H170" s="31"/>
      <c r="I170" s="32" t="s">
        <v>287</v>
      </c>
      <c r="J170" s="5"/>
      <c r="M170" s="18"/>
      <c r="N170" s="32" t="s">
        <v>281</v>
      </c>
      <c r="O170" s="32" t="s">
        <v>23</v>
      </c>
      <c r="P170" s="31" t="s">
        <v>19</v>
      </c>
      <c r="Q170" s="100"/>
      <c r="R170" s="31"/>
      <c r="S170" s="32"/>
    </row>
    <row r="171" spans="4:19" x14ac:dyDescent="0.3">
      <c r="D171" s="32" t="s">
        <v>288</v>
      </c>
      <c r="E171" s="32" t="s">
        <v>271</v>
      </c>
      <c r="F171" s="31" t="s">
        <v>19</v>
      </c>
      <c r="G171" s="100" t="s">
        <v>192</v>
      </c>
      <c r="H171" s="31"/>
      <c r="I171" s="32" t="s">
        <v>289</v>
      </c>
      <c r="J171" s="5"/>
      <c r="M171" s="18"/>
      <c r="N171" s="32" t="s">
        <v>308</v>
      </c>
      <c r="O171" s="32" t="s">
        <v>36</v>
      </c>
      <c r="P171" s="31" t="s">
        <v>19</v>
      </c>
      <c r="Q171" s="100"/>
      <c r="R171" s="31"/>
      <c r="S171" s="32" t="s">
        <v>309</v>
      </c>
    </row>
    <row r="172" spans="4:19" x14ac:dyDescent="0.3">
      <c r="D172" s="32" t="s">
        <v>290</v>
      </c>
      <c r="E172" s="32" t="s">
        <v>23</v>
      </c>
      <c r="F172" s="31" t="s">
        <v>19</v>
      </c>
      <c r="G172" s="100"/>
      <c r="H172" s="31"/>
      <c r="I172" s="32" t="s">
        <v>291</v>
      </c>
      <c r="J172" s="5"/>
      <c r="M172" s="18"/>
      <c r="N172" s="32" t="s">
        <v>310</v>
      </c>
      <c r="O172" s="32" t="s">
        <v>44</v>
      </c>
      <c r="P172" s="31" t="s">
        <v>19</v>
      </c>
      <c r="Q172" s="100"/>
      <c r="R172" s="31"/>
      <c r="S172" s="32" t="s">
        <v>311</v>
      </c>
    </row>
    <row r="173" spans="4:19" x14ac:dyDescent="0.3">
      <c r="D173" s="32" t="s">
        <v>292</v>
      </c>
      <c r="E173" s="32" t="s">
        <v>133</v>
      </c>
      <c r="F173" s="31" t="s">
        <v>19</v>
      </c>
      <c r="G173" s="100"/>
      <c r="H173" s="31"/>
      <c r="I173" s="32" t="s">
        <v>293</v>
      </c>
      <c r="J173" s="5"/>
      <c r="M173" s="18"/>
      <c r="N173" s="37" t="s">
        <v>312</v>
      </c>
      <c r="O173" s="37" t="s">
        <v>44</v>
      </c>
      <c r="P173" s="36" t="s">
        <v>19</v>
      </c>
      <c r="Q173" s="101"/>
      <c r="R173" s="36"/>
      <c r="S173" s="37" t="s">
        <v>313</v>
      </c>
    </row>
    <row r="174" spans="4:19" x14ac:dyDescent="0.3">
      <c r="D174" s="32" t="s">
        <v>294</v>
      </c>
      <c r="E174" s="32" t="s">
        <v>133</v>
      </c>
      <c r="F174" s="31" t="s">
        <v>19</v>
      </c>
      <c r="G174" s="100"/>
      <c r="H174" s="31"/>
      <c r="I174" s="32" t="s">
        <v>295</v>
      </c>
      <c r="J174" s="5"/>
      <c r="M174" s="18"/>
      <c r="N174" s="5"/>
      <c r="O174" s="5"/>
      <c r="P174" s="12"/>
      <c r="Q174" s="15"/>
      <c r="R174" s="12"/>
      <c r="S174" s="5"/>
    </row>
    <row r="175" spans="4:19" x14ac:dyDescent="0.3">
      <c r="D175" s="32" t="s">
        <v>296</v>
      </c>
      <c r="E175" s="32" t="s">
        <v>44</v>
      </c>
      <c r="F175" s="31" t="s">
        <v>19</v>
      </c>
      <c r="G175" s="100">
        <v>0</v>
      </c>
      <c r="H175" s="31"/>
      <c r="I175" s="32"/>
      <c r="J175" s="5"/>
      <c r="M175" s="18"/>
      <c r="N175" s="5"/>
      <c r="O175" s="5"/>
      <c r="P175" s="12"/>
      <c r="Q175" s="15"/>
      <c r="R175" s="12"/>
      <c r="S175" s="5"/>
    </row>
    <row r="176" spans="4:19" x14ac:dyDescent="0.3">
      <c r="D176" s="32" t="s">
        <v>297</v>
      </c>
      <c r="E176" s="32" t="s">
        <v>239</v>
      </c>
      <c r="F176" s="31" t="s">
        <v>19</v>
      </c>
      <c r="G176" s="100"/>
      <c r="H176" s="31"/>
      <c r="I176" s="32"/>
      <c r="J176" s="5"/>
      <c r="M176" s="18"/>
      <c r="N176" s="5"/>
      <c r="O176" s="5"/>
      <c r="P176" s="12"/>
      <c r="Q176" s="15"/>
      <c r="R176" s="12"/>
      <c r="S176" s="5"/>
    </row>
    <row r="177" spans="4:19" x14ac:dyDescent="0.3">
      <c r="D177" s="32" t="s">
        <v>298</v>
      </c>
      <c r="E177" s="32" t="s">
        <v>271</v>
      </c>
      <c r="F177" s="31" t="s">
        <v>19</v>
      </c>
      <c r="G177" s="100" t="s">
        <v>189</v>
      </c>
      <c r="H177" s="31"/>
      <c r="I177" s="32" t="s">
        <v>299</v>
      </c>
      <c r="J177" s="5"/>
      <c r="M177" s="18"/>
      <c r="N177" s="5"/>
      <c r="O177" s="5"/>
      <c r="P177" s="12"/>
      <c r="Q177" s="15"/>
      <c r="R177" s="12"/>
      <c r="S177" s="5"/>
    </row>
    <row r="178" spans="4:19" x14ac:dyDescent="0.3">
      <c r="D178" s="32" t="s">
        <v>300</v>
      </c>
      <c r="E178" s="32" t="s">
        <v>271</v>
      </c>
      <c r="F178" s="31" t="s">
        <v>19</v>
      </c>
      <c r="G178" s="100" t="s">
        <v>4</v>
      </c>
      <c r="H178" s="31"/>
      <c r="I178" s="32" t="s">
        <v>301</v>
      </c>
      <c r="J178" s="5"/>
      <c r="M178" s="18"/>
      <c r="N178" s="5"/>
      <c r="O178" s="5"/>
      <c r="P178" s="12"/>
      <c r="Q178" s="15"/>
      <c r="R178" s="12"/>
      <c r="S178" s="5"/>
    </row>
    <row r="179" spans="4:19" x14ac:dyDescent="0.3">
      <c r="D179" s="32" t="s">
        <v>302</v>
      </c>
      <c r="E179" s="32" t="s">
        <v>271</v>
      </c>
      <c r="F179" s="31" t="s">
        <v>19</v>
      </c>
      <c r="G179" s="100" t="s">
        <v>192</v>
      </c>
      <c r="H179" s="31"/>
      <c r="I179" s="32" t="s">
        <v>303</v>
      </c>
      <c r="J179" s="5"/>
      <c r="M179" s="18"/>
      <c r="N179" s="5"/>
      <c r="O179" s="5"/>
      <c r="P179" s="12"/>
      <c r="Q179" s="15"/>
      <c r="R179" s="12"/>
      <c r="S179" s="5"/>
    </row>
    <row r="180" spans="4:19" x14ac:dyDescent="0.3">
      <c r="D180" s="32" t="s">
        <v>304</v>
      </c>
      <c r="E180" s="32" t="s">
        <v>271</v>
      </c>
      <c r="F180" s="31" t="s">
        <v>19</v>
      </c>
      <c r="G180" s="100" t="s">
        <v>192</v>
      </c>
      <c r="H180" s="31"/>
      <c r="I180" s="32" t="s">
        <v>305</v>
      </c>
      <c r="J180" s="5"/>
      <c r="M180" s="18"/>
      <c r="N180" s="5"/>
      <c r="O180" s="5"/>
      <c r="P180" s="12"/>
      <c r="Q180" s="15"/>
      <c r="R180" s="12"/>
      <c r="S180" s="5"/>
    </row>
    <row r="181" spans="4:19" x14ac:dyDescent="0.3">
      <c r="D181" s="32" t="s">
        <v>306</v>
      </c>
      <c r="E181" s="32" t="s">
        <v>271</v>
      </c>
      <c r="F181" s="31" t="s">
        <v>19</v>
      </c>
      <c r="G181" s="100" t="s">
        <v>189</v>
      </c>
      <c r="H181" s="31"/>
      <c r="I181" s="32" t="s">
        <v>307</v>
      </c>
      <c r="J181" s="5"/>
      <c r="M181" s="18"/>
      <c r="N181" s="5"/>
      <c r="O181" s="5"/>
      <c r="P181" s="12"/>
      <c r="Q181" s="15"/>
      <c r="R181" s="12"/>
      <c r="S181" s="5"/>
    </row>
    <row r="182" spans="4:19" x14ac:dyDescent="0.3">
      <c r="D182" s="32" t="s">
        <v>308</v>
      </c>
      <c r="E182" s="32" t="s">
        <v>36</v>
      </c>
      <c r="F182" s="31" t="s">
        <v>19</v>
      </c>
      <c r="G182" s="100"/>
      <c r="H182" s="31"/>
      <c r="I182" s="32" t="s">
        <v>309</v>
      </c>
      <c r="J182" s="5"/>
      <c r="M182" s="18"/>
      <c r="N182" s="5"/>
      <c r="O182" s="5"/>
      <c r="P182" s="12"/>
      <c r="Q182" s="15"/>
      <c r="R182" s="12"/>
      <c r="S182" s="5"/>
    </row>
    <row r="183" spans="4:19" x14ac:dyDescent="0.3">
      <c r="D183" s="32" t="s">
        <v>310</v>
      </c>
      <c r="E183" s="32" t="s">
        <v>44</v>
      </c>
      <c r="F183" s="31" t="s">
        <v>19</v>
      </c>
      <c r="G183" s="100"/>
      <c r="H183" s="31"/>
      <c r="I183" s="32" t="s">
        <v>311</v>
      </c>
      <c r="J183" s="5"/>
      <c r="M183" s="18"/>
      <c r="N183" s="5"/>
      <c r="O183" s="5"/>
      <c r="P183" s="12"/>
      <c r="Q183" s="15"/>
      <c r="R183" s="12"/>
      <c r="S183" s="5"/>
    </row>
    <row r="184" spans="4:19" x14ac:dyDescent="0.3">
      <c r="D184" s="32" t="s">
        <v>312</v>
      </c>
      <c r="E184" s="32" t="s">
        <v>44</v>
      </c>
      <c r="F184" s="31" t="s">
        <v>19</v>
      </c>
      <c r="G184" s="100"/>
      <c r="H184" s="31"/>
      <c r="I184" s="32" t="s">
        <v>313</v>
      </c>
      <c r="J184" s="5"/>
      <c r="M184" s="18"/>
      <c r="N184" s="5"/>
      <c r="O184" s="5"/>
      <c r="P184" s="12"/>
      <c r="Q184" s="15"/>
      <c r="R184" s="12"/>
      <c r="S184" s="5"/>
    </row>
    <row r="185" spans="4:19" x14ac:dyDescent="0.3">
      <c r="D185" s="37" t="s">
        <v>314</v>
      </c>
      <c r="E185" s="37" t="s">
        <v>271</v>
      </c>
      <c r="F185" s="36" t="s">
        <v>19</v>
      </c>
      <c r="G185" s="101"/>
      <c r="H185" s="36"/>
      <c r="I185" s="37" t="s">
        <v>315</v>
      </c>
      <c r="J185" s="5"/>
      <c r="M185" s="18"/>
      <c r="N185" s="5"/>
      <c r="O185" s="5"/>
      <c r="P185" s="12"/>
      <c r="Q185" s="15"/>
      <c r="R185" s="12"/>
      <c r="S185" s="5"/>
    </row>
    <row r="186" spans="4:19" x14ac:dyDescent="0.3">
      <c r="J186" s="21"/>
    </row>
    <row r="187" spans="4:19" x14ac:dyDescent="0.3">
      <c r="D187" s="10" t="s">
        <v>326</v>
      </c>
      <c r="G187" s="22"/>
      <c r="J187" s="21"/>
      <c r="N187" s="10" t="s">
        <v>2418</v>
      </c>
      <c r="O187" s="21"/>
      <c r="P187" s="22"/>
      <c r="Q187" s="22"/>
      <c r="R187" s="22"/>
      <c r="S187" s="21"/>
    </row>
    <row r="188" spans="4:19" x14ac:dyDescent="0.3">
      <c r="D188" s="43" t="s">
        <v>85</v>
      </c>
      <c r="E188" s="43" t="s">
        <v>0</v>
      </c>
      <c r="F188" s="43" t="s">
        <v>1</v>
      </c>
      <c r="G188" s="43" t="s">
        <v>2</v>
      </c>
      <c r="H188" s="43" t="s">
        <v>21</v>
      </c>
      <c r="I188" s="43" t="s">
        <v>3</v>
      </c>
      <c r="J188" s="103"/>
      <c r="N188" s="43" t="s">
        <v>85</v>
      </c>
      <c r="O188" s="43" t="s">
        <v>0</v>
      </c>
      <c r="P188" s="43" t="s">
        <v>1</v>
      </c>
      <c r="Q188" s="43" t="s">
        <v>2</v>
      </c>
      <c r="R188" s="43" t="s">
        <v>21</v>
      </c>
      <c r="S188" s="43" t="s">
        <v>3</v>
      </c>
    </row>
    <row r="189" spans="4:19" x14ac:dyDescent="0.3">
      <c r="D189" s="94" t="s">
        <v>327</v>
      </c>
      <c r="E189" s="94" t="s">
        <v>239</v>
      </c>
      <c r="F189" s="95"/>
      <c r="G189" s="96"/>
      <c r="H189" s="95">
        <v>1</v>
      </c>
      <c r="I189" s="94" t="s">
        <v>328</v>
      </c>
      <c r="J189" s="104"/>
      <c r="N189" s="94" t="s">
        <v>327</v>
      </c>
      <c r="O189" s="94" t="s">
        <v>239</v>
      </c>
      <c r="P189" s="95"/>
      <c r="Q189" s="96"/>
      <c r="R189" s="95">
        <v>1</v>
      </c>
      <c r="S189" s="94" t="s">
        <v>328</v>
      </c>
    </row>
    <row r="190" spans="4:19" x14ac:dyDescent="0.3">
      <c r="D190" s="97" t="s">
        <v>329</v>
      </c>
      <c r="E190" s="97" t="s">
        <v>73</v>
      </c>
      <c r="F190" s="98"/>
      <c r="G190" s="99"/>
      <c r="H190" s="98">
        <v>2</v>
      </c>
      <c r="I190" s="97" t="s">
        <v>330</v>
      </c>
      <c r="N190" s="97" t="s">
        <v>329</v>
      </c>
      <c r="O190" s="97" t="s">
        <v>73</v>
      </c>
      <c r="P190" s="98"/>
      <c r="Q190" s="99"/>
      <c r="R190" s="98">
        <v>2</v>
      </c>
      <c r="S190" s="97" t="s">
        <v>330</v>
      </c>
    </row>
    <row r="191" spans="4:19" x14ac:dyDescent="0.3">
      <c r="D191" s="29" t="s">
        <v>331</v>
      </c>
      <c r="E191" s="29" t="s">
        <v>44</v>
      </c>
      <c r="F191" s="71" t="s">
        <v>19</v>
      </c>
      <c r="G191" s="100"/>
      <c r="H191" s="71"/>
      <c r="I191" s="29" t="s">
        <v>332</v>
      </c>
      <c r="N191" s="29" t="s">
        <v>331</v>
      </c>
      <c r="O191" s="29" t="s">
        <v>44</v>
      </c>
      <c r="P191" s="71" t="s">
        <v>19</v>
      </c>
      <c r="Q191" s="100"/>
      <c r="R191" s="71"/>
      <c r="S191" s="29" t="s">
        <v>332</v>
      </c>
    </row>
    <row r="192" spans="4:19" x14ac:dyDescent="0.3">
      <c r="D192" s="29" t="s">
        <v>333</v>
      </c>
      <c r="E192" s="29" t="s">
        <v>44</v>
      </c>
      <c r="F192" s="71" t="s">
        <v>19</v>
      </c>
      <c r="G192" s="100"/>
      <c r="H192" s="71"/>
      <c r="I192" s="29" t="s">
        <v>334</v>
      </c>
      <c r="N192" s="29" t="s">
        <v>333</v>
      </c>
      <c r="O192" s="29" t="s">
        <v>44</v>
      </c>
      <c r="P192" s="71" t="s">
        <v>19</v>
      </c>
      <c r="Q192" s="100"/>
      <c r="R192" s="71"/>
      <c r="S192" s="29" t="s">
        <v>334</v>
      </c>
    </row>
    <row r="193" spans="4:19" x14ac:dyDescent="0.3">
      <c r="D193" s="29" t="s">
        <v>335</v>
      </c>
      <c r="E193" s="29" t="s">
        <v>60</v>
      </c>
      <c r="F193" s="71" t="s">
        <v>19</v>
      </c>
      <c r="G193" s="100"/>
      <c r="H193" s="71"/>
      <c r="I193" s="29" t="s">
        <v>336</v>
      </c>
      <c r="N193" s="29" t="s">
        <v>335</v>
      </c>
      <c r="O193" s="29" t="s">
        <v>60</v>
      </c>
      <c r="P193" s="71" t="s">
        <v>19</v>
      </c>
      <c r="Q193" s="100"/>
      <c r="R193" s="71"/>
      <c r="S193" s="29" t="s">
        <v>336</v>
      </c>
    </row>
    <row r="194" spans="4:19" x14ac:dyDescent="0.3">
      <c r="D194" s="29" t="s">
        <v>337</v>
      </c>
      <c r="E194" s="29" t="s">
        <v>23</v>
      </c>
      <c r="F194" s="71" t="s">
        <v>19</v>
      </c>
      <c r="G194" s="100"/>
      <c r="H194" s="71"/>
      <c r="I194" s="29" t="s">
        <v>338</v>
      </c>
      <c r="N194" s="29" t="s">
        <v>337</v>
      </c>
      <c r="O194" s="29" t="s">
        <v>23</v>
      </c>
      <c r="P194" s="71" t="s">
        <v>19</v>
      </c>
      <c r="Q194" s="100"/>
      <c r="R194" s="71"/>
      <c r="S194" s="29" t="s">
        <v>338</v>
      </c>
    </row>
    <row r="195" spans="4:19" x14ac:dyDescent="0.3">
      <c r="D195" s="29" t="s">
        <v>22</v>
      </c>
      <c r="E195" s="29" t="s">
        <v>23</v>
      </c>
      <c r="F195" s="71" t="s">
        <v>19</v>
      </c>
      <c r="G195" s="100"/>
      <c r="H195" s="71"/>
      <c r="I195" s="29" t="s">
        <v>25</v>
      </c>
      <c r="N195" s="29" t="s">
        <v>22</v>
      </c>
      <c r="O195" s="29" t="s">
        <v>23</v>
      </c>
      <c r="P195" s="71" t="s">
        <v>19</v>
      </c>
      <c r="Q195" s="100"/>
      <c r="R195" s="71"/>
      <c r="S195" s="29" t="s">
        <v>25</v>
      </c>
    </row>
    <row r="196" spans="4:19" x14ac:dyDescent="0.3">
      <c r="D196" s="29" t="s">
        <v>339</v>
      </c>
      <c r="E196" s="29" t="s">
        <v>39</v>
      </c>
      <c r="F196" s="71"/>
      <c r="G196" s="100"/>
      <c r="H196" s="71"/>
      <c r="I196" s="29" t="s">
        <v>340</v>
      </c>
      <c r="N196" s="29" t="s">
        <v>339</v>
      </c>
      <c r="O196" s="29" t="s">
        <v>39</v>
      </c>
      <c r="P196" s="71"/>
      <c r="Q196" s="100"/>
      <c r="R196" s="71"/>
      <c r="S196" s="29" t="s">
        <v>340</v>
      </c>
    </row>
    <row r="197" spans="4:19" x14ac:dyDescent="0.3">
      <c r="D197" s="29" t="s">
        <v>341</v>
      </c>
      <c r="E197" s="29" t="s">
        <v>342</v>
      </c>
      <c r="F197" s="71" t="s">
        <v>19</v>
      </c>
      <c r="G197" s="100"/>
      <c r="H197" s="71"/>
      <c r="I197" s="29" t="s">
        <v>343</v>
      </c>
      <c r="N197" s="29" t="s">
        <v>341</v>
      </c>
      <c r="O197" s="29" t="s">
        <v>342</v>
      </c>
      <c r="P197" s="71" t="s">
        <v>19</v>
      </c>
      <c r="Q197" s="100"/>
      <c r="R197" s="71"/>
      <c r="S197" s="29" t="s">
        <v>343</v>
      </c>
    </row>
    <row r="198" spans="4:19" ht="27" x14ac:dyDescent="0.3">
      <c r="D198" s="29" t="s">
        <v>46</v>
      </c>
      <c r="E198" s="29" t="s">
        <v>47</v>
      </c>
      <c r="F198" s="71"/>
      <c r="G198" s="25" t="s">
        <v>344</v>
      </c>
      <c r="H198" s="71"/>
      <c r="I198" s="29" t="s">
        <v>48</v>
      </c>
      <c r="N198" s="29" t="s">
        <v>46</v>
      </c>
      <c r="O198" s="29" t="s">
        <v>47</v>
      </c>
      <c r="P198" s="71"/>
      <c r="Q198" s="25" t="s">
        <v>363</v>
      </c>
      <c r="R198" s="71"/>
      <c r="S198" s="29" t="s">
        <v>48</v>
      </c>
    </row>
    <row r="199" spans="4:19" x14ac:dyDescent="0.3">
      <c r="D199" s="29" t="s">
        <v>49</v>
      </c>
      <c r="E199" s="29" t="s">
        <v>23</v>
      </c>
      <c r="F199" s="71"/>
      <c r="G199" s="100"/>
      <c r="H199" s="71"/>
      <c r="I199" s="29" t="s">
        <v>50</v>
      </c>
      <c r="N199" s="29" t="s">
        <v>49</v>
      </c>
      <c r="O199" s="29" t="s">
        <v>23</v>
      </c>
      <c r="P199" s="71"/>
      <c r="Q199" s="100"/>
      <c r="R199" s="71"/>
      <c r="S199" s="29" t="s">
        <v>50</v>
      </c>
    </row>
    <row r="200" spans="4:19" x14ac:dyDescent="0.3">
      <c r="D200" s="29" t="s">
        <v>51</v>
      </c>
      <c r="E200" s="29" t="s">
        <v>47</v>
      </c>
      <c r="F200" s="71" t="s">
        <v>19</v>
      </c>
      <c r="G200" s="100"/>
      <c r="H200" s="71"/>
      <c r="I200" s="29" t="s">
        <v>52</v>
      </c>
      <c r="N200" s="29" t="s">
        <v>51</v>
      </c>
      <c r="O200" s="29" t="s">
        <v>47</v>
      </c>
      <c r="P200" s="71" t="s">
        <v>19</v>
      </c>
      <c r="Q200" s="100"/>
      <c r="R200" s="71"/>
      <c r="S200" s="29" t="s">
        <v>52</v>
      </c>
    </row>
    <row r="201" spans="4:19" x14ac:dyDescent="0.3">
      <c r="D201" s="29" t="s">
        <v>53</v>
      </c>
      <c r="E201" s="29" t="s">
        <v>23</v>
      </c>
      <c r="F201" s="71" t="s">
        <v>19</v>
      </c>
      <c r="G201" s="100"/>
      <c r="H201" s="71"/>
      <c r="I201" s="29" t="s">
        <v>54</v>
      </c>
      <c r="N201" s="29" t="s">
        <v>53</v>
      </c>
      <c r="O201" s="29" t="s">
        <v>23</v>
      </c>
      <c r="P201" s="71" t="s">
        <v>19</v>
      </c>
      <c r="Q201" s="100"/>
      <c r="R201" s="71"/>
      <c r="S201" s="29" t="s">
        <v>54</v>
      </c>
    </row>
    <row r="202" spans="4:19" x14ac:dyDescent="0.3">
      <c r="D202" s="29" t="s">
        <v>55</v>
      </c>
      <c r="E202" s="29" t="s">
        <v>47</v>
      </c>
      <c r="F202" s="71" t="s">
        <v>19</v>
      </c>
      <c r="G202" s="100"/>
      <c r="H202" s="71"/>
      <c r="I202" s="29" t="s">
        <v>56</v>
      </c>
      <c r="N202" s="29" t="s">
        <v>55</v>
      </c>
      <c r="O202" s="29" t="s">
        <v>47</v>
      </c>
      <c r="P202" s="71" t="s">
        <v>19</v>
      </c>
      <c r="Q202" s="100"/>
      <c r="R202" s="71"/>
      <c r="S202" s="29" t="s">
        <v>56</v>
      </c>
    </row>
    <row r="203" spans="4:19" x14ac:dyDescent="0.3">
      <c r="D203" s="29" t="s">
        <v>57</v>
      </c>
      <c r="E203" s="29" t="s">
        <v>23</v>
      </c>
      <c r="F203" s="71" t="s">
        <v>19</v>
      </c>
      <c r="G203" s="100"/>
      <c r="H203" s="71"/>
      <c r="I203" s="29" t="s">
        <v>58</v>
      </c>
      <c r="N203" s="29" t="s">
        <v>57</v>
      </c>
      <c r="O203" s="29" t="s">
        <v>23</v>
      </c>
      <c r="P203" s="71" t="s">
        <v>19</v>
      </c>
      <c r="Q203" s="100"/>
      <c r="R203" s="71"/>
      <c r="S203" s="29" t="s">
        <v>58</v>
      </c>
    </row>
    <row r="204" spans="4:19" x14ac:dyDescent="0.3">
      <c r="D204" s="29" t="s">
        <v>28</v>
      </c>
      <c r="E204" s="29" t="s">
        <v>23</v>
      </c>
      <c r="F204" s="71" t="s">
        <v>19</v>
      </c>
      <c r="G204" s="100"/>
      <c r="H204" s="71"/>
      <c r="I204" s="29" t="s">
        <v>29</v>
      </c>
      <c r="N204" s="29" t="s">
        <v>28</v>
      </c>
      <c r="O204" s="29" t="s">
        <v>23</v>
      </c>
      <c r="P204" s="71" t="s">
        <v>19</v>
      </c>
      <c r="Q204" s="100"/>
      <c r="R204" s="71"/>
      <c r="S204" s="29" t="s">
        <v>29</v>
      </c>
    </row>
    <row r="205" spans="4:19" x14ac:dyDescent="0.3">
      <c r="D205" s="29" t="s">
        <v>59</v>
      </c>
      <c r="E205" s="29" t="s">
        <v>60</v>
      </c>
      <c r="F205" s="71" t="s">
        <v>19</v>
      </c>
      <c r="G205" s="100"/>
      <c r="H205" s="71"/>
      <c r="I205" s="29"/>
      <c r="N205" s="29" t="s">
        <v>59</v>
      </c>
      <c r="O205" s="29" t="s">
        <v>60</v>
      </c>
      <c r="P205" s="71" t="s">
        <v>19</v>
      </c>
      <c r="Q205" s="100"/>
      <c r="R205" s="71"/>
      <c r="S205" s="29"/>
    </row>
    <row r="206" spans="4:19" x14ac:dyDescent="0.3">
      <c r="D206" s="29" t="s">
        <v>62</v>
      </c>
      <c r="E206" s="29" t="s">
        <v>60</v>
      </c>
      <c r="F206" s="71" t="s">
        <v>19</v>
      </c>
      <c r="G206" s="100"/>
      <c r="H206" s="71"/>
      <c r="I206" s="29"/>
      <c r="N206" s="29" t="s">
        <v>62</v>
      </c>
      <c r="O206" s="29" t="s">
        <v>60</v>
      </c>
      <c r="P206" s="71" t="s">
        <v>19</v>
      </c>
      <c r="Q206" s="100"/>
      <c r="R206" s="71"/>
      <c r="S206" s="29" t="s">
        <v>345</v>
      </c>
    </row>
    <row r="207" spans="4:19" x14ac:dyDescent="0.3">
      <c r="D207" s="29" t="s">
        <v>64</v>
      </c>
      <c r="E207" s="29" t="s">
        <v>60</v>
      </c>
      <c r="F207" s="71" t="s">
        <v>19</v>
      </c>
      <c r="G207" s="100"/>
      <c r="H207" s="71"/>
      <c r="I207" s="29"/>
      <c r="N207" s="29" t="s">
        <v>64</v>
      </c>
      <c r="O207" s="29" t="s">
        <v>60</v>
      </c>
      <c r="P207" s="71" t="s">
        <v>19</v>
      </c>
      <c r="Q207" s="100"/>
      <c r="R207" s="71"/>
      <c r="S207" s="29" t="s">
        <v>346</v>
      </c>
    </row>
    <row r="208" spans="4:19" x14ac:dyDescent="0.3">
      <c r="D208" s="29" t="s">
        <v>66</v>
      </c>
      <c r="E208" s="29" t="s">
        <v>60</v>
      </c>
      <c r="F208" s="71" t="s">
        <v>19</v>
      </c>
      <c r="G208" s="100"/>
      <c r="H208" s="71"/>
      <c r="I208" s="29"/>
      <c r="N208" s="29" t="s">
        <v>66</v>
      </c>
      <c r="O208" s="29" t="s">
        <v>60</v>
      </c>
      <c r="P208" s="71" t="s">
        <v>19</v>
      </c>
      <c r="Q208" s="100"/>
      <c r="R208" s="71"/>
      <c r="S208" s="29"/>
    </row>
    <row r="209" spans="4:19" x14ac:dyDescent="0.3">
      <c r="D209" s="29" t="s">
        <v>67</v>
      </c>
      <c r="E209" s="29" t="s">
        <v>60</v>
      </c>
      <c r="F209" s="71" t="s">
        <v>19</v>
      </c>
      <c r="G209" s="100"/>
      <c r="H209" s="71"/>
      <c r="I209" s="29"/>
      <c r="N209" s="29" t="s">
        <v>67</v>
      </c>
      <c r="O209" s="29" t="s">
        <v>60</v>
      </c>
      <c r="P209" s="71" t="s">
        <v>19</v>
      </c>
      <c r="Q209" s="100"/>
      <c r="R209" s="71"/>
      <c r="S209" s="29"/>
    </row>
    <row r="210" spans="4:19" x14ac:dyDescent="0.3">
      <c r="D210" s="29" t="s">
        <v>347</v>
      </c>
      <c r="E210" s="29" t="s">
        <v>60</v>
      </c>
      <c r="F210" s="71" t="s">
        <v>19</v>
      </c>
      <c r="G210" s="100"/>
      <c r="H210" s="71"/>
      <c r="I210" s="29"/>
      <c r="N210" s="29" t="s">
        <v>347</v>
      </c>
      <c r="O210" s="29" t="s">
        <v>60</v>
      </c>
      <c r="P210" s="71" t="s">
        <v>19</v>
      </c>
      <c r="Q210" s="100"/>
      <c r="R210" s="71"/>
      <c r="S210" s="29"/>
    </row>
    <row r="211" spans="4:19" x14ac:dyDescent="0.3">
      <c r="D211" s="29" t="s">
        <v>348</v>
      </c>
      <c r="E211" s="29" t="s">
        <v>60</v>
      </c>
      <c r="F211" s="71" t="s">
        <v>19</v>
      </c>
      <c r="G211" s="100"/>
      <c r="H211" s="71"/>
      <c r="I211" s="29"/>
      <c r="N211" s="29" t="s">
        <v>348</v>
      </c>
      <c r="O211" s="29" t="s">
        <v>60</v>
      </c>
      <c r="P211" s="71" t="s">
        <v>19</v>
      </c>
      <c r="Q211" s="100"/>
      <c r="R211" s="71"/>
      <c r="S211" s="29"/>
    </row>
    <row r="212" spans="4:19" x14ac:dyDescent="0.3">
      <c r="D212" s="29" t="s">
        <v>349</v>
      </c>
      <c r="E212" s="29" t="s">
        <v>44</v>
      </c>
      <c r="F212" s="71" t="s">
        <v>19</v>
      </c>
      <c r="G212" s="100"/>
      <c r="H212" s="71"/>
      <c r="I212" s="29" t="s">
        <v>350</v>
      </c>
      <c r="N212" s="29" t="s">
        <v>349</v>
      </c>
      <c r="O212" s="29" t="s">
        <v>44</v>
      </c>
      <c r="P212" s="71" t="s">
        <v>19</v>
      </c>
      <c r="Q212" s="100"/>
      <c r="R212" s="71"/>
      <c r="S212" s="29" t="s">
        <v>350</v>
      </c>
    </row>
    <row r="213" spans="4:19" x14ac:dyDescent="0.3">
      <c r="D213" s="29" t="s">
        <v>351</v>
      </c>
      <c r="E213" s="29" t="s">
        <v>23</v>
      </c>
      <c r="F213" s="71" t="s">
        <v>19</v>
      </c>
      <c r="G213" s="100"/>
      <c r="H213" s="71"/>
      <c r="I213" s="29" t="s">
        <v>364</v>
      </c>
      <c r="N213" s="29" t="s">
        <v>351</v>
      </c>
      <c r="O213" s="29" t="s">
        <v>23</v>
      </c>
      <c r="P213" s="71" t="s">
        <v>19</v>
      </c>
      <c r="Q213" s="100"/>
      <c r="R213" s="71"/>
      <c r="S213" s="29"/>
    </row>
    <row r="214" spans="4:19" x14ac:dyDescent="0.3">
      <c r="D214" s="29" t="s">
        <v>352</v>
      </c>
      <c r="E214" s="29" t="s">
        <v>23</v>
      </c>
      <c r="F214" s="71" t="s">
        <v>19</v>
      </c>
      <c r="G214" s="100"/>
      <c r="H214" s="71"/>
      <c r="I214" s="29" t="s">
        <v>365</v>
      </c>
      <c r="N214" s="29" t="s">
        <v>352</v>
      </c>
      <c r="O214" s="29" t="s">
        <v>23</v>
      </c>
      <c r="P214" s="71" t="s">
        <v>19</v>
      </c>
      <c r="Q214" s="100"/>
      <c r="R214" s="71"/>
      <c r="S214" s="29"/>
    </row>
    <row r="215" spans="4:19" x14ac:dyDescent="0.3">
      <c r="D215" s="29" t="s">
        <v>353</v>
      </c>
      <c r="E215" s="29" t="s">
        <v>44</v>
      </c>
      <c r="F215" s="71" t="s">
        <v>19</v>
      </c>
      <c r="G215" s="100"/>
      <c r="H215" s="71"/>
      <c r="I215" s="29" t="s">
        <v>366</v>
      </c>
      <c r="N215" s="29" t="s">
        <v>353</v>
      </c>
      <c r="O215" s="29" t="s">
        <v>44</v>
      </c>
      <c r="P215" s="71" t="s">
        <v>19</v>
      </c>
      <c r="Q215" s="100"/>
      <c r="R215" s="71"/>
      <c r="S215" s="29"/>
    </row>
    <row r="216" spans="4:19" x14ac:dyDescent="0.3">
      <c r="D216" s="29" t="s">
        <v>354</v>
      </c>
      <c r="E216" s="29" t="s">
        <v>271</v>
      </c>
      <c r="F216" s="71" t="s">
        <v>19</v>
      </c>
      <c r="G216" s="100"/>
      <c r="H216" s="71"/>
      <c r="I216" s="29" t="s">
        <v>367</v>
      </c>
      <c r="N216" s="29" t="s">
        <v>354</v>
      </c>
      <c r="O216" s="29" t="s">
        <v>271</v>
      </c>
      <c r="P216" s="71" t="s">
        <v>19</v>
      </c>
      <c r="Q216" s="100"/>
      <c r="R216" s="71"/>
      <c r="S216" s="29"/>
    </row>
    <row r="217" spans="4:19" x14ac:dyDescent="0.3">
      <c r="D217" s="29" t="s">
        <v>355</v>
      </c>
      <c r="E217" s="29" t="s">
        <v>36</v>
      </c>
      <c r="F217" s="71" t="s">
        <v>19</v>
      </c>
      <c r="G217" s="100"/>
      <c r="H217" s="71"/>
      <c r="I217" s="29" t="s">
        <v>368</v>
      </c>
      <c r="N217" s="29" t="s">
        <v>355</v>
      </c>
      <c r="O217" s="29" t="s">
        <v>36</v>
      </c>
      <c r="P217" s="71" t="s">
        <v>19</v>
      </c>
      <c r="Q217" s="100"/>
      <c r="R217" s="71"/>
      <c r="S217" s="29"/>
    </row>
    <row r="218" spans="4:19" x14ac:dyDescent="0.3">
      <c r="D218" s="29" t="s">
        <v>356</v>
      </c>
      <c r="E218" s="29" t="s">
        <v>44</v>
      </c>
      <c r="F218" s="71" t="s">
        <v>19</v>
      </c>
      <c r="G218" s="100"/>
      <c r="H218" s="71"/>
      <c r="I218" s="29" t="s">
        <v>369</v>
      </c>
      <c r="N218" s="29" t="s">
        <v>356</v>
      </c>
      <c r="O218" s="29" t="s">
        <v>44</v>
      </c>
      <c r="P218" s="71" t="s">
        <v>19</v>
      </c>
      <c r="Q218" s="100"/>
      <c r="R218" s="71"/>
      <c r="S218" s="29"/>
    </row>
    <row r="219" spans="4:19" x14ac:dyDescent="0.3">
      <c r="D219" s="29" t="s">
        <v>357</v>
      </c>
      <c r="E219" s="29" t="s">
        <v>133</v>
      </c>
      <c r="F219" s="71" t="s">
        <v>19</v>
      </c>
      <c r="G219" s="100"/>
      <c r="H219" s="71"/>
      <c r="I219" s="29" t="s">
        <v>370</v>
      </c>
      <c r="N219" s="29" t="s">
        <v>357</v>
      </c>
      <c r="O219" s="29" t="s">
        <v>133</v>
      </c>
      <c r="P219" s="71" t="s">
        <v>19</v>
      </c>
      <c r="Q219" s="100"/>
      <c r="R219" s="71"/>
      <c r="S219" s="29"/>
    </row>
    <row r="220" spans="4:19" x14ac:dyDescent="0.3">
      <c r="D220" s="29" t="s">
        <v>358</v>
      </c>
      <c r="E220" s="29" t="s">
        <v>44</v>
      </c>
      <c r="F220" s="71" t="s">
        <v>19</v>
      </c>
      <c r="G220" s="100"/>
      <c r="H220" s="71"/>
      <c r="I220" s="29"/>
      <c r="N220" s="29" t="s">
        <v>358</v>
      </c>
      <c r="O220" s="29" t="s">
        <v>44</v>
      </c>
      <c r="P220" s="71" t="s">
        <v>19</v>
      </c>
      <c r="Q220" s="100"/>
      <c r="R220" s="71"/>
      <c r="S220" s="29"/>
    </row>
    <row r="221" spans="4:19" x14ac:dyDescent="0.3">
      <c r="D221" s="29" t="s">
        <v>359</v>
      </c>
      <c r="E221" s="29" t="s">
        <v>44</v>
      </c>
      <c r="F221" s="71" t="s">
        <v>19</v>
      </c>
      <c r="G221" s="100"/>
      <c r="H221" s="71"/>
      <c r="I221" s="29"/>
      <c r="N221" s="29" t="s">
        <v>359</v>
      </c>
      <c r="O221" s="29" t="s">
        <v>44</v>
      </c>
      <c r="P221" s="71" t="s">
        <v>19</v>
      </c>
      <c r="Q221" s="100"/>
      <c r="R221" s="71"/>
      <c r="S221" s="29"/>
    </row>
    <row r="222" spans="4:19" x14ac:dyDescent="0.3">
      <c r="D222" s="38" t="s">
        <v>360</v>
      </c>
      <c r="E222" s="38" t="s">
        <v>44</v>
      </c>
      <c r="F222" s="72" t="s">
        <v>19</v>
      </c>
      <c r="G222" s="101"/>
      <c r="H222" s="72"/>
      <c r="I222" s="38"/>
      <c r="N222" s="29" t="s">
        <v>360</v>
      </c>
      <c r="O222" s="29" t="s">
        <v>44</v>
      </c>
      <c r="P222" s="71" t="s">
        <v>19</v>
      </c>
      <c r="Q222" s="100"/>
      <c r="R222" s="71"/>
      <c r="S222" s="29"/>
    </row>
    <row r="223" spans="4:19" x14ac:dyDescent="0.3">
      <c r="N223" s="194" t="s">
        <v>361</v>
      </c>
      <c r="O223" s="195" t="s">
        <v>39</v>
      </c>
      <c r="P223" s="196" t="s">
        <v>19</v>
      </c>
      <c r="Q223" s="197" t="s">
        <v>192</v>
      </c>
      <c r="R223" s="71"/>
      <c r="S223" s="29"/>
    </row>
    <row r="224" spans="4:19" x14ac:dyDescent="0.3">
      <c r="N224" s="198" t="s">
        <v>362</v>
      </c>
      <c r="O224" s="198" t="s">
        <v>87</v>
      </c>
      <c r="P224" s="199" t="s">
        <v>19</v>
      </c>
      <c r="Q224" s="200"/>
      <c r="R224" s="72"/>
      <c r="S224" s="38"/>
    </row>
    <row r="226" spans="4:19" x14ac:dyDescent="0.3">
      <c r="D226" s="10" t="s">
        <v>585</v>
      </c>
      <c r="N226" s="10" t="s">
        <v>985</v>
      </c>
    </row>
    <row r="227" spans="4:19" x14ac:dyDescent="0.3">
      <c r="D227" s="43" t="s">
        <v>85</v>
      </c>
      <c r="E227" s="43" t="s">
        <v>0</v>
      </c>
      <c r="F227" s="43" t="s">
        <v>1</v>
      </c>
      <c r="G227" s="43" t="s">
        <v>2</v>
      </c>
      <c r="H227" s="43" t="s">
        <v>21</v>
      </c>
      <c r="I227" s="43" t="s">
        <v>3</v>
      </c>
      <c r="N227" s="43" t="s">
        <v>85</v>
      </c>
      <c r="O227" s="43" t="s">
        <v>0</v>
      </c>
      <c r="P227" s="43" t="s">
        <v>1</v>
      </c>
      <c r="Q227" s="43" t="s">
        <v>2</v>
      </c>
      <c r="R227" s="43" t="s">
        <v>21</v>
      </c>
      <c r="S227" s="43" t="s">
        <v>3</v>
      </c>
    </row>
    <row r="228" spans="4:19" x14ac:dyDescent="0.3">
      <c r="D228" s="117" t="s">
        <v>986</v>
      </c>
      <c r="E228" s="117" t="s">
        <v>23</v>
      </c>
      <c r="F228" s="118"/>
      <c r="G228" s="119"/>
      <c r="H228" s="118">
        <v>1</v>
      </c>
      <c r="I228" s="117" t="s">
        <v>987</v>
      </c>
      <c r="N228" s="117" t="s">
        <v>986</v>
      </c>
      <c r="O228" s="117" t="s">
        <v>23</v>
      </c>
      <c r="P228" s="118"/>
      <c r="Q228" s="119"/>
      <c r="R228" s="118">
        <v>1</v>
      </c>
      <c r="S228" s="117" t="s">
        <v>987</v>
      </c>
    </row>
    <row r="229" spans="4:19" ht="27" x14ac:dyDescent="0.3">
      <c r="D229" s="29" t="s">
        <v>46</v>
      </c>
      <c r="E229" s="29" t="s">
        <v>47</v>
      </c>
      <c r="F229" s="71"/>
      <c r="G229" s="25" t="s">
        <v>1029</v>
      </c>
      <c r="H229" s="71"/>
      <c r="I229" s="29" t="s">
        <v>48</v>
      </c>
      <c r="N229" s="29" t="s">
        <v>46</v>
      </c>
      <c r="O229" s="29" t="s">
        <v>47</v>
      </c>
      <c r="P229" s="71"/>
      <c r="Q229" s="25" t="s">
        <v>1092</v>
      </c>
      <c r="R229" s="71"/>
      <c r="S229" s="29" t="s">
        <v>48</v>
      </c>
    </row>
    <row r="230" spans="4:19" x14ac:dyDescent="0.3">
      <c r="D230" s="29" t="s">
        <v>49</v>
      </c>
      <c r="E230" s="29" t="s">
        <v>23</v>
      </c>
      <c r="F230" s="71"/>
      <c r="G230" s="100"/>
      <c r="H230" s="71"/>
      <c r="I230" s="29" t="s">
        <v>50</v>
      </c>
      <c r="N230" s="29" t="s">
        <v>49</v>
      </c>
      <c r="O230" s="29" t="s">
        <v>23</v>
      </c>
      <c r="P230" s="71"/>
      <c r="Q230" s="100"/>
      <c r="R230" s="71"/>
      <c r="S230" s="29" t="s">
        <v>50</v>
      </c>
    </row>
    <row r="231" spans="4:19" x14ac:dyDescent="0.3">
      <c r="D231" s="29" t="s">
        <v>51</v>
      </c>
      <c r="E231" s="29" t="s">
        <v>47</v>
      </c>
      <c r="F231" s="71" t="s">
        <v>19</v>
      </c>
      <c r="G231" s="100"/>
      <c r="H231" s="71"/>
      <c r="I231" s="29" t="s">
        <v>52</v>
      </c>
      <c r="N231" s="29" t="s">
        <v>51</v>
      </c>
      <c r="O231" s="29" t="s">
        <v>47</v>
      </c>
      <c r="P231" s="71" t="s">
        <v>19</v>
      </c>
      <c r="Q231" s="100"/>
      <c r="R231" s="71"/>
      <c r="S231" s="29" t="s">
        <v>52</v>
      </c>
    </row>
    <row r="232" spans="4:19" x14ac:dyDescent="0.3">
      <c r="D232" s="29" t="s">
        <v>53</v>
      </c>
      <c r="E232" s="29" t="s">
        <v>23</v>
      </c>
      <c r="F232" s="71" t="s">
        <v>19</v>
      </c>
      <c r="G232" s="100"/>
      <c r="H232" s="71"/>
      <c r="I232" s="29" t="s">
        <v>54</v>
      </c>
      <c r="N232" s="29" t="s">
        <v>53</v>
      </c>
      <c r="O232" s="29" t="s">
        <v>23</v>
      </c>
      <c r="P232" s="71" t="s">
        <v>19</v>
      </c>
      <c r="Q232" s="100"/>
      <c r="R232" s="71"/>
      <c r="S232" s="29" t="s">
        <v>54</v>
      </c>
    </row>
    <row r="233" spans="4:19" x14ac:dyDescent="0.3">
      <c r="D233" s="29" t="s">
        <v>327</v>
      </c>
      <c r="E233" s="29" t="s">
        <v>239</v>
      </c>
      <c r="F233" s="71"/>
      <c r="G233" s="100"/>
      <c r="H233" s="71"/>
      <c r="I233" s="29" t="s">
        <v>328</v>
      </c>
      <c r="N233" s="29" t="s">
        <v>327</v>
      </c>
      <c r="O233" s="29" t="s">
        <v>239</v>
      </c>
      <c r="P233" s="71"/>
      <c r="Q233" s="100"/>
      <c r="R233" s="71"/>
      <c r="S233" s="29" t="s">
        <v>328</v>
      </c>
    </row>
    <row r="234" spans="4:19" x14ac:dyDescent="0.3">
      <c r="D234" s="29" t="s">
        <v>756</v>
      </c>
      <c r="E234" s="29" t="s">
        <v>23</v>
      </c>
      <c r="F234" s="71"/>
      <c r="G234" s="100"/>
      <c r="H234" s="71"/>
      <c r="I234" s="29" t="s">
        <v>988</v>
      </c>
      <c r="N234" s="29" t="s">
        <v>756</v>
      </c>
      <c r="O234" s="29" t="s">
        <v>23</v>
      </c>
      <c r="P234" s="71"/>
      <c r="Q234" s="100"/>
      <c r="R234" s="71"/>
      <c r="S234" s="29" t="s">
        <v>988</v>
      </c>
    </row>
    <row r="235" spans="4:19" x14ac:dyDescent="0.3">
      <c r="D235" s="29" t="s">
        <v>124</v>
      </c>
      <c r="E235" s="29" t="s">
        <v>39</v>
      </c>
      <c r="F235" s="71"/>
      <c r="G235" s="100"/>
      <c r="H235" s="71"/>
      <c r="I235" s="29" t="s">
        <v>125</v>
      </c>
      <c r="N235" s="29" t="s">
        <v>124</v>
      </c>
      <c r="O235" s="29" t="s">
        <v>39</v>
      </c>
      <c r="P235" s="71"/>
      <c r="Q235" s="100"/>
      <c r="R235" s="71"/>
      <c r="S235" s="29" t="s">
        <v>125</v>
      </c>
    </row>
    <row r="236" spans="4:19" x14ac:dyDescent="0.3">
      <c r="D236" s="29" t="s">
        <v>188</v>
      </c>
      <c r="E236" s="29" t="s">
        <v>39</v>
      </c>
      <c r="F236" s="71"/>
      <c r="G236" s="100"/>
      <c r="H236" s="71"/>
      <c r="I236" s="29" t="s">
        <v>190</v>
      </c>
      <c r="N236" s="29" t="s">
        <v>188</v>
      </c>
      <c r="O236" s="29" t="s">
        <v>39</v>
      </c>
      <c r="P236" s="71"/>
      <c r="Q236" s="100"/>
      <c r="R236" s="71"/>
      <c r="S236" s="29" t="s">
        <v>190</v>
      </c>
    </row>
    <row r="237" spans="4:19" x14ac:dyDescent="0.3">
      <c r="D237" s="29" t="s">
        <v>989</v>
      </c>
      <c r="E237" s="29" t="s">
        <v>39</v>
      </c>
      <c r="F237" s="71"/>
      <c r="G237" s="100"/>
      <c r="H237" s="71"/>
      <c r="I237" s="29" t="s">
        <v>990</v>
      </c>
      <c r="N237" s="29" t="s">
        <v>989</v>
      </c>
      <c r="O237" s="29" t="s">
        <v>39</v>
      </c>
      <c r="P237" s="71"/>
      <c r="Q237" s="100"/>
      <c r="R237" s="71"/>
      <c r="S237" s="29" t="s">
        <v>990</v>
      </c>
    </row>
    <row r="238" spans="4:19" x14ac:dyDescent="0.3">
      <c r="D238" s="29" t="s">
        <v>991</v>
      </c>
      <c r="E238" s="29" t="s">
        <v>39</v>
      </c>
      <c r="F238" s="71"/>
      <c r="G238" s="100"/>
      <c r="H238" s="71"/>
      <c r="I238" s="29" t="s">
        <v>992</v>
      </c>
      <c r="N238" s="29" t="s">
        <v>991</v>
      </c>
      <c r="O238" s="29" t="s">
        <v>39</v>
      </c>
      <c r="P238" s="71"/>
      <c r="Q238" s="100"/>
      <c r="R238" s="71"/>
      <c r="S238" s="29" t="s">
        <v>992</v>
      </c>
    </row>
    <row r="239" spans="4:19" x14ac:dyDescent="0.3">
      <c r="D239" s="29" t="s">
        <v>173</v>
      </c>
      <c r="E239" s="29" t="s">
        <v>39</v>
      </c>
      <c r="F239" s="71"/>
      <c r="G239" s="100"/>
      <c r="H239" s="71"/>
      <c r="I239" s="29" t="s">
        <v>174</v>
      </c>
      <c r="N239" s="29" t="s">
        <v>173</v>
      </c>
      <c r="O239" s="29" t="s">
        <v>39</v>
      </c>
      <c r="P239" s="71"/>
      <c r="Q239" s="100"/>
      <c r="R239" s="71"/>
      <c r="S239" s="29" t="s">
        <v>174</v>
      </c>
    </row>
    <row r="240" spans="4:19" x14ac:dyDescent="0.3">
      <c r="D240" s="29" t="s">
        <v>126</v>
      </c>
      <c r="E240" s="29" t="s">
        <v>39</v>
      </c>
      <c r="F240" s="71"/>
      <c r="G240" s="100"/>
      <c r="H240" s="71"/>
      <c r="I240" s="29" t="s">
        <v>127</v>
      </c>
      <c r="N240" s="29" t="s">
        <v>126</v>
      </c>
      <c r="O240" s="29" t="s">
        <v>39</v>
      </c>
      <c r="P240" s="71"/>
      <c r="Q240" s="100"/>
      <c r="R240" s="71"/>
      <c r="S240" s="29" t="s">
        <v>127</v>
      </c>
    </row>
    <row r="241" spans="4:19" x14ac:dyDescent="0.3">
      <c r="D241" s="29" t="s">
        <v>993</v>
      </c>
      <c r="E241" s="29" t="s">
        <v>44</v>
      </c>
      <c r="F241" s="71" t="s">
        <v>19</v>
      </c>
      <c r="G241" s="100"/>
      <c r="H241" s="71"/>
      <c r="I241" s="29" t="s">
        <v>994</v>
      </c>
      <c r="N241" s="29" t="s">
        <v>993</v>
      </c>
      <c r="O241" s="29" t="s">
        <v>44</v>
      </c>
      <c r="P241" s="71" t="s">
        <v>19</v>
      </c>
      <c r="Q241" s="100"/>
      <c r="R241" s="71"/>
      <c r="S241" s="29" t="s">
        <v>994</v>
      </c>
    </row>
    <row r="242" spans="4:19" x14ac:dyDescent="0.3">
      <c r="D242" s="29" t="s">
        <v>995</v>
      </c>
      <c r="E242" s="29" t="s">
        <v>133</v>
      </c>
      <c r="F242" s="71" t="s">
        <v>19</v>
      </c>
      <c r="G242" s="100"/>
      <c r="H242" s="71"/>
      <c r="I242" s="29" t="s">
        <v>996</v>
      </c>
      <c r="N242" s="29" t="s">
        <v>995</v>
      </c>
      <c r="O242" s="29" t="s">
        <v>133</v>
      </c>
      <c r="P242" s="71" t="s">
        <v>19</v>
      </c>
      <c r="Q242" s="100"/>
      <c r="R242" s="71"/>
      <c r="S242" s="29" t="s">
        <v>996</v>
      </c>
    </row>
    <row r="243" spans="4:19" x14ac:dyDescent="0.3">
      <c r="D243" s="29" t="s">
        <v>997</v>
      </c>
      <c r="E243" s="29" t="s">
        <v>133</v>
      </c>
      <c r="F243" s="71" t="s">
        <v>19</v>
      </c>
      <c r="G243" s="100"/>
      <c r="H243" s="71"/>
      <c r="I243" s="29" t="s">
        <v>998</v>
      </c>
      <c r="N243" s="29" t="s">
        <v>997</v>
      </c>
      <c r="O243" s="29" t="s">
        <v>133</v>
      </c>
      <c r="P243" s="71" t="s">
        <v>19</v>
      </c>
      <c r="Q243" s="100"/>
      <c r="R243" s="71"/>
      <c r="S243" s="29" t="s">
        <v>998</v>
      </c>
    </row>
    <row r="244" spans="4:19" x14ac:dyDescent="0.3">
      <c r="D244" s="29" t="s">
        <v>999</v>
      </c>
      <c r="E244" s="29" t="s">
        <v>44</v>
      </c>
      <c r="F244" s="71" t="s">
        <v>19</v>
      </c>
      <c r="G244" s="100"/>
      <c r="H244" s="71"/>
      <c r="I244" s="29" t="s">
        <v>1000</v>
      </c>
      <c r="N244" s="29" t="s">
        <v>999</v>
      </c>
      <c r="O244" s="29" t="s">
        <v>44</v>
      </c>
      <c r="P244" s="71" t="s">
        <v>19</v>
      </c>
      <c r="Q244" s="100"/>
      <c r="R244" s="71"/>
      <c r="S244" s="29" t="s">
        <v>1000</v>
      </c>
    </row>
    <row r="245" spans="4:19" x14ac:dyDescent="0.3">
      <c r="D245" s="29" t="s">
        <v>1001</v>
      </c>
      <c r="E245" s="29" t="s">
        <v>39</v>
      </c>
      <c r="F245" s="71"/>
      <c r="G245" s="100"/>
      <c r="H245" s="71"/>
      <c r="I245" s="29" t="s">
        <v>1002</v>
      </c>
      <c r="N245" s="29" t="s">
        <v>1001</v>
      </c>
      <c r="O245" s="29" t="s">
        <v>39</v>
      </c>
      <c r="P245" s="71"/>
      <c r="Q245" s="100"/>
      <c r="R245" s="71"/>
      <c r="S245" s="29" t="s">
        <v>1002</v>
      </c>
    </row>
    <row r="246" spans="4:19" x14ac:dyDescent="0.3">
      <c r="D246" s="29" t="s">
        <v>1003</v>
      </c>
      <c r="E246" s="29" t="s">
        <v>44</v>
      </c>
      <c r="F246" s="71"/>
      <c r="G246" s="100"/>
      <c r="H246" s="71"/>
      <c r="I246" s="29" t="s">
        <v>1004</v>
      </c>
      <c r="N246" s="29" t="s">
        <v>1003</v>
      </c>
      <c r="O246" s="29" t="s">
        <v>44</v>
      </c>
      <c r="P246" s="71"/>
      <c r="Q246" s="100"/>
      <c r="R246" s="71"/>
      <c r="S246" s="29" t="s">
        <v>1004</v>
      </c>
    </row>
    <row r="247" spans="4:19" x14ac:dyDescent="0.3">
      <c r="D247" s="29" t="s">
        <v>1005</v>
      </c>
      <c r="E247" s="29" t="s">
        <v>44</v>
      </c>
      <c r="F247" s="71"/>
      <c r="G247" s="100"/>
      <c r="H247" s="71"/>
      <c r="I247" s="29" t="s">
        <v>1006</v>
      </c>
      <c r="N247" s="29" t="s">
        <v>1005</v>
      </c>
      <c r="O247" s="29" t="s">
        <v>44</v>
      </c>
      <c r="P247" s="71"/>
      <c r="Q247" s="100"/>
      <c r="R247" s="71"/>
      <c r="S247" s="29" t="s">
        <v>1006</v>
      </c>
    </row>
    <row r="248" spans="4:19" x14ac:dyDescent="0.3">
      <c r="D248" s="29" t="s">
        <v>1007</v>
      </c>
      <c r="E248" s="29" t="s">
        <v>44</v>
      </c>
      <c r="F248" s="71"/>
      <c r="G248" s="100"/>
      <c r="H248" s="71"/>
      <c r="I248" s="29" t="s">
        <v>1008</v>
      </c>
      <c r="N248" s="29" t="s">
        <v>1007</v>
      </c>
      <c r="O248" s="29" t="s">
        <v>44</v>
      </c>
      <c r="P248" s="71"/>
      <c r="Q248" s="100"/>
      <c r="R248" s="71"/>
      <c r="S248" s="29" t="s">
        <v>1008</v>
      </c>
    </row>
    <row r="249" spans="4:19" x14ac:dyDescent="0.3">
      <c r="D249" s="29" t="s">
        <v>1009</v>
      </c>
      <c r="E249" s="29" t="s">
        <v>44</v>
      </c>
      <c r="F249" s="71" t="s">
        <v>19</v>
      </c>
      <c r="G249" s="100"/>
      <c r="H249" s="71"/>
      <c r="I249" s="29" t="s">
        <v>1010</v>
      </c>
      <c r="N249" s="29" t="s">
        <v>1009</v>
      </c>
      <c r="O249" s="29" t="s">
        <v>44</v>
      </c>
      <c r="P249" s="71" t="s">
        <v>19</v>
      </c>
      <c r="Q249" s="100"/>
      <c r="R249" s="71"/>
      <c r="S249" s="29" t="s">
        <v>1010</v>
      </c>
    </row>
    <row r="250" spans="4:19" x14ac:dyDescent="0.3">
      <c r="D250" s="29" t="s">
        <v>1011</v>
      </c>
      <c r="E250" s="29" t="s">
        <v>44</v>
      </c>
      <c r="F250" s="71" t="s">
        <v>19</v>
      </c>
      <c r="G250" s="100"/>
      <c r="H250" s="71"/>
      <c r="I250" s="29" t="s">
        <v>1012</v>
      </c>
      <c r="N250" s="29" t="s">
        <v>1011</v>
      </c>
      <c r="O250" s="29" t="s">
        <v>44</v>
      </c>
      <c r="P250" s="71" t="s">
        <v>19</v>
      </c>
      <c r="Q250" s="100"/>
      <c r="R250" s="71"/>
      <c r="S250" s="29" t="s">
        <v>1012</v>
      </c>
    </row>
    <row r="251" spans="4:19" x14ac:dyDescent="0.3">
      <c r="D251" s="29" t="s">
        <v>1013</v>
      </c>
      <c r="E251" s="29" t="s">
        <v>44</v>
      </c>
      <c r="F251" s="71" t="s">
        <v>19</v>
      </c>
      <c r="G251" s="100"/>
      <c r="H251" s="71"/>
      <c r="I251" s="29" t="s">
        <v>1014</v>
      </c>
      <c r="N251" s="29" t="s">
        <v>1013</v>
      </c>
      <c r="O251" s="29" t="s">
        <v>44</v>
      </c>
      <c r="P251" s="71" t="s">
        <v>19</v>
      </c>
      <c r="Q251" s="100"/>
      <c r="R251" s="71"/>
      <c r="S251" s="29" t="s">
        <v>1014</v>
      </c>
    </row>
    <row r="252" spans="4:19" x14ac:dyDescent="0.3">
      <c r="D252" s="29" t="s">
        <v>1015</v>
      </c>
      <c r="E252" s="29" t="s">
        <v>44</v>
      </c>
      <c r="F252" s="71" t="s">
        <v>19</v>
      </c>
      <c r="G252" s="100"/>
      <c r="H252" s="71"/>
      <c r="I252" s="29" t="s">
        <v>1016</v>
      </c>
      <c r="N252" s="29" t="s">
        <v>1015</v>
      </c>
      <c r="O252" s="29" t="s">
        <v>44</v>
      </c>
      <c r="P252" s="71" t="s">
        <v>19</v>
      </c>
      <c r="Q252" s="100"/>
      <c r="R252" s="71"/>
      <c r="S252" s="29" t="s">
        <v>1016</v>
      </c>
    </row>
    <row r="253" spans="4:19" x14ac:dyDescent="0.3">
      <c r="D253" s="29" t="s">
        <v>1017</v>
      </c>
      <c r="E253" s="29" t="s">
        <v>44</v>
      </c>
      <c r="F253" s="71"/>
      <c r="G253" s="100"/>
      <c r="H253" s="71"/>
      <c r="I253" s="29" t="s">
        <v>1018</v>
      </c>
      <c r="N253" s="29" t="s">
        <v>1017</v>
      </c>
      <c r="O253" s="29" t="s">
        <v>44</v>
      </c>
      <c r="P253" s="71"/>
      <c r="Q253" s="100"/>
      <c r="R253" s="71"/>
      <c r="S253" s="29" t="s">
        <v>1018</v>
      </c>
    </row>
    <row r="254" spans="4:19" x14ac:dyDescent="0.3">
      <c r="D254" s="29" t="s">
        <v>1019</v>
      </c>
      <c r="E254" s="29" t="s">
        <v>44</v>
      </c>
      <c r="F254" s="71" t="s">
        <v>19</v>
      </c>
      <c r="G254" s="100"/>
      <c r="H254" s="71"/>
      <c r="I254" s="29" t="s">
        <v>1020</v>
      </c>
      <c r="N254" s="29" t="s">
        <v>1019</v>
      </c>
      <c r="O254" s="29" t="s">
        <v>44</v>
      </c>
      <c r="P254" s="71" t="s">
        <v>19</v>
      </c>
      <c r="Q254" s="100"/>
      <c r="R254" s="71"/>
      <c r="S254" s="29" t="s">
        <v>1020</v>
      </c>
    </row>
    <row r="255" spans="4:19" x14ac:dyDescent="0.3">
      <c r="D255" s="29" t="s">
        <v>1021</v>
      </c>
      <c r="E255" s="29" t="s">
        <v>60</v>
      </c>
      <c r="F255" s="71" t="s">
        <v>19</v>
      </c>
      <c r="G255" s="100"/>
      <c r="H255" s="71"/>
      <c r="I255" s="29" t="s">
        <v>1022</v>
      </c>
      <c r="N255" s="29" t="s">
        <v>1021</v>
      </c>
      <c r="O255" s="29" t="s">
        <v>60</v>
      </c>
      <c r="P255" s="71" t="s">
        <v>19</v>
      </c>
      <c r="Q255" s="100"/>
      <c r="R255" s="71"/>
      <c r="S255" s="29" t="s">
        <v>1022</v>
      </c>
    </row>
    <row r="256" spans="4:19" x14ac:dyDescent="0.3">
      <c r="D256" s="29" t="s">
        <v>28</v>
      </c>
      <c r="E256" s="29" t="s">
        <v>23</v>
      </c>
      <c r="F256" s="71" t="s">
        <v>19</v>
      </c>
      <c r="G256" s="100" t="s">
        <v>83</v>
      </c>
      <c r="H256" s="71"/>
      <c r="I256" s="29" t="s">
        <v>29</v>
      </c>
      <c r="N256" s="29" t="s">
        <v>28</v>
      </c>
      <c r="O256" s="29" t="s">
        <v>23</v>
      </c>
      <c r="P256" s="71" t="s">
        <v>19</v>
      </c>
      <c r="Q256" s="100" t="s">
        <v>83</v>
      </c>
      <c r="R256" s="71"/>
      <c r="S256" s="29" t="s">
        <v>29</v>
      </c>
    </row>
    <row r="257" spans="4:19" x14ac:dyDescent="0.3">
      <c r="D257" s="29" t="s">
        <v>191</v>
      </c>
      <c r="E257" s="29" t="s">
        <v>39</v>
      </c>
      <c r="F257" s="71"/>
      <c r="G257" s="100" t="s">
        <v>192</v>
      </c>
      <c r="H257" s="71"/>
      <c r="I257" s="29" t="s">
        <v>193</v>
      </c>
      <c r="N257" s="29" t="s">
        <v>191</v>
      </c>
      <c r="O257" s="29" t="s">
        <v>39</v>
      </c>
      <c r="P257" s="71"/>
      <c r="Q257" s="100" t="s">
        <v>192</v>
      </c>
      <c r="R257" s="71"/>
      <c r="S257" s="29" t="s">
        <v>193</v>
      </c>
    </row>
    <row r="258" spans="4:19" x14ac:dyDescent="0.3">
      <c r="D258" s="29" t="s">
        <v>194</v>
      </c>
      <c r="E258" s="29" t="s">
        <v>39</v>
      </c>
      <c r="F258" s="71"/>
      <c r="G258" s="100" t="s">
        <v>192</v>
      </c>
      <c r="H258" s="71"/>
      <c r="I258" s="29" t="s">
        <v>195</v>
      </c>
      <c r="N258" s="29" t="s">
        <v>194</v>
      </c>
      <c r="O258" s="29" t="s">
        <v>39</v>
      </c>
      <c r="P258" s="71"/>
      <c r="Q258" s="100" t="s">
        <v>192</v>
      </c>
      <c r="R258" s="71"/>
      <c r="S258" s="29" t="s">
        <v>195</v>
      </c>
    </row>
    <row r="259" spans="4:19" x14ac:dyDescent="0.3">
      <c r="D259" s="29" t="s">
        <v>59</v>
      </c>
      <c r="E259" s="29" t="s">
        <v>60</v>
      </c>
      <c r="F259" s="71" t="s">
        <v>19</v>
      </c>
      <c r="G259" s="100"/>
      <c r="H259" s="71"/>
      <c r="I259" s="29" t="s">
        <v>1023</v>
      </c>
      <c r="N259" s="29" t="s">
        <v>59</v>
      </c>
      <c r="O259" s="29" t="s">
        <v>60</v>
      </c>
      <c r="P259" s="71" t="s">
        <v>19</v>
      </c>
      <c r="Q259" s="100"/>
      <c r="R259" s="71"/>
      <c r="S259" s="29" t="s">
        <v>1023</v>
      </c>
    </row>
    <row r="260" spans="4:19" x14ac:dyDescent="0.3">
      <c r="D260" s="29" t="s">
        <v>62</v>
      </c>
      <c r="E260" s="29" t="s">
        <v>60</v>
      </c>
      <c r="F260" s="71" t="s">
        <v>19</v>
      </c>
      <c r="G260" s="100"/>
      <c r="H260" s="71"/>
      <c r="I260" s="29" t="s">
        <v>1024</v>
      </c>
      <c r="N260" s="29" t="s">
        <v>62</v>
      </c>
      <c r="O260" s="29" t="s">
        <v>60</v>
      </c>
      <c r="P260" s="71" t="s">
        <v>19</v>
      </c>
      <c r="Q260" s="100"/>
      <c r="R260" s="71"/>
      <c r="S260" s="29" t="s">
        <v>1024</v>
      </c>
    </row>
    <row r="261" spans="4:19" x14ac:dyDescent="0.3">
      <c r="D261" s="29" t="s">
        <v>64</v>
      </c>
      <c r="E261" s="29" t="s">
        <v>60</v>
      </c>
      <c r="F261" s="71" t="s">
        <v>19</v>
      </c>
      <c r="G261" s="100"/>
      <c r="H261" s="71"/>
      <c r="I261" s="29" t="s">
        <v>1025</v>
      </c>
      <c r="N261" s="29" t="s">
        <v>64</v>
      </c>
      <c r="O261" s="29" t="s">
        <v>60</v>
      </c>
      <c r="P261" s="71" t="s">
        <v>19</v>
      </c>
      <c r="Q261" s="100"/>
      <c r="R261" s="71"/>
      <c r="S261" s="29" t="s">
        <v>1025</v>
      </c>
    </row>
    <row r="262" spans="4:19" x14ac:dyDescent="0.3">
      <c r="D262" s="29" t="s">
        <v>66</v>
      </c>
      <c r="E262" s="29" t="s">
        <v>60</v>
      </c>
      <c r="F262" s="71" t="s">
        <v>19</v>
      </c>
      <c r="G262" s="100"/>
      <c r="H262" s="71"/>
      <c r="I262" s="29" t="s">
        <v>201</v>
      </c>
      <c r="N262" s="29" t="s">
        <v>66</v>
      </c>
      <c r="O262" s="29" t="s">
        <v>60</v>
      </c>
      <c r="P262" s="71" t="s">
        <v>19</v>
      </c>
      <c r="Q262" s="100"/>
      <c r="R262" s="71"/>
      <c r="S262" s="29" t="s">
        <v>201</v>
      </c>
    </row>
    <row r="263" spans="4:19" x14ac:dyDescent="0.3">
      <c r="D263" s="29" t="s">
        <v>67</v>
      </c>
      <c r="E263" s="29" t="s">
        <v>60</v>
      </c>
      <c r="F263" s="71" t="s">
        <v>19</v>
      </c>
      <c r="G263" s="100"/>
      <c r="H263" s="71"/>
      <c r="I263" s="29" t="s">
        <v>202</v>
      </c>
      <c r="N263" s="29" t="s">
        <v>67</v>
      </c>
      <c r="O263" s="29" t="s">
        <v>60</v>
      </c>
      <c r="P263" s="71" t="s">
        <v>19</v>
      </c>
      <c r="Q263" s="100"/>
      <c r="R263" s="71"/>
      <c r="S263" s="29" t="s">
        <v>202</v>
      </c>
    </row>
    <row r="264" spans="4:19" x14ac:dyDescent="0.3">
      <c r="D264" s="29" t="s">
        <v>1026</v>
      </c>
      <c r="E264" s="29" t="s">
        <v>271</v>
      </c>
      <c r="F264" s="71" t="s">
        <v>19</v>
      </c>
      <c r="G264" s="100" t="s">
        <v>192</v>
      </c>
      <c r="H264" s="71"/>
      <c r="I264" s="29"/>
      <c r="N264" s="29" t="s">
        <v>1026</v>
      </c>
      <c r="O264" s="29" t="s">
        <v>271</v>
      </c>
      <c r="P264" s="71" t="s">
        <v>19</v>
      </c>
      <c r="Q264" s="100" t="s">
        <v>192</v>
      </c>
      <c r="R264" s="71"/>
      <c r="S264" s="29"/>
    </row>
    <row r="265" spans="4:19" x14ac:dyDescent="0.3">
      <c r="D265" s="38" t="s">
        <v>1027</v>
      </c>
      <c r="E265" s="38" t="s">
        <v>44</v>
      </c>
      <c r="F265" s="72" t="s">
        <v>19</v>
      </c>
      <c r="G265" s="101"/>
      <c r="H265" s="72"/>
      <c r="I265" s="38" t="s">
        <v>1028</v>
      </c>
      <c r="N265" s="38" t="s">
        <v>1027</v>
      </c>
      <c r="O265" s="38" t="s">
        <v>44</v>
      </c>
      <c r="P265" s="72" t="s">
        <v>19</v>
      </c>
      <c r="Q265" s="101"/>
      <c r="R265" s="72"/>
      <c r="S265" s="38" t="s">
        <v>1028</v>
      </c>
    </row>
    <row r="267" spans="4:19" x14ac:dyDescent="0.3">
      <c r="D267" s="10" t="s">
        <v>1030</v>
      </c>
      <c r="N267" s="10" t="s">
        <v>1030</v>
      </c>
    </row>
    <row r="268" spans="4:19" x14ac:dyDescent="0.3">
      <c r="D268" s="43" t="s">
        <v>85</v>
      </c>
      <c r="E268" s="43" t="s">
        <v>0</v>
      </c>
      <c r="F268" s="43" t="s">
        <v>1</v>
      </c>
      <c r="G268" s="43" t="s">
        <v>2</v>
      </c>
      <c r="H268" s="43" t="s">
        <v>21</v>
      </c>
      <c r="I268" s="43" t="s">
        <v>3</v>
      </c>
      <c r="N268" s="43" t="s">
        <v>85</v>
      </c>
      <c r="O268" s="43" t="s">
        <v>0</v>
      </c>
      <c r="P268" s="43" t="s">
        <v>1</v>
      </c>
      <c r="Q268" s="43" t="s">
        <v>2</v>
      </c>
      <c r="R268" s="43" t="s">
        <v>21</v>
      </c>
      <c r="S268" s="43" t="s">
        <v>3</v>
      </c>
    </row>
    <row r="269" spans="4:19" x14ac:dyDescent="0.3">
      <c r="D269" s="117" t="s">
        <v>1032</v>
      </c>
      <c r="E269" s="117" t="s">
        <v>23</v>
      </c>
      <c r="F269" s="118"/>
      <c r="G269" s="119"/>
      <c r="H269" s="118">
        <v>1</v>
      </c>
      <c r="I269" s="117" t="s">
        <v>1033</v>
      </c>
      <c r="N269" s="117" t="s">
        <v>1032</v>
      </c>
      <c r="O269" s="117" t="s">
        <v>23</v>
      </c>
      <c r="P269" s="139"/>
      <c r="Q269" s="119"/>
      <c r="R269" s="139">
        <v>1</v>
      </c>
      <c r="S269" s="117" t="s">
        <v>1033</v>
      </c>
    </row>
    <row r="270" spans="4:19" x14ac:dyDescent="0.3">
      <c r="D270" s="97" t="s">
        <v>26</v>
      </c>
      <c r="E270" s="97" t="s">
        <v>23</v>
      </c>
      <c r="F270" s="98"/>
      <c r="G270" s="123" t="s">
        <v>1034</v>
      </c>
      <c r="H270" s="98">
        <v>2</v>
      </c>
      <c r="I270" s="97" t="s">
        <v>27</v>
      </c>
      <c r="N270" s="140" t="s">
        <v>26</v>
      </c>
      <c r="O270" s="140" t="s">
        <v>23</v>
      </c>
      <c r="P270" s="141"/>
      <c r="Q270" s="123" t="s">
        <v>1034</v>
      </c>
      <c r="R270" s="141">
        <v>2</v>
      </c>
      <c r="S270" s="140" t="s">
        <v>27</v>
      </c>
    </row>
    <row r="271" spans="4:19" x14ac:dyDescent="0.3">
      <c r="D271" s="29" t="s">
        <v>30</v>
      </c>
      <c r="E271" s="29" t="s">
        <v>44</v>
      </c>
      <c r="F271" s="71"/>
      <c r="G271" s="100"/>
      <c r="H271" s="71"/>
      <c r="I271" s="29" t="s">
        <v>32</v>
      </c>
      <c r="N271" s="32" t="s">
        <v>30</v>
      </c>
      <c r="O271" s="32" t="s">
        <v>44</v>
      </c>
      <c r="P271" s="31"/>
      <c r="Q271" s="100"/>
      <c r="R271" s="31"/>
      <c r="S271" s="32" t="s">
        <v>32</v>
      </c>
    </row>
    <row r="272" spans="4:19" x14ac:dyDescent="0.3">
      <c r="D272" s="29" t="s">
        <v>1035</v>
      </c>
      <c r="E272" s="29" t="s">
        <v>23</v>
      </c>
      <c r="F272" s="71" t="s">
        <v>19</v>
      </c>
      <c r="G272" s="100"/>
      <c r="H272" s="71"/>
      <c r="I272" s="29" t="s">
        <v>1036</v>
      </c>
      <c r="N272" s="32" t="s">
        <v>1035</v>
      </c>
      <c r="O272" s="32" t="s">
        <v>23</v>
      </c>
      <c r="P272" s="31" t="s">
        <v>19</v>
      </c>
      <c r="Q272" s="100"/>
      <c r="R272" s="31"/>
      <c r="S272" s="32" t="s">
        <v>1036</v>
      </c>
    </row>
    <row r="273" spans="4:19" x14ac:dyDescent="0.3">
      <c r="D273" s="29" t="s">
        <v>1037</v>
      </c>
      <c r="E273" s="29" t="s">
        <v>23</v>
      </c>
      <c r="F273" s="71"/>
      <c r="G273" s="100"/>
      <c r="H273" s="71"/>
      <c r="I273" s="29" t="s">
        <v>1038</v>
      </c>
      <c r="N273" s="32" t="s">
        <v>1037</v>
      </c>
      <c r="O273" s="32" t="s">
        <v>23</v>
      </c>
      <c r="P273" s="31"/>
      <c r="Q273" s="100"/>
      <c r="R273" s="31"/>
      <c r="S273" s="32" t="s">
        <v>1038</v>
      </c>
    </row>
    <row r="274" spans="4:19" x14ac:dyDescent="0.3">
      <c r="D274" s="29" t="s">
        <v>35</v>
      </c>
      <c r="E274" s="29" t="s">
        <v>96</v>
      </c>
      <c r="F274" s="71"/>
      <c r="G274" s="100"/>
      <c r="H274" s="71"/>
      <c r="I274" s="29" t="s">
        <v>37</v>
      </c>
      <c r="N274" s="32" t="s">
        <v>35</v>
      </c>
      <c r="O274" s="32" t="s">
        <v>96</v>
      </c>
      <c r="P274" s="31"/>
      <c r="Q274" s="100"/>
      <c r="R274" s="31"/>
      <c r="S274" s="32" t="s">
        <v>37</v>
      </c>
    </row>
    <row r="275" spans="4:19" x14ac:dyDescent="0.3">
      <c r="D275" s="29" t="s">
        <v>38</v>
      </c>
      <c r="E275" s="29" t="s">
        <v>39</v>
      </c>
      <c r="F275" s="71"/>
      <c r="G275" s="100"/>
      <c r="H275" s="71"/>
      <c r="I275" s="121" t="s">
        <v>15</v>
      </c>
      <c r="N275" s="32" t="s">
        <v>38</v>
      </c>
      <c r="O275" s="32" t="s">
        <v>39</v>
      </c>
      <c r="P275" s="31"/>
      <c r="Q275" s="100"/>
      <c r="R275" s="31"/>
      <c r="S275" s="32" t="s">
        <v>15</v>
      </c>
    </row>
    <row r="276" spans="4:19" x14ac:dyDescent="0.3">
      <c r="D276" s="29" t="s">
        <v>40</v>
      </c>
      <c r="E276" s="29" t="s">
        <v>39</v>
      </c>
      <c r="F276" s="71"/>
      <c r="G276" s="100" t="s">
        <v>189</v>
      </c>
      <c r="H276" s="71"/>
      <c r="I276" s="29" t="s">
        <v>14</v>
      </c>
      <c r="N276" s="32" t="s">
        <v>40</v>
      </c>
      <c r="O276" s="32" t="s">
        <v>39</v>
      </c>
      <c r="P276" s="31"/>
      <c r="Q276" s="100" t="s">
        <v>189</v>
      </c>
      <c r="R276" s="31"/>
      <c r="S276" s="32" t="s">
        <v>14</v>
      </c>
    </row>
    <row r="277" spans="4:19" x14ac:dyDescent="0.3">
      <c r="D277" s="29" t="s">
        <v>41</v>
      </c>
      <c r="E277" s="29" t="s">
        <v>42</v>
      </c>
      <c r="F277" s="71" t="s">
        <v>19</v>
      </c>
      <c r="G277" s="100"/>
      <c r="H277" s="71"/>
      <c r="I277" s="29" t="s">
        <v>16</v>
      </c>
      <c r="N277" s="32" t="s">
        <v>41</v>
      </c>
      <c r="O277" s="32" t="s">
        <v>42</v>
      </c>
      <c r="P277" s="31" t="s">
        <v>19</v>
      </c>
      <c r="Q277" s="100"/>
      <c r="R277" s="31"/>
      <c r="S277" s="32" t="s">
        <v>16</v>
      </c>
    </row>
    <row r="278" spans="4:19" x14ac:dyDescent="0.3">
      <c r="D278" s="29" t="s">
        <v>43</v>
      </c>
      <c r="E278" s="29" t="s">
        <v>44</v>
      </c>
      <c r="F278" s="71" t="s">
        <v>19</v>
      </c>
      <c r="G278" s="100"/>
      <c r="H278" s="71"/>
      <c r="I278" s="29" t="s">
        <v>45</v>
      </c>
      <c r="N278" s="32" t="s">
        <v>43</v>
      </c>
      <c r="O278" s="32" t="s">
        <v>44</v>
      </c>
      <c r="P278" s="31" t="s">
        <v>19</v>
      </c>
      <c r="Q278" s="100"/>
      <c r="R278" s="31"/>
      <c r="S278" s="32" t="s">
        <v>45</v>
      </c>
    </row>
    <row r="279" spans="4:19" ht="27" x14ac:dyDescent="0.3">
      <c r="D279" s="29" t="s">
        <v>46</v>
      </c>
      <c r="E279" s="29" t="s">
        <v>47</v>
      </c>
      <c r="F279" s="71"/>
      <c r="G279" s="25" t="s">
        <v>1044</v>
      </c>
      <c r="H279" s="71"/>
      <c r="I279" s="29" t="s">
        <v>48</v>
      </c>
      <c r="N279" s="32" t="s">
        <v>46</v>
      </c>
      <c r="O279" s="32" t="s">
        <v>47</v>
      </c>
      <c r="P279" s="31"/>
      <c r="Q279" s="27" t="s">
        <v>1377</v>
      </c>
      <c r="R279" s="32"/>
      <c r="S279" s="32" t="s">
        <v>48</v>
      </c>
    </row>
    <row r="280" spans="4:19" x14ac:dyDescent="0.3">
      <c r="D280" s="29" t="s">
        <v>49</v>
      </c>
      <c r="E280" s="29" t="s">
        <v>23</v>
      </c>
      <c r="F280" s="71"/>
      <c r="G280" s="100"/>
      <c r="H280" s="71"/>
      <c r="I280" s="29" t="s">
        <v>50</v>
      </c>
      <c r="N280" s="32" t="s">
        <v>49</v>
      </c>
      <c r="O280" s="32" t="s">
        <v>23</v>
      </c>
      <c r="P280" s="31"/>
      <c r="Q280" s="31"/>
      <c r="R280" s="32"/>
      <c r="S280" s="32" t="s">
        <v>50</v>
      </c>
    </row>
    <row r="281" spans="4:19" x14ac:dyDescent="0.3">
      <c r="D281" s="29" t="s">
        <v>51</v>
      </c>
      <c r="E281" s="29" t="s">
        <v>47</v>
      </c>
      <c r="F281" s="71" t="s">
        <v>19</v>
      </c>
      <c r="G281" s="100"/>
      <c r="H281" s="71"/>
      <c r="I281" s="29" t="s">
        <v>52</v>
      </c>
      <c r="N281" s="32" t="s">
        <v>51</v>
      </c>
      <c r="O281" s="32" t="s">
        <v>47</v>
      </c>
      <c r="P281" s="31" t="s">
        <v>19</v>
      </c>
      <c r="Q281" s="31"/>
      <c r="R281" s="32"/>
      <c r="S281" s="32" t="s">
        <v>52</v>
      </c>
    </row>
    <row r="282" spans="4:19" x14ac:dyDescent="0.3">
      <c r="D282" s="29" t="s">
        <v>53</v>
      </c>
      <c r="E282" s="29" t="s">
        <v>23</v>
      </c>
      <c r="F282" s="71" t="s">
        <v>19</v>
      </c>
      <c r="G282" s="100"/>
      <c r="H282" s="71"/>
      <c r="I282" s="29" t="s">
        <v>54</v>
      </c>
      <c r="N282" s="32" t="s">
        <v>53</v>
      </c>
      <c r="O282" s="32" t="s">
        <v>23</v>
      </c>
      <c r="P282" s="31" t="s">
        <v>19</v>
      </c>
      <c r="Q282" s="31"/>
      <c r="R282" s="32"/>
      <c r="S282" s="32" t="s">
        <v>54</v>
      </c>
    </row>
    <row r="283" spans="4:19" x14ac:dyDescent="0.3">
      <c r="D283" s="29" t="s">
        <v>59</v>
      </c>
      <c r="E283" s="29" t="s">
        <v>60</v>
      </c>
      <c r="F283" s="71" t="s">
        <v>19</v>
      </c>
      <c r="G283" s="100"/>
      <c r="H283" s="71"/>
      <c r="I283" s="29"/>
      <c r="N283" s="32" t="s">
        <v>59</v>
      </c>
      <c r="O283" s="32" t="s">
        <v>60</v>
      </c>
      <c r="P283" s="31" t="s">
        <v>19</v>
      </c>
      <c r="Q283" s="31"/>
      <c r="R283" s="32"/>
      <c r="S283" s="32"/>
    </row>
    <row r="284" spans="4:19" x14ac:dyDescent="0.3">
      <c r="D284" s="29" t="s">
        <v>62</v>
      </c>
      <c r="E284" s="29" t="s">
        <v>60</v>
      </c>
      <c r="F284" s="71" t="s">
        <v>19</v>
      </c>
      <c r="G284" s="100"/>
      <c r="H284" s="71"/>
      <c r="I284" s="29"/>
      <c r="N284" s="32" t="s">
        <v>62</v>
      </c>
      <c r="O284" s="32" t="s">
        <v>60</v>
      </c>
      <c r="P284" s="31" t="s">
        <v>19</v>
      </c>
      <c r="Q284" s="31"/>
      <c r="R284" s="32"/>
      <c r="S284" s="32"/>
    </row>
    <row r="285" spans="4:19" x14ac:dyDescent="0.3">
      <c r="D285" s="29" t="s">
        <v>64</v>
      </c>
      <c r="E285" s="29" t="s">
        <v>60</v>
      </c>
      <c r="F285" s="71" t="s">
        <v>19</v>
      </c>
      <c r="G285" s="100"/>
      <c r="H285" s="71"/>
      <c r="I285" s="29"/>
      <c r="N285" s="32" t="s">
        <v>64</v>
      </c>
      <c r="O285" s="32" t="s">
        <v>60</v>
      </c>
      <c r="P285" s="31" t="s">
        <v>19</v>
      </c>
      <c r="Q285" s="31"/>
      <c r="R285" s="32"/>
      <c r="S285" s="32"/>
    </row>
    <row r="286" spans="4:19" x14ac:dyDescent="0.3">
      <c r="D286" s="29" t="s">
        <v>66</v>
      </c>
      <c r="E286" s="29" t="s">
        <v>60</v>
      </c>
      <c r="F286" s="71" t="s">
        <v>19</v>
      </c>
      <c r="G286" s="100"/>
      <c r="H286" s="71"/>
      <c r="I286" s="29"/>
      <c r="N286" s="32" t="s">
        <v>66</v>
      </c>
      <c r="O286" s="32" t="s">
        <v>60</v>
      </c>
      <c r="P286" s="31" t="s">
        <v>19</v>
      </c>
      <c r="Q286" s="31"/>
      <c r="R286" s="32"/>
      <c r="S286" s="32"/>
    </row>
    <row r="287" spans="4:19" x14ac:dyDescent="0.3">
      <c r="D287" s="29" t="s">
        <v>67</v>
      </c>
      <c r="E287" s="29" t="s">
        <v>60</v>
      </c>
      <c r="F287" s="71" t="s">
        <v>19</v>
      </c>
      <c r="G287" s="100"/>
      <c r="H287" s="71"/>
      <c r="I287" s="29"/>
      <c r="N287" s="32" t="s">
        <v>67</v>
      </c>
      <c r="O287" s="32" t="s">
        <v>60</v>
      </c>
      <c r="P287" s="31" t="s">
        <v>19</v>
      </c>
      <c r="Q287" s="31"/>
      <c r="R287" s="32"/>
      <c r="S287" s="32"/>
    </row>
    <row r="288" spans="4:19" x14ac:dyDescent="0.3">
      <c r="D288" s="29" t="s">
        <v>1039</v>
      </c>
      <c r="E288" s="29" t="s">
        <v>23</v>
      </c>
      <c r="F288" s="71" t="s">
        <v>19</v>
      </c>
      <c r="G288" s="100"/>
      <c r="H288" s="71"/>
      <c r="I288" s="29"/>
      <c r="N288" s="32" t="s">
        <v>1039</v>
      </c>
      <c r="O288" s="32" t="s">
        <v>23</v>
      </c>
      <c r="P288" s="31" t="s">
        <v>19</v>
      </c>
      <c r="Q288" s="31"/>
      <c r="R288" s="32"/>
      <c r="S288" s="32"/>
    </row>
    <row r="289" spans="4:19" x14ac:dyDescent="0.3">
      <c r="D289" s="29" t="s">
        <v>1040</v>
      </c>
      <c r="E289" s="29" t="s">
        <v>23</v>
      </c>
      <c r="F289" s="71" t="s">
        <v>19</v>
      </c>
      <c r="G289" s="100"/>
      <c r="H289" s="71"/>
      <c r="I289" s="29"/>
      <c r="N289" s="32" t="s">
        <v>1040</v>
      </c>
      <c r="O289" s="32" t="s">
        <v>23</v>
      </c>
      <c r="P289" s="31" t="s">
        <v>19</v>
      </c>
      <c r="Q289" s="31"/>
      <c r="R289" s="32"/>
      <c r="S289" s="32"/>
    </row>
    <row r="290" spans="4:19" x14ac:dyDescent="0.3">
      <c r="D290" s="29" t="s">
        <v>1041</v>
      </c>
      <c r="E290" s="29" t="s">
        <v>23</v>
      </c>
      <c r="F290" s="71" t="s">
        <v>19</v>
      </c>
      <c r="G290" s="100"/>
      <c r="H290" s="71"/>
      <c r="I290" s="29"/>
      <c r="N290" s="32" t="s">
        <v>1041</v>
      </c>
      <c r="O290" s="32" t="s">
        <v>23</v>
      </c>
      <c r="P290" s="31" t="s">
        <v>19</v>
      </c>
      <c r="Q290" s="31"/>
      <c r="R290" s="32"/>
      <c r="S290" s="32"/>
    </row>
    <row r="291" spans="4:19" x14ac:dyDescent="0.3">
      <c r="D291" s="29" t="s">
        <v>1042</v>
      </c>
      <c r="E291" s="29" t="s">
        <v>23</v>
      </c>
      <c r="F291" s="71" t="s">
        <v>19</v>
      </c>
      <c r="G291" s="100"/>
      <c r="H291" s="71"/>
      <c r="I291" s="29"/>
      <c r="N291" s="32" t="s">
        <v>1042</v>
      </c>
      <c r="O291" s="32" t="s">
        <v>23</v>
      </c>
      <c r="P291" s="31" t="s">
        <v>19</v>
      </c>
      <c r="Q291" s="31"/>
      <c r="R291" s="32"/>
      <c r="S291" s="32"/>
    </row>
    <row r="292" spans="4:19" x14ac:dyDescent="0.3">
      <c r="D292" s="38" t="s">
        <v>1043</v>
      </c>
      <c r="E292" s="38" t="s">
        <v>60</v>
      </c>
      <c r="F292" s="72" t="s">
        <v>19</v>
      </c>
      <c r="G292" s="101"/>
      <c r="H292" s="72"/>
      <c r="I292" s="38"/>
      <c r="N292" s="37" t="s">
        <v>1043</v>
      </c>
      <c r="O292" s="37" t="s">
        <v>60</v>
      </c>
      <c r="P292" s="36" t="s">
        <v>19</v>
      </c>
      <c r="Q292" s="36"/>
      <c r="R292" s="37"/>
      <c r="S292" s="37"/>
    </row>
    <row r="294" spans="4:19" x14ac:dyDescent="0.3">
      <c r="D294" s="10" t="s">
        <v>1046</v>
      </c>
      <c r="N294" s="10" t="s">
        <v>1046</v>
      </c>
    </row>
    <row r="295" spans="4:19" x14ac:dyDescent="0.3">
      <c r="D295" s="43" t="s">
        <v>85</v>
      </c>
      <c r="E295" s="43" t="s">
        <v>0</v>
      </c>
      <c r="F295" s="43" t="s">
        <v>1</v>
      </c>
      <c r="G295" s="43" t="s">
        <v>2</v>
      </c>
      <c r="H295" s="43" t="s">
        <v>21</v>
      </c>
      <c r="I295" s="43" t="s">
        <v>3</v>
      </c>
      <c r="N295" s="43" t="s">
        <v>85</v>
      </c>
      <c r="O295" s="43" t="s">
        <v>0</v>
      </c>
      <c r="P295" s="43" t="s">
        <v>1</v>
      </c>
      <c r="Q295" s="43" t="s">
        <v>2</v>
      </c>
      <c r="R295" s="43" t="s">
        <v>21</v>
      </c>
      <c r="S295" s="43" t="s">
        <v>3</v>
      </c>
    </row>
    <row r="296" spans="4:19" x14ac:dyDescent="0.3">
      <c r="D296" s="117" t="s">
        <v>681</v>
      </c>
      <c r="E296" s="117" t="s">
        <v>23</v>
      </c>
      <c r="F296" s="118"/>
      <c r="G296" s="119"/>
      <c r="H296" s="118">
        <v>1</v>
      </c>
      <c r="I296" s="117" t="s">
        <v>1047</v>
      </c>
      <c r="N296" s="142" t="s">
        <v>681</v>
      </c>
      <c r="O296" s="142" t="s">
        <v>23</v>
      </c>
      <c r="P296" s="143"/>
      <c r="Q296" s="144"/>
      <c r="R296" s="143">
        <v>1</v>
      </c>
      <c r="S296" s="142" t="s">
        <v>1047</v>
      </c>
    </row>
    <row r="297" spans="4:19" x14ac:dyDescent="0.3">
      <c r="D297" s="66" t="s">
        <v>670</v>
      </c>
      <c r="E297" s="66" t="s">
        <v>23</v>
      </c>
      <c r="F297" s="124"/>
      <c r="G297" s="63"/>
      <c r="H297" s="124"/>
      <c r="I297" s="66" t="s">
        <v>1048</v>
      </c>
      <c r="N297" s="145" t="s">
        <v>670</v>
      </c>
      <c r="O297" s="145" t="s">
        <v>23</v>
      </c>
      <c r="P297" s="146"/>
      <c r="Q297" s="146"/>
      <c r="R297" s="145"/>
      <c r="S297" s="145" t="s">
        <v>1048</v>
      </c>
    </row>
    <row r="298" spans="4:19" ht="27" x14ac:dyDescent="0.3">
      <c r="D298" s="29" t="s">
        <v>46</v>
      </c>
      <c r="E298" s="29" t="s">
        <v>47</v>
      </c>
      <c r="F298" s="71"/>
      <c r="G298" s="25" t="s">
        <v>1093</v>
      </c>
      <c r="H298" s="71"/>
      <c r="I298" s="29" t="s">
        <v>48</v>
      </c>
      <c r="N298" s="145" t="s">
        <v>46</v>
      </c>
      <c r="O298" s="145" t="s">
        <v>47</v>
      </c>
      <c r="P298" s="146"/>
      <c r="Q298" s="147" t="s">
        <v>1378</v>
      </c>
      <c r="R298" s="145"/>
      <c r="S298" s="145" t="s">
        <v>48</v>
      </c>
    </row>
    <row r="299" spans="4:19" x14ac:dyDescent="0.3">
      <c r="D299" s="29" t="s">
        <v>49</v>
      </c>
      <c r="E299" s="29" t="s">
        <v>23</v>
      </c>
      <c r="F299" s="71"/>
      <c r="G299" s="100"/>
      <c r="H299" s="71"/>
      <c r="I299" s="29" t="s">
        <v>50</v>
      </c>
      <c r="N299" s="145" t="s">
        <v>49</v>
      </c>
      <c r="O299" s="145" t="s">
        <v>23</v>
      </c>
      <c r="P299" s="146"/>
      <c r="Q299" s="146"/>
      <c r="R299" s="145"/>
      <c r="S299" s="145" t="s">
        <v>50</v>
      </c>
    </row>
    <row r="300" spans="4:19" x14ac:dyDescent="0.3">
      <c r="D300" s="29" t="s">
        <v>51</v>
      </c>
      <c r="E300" s="29" t="s">
        <v>47</v>
      </c>
      <c r="F300" s="71" t="s">
        <v>19</v>
      </c>
      <c r="G300" s="100"/>
      <c r="H300" s="71"/>
      <c r="I300" s="29" t="s">
        <v>52</v>
      </c>
      <c r="N300" s="145" t="s">
        <v>51</v>
      </c>
      <c r="O300" s="145" t="s">
        <v>47</v>
      </c>
      <c r="P300" s="146" t="s">
        <v>19</v>
      </c>
      <c r="Q300" s="146"/>
      <c r="R300" s="145"/>
      <c r="S300" s="145" t="s">
        <v>52</v>
      </c>
    </row>
    <row r="301" spans="4:19" x14ac:dyDescent="0.3">
      <c r="D301" s="29" t="s">
        <v>53</v>
      </c>
      <c r="E301" s="29" t="s">
        <v>23</v>
      </c>
      <c r="F301" s="71" t="s">
        <v>19</v>
      </c>
      <c r="G301" s="100"/>
      <c r="H301" s="71"/>
      <c r="I301" s="29" t="s">
        <v>54</v>
      </c>
      <c r="N301" s="145" t="s">
        <v>53</v>
      </c>
      <c r="O301" s="145" t="s">
        <v>23</v>
      </c>
      <c r="P301" s="146" t="s">
        <v>19</v>
      </c>
      <c r="Q301" s="146"/>
      <c r="R301" s="145"/>
      <c r="S301" s="145" t="s">
        <v>54</v>
      </c>
    </row>
    <row r="302" spans="4:19" x14ac:dyDescent="0.3">
      <c r="D302" s="29" t="s">
        <v>1049</v>
      </c>
      <c r="E302" s="29" t="s">
        <v>96</v>
      </c>
      <c r="F302" s="71"/>
      <c r="G302" s="100"/>
      <c r="H302" s="71"/>
      <c r="I302" s="121" t="s">
        <v>1050</v>
      </c>
      <c r="N302" s="145" t="s">
        <v>1049</v>
      </c>
      <c r="O302" s="145" t="s">
        <v>96</v>
      </c>
      <c r="P302" s="146"/>
      <c r="Q302" s="146"/>
      <c r="R302" s="145"/>
      <c r="S302" s="145" t="s">
        <v>1050</v>
      </c>
    </row>
    <row r="303" spans="4:19" x14ac:dyDescent="0.3">
      <c r="D303" s="29" t="s">
        <v>1051</v>
      </c>
      <c r="E303" s="29" t="s">
        <v>36</v>
      </c>
      <c r="F303" s="71" t="s">
        <v>19</v>
      </c>
      <c r="G303" s="100"/>
      <c r="H303" s="71"/>
      <c r="I303" s="29" t="s">
        <v>1052</v>
      </c>
      <c r="N303" s="145" t="s">
        <v>1051</v>
      </c>
      <c r="O303" s="145" t="s">
        <v>36</v>
      </c>
      <c r="P303" s="146" t="s">
        <v>19</v>
      </c>
      <c r="Q303" s="146"/>
      <c r="R303" s="145"/>
      <c r="S303" s="145" t="s">
        <v>1052</v>
      </c>
    </row>
    <row r="304" spans="4:19" x14ac:dyDescent="0.3">
      <c r="D304" s="29" t="s">
        <v>1053</v>
      </c>
      <c r="E304" s="29" t="s">
        <v>36</v>
      </c>
      <c r="F304" s="71" t="s">
        <v>19</v>
      </c>
      <c r="G304" s="100"/>
      <c r="H304" s="71"/>
      <c r="I304" s="29" t="s">
        <v>1054</v>
      </c>
      <c r="N304" s="145" t="s">
        <v>1053</v>
      </c>
      <c r="O304" s="145" t="s">
        <v>36</v>
      </c>
      <c r="P304" s="146" t="s">
        <v>19</v>
      </c>
      <c r="Q304" s="146"/>
      <c r="R304" s="145"/>
      <c r="S304" s="145" t="s">
        <v>1054</v>
      </c>
    </row>
    <row r="305" spans="4:19" x14ac:dyDescent="0.3">
      <c r="D305" s="29" t="s">
        <v>1055</v>
      </c>
      <c r="E305" s="29" t="s">
        <v>133</v>
      </c>
      <c r="F305" s="71" t="s">
        <v>19</v>
      </c>
      <c r="G305" s="100"/>
      <c r="H305" s="71"/>
      <c r="I305" s="29" t="s">
        <v>1056</v>
      </c>
      <c r="N305" s="145" t="s">
        <v>1055</v>
      </c>
      <c r="O305" s="145" t="s">
        <v>133</v>
      </c>
      <c r="P305" s="146" t="s">
        <v>19</v>
      </c>
      <c r="Q305" s="146"/>
      <c r="R305" s="145"/>
      <c r="S305" s="145" t="s">
        <v>1056</v>
      </c>
    </row>
    <row r="306" spans="4:19" x14ac:dyDescent="0.3">
      <c r="D306" s="29" t="s">
        <v>1057</v>
      </c>
      <c r="E306" s="29" t="s">
        <v>133</v>
      </c>
      <c r="F306" s="71" t="s">
        <v>19</v>
      </c>
      <c r="G306" s="25"/>
      <c r="H306" s="71"/>
      <c r="I306" s="29" t="s">
        <v>1058</v>
      </c>
      <c r="N306" s="145" t="s">
        <v>1057</v>
      </c>
      <c r="O306" s="145" t="s">
        <v>133</v>
      </c>
      <c r="P306" s="146" t="s">
        <v>19</v>
      </c>
      <c r="Q306" s="146"/>
      <c r="R306" s="145"/>
      <c r="S306" s="145" t="s">
        <v>1058</v>
      </c>
    </row>
    <row r="307" spans="4:19" x14ac:dyDescent="0.3">
      <c r="D307" s="29" t="s">
        <v>1059</v>
      </c>
      <c r="E307" s="29" t="s">
        <v>133</v>
      </c>
      <c r="F307" s="71" t="s">
        <v>19</v>
      </c>
      <c r="G307" s="100" t="s">
        <v>1060</v>
      </c>
      <c r="H307" s="71"/>
      <c r="I307" s="29" t="s">
        <v>1061</v>
      </c>
      <c r="N307" s="145" t="s">
        <v>1059</v>
      </c>
      <c r="O307" s="145" t="s">
        <v>133</v>
      </c>
      <c r="P307" s="146" t="s">
        <v>19</v>
      </c>
      <c r="Q307" s="146" t="s">
        <v>4</v>
      </c>
      <c r="R307" s="145"/>
      <c r="S307" s="145" t="s">
        <v>1061</v>
      </c>
    </row>
    <row r="308" spans="4:19" x14ac:dyDescent="0.3">
      <c r="D308" s="29" t="s">
        <v>1062</v>
      </c>
      <c r="E308" s="29" t="s">
        <v>99</v>
      </c>
      <c r="F308" s="71" t="s">
        <v>19</v>
      </c>
      <c r="G308" s="100"/>
      <c r="H308" s="71"/>
      <c r="I308" s="29" t="s">
        <v>1063</v>
      </c>
      <c r="N308" s="145" t="s">
        <v>1062</v>
      </c>
      <c r="O308" s="145" t="s">
        <v>99</v>
      </c>
      <c r="P308" s="146" t="s">
        <v>19</v>
      </c>
      <c r="Q308" s="146"/>
      <c r="R308" s="145"/>
      <c r="S308" s="145" t="s">
        <v>1063</v>
      </c>
    </row>
    <row r="309" spans="4:19" x14ac:dyDescent="0.3">
      <c r="D309" s="29" t="s">
        <v>1064</v>
      </c>
      <c r="E309" s="29" t="s">
        <v>99</v>
      </c>
      <c r="F309" s="71" t="s">
        <v>19</v>
      </c>
      <c r="G309" s="100"/>
      <c r="H309" s="71"/>
      <c r="I309" s="29" t="s">
        <v>1065</v>
      </c>
      <c r="N309" s="145" t="s">
        <v>1064</v>
      </c>
      <c r="O309" s="145" t="s">
        <v>99</v>
      </c>
      <c r="P309" s="146" t="s">
        <v>19</v>
      </c>
      <c r="Q309" s="146"/>
      <c r="R309" s="145"/>
      <c r="S309" s="145" t="s">
        <v>1065</v>
      </c>
    </row>
    <row r="310" spans="4:19" x14ac:dyDescent="0.3">
      <c r="D310" s="29" t="s">
        <v>1066</v>
      </c>
      <c r="E310" s="29" t="s">
        <v>99</v>
      </c>
      <c r="F310" s="71" t="s">
        <v>19</v>
      </c>
      <c r="G310" s="100"/>
      <c r="H310" s="71"/>
      <c r="I310" s="29" t="s">
        <v>1067</v>
      </c>
      <c r="N310" s="145" t="s">
        <v>1066</v>
      </c>
      <c r="O310" s="145" t="s">
        <v>99</v>
      </c>
      <c r="P310" s="146" t="s">
        <v>19</v>
      </c>
      <c r="Q310" s="146"/>
      <c r="R310" s="145"/>
      <c r="S310" s="145" t="s">
        <v>1067</v>
      </c>
    </row>
    <row r="311" spans="4:19" x14ac:dyDescent="0.3">
      <c r="D311" s="29" t="s">
        <v>1068</v>
      </c>
      <c r="E311" s="29" t="s">
        <v>99</v>
      </c>
      <c r="F311" s="71" t="s">
        <v>19</v>
      </c>
      <c r="G311" s="100"/>
      <c r="H311" s="71"/>
      <c r="I311" s="29" t="s">
        <v>1069</v>
      </c>
      <c r="N311" s="145" t="s">
        <v>1068</v>
      </c>
      <c r="O311" s="145" t="s">
        <v>99</v>
      </c>
      <c r="P311" s="146" t="s">
        <v>19</v>
      </c>
      <c r="Q311" s="146"/>
      <c r="R311" s="145"/>
      <c r="S311" s="145" t="s">
        <v>1069</v>
      </c>
    </row>
    <row r="312" spans="4:19" x14ac:dyDescent="0.3">
      <c r="D312" s="29" t="s">
        <v>1070</v>
      </c>
      <c r="E312" s="29" t="s">
        <v>99</v>
      </c>
      <c r="F312" s="71" t="s">
        <v>19</v>
      </c>
      <c r="G312" s="100"/>
      <c r="H312" s="71"/>
      <c r="I312" s="29" t="s">
        <v>1071</v>
      </c>
      <c r="N312" s="145" t="s">
        <v>1070</v>
      </c>
      <c r="O312" s="145" t="s">
        <v>99</v>
      </c>
      <c r="P312" s="146" t="s">
        <v>19</v>
      </c>
      <c r="Q312" s="146"/>
      <c r="R312" s="145"/>
      <c r="S312" s="145" t="s">
        <v>1071</v>
      </c>
    </row>
    <row r="313" spans="4:19" x14ac:dyDescent="0.3">
      <c r="D313" s="29" t="s">
        <v>1072</v>
      </c>
      <c r="E313" s="29" t="s">
        <v>99</v>
      </c>
      <c r="F313" s="71" t="s">
        <v>19</v>
      </c>
      <c r="G313" s="100"/>
      <c r="H313" s="71"/>
      <c r="I313" s="29" t="s">
        <v>1073</v>
      </c>
      <c r="N313" s="145" t="s">
        <v>1072</v>
      </c>
      <c r="O313" s="145" t="s">
        <v>99</v>
      </c>
      <c r="P313" s="146" t="s">
        <v>19</v>
      </c>
      <c r="Q313" s="146"/>
      <c r="R313" s="145"/>
      <c r="S313" s="145" t="s">
        <v>1073</v>
      </c>
    </row>
    <row r="314" spans="4:19" x14ac:dyDescent="0.3">
      <c r="D314" s="29" t="s">
        <v>1074</v>
      </c>
      <c r="E314" s="29" t="s">
        <v>99</v>
      </c>
      <c r="F314" s="71" t="s">
        <v>19</v>
      </c>
      <c r="G314" s="100"/>
      <c r="H314" s="71"/>
      <c r="I314" s="29" t="s">
        <v>1075</v>
      </c>
      <c r="N314" s="145" t="s">
        <v>1074</v>
      </c>
      <c r="O314" s="145" t="s">
        <v>99</v>
      </c>
      <c r="P314" s="146" t="s">
        <v>19</v>
      </c>
      <c r="Q314" s="146"/>
      <c r="R314" s="145"/>
      <c r="S314" s="145" t="s">
        <v>1075</v>
      </c>
    </row>
    <row r="315" spans="4:19" x14ac:dyDescent="0.3">
      <c r="D315" s="29" t="s">
        <v>1076</v>
      </c>
      <c r="E315" s="29" t="s">
        <v>99</v>
      </c>
      <c r="F315" s="71" t="s">
        <v>19</v>
      </c>
      <c r="G315" s="100"/>
      <c r="H315" s="71"/>
      <c r="I315" s="29" t="s">
        <v>1077</v>
      </c>
      <c r="N315" s="145" t="s">
        <v>1076</v>
      </c>
      <c r="O315" s="145" t="s">
        <v>99</v>
      </c>
      <c r="P315" s="146" t="s">
        <v>19</v>
      </c>
      <c r="Q315" s="146"/>
      <c r="R315" s="145"/>
      <c r="S315" s="145" t="s">
        <v>1077</v>
      </c>
    </row>
    <row r="316" spans="4:19" x14ac:dyDescent="0.3">
      <c r="D316" s="29" t="s">
        <v>1078</v>
      </c>
      <c r="E316" s="29" t="s">
        <v>99</v>
      </c>
      <c r="F316" s="71" t="s">
        <v>19</v>
      </c>
      <c r="G316" s="100"/>
      <c r="H316" s="71"/>
      <c r="I316" s="29" t="s">
        <v>1079</v>
      </c>
      <c r="N316" s="145" t="s">
        <v>1078</v>
      </c>
      <c r="O316" s="145" t="s">
        <v>99</v>
      </c>
      <c r="P316" s="146" t="s">
        <v>19</v>
      </c>
      <c r="Q316" s="146"/>
      <c r="R316" s="145"/>
      <c r="S316" s="145" t="s">
        <v>1079</v>
      </c>
    </row>
    <row r="317" spans="4:19" x14ac:dyDescent="0.3">
      <c r="D317" s="29" t="s">
        <v>1080</v>
      </c>
      <c r="E317" s="29" t="s">
        <v>112</v>
      </c>
      <c r="F317" s="71" t="s">
        <v>19</v>
      </c>
      <c r="G317" s="100"/>
      <c r="H317" s="71"/>
      <c r="I317" s="29" t="s">
        <v>1081</v>
      </c>
      <c r="N317" s="145" t="s">
        <v>1080</v>
      </c>
      <c r="O317" s="145" t="s">
        <v>112</v>
      </c>
      <c r="P317" s="146" t="s">
        <v>19</v>
      </c>
      <c r="Q317" s="146"/>
      <c r="R317" s="145"/>
      <c r="S317" s="145" t="s">
        <v>1081</v>
      </c>
    </row>
    <row r="318" spans="4:19" x14ac:dyDescent="0.3">
      <c r="D318" s="29" t="s">
        <v>1082</v>
      </c>
      <c r="E318" s="29" t="s">
        <v>96</v>
      </c>
      <c r="F318" s="71" t="s">
        <v>19</v>
      </c>
      <c r="G318" s="100"/>
      <c r="H318" s="71"/>
      <c r="I318" s="29" t="s">
        <v>1083</v>
      </c>
      <c r="N318" s="145" t="s">
        <v>1082</v>
      </c>
      <c r="O318" s="145" t="s">
        <v>96</v>
      </c>
      <c r="P318" s="146" t="s">
        <v>19</v>
      </c>
      <c r="Q318" s="146"/>
      <c r="R318" s="145"/>
      <c r="S318" s="145" t="s">
        <v>1083</v>
      </c>
    </row>
    <row r="319" spans="4:19" x14ac:dyDescent="0.3">
      <c r="D319" s="29" t="s">
        <v>1084</v>
      </c>
      <c r="E319" s="29" t="s">
        <v>96</v>
      </c>
      <c r="F319" s="71" t="s">
        <v>19</v>
      </c>
      <c r="G319" s="100"/>
      <c r="H319" s="71"/>
      <c r="I319" s="29" t="s">
        <v>1085</v>
      </c>
      <c r="N319" s="145" t="s">
        <v>1084</v>
      </c>
      <c r="O319" s="145" t="s">
        <v>96</v>
      </c>
      <c r="P319" s="146" t="s">
        <v>19</v>
      </c>
      <c r="Q319" s="146"/>
      <c r="R319" s="145"/>
      <c r="S319" s="145" t="s">
        <v>1085</v>
      </c>
    </row>
    <row r="320" spans="4:19" x14ac:dyDescent="0.3">
      <c r="D320" s="29" t="s">
        <v>1086</v>
      </c>
      <c r="E320" s="29" t="s">
        <v>96</v>
      </c>
      <c r="F320" s="71" t="s">
        <v>19</v>
      </c>
      <c r="G320" s="100"/>
      <c r="H320" s="71"/>
      <c r="I320" s="29" t="s">
        <v>1087</v>
      </c>
      <c r="N320" s="145" t="s">
        <v>1086</v>
      </c>
      <c r="O320" s="145" t="s">
        <v>96</v>
      </c>
      <c r="P320" s="146" t="s">
        <v>19</v>
      </c>
      <c r="Q320" s="146"/>
      <c r="R320" s="145"/>
      <c r="S320" s="145" t="s">
        <v>1087</v>
      </c>
    </row>
    <row r="321" spans="4:19" x14ac:dyDescent="0.3">
      <c r="D321" s="29" t="s">
        <v>1088</v>
      </c>
      <c r="E321" s="29" t="s">
        <v>23</v>
      </c>
      <c r="F321" s="71"/>
      <c r="G321" s="100"/>
      <c r="H321" s="71"/>
      <c r="I321" s="29" t="s">
        <v>1089</v>
      </c>
      <c r="N321" s="145" t="s">
        <v>1088</v>
      </c>
      <c r="O321" s="145" t="s">
        <v>23</v>
      </c>
      <c r="P321" s="146"/>
      <c r="Q321" s="146"/>
      <c r="R321" s="145"/>
      <c r="S321" s="145" t="s">
        <v>1089</v>
      </c>
    </row>
    <row r="322" spans="4:19" x14ac:dyDescent="0.3">
      <c r="D322" s="29" t="s">
        <v>28</v>
      </c>
      <c r="E322" s="29" t="s">
        <v>23</v>
      </c>
      <c r="F322" s="71"/>
      <c r="G322" s="100" t="s">
        <v>83</v>
      </c>
      <c r="H322" s="71"/>
      <c r="I322" s="29" t="s">
        <v>29</v>
      </c>
      <c r="N322" s="145" t="s">
        <v>28</v>
      </c>
      <c r="O322" s="145" t="s">
        <v>23</v>
      </c>
      <c r="P322" s="146"/>
      <c r="Q322" s="146" t="s">
        <v>325</v>
      </c>
      <c r="R322" s="145"/>
      <c r="S322" s="145" t="s">
        <v>29</v>
      </c>
    </row>
    <row r="323" spans="4:19" x14ac:dyDescent="0.3">
      <c r="D323" s="29" t="s">
        <v>1090</v>
      </c>
      <c r="E323" s="29" t="s">
        <v>23</v>
      </c>
      <c r="F323" s="71" t="s">
        <v>19</v>
      </c>
      <c r="G323" s="100"/>
      <c r="H323" s="71"/>
      <c r="I323" s="29" t="s">
        <v>1091</v>
      </c>
      <c r="N323" s="145" t="s">
        <v>1090</v>
      </c>
      <c r="O323" s="145" t="s">
        <v>23</v>
      </c>
      <c r="P323" s="146" t="s">
        <v>19</v>
      </c>
      <c r="Q323" s="146"/>
      <c r="R323" s="145"/>
      <c r="S323" s="145" t="s">
        <v>1091</v>
      </c>
    </row>
    <row r="324" spans="4:19" x14ac:dyDescent="0.3">
      <c r="D324" s="29" t="s">
        <v>59</v>
      </c>
      <c r="E324" s="29" t="s">
        <v>60</v>
      </c>
      <c r="F324" s="71" t="s">
        <v>19</v>
      </c>
      <c r="G324" s="100"/>
      <c r="H324" s="71"/>
      <c r="I324" s="29"/>
      <c r="N324" s="145" t="s">
        <v>59</v>
      </c>
      <c r="O324" s="145" t="s">
        <v>60</v>
      </c>
      <c r="P324" s="146" t="s">
        <v>19</v>
      </c>
      <c r="Q324" s="146"/>
      <c r="R324" s="145"/>
      <c r="S324" s="145"/>
    </row>
    <row r="325" spans="4:19" x14ac:dyDescent="0.3">
      <c r="D325" s="29" t="s">
        <v>62</v>
      </c>
      <c r="E325" s="29" t="s">
        <v>60</v>
      </c>
      <c r="F325" s="71" t="s">
        <v>19</v>
      </c>
      <c r="G325" s="100"/>
      <c r="H325" s="71"/>
      <c r="I325" s="29"/>
      <c r="N325" s="145" t="s">
        <v>62</v>
      </c>
      <c r="O325" s="145" t="s">
        <v>60</v>
      </c>
      <c r="P325" s="146" t="s">
        <v>19</v>
      </c>
      <c r="Q325" s="146"/>
      <c r="R325" s="145"/>
      <c r="S325" s="145"/>
    </row>
    <row r="326" spans="4:19" x14ac:dyDescent="0.3">
      <c r="D326" s="29" t="s">
        <v>64</v>
      </c>
      <c r="E326" s="29" t="s">
        <v>60</v>
      </c>
      <c r="F326" s="71" t="s">
        <v>19</v>
      </c>
      <c r="G326" s="100"/>
      <c r="H326" s="71"/>
      <c r="I326" s="29"/>
      <c r="N326" s="145" t="s">
        <v>64</v>
      </c>
      <c r="O326" s="145" t="s">
        <v>60</v>
      </c>
      <c r="P326" s="146" t="s">
        <v>19</v>
      </c>
      <c r="Q326" s="146"/>
      <c r="R326" s="145"/>
      <c r="S326" s="145"/>
    </row>
    <row r="327" spans="4:19" x14ac:dyDescent="0.3">
      <c r="D327" s="29" t="s">
        <v>66</v>
      </c>
      <c r="E327" s="29" t="s">
        <v>60</v>
      </c>
      <c r="F327" s="71" t="s">
        <v>19</v>
      </c>
      <c r="G327" s="100"/>
      <c r="H327" s="71"/>
      <c r="I327" s="29"/>
      <c r="N327" s="145" t="s">
        <v>66</v>
      </c>
      <c r="O327" s="145" t="s">
        <v>60</v>
      </c>
      <c r="P327" s="146" t="s">
        <v>19</v>
      </c>
      <c r="Q327" s="146"/>
      <c r="R327" s="145"/>
      <c r="S327" s="145" t="s">
        <v>1379</v>
      </c>
    </row>
    <row r="328" spans="4:19" x14ac:dyDescent="0.3">
      <c r="D328" s="38" t="s">
        <v>67</v>
      </c>
      <c r="E328" s="38" t="s">
        <v>60</v>
      </c>
      <c r="F328" s="72" t="s">
        <v>19</v>
      </c>
      <c r="G328" s="101"/>
      <c r="H328" s="72"/>
      <c r="I328" s="38"/>
      <c r="N328" s="148" t="s">
        <v>67</v>
      </c>
      <c r="O328" s="148" t="s">
        <v>60</v>
      </c>
      <c r="P328" s="149" t="s">
        <v>19</v>
      </c>
      <c r="Q328" s="149"/>
      <c r="R328" s="148"/>
      <c r="S328" s="148"/>
    </row>
    <row r="330" spans="4:19" x14ac:dyDescent="0.3">
      <c r="D330" s="10" t="s">
        <v>1095</v>
      </c>
      <c r="N330" s="10" t="s">
        <v>1380</v>
      </c>
    </row>
    <row r="331" spans="4:19" x14ac:dyDescent="0.3">
      <c r="D331" s="62" t="s">
        <v>85</v>
      </c>
      <c r="E331" s="62" t="s">
        <v>0</v>
      </c>
      <c r="F331" s="62" t="s">
        <v>1</v>
      </c>
      <c r="G331" s="62" t="s">
        <v>2</v>
      </c>
      <c r="H331" s="62" t="s">
        <v>21</v>
      </c>
      <c r="I331" s="62" t="s">
        <v>3</v>
      </c>
      <c r="N331" s="43" t="s">
        <v>85</v>
      </c>
      <c r="O331" s="43" t="s">
        <v>0</v>
      </c>
      <c r="P331" s="43" t="s">
        <v>1</v>
      </c>
      <c r="Q331" s="43" t="s">
        <v>2</v>
      </c>
      <c r="R331" s="43" t="s">
        <v>21</v>
      </c>
      <c r="S331" s="43" t="s">
        <v>3</v>
      </c>
    </row>
    <row r="332" spans="4:19" x14ac:dyDescent="0.3">
      <c r="D332" s="97" t="s">
        <v>327</v>
      </c>
      <c r="E332" s="97" t="s">
        <v>239</v>
      </c>
      <c r="F332" s="98"/>
      <c r="G332" s="99"/>
      <c r="H332" s="98">
        <v>1</v>
      </c>
      <c r="I332" s="97" t="s">
        <v>328</v>
      </c>
      <c r="N332" s="142" t="s">
        <v>327</v>
      </c>
      <c r="O332" s="142" t="s">
        <v>239</v>
      </c>
      <c r="P332" s="143"/>
      <c r="Q332" s="144"/>
      <c r="R332" s="143">
        <v>1</v>
      </c>
      <c r="S332" s="142" t="s">
        <v>328</v>
      </c>
    </row>
    <row r="333" spans="4:19" x14ac:dyDescent="0.3">
      <c r="D333" s="29" t="s">
        <v>662</v>
      </c>
      <c r="E333" s="29" t="s">
        <v>60</v>
      </c>
      <c r="F333" s="71" t="s">
        <v>19</v>
      </c>
      <c r="G333" s="100"/>
      <c r="H333" s="71"/>
      <c r="I333" s="29" t="s">
        <v>788</v>
      </c>
      <c r="N333" s="145" t="s">
        <v>662</v>
      </c>
      <c r="O333" s="145" t="s">
        <v>60</v>
      </c>
      <c r="P333" s="146" t="s">
        <v>19</v>
      </c>
      <c r="Q333" s="146"/>
      <c r="R333" s="145"/>
      <c r="S333" s="145" t="s">
        <v>788</v>
      </c>
    </row>
    <row r="334" spans="4:19" ht="27" x14ac:dyDescent="0.3">
      <c r="D334" s="29" t="s">
        <v>46</v>
      </c>
      <c r="E334" s="29" t="s">
        <v>47</v>
      </c>
      <c r="F334" s="71"/>
      <c r="G334" s="25" t="s">
        <v>1117</v>
      </c>
      <c r="H334" s="71"/>
      <c r="I334" s="29" t="s">
        <v>48</v>
      </c>
      <c r="N334" s="145" t="s">
        <v>46</v>
      </c>
      <c r="O334" s="145" t="s">
        <v>47</v>
      </c>
      <c r="P334" s="146"/>
      <c r="Q334" s="147" t="s">
        <v>1029</v>
      </c>
      <c r="R334" s="145"/>
      <c r="S334" s="145" t="s">
        <v>48</v>
      </c>
    </row>
    <row r="335" spans="4:19" x14ac:dyDescent="0.3">
      <c r="D335" s="29" t="s">
        <v>49</v>
      </c>
      <c r="E335" s="29" t="s">
        <v>23</v>
      </c>
      <c r="F335" s="71"/>
      <c r="G335" s="100"/>
      <c r="H335" s="71"/>
      <c r="I335" s="29" t="s">
        <v>50</v>
      </c>
      <c r="N335" s="145" t="s">
        <v>49</v>
      </c>
      <c r="O335" s="145" t="s">
        <v>23</v>
      </c>
      <c r="P335" s="146"/>
      <c r="Q335" s="146"/>
      <c r="R335" s="145"/>
      <c r="S335" s="145" t="s">
        <v>50</v>
      </c>
    </row>
    <row r="336" spans="4:19" x14ac:dyDescent="0.3">
      <c r="D336" s="29" t="s">
        <v>51</v>
      </c>
      <c r="E336" s="29" t="s">
        <v>47</v>
      </c>
      <c r="F336" s="71" t="s">
        <v>19</v>
      </c>
      <c r="G336" s="100"/>
      <c r="H336" s="71"/>
      <c r="I336" s="29" t="s">
        <v>52</v>
      </c>
      <c r="N336" s="145" t="s">
        <v>51</v>
      </c>
      <c r="O336" s="145" t="s">
        <v>47</v>
      </c>
      <c r="P336" s="146" t="s">
        <v>19</v>
      </c>
      <c r="Q336" s="146"/>
      <c r="R336" s="145"/>
      <c r="S336" s="145" t="s">
        <v>52</v>
      </c>
    </row>
    <row r="337" spans="4:19" x14ac:dyDescent="0.3">
      <c r="D337" s="29" t="s">
        <v>53</v>
      </c>
      <c r="E337" s="29" t="s">
        <v>23</v>
      </c>
      <c r="F337" s="71" t="s">
        <v>19</v>
      </c>
      <c r="G337" s="100"/>
      <c r="H337" s="71"/>
      <c r="I337" s="29" t="s">
        <v>54</v>
      </c>
      <c r="N337" s="145" t="s">
        <v>53</v>
      </c>
      <c r="O337" s="145" t="s">
        <v>23</v>
      </c>
      <c r="P337" s="146" t="s">
        <v>19</v>
      </c>
      <c r="Q337" s="146"/>
      <c r="R337" s="145"/>
      <c r="S337" s="145" t="s">
        <v>54</v>
      </c>
    </row>
    <row r="338" spans="4:19" x14ac:dyDescent="0.3">
      <c r="D338" s="29" t="s">
        <v>713</v>
      </c>
      <c r="E338" s="29" t="s">
        <v>23</v>
      </c>
      <c r="F338" s="71"/>
      <c r="G338" s="100"/>
      <c r="H338" s="71"/>
      <c r="I338" s="29" t="s">
        <v>767</v>
      </c>
      <c r="N338" s="145" t="s">
        <v>713</v>
      </c>
      <c r="O338" s="145" t="s">
        <v>23</v>
      </c>
      <c r="P338" s="146"/>
      <c r="Q338" s="146"/>
      <c r="R338" s="145"/>
      <c r="S338" s="145" t="s">
        <v>767</v>
      </c>
    </row>
    <row r="339" spans="4:19" x14ac:dyDescent="0.3">
      <c r="D339" s="29" t="s">
        <v>33</v>
      </c>
      <c r="E339" s="29" t="s">
        <v>23</v>
      </c>
      <c r="F339" s="71"/>
      <c r="G339" s="100"/>
      <c r="H339" s="71"/>
      <c r="I339" s="29" t="s">
        <v>34</v>
      </c>
      <c r="N339" s="145" t="s">
        <v>33</v>
      </c>
      <c r="O339" s="145" t="s">
        <v>23</v>
      </c>
      <c r="P339" s="146"/>
      <c r="Q339" s="146"/>
      <c r="R339" s="145"/>
      <c r="S339" s="145" t="s">
        <v>34</v>
      </c>
    </row>
    <row r="340" spans="4:19" x14ac:dyDescent="0.3">
      <c r="D340" s="29" t="s">
        <v>22</v>
      </c>
      <c r="E340" s="29" t="s">
        <v>23</v>
      </c>
      <c r="F340" s="71"/>
      <c r="G340" s="100"/>
      <c r="H340" s="71"/>
      <c r="I340" s="29" t="s">
        <v>25</v>
      </c>
      <c r="N340" s="145" t="s">
        <v>22</v>
      </c>
      <c r="O340" s="145" t="s">
        <v>23</v>
      </c>
      <c r="P340" s="146"/>
      <c r="Q340" s="146"/>
      <c r="R340" s="145"/>
      <c r="S340" s="145" t="s">
        <v>25</v>
      </c>
    </row>
    <row r="341" spans="4:19" x14ac:dyDescent="0.3">
      <c r="D341" s="29" t="s">
        <v>664</v>
      </c>
      <c r="E341" s="29" t="s">
        <v>99</v>
      </c>
      <c r="F341" s="71"/>
      <c r="G341" s="100"/>
      <c r="H341" s="71"/>
      <c r="I341" s="29" t="s">
        <v>789</v>
      </c>
      <c r="N341" s="145" t="s">
        <v>664</v>
      </c>
      <c r="O341" s="145" t="s">
        <v>99</v>
      </c>
      <c r="P341" s="146"/>
      <c r="Q341" s="146"/>
      <c r="R341" s="145"/>
      <c r="S341" s="145" t="s">
        <v>789</v>
      </c>
    </row>
    <row r="342" spans="4:19" x14ac:dyDescent="0.3">
      <c r="D342" s="29" t="s">
        <v>724</v>
      </c>
      <c r="E342" s="29" t="s">
        <v>23</v>
      </c>
      <c r="F342" s="71"/>
      <c r="G342" s="100"/>
      <c r="H342" s="71"/>
      <c r="I342" s="29" t="s">
        <v>794</v>
      </c>
      <c r="N342" s="145" t="s">
        <v>724</v>
      </c>
      <c r="O342" s="145" t="s">
        <v>23</v>
      </c>
      <c r="P342" s="146"/>
      <c r="Q342" s="146"/>
      <c r="R342" s="145"/>
      <c r="S342" s="145" t="s">
        <v>794</v>
      </c>
    </row>
    <row r="343" spans="4:19" x14ac:dyDescent="0.3">
      <c r="D343" s="29" t="s">
        <v>719</v>
      </c>
      <c r="E343" s="29" t="s">
        <v>47</v>
      </c>
      <c r="F343" s="71"/>
      <c r="G343" s="100"/>
      <c r="H343" s="71"/>
      <c r="I343" s="29" t="s">
        <v>1096</v>
      </c>
      <c r="N343" s="145" t="s">
        <v>719</v>
      </c>
      <c r="O343" s="145" t="s">
        <v>47</v>
      </c>
      <c r="P343" s="146"/>
      <c r="Q343" s="146"/>
      <c r="R343" s="145"/>
      <c r="S343" s="145" t="s">
        <v>1096</v>
      </c>
    </row>
    <row r="344" spans="4:19" x14ac:dyDescent="0.3">
      <c r="D344" s="29" t="s">
        <v>718</v>
      </c>
      <c r="E344" s="29" t="s">
        <v>47</v>
      </c>
      <c r="F344" s="71"/>
      <c r="G344" s="100"/>
      <c r="H344" s="71"/>
      <c r="I344" s="29" t="s">
        <v>1097</v>
      </c>
      <c r="N344" s="145" t="s">
        <v>718</v>
      </c>
      <c r="O344" s="145" t="s">
        <v>47</v>
      </c>
      <c r="P344" s="146"/>
      <c r="Q344" s="146"/>
      <c r="R344" s="145"/>
      <c r="S344" s="145" t="s">
        <v>1097</v>
      </c>
    </row>
    <row r="345" spans="4:19" x14ac:dyDescent="0.3">
      <c r="D345" s="29" t="s">
        <v>714</v>
      </c>
      <c r="E345" s="29" t="s">
        <v>23</v>
      </c>
      <c r="F345" s="71"/>
      <c r="G345" s="100"/>
      <c r="H345" s="71"/>
      <c r="I345" s="29" t="s">
        <v>771</v>
      </c>
      <c r="N345" s="145" t="s">
        <v>714</v>
      </c>
      <c r="O345" s="145" t="s">
        <v>23</v>
      </c>
      <c r="P345" s="146"/>
      <c r="Q345" s="146"/>
      <c r="R345" s="145"/>
      <c r="S345" s="145" t="s">
        <v>771</v>
      </c>
    </row>
    <row r="346" spans="4:19" x14ac:dyDescent="0.3">
      <c r="D346" s="29" t="s">
        <v>1098</v>
      </c>
      <c r="E346" s="29" t="s">
        <v>23</v>
      </c>
      <c r="F346" s="71"/>
      <c r="G346" s="100"/>
      <c r="H346" s="71"/>
      <c r="I346" s="29" t="s">
        <v>1099</v>
      </c>
      <c r="N346" s="145" t="s">
        <v>1098</v>
      </c>
      <c r="O346" s="145" t="s">
        <v>23</v>
      </c>
      <c r="P346" s="146"/>
      <c r="Q346" s="146"/>
      <c r="R346" s="145"/>
      <c r="S346" s="145" t="s">
        <v>1099</v>
      </c>
    </row>
    <row r="347" spans="4:19" x14ac:dyDescent="0.3">
      <c r="D347" s="29" t="s">
        <v>1100</v>
      </c>
      <c r="E347" s="29" t="s">
        <v>23</v>
      </c>
      <c r="F347" s="71"/>
      <c r="G347" s="100"/>
      <c r="H347" s="71"/>
      <c r="I347" s="29" t="s">
        <v>1101</v>
      </c>
      <c r="N347" s="145" t="s">
        <v>1100</v>
      </c>
      <c r="O347" s="145" t="s">
        <v>23</v>
      </c>
      <c r="P347" s="146"/>
      <c r="Q347" s="146"/>
      <c r="R347" s="145"/>
      <c r="S347" s="145" t="s">
        <v>1101</v>
      </c>
    </row>
    <row r="348" spans="4:19" x14ac:dyDescent="0.3">
      <c r="D348" s="29" t="s">
        <v>727</v>
      </c>
      <c r="E348" s="29" t="s">
        <v>39</v>
      </c>
      <c r="F348" s="71"/>
      <c r="G348" s="100"/>
      <c r="H348" s="71"/>
      <c r="I348" s="29" t="s">
        <v>797</v>
      </c>
      <c r="N348" s="145" t="s">
        <v>727</v>
      </c>
      <c r="O348" s="145" t="s">
        <v>39</v>
      </c>
      <c r="P348" s="146"/>
      <c r="Q348" s="146"/>
      <c r="R348" s="145"/>
      <c r="S348" s="145" t="s">
        <v>797</v>
      </c>
    </row>
    <row r="349" spans="4:19" x14ac:dyDescent="0.3">
      <c r="D349" s="29" t="s">
        <v>1102</v>
      </c>
      <c r="E349" s="29" t="s">
        <v>39</v>
      </c>
      <c r="F349" s="71"/>
      <c r="G349" s="100"/>
      <c r="H349" s="71"/>
      <c r="I349" s="29" t="s">
        <v>1103</v>
      </c>
      <c r="N349" s="145" t="s">
        <v>1102</v>
      </c>
      <c r="O349" s="145" t="s">
        <v>39</v>
      </c>
      <c r="P349" s="146"/>
      <c r="Q349" s="146"/>
      <c r="R349" s="145"/>
      <c r="S349" s="145" t="s">
        <v>1103</v>
      </c>
    </row>
    <row r="350" spans="4:19" x14ac:dyDescent="0.3">
      <c r="D350" s="29" t="s">
        <v>726</v>
      </c>
      <c r="E350" s="29" t="s">
        <v>23</v>
      </c>
      <c r="F350" s="71"/>
      <c r="G350" s="100"/>
      <c r="H350" s="71"/>
      <c r="I350" s="29" t="s">
        <v>796</v>
      </c>
      <c r="N350" s="145" t="s">
        <v>726</v>
      </c>
      <c r="O350" s="145" t="s">
        <v>23</v>
      </c>
      <c r="P350" s="146"/>
      <c r="Q350" s="146"/>
      <c r="R350" s="145"/>
      <c r="S350" s="145" t="s">
        <v>796</v>
      </c>
    </row>
    <row r="351" spans="4:19" x14ac:dyDescent="0.3">
      <c r="D351" s="29" t="s">
        <v>1104</v>
      </c>
      <c r="E351" s="29" t="s">
        <v>23</v>
      </c>
      <c r="F351" s="71"/>
      <c r="G351" s="100"/>
      <c r="H351" s="71"/>
      <c r="I351" s="29" t="s">
        <v>1105</v>
      </c>
      <c r="N351" s="145" t="s">
        <v>1104</v>
      </c>
      <c r="O351" s="145" t="s">
        <v>23</v>
      </c>
      <c r="P351" s="146"/>
      <c r="Q351" s="146"/>
      <c r="R351" s="145"/>
      <c r="S351" s="145" t="s">
        <v>1105</v>
      </c>
    </row>
    <row r="352" spans="4:19" x14ac:dyDescent="0.3">
      <c r="D352" s="29" t="s">
        <v>1106</v>
      </c>
      <c r="E352" s="29" t="s">
        <v>44</v>
      </c>
      <c r="F352" s="71" t="s">
        <v>19</v>
      </c>
      <c r="G352" s="100" t="s">
        <v>20</v>
      </c>
      <c r="H352" s="71"/>
      <c r="I352" s="29" t="s">
        <v>801</v>
      </c>
      <c r="N352" s="145" t="s">
        <v>1106</v>
      </c>
      <c r="O352" s="145" t="s">
        <v>44</v>
      </c>
      <c r="P352" s="146" t="s">
        <v>19</v>
      </c>
      <c r="Q352" s="146">
        <v>0</v>
      </c>
      <c r="R352" s="145"/>
      <c r="S352" s="145" t="s">
        <v>801</v>
      </c>
    </row>
    <row r="353" spans="4:19" x14ac:dyDescent="0.3">
      <c r="D353" s="29" t="s">
        <v>781</v>
      </c>
      <c r="E353" s="29" t="s">
        <v>133</v>
      </c>
      <c r="F353" s="71" t="s">
        <v>19</v>
      </c>
      <c r="G353" s="100"/>
      <c r="H353" s="71"/>
      <c r="I353" s="29" t="s">
        <v>780</v>
      </c>
      <c r="N353" s="145" t="s">
        <v>781</v>
      </c>
      <c r="O353" s="145" t="s">
        <v>133</v>
      </c>
      <c r="P353" s="146" t="s">
        <v>19</v>
      </c>
      <c r="Q353" s="146"/>
      <c r="R353" s="145"/>
      <c r="S353" s="145" t="s">
        <v>780</v>
      </c>
    </row>
    <row r="354" spans="4:19" x14ac:dyDescent="0.3">
      <c r="D354" s="29" t="s">
        <v>1107</v>
      </c>
      <c r="E354" s="29" t="s">
        <v>47</v>
      </c>
      <c r="F354" s="71" t="s">
        <v>19</v>
      </c>
      <c r="G354" s="100"/>
      <c r="H354" s="71"/>
      <c r="I354" s="29" t="s">
        <v>1108</v>
      </c>
      <c r="N354" s="145" t="s">
        <v>1107</v>
      </c>
      <c r="O354" s="145" t="s">
        <v>47</v>
      </c>
      <c r="P354" s="146" t="s">
        <v>19</v>
      </c>
      <c r="Q354" s="146"/>
      <c r="R354" s="145"/>
      <c r="S354" s="145" t="s">
        <v>1108</v>
      </c>
    </row>
    <row r="355" spans="4:19" x14ac:dyDescent="0.3">
      <c r="D355" s="29" t="s">
        <v>1109</v>
      </c>
      <c r="E355" s="29" t="s">
        <v>23</v>
      </c>
      <c r="F355" s="71" t="s">
        <v>19</v>
      </c>
      <c r="G355" s="100"/>
      <c r="H355" s="71"/>
      <c r="I355" s="29" t="s">
        <v>1110</v>
      </c>
      <c r="N355" s="145" t="s">
        <v>1109</v>
      </c>
      <c r="O355" s="145" t="s">
        <v>1381</v>
      </c>
      <c r="P355" s="146" t="s">
        <v>19</v>
      </c>
      <c r="Q355" s="146"/>
      <c r="R355" s="145"/>
      <c r="S355" s="145" t="s">
        <v>1110</v>
      </c>
    </row>
    <row r="356" spans="4:19" x14ac:dyDescent="0.3">
      <c r="D356" s="29" t="s">
        <v>28</v>
      </c>
      <c r="E356" s="29" t="s">
        <v>23</v>
      </c>
      <c r="F356" s="71" t="s">
        <v>19</v>
      </c>
      <c r="G356" s="100" t="s">
        <v>83</v>
      </c>
      <c r="H356" s="71"/>
      <c r="I356" s="29"/>
      <c r="N356" s="145" t="s">
        <v>28</v>
      </c>
      <c r="O356" s="145" t="s">
        <v>23</v>
      </c>
      <c r="P356" s="146" t="s">
        <v>19</v>
      </c>
      <c r="Q356" s="146" t="s">
        <v>325</v>
      </c>
      <c r="R356" s="145"/>
      <c r="S356" s="145"/>
    </row>
    <row r="357" spans="4:19" x14ac:dyDescent="0.3">
      <c r="D357" s="29" t="s">
        <v>663</v>
      </c>
      <c r="E357" s="29" t="s">
        <v>23</v>
      </c>
      <c r="F357" s="71"/>
      <c r="G357" s="100"/>
      <c r="H357" s="71"/>
      <c r="I357" s="29"/>
      <c r="N357" s="145" t="s">
        <v>663</v>
      </c>
      <c r="O357" s="145" t="s">
        <v>23</v>
      </c>
      <c r="P357" s="146"/>
      <c r="Q357" s="146"/>
      <c r="R357" s="145"/>
      <c r="S357" s="145"/>
    </row>
    <row r="358" spans="4:19" x14ac:dyDescent="0.3">
      <c r="D358" s="29" t="s">
        <v>717</v>
      </c>
      <c r="E358" s="29" t="s">
        <v>23</v>
      </c>
      <c r="F358" s="71" t="s">
        <v>19</v>
      </c>
      <c r="G358" s="100"/>
      <c r="H358" s="71"/>
      <c r="I358" s="29"/>
      <c r="N358" s="145" t="s">
        <v>717</v>
      </c>
      <c r="O358" s="145" t="s">
        <v>23</v>
      </c>
      <c r="P358" s="146" t="s">
        <v>19</v>
      </c>
      <c r="Q358" s="146"/>
      <c r="R358" s="145"/>
      <c r="S358" s="145"/>
    </row>
    <row r="359" spans="4:19" x14ac:dyDescent="0.3">
      <c r="D359" s="29" t="s">
        <v>186</v>
      </c>
      <c r="E359" s="29" t="s">
        <v>44</v>
      </c>
      <c r="F359" s="71" t="s">
        <v>19</v>
      </c>
      <c r="G359" s="100" t="s">
        <v>20</v>
      </c>
      <c r="H359" s="71"/>
      <c r="I359" s="29"/>
      <c r="N359" s="145" t="s">
        <v>186</v>
      </c>
      <c r="O359" s="145" t="s">
        <v>44</v>
      </c>
      <c r="P359" s="146" t="s">
        <v>19</v>
      </c>
      <c r="Q359" s="146">
        <v>0</v>
      </c>
      <c r="R359" s="145"/>
      <c r="S359" s="145"/>
    </row>
    <row r="360" spans="4:19" ht="27" x14ac:dyDescent="0.3">
      <c r="D360" s="29" t="s">
        <v>59</v>
      </c>
      <c r="E360" s="29" t="s">
        <v>60</v>
      </c>
      <c r="F360" s="71" t="s">
        <v>19</v>
      </c>
      <c r="G360" s="100"/>
      <c r="H360" s="71"/>
      <c r="I360" s="47" t="s">
        <v>1118</v>
      </c>
      <c r="N360" s="145" t="s">
        <v>59</v>
      </c>
      <c r="O360" s="145" t="s">
        <v>60</v>
      </c>
      <c r="P360" s="146" t="s">
        <v>19</v>
      </c>
      <c r="Q360" s="146"/>
      <c r="R360" s="145"/>
      <c r="S360" s="150" t="s">
        <v>1382</v>
      </c>
    </row>
    <row r="361" spans="4:19" x14ac:dyDescent="0.3">
      <c r="D361" s="29" t="s">
        <v>62</v>
      </c>
      <c r="E361" s="29" t="s">
        <v>60</v>
      </c>
      <c r="F361" s="71" t="s">
        <v>19</v>
      </c>
      <c r="G361" s="100"/>
      <c r="H361" s="71"/>
      <c r="I361" s="29" t="s">
        <v>1111</v>
      </c>
      <c r="N361" s="145" t="s">
        <v>62</v>
      </c>
      <c r="O361" s="145" t="s">
        <v>60</v>
      </c>
      <c r="P361" s="146" t="s">
        <v>19</v>
      </c>
      <c r="Q361" s="146"/>
      <c r="R361" s="145"/>
      <c r="S361" s="145" t="s">
        <v>1111</v>
      </c>
    </row>
    <row r="362" spans="4:19" x14ac:dyDescent="0.3">
      <c r="D362" s="29" t="s">
        <v>64</v>
      </c>
      <c r="E362" s="29" t="s">
        <v>60</v>
      </c>
      <c r="F362" s="71" t="s">
        <v>19</v>
      </c>
      <c r="G362" s="100"/>
      <c r="H362" s="71"/>
      <c r="I362" s="29" t="s">
        <v>1112</v>
      </c>
      <c r="N362" s="145" t="s">
        <v>64</v>
      </c>
      <c r="O362" s="145" t="s">
        <v>60</v>
      </c>
      <c r="P362" s="146" t="s">
        <v>19</v>
      </c>
      <c r="Q362" s="146"/>
      <c r="R362" s="145"/>
      <c r="S362" s="145"/>
    </row>
    <row r="363" spans="4:19" x14ac:dyDescent="0.3">
      <c r="D363" s="29" t="s">
        <v>66</v>
      </c>
      <c r="E363" s="29" t="s">
        <v>60</v>
      </c>
      <c r="F363" s="71" t="s">
        <v>19</v>
      </c>
      <c r="G363" s="100"/>
      <c r="H363" s="71"/>
      <c r="I363" s="29"/>
      <c r="N363" s="145" t="s">
        <v>66</v>
      </c>
      <c r="O363" s="145" t="s">
        <v>60</v>
      </c>
      <c r="P363" s="146" t="s">
        <v>19</v>
      </c>
      <c r="Q363" s="146"/>
      <c r="R363" s="145"/>
      <c r="S363" s="145"/>
    </row>
    <row r="364" spans="4:19" x14ac:dyDescent="0.3">
      <c r="D364" s="29" t="s">
        <v>67</v>
      </c>
      <c r="E364" s="29" t="s">
        <v>60</v>
      </c>
      <c r="F364" s="71" t="s">
        <v>19</v>
      </c>
      <c r="G364" s="100"/>
      <c r="H364" s="71"/>
      <c r="I364" s="29" t="s">
        <v>1113</v>
      </c>
      <c r="N364" s="145" t="s">
        <v>67</v>
      </c>
      <c r="O364" s="145" t="s">
        <v>60</v>
      </c>
      <c r="P364" s="146" t="s">
        <v>19</v>
      </c>
      <c r="Q364" s="146"/>
      <c r="R364" s="145"/>
      <c r="S364" s="145"/>
    </row>
    <row r="365" spans="4:19" x14ac:dyDescent="0.3">
      <c r="D365" s="29" t="s">
        <v>716</v>
      </c>
      <c r="E365" s="29" t="s">
        <v>23</v>
      </c>
      <c r="F365" s="71" t="s">
        <v>19</v>
      </c>
      <c r="G365" s="100"/>
      <c r="H365" s="71"/>
      <c r="I365" s="29"/>
      <c r="N365" s="145" t="s">
        <v>716</v>
      </c>
      <c r="O365" s="145" t="s">
        <v>23</v>
      </c>
      <c r="P365" s="146" t="s">
        <v>19</v>
      </c>
      <c r="Q365" s="146"/>
      <c r="R365" s="145"/>
      <c r="S365" s="145"/>
    </row>
    <row r="366" spans="4:19" x14ac:dyDescent="0.3">
      <c r="D366" s="29" t="s">
        <v>715</v>
      </c>
      <c r="E366" s="29" t="s">
        <v>23</v>
      </c>
      <c r="F366" s="71" t="s">
        <v>19</v>
      </c>
      <c r="G366" s="100"/>
      <c r="H366" s="71"/>
      <c r="I366" s="29"/>
      <c r="N366" s="145" t="s">
        <v>715</v>
      </c>
      <c r="O366" s="145" t="s">
        <v>23</v>
      </c>
      <c r="P366" s="146" t="s">
        <v>19</v>
      </c>
      <c r="Q366" s="146"/>
      <c r="R366" s="145"/>
      <c r="S366" s="145"/>
    </row>
    <row r="367" spans="4:19" x14ac:dyDescent="0.3">
      <c r="D367" s="29" t="s">
        <v>819</v>
      </c>
      <c r="E367" s="29" t="s">
        <v>133</v>
      </c>
      <c r="F367" s="71" t="s">
        <v>19</v>
      </c>
      <c r="G367" s="100"/>
      <c r="H367" s="71"/>
      <c r="I367" s="29"/>
      <c r="N367" s="145" t="s">
        <v>819</v>
      </c>
      <c r="O367" s="145" t="s">
        <v>133</v>
      </c>
      <c r="P367" s="146" t="s">
        <v>19</v>
      </c>
      <c r="Q367" s="146"/>
      <c r="R367" s="145"/>
      <c r="S367" s="145"/>
    </row>
    <row r="368" spans="4:19" x14ac:dyDescent="0.3">
      <c r="D368" s="29" t="s">
        <v>736</v>
      </c>
      <c r="E368" s="29" t="s">
        <v>44</v>
      </c>
      <c r="F368" s="71" t="s">
        <v>19</v>
      </c>
      <c r="G368" s="100"/>
      <c r="H368" s="71"/>
      <c r="I368" s="29"/>
      <c r="N368" s="145" t="s">
        <v>736</v>
      </c>
      <c r="O368" s="145" t="s">
        <v>44</v>
      </c>
      <c r="P368" s="146" t="s">
        <v>19</v>
      </c>
      <c r="Q368" s="146"/>
      <c r="R368" s="145"/>
      <c r="S368" s="145"/>
    </row>
    <row r="369" spans="4:19" x14ac:dyDescent="0.3">
      <c r="D369" s="29" t="s">
        <v>824</v>
      </c>
      <c r="E369" s="29" t="s">
        <v>44</v>
      </c>
      <c r="F369" s="71" t="s">
        <v>19</v>
      </c>
      <c r="G369" s="100"/>
      <c r="H369" s="71"/>
      <c r="I369" s="29"/>
      <c r="N369" s="145" t="s">
        <v>824</v>
      </c>
      <c r="O369" s="145" t="s">
        <v>44</v>
      </c>
      <c r="P369" s="146" t="s">
        <v>19</v>
      </c>
      <c r="Q369" s="146"/>
      <c r="R369" s="145"/>
      <c r="S369" s="145"/>
    </row>
    <row r="370" spans="4:19" x14ac:dyDescent="0.3">
      <c r="D370" s="29" t="s">
        <v>822</v>
      </c>
      <c r="E370" s="29" t="s">
        <v>133</v>
      </c>
      <c r="F370" s="71" t="s">
        <v>19</v>
      </c>
      <c r="G370" s="100"/>
      <c r="H370" s="71"/>
      <c r="I370" s="29"/>
      <c r="N370" s="145" t="s">
        <v>822</v>
      </c>
      <c r="O370" s="145" t="s">
        <v>133</v>
      </c>
      <c r="P370" s="146" t="s">
        <v>19</v>
      </c>
      <c r="Q370" s="146"/>
      <c r="R370" s="145"/>
      <c r="S370" s="145"/>
    </row>
    <row r="371" spans="4:19" x14ac:dyDescent="0.3">
      <c r="D371" s="29" t="s">
        <v>361</v>
      </c>
      <c r="E371" s="29" t="s">
        <v>39</v>
      </c>
      <c r="F371" s="71" t="s">
        <v>19</v>
      </c>
      <c r="G371" s="100" t="s">
        <v>192</v>
      </c>
      <c r="H371" s="71"/>
      <c r="I371" s="29" t="s">
        <v>1114</v>
      </c>
      <c r="N371" s="145" t="s">
        <v>361</v>
      </c>
      <c r="O371" s="145" t="s">
        <v>39</v>
      </c>
      <c r="P371" s="146" t="s">
        <v>19</v>
      </c>
      <c r="Q371" s="146" t="s">
        <v>192</v>
      </c>
      <c r="R371" s="145"/>
      <c r="S371" s="145"/>
    </row>
    <row r="372" spans="4:19" x14ac:dyDescent="0.3">
      <c r="D372" s="29" t="s">
        <v>1115</v>
      </c>
      <c r="E372" s="29" t="s">
        <v>60</v>
      </c>
      <c r="F372" s="71" t="s">
        <v>19</v>
      </c>
      <c r="G372" s="100"/>
      <c r="H372" s="71"/>
      <c r="I372" s="29" t="s">
        <v>1116</v>
      </c>
      <c r="N372" s="145" t="s">
        <v>720</v>
      </c>
      <c r="O372" s="145" t="s">
        <v>23</v>
      </c>
      <c r="P372" s="146" t="s">
        <v>19</v>
      </c>
      <c r="Q372" s="146"/>
      <c r="R372" s="145"/>
      <c r="S372" s="145"/>
    </row>
    <row r="373" spans="4:19" x14ac:dyDescent="0.3">
      <c r="D373" s="29" t="s">
        <v>720</v>
      </c>
      <c r="E373" s="29" t="s">
        <v>23</v>
      </c>
      <c r="F373" s="71" t="s">
        <v>19</v>
      </c>
      <c r="G373" s="100"/>
      <c r="H373" s="71"/>
      <c r="I373" s="29" t="s">
        <v>784</v>
      </c>
      <c r="N373" s="145" t="s">
        <v>721</v>
      </c>
      <c r="O373" s="145" t="s">
        <v>23</v>
      </c>
      <c r="P373" s="146" t="s">
        <v>19</v>
      </c>
      <c r="Q373" s="146"/>
      <c r="R373" s="145"/>
      <c r="S373" s="145"/>
    </row>
    <row r="374" spans="4:19" x14ac:dyDescent="0.3">
      <c r="D374" s="29" t="s">
        <v>721</v>
      </c>
      <c r="E374" s="29" t="s">
        <v>23</v>
      </c>
      <c r="F374" s="71" t="s">
        <v>19</v>
      </c>
      <c r="G374" s="100"/>
      <c r="H374" s="71"/>
      <c r="I374" s="29" t="s">
        <v>785</v>
      </c>
      <c r="N374" s="145" t="s">
        <v>722</v>
      </c>
      <c r="O374" s="145" t="s">
        <v>23</v>
      </c>
      <c r="P374" s="146" t="s">
        <v>19</v>
      </c>
      <c r="Q374" s="146"/>
      <c r="R374" s="145"/>
      <c r="S374" s="145"/>
    </row>
    <row r="375" spans="4:19" x14ac:dyDescent="0.3">
      <c r="D375" s="29" t="s">
        <v>722</v>
      </c>
      <c r="E375" s="29" t="s">
        <v>23</v>
      </c>
      <c r="F375" s="71" t="s">
        <v>19</v>
      </c>
      <c r="G375" s="100"/>
      <c r="H375" s="71"/>
      <c r="I375" s="29" t="s">
        <v>786</v>
      </c>
      <c r="N375" s="145" t="s">
        <v>730</v>
      </c>
      <c r="O375" s="145" t="s">
        <v>60</v>
      </c>
      <c r="P375" s="146" t="s">
        <v>19</v>
      </c>
      <c r="Q375" s="146"/>
      <c r="R375" s="145"/>
      <c r="S375" s="145" t="s">
        <v>803</v>
      </c>
    </row>
    <row r="376" spans="4:19" x14ac:dyDescent="0.3">
      <c r="D376" s="29" t="s">
        <v>730</v>
      </c>
      <c r="E376" s="29" t="s">
        <v>60</v>
      </c>
      <c r="F376" s="71" t="s">
        <v>19</v>
      </c>
      <c r="G376" s="100"/>
      <c r="H376" s="71"/>
      <c r="I376" s="29"/>
      <c r="N376" s="148" t="s">
        <v>734</v>
      </c>
      <c r="O376" s="148" t="s">
        <v>39</v>
      </c>
      <c r="P376" s="149" t="s">
        <v>19</v>
      </c>
      <c r="Q376" s="149"/>
      <c r="R376" s="148"/>
      <c r="S376" s="148" t="s">
        <v>808</v>
      </c>
    </row>
    <row r="377" spans="4:19" x14ac:dyDescent="0.3">
      <c r="D377" s="38" t="s">
        <v>734</v>
      </c>
      <c r="E377" s="38" t="s">
        <v>39</v>
      </c>
      <c r="F377" s="72" t="s">
        <v>19</v>
      </c>
      <c r="G377" s="101"/>
      <c r="H377" s="72"/>
      <c r="I377" s="38" t="s">
        <v>808</v>
      </c>
    </row>
    <row r="379" spans="4:19" x14ac:dyDescent="0.3">
      <c r="D379" s="10" t="s">
        <v>1120</v>
      </c>
      <c r="N379" s="10" t="s">
        <v>1383</v>
      </c>
      <c r="Q379" s="18"/>
    </row>
    <row r="380" spans="4:19" x14ac:dyDescent="0.3">
      <c r="D380" s="125" t="s">
        <v>85</v>
      </c>
      <c r="E380" s="125" t="s">
        <v>0</v>
      </c>
      <c r="F380" s="125" t="s">
        <v>1</v>
      </c>
      <c r="G380" s="125" t="s">
        <v>2</v>
      </c>
      <c r="H380" s="125" t="s">
        <v>21</v>
      </c>
      <c r="I380" s="125" t="s">
        <v>3</v>
      </c>
      <c r="N380" s="43" t="s">
        <v>85</v>
      </c>
      <c r="O380" s="43" t="s">
        <v>0</v>
      </c>
      <c r="P380" s="43" t="s">
        <v>1</v>
      </c>
      <c r="Q380" s="43" t="s">
        <v>2</v>
      </c>
      <c r="R380" s="43" t="s">
        <v>21</v>
      </c>
      <c r="S380" s="43" t="s">
        <v>3</v>
      </c>
    </row>
    <row r="381" spans="4:19" x14ac:dyDescent="0.3">
      <c r="D381" s="117" t="s">
        <v>986</v>
      </c>
      <c r="E381" s="117" t="s">
        <v>184</v>
      </c>
      <c r="F381" s="118"/>
      <c r="G381" s="119"/>
      <c r="H381" s="118">
        <v>1</v>
      </c>
      <c r="I381" s="117" t="s">
        <v>987</v>
      </c>
      <c r="N381" s="142" t="s">
        <v>986</v>
      </c>
      <c r="O381" s="142" t="s">
        <v>184</v>
      </c>
      <c r="P381" s="143"/>
      <c r="Q381" s="144"/>
      <c r="R381" s="143">
        <v>1</v>
      </c>
      <c r="S381" s="142" t="s">
        <v>987</v>
      </c>
    </row>
    <row r="382" spans="4:19" x14ac:dyDescent="0.3">
      <c r="D382" s="29" t="s">
        <v>358</v>
      </c>
      <c r="E382" s="29" t="s">
        <v>133</v>
      </c>
      <c r="F382" s="71" t="s">
        <v>19</v>
      </c>
      <c r="G382" s="100"/>
      <c r="H382" s="71"/>
      <c r="I382" s="29" t="s">
        <v>1121</v>
      </c>
      <c r="N382" s="145" t="s">
        <v>358</v>
      </c>
      <c r="O382" s="145" t="s">
        <v>133</v>
      </c>
      <c r="P382" s="146" t="s">
        <v>19</v>
      </c>
      <c r="Q382" s="146"/>
      <c r="R382" s="146"/>
      <c r="S382" s="145" t="s">
        <v>1121</v>
      </c>
    </row>
    <row r="383" spans="4:19" x14ac:dyDescent="0.3">
      <c r="D383" s="29" t="s">
        <v>1122</v>
      </c>
      <c r="E383" s="29" t="s">
        <v>133</v>
      </c>
      <c r="F383" s="71" t="s">
        <v>19</v>
      </c>
      <c r="G383" s="25"/>
      <c r="H383" s="71"/>
      <c r="I383" s="29" t="s">
        <v>1123</v>
      </c>
      <c r="N383" s="145" t="s">
        <v>1122</v>
      </c>
      <c r="O383" s="145" t="s">
        <v>133</v>
      </c>
      <c r="P383" s="146" t="s">
        <v>19</v>
      </c>
      <c r="Q383" s="146"/>
      <c r="R383" s="146"/>
      <c r="S383" s="145" t="s">
        <v>1123</v>
      </c>
    </row>
    <row r="384" spans="4:19" x14ac:dyDescent="0.3">
      <c r="D384" s="29" t="s">
        <v>1124</v>
      </c>
      <c r="E384" s="29" t="s">
        <v>133</v>
      </c>
      <c r="F384" s="71" t="s">
        <v>19</v>
      </c>
      <c r="G384" s="100"/>
      <c r="H384" s="71"/>
      <c r="I384" s="29" t="s">
        <v>1125</v>
      </c>
      <c r="N384" s="145" t="s">
        <v>1124</v>
      </c>
      <c r="O384" s="145" t="s">
        <v>133</v>
      </c>
      <c r="P384" s="146" t="s">
        <v>19</v>
      </c>
      <c r="Q384" s="146"/>
      <c r="R384" s="146"/>
      <c r="S384" s="145" t="s">
        <v>1125</v>
      </c>
    </row>
    <row r="385" spans="4:19" x14ac:dyDescent="0.3">
      <c r="D385" s="29" t="s">
        <v>1126</v>
      </c>
      <c r="E385" s="29" t="s">
        <v>133</v>
      </c>
      <c r="F385" s="71" t="s">
        <v>19</v>
      </c>
      <c r="G385" s="100"/>
      <c r="H385" s="71"/>
      <c r="I385" s="29" t="s">
        <v>1127</v>
      </c>
      <c r="N385" s="145" t="s">
        <v>1126</v>
      </c>
      <c r="O385" s="145" t="s">
        <v>133</v>
      </c>
      <c r="P385" s="146" t="s">
        <v>19</v>
      </c>
      <c r="Q385" s="146"/>
      <c r="R385" s="146"/>
      <c r="S385" s="145" t="s">
        <v>1127</v>
      </c>
    </row>
    <row r="386" spans="4:19" x14ac:dyDescent="0.3">
      <c r="D386" s="29" t="s">
        <v>1128</v>
      </c>
      <c r="E386" s="29" t="s">
        <v>133</v>
      </c>
      <c r="F386" s="71" t="s">
        <v>19</v>
      </c>
      <c r="G386" s="100"/>
      <c r="H386" s="71"/>
      <c r="I386" s="29" t="s">
        <v>1129</v>
      </c>
      <c r="N386" s="145" t="s">
        <v>1128</v>
      </c>
      <c r="O386" s="145" t="s">
        <v>133</v>
      </c>
      <c r="P386" s="146" t="s">
        <v>19</v>
      </c>
      <c r="Q386" s="146"/>
      <c r="R386" s="146"/>
      <c r="S386" s="145" t="s">
        <v>1129</v>
      </c>
    </row>
    <row r="387" spans="4:19" x14ac:dyDescent="0.3">
      <c r="D387" s="29" t="s">
        <v>1130</v>
      </c>
      <c r="E387" s="29" t="s">
        <v>133</v>
      </c>
      <c r="F387" s="71" t="s">
        <v>19</v>
      </c>
      <c r="G387" s="100"/>
      <c r="H387" s="71"/>
      <c r="I387" s="29" t="s">
        <v>1131</v>
      </c>
      <c r="N387" s="145" t="s">
        <v>1130</v>
      </c>
      <c r="O387" s="145" t="s">
        <v>133</v>
      </c>
      <c r="P387" s="146" t="s">
        <v>19</v>
      </c>
      <c r="Q387" s="146"/>
      <c r="R387" s="146"/>
      <c r="S387" s="145" t="s">
        <v>1131</v>
      </c>
    </row>
    <row r="388" spans="4:19" x14ac:dyDescent="0.3">
      <c r="D388" s="29" t="s">
        <v>1132</v>
      </c>
      <c r="E388" s="29" t="s">
        <v>133</v>
      </c>
      <c r="F388" s="71" t="s">
        <v>19</v>
      </c>
      <c r="G388" s="100"/>
      <c r="H388" s="71"/>
      <c r="I388" s="29" t="s">
        <v>1133</v>
      </c>
      <c r="N388" s="145" t="s">
        <v>1132</v>
      </c>
      <c r="O388" s="145" t="s">
        <v>133</v>
      </c>
      <c r="P388" s="146" t="s">
        <v>19</v>
      </c>
      <c r="Q388" s="146"/>
      <c r="R388" s="146"/>
      <c r="S388" s="145" t="s">
        <v>1133</v>
      </c>
    </row>
    <row r="389" spans="4:19" x14ac:dyDescent="0.3">
      <c r="D389" s="29" t="s">
        <v>1134</v>
      </c>
      <c r="E389" s="29" t="s">
        <v>133</v>
      </c>
      <c r="F389" s="71" t="s">
        <v>19</v>
      </c>
      <c r="G389" s="100"/>
      <c r="H389" s="71"/>
      <c r="I389" s="29" t="s">
        <v>1135</v>
      </c>
      <c r="N389" s="145" t="s">
        <v>1134</v>
      </c>
      <c r="O389" s="145" t="s">
        <v>133</v>
      </c>
      <c r="P389" s="146" t="s">
        <v>19</v>
      </c>
      <c r="Q389" s="146"/>
      <c r="R389" s="146"/>
      <c r="S389" s="145" t="s">
        <v>1135</v>
      </c>
    </row>
    <row r="390" spans="4:19" x14ac:dyDescent="0.3">
      <c r="D390" s="29" t="s">
        <v>1136</v>
      </c>
      <c r="E390" s="29" t="s">
        <v>44</v>
      </c>
      <c r="F390" s="71" t="s">
        <v>19</v>
      </c>
      <c r="G390" s="100" t="s">
        <v>20</v>
      </c>
      <c r="H390" s="71"/>
      <c r="I390" s="29" t="s">
        <v>1137</v>
      </c>
      <c r="N390" s="145" t="s">
        <v>1136</v>
      </c>
      <c r="O390" s="145" t="s">
        <v>44</v>
      </c>
      <c r="P390" s="146" t="s">
        <v>19</v>
      </c>
      <c r="Q390" s="146">
        <v>0</v>
      </c>
      <c r="R390" s="146"/>
      <c r="S390" s="145" t="s">
        <v>1137</v>
      </c>
    </row>
    <row r="391" spans="4:19" x14ac:dyDescent="0.3">
      <c r="D391" s="29" t="s">
        <v>1138</v>
      </c>
      <c r="E391" s="29" t="s">
        <v>44</v>
      </c>
      <c r="F391" s="71" t="s">
        <v>19</v>
      </c>
      <c r="G391" s="100" t="s">
        <v>20</v>
      </c>
      <c r="H391" s="71"/>
      <c r="I391" s="29" t="s">
        <v>1139</v>
      </c>
      <c r="N391" s="145" t="s">
        <v>1138</v>
      </c>
      <c r="O391" s="145" t="s">
        <v>44</v>
      </c>
      <c r="P391" s="146" t="s">
        <v>19</v>
      </c>
      <c r="Q391" s="146">
        <v>0</v>
      </c>
      <c r="R391" s="146"/>
      <c r="S391" s="145" t="s">
        <v>1139</v>
      </c>
    </row>
    <row r="392" spans="4:19" x14ac:dyDescent="0.3">
      <c r="D392" s="29" t="s">
        <v>1140</v>
      </c>
      <c r="E392" s="29" t="s">
        <v>44</v>
      </c>
      <c r="F392" s="71" t="s">
        <v>19</v>
      </c>
      <c r="G392" s="100" t="s">
        <v>20</v>
      </c>
      <c r="H392" s="71"/>
      <c r="I392" s="29" t="s">
        <v>1141</v>
      </c>
      <c r="N392" s="145" t="s">
        <v>1140</v>
      </c>
      <c r="O392" s="145" t="s">
        <v>44</v>
      </c>
      <c r="P392" s="146" t="s">
        <v>19</v>
      </c>
      <c r="Q392" s="146">
        <v>0</v>
      </c>
      <c r="R392" s="146"/>
      <c r="S392" s="145" t="s">
        <v>1141</v>
      </c>
    </row>
    <row r="393" spans="4:19" x14ac:dyDescent="0.3">
      <c r="D393" s="29" t="s">
        <v>28</v>
      </c>
      <c r="E393" s="29" t="s">
        <v>23</v>
      </c>
      <c r="F393" s="71" t="s">
        <v>19</v>
      </c>
      <c r="G393" s="100" t="s">
        <v>83</v>
      </c>
      <c r="H393" s="71"/>
      <c r="I393" s="29" t="s">
        <v>29</v>
      </c>
      <c r="N393" s="145" t="s">
        <v>28</v>
      </c>
      <c r="O393" s="145" t="s">
        <v>23</v>
      </c>
      <c r="P393" s="146" t="s">
        <v>19</v>
      </c>
      <c r="Q393" s="146" t="s">
        <v>325</v>
      </c>
      <c r="R393" s="146"/>
      <c r="S393" s="145" t="s">
        <v>29</v>
      </c>
    </row>
    <row r="394" spans="4:19" x14ac:dyDescent="0.3">
      <c r="D394" s="29" t="s">
        <v>59</v>
      </c>
      <c r="E394" s="29" t="s">
        <v>60</v>
      </c>
      <c r="F394" s="71" t="s">
        <v>19</v>
      </c>
      <c r="G394" s="100"/>
      <c r="H394" s="71"/>
      <c r="I394" s="29" t="s">
        <v>1142</v>
      </c>
      <c r="N394" s="145" t="s">
        <v>59</v>
      </c>
      <c r="O394" s="145" t="s">
        <v>60</v>
      </c>
      <c r="P394" s="146" t="s">
        <v>19</v>
      </c>
      <c r="Q394" s="146"/>
      <c r="R394" s="146"/>
      <c r="S394" s="145" t="s">
        <v>1142</v>
      </c>
    </row>
    <row r="395" spans="4:19" x14ac:dyDescent="0.3">
      <c r="D395" s="29" t="s">
        <v>62</v>
      </c>
      <c r="E395" s="29" t="s">
        <v>60</v>
      </c>
      <c r="F395" s="71" t="s">
        <v>19</v>
      </c>
      <c r="G395" s="100"/>
      <c r="H395" s="71"/>
      <c r="I395" s="29" t="s">
        <v>1143</v>
      </c>
      <c r="N395" s="145" t="s">
        <v>62</v>
      </c>
      <c r="O395" s="145" t="s">
        <v>60</v>
      </c>
      <c r="P395" s="146" t="s">
        <v>19</v>
      </c>
      <c r="Q395" s="146"/>
      <c r="R395" s="146"/>
      <c r="S395" s="145" t="s">
        <v>1143</v>
      </c>
    </row>
    <row r="396" spans="4:19" x14ac:dyDescent="0.3">
      <c r="D396" s="29" t="s">
        <v>64</v>
      </c>
      <c r="E396" s="29" t="s">
        <v>60</v>
      </c>
      <c r="F396" s="71" t="s">
        <v>19</v>
      </c>
      <c r="G396" s="100"/>
      <c r="H396" s="71"/>
      <c r="I396" s="29" t="s">
        <v>200</v>
      </c>
      <c r="N396" s="145" t="s">
        <v>64</v>
      </c>
      <c r="O396" s="145" t="s">
        <v>60</v>
      </c>
      <c r="P396" s="146" t="s">
        <v>19</v>
      </c>
      <c r="Q396" s="146"/>
      <c r="R396" s="146"/>
      <c r="S396" s="145" t="s">
        <v>200</v>
      </c>
    </row>
    <row r="397" spans="4:19" x14ac:dyDescent="0.3">
      <c r="D397" s="29" t="s">
        <v>66</v>
      </c>
      <c r="E397" s="29" t="s">
        <v>60</v>
      </c>
      <c r="F397" s="71" t="s">
        <v>19</v>
      </c>
      <c r="G397" s="100"/>
      <c r="H397" s="71"/>
      <c r="I397" s="29" t="s">
        <v>201</v>
      </c>
      <c r="N397" s="145" t="s">
        <v>66</v>
      </c>
      <c r="O397" s="145" t="s">
        <v>60</v>
      </c>
      <c r="P397" s="146" t="s">
        <v>19</v>
      </c>
      <c r="Q397" s="146"/>
      <c r="R397" s="146"/>
      <c r="S397" s="145" t="s">
        <v>201</v>
      </c>
    </row>
    <row r="398" spans="4:19" x14ac:dyDescent="0.3">
      <c r="D398" s="38" t="s">
        <v>67</v>
      </c>
      <c r="E398" s="38" t="s">
        <v>60</v>
      </c>
      <c r="F398" s="72" t="s">
        <v>19</v>
      </c>
      <c r="G398" s="101"/>
      <c r="H398" s="72"/>
      <c r="I398" s="38" t="s">
        <v>202</v>
      </c>
      <c r="N398" s="148" t="s">
        <v>67</v>
      </c>
      <c r="O398" s="148" t="s">
        <v>60</v>
      </c>
      <c r="P398" s="149" t="s">
        <v>19</v>
      </c>
      <c r="Q398" s="149"/>
      <c r="R398" s="149"/>
      <c r="S398" s="148" t="s">
        <v>202</v>
      </c>
    </row>
    <row r="401" spans="4:19" x14ac:dyDescent="0.3">
      <c r="D401" s="10" t="s">
        <v>1144</v>
      </c>
      <c r="N401" s="10" t="s">
        <v>1384</v>
      </c>
      <c r="Q401" s="18"/>
    </row>
    <row r="402" spans="4:19" x14ac:dyDescent="0.3">
      <c r="D402" s="125" t="s">
        <v>85</v>
      </c>
      <c r="E402" s="125" t="s">
        <v>0</v>
      </c>
      <c r="F402" s="125" t="s">
        <v>1</v>
      </c>
      <c r="G402" s="125" t="s">
        <v>2</v>
      </c>
      <c r="H402" s="125" t="s">
        <v>21</v>
      </c>
      <c r="I402" s="125" t="s">
        <v>3</v>
      </c>
      <c r="N402" s="43" t="s">
        <v>85</v>
      </c>
      <c r="O402" s="43" t="s">
        <v>0</v>
      </c>
      <c r="P402" s="43" t="s">
        <v>1</v>
      </c>
      <c r="Q402" s="43" t="s">
        <v>2</v>
      </c>
      <c r="R402" s="43" t="s">
        <v>21</v>
      </c>
      <c r="S402" s="43" t="s">
        <v>3</v>
      </c>
    </row>
    <row r="403" spans="4:19" x14ac:dyDescent="0.3">
      <c r="D403" s="117" t="s">
        <v>86</v>
      </c>
      <c r="E403" s="117" t="s">
        <v>87</v>
      </c>
      <c r="F403" s="118"/>
      <c r="G403" s="119"/>
      <c r="H403" s="118">
        <v>1</v>
      </c>
      <c r="I403" s="117" t="s">
        <v>88</v>
      </c>
      <c r="N403" s="142" t="s">
        <v>86</v>
      </c>
      <c r="O403" s="142" t="s">
        <v>87</v>
      </c>
      <c r="P403" s="143"/>
      <c r="Q403" s="144"/>
      <c r="R403" s="143">
        <v>1</v>
      </c>
      <c r="S403" s="142" t="s">
        <v>88</v>
      </c>
    </row>
    <row r="404" spans="4:19" x14ac:dyDescent="0.3">
      <c r="D404" s="97" t="s">
        <v>22</v>
      </c>
      <c r="E404" s="97" t="s">
        <v>23</v>
      </c>
      <c r="F404" s="98"/>
      <c r="G404" s="99"/>
      <c r="H404" s="98">
        <v>2</v>
      </c>
      <c r="I404" s="97" t="s">
        <v>25</v>
      </c>
      <c r="N404" s="151" t="s">
        <v>22</v>
      </c>
      <c r="O404" s="151" t="s">
        <v>23</v>
      </c>
      <c r="P404" s="152"/>
      <c r="Q404" s="152"/>
      <c r="R404" s="152">
        <v>2</v>
      </c>
      <c r="S404" s="151" t="s">
        <v>25</v>
      </c>
    </row>
    <row r="405" spans="4:19" x14ac:dyDescent="0.3">
      <c r="D405" s="29" t="s">
        <v>1145</v>
      </c>
      <c r="E405" s="29" t="s">
        <v>23</v>
      </c>
      <c r="F405" s="71" t="s">
        <v>19</v>
      </c>
      <c r="G405" s="25"/>
      <c r="H405" s="71"/>
      <c r="I405" s="29" t="s">
        <v>1146</v>
      </c>
      <c r="N405" s="145" t="s">
        <v>1145</v>
      </c>
      <c r="O405" s="145" t="s">
        <v>23</v>
      </c>
      <c r="P405" s="146" t="s">
        <v>19</v>
      </c>
      <c r="Q405" s="146"/>
      <c r="R405" s="145"/>
      <c r="S405" s="145" t="s">
        <v>1146</v>
      </c>
    </row>
    <row r="406" spans="4:19" x14ac:dyDescent="0.3">
      <c r="D406" s="29" t="s">
        <v>685</v>
      </c>
      <c r="E406" s="29" t="s">
        <v>23</v>
      </c>
      <c r="F406" s="71" t="s">
        <v>19</v>
      </c>
      <c r="G406" s="100"/>
      <c r="H406" s="71"/>
      <c r="I406" s="29" t="s">
        <v>1147</v>
      </c>
      <c r="N406" s="145" t="s">
        <v>685</v>
      </c>
      <c r="O406" s="145" t="s">
        <v>23</v>
      </c>
      <c r="P406" s="146" t="s">
        <v>19</v>
      </c>
      <c r="Q406" s="146"/>
      <c r="R406" s="145"/>
      <c r="S406" s="145" t="s">
        <v>1147</v>
      </c>
    </row>
    <row r="407" spans="4:19" x14ac:dyDescent="0.3">
      <c r="D407" s="29" t="s">
        <v>40</v>
      </c>
      <c r="E407" s="29" t="s">
        <v>39</v>
      </c>
      <c r="F407" s="71"/>
      <c r="G407" s="100"/>
      <c r="H407" s="71"/>
      <c r="I407" s="29" t="s">
        <v>14</v>
      </c>
      <c r="N407" s="145" t="s">
        <v>40</v>
      </c>
      <c r="O407" s="145" t="s">
        <v>39</v>
      </c>
      <c r="P407" s="146"/>
      <c r="Q407" s="146"/>
      <c r="R407" s="145"/>
      <c r="S407" s="145" t="s">
        <v>14</v>
      </c>
    </row>
    <row r="408" spans="4:19" x14ac:dyDescent="0.3">
      <c r="D408" s="29" t="s">
        <v>681</v>
      </c>
      <c r="E408" s="29" t="s">
        <v>23</v>
      </c>
      <c r="F408" s="71" t="s">
        <v>19</v>
      </c>
      <c r="G408" s="100"/>
      <c r="H408" s="71"/>
      <c r="I408" s="29" t="s">
        <v>1047</v>
      </c>
      <c r="N408" s="145" t="s">
        <v>681</v>
      </c>
      <c r="O408" s="145" t="s">
        <v>23</v>
      </c>
      <c r="P408" s="146" t="s">
        <v>19</v>
      </c>
      <c r="Q408" s="146"/>
      <c r="R408" s="145"/>
      <c r="S408" s="145" t="s">
        <v>1047</v>
      </c>
    </row>
    <row r="409" spans="4:19" ht="27" x14ac:dyDescent="0.3">
      <c r="D409" s="29" t="s">
        <v>46</v>
      </c>
      <c r="E409" s="29" t="s">
        <v>47</v>
      </c>
      <c r="F409" s="71"/>
      <c r="G409" s="25" t="s">
        <v>1044</v>
      </c>
      <c r="H409" s="71"/>
      <c r="I409" s="29" t="s">
        <v>48</v>
      </c>
      <c r="N409" s="145" t="s">
        <v>46</v>
      </c>
      <c r="O409" s="145" t="s">
        <v>47</v>
      </c>
      <c r="P409" s="146"/>
      <c r="Q409" s="147" t="s">
        <v>1385</v>
      </c>
      <c r="R409" s="145"/>
      <c r="S409" s="145" t="s">
        <v>48</v>
      </c>
    </row>
    <row r="410" spans="4:19" x14ac:dyDescent="0.3">
      <c r="D410" s="29" t="s">
        <v>49</v>
      </c>
      <c r="E410" s="29" t="s">
        <v>23</v>
      </c>
      <c r="F410" s="71"/>
      <c r="G410" s="100"/>
      <c r="H410" s="71"/>
      <c r="I410" s="29" t="s">
        <v>50</v>
      </c>
      <c r="N410" s="145" t="s">
        <v>49</v>
      </c>
      <c r="O410" s="145" t="s">
        <v>23</v>
      </c>
      <c r="P410" s="146"/>
      <c r="Q410" s="146"/>
      <c r="R410" s="145"/>
      <c r="S410" s="145" t="s">
        <v>50</v>
      </c>
    </row>
    <row r="411" spans="4:19" x14ac:dyDescent="0.3">
      <c r="D411" s="29" t="s">
        <v>51</v>
      </c>
      <c r="E411" s="29" t="s">
        <v>47</v>
      </c>
      <c r="F411" s="71" t="s">
        <v>19</v>
      </c>
      <c r="G411" s="100"/>
      <c r="H411" s="71"/>
      <c r="I411" s="29" t="s">
        <v>52</v>
      </c>
      <c r="N411" s="145" t="s">
        <v>51</v>
      </c>
      <c r="O411" s="145" t="s">
        <v>47</v>
      </c>
      <c r="P411" s="146" t="s">
        <v>19</v>
      </c>
      <c r="Q411" s="146"/>
      <c r="R411" s="145"/>
      <c r="S411" s="145" t="s">
        <v>52</v>
      </c>
    </row>
    <row r="412" spans="4:19" x14ac:dyDescent="0.3">
      <c r="D412" s="29" t="s">
        <v>53</v>
      </c>
      <c r="E412" s="29" t="s">
        <v>23</v>
      </c>
      <c r="F412" s="71" t="s">
        <v>19</v>
      </c>
      <c r="G412" s="100"/>
      <c r="H412" s="71"/>
      <c r="I412" s="29" t="s">
        <v>54</v>
      </c>
      <c r="N412" s="145" t="s">
        <v>53</v>
      </c>
      <c r="O412" s="145" t="s">
        <v>23</v>
      </c>
      <c r="P412" s="146" t="s">
        <v>19</v>
      </c>
      <c r="Q412" s="146"/>
      <c r="R412" s="145"/>
      <c r="S412" s="145" t="s">
        <v>54</v>
      </c>
    </row>
    <row r="413" spans="4:19" x14ac:dyDescent="0.3">
      <c r="D413" s="29" t="s">
        <v>28</v>
      </c>
      <c r="E413" s="29" t="s">
        <v>23</v>
      </c>
      <c r="F413" s="71" t="s">
        <v>19</v>
      </c>
      <c r="G413" s="100" t="s">
        <v>83</v>
      </c>
      <c r="H413" s="71"/>
      <c r="I413" s="29"/>
      <c r="N413" s="145" t="s">
        <v>28</v>
      </c>
      <c r="O413" s="145" t="s">
        <v>23</v>
      </c>
      <c r="P413" s="146" t="s">
        <v>19</v>
      </c>
      <c r="Q413" s="146" t="s">
        <v>325</v>
      </c>
      <c r="R413" s="145"/>
      <c r="S413" s="145"/>
    </row>
    <row r="414" spans="4:19" x14ac:dyDescent="0.3">
      <c r="D414" s="29" t="s">
        <v>59</v>
      </c>
      <c r="E414" s="29" t="s">
        <v>60</v>
      </c>
      <c r="F414" s="71" t="s">
        <v>19</v>
      </c>
      <c r="G414" s="100"/>
      <c r="H414" s="71"/>
      <c r="I414" s="29"/>
      <c r="N414" s="145" t="s">
        <v>59</v>
      </c>
      <c r="O414" s="145" t="s">
        <v>60</v>
      </c>
      <c r="P414" s="146" t="s">
        <v>19</v>
      </c>
      <c r="Q414" s="146"/>
      <c r="R414" s="145"/>
      <c r="S414" s="145" t="s">
        <v>1386</v>
      </c>
    </row>
    <row r="415" spans="4:19" x14ac:dyDescent="0.3">
      <c r="D415" s="29" t="s">
        <v>62</v>
      </c>
      <c r="E415" s="29" t="s">
        <v>60</v>
      </c>
      <c r="F415" s="71" t="s">
        <v>19</v>
      </c>
      <c r="G415" s="100"/>
      <c r="H415" s="71"/>
      <c r="I415" s="29"/>
      <c r="N415" s="145" t="s">
        <v>62</v>
      </c>
      <c r="O415" s="145" t="s">
        <v>60</v>
      </c>
      <c r="P415" s="146" t="s">
        <v>19</v>
      </c>
      <c r="Q415" s="146"/>
      <c r="R415" s="145"/>
      <c r="S415" s="145" t="s">
        <v>1387</v>
      </c>
    </row>
    <row r="416" spans="4:19" x14ac:dyDescent="0.3">
      <c r="D416" s="29" t="s">
        <v>64</v>
      </c>
      <c r="E416" s="29" t="s">
        <v>60</v>
      </c>
      <c r="F416" s="71" t="s">
        <v>19</v>
      </c>
      <c r="G416" s="100"/>
      <c r="H416" s="71"/>
      <c r="I416" s="29"/>
      <c r="N416" s="145" t="s">
        <v>64</v>
      </c>
      <c r="O416" s="145" t="s">
        <v>60</v>
      </c>
      <c r="P416" s="146" t="s">
        <v>19</v>
      </c>
      <c r="Q416" s="146"/>
      <c r="R416" s="145"/>
      <c r="S416" s="145"/>
    </row>
    <row r="417" spans="4:19" x14ac:dyDescent="0.3">
      <c r="D417" s="29" t="s">
        <v>66</v>
      </c>
      <c r="E417" s="29" t="s">
        <v>60</v>
      </c>
      <c r="F417" s="71" t="s">
        <v>19</v>
      </c>
      <c r="G417" s="100"/>
      <c r="H417" s="71"/>
      <c r="I417" s="29"/>
      <c r="N417" s="145" t="s">
        <v>66</v>
      </c>
      <c r="O417" s="145" t="s">
        <v>60</v>
      </c>
      <c r="P417" s="146" t="s">
        <v>19</v>
      </c>
      <c r="Q417" s="146"/>
      <c r="R417" s="145"/>
      <c r="S417" s="145"/>
    </row>
    <row r="418" spans="4:19" x14ac:dyDescent="0.3">
      <c r="D418" s="29" t="s">
        <v>67</v>
      </c>
      <c r="E418" s="29" t="s">
        <v>60</v>
      </c>
      <c r="F418" s="71" t="s">
        <v>19</v>
      </c>
      <c r="G418" s="100"/>
      <c r="H418" s="71"/>
      <c r="I418" s="29"/>
      <c r="N418" s="145" t="s">
        <v>67</v>
      </c>
      <c r="O418" s="145" t="s">
        <v>60</v>
      </c>
      <c r="P418" s="146" t="s">
        <v>19</v>
      </c>
      <c r="Q418" s="146"/>
      <c r="R418" s="145"/>
      <c r="S418" s="145"/>
    </row>
    <row r="419" spans="4:19" x14ac:dyDescent="0.3">
      <c r="D419" s="29" t="s">
        <v>679</v>
      </c>
      <c r="E419" s="29" t="s">
        <v>23</v>
      </c>
      <c r="F419" s="71" t="s">
        <v>19</v>
      </c>
      <c r="G419" s="100"/>
      <c r="H419" s="71"/>
      <c r="I419" s="29"/>
      <c r="N419" s="148" t="s">
        <v>270</v>
      </c>
      <c r="O419" s="148" t="s">
        <v>271</v>
      </c>
      <c r="P419" s="149" t="s">
        <v>19</v>
      </c>
      <c r="Q419" s="149" t="s">
        <v>189</v>
      </c>
      <c r="R419" s="148"/>
      <c r="S419" s="148"/>
    </row>
    <row r="420" spans="4:19" x14ac:dyDescent="0.3">
      <c r="D420" s="38" t="s">
        <v>270</v>
      </c>
      <c r="E420" s="38" t="s">
        <v>271</v>
      </c>
      <c r="F420" s="72" t="s">
        <v>19</v>
      </c>
      <c r="G420" s="101" t="s">
        <v>189</v>
      </c>
      <c r="H420" s="72"/>
      <c r="I420" s="38" t="s">
        <v>2203</v>
      </c>
    </row>
    <row r="422" spans="4:19" x14ac:dyDescent="0.3">
      <c r="D422" s="10" t="s">
        <v>1148</v>
      </c>
      <c r="N422" s="10" t="s">
        <v>1388</v>
      </c>
      <c r="Q422" s="18"/>
    </row>
    <row r="423" spans="4:19" x14ac:dyDescent="0.3">
      <c r="D423" s="43" t="s">
        <v>85</v>
      </c>
      <c r="E423" s="43" t="s">
        <v>0</v>
      </c>
      <c r="F423" s="43" t="s">
        <v>1</v>
      </c>
      <c r="G423" s="43" t="s">
        <v>2</v>
      </c>
      <c r="H423" s="43" t="s">
        <v>21</v>
      </c>
      <c r="I423" s="43" t="s">
        <v>3</v>
      </c>
      <c r="N423" s="43" t="s">
        <v>85</v>
      </c>
      <c r="O423" s="43" t="s">
        <v>0</v>
      </c>
      <c r="P423" s="43" t="s">
        <v>1</v>
      </c>
      <c r="Q423" s="43" t="s">
        <v>2</v>
      </c>
      <c r="R423" s="43" t="s">
        <v>21</v>
      </c>
      <c r="S423" s="43" t="s">
        <v>3</v>
      </c>
    </row>
    <row r="424" spans="4:19" x14ac:dyDescent="0.3">
      <c r="D424" s="126" t="s">
        <v>179</v>
      </c>
      <c r="E424" s="126" t="s">
        <v>23</v>
      </c>
      <c r="F424" s="127"/>
      <c r="G424" s="128"/>
      <c r="H424" s="127"/>
      <c r="I424" s="126" t="s">
        <v>180</v>
      </c>
      <c r="N424" s="142" t="s">
        <v>179</v>
      </c>
      <c r="O424" s="142" t="s">
        <v>23</v>
      </c>
      <c r="P424" s="143"/>
      <c r="Q424" s="144"/>
      <c r="R424" s="143">
        <v>1</v>
      </c>
      <c r="S424" s="142" t="s">
        <v>180</v>
      </c>
    </row>
    <row r="425" spans="4:19" x14ac:dyDescent="0.3">
      <c r="D425" s="97" t="s">
        <v>86</v>
      </c>
      <c r="E425" s="97" t="s">
        <v>87</v>
      </c>
      <c r="F425" s="98"/>
      <c r="G425" s="99"/>
      <c r="H425" s="98">
        <v>1</v>
      </c>
      <c r="I425" s="97" t="s">
        <v>88</v>
      </c>
      <c r="N425" s="151" t="s">
        <v>86</v>
      </c>
      <c r="O425" s="151" t="s">
        <v>87</v>
      </c>
      <c r="P425" s="152"/>
      <c r="Q425" s="152"/>
      <c r="R425" s="152">
        <v>2</v>
      </c>
      <c r="S425" s="151" t="s">
        <v>88</v>
      </c>
    </row>
    <row r="426" spans="4:19" x14ac:dyDescent="0.3">
      <c r="D426" s="97" t="s">
        <v>1149</v>
      </c>
      <c r="E426" s="97" t="s">
        <v>31</v>
      </c>
      <c r="F426" s="98"/>
      <c r="G426" s="99"/>
      <c r="H426" s="98">
        <v>2</v>
      </c>
      <c r="I426" s="97" t="s">
        <v>1150</v>
      </c>
      <c r="N426" s="151" t="s">
        <v>1149</v>
      </c>
      <c r="O426" s="151" t="s">
        <v>31</v>
      </c>
      <c r="P426" s="152"/>
      <c r="Q426" s="152"/>
      <c r="R426" s="152">
        <v>3</v>
      </c>
      <c r="S426" s="151" t="s">
        <v>1150</v>
      </c>
    </row>
    <row r="427" spans="4:19" ht="27" x14ac:dyDescent="0.3">
      <c r="D427" s="29" t="s">
        <v>46</v>
      </c>
      <c r="E427" s="29" t="s">
        <v>47</v>
      </c>
      <c r="F427" s="71"/>
      <c r="G427" s="25" t="s">
        <v>1157</v>
      </c>
      <c r="H427" s="71"/>
      <c r="I427" s="29" t="s">
        <v>48</v>
      </c>
      <c r="N427" s="145" t="s">
        <v>46</v>
      </c>
      <c r="O427" s="145" t="s">
        <v>47</v>
      </c>
      <c r="P427" s="146"/>
      <c r="Q427" s="147" t="s">
        <v>1029</v>
      </c>
      <c r="R427" s="145"/>
      <c r="S427" s="145" t="s">
        <v>48</v>
      </c>
    </row>
    <row r="428" spans="4:19" x14ac:dyDescent="0.3">
      <c r="D428" s="29" t="s">
        <v>49</v>
      </c>
      <c r="E428" s="29" t="s">
        <v>23</v>
      </c>
      <c r="F428" s="71"/>
      <c r="G428" s="100"/>
      <c r="H428" s="71"/>
      <c r="I428" s="29" t="s">
        <v>50</v>
      </c>
      <c r="N428" s="145" t="s">
        <v>49</v>
      </c>
      <c r="O428" s="145" t="s">
        <v>23</v>
      </c>
      <c r="P428" s="146"/>
      <c r="Q428" s="146"/>
      <c r="R428" s="145"/>
      <c r="S428" s="145" t="s">
        <v>50</v>
      </c>
    </row>
    <row r="429" spans="4:19" x14ac:dyDescent="0.3">
      <c r="D429" s="29" t="s">
        <v>51</v>
      </c>
      <c r="E429" s="29" t="s">
        <v>47</v>
      </c>
      <c r="F429" s="71" t="s">
        <v>19</v>
      </c>
      <c r="G429" s="100"/>
      <c r="H429" s="71"/>
      <c r="I429" s="29" t="s">
        <v>52</v>
      </c>
      <c r="N429" s="145" t="s">
        <v>51</v>
      </c>
      <c r="O429" s="145" t="s">
        <v>47</v>
      </c>
      <c r="P429" s="146" t="s">
        <v>19</v>
      </c>
      <c r="Q429" s="146"/>
      <c r="R429" s="145"/>
      <c r="S429" s="145" t="s">
        <v>52</v>
      </c>
    </row>
    <row r="430" spans="4:19" x14ac:dyDescent="0.3">
      <c r="D430" s="29" t="s">
        <v>53</v>
      </c>
      <c r="E430" s="29" t="s">
        <v>1156</v>
      </c>
      <c r="F430" s="71" t="s">
        <v>19</v>
      </c>
      <c r="G430" s="100"/>
      <c r="H430" s="71"/>
      <c r="I430" s="29" t="s">
        <v>54</v>
      </c>
      <c r="N430" s="145" t="s">
        <v>53</v>
      </c>
      <c r="O430" s="145" t="s">
        <v>23</v>
      </c>
      <c r="P430" s="146" t="s">
        <v>19</v>
      </c>
      <c r="Q430" s="146"/>
      <c r="R430" s="145"/>
      <c r="S430" s="145" t="s">
        <v>54</v>
      </c>
    </row>
    <row r="431" spans="4:19" x14ac:dyDescent="0.3">
      <c r="D431" s="29" t="s">
        <v>89</v>
      </c>
      <c r="E431" s="29" t="s">
        <v>36</v>
      </c>
      <c r="F431" s="71"/>
      <c r="G431" s="100"/>
      <c r="H431" s="71"/>
      <c r="I431" s="29" t="s">
        <v>90</v>
      </c>
      <c r="N431" s="145" t="s">
        <v>89</v>
      </c>
      <c r="O431" s="145" t="s">
        <v>36</v>
      </c>
      <c r="P431" s="146"/>
      <c r="Q431" s="146"/>
      <c r="R431" s="145"/>
      <c r="S431" s="145" t="s">
        <v>90</v>
      </c>
    </row>
    <row r="432" spans="4:19" x14ac:dyDescent="0.3">
      <c r="D432" s="29" t="s">
        <v>93</v>
      </c>
      <c r="E432" s="29" t="s">
        <v>36</v>
      </c>
      <c r="F432" s="71"/>
      <c r="G432" s="100"/>
      <c r="H432" s="71"/>
      <c r="I432" s="29" t="s">
        <v>94</v>
      </c>
      <c r="N432" s="145" t="s">
        <v>93</v>
      </c>
      <c r="O432" s="145" t="s">
        <v>36</v>
      </c>
      <c r="P432" s="146"/>
      <c r="Q432" s="146"/>
      <c r="R432" s="145"/>
      <c r="S432" s="145" t="s">
        <v>94</v>
      </c>
    </row>
    <row r="433" spans="4:19" x14ac:dyDescent="0.3">
      <c r="D433" s="29" t="s">
        <v>95</v>
      </c>
      <c r="E433" s="29" t="s">
        <v>96</v>
      </c>
      <c r="F433" s="71" t="s">
        <v>19</v>
      </c>
      <c r="G433" s="100"/>
      <c r="H433" s="71"/>
      <c r="I433" s="29" t="s">
        <v>97</v>
      </c>
      <c r="N433" s="145" t="s">
        <v>95</v>
      </c>
      <c r="O433" s="145" t="s">
        <v>96</v>
      </c>
      <c r="P433" s="146" t="s">
        <v>19</v>
      </c>
      <c r="Q433" s="146"/>
      <c r="R433" s="145"/>
      <c r="S433" s="145" t="s">
        <v>97</v>
      </c>
    </row>
    <row r="434" spans="4:19" x14ac:dyDescent="0.3">
      <c r="D434" s="29" t="s">
        <v>98</v>
      </c>
      <c r="E434" s="29" t="s">
        <v>99</v>
      </c>
      <c r="F434" s="71" t="s">
        <v>19</v>
      </c>
      <c r="G434" s="100"/>
      <c r="H434" s="71"/>
      <c r="I434" s="29" t="s">
        <v>100</v>
      </c>
      <c r="N434" s="145" t="s">
        <v>98</v>
      </c>
      <c r="O434" s="145" t="s">
        <v>99</v>
      </c>
      <c r="P434" s="146" t="s">
        <v>19</v>
      </c>
      <c r="Q434" s="146"/>
      <c r="R434" s="145"/>
      <c r="S434" s="145" t="s">
        <v>100</v>
      </c>
    </row>
    <row r="435" spans="4:19" x14ac:dyDescent="0.3">
      <c r="D435" s="29" t="s">
        <v>101</v>
      </c>
      <c r="E435" s="29" t="s">
        <v>99</v>
      </c>
      <c r="F435" s="71" t="s">
        <v>19</v>
      </c>
      <c r="G435" s="100"/>
      <c r="H435" s="71"/>
      <c r="I435" s="29" t="s">
        <v>102</v>
      </c>
      <c r="N435" s="145" t="s">
        <v>101</v>
      </c>
      <c r="O435" s="145" t="s">
        <v>99</v>
      </c>
      <c r="P435" s="146" t="s">
        <v>19</v>
      </c>
      <c r="Q435" s="146"/>
      <c r="R435" s="145"/>
      <c r="S435" s="145" t="s">
        <v>102</v>
      </c>
    </row>
    <row r="436" spans="4:19" x14ac:dyDescent="0.3">
      <c r="D436" s="29" t="s">
        <v>103</v>
      </c>
      <c r="E436" s="29" t="s">
        <v>99</v>
      </c>
      <c r="F436" s="71" t="s">
        <v>19</v>
      </c>
      <c r="G436" s="100"/>
      <c r="H436" s="71"/>
      <c r="I436" s="29" t="s">
        <v>104</v>
      </c>
      <c r="N436" s="145" t="s">
        <v>103</v>
      </c>
      <c r="O436" s="145" t="s">
        <v>99</v>
      </c>
      <c r="P436" s="146" t="s">
        <v>19</v>
      </c>
      <c r="Q436" s="146"/>
      <c r="R436" s="145"/>
      <c r="S436" s="145" t="s">
        <v>104</v>
      </c>
    </row>
    <row r="437" spans="4:19" x14ac:dyDescent="0.3">
      <c r="D437" s="29" t="s">
        <v>105</v>
      </c>
      <c r="E437" s="29" t="s">
        <v>99</v>
      </c>
      <c r="F437" s="71" t="s">
        <v>19</v>
      </c>
      <c r="G437" s="100"/>
      <c r="H437" s="71"/>
      <c r="I437" s="29" t="s">
        <v>106</v>
      </c>
      <c r="N437" s="145" t="s">
        <v>105</v>
      </c>
      <c r="O437" s="145" t="s">
        <v>99</v>
      </c>
      <c r="P437" s="146" t="s">
        <v>19</v>
      </c>
      <c r="Q437" s="146"/>
      <c r="R437" s="145"/>
      <c r="S437" s="145" t="s">
        <v>106</v>
      </c>
    </row>
    <row r="438" spans="4:19" x14ac:dyDescent="0.3">
      <c r="D438" s="29" t="s">
        <v>107</v>
      </c>
      <c r="E438" s="29" t="s">
        <v>99</v>
      </c>
      <c r="F438" s="71" t="s">
        <v>19</v>
      </c>
      <c r="G438" s="100"/>
      <c r="H438" s="71"/>
      <c r="I438" s="29" t="s">
        <v>108</v>
      </c>
      <c r="N438" s="145" t="s">
        <v>107</v>
      </c>
      <c r="O438" s="145" t="s">
        <v>99</v>
      </c>
      <c r="P438" s="146" t="s">
        <v>19</v>
      </c>
      <c r="Q438" s="146"/>
      <c r="R438" s="145"/>
      <c r="S438" s="145" t="s">
        <v>108</v>
      </c>
    </row>
    <row r="439" spans="4:19" x14ac:dyDescent="0.3">
      <c r="D439" s="29" t="s">
        <v>109</v>
      </c>
      <c r="E439" s="29" t="s">
        <v>99</v>
      </c>
      <c r="F439" s="71" t="s">
        <v>19</v>
      </c>
      <c r="G439" s="100"/>
      <c r="H439" s="71"/>
      <c r="I439" s="29" t="s">
        <v>110</v>
      </c>
      <c r="N439" s="145" t="s">
        <v>109</v>
      </c>
      <c r="O439" s="145" t="s">
        <v>99</v>
      </c>
      <c r="P439" s="146" t="s">
        <v>19</v>
      </c>
      <c r="Q439" s="146"/>
      <c r="R439" s="145"/>
      <c r="S439" s="145" t="s">
        <v>110</v>
      </c>
    </row>
    <row r="440" spans="4:19" x14ac:dyDescent="0.3">
      <c r="D440" s="29" t="s">
        <v>111</v>
      </c>
      <c r="E440" s="29" t="s">
        <v>112</v>
      </c>
      <c r="F440" s="71" t="s">
        <v>19</v>
      </c>
      <c r="G440" s="100"/>
      <c r="H440" s="71"/>
      <c r="I440" s="29" t="s">
        <v>113</v>
      </c>
      <c r="N440" s="145" t="s">
        <v>111</v>
      </c>
      <c r="O440" s="145" t="s">
        <v>112</v>
      </c>
      <c r="P440" s="146" t="s">
        <v>19</v>
      </c>
      <c r="Q440" s="146"/>
      <c r="R440" s="145"/>
      <c r="S440" s="145" t="s">
        <v>113</v>
      </c>
    </row>
    <row r="441" spans="4:19" x14ac:dyDescent="0.3">
      <c r="D441" s="29" t="s">
        <v>114</v>
      </c>
      <c r="E441" s="29" t="s">
        <v>96</v>
      </c>
      <c r="F441" s="71" t="s">
        <v>19</v>
      </c>
      <c r="G441" s="100"/>
      <c r="H441" s="71"/>
      <c r="I441" s="29" t="s">
        <v>115</v>
      </c>
      <c r="N441" s="145" t="s">
        <v>114</v>
      </c>
      <c r="O441" s="145" t="s">
        <v>96</v>
      </c>
      <c r="P441" s="146" t="s">
        <v>19</v>
      </c>
      <c r="Q441" s="146"/>
      <c r="R441" s="145"/>
      <c r="S441" s="145" t="s">
        <v>115</v>
      </c>
    </row>
    <row r="442" spans="4:19" x14ac:dyDescent="0.3">
      <c r="D442" s="29" t="s">
        <v>116</v>
      </c>
      <c r="E442" s="29" t="s">
        <v>96</v>
      </c>
      <c r="F442" s="71" t="s">
        <v>19</v>
      </c>
      <c r="G442" s="100"/>
      <c r="H442" s="71"/>
      <c r="I442" s="29" t="s">
        <v>117</v>
      </c>
      <c r="N442" s="145" t="s">
        <v>116</v>
      </c>
      <c r="O442" s="145" t="s">
        <v>96</v>
      </c>
      <c r="P442" s="146" t="s">
        <v>19</v>
      </c>
      <c r="Q442" s="146"/>
      <c r="R442" s="145"/>
      <c r="S442" s="145" t="s">
        <v>117</v>
      </c>
    </row>
    <row r="443" spans="4:19" x14ac:dyDescent="0.3">
      <c r="D443" s="29" t="s">
        <v>145</v>
      </c>
      <c r="E443" s="29" t="s">
        <v>44</v>
      </c>
      <c r="F443" s="71"/>
      <c r="G443" s="100"/>
      <c r="H443" s="71"/>
      <c r="I443" s="29" t="s">
        <v>146</v>
      </c>
      <c r="N443" s="145" t="s">
        <v>145</v>
      </c>
      <c r="O443" s="145" t="s">
        <v>44</v>
      </c>
      <c r="P443" s="146"/>
      <c r="Q443" s="146"/>
      <c r="R443" s="145"/>
      <c r="S443" s="145" t="s">
        <v>146</v>
      </c>
    </row>
    <row r="444" spans="4:19" x14ac:dyDescent="0.3">
      <c r="D444" s="29" t="s">
        <v>147</v>
      </c>
      <c r="E444" s="29" t="s">
        <v>39</v>
      </c>
      <c r="F444" s="71" t="s">
        <v>19</v>
      </c>
      <c r="G444" s="100"/>
      <c r="H444" s="71"/>
      <c r="I444" s="29" t="s">
        <v>1151</v>
      </c>
      <c r="N444" s="145" t="s">
        <v>147</v>
      </c>
      <c r="O444" s="145" t="s">
        <v>39</v>
      </c>
      <c r="P444" s="146" t="s">
        <v>19</v>
      </c>
      <c r="Q444" s="146"/>
      <c r="R444" s="145"/>
      <c r="S444" s="145" t="s">
        <v>1151</v>
      </c>
    </row>
    <row r="445" spans="4:19" x14ac:dyDescent="0.3">
      <c r="D445" s="29" t="s">
        <v>149</v>
      </c>
      <c r="E445" s="29" t="s">
        <v>23</v>
      </c>
      <c r="F445" s="71" t="s">
        <v>19</v>
      </c>
      <c r="G445" s="100"/>
      <c r="H445" s="71"/>
      <c r="I445" s="29" t="s">
        <v>150</v>
      </c>
      <c r="N445" s="145" t="s">
        <v>149</v>
      </c>
      <c r="O445" s="145" t="s">
        <v>23</v>
      </c>
      <c r="P445" s="146" t="s">
        <v>19</v>
      </c>
      <c r="Q445" s="146"/>
      <c r="R445" s="145"/>
      <c r="S445" s="145" t="s">
        <v>150</v>
      </c>
    </row>
    <row r="446" spans="4:19" x14ac:dyDescent="0.3">
      <c r="D446" s="29" t="s">
        <v>167</v>
      </c>
      <c r="E446" s="29" t="s">
        <v>23</v>
      </c>
      <c r="F446" s="71"/>
      <c r="G446" s="100"/>
      <c r="H446" s="71"/>
      <c r="I446" s="29" t="s">
        <v>168</v>
      </c>
      <c r="N446" s="145" t="s">
        <v>167</v>
      </c>
      <c r="O446" s="145" t="s">
        <v>23</v>
      </c>
      <c r="P446" s="146"/>
      <c r="Q446" s="146"/>
      <c r="R446" s="145"/>
      <c r="S446" s="145" t="s">
        <v>168</v>
      </c>
    </row>
    <row r="447" spans="4:19" x14ac:dyDescent="0.3">
      <c r="D447" s="29" t="s">
        <v>169</v>
      </c>
      <c r="E447" s="29" t="s">
        <v>23</v>
      </c>
      <c r="F447" s="71"/>
      <c r="G447" s="100"/>
      <c r="H447" s="71"/>
      <c r="I447" s="29" t="s">
        <v>1152</v>
      </c>
      <c r="N447" s="145" t="s">
        <v>169</v>
      </c>
      <c r="O447" s="145" t="s">
        <v>23</v>
      </c>
      <c r="P447" s="146"/>
      <c r="Q447" s="146"/>
      <c r="R447" s="145"/>
      <c r="S447" s="145" t="s">
        <v>1152</v>
      </c>
    </row>
    <row r="448" spans="4:19" x14ac:dyDescent="0.3">
      <c r="D448" s="29" t="s">
        <v>1153</v>
      </c>
      <c r="E448" s="29" t="s">
        <v>36</v>
      </c>
      <c r="F448" s="71" t="s">
        <v>19</v>
      </c>
      <c r="G448" s="100"/>
      <c r="H448" s="71"/>
      <c r="I448" s="29" t="s">
        <v>1154</v>
      </c>
      <c r="N448" s="145" t="s">
        <v>1153</v>
      </c>
      <c r="O448" s="145" t="s">
        <v>36</v>
      </c>
      <c r="P448" s="146" t="s">
        <v>19</v>
      </c>
      <c r="Q448" s="146"/>
      <c r="R448" s="145"/>
      <c r="S448" s="145" t="s">
        <v>1154</v>
      </c>
    </row>
    <row r="449" spans="4:19" x14ac:dyDescent="0.3">
      <c r="D449" s="29" t="s">
        <v>120</v>
      </c>
      <c r="E449" s="29" t="s">
        <v>23</v>
      </c>
      <c r="F449" s="71" t="s">
        <v>19</v>
      </c>
      <c r="G449" s="100"/>
      <c r="H449" s="71"/>
      <c r="I449" s="29" t="s">
        <v>121</v>
      </c>
      <c r="N449" s="145" t="s">
        <v>120</v>
      </c>
      <c r="O449" s="145" t="s">
        <v>23</v>
      </c>
      <c r="P449" s="146" t="s">
        <v>19</v>
      </c>
      <c r="Q449" s="146"/>
      <c r="R449" s="145"/>
      <c r="S449" s="145" t="s">
        <v>121</v>
      </c>
    </row>
    <row r="450" spans="4:19" x14ac:dyDescent="0.3">
      <c r="D450" s="29" t="s">
        <v>122</v>
      </c>
      <c r="E450" s="29" t="s">
        <v>23</v>
      </c>
      <c r="F450" s="71" t="s">
        <v>19</v>
      </c>
      <c r="G450" s="100"/>
      <c r="H450" s="71"/>
      <c r="I450" s="29" t="s">
        <v>123</v>
      </c>
      <c r="N450" s="145" t="s">
        <v>122</v>
      </c>
      <c r="O450" s="145" t="s">
        <v>23</v>
      </c>
      <c r="P450" s="146" t="s">
        <v>19</v>
      </c>
      <c r="Q450" s="146"/>
      <c r="R450" s="145"/>
      <c r="S450" s="145" t="s">
        <v>123</v>
      </c>
    </row>
    <row r="451" spans="4:19" x14ac:dyDescent="0.3">
      <c r="D451" s="29" t="s">
        <v>124</v>
      </c>
      <c r="E451" s="29" t="s">
        <v>39</v>
      </c>
      <c r="F451" s="71"/>
      <c r="G451" s="100"/>
      <c r="H451" s="71"/>
      <c r="I451" s="29" t="s">
        <v>125</v>
      </c>
      <c r="N451" s="145" t="s">
        <v>124</v>
      </c>
      <c r="O451" s="145" t="s">
        <v>39</v>
      </c>
      <c r="P451" s="146"/>
      <c r="Q451" s="146"/>
      <c r="R451" s="145"/>
      <c r="S451" s="145" t="s">
        <v>125</v>
      </c>
    </row>
    <row r="452" spans="4:19" x14ac:dyDescent="0.3">
      <c r="D452" s="29" t="s">
        <v>126</v>
      </c>
      <c r="E452" s="29" t="s">
        <v>39</v>
      </c>
      <c r="F452" s="71"/>
      <c r="G452" s="100"/>
      <c r="H452" s="71"/>
      <c r="I452" s="29" t="s">
        <v>127</v>
      </c>
      <c r="N452" s="145" t="s">
        <v>126</v>
      </c>
      <c r="O452" s="145" t="s">
        <v>39</v>
      </c>
      <c r="P452" s="146"/>
      <c r="Q452" s="146"/>
      <c r="R452" s="145"/>
      <c r="S452" s="145" t="s">
        <v>127</v>
      </c>
    </row>
    <row r="453" spans="4:19" x14ac:dyDescent="0.3">
      <c r="D453" s="29" t="s">
        <v>128</v>
      </c>
      <c r="E453" s="29" t="s">
        <v>39</v>
      </c>
      <c r="F453" s="71"/>
      <c r="G453" s="100"/>
      <c r="H453" s="71"/>
      <c r="I453" s="29" t="s">
        <v>129</v>
      </c>
      <c r="N453" s="145" t="s">
        <v>128</v>
      </c>
      <c r="O453" s="145" t="s">
        <v>39</v>
      </c>
      <c r="P453" s="146"/>
      <c r="Q453" s="146"/>
      <c r="R453" s="145"/>
      <c r="S453" s="145" t="s">
        <v>129</v>
      </c>
    </row>
    <row r="454" spans="4:19" x14ac:dyDescent="0.3">
      <c r="D454" s="29" t="s">
        <v>181</v>
      </c>
      <c r="E454" s="29" t="s">
        <v>23</v>
      </c>
      <c r="F454" s="71"/>
      <c r="G454" s="100"/>
      <c r="H454" s="71"/>
      <c r="I454" s="29" t="s">
        <v>182</v>
      </c>
      <c r="N454" s="145" t="s">
        <v>181</v>
      </c>
      <c r="O454" s="145" t="s">
        <v>23</v>
      </c>
      <c r="P454" s="146"/>
      <c r="Q454" s="146"/>
      <c r="R454" s="145"/>
      <c r="S454" s="145" t="s">
        <v>182</v>
      </c>
    </row>
    <row r="455" spans="4:19" x14ac:dyDescent="0.3">
      <c r="D455" s="29" t="s">
        <v>183</v>
      </c>
      <c r="E455" s="29" t="s">
        <v>184</v>
      </c>
      <c r="F455" s="71"/>
      <c r="G455" s="100"/>
      <c r="H455" s="71"/>
      <c r="I455" s="29" t="s">
        <v>185</v>
      </c>
      <c r="N455" s="145" t="s">
        <v>183</v>
      </c>
      <c r="O455" s="145" t="s">
        <v>184</v>
      </c>
      <c r="P455" s="146"/>
      <c r="Q455" s="146"/>
      <c r="R455" s="145"/>
      <c r="S455" s="145" t="s">
        <v>185</v>
      </c>
    </row>
    <row r="456" spans="4:19" x14ac:dyDescent="0.3">
      <c r="D456" s="29" t="s">
        <v>28</v>
      </c>
      <c r="E456" s="29" t="s">
        <v>23</v>
      </c>
      <c r="F456" s="71" t="s">
        <v>19</v>
      </c>
      <c r="G456" s="100" t="s">
        <v>83</v>
      </c>
      <c r="H456" s="71"/>
      <c r="I456" s="29"/>
      <c r="N456" s="145" t="s">
        <v>28</v>
      </c>
      <c r="O456" s="145" t="s">
        <v>23</v>
      </c>
      <c r="P456" s="146" t="s">
        <v>19</v>
      </c>
      <c r="Q456" s="146" t="s">
        <v>325</v>
      </c>
      <c r="R456" s="145"/>
      <c r="S456" s="145"/>
    </row>
    <row r="457" spans="4:19" x14ac:dyDescent="0.3">
      <c r="D457" s="29" t="s">
        <v>59</v>
      </c>
      <c r="E457" s="29" t="s">
        <v>60</v>
      </c>
      <c r="F457" s="71" t="s">
        <v>19</v>
      </c>
      <c r="G457" s="100"/>
      <c r="H457" s="71"/>
      <c r="I457" s="29"/>
      <c r="N457" s="145" t="s">
        <v>59</v>
      </c>
      <c r="O457" s="145" t="s">
        <v>60</v>
      </c>
      <c r="P457" s="146" t="s">
        <v>19</v>
      </c>
      <c r="Q457" s="146"/>
      <c r="R457" s="145"/>
      <c r="S457" s="145"/>
    </row>
    <row r="458" spans="4:19" x14ac:dyDescent="0.3">
      <c r="D458" s="29" t="s">
        <v>62</v>
      </c>
      <c r="E458" s="29" t="s">
        <v>60</v>
      </c>
      <c r="F458" s="71" t="s">
        <v>19</v>
      </c>
      <c r="G458" s="100"/>
      <c r="H458" s="71"/>
      <c r="I458" s="29"/>
      <c r="N458" s="145" t="s">
        <v>62</v>
      </c>
      <c r="O458" s="145" t="s">
        <v>60</v>
      </c>
      <c r="P458" s="146" t="s">
        <v>19</v>
      </c>
      <c r="Q458" s="146"/>
      <c r="R458" s="145"/>
      <c r="S458" s="145"/>
    </row>
    <row r="459" spans="4:19" x14ac:dyDescent="0.3">
      <c r="D459" s="29" t="s">
        <v>64</v>
      </c>
      <c r="E459" s="29" t="s">
        <v>60</v>
      </c>
      <c r="F459" s="71" t="s">
        <v>19</v>
      </c>
      <c r="G459" s="100"/>
      <c r="H459" s="71"/>
      <c r="I459" s="29"/>
      <c r="N459" s="145" t="s">
        <v>64</v>
      </c>
      <c r="O459" s="145" t="s">
        <v>60</v>
      </c>
      <c r="P459" s="146" t="s">
        <v>19</v>
      </c>
      <c r="Q459" s="146"/>
      <c r="R459" s="145"/>
      <c r="S459" s="145"/>
    </row>
    <row r="460" spans="4:19" x14ac:dyDescent="0.3">
      <c r="D460" s="29" t="s">
        <v>66</v>
      </c>
      <c r="E460" s="29" t="s">
        <v>60</v>
      </c>
      <c r="F460" s="71" t="s">
        <v>19</v>
      </c>
      <c r="G460" s="100"/>
      <c r="H460" s="71"/>
      <c r="I460" s="29"/>
      <c r="N460" s="145" t="s">
        <v>66</v>
      </c>
      <c r="O460" s="145" t="s">
        <v>60</v>
      </c>
      <c r="P460" s="146" t="s">
        <v>19</v>
      </c>
      <c r="Q460" s="146"/>
      <c r="R460" s="145"/>
      <c r="S460" s="145"/>
    </row>
    <row r="461" spans="4:19" x14ac:dyDescent="0.3">
      <c r="D461" s="29" t="s">
        <v>67</v>
      </c>
      <c r="E461" s="29" t="s">
        <v>60</v>
      </c>
      <c r="F461" s="71" t="s">
        <v>19</v>
      </c>
      <c r="G461" s="100"/>
      <c r="H461" s="71"/>
      <c r="I461" s="29"/>
      <c r="N461" s="145" t="s">
        <v>67</v>
      </c>
      <c r="O461" s="145" t="s">
        <v>60</v>
      </c>
      <c r="P461" s="146" t="s">
        <v>19</v>
      </c>
      <c r="Q461" s="146"/>
      <c r="R461" s="145"/>
      <c r="S461" s="145"/>
    </row>
    <row r="462" spans="4:19" x14ac:dyDescent="0.3">
      <c r="D462" s="29" t="s">
        <v>188</v>
      </c>
      <c r="E462" s="29" t="s">
        <v>39</v>
      </c>
      <c r="F462" s="71" t="s">
        <v>19</v>
      </c>
      <c r="G462" s="100" t="s">
        <v>189</v>
      </c>
      <c r="H462" s="71"/>
      <c r="I462" s="29"/>
      <c r="N462" s="145" t="s">
        <v>188</v>
      </c>
      <c r="O462" s="145" t="s">
        <v>39</v>
      </c>
      <c r="P462" s="146" t="s">
        <v>19</v>
      </c>
      <c r="Q462" s="146" t="s">
        <v>189</v>
      </c>
      <c r="R462" s="145"/>
      <c r="S462" s="145"/>
    </row>
    <row r="463" spans="4:19" x14ac:dyDescent="0.3">
      <c r="D463" s="29" t="s">
        <v>191</v>
      </c>
      <c r="E463" s="29" t="s">
        <v>39</v>
      </c>
      <c r="F463" s="71" t="s">
        <v>19</v>
      </c>
      <c r="G463" s="100" t="s">
        <v>192</v>
      </c>
      <c r="H463" s="71"/>
      <c r="I463" s="29"/>
      <c r="N463" s="145" t="s">
        <v>191</v>
      </c>
      <c r="O463" s="145" t="s">
        <v>39</v>
      </c>
      <c r="P463" s="146" t="s">
        <v>19</v>
      </c>
      <c r="Q463" s="146" t="s">
        <v>192</v>
      </c>
      <c r="R463" s="145"/>
      <c r="S463" s="145"/>
    </row>
    <row r="464" spans="4:19" x14ac:dyDescent="0.3">
      <c r="D464" s="29" t="s">
        <v>194</v>
      </c>
      <c r="E464" s="29" t="s">
        <v>39</v>
      </c>
      <c r="F464" s="71" t="s">
        <v>19</v>
      </c>
      <c r="G464" s="100" t="s">
        <v>192</v>
      </c>
      <c r="H464" s="71"/>
      <c r="I464" s="29"/>
      <c r="N464" s="145" t="s">
        <v>194</v>
      </c>
      <c r="O464" s="145" t="s">
        <v>39</v>
      </c>
      <c r="P464" s="146" t="s">
        <v>19</v>
      </c>
      <c r="Q464" s="146" t="s">
        <v>192</v>
      </c>
      <c r="R464" s="145"/>
      <c r="S464" s="145"/>
    </row>
    <row r="465" spans="4:19" x14ac:dyDescent="0.3">
      <c r="D465" s="29" t="s">
        <v>118</v>
      </c>
      <c r="E465" s="29" t="s">
        <v>44</v>
      </c>
      <c r="F465" s="71" t="s">
        <v>19</v>
      </c>
      <c r="G465" s="100" t="s">
        <v>20</v>
      </c>
      <c r="H465" s="71"/>
      <c r="I465" s="29"/>
      <c r="N465" s="145" t="s">
        <v>118</v>
      </c>
      <c r="O465" s="145" t="s">
        <v>44</v>
      </c>
      <c r="P465" s="146" t="s">
        <v>19</v>
      </c>
      <c r="Q465" s="146"/>
      <c r="R465" s="145"/>
      <c r="S465" s="145"/>
    </row>
    <row r="466" spans="4:19" x14ac:dyDescent="0.3">
      <c r="D466" s="29" t="s">
        <v>130</v>
      </c>
      <c r="E466" s="29" t="s">
        <v>23</v>
      </c>
      <c r="F466" s="71" t="s">
        <v>19</v>
      </c>
      <c r="G466" s="100"/>
      <c r="H466" s="71"/>
      <c r="I466" s="29"/>
      <c r="N466" s="145" t="s">
        <v>130</v>
      </c>
      <c r="O466" s="145" t="s">
        <v>23</v>
      </c>
      <c r="P466" s="146" t="s">
        <v>19</v>
      </c>
      <c r="Q466" s="146"/>
      <c r="R466" s="145"/>
      <c r="S466" s="145"/>
    </row>
    <row r="467" spans="4:19" x14ac:dyDescent="0.3">
      <c r="D467" s="29" t="s">
        <v>132</v>
      </c>
      <c r="E467" s="29" t="s">
        <v>133</v>
      </c>
      <c r="F467" s="71" t="s">
        <v>19</v>
      </c>
      <c r="G467" s="100"/>
      <c r="H467" s="71"/>
      <c r="I467" s="29"/>
      <c r="N467" s="145" t="s">
        <v>132</v>
      </c>
      <c r="O467" s="145" t="s">
        <v>133</v>
      </c>
      <c r="P467" s="146" t="s">
        <v>19</v>
      </c>
      <c r="Q467" s="146"/>
      <c r="R467" s="145"/>
      <c r="S467" s="145"/>
    </row>
    <row r="468" spans="4:19" x14ac:dyDescent="0.3">
      <c r="D468" s="29" t="s">
        <v>135</v>
      </c>
      <c r="E468" s="29" t="s">
        <v>133</v>
      </c>
      <c r="F468" s="71" t="s">
        <v>19</v>
      </c>
      <c r="G468" s="100"/>
      <c r="H468" s="71"/>
      <c r="I468" s="29"/>
      <c r="N468" s="145" t="s">
        <v>135</v>
      </c>
      <c r="O468" s="145" t="s">
        <v>133</v>
      </c>
      <c r="P468" s="146" t="s">
        <v>19</v>
      </c>
      <c r="Q468" s="146"/>
      <c r="R468" s="145"/>
      <c r="S468" s="145"/>
    </row>
    <row r="469" spans="4:19" x14ac:dyDescent="0.3">
      <c r="D469" s="29" t="s">
        <v>137</v>
      </c>
      <c r="E469" s="29" t="s">
        <v>23</v>
      </c>
      <c r="F469" s="71" t="s">
        <v>19</v>
      </c>
      <c r="G469" s="100"/>
      <c r="H469" s="71"/>
      <c r="I469" s="29"/>
      <c r="N469" s="145" t="s">
        <v>137</v>
      </c>
      <c r="O469" s="145" t="s">
        <v>23</v>
      </c>
      <c r="P469" s="146" t="s">
        <v>19</v>
      </c>
      <c r="Q469" s="146"/>
      <c r="R469" s="145"/>
      <c r="S469" s="145"/>
    </row>
    <row r="470" spans="4:19" x14ac:dyDescent="0.3">
      <c r="D470" s="29" t="s">
        <v>139</v>
      </c>
      <c r="E470" s="29" t="s">
        <v>133</v>
      </c>
      <c r="F470" s="71" t="s">
        <v>19</v>
      </c>
      <c r="G470" s="100"/>
      <c r="H470" s="71"/>
      <c r="I470" s="29"/>
      <c r="N470" s="145" t="s">
        <v>139</v>
      </c>
      <c r="O470" s="145" t="s">
        <v>133</v>
      </c>
      <c r="P470" s="146" t="s">
        <v>19</v>
      </c>
      <c r="Q470" s="146"/>
      <c r="R470" s="145"/>
      <c r="S470" s="145"/>
    </row>
    <row r="471" spans="4:19" x14ac:dyDescent="0.3">
      <c r="D471" s="29" t="s">
        <v>141</v>
      </c>
      <c r="E471" s="29" t="s">
        <v>44</v>
      </c>
      <c r="F471" s="71" t="s">
        <v>19</v>
      </c>
      <c r="G471" s="100" t="s">
        <v>20</v>
      </c>
      <c r="H471" s="71"/>
      <c r="I471" s="29"/>
      <c r="N471" s="145" t="s">
        <v>141</v>
      </c>
      <c r="O471" s="145" t="s">
        <v>44</v>
      </c>
      <c r="P471" s="146" t="s">
        <v>19</v>
      </c>
      <c r="Q471" s="146"/>
      <c r="R471" s="145"/>
      <c r="S471" s="145"/>
    </row>
    <row r="472" spans="4:19" x14ac:dyDescent="0.3">
      <c r="D472" s="29" t="s">
        <v>143</v>
      </c>
      <c r="E472" s="29" t="s">
        <v>44</v>
      </c>
      <c r="F472" s="71" t="s">
        <v>19</v>
      </c>
      <c r="G472" s="100" t="s">
        <v>20</v>
      </c>
      <c r="H472" s="71"/>
      <c r="I472" s="29"/>
      <c r="N472" s="145" t="s">
        <v>143</v>
      </c>
      <c r="O472" s="145" t="s">
        <v>44</v>
      </c>
      <c r="P472" s="146" t="s">
        <v>19</v>
      </c>
      <c r="Q472" s="146"/>
      <c r="R472" s="145"/>
      <c r="S472" s="145"/>
    </row>
    <row r="473" spans="4:19" x14ac:dyDescent="0.3">
      <c r="D473" s="29" t="s">
        <v>151</v>
      </c>
      <c r="E473" s="29" t="s">
        <v>36</v>
      </c>
      <c r="F473" s="71" t="s">
        <v>19</v>
      </c>
      <c r="G473" s="100"/>
      <c r="H473" s="71"/>
      <c r="I473" s="29"/>
      <c r="N473" s="145" t="s">
        <v>151</v>
      </c>
      <c r="O473" s="145" t="s">
        <v>36</v>
      </c>
      <c r="P473" s="146" t="s">
        <v>19</v>
      </c>
      <c r="Q473" s="146"/>
      <c r="R473" s="145"/>
      <c r="S473" s="145"/>
    </row>
    <row r="474" spans="4:19" x14ac:dyDescent="0.3">
      <c r="D474" s="29" t="s">
        <v>153</v>
      </c>
      <c r="E474" s="29" t="s">
        <v>96</v>
      </c>
      <c r="F474" s="71" t="s">
        <v>19</v>
      </c>
      <c r="G474" s="100"/>
      <c r="H474" s="71"/>
      <c r="I474" s="29"/>
      <c r="N474" s="145" t="s">
        <v>153</v>
      </c>
      <c r="O474" s="145" t="s">
        <v>96</v>
      </c>
      <c r="P474" s="146" t="s">
        <v>19</v>
      </c>
      <c r="Q474" s="146"/>
      <c r="R474" s="145"/>
      <c r="S474" s="145"/>
    </row>
    <row r="475" spans="4:19" x14ac:dyDescent="0.3">
      <c r="D475" s="29" t="s">
        <v>155</v>
      </c>
      <c r="E475" s="29" t="s">
        <v>112</v>
      </c>
      <c r="F475" s="71" t="s">
        <v>19</v>
      </c>
      <c r="G475" s="100"/>
      <c r="H475" s="71"/>
      <c r="I475" s="29"/>
      <c r="N475" s="145" t="s">
        <v>155</v>
      </c>
      <c r="O475" s="145" t="s">
        <v>112</v>
      </c>
      <c r="P475" s="146" t="s">
        <v>19</v>
      </c>
      <c r="Q475" s="146"/>
      <c r="R475" s="145"/>
      <c r="S475" s="145"/>
    </row>
    <row r="476" spans="4:19" x14ac:dyDescent="0.3">
      <c r="D476" s="29" t="s">
        <v>157</v>
      </c>
      <c r="E476" s="29" t="s">
        <v>96</v>
      </c>
      <c r="F476" s="71" t="s">
        <v>19</v>
      </c>
      <c r="G476" s="100"/>
      <c r="H476" s="71"/>
      <c r="I476" s="29"/>
      <c r="N476" s="145" t="s">
        <v>157</v>
      </c>
      <c r="O476" s="145" t="s">
        <v>96</v>
      </c>
      <c r="P476" s="146" t="s">
        <v>19</v>
      </c>
      <c r="Q476" s="146"/>
      <c r="R476" s="145"/>
      <c r="S476" s="145"/>
    </row>
    <row r="477" spans="4:19" x14ac:dyDescent="0.3">
      <c r="D477" s="29" t="s">
        <v>159</v>
      </c>
      <c r="E477" s="29" t="s">
        <v>96</v>
      </c>
      <c r="F477" s="71" t="s">
        <v>19</v>
      </c>
      <c r="G477" s="100"/>
      <c r="H477" s="71"/>
      <c r="I477" s="29"/>
      <c r="N477" s="145" t="s">
        <v>159</v>
      </c>
      <c r="O477" s="145" t="s">
        <v>96</v>
      </c>
      <c r="P477" s="146" t="s">
        <v>19</v>
      </c>
      <c r="Q477" s="146"/>
      <c r="R477" s="145"/>
      <c r="S477" s="145"/>
    </row>
    <row r="478" spans="4:19" x14ac:dyDescent="0.3">
      <c r="D478" s="29" t="s">
        <v>161</v>
      </c>
      <c r="E478" s="29" t="s">
        <v>99</v>
      </c>
      <c r="F478" s="71" t="s">
        <v>19</v>
      </c>
      <c r="G478" s="100"/>
      <c r="H478" s="71"/>
      <c r="I478" s="29"/>
      <c r="N478" s="145" t="s">
        <v>161</v>
      </c>
      <c r="O478" s="145" t="s">
        <v>99</v>
      </c>
      <c r="P478" s="146" t="s">
        <v>19</v>
      </c>
      <c r="Q478" s="146"/>
      <c r="R478" s="145"/>
      <c r="S478" s="145"/>
    </row>
    <row r="479" spans="4:19" x14ac:dyDescent="0.3">
      <c r="D479" s="29" t="s">
        <v>163</v>
      </c>
      <c r="E479" s="29" t="s">
        <v>99</v>
      </c>
      <c r="F479" s="71" t="s">
        <v>19</v>
      </c>
      <c r="G479" s="100"/>
      <c r="H479" s="71"/>
      <c r="I479" s="29"/>
      <c r="N479" s="145" t="s">
        <v>163</v>
      </c>
      <c r="O479" s="145" t="s">
        <v>99</v>
      </c>
      <c r="P479" s="146" t="s">
        <v>19</v>
      </c>
      <c r="Q479" s="146"/>
      <c r="R479" s="145"/>
      <c r="S479" s="145"/>
    </row>
    <row r="480" spans="4:19" x14ac:dyDescent="0.3">
      <c r="D480" s="29" t="s">
        <v>165</v>
      </c>
      <c r="E480" s="29" t="s">
        <v>99</v>
      </c>
      <c r="F480" s="71" t="s">
        <v>19</v>
      </c>
      <c r="G480" s="100"/>
      <c r="H480" s="71"/>
      <c r="I480" s="29"/>
      <c r="N480" s="145" t="s">
        <v>165</v>
      </c>
      <c r="O480" s="145" t="s">
        <v>99</v>
      </c>
      <c r="P480" s="146" t="s">
        <v>19</v>
      </c>
      <c r="Q480" s="146"/>
      <c r="R480" s="145"/>
      <c r="S480" s="145"/>
    </row>
    <row r="481" spans="4:19" x14ac:dyDescent="0.3">
      <c r="D481" s="29" t="s">
        <v>171</v>
      </c>
      <c r="E481" s="29" t="s">
        <v>23</v>
      </c>
      <c r="F481" s="71" t="s">
        <v>19</v>
      </c>
      <c r="G481" s="100"/>
      <c r="H481" s="71"/>
      <c r="I481" s="29"/>
      <c r="N481" s="145" t="s">
        <v>171</v>
      </c>
      <c r="O481" s="145" t="s">
        <v>23</v>
      </c>
      <c r="P481" s="146" t="s">
        <v>19</v>
      </c>
      <c r="Q481" s="146"/>
      <c r="R481" s="145"/>
      <c r="S481" s="145"/>
    </row>
    <row r="482" spans="4:19" x14ac:dyDescent="0.3">
      <c r="D482" s="29" t="s">
        <v>173</v>
      </c>
      <c r="E482" s="29" t="s">
        <v>39</v>
      </c>
      <c r="F482" s="71" t="s">
        <v>19</v>
      </c>
      <c r="G482" s="100"/>
      <c r="H482" s="71"/>
      <c r="I482" s="29"/>
      <c r="N482" s="145" t="s">
        <v>173</v>
      </c>
      <c r="O482" s="145" t="s">
        <v>39</v>
      </c>
      <c r="P482" s="146" t="s">
        <v>19</v>
      </c>
      <c r="Q482" s="146"/>
      <c r="R482" s="145"/>
      <c r="S482" s="145"/>
    </row>
    <row r="483" spans="4:19" x14ac:dyDescent="0.3">
      <c r="D483" s="29" t="s">
        <v>175</v>
      </c>
      <c r="E483" s="29" t="s">
        <v>23</v>
      </c>
      <c r="F483" s="71" t="s">
        <v>19</v>
      </c>
      <c r="G483" s="100"/>
      <c r="H483" s="71"/>
      <c r="I483" s="29"/>
      <c r="N483" s="145" t="s">
        <v>175</v>
      </c>
      <c r="O483" s="145" t="s">
        <v>23</v>
      </c>
      <c r="P483" s="146" t="s">
        <v>19</v>
      </c>
      <c r="Q483" s="146"/>
      <c r="R483" s="145"/>
      <c r="S483" s="145"/>
    </row>
    <row r="484" spans="4:19" x14ac:dyDescent="0.3">
      <c r="D484" s="29" t="s">
        <v>177</v>
      </c>
      <c r="E484" s="29" t="s">
        <v>39</v>
      </c>
      <c r="F484" s="71" t="s">
        <v>19</v>
      </c>
      <c r="G484" s="100"/>
      <c r="H484" s="71"/>
      <c r="I484" s="29"/>
      <c r="N484" s="145" t="s">
        <v>177</v>
      </c>
      <c r="O484" s="145" t="s">
        <v>39</v>
      </c>
      <c r="P484" s="146" t="s">
        <v>19</v>
      </c>
      <c r="Q484" s="146"/>
      <c r="R484" s="145"/>
      <c r="S484" s="145"/>
    </row>
    <row r="485" spans="4:19" x14ac:dyDescent="0.3">
      <c r="D485" s="29" t="s">
        <v>186</v>
      </c>
      <c r="E485" s="29" t="s">
        <v>44</v>
      </c>
      <c r="F485" s="71" t="s">
        <v>19</v>
      </c>
      <c r="G485" s="100"/>
      <c r="H485" s="71"/>
      <c r="I485" s="29"/>
      <c r="N485" s="145" t="s">
        <v>186</v>
      </c>
      <c r="O485" s="145" t="s">
        <v>44</v>
      </c>
      <c r="P485" s="146" t="s">
        <v>19</v>
      </c>
      <c r="Q485" s="146"/>
      <c r="R485" s="145"/>
      <c r="S485" s="145"/>
    </row>
    <row r="486" spans="4:19" x14ac:dyDescent="0.3">
      <c r="D486" s="29" t="s">
        <v>196</v>
      </c>
      <c r="E486" s="29" t="s">
        <v>23</v>
      </c>
      <c r="F486" s="71" t="s">
        <v>19</v>
      </c>
      <c r="G486" s="100"/>
      <c r="H486" s="71"/>
      <c r="I486" s="29"/>
      <c r="N486" s="145" t="s">
        <v>196</v>
      </c>
      <c r="O486" s="145" t="s">
        <v>23</v>
      </c>
      <c r="P486" s="146" t="s">
        <v>19</v>
      </c>
      <c r="Q486" s="146"/>
      <c r="R486" s="145"/>
      <c r="S486" s="145"/>
    </row>
    <row r="487" spans="4:19" x14ac:dyDescent="0.3">
      <c r="D487" s="29" t="s">
        <v>203</v>
      </c>
      <c r="E487" s="29" t="s">
        <v>23</v>
      </c>
      <c r="F487" s="71" t="s">
        <v>19</v>
      </c>
      <c r="G487" s="100"/>
      <c r="H487" s="71"/>
      <c r="I487" s="29"/>
      <c r="N487" s="145" t="s">
        <v>203</v>
      </c>
      <c r="O487" s="145" t="s">
        <v>23</v>
      </c>
      <c r="P487" s="146" t="s">
        <v>19</v>
      </c>
      <c r="Q487" s="146"/>
      <c r="R487" s="145"/>
      <c r="S487" s="145"/>
    </row>
    <row r="488" spans="4:19" x14ac:dyDescent="0.3">
      <c r="D488" s="29" t="s">
        <v>205</v>
      </c>
      <c r="E488" s="29" t="s">
        <v>23</v>
      </c>
      <c r="F488" s="71" t="s">
        <v>19</v>
      </c>
      <c r="G488" s="100"/>
      <c r="H488" s="71"/>
      <c r="I488" s="29"/>
      <c r="N488" s="145" t="s">
        <v>205</v>
      </c>
      <c r="O488" s="145" t="s">
        <v>23</v>
      </c>
      <c r="P488" s="146" t="s">
        <v>19</v>
      </c>
      <c r="Q488" s="146"/>
      <c r="R488" s="145"/>
      <c r="S488" s="145"/>
    </row>
    <row r="489" spans="4:19" x14ac:dyDescent="0.3">
      <c r="D489" s="29" t="s">
        <v>207</v>
      </c>
      <c r="E489" s="29" t="s">
        <v>44</v>
      </c>
      <c r="F489" s="71" t="s">
        <v>19</v>
      </c>
      <c r="G489" s="100" t="s">
        <v>20</v>
      </c>
      <c r="H489" s="71"/>
      <c r="I489" s="29"/>
      <c r="N489" s="145" t="s">
        <v>207</v>
      </c>
      <c r="O489" s="145" t="s">
        <v>44</v>
      </c>
      <c r="P489" s="146" t="s">
        <v>19</v>
      </c>
      <c r="Q489" s="146"/>
      <c r="R489" s="145"/>
      <c r="S489" s="145"/>
    </row>
    <row r="490" spans="4:19" x14ac:dyDescent="0.3">
      <c r="D490" s="29" t="s">
        <v>208</v>
      </c>
      <c r="E490" s="29" t="s">
        <v>44</v>
      </c>
      <c r="F490" s="71" t="s">
        <v>19</v>
      </c>
      <c r="G490" s="100" t="s">
        <v>20</v>
      </c>
      <c r="H490" s="71"/>
      <c r="I490" s="29"/>
      <c r="N490" s="145" t="s">
        <v>208</v>
      </c>
      <c r="O490" s="145" t="s">
        <v>44</v>
      </c>
      <c r="P490" s="146" t="s">
        <v>19</v>
      </c>
      <c r="Q490" s="146"/>
      <c r="R490" s="145"/>
      <c r="S490" s="145"/>
    </row>
    <row r="491" spans="4:19" x14ac:dyDescent="0.3">
      <c r="D491" s="29" t="s">
        <v>210</v>
      </c>
      <c r="E491" s="29" t="s">
        <v>44</v>
      </c>
      <c r="F491" s="71" t="s">
        <v>19</v>
      </c>
      <c r="G491" s="100" t="s">
        <v>20</v>
      </c>
      <c r="H491" s="71"/>
      <c r="I491" s="29"/>
      <c r="N491" s="145" t="s">
        <v>210</v>
      </c>
      <c r="O491" s="145" t="s">
        <v>44</v>
      </c>
      <c r="P491" s="146" t="s">
        <v>19</v>
      </c>
      <c r="Q491" s="146"/>
      <c r="R491" s="145"/>
      <c r="S491" s="145"/>
    </row>
    <row r="492" spans="4:19" x14ac:dyDescent="0.3">
      <c r="D492" s="29" t="s">
        <v>212</v>
      </c>
      <c r="E492" s="29" t="s">
        <v>44</v>
      </c>
      <c r="F492" s="71" t="s">
        <v>19</v>
      </c>
      <c r="G492" s="100" t="s">
        <v>20</v>
      </c>
      <c r="H492" s="71"/>
      <c r="I492" s="29"/>
      <c r="N492" s="145" t="s">
        <v>212</v>
      </c>
      <c r="O492" s="145" t="s">
        <v>44</v>
      </c>
      <c r="P492" s="146" t="s">
        <v>19</v>
      </c>
      <c r="Q492" s="146"/>
      <c r="R492" s="145"/>
      <c r="S492" s="145"/>
    </row>
    <row r="493" spans="4:19" x14ac:dyDescent="0.3">
      <c r="D493" s="29" t="s">
        <v>214</v>
      </c>
      <c r="E493" s="29" t="s">
        <v>60</v>
      </c>
      <c r="F493" s="71" t="s">
        <v>19</v>
      </c>
      <c r="G493" s="100"/>
      <c r="H493" s="71"/>
      <c r="I493" s="29"/>
      <c r="N493" s="145" t="s">
        <v>214</v>
      </c>
      <c r="O493" s="145" t="s">
        <v>60</v>
      </c>
      <c r="P493" s="146" t="s">
        <v>19</v>
      </c>
      <c r="Q493" s="146"/>
      <c r="R493" s="145"/>
      <c r="S493" s="145"/>
    </row>
    <row r="494" spans="4:19" x14ac:dyDescent="0.3">
      <c r="D494" s="29" t="s">
        <v>216</v>
      </c>
      <c r="E494" s="29" t="s">
        <v>60</v>
      </c>
      <c r="F494" s="71" t="s">
        <v>19</v>
      </c>
      <c r="G494" s="100"/>
      <c r="H494" s="71"/>
      <c r="I494" s="29"/>
      <c r="N494" s="145" t="s">
        <v>216</v>
      </c>
      <c r="O494" s="145" t="s">
        <v>60</v>
      </c>
      <c r="P494" s="146" t="s">
        <v>19</v>
      </c>
      <c r="Q494" s="146"/>
      <c r="R494" s="145"/>
      <c r="S494" s="145"/>
    </row>
    <row r="495" spans="4:19" x14ac:dyDescent="0.3">
      <c r="D495" s="29" t="s">
        <v>218</v>
      </c>
      <c r="E495" s="29" t="s">
        <v>60</v>
      </c>
      <c r="F495" s="71" t="s">
        <v>19</v>
      </c>
      <c r="G495" s="100"/>
      <c r="H495" s="71"/>
      <c r="I495" s="29"/>
      <c r="N495" s="145" t="s">
        <v>218</v>
      </c>
      <c r="O495" s="145" t="s">
        <v>60</v>
      </c>
      <c r="P495" s="146" t="s">
        <v>19</v>
      </c>
      <c r="Q495" s="146"/>
      <c r="R495" s="145"/>
      <c r="S495" s="145"/>
    </row>
    <row r="496" spans="4:19" x14ac:dyDescent="0.3">
      <c r="D496" s="29" t="s">
        <v>220</v>
      </c>
      <c r="E496" s="29" t="s">
        <v>60</v>
      </c>
      <c r="F496" s="71" t="s">
        <v>19</v>
      </c>
      <c r="G496" s="100"/>
      <c r="H496" s="71"/>
      <c r="I496" s="29"/>
      <c r="N496" s="145" t="s">
        <v>220</v>
      </c>
      <c r="O496" s="145" t="s">
        <v>60</v>
      </c>
      <c r="P496" s="146" t="s">
        <v>19</v>
      </c>
      <c r="Q496" s="146"/>
      <c r="R496" s="145"/>
      <c r="S496" s="145"/>
    </row>
    <row r="497" spans="4:19" x14ac:dyDescent="0.3">
      <c r="D497" s="29" t="s">
        <v>221</v>
      </c>
      <c r="E497" s="29" t="s">
        <v>60</v>
      </c>
      <c r="F497" s="71" t="s">
        <v>19</v>
      </c>
      <c r="G497" s="100"/>
      <c r="H497" s="71"/>
      <c r="I497" s="29"/>
      <c r="N497" s="145" t="s">
        <v>221</v>
      </c>
      <c r="O497" s="145" t="s">
        <v>60</v>
      </c>
      <c r="P497" s="146" t="s">
        <v>19</v>
      </c>
      <c r="Q497" s="146"/>
      <c r="R497" s="145"/>
      <c r="S497" s="145"/>
    </row>
    <row r="498" spans="4:19" x14ac:dyDescent="0.3">
      <c r="D498" s="29" t="s">
        <v>223</v>
      </c>
      <c r="E498" s="29" t="s">
        <v>60</v>
      </c>
      <c r="F498" s="71" t="s">
        <v>19</v>
      </c>
      <c r="G498" s="100"/>
      <c r="H498" s="71"/>
      <c r="I498" s="29"/>
      <c r="N498" s="145" t="s">
        <v>223</v>
      </c>
      <c r="O498" s="145" t="s">
        <v>60</v>
      </c>
      <c r="P498" s="146" t="s">
        <v>19</v>
      </c>
      <c r="Q498" s="146"/>
      <c r="R498" s="145"/>
      <c r="S498" s="145"/>
    </row>
    <row r="499" spans="4:19" x14ac:dyDescent="0.3">
      <c r="D499" s="29" t="s">
        <v>225</v>
      </c>
      <c r="E499" s="29" t="s">
        <v>60</v>
      </c>
      <c r="F499" s="71" t="s">
        <v>19</v>
      </c>
      <c r="G499" s="100"/>
      <c r="H499" s="71"/>
      <c r="I499" s="29"/>
      <c r="N499" s="145" t="s">
        <v>225</v>
      </c>
      <c r="O499" s="145" t="s">
        <v>60</v>
      </c>
      <c r="P499" s="146" t="s">
        <v>19</v>
      </c>
      <c r="Q499" s="146"/>
      <c r="R499" s="145"/>
      <c r="S499" s="145"/>
    </row>
    <row r="500" spans="4:19" x14ac:dyDescent="0.3">
      <c r="D500" s="29" t="s">
        <v>227</v>
      </c>
      <c r="E500" s="29" t="s">
        <v>60</v>
      </c>
      <c r="F500" s="71" t="s">
        <v>19</v>
      </c>
      <c r="G500" s="100"/>
      <c r="H500" s="71"/>
      <c r="I500" s="29"/>
      <c r="N500" s="145" t="s">
        <v>227</v>
      </c>
      <c r="O500" s="145" t="s">
        <v>60</v>
      </c>
      <c r="P500" s="146" t="s">
        <v>19</v>
      </c>
      <c r="Q500" s="146"/>
      <c r="R500" s="145"/>
      <c r="S500" s="145"/>
    </row>
    <row r="501" spans="4:19" x14ac:dyDescent="0.3">
      <c r="D501" s="29" t="s">
        <v>229</v>
      </c>
      <c r="E501" s="29" t="s">
        <v>60</v>
      </c>
      <c r="F501" s="71" t="s">
        <v>19</v>
      </c>
      <c r="G501" s="100"/>
      <c r="H501" s="71"/>
      <c r="I501" s="29"/>
      <c r="N501" s="145" t="s">
        <v>229</v>
      </c>
      <c r="O501" s="145" t="s">
        <v>60</v>
      </c>
      <c r="P501" s="146" t="s">
        <v>19</v>
      </c>
      <c r="Q501" s="146"/>
      <c r="R501" s="145"/>
      <c r="S501" s="145"/>
    </row>
    <row r="502" spans="4:19" x14ac:dyDescent="0.3">
      <c r="D502" s="29" t="s">
        <v>231</v>
      </c>
      <c r="E502" s="29" t="s">
        <v>60</v>
      </c>
      <c r="F502" s="71" t="s">
        <v>19</v>
      </c>
      <c r="G502" s="100"/>
      <c r="H502" s="71"/>
      <c r="I502" s="29"/>
      <c r="N502" s="145" t="s">
        <v>231</v>
      </c>
      <c r="O502" s="145" t="s">
        <v>60</v>
      </c>
      <c r="P502" s="146" t="s">
        <v>19</v>
      </c>
      <c r="Q502" s="146"/>
      <c r="R502" s="145"/>
      <c r="S502" s="145"/>
    </row>
    <row r="503" spans="4:19" x14ac:dyDescent="0.3">
      <c r="D503" s="29" t="s">
        <v>233</v>
      </c>
      <c r="E503" s="29" t="s">
        <v>60</v>
      </c>
      <c r="F503" s="71" t="s">
        <v>19</v>
      </c>
      <c r="G503" s="100"/>
      <c r="H503" s="71"/>
      <c r="I503" s="29"/>
      <c r="N503" s="145" t="s">
        <v>233</v>
      </c>
      <c r="O503" s="145" t="s">
        <v>60</v>
      </c>
      <c r="P503" s="146" t="s">
        <v>19</v>
      </c>
      <c r="Q503" s="146"/>
      <c r="R503" s="145"/>
      <c r="S503" s="145"/>
    </row>
    <row r="504" spans="4:19" x14ac:dyDescent="0.3">
      <c r="D504" s="29" t="s">
        <v>234</v>
      </c>
      <c r="E504" s="29" t="s">
        <v>23</v>
      </c>
      <c r="F504" s="71" t="s">
        <v>19</v>
      </c>
      <c r="G504" s="100"/>
      <c r="H504" s="71"/>
      <c r="I504" s="29"/>
      <c r="N504" s="145" t="s">
        <v>234</v>
      </c>
      <c r="O504" s="145" t="s">
        <v>23</v>
      </c>
      <c r="P504" s="146" t="s">
        <v>19</v>
      </c>
      <c r="Q504" s="146"/>
      <c r="R504" s="145"/>
      <c r="S504" s="145"/>
    </row>
    <row r="505" spans="4:19" x14ac:dyDescent="0.3">
      <c r="D505" s="29" t="s">
        <v>236</v>
      </c>
      <c r="E505" s="29" t="s">
        <v>39</v>
      </c>
      <c r="F505" s="71" t="s">
        <v>19</v>
      </c>
      <c r="G505" s="100"/>
      <c r="H505" s="71"/>
      <c r="I505" s="29"/>
      <c r="N505" s="145" t="s">
        <v>236</v>
      </c>
      <c r="O505" s="145" t="s">
        <v>39</v>
      </c>
      <c r="P505" s="146" t="s">
        <v>19</v>
      </c>
      <c r="Q505" s="146"/>
      <c r="R505" s="145"/>
      <c r="S505" s="145"/>
    </row>
    <row r="506" spans="4:19" x14ac:dyDescent="0.3">
      <c r="D506" s="29" t="s">
        <v>238</v>
      </c>
      <c r="E506" s="29" t="s">
        <v>239</v>
      </c>
      <c r="F506" s="71" t="s">
        <v>19</v>
      </c>
      <c r="G506" s="100"/>
      <c r="H506" s="71"/>
      <c r="I506" s="29"/>
      <c r="N506" s="145" t="s">
        <v>238</v>
      </c>
      <c r="O506" s="145" t="s">
        <v>239</v>
      </c>
      <c r="P506" s="146" t="s">
        <v>19</v>
      </c>
      <c r="Q506" s="146"/>
      <c r="R506" s="145"/>
      <c r="S506" s="145"/>
    </row>
    <row r="507" spans="4:19" x14ac:dyDescent="0.3">
      <c r="D507" s="29" t="s">
        <v>241</v>
      </c>
      <c r="E507" s="29" t="s">
        <v>23</v>
      </c>
      <c r="F507" s="71" t="s">
        <v>19</v>
      </c>
      <c r="G507" s="100"/>
      <c r="H507" s="71"/>
      <c r="I507" s="29"/>
      <c r="N507" s="145" t="s">
        <v>241</v>
      </c>
      <c r="O507" s="145" t="s">
        <v>23</v>
      </c>
      <c r="P507" s="146" t="s">
        <v>19</v>
      </c>
      <c r="Q507" s="146"/>
      <c r="R507" s="145"/>
      <c r="S507" s="145"/>
    </row>
    <row r="508" spans="4:19" x14ac:dyDescent="0.3">
      <c r="D508" s="29" t="s">
        <v>243</v>
      </c>
      <c r="E508" s="29" t="s">
        <v>239</v>
      </c>
      <c r="F508" s="71" t="s">
        <v>19</v>
      </c>
      <c r="G508" s="100"/>
      <c r="H508" s="71"/>
      <c r="I508" s="29"/>
      <c r="N508" s="145" t="s">
        <v>243</v>
      </c>
      <c r="O508" s="145" t="s">
        <v>239</v>
      </c>
      <c r="P508" s="146" t="s">
        <v>19</v>
      </c>
      <c r="Q508" s="146"/>
      <c r="R508" s="145"/>
      <c r="S508" s="145"/>
    </row>
    <row r="509" spans="4:19" x14ac:dyDescent="0.3">
      <c r="D509" s="29" t="s">
        <v>91</v>
      </c>
      <c r="E509" s="29" t="s">
        <v>36</v>
      </c>
      <c r="F509" s="71" t="s">
        <v>19</v>
      </c>
      <c r="G509" s="100"/>
      <c r="H509" s="71"/>
      <c r="I509" s="29"/>
      <c r="N509" s="145" t="s">
        <v>91</v>
      </c>
      <c r="O509" s="145" t="s">
        <v>36</v>
      </c>
      <c r="P509" s="146" t="s">
        <v>19</v>
      </c>
      <c r="Q509" s="146"/>
      <c r="R509" s="145"/>
      <c r="S509" s="145"/>
    </row>
    <row r="510" spans="4:19" x14ac:dyDescent="0.3">
      <c r="D510" s="29" t="s">
        <v>1155</v>
      </c>
      <c r="E510" s="29" t="s">
        <v>239</v>
      </c>
      <c r="F510" s="71" t="s">
        <v>19</v>
      </c>
      <c r="G510" s="100"/>
      <c r="H510" s="71"/>
      <c r="I510" s="29"/>
      <c r="N510" s="145" t="s">
        <v>1155</v>
      </c>
      <c r="O510" s="145" t="s">
        <v>239</v>
      </c>
      <c r="P510" s="146" t="s">
        <v>19</v>
      </c>
      <c r="Q510" s="146"/>
      <c r="R510" s="145"/>
      <c r="S510" s="145"/>
    </row>
    <row r="511" spans="4:19" x14ac:dyDescent="0.3">
      <c r="D511" s="29" t="s">
        <v>245</v>
      </c>
      <c r="E511" s="29" t="s">
        <v>23</v>
      </c>
      <c r="F511" s="71" t="s">
        <v>19</v>
      </c>
      <c r="G511" s="100"/>
      <c r="H511" s="71"/>
      <c r="I511" s="29" t="s">
        <v>246</v>
      </c>
      <c r="N511" s="145" t="s">
        <v>245</v>
      </c>
      <c r="O511" s="145" t="s">
        <v>23</v>
      </c>
      <c r="P511" s="146" t="s">
        <v>19</v>
      </c>
      <c r="Q511" s="146"/>
      <c r="R511" s="145"/>
      <c r="S511" s="145" t="s">
        <v>1389</v>
      </c>
    </row>
    <row r="512" spans="4:19" x14ac:dyDescent="0.3">
      <c r="D512" s="29" t="s">
        <v>247</v>
      </c>
      <c r="E512" s="29" t="s">
        <v>23</v>
      </c>
      <c r="F512" s="71" t="s">
        <v>19</v>
      </c>
      <c r="G512" s="100"/>
      <c r="H512" s="71"/>
      <c r="I512" s="29" t="s">
        <v>248</v>
      </c>
      <c r="N512" s="145" t="s">
        <v>247</v>
      </c>
      <c r="O512" s="145" t="s">
        <v>23</v>
      </c>
      <c r="P512" s="146" t="s">
        <v>19</v>
      </c>
      <c r="Q512" s="146"/>
      <c r="R512" s="145"/>
      <c r="S512" s="145" t="s">
        <v>248</v>
      </c>
    </row>
    <row r="513" spans="4:19" x14ac:dyDescent="0.3">
      <c r="D513" s="29" t="s">
        <v>262</v>
      </c>
      <c r="E513" s="29" t="s">
        <v>23</v>
      </c>
      <c r="F513" s="71" t="s">
        <v>19</v>
      </c>
      <c r="G513" s="100"/>
      <c r="H513" s="71"/>
      <c r="I513" s="29" t="s">
        <v>263</v>
      </c>
      <c r="N513" s="148" t="s">
        <v>262</v>
      </c>
      <c r="O513" s="148" t="s">
        <v>23</v>
      </c>
      <c r="P513" s="149" t="s">
        <v>19</v>
      </c>
      <c r="Q513" s="149"/>
      <c r="R513" s="148"/>
      <c r="S513" s="148" t="s">
        <v>263</v>
      </c>
    </row>
    <row r="514" spans="4:19" x14ac:dyDescent="0.3">
      <c r="D514" s="29" t="s">
        <v>296</v>
      </c>
      <c r="E514" s="29" t="s">
        <v>44</v>
      </c>
      <c r="F514" s="71" t="s">
        <v>19</v>
      </c>
      <c r="G514" s="100"/>
      <c r="H514" s="71"/>
      <c r="I514" s="29"/>
    </row>
    <row r="515" spans="4:19" x14ac:dyDescent="0.3">
      <c r="D515" s="29" t="s">
        <v>297</v>
      </c>
      <c r="E515" s="29" t="s">
        <v>239</v>
      </c>
      <c r="F515" s="71" t="s">
        <v>19</v>
      </c>
      <c r="G515" s="100"/>
      <c r="H515" s="71"/>
      <c r="I515" s="29"/>
    </row>
    <row r="516" spans="4:19" x14ac:dyDescent="0.3">
      <c r="D516" s="38" t="s">
        <v>264</v>
      </c>
      <c r="E516" s="38" t="s">
        <v>44</v>
      </c>
      <c r="F516" s="72" t="s">
        <v>19</v>
      </c>
      <c r="G516" s="101"/>
      <c r="H516" s="72"/>
      <c r="I516" s="38"/>
    </row>
    <row r="518" spans="4:19" x14ac:dyDescent="0.3">
      <c r="D518" s="10" t="s">
        <v>1416</v>
      </c>
      <c r="N518" s="10" t="s">
        <v>1390</v>
      </c>
      <c r="Q518" s="18"/>
    </row>
    <row r="519" spans="4:19" x14ac:dyDescent="0.3">
      <c r="D519" s="125" t="s">
        <v>85</v>
      </c>
      <c r="E519" s="125" t="s">
        <v>0</v>
      </c>
      <c r="F519" s="125" t="s">
        <v>1</v>
      </c>
      <c r="G519" s="125" t="s">
        <v>2</v>
      </c>
      <c r="H519" s="125" t="s">
        <v>21</v>
      </c>
      <c r="I519" s="125" t="s">
        <v>3</v>
      </c>
      <c r="N519" s="43" t="s">
        <v>85</v>
      </c>
      <c r="O519" s="43" t="s">
        <v>0</v>
      </c>
      <c r="P519" s="43" t="s">
        <v>1</v>
      </c>
      <c r="Q519" s="43" t="s">
        <v>2</v>
      </c>
      <c r="R519" s="43" t="s">
        <v>21</v>
      </c>
      <c r="S519" s="43" t="s">
        <v>3</v>
      </c>
    </row>
    <row r="520" spans="4:19" x14ac:dyDescent="0.3">
      <c r="D520" s="117" t="s">
        <v>713</v>
      </c>
      <c r="E520" s="117" t="s">
        <v>23</v>
      </c>
      <c r="F520" s="118"/>
      <c r="G520" s="119"/>
      <c r="H520" s="118">
        <v>1</v>
      </c>
      <c r="I520" s="117" t="s">
        <v>767</v>
      </c>
      <c r="N520" s="142" t="s">
        <v>713</v>
      </c>
      <c r="O520" s="142" t="s">
        <v>23</v>
      </c>
      <c r="P520" s="143" t="s">
        <v>24</v>
      </c>
      <c r="Q520" s="144"/>
      <c r="R520" s="143">
        <v>1</v>
      </c>
      <c r="S520" s="142" t="s">
        <v>767</v>
      </c>
    </row>
    <row r="521" spans="4:19" x14ac:dyDescent="0.3">
      <c r="D521" s="97" t="s">
        <v>26</v>
      </c>
      <c r="E521" s="97" t="s">
        <v>23</v>
      </c>
      <c r="F521" s="98"/>
      <c r="G521" s="99"/>
      <c r="H521" s="98">
        <v>2</v>
      </c>
      <c r="I521" s="97" t="s">
        <v>27</v>
      </c>
      <c r="N521" s="151" t="s">
        <v>26</v>
      </c>
      <c r="O521" s="151" t="s">
        <v>23</v>
      </c>
      <c r="P521" s="152" t="s">
        <v>24</v>
      </c>
      <c r="Q521" s="152"/>
      <c r="R521" s="152">
        <v>2</v>
      </c>
      <c r="S521" s="151" t="s">
        <v>27</v>
      </c>
    </row>
    <row r="522" spans="4:19" x14ac:dyDescent="0.3">
      <c r="D522" s="97" t="s">
        <v>28</v>
      </c>
      <c r="E522" s="97" t="s">
        <v>23</v>
      </c>
      <c r="F522" s="98"/>
      <c r="G522" s="99" t="s">
        <v>83</v>
      </c>
      <c r="H522" s="98">
        <v>3</v>
      </c>
      <c r="I522" s="97" t="s">
        <v>29</v>
      </c>
      <c r="N522" s="151" t="s">
        <v>28</v>
      </c>
      <c r="O522" s="151" t="s">
        <v>23</v>
      </c>
      <c r="P522" s="152" t="s">
        <v>24</v>
      </c>
      <c r="Q522" s="152" t="s">
        <v>325</v>
      </c>
      <c r="R522" s="152">
        <v>3</v>
      </c>
      <c r="S522" s="151" t="s">
        <v>29</v>
      </c>
    </row>
    <row r="523" spans="4:19" x14ac:dyDescent="0.3">
      <c r="D523" s="29" t="s">
        <v>30</v>
      </c>
      <c r="E523" s="29" t="s">
        <v>31</v>
      </c>
      <c r="F523" s="71"/>
      <c r="G523" s="100"/>
      <c r="H523" s="71"/>
      <c r="I523" s="29" t="s">
        <v>32</v>
      </c>
      <c r="N523" s="145" t="s">
        <v>30</v>
      </c>
      <c r="O523" s="145" t="s">
        <v>31</v>
      </c>
      <c r="P523" s="146" t="s">
        <v>24</v>
      </c>
      <c r="Q523" s="146"/>
      <c r="R523" s="145"/>
      <c r="S523" s="145" t="s">
        <v>32</v>
      </c>
    </row>
    <row r="524" spans="4:19" x14ac:dyDescent="0.3">
      <c r="D524" s="29" t="s">
        <v>1159</v>
      </c>
      <c r="E524" s="29" t="s">
        <v>23</v>
      </c>
      <c r="F524" s="71" t="s">
        <v>19</v>
      </c>
      <c r="G524" s="100"/>
      <c r="H524" s="71"/>
      <c r="I524" s="29" t="s">
        <v>1160</v>
      </c>
      <c r="N524" s="145" t="s">
        <v>1159</v>
      </c>
      <c r="O524" s="145" t="s">
        <v>23</v>
      </c>
      <c r="P524" s="146" t="s">
        <v>19</v>
      </c>
      <c r="Q524" s="146"/>
      <c r="R524" s="145"/>
      <c r="S524" s="145" t="s">
        <v>1160</v>
      </c>
    </row>
    <row r="525" spans="4:19" x14ac:dyDescent="0.3">
      <c r="D525" s="29" t="s">
        <v>35</v>
      </c>
      <c r="E525" s="29" t="s">
        <v>36</v>
      </c>
      <c r="F525" s="71"/>
      <c r="G525" s="100"/>
      <c r="H525" s="71"/>
      <c r="I525" s="29" t="s">
        <v>37</v>
      </c>
      <c r="N525" s="145" t="s">
        <v>35</v>
      </c>
      <c r="O525" s="145" t="s">
        <v>36</v>
      </c>
      <c r="P525" s="146" t="s">
        <v>24</v>
      </c>
      <c r="Q525" s="146"/>
      <c r="R525" s="145"/>
      <c r="S525" s="145" t="s">
        <v>37</v>
      </c>
    </row>
    <row r="526" spans="4:19" x14ac:dyDescent="0.3">
      <c r="D526" s="29" t="s">
        <v>38</v>
      </c>
      <c r="E526" s="29" t="s">
        <v>39</v>
      </c>
      <c r="F526" s="71"/>
      <c r="G526" s="100"/>
      <c r="H526" s="71"/>
      <c r="I526" s="29" t="s">
        <v>15</v>
      </c>
      <c r="N526" s="145" t="s">
        <v>38</v>
      </c>
      <c r="O526" s="145" t="s">
        <v>39</v>
      </c>
      <c r="P526" s="146" t="s">
        <v>24</v>
      </c>
      <c r="Q526" s="146"/>
      <c r="R526" s="145"/>
      <c r="S526" s="145" t="s">
        <v>15</v>
      </c>
    </row>
    <row r="527" spans="4:19" x14ac:dyDescent="0.3">
      <c r="D527" s="29" t="s">
        <v>40</v>
      </c>
      <c r="E527" s="29" t="s">
        <v>39</v>
      </c>
      <c r="F527" s="71"/>
      <c r="G527" s="100"/>
      <c r="H527" s="71"/>
      <c r="I527" s="29" t="s">
        <v>14</v>
      </c>
      <c r="N527" s="145" t="s">
        <v>40</v>
      </c>
      <c r="O527" s="145" t="s">
        <v>39</v>
      </c>
      <c r="P527" s="146" t="s">
        <v>24</v>
      </c>
      <c r="Q527" s="146"/>
      <c r="R527" s="145"/>
      <c r="S527" s="145" t="s">
        <v>14</v>
      </c>
    </row>
    <row r="528" spans="4:19" x14ac:dyDescent="0.3">
      <c r="D528" s="29" t="s">
        <v>41</v>
      </c>
      <c r="E528" s="29" t="s">
        <v>42</v>
      </c>
      <c r="F528" s="71" t="s">
        <v>19</v>
      </c>
      <c r="G528" s="100"/>
      <c r="H528" s="71"/>
      <c r="I528" s="29" t="s">
        <v>16</v>
      </c>
      <c r="N528" s="145" t="s">
        <v>41</v>
      </c>
      <c r="O528" s="145" t="s">
        <v>42</v>
      </c>
      <c r="P528" s="146" t="s">
        <v>19</v>
      </c>
      <c r="Q528" s="146"/>
      <c r="R528" s="145"/>
      <c r="S528" s="145" t="s">
        <v>16</v>
      </c>
    </row>
    <row r="529" spans="4:19" x14ac:dyDescent="0.3">
      <c r="D529" s="29" t="s">
        <v>43</v>
      </c>
      <c r="E529" s="29" t="s">
        <v>44</v>
      </c>
      <c r="F529" s="71" t="s">
        <v>19</v>
      </c>
      <c r="G529" s="100"/>
      <c r="H529" s="71"/>
      <c r="I529" s="29" t="s">
        <v>45</v>
      </c>
      <c r="N529" s="145" t="s">
        <v>43</v>
      </c>
      <c r="O529" s="145" t="s">
        <v>44</v>
      </c>
      <c r="P529" s="146" t="s">
        <v>19</v>
      </c>
      <c r="Q529" s="146"/>
      <c r="R529" s="145"/>
      <c r="S529" s="145" t="s">
        <v>45</v>
      </c>
    </row>
    <row r="530" spans="4:19" ht="27" x14ac:dyDescent="0.3">
      <c r="D530" s="29" t="s">
        <v>46</v>
      </c>
      <c r="E530" s="29" t="s">
        <v>47</v>
      </c>
      <c r="F530" s="71"/>
      <c r="G530" s="25" t="s">
        <v>1415</v>
      </c>
      <c r="H530" s="71"/>
      <c r="I530" s="29" t="s">
        <v>48</v>
      </c>
      <c r="N530" s="145" t="s">
        <v>46</v>
      </c>
      <c r="O530" s="145" t="s">
        <v>47</v>
      </c>
      <c r="P530" s="146" t="s">
        <v>24</v>
      </c>
      <c r="Q530" s="147" t="s">
        <v>1391</v>
      </c>
      <c r="R530" s="145"/>
      <c r="S530" s="145" t="s">
        <v>48</v>
      </c>
    </row>
    <row r="531" spans="4:19" x14ac:dyDescent="0.3">
      <c r="D531" s="29" t="s">
        <v>49</v>
      </c>
      <c r="E531" s="29" t="s">
        <v>23</v>
      </c>
      <c r="F531" s="71"/>
      <c r="G531" s="100"/>
      <c r="H531" s="71"/>
      <c r="I531" s="29" t="s">
        <v>50</v>
      </c>
      <c r="N531" s="145" t="s">
        <v>49</v>
      </c>
      <c r="O531" s="145" t="s">
        <v>23</v>
      </c>
      <c r="P531" s="146" t="s">
        <v>24</v>
      </c>
      <c r="Q531" s="146"/>
      <c r="R531" s="145"/>
      <c r="S531" s="145" t="s">
        <v>50</v>
      </c>
    </row>
    <row r="532" spans="4:19" x14ac:dyDescent="0.3">
      <c r="D532" s="29" t="s">
        <v>51</v>
      </c>
      <c r="E532" s="29" t="s">
        <v>47</v>
      </c>
      <c r="F532" s="71" t="s">
        <v>19</v>
      </c>
      <c r="G532" s="100"/>
      <c r="H532" s="71"/>
      <c r="I532" s="29" t="s">
        <v>52</v>
      </c>
      <c r="N532" s="145" t="s">
        <v>51</v>
      </c>
      <c r="O532" s="145" t="s">
        <v>47</v>
      </c>
      <c r="P532" s="146" t="s">
        <v>19</v>
      </c>
      <c r="Q532" s="146"/>
      <c r="R532" s="145"/>
      <c r="S532" s="145" t="s">
        <v>52</v>
      </c>
    </row>
    <row r="533" spans="4:19" x14ac:dyDescent="0.3">
      <c r="D533" s="29" t="s">
        <v>53</v>
      </c>
      <c r="E533" s="29" t="s">
        <v>23</v>
      </c>
      <c r="F533" s="71" t="s">
        <v>19</v>
      </c>
      <c r="G533" s="100"/>
      <c r="H533" s="71"/>
      <c r="I533" s="29" t="s">
        <v>54</v>
      </c>
      <c r="N533" s="145" t="s">
        <v>53</v>
      </c>
      <c r="O533" s="145" t="s">
        <v>23</v>
      </c>
      <c r="P533" s="146" t="s">
        <v>19</v>
      </c>
      <c r="Q533" s="146"/>
      <c r="R533" s="145"/>
      <c r="S533" s="145" t="s">
        <v>54</v>
      </c>
    </row>
    <row r="534" spans="4:19" x14ac:dyDescent="0.3">
      <c r="D534" s="29" t="s">
        <v>55</v>
      </c>
      <c r="E534" s="29" t="s">
        <v>47</v>
      </c>
      <c r="F534" s="71" t="s">
        <v>19</v>
      </c>
      <c r="G534" s="100"/>
      <c r="H534" s="71"/>
      <c r="I534" s="29" t="s">
        <v>56</v>
      </c>
      <c r="N534" s="145" t="s">
        <v>55</v>
      </c>
      <c r="O534" s="145" t="s">
        <v>47</v>
      </c>
      <c r="P534" s="146" t="s">
        <v>19</v>
      </c>
      <c r="Q534" s="146"/>
      <c r="R534" s="145"/>
      <c r="S534" s="145" t="s">
        <v>56</v>
      </c>
    </row>
    <row r="535" spans="4:19" x14ac:dyDescent="0.3">
      <c r="D535" s="29" t="s">
        <v>57</v>
      </c>
      <c r="E535" s="29" t="s">
        <v>23</v>
      </c>
      <c r="F535" s="71" t="s">
        <v>19</v>
      </c>
      <c r="G535" s="100"/>
      <c r="H535" s="71"/>
      <c r="I535" s="29" t="s">
        <v>58</v>
      </c>
      <c r="N535" s="145" t="s">
        <v>57</v>
      </c>
      <c r="O535" s="145" t="s">
        <v>23</v>
      </c>
      <c r="P535" s="146" t="s">
        <v>19</v>
      </c>
      <c r="Q535" s="146"/>
      <c r="R535" s="145"/>
      <c r="S535" s="145" t="s">
        <v>58</v>
      </c>
    </row>
    <row r="536" spans="4:19" x14ac:dyDescent="0.3">
      <c r="D536" s="29" t="s">
        <v>59</v>
      </c>
      <c r="E536" s="29" t="s">
        <v>60</v>
      </c>
      <c r="F536" s="71" t="s">
        <v>19</v>
      </c>
      <c r="G536" s="100"/>
      <c r="H536" s="71"/>
      <c r="I536" s="29"/>
      <c r="N536" s="145" t="s">
        <v>59</v>
      </c>
      <c r="O536" s="145" t="s">
        <v>60</v>
      </c>
      <c r="P536" s="146" t="s">
        <v>19</v>
      </c>
      <c r="Q536" s="146"/>
      <c r="R536" s="145"/>
      <c r="S536" s="145"/>
    </row>
    <row r="537" spans="4:19" x14ac:dyDescent="0.3">
      <c r="D537" s="29" t="s">
        <v>62</v>
      </c>
      <c r="E537" s="29" t="s">
        <v>60</v>
      </c>
      <c r="F537" s="71" t="s">
        <v>19</v>
      </c>
      <c r="G537" s="100"/>
      <c r="H537" s="71"/>
      <c r="I537" s="29"/>
      <c r="N537" s="145" t="s">
        <v>62</v>
      </c>
      <c r="O537" s="145" t="s">
        <v>60</v>
      </c>
      <c r="P537" s="146" t="s">
        <v>19</v>
      </c>
      <c r="Q537" s="146"/>
      <c r="R537" s="145"/>
      <c r="S537" s="145"/>
    </row>
    <row r="538" spans="4:19" x14ac:dyDescent="0.3">
      <c r="D538" s="29" t="s">
        <v>64</v>
      </c>
      <c r="E538" s="29" t="s">
        <v>60</v>
      </c>
      <c r="F538" s="71" t="s">
        <v>19</v>
      </c>
      <c r="G538" s="100"/>
      <c r="H538" s="71"/>
      <c r="I538" s="29"/>
      <c r="N538" s="145" t="s">
        <v>64</v>
      </c>
      <c r="O538" s="145" t="s">
        <v>60</v>
      </c>
      <c r="P538" s="146" t="s">
        <v>19</v>
      </c>
      <c r="Q538" s="146"/>
      <c r="R538" s="145"/>
      <c r="S538" s="145"/>
    </row>
    <row r="539" spans="4:19" x14ac:dyDescent="0.3">
      <c r="D539" s="29" t="s">
        <v>66</v>
      </c>
      <c r="E539" s="29" t="s">
        <v>60</v>
      </c>
      <c r="F539" s="71" t="s">
        <v>19</v>
      </c>
      <c r="G539" s="100"/>
      <c r="H539" s="71"/>
      <c r="I539" s="29"/>
      <c r="N539" s="145" t="s">
        <v>66</v>
      </c>
      <c r="O539" s="145" t="s">
        <v>60</v>
      </c>
      <c r="P539" s="146" t="s">
        <v>19</v>
      </c>
      <c r="Q539" s="146"/>
      <c r="R539" s="145"/>
      <c r="S539" s="145"/>
    </row>
    <row r="540" spans="4:19" x14ac:dyDescent="0.3">
      <c r="D540" s="29" t="s">
        <v>67</v>
      </c>
      <c r="E540" s="29" t="s">
        <v>60</v>
      </c>
      <c r="F540" s="71" t="s">
        <v>19</v>
      </c>
      <c r="G540" s="100"/>
      <c r="H540" s="71"/>
      <c r="I540" s="29"/>
      <c r="N540" s="145" t="s">
        <v>67</v>
      </c>
      <c r="O540" s="145" t="s">
        <v>60</v>
      </c>
      <c r="P540" s="146" t="s">
        <v>19</v>
      </c>
      <c r="Q540" s="146"/>
      <c r="R540" s="145"/>
      <c r="S540" s="145"/>
    </row>
    <row r="541" spans="4:19" x14ac:dyDescent="0.3">
      <c r="D541" s="29" t="s">
        <v>214</v>
      </c>
      <c r="E541" s="29" t="s">
        <v>60</v>
      </c>
      <c r="F541" s="71" t="s">
        <v>19</v>
      </c>
      <c r="G541" s="100"/>
      <c r="H541" s="71"/>
      <c r="I541" s="29"/>
      <c r="N541" s="145" t="s">
        <v>214</v>
      </c>
      <c r="O541" s="145" t="s">
        <v>60</v>
      </c>
      <c r="P541" s="146" t="s">
        <v>19</v>
      </c>
      <c r="Q541" s="146"/>
      <c r="R541" s="145"/>
      <c r="S541" s="145"/>
    </row>
    <row r="542" spans="4:19" x14ac:dyDescent="0.3">
      <c r="D542" s="38" t="s">
        <v>1161</v>
      </c>
      <c r="E542" s="38" t="s">
        <v>36</v>
      </c>
      <c r="F542" s="72" t="s">
        <v>19</v>
      </c>
      <c r="G542" s="101"/>
      <c r="H542" s="72"/>
      <c r="I542" s="38"/>
      <c r="N542" s="148" t="s">
        <v>1161</v>
      </c>
      <c r="O542" s="148" t="s">
        <v>36</v>
      </c>
      <c r="P542" s="149" t="s">
        <v>19</v>
      </c>
      <c r="Q542" s="149"/>
      <c r="R542" s="148"/>
      <c r="S542" s="148"/>
    </row>
    <row r="543" spans="4:19" ht="17.25" hidden="1" customHeight="1" x14ac:dyDescent="0.3">
      <c r="D543" s="155" t="s">
        <v>1109</v>
      </c>
      <c r="E543" s="155" t="s">
        <v>23</v>
      </c>
      <c r="F543" s="156" t="s">
        <v>19</v>
      </c>
      <c r="G543" s="157"/>
      <c r="H543" s="156"/>
      <c r="I543" s="155" t="s">
        <v>1110</v>
      </c>
    </row>
    <row r="544" spans="4:19" hidden="1" x14ac:dyDescent="0.3">
      <c r="D544" s="29" t="s">
        <v>28</v>
      </c>
      <c r="E544" s="29" t="s">
        <v>23</v>
      </c>
      <c r="F544" s="71" t="s">
        <v>19</v>
      </c>
      <c r="G544" s="100" t="s">
        <v>83</v>
      </c>
      <c r="H544" s="71"/>
      <c r="I544" s="29"/>
    </row>
    <row r="545" spans="4:9" hidden="1" x14ac:dyDescent="0.3">
      <c r="D545" s="29" t="s">
        <v>663</v>
      </c>
      <c r="E545" s="29" t="s">
        <v>23</v>
      </c>
      <c r="F545" s="71"/>
      <c r="G545" s="100"/>
      <c r="H545" s="71"/>
      <c r="I545" s="29"/>
    </row>
    <row r="546" spans="4:9" hidden="1" x14ac:dyDescent="0.3">
      <c r="D546" s="29" t="s">
        <v>717</v>
      </c>
      <c r="E546" s="29" t="s">
        <v>23</v>
      </c>
      <c r="F546" s="71" t="s">
        <v>19</v>
      </c>
      <c r="G546" s="100"/>
      <c r="H546" s="71"/>
      <c r="I546" s="29"/>
    </row>
    <row r="547" spans="4:9" hidden="1" x14ac:dyDescent="0.3">
      <c r="D547" s="29" t="s">
        <v>186</v>
      </c>
      <c r="E547" s="29" t="s">
        <v>44</v>
      </c>
      <c r="F547" s="71" t="s">
        <v>19</v>
      </c>
      <c r="G547" s="100" t="s">
        <v>20</v>
      </c>
      <c r="H547" s="71"/>
      <c r="I547" s="29"/>
    </row>
    <row r="548" spans="4:9" ht="27" hidden="1" x14ac:dyDescent="0.3">
      <c r="D548" s="29" t="s">
        <v>59</v>
      </c>
      <c r="E548" s="29" t="s">
        <v>60</v>
      </c>
      <c r="F548" s="71" t="s">
        <v>19</v>
      </c>
      <c r="G548" s="100"/>
      <c r="H548" s="71"/>
      <c r="I548" s="47" t="s">
        <v>1162</v>
      </c>
    </row>
    <row r="549" spans="4:9" hidden="1" x14ac:dyDescent="0.3">
      <c r="D549" s="29" t="s">
        <v>62</v>
      </c>
      <c r="E549" s="29" t="s">
        <v>60</v>
      </c>
      <c r="F549" s="71" t="s">
        <v>19</v>
      </c>
      <c r="G549" s="100"/>
      <c r="H549" s="71"/>
      <c r="I549" s="29" t="s">
        <v>1111</v>
      </c>
    </row>
    <row r="550" spans="4:9" hidden="1" x14ac:dyDescent="0.3">
      <c r="D550" s="29" t="s">
        <v>64</v>
      </c>
      <c r="E550" s="29" t="s">
        <v>60</v>
      </c>
      <c r="F550" s="71" t="s">
        <v>19</v>
      </c>
      <c r="G550" s="100"/>
      <c r="H550" s="71"/>
      <c r="I550" s="29" t="s">
        <v>1112</v>
      </c>
    </row>
    <row r="551" spans="4:9" hidden="1" x14ac:dyDescent="0.3">
      <c r="D551" s="29" t="s">
        <v>66</v>
      </c>
      <c r="E551" s="29" t="s">
        <v>60</v>
      </c>
      <c r="F551" s="71" t="s">
        <v>19</v>
      </c>
      <c r="G551" s="100"/>
      <c r="H551" s="71"/>
      <c r="I551" s="29"/>
    </row>
    <row r="552" spans="4:9" hidden="1" x14ac:dyDescent="0.3">
      <c r="D552" s="29" t="s">
        <v>67</v>
      </c>
      <c r="E552" s="29" t="s">
        <v>60</v>
      </c>
      <c r="F552" s="71" t="s">
        <v>19</v>
      </c>
      <c r="G552" s="100"/>
      <c r="H552" s="71"/>
      <c r="I552" s="29" t="s">
        <v>1113</v>
      </c>
    </row>
    <row r="553" spans="4:9" hidden="1" x14ac:dyDescent="0.3">
      <c r="D553" s="29" t="s">
        <v>716</v>
      </c>
      <c r="E553" s="29" t="s">
        <v>23</v>
      </c>
      <c r="F553" s="71" t="s">
        <v>19</v>
      </c>
      <c r="G553" s="100"/>
      <c r="H553" s="71"/>
      <c r="I553" s="29"/>
    </row>
    <row r="554" spans="4:9" hidden="1" x14ac:dyDescent="0.3">
      <c r="D554" s="29" t="s">
        <v>715</v>
      </c>
      <c r="E554" s="29" t="s">
        <v>23</v>
      </c>
      <c r="F554" s="71" t="s">
        <v>19</v>
      </c>
      <c r="G554" s="100"/>
      <c r="H554" s="71"/>
      <c r="I554" s="29"/>
    </row>
    <row r="555" spans="4:9" hidden="1" x14ac:dyDescent="0.3">
      <c r="D555" s="29" t="s">
        <v>819</v>
      </c>
      <c r="E555" s="29" t="s">
        <v>133</v>
      </c>
      <c r="F555" s="71" t="s">
        <v>19</v>
      </c>
      <c r="G555" s="100"/>
      <c r="H555" s="71"/>
      <c r="I555" s="29"/>
    </row>
    <row r="556" spans="4:9" hidden="1" x14ac:dyDescent="0.3">
      <c r="D556" s="29" t="s">
        <v>736</v>
      </c>
      <c r="E556" s="29" t="s">
        <v>44</v>
      </c>
      <c r="F556" s="71" t="s">
        <v>19</v>
      </c>
      <c r="G556" s="100"/>
      <c r="H556" s="71"/>
      <c r="I556" s="29"/>
    </row>
    <row r="557" spans="4:9" hidden="1" x14ac:dyDescent="0.3">
      <c r="D557" s="29" t="s">
        <v>824</v>
      </c>
      <c r="E557" s="29" t="s">
        <v>44</v>
      </c>
      <c r="F557" s="71" t="s">
        <v>19</v>
      </c>
      <c r="G557" s="100"/>
      <c r="H557" s="71"/>
      <c r="I557" s="29"/>
    </row>
    <row r="558" spans="4:9" hidden="1" x14ac:dyDescent="0.3">
      <c r="D558" s="29" t="s">
        <v>822</v>
      </c>
      <c r="E558" s="29" t="s">
        <v>133</v>
      </c>
      <c r="F558" s="71" t="s">
        <v>19</v>
      </c>
      <c r="G558" s="100"/>
      <c r="H558" s="71"/>
      <c r="I558" s="29"/>
    </row>
    <row r="559" spans="4:9" hidden="1" x14ac:dyDescent="0.3">
      <c r="D559" s="29" t="s">
        <v>361</v>
      </c>
      <c r="E559" s="29" t="s">
        <v>39</v>
      </c>
      <c r="F559" s="71" t="s">
        <v>19</v>
      </c>
      <c r="G559" s="100" t="s">
        <v>192</v>
      </c>
      <c r="H559" s="71"/>
      <c r="I559" s="29" t="s">
        <v>1114</v>
      </c>
    </row>
    <row r="560" spans="4:9" hidden="1" x14ac:dyDescent="0.3">
      <c r="D560" s="29" t="s">
        <v>1115</v>
      </c>
      <c r="E560" s="29" t="s">
        <v>60</v>
      </c>
      <c r="F560" s="71" t="s">
        <v>19</v>
      </c>
      <c r="G560" s="100"/>
      <c r="H560" s="71"/>
      <c r="I560" s="29" t="s">
        <v>1116</v>
      </c>
    </row>
    <row r="561" spans="4:9" hidden="1" x14ac:dyDescent="0.3">
      <c r="D561" s="29" t="s">
        <v>720</v>
      </c>
      <c r="E561" s="29" t="s">
        <v>23</v>
      </c>
      <c r="F561" s="71" t="s">
        <v>19</v>
      </c>
      <c r="G561" s="100"/>
      <c r="H561" s="71"/>
      <c r="I561" s="29" t="s">
        <v>784</v>
      </c>
    </row>
    <row r="562" spans="4:9" hidden="1" x14ac:dyDescent="0.3">
      <c r="D562" s="29" t="s">
        <v>721</v>
      </c>
      <c r="E562" s="29" t="s">
        <v>23</v>
      </c>
      <c r="F562" s="71" t="s">
        <v>19</v>
      </c>
      <c r="G562" s="100"/>
      <c r="H562" s="71"/>
      <c r="I562" s="29" t="s">
        <v>785</v>
      </c>
    </row>
    <row r="563" spans="4:9" hidden="1" x14ac:dyDescent="0.3">
      <c r="D563" s="29" t="s">
        <v>722</v>
      </c>
      <c r="E563" s="29" t="s">
        <v>23</v>
      </c>
      <c r="F563" s="71" t="s">
        <v>19</v>
      </c>
      <c r="G563" s="100"/>
      <c r="H563" s="71"/>
      <c r="I563" s="29" t="s">
        <v>786</v>
      </c>
    </row>
    <row r="564" spans="4:9" hidden="1" x14ac:dyDescent="0.3">
      <c r="D564" s="29" t="s">
        <v>730</v>
      </c>
      <c r="E564" s="29" t="s">
        <v>60</v>
      </c>
      <c r="F564" s="71" t="s">
        <v>19</v>
      </c>
      <c r="G564" s="100"/>
      <c r="H564" s="71"/>
      <c r="I564" s="29"/>
    </row>
    <row r="565" spans="4:9" hidden="1" x14ac:dyDescent="0.3">
      <c r="D565" s="38" t="s">
        <v>734</v>
      </c>
      <c r="E565" s="38" t="s">
        <v>39</v>
      </c>
      <c r="F565" s="72" t="s">
        <v>19</v>
      </c>
      <c r="G565" s="101"/>
      <c r="H565" s="72"/>
      <c r="I565" s="38" t="s">
        <v>808</v>
      </c>
    </row>
    <row r="567" spans="4:9" x14ac:dyDescent="0.3">
      <c r="D567" s="10" t="s">
        <v>2199</v>
      </c>
    </row>
    <row r="568" spans="4:9" x14ac:dyDescent="0.3">
      <c r="D568" s="125" t="s">
        <v>85</v>
      </c>
      <c r="E568" s="125" t="s">
        <v>0</v>
      </c>
      <c r="F568" s="125" t="s">
        <v>1</v>
      </c>
      <c r="G568" s="125" t="s">
        <v>2</v>
      </c>
      <c r="H568" s="125" t="s">
        <v>21</v>
      </c>
      <c r="I568" s="125" t="s">
        <v>3</v>
      </c>
    </row>
    <row r="569" spans="4:9" x14ac:dyDescent="0.3">
      <c r="D569" s="117" t="s">
        <v>1166</v>
      </c>
      <c r="E569" s="117" t="s">
        <v>239</v>
      </c>
      <c r="F569" s="118"/>
      <c r="G569" s="119"/>
      <c r="H569" s="118">
        <v>1</v>
      </c>
      <c r="I569" s="117" t="s">
        <v>328</v>
      </c>
    </row>
    <row r="570" spans="4:9" x14ac:dyDescent="0.3">
      <c r="D570" s="29" t="s">
        <v>1164</v>
      </c>
      <c r="E570" s="29" t="s">
        <v>133</v>
      </c>
      <c r="F570" s="71"/>
      <c r="G570" s="100"/>
      <c r="H570" s="71"/>
      <c r="I570" s="29" t="s">
        <v>1165</v>
      </c>
    </row>
    <row r="571" spans="4:9" x14ac:dyDescent="0.3">
      <c r="D571" s="29" t="s">
        <v>1106</v>
      </c>
      <c r="E571" s="29" t="s">
        <v>44</v>
      </c>
      <c r="F571" s="71" t="s">
        <v>19</v>
      </c>
      <c r="G571" s="100" t="s">
        <v>20</v>
      </c>
      <c r="H571" s="71"/>
      <c r="I571" s="29"/>
    </row>
    <row r="572" spans="4:9" ht="27" x14ac:dyDescent="0.3">
      <c r="D572" s="29" t="s">
        <v>46</v>
      </c>
      <c r="E572" s="29" t="s">
        <v>47</v>
      </c>
      <c r="F572" s="71"/>
      <c r="G572" s="25" t="s">
        <v>1044</v>
      </c>
      <c r="H572" s="71"/>
      <c r="I572" s="29" t="s">
        <v>48</v>
      </c>
    </row>
    <row r="573" spans="4:9" x14ac:dyDescent="0.3">
      <c r="D573" s="29" t="s">
        <v>49</v>
      </c>
      <c r="E573" s="29" t="s">
        <v>23</v>
      </c>
      <c r="F573" s="71"/>
      <c r="G573" s="100"/>
      <c r="H573" s="71"/>
      <c r="I573" s="29" t="s">
        <v>50</v>
      </c>
    </row>
    <row r="574" spans="4:9" x14ac:dyDescent="0.3">
      <c r="D574" s="29" t="s">
        <v>51</v>
      </c>
      <c r="E574" s="29" t="s">
        <v>47</v>
      </c>
      <c r="F574" s="71" t="s">
        <v>19</v>
      </c>
      <c r="G574" s="100"/>
      <c r="H574" s="71"/>
      <c r="I574" s="29" t="s">
        <v>52</v>
      </c>
    </row>
    <row r="575" spans="4:9" x14ac:dyDescent="0.3">
      <c r="D575" s="29" t="s">
        <v>53</v>
      </c>
      <c r="E575" s="29" t="s">
        <v>23</v>
      </c>
      <c r="F575" s="71" t="s">
        <v>19</v>
      </c>
      <c r="G575" s="100"/>
      <c r="H575" s="71"/>
      <c r="I575" s="29" t="s">
        <v>54</v>
      </c>
    </row>
    <row r="576" spans="4:9" x14ac:dyDescent="0.3">
      <c r="D576" s="29" t="s">
        <v>59</v>
      </c>
      <c r="E576" s="29" t="s">
        <v>60</v>
      </c>
      <c r="F576" s="71" t="s">
        <v>19</v>
      </c>
      <c r="G576" s="100"/>
      <c r="H576" s="71"/>
      <c r="I576" s="29"/>
    </row>
    <row r="577" spans="4:19" x14ac:dyDescent="0.3">
      <c r="D577" s="29" t="s">
        <v>62</v>
      </c>
      <c r="E577" s="29" t="s">
        <v>60</v>
      </c>
      <c r="F577" s="71" t="s">
        <v>19</v>
      </c>
      <c r="G577" s="100"/>
      <c r="H577" s="71"/>
      <c r="I577" s="29"/>
    </row>
    <row r="578" spans="4:19" x14ac:dyDescent="0.3">
      <c r="D578" s="29" t="s">
        <v>64</v>
      </c>
      <c r="E578" s="29" t="s">
        <v>60</v>
      </c>
      <c r="F578" s="71" t="s">
        <v>19</v>
      </c>
      <c r="G578" s="100"/>
      <c r="H578" s="71"/>
      <c r="I578" s="29"/>
    </row>
    <row r="579" spans="4:19" x14ac:dyDescent="0.3">
      <c r="D579" s="29" t="s">
        <v>66</v>
      </c>
      <c r="E579" s="29" t="s">
        <v>60</v>
      </c>
      <c r="F579" s="71" t="s">
        <v>19</v>
      </c>
      <c r="G579" s="100"/>
      <c r="H579" s="71"/>
      <c r="I579" s="29"/>
    </row>
    <row r="580" spans="4:19" x14ac:dyDescent="0.3">
      <c r="D580" s="38" t="s">
        <v>67</v>
      </c>
      <c r="E580" s="38" t="s">
        <v>60</v>
      </c>
      <c r="F580" s="72" t="s">
        <v>19</v>
      </c>
      <c r="G580" s="101"/>
      <c r="H580" s="72"/>
      <c r="I580" s="38"/>
    </row>
    <row r="582" spans="4:19" x14ac:dyDescent="0.3">
      <c r="D582" s="10" t="s">
        <v>1168</v>
      </c>
      <c r="N582" s="10" t="s">
        <v>1392</v>
      </c>
      <c r="Q582" s="18"/>
    </row>
    <row r="583" spans="4:19" x14ac:dyDescent="0.3">
      <c r="D583" s="125" t="s">
        <v>85</v>
      </c>
      <c r="E583" s="125" t="s">
        <v>0</v>
      </c>
      <c r="F583" s="125" t="s">
        <v>1</v>
      </c>
      <c r="G583" s="125" t="s">
        <v>2</v>
      </c>
      <c r="H583" s="125" t="s">
        <v>21</v>
      </c>
      <c r="I583" s="125" t="s">
        <v>3</v>
      </c>
      <c r="N583" s="43" t="s">
        <v>1393</v>
      </c>
      <c r="O583" s="43" t="s">
        <v>0</v>
      </c>
      <c r="P583" s="43" t="s">
        <v>1</v>
      </c>
      <c r="Q583" s="43" t="s">
        <v>2</v>
      </c>
      <c r="R583" s="43" t="s">
        <v>21</v>
      </c>
      <c r="S583" s="43" t="s">
        <v>3</v>
      </c>
    </row>
    <row r="584" spans="4:19" x14ac:dyDescent="0.3">
      <c r="D584" s="117" t="s">
        <v>327</v>
      </c>
      <c r="E584" s="117" t="s">
        <v>239</v>
      </c>
      <c r="F584" s="118"/>
      <c r="G584" s="119"/>
      <c r="H584" s="118">
        <v>1</v>
      </c>
      <c r="I584" s="117" t="s">
        <v>328</v>
      </c>
      <c r="N584" s="142" t="s">
        <v>327</v>
      </c>
      <c r="O584" s="142" t="s">
        <v>239</v>
      </c>
      <c r="P584" s="143"/>
      <c r="Q584" s="144"/>
      <c r="R584" s="143">
        <v>1</v>
      </c>
      <c r="S584" s="142" t="s">
        <v>328</v>
      </c>
    </row>
    <row r="585" spans="4:19" x14ac:dyDescent="0.3">
      <c r="D585" s="29" t="s">
        <v>805</v>
      </c>
      <c r="E585" s="29" t="s">
        <v>23</v>
      </c>
      <c r="F585" s="71" t="s">
        <v>19</v>
      </c>
      <c r="G585" s="100"/>
      <c r="H585" s="71"/>
      <c r="I585" s="29" t="s">
        <v>1169</v>
      </c>
      <c r="N585" s="153" t="s">
        <v>805</v>
      </c>
      <c r="O585" s="153" t="s">
        <v>23</v>
      </c>
      <c r="P585" s="154" t="s">
        <v>19</v>
      </c>
      <c r="Q585" s="154"/>
      <c r="R585" s="153"/>
      <c r="S585" s="153" t="s">
        <v>1169</v>
      </c>
    </row>
    <row r="586" spans="4:19" x14ac:dyDescent="0.3">
      <c r="D586" s="29" t="s">
        <v>732</v>
      </c>
      <c r="E586" s="29" t="s">
        <v>23</v>
      </c>
      <c r="F586" s="71" t="s">
        <v>19</v>
      </c>
      <c r="G586" s="100"/>
      <c r="H586" s="71"/>
      <c r="I586" s="29" t="s">
        <v>1170</v>
      </c>
      <c r="N586" s="145" t="s">
        <v>732</v>
      </c>
      <c r="O586" s="145" t="s">
        <v>23</v>
      </c>
      <c r="P586" s="146" t="s">
        <v>19</v>
      </c>
      <c r="Q586" s="146"/>
      <c r="R586" s="145"/>
      <c r="S586" s="145" t="s">
        <v>1170</v>
      </c>
    </row>
    <row r="587" spans="4:19" x14ac:dyDescent="0.3">
      <c r="D587" s="29" t="s">
        <v>733</v>
      </c>
      <c r="E587" s="29" t="s">
        <v>23</v>
      </c>
      <c r="F587" s="71" t="s">
        <v>19</v>
      </c>
      <c r="G587" s="100"/>
      <c r="H587" s="71"/>
      <c r="I587" s="29" t="s">
        <v>1171</v>
      </c>
      <c r="N587" s="145" t="s">
        <v>733</v>
      </c>
      <c r="O587" s="145" t="s">
        <v>23</v>
      </c>
      <c r="P587" s="146" t="s">
        <v>19</v>
      </c>
      <c r="Q587" s="146"/>
      <c r="R587" s="145"/>
      <c r="S587" s="145" t="s">
        <v>1171</v>
      </c>
    </row>
    <row r="588" spans="4:19" x14ac:dyDescent="0.3">
      <c r="D588" s="29" t="s">
        <v>814</v>
      </c>
      <c r="E588" s="29" t="s">
        <v>23</v>
      </c>
      <c r="F588" s="71" t="s">
        <v>19</v>
      </c>
      <c r="G588" s="100"/>
      <c r="H588" s="71"/>
      <c r="I588" s="29" t="s">
        <v>1172</v>
      </c>
      <c r="N588" s="145" t="s">
        <v>814</v>
      </c>
      <c r="O588" s="145" t="s">
        <v>23</v>
      </c>
      <c r="P588" s="146" t="s">
        <v>19</v>
      </c>
      <c r="Q588" s="146"/>
      <c r="R588" s="145"/>
      <c r="S588" s="145" t="s">
        <v>1172</v>
      </c>
    </row>
    <row r="589" spans="4:19" x14ac:dyDescent="0.3">
      <c r="D589" s="29" t="s">
        <v>735</v>
      </c>
      <c r="E589" s="29" t="s">
        <v>23</v>
      </c>
      <c r="F589" s="71" t="s">
        <v>19</v>
      </c>
      <c r="G589" s="100"/>
      <c r="H589" s="71"/>
      <c r="I589" s="29" t="s">
        <v>1173</v>
      </c>
      <c r="N589" s="145" t="s">
        <v>735</v>
      </c>
      <c r="O589" s="145" t="s">
        <v>23</v>
      </c>
      <c r="P589" s="146" t="s">
        <v>19</v>
      </c>
      <c r="Q589" s="146"/>
      <c r="R589" s="145"/>
      <c r="S589" s="145" t="s">
        <v>1173</v>
      </c>
    </row>
    <row r="590" spans="4:19" x14ac:dyDescent="0.3">
      <c r="D590" s="29" t="s">
        <v>817</v>
      </c>
      <c r="E590" s="29" t="s">
        <v>23</v>
      </c>
      <c r="F590" s="71" t="s">
        <v>19</v>
      </c>
      <c r="G590" s="100"/>
      <c r="H590" s="71"/>
      <c r="I590" s="29" t="s">
        <v>1174</v>
      </c>
      <c r="N590" s="145" t="s">
        <v>817</v>
      </c>
      <c r="O590" s="145" t="s">
        <v>23</v>
      </c>
      <c r="P590" s="146" t="s">
        <v>19</v>
      </c>
      <c r="Q590" s="146"/>
      <c r="R590" s="145"/>
      <c r="S590" s="145" t="s">
        <v>1174</v>
      </c>
    </row>
    <row r="591" spans="4:19" x14ac:dyDescent="0.3">
      <c r="D591" s="29" t="s">
        <v>1175</v>
      </c>
      <c r="E591" s="29" t="s">
        <v>23</v>
      </c>
      <c r="F591" s="71" t="s">
        <v>19</v>
      </c>
      <c r="G591" s="100"/>
      <c r="H591" s="71"/>
      <c r="I591" s="29" t="s">
        <v>1176</v>
      </c>
      <c r="N591" s="145" t="s">
        <v>1175</v>
      </c>
      <c r="O591" s="145" t="s">
        <v>23</v>
      </c>
      <c r="P591" s="146" t="s">
        <v>19</v>
      </c>
      <c r="Q591" s="146"/>
      <c r="R591" s="145"/>
      <c r="S591" s="145" t="s">
        <v>1176</v>
      </c>
    </row>
    <row r="592" spans="4:19" x14ac:dyDescent="0.3">
      <c r="D592" s="29" t="s">
        <v>1177</v>
      </c>
      <c r="E592" s="29" t="s">
        <v>23</v>
      </c>
      <c r="F592" s="71" t="s">
        <v>19</v>
      </c>
      <c r="G592" s="100"/>
      <c r="H592" s="71"/>
      <c r="I592" s="29" t="s">
        <v>1178</v>
      </c>
      <c r="N592" s="145" t="s">
        <v>1177</v>
      </c>
      <c r="O592" s="145" t="s">
        <v>23</v>
      </c>
      <c r="P592" s="146" t="s">
        <v>19</v>
      </c>
      <c r="Q592" s="146"/>
      <c r="R592" s="145"/>
      <c r="S592" s="145" t="s">
        <v>1178</v>
      </c>
    </row>
    <row r="593" spans="4:19" x14ac:dyDescent="0.3">
      <c r="D593" s="29" t="s">
        <v>1179</v>
      </c>
      <c r="E593" s="29" t="s">
        <v>23</v>
      </c>
      <c r="F593" s="71" t="s">
        <v>19</v>
      </c>
      <c r="G593" s="100"/>
      <c r="H593" s="71"/>
      <c r="I593" s="29" t="s">
        <v>1180</v>
      </c>
      <c r="N593" s="145" t="s">
        <v>1179</v>
      </c>
      <c r="O593" s="145" t="s">
        <v>23</v>
      </c>
      <c r="P593" s="146" t="s">
        <v>19</v>
      </c>
      <c r="Q593" s="146"/>
      <c r="R593" s="145"/>
      <c r="S593" s="145" t="s">
        <v>1180</v>
      </c>
    </row>
    <row r="594" spans="4:19" x14ac:dyDescent="0.3">
      <c r="D594" s="29" t="s">
        <v>1181</v>
      </c>
      <c r="E594" s="29" t="s">
        <v>23</v>
      </c>
      <c r="F594" s="71" t="s">
        <v>19</v>
      </c>
      <c r="G594" s="100"/>
      <c r="H594" s="71"/>
      <c r="I594" s="29" t="s">
        <v>1182</v>
      </c>
      <c r="N594" s="145" t="s">
        <v>1181</v>
      </c>
      <c r="O594" s="145" t="s">
        <v>23</v>
      </c>
      <c r="P594" s="146" t="s">
        <v>19</v>
      </c>
      <c r="Q594" s="146"/>
      <c r="R594" s="145"/>
      <c r="S594" s="145" t="s">
        <v>1182</v>
      </c>
    </row>
    <row r="595" spans="4:19" x14ac:dyDescent="0.3">
      <c r="D595" s="29" t="s">
        <v>1183</v>
      </c>
      <c r="E595" s="29" t="s">
        <v>23</v>
      </c>
      <c r="F595" s="71" t="s">
        <v>19</v>
      </c>
      <c r="G595" s="100"/>
      <c r="H595" s="71"/>
      <c r="I595" s="29" t="s">
        <v>1184</v>
      </c>
      <c r="N595" s="145" t="s">
        <v>1183</v>
      </c>
      <c r="O595" s="145" t="s">
        <v>23</v>
      </c>
      <c r="P595" s="146" t="s">
        <v>19</v>
      </c>
      <c r="Q595" s="146"/>
      <c r="R595" s="145"/>
      <c r="S595" s="145" t="s">
        <v>1184</v>
      </c>
    </row>
    <row r="596" spans="4:19" x14ac:dyDescent="0.3">
      <c r="D596" s="29" t="s">
        <v>1185</v>
      </c>
      <c r="E596" s="29" t="s">
        <v>23</v>
      </c>
      <c r="F596" s="71" t="s">
        <v>19</v>
      </c>
      <c r="G596" s="100"/>
      <c r="H596" s="71"/>
      <c r="I596" s="29" t="s">
        <v>1186</v>
      </c>
      <c r="N596" s="145" t="s">
        <v>1185</v>
      </c>
      <c r="O596" s="145" t="s">
        <v>23</v>
      </c>
      <c r="P596" s="146" t="s">
        <v>19</v>
      </c>
      <c r="Q596" s="146"/>
      <c r="R596" s="145"/>
      <c r="S596" s="145" t="s">
        <v>1186</v>
      </c>
    </row>
    <row r="597" spans="4:19" x14ac:dyDescent="0.3">
      <c r="D597" s="29" t="s">
        <v>1187</v>
      </c>
      <c r="E597" s="29" t="s">
        <v>23</v>
      </c>
      <c r="F597" s="71" t="s">
        <v>19</v>
      </c>
      <c r="G597" s="100"/>
      <c r="H597" s="71"/>
      <c r="I597" s="29" t="s">
        <v>1188</v>
      </c>
      <c r="N597" s="145" t="s">
        <v>1187</v>
      </c>
      <c r="O597" s="145" t="s">
        <v>23</v>
      </c>
      <c r="P597" s="146" t="s">
        <v>19</v>
      </c>
      <c r="Q597" s="146"/>
      <c r="R597" s="145"/>
      <c r="S597" s="145" t="s">
        <v>1188</v>
      </c>
    </row>
    <row r="598" spans="4:19" x14ac:dyDescent="0.3">
      <c r="D598" s="29" t="s">
        <v>1189</v>
      </c>
      <c r="E598" s="29" t="s">
        <v>23</v>
      </c>
      <c r="F598" s="71" t="s">
        <v>19</v>
      </c>
      <c r="G598" s="100"/>
      <c r="H598" s="71"/>
      <c r="I598" s="29" t="s">
        <v>1190</v>
      </c>
      <c r="N598" s="145" t="s">
        <v>1189</v>
      </c>
      <c r="O598" s="145" t="s">
        <v>23</v>
      </c>
      <c r="P598" s="146" t="s">
        <v>19</v>
      </c>
      <c r="Q598" s="146"/>
      <c r="R598" s="145"/>
      <c r="S598" s="145" t="s">
        <v>1190</v>
      </c>
    </row>
    <row r="599" spans="4:19" x14ac:dyDescent="0.3">
      <c r="D599" s="29" t="s">
        <v>1191</v>
      </c>
      <c r="E599" s="29" t="s">
        <v>23</v>
      </c>
      <c r="F599" s="71" t="s">
        <v>19</v>
      </c>
      <c r="G599" s="100"/>
      <c r="H599" s="71"/>
      <c r="I599" s="29" t="s">
        <v>1192</v>
      </c>
      <c r="N599" s="145" t="s">
        <v>1191</v>
      </c>
      <c r="O599" s="145" t="s">
        <v>23</v>
      </c>
      <c r="P599" s="146" t="s">
        <v>19</v>
      </c>
      <c r="Q599" s="146"/>
      <c r="R599" s="145"/>
      <c r="S599" s="145" t="s">
        <v>1192</v>
      </c>
    </row>
    <row r="600" spans="4:19" x14ac:dyDescent="0.3">
      <c r="D600" s="29" t="s">
        <v>1193</v>
      </c>
      <c r="E600" s="29" t="s">
        <v>23</v>
      </c>
      <c r="F600" s="71" t="s">
        <v>19</v>
      </c>
      <c r="G600" s="100"/>
      <c r="H600" s="71"/>
      <c r="I600" s="29" t="s">
        <v>1194</v>
      </c>
      <c r="N600" s="145" t="s">
        <v>1193</v>
      </c>
      <c r="O600" s="145" t="s">
        <v>23</v>
      </c>
      <c r="P600" s="146" t="s">
        <v>19</v>
      </c>
      <c r="Q600" s="146"/>
      <c r="R600" s="145"/>
      <c r="S600" s="145" t="s">
        <v>1194</v>
      </c>
    </row>
    <row r="601" spans="4:19" x14ac:dyDescent="0.3">
      <c r="D601" s="29" t="s">
        <v>1195</v>
      </c>
      <c r="E601" s="29" t="s">
        <v>23</v>
      </c>
      <c r="F601" s="71" t="s">
        <v>19</v>
      </c>
      <c r="G601" s="100"/>
      <c r="H601" s="71"/>
      <c r="I601" s="29" t="s">
        <v>1196</v>
      </c>
      <c r="N601" s="145" t="s">
        <v>1195</v>
      </c>
      <c r="O601" s="145" t="s">
        <v>23</v>
      </c>
      <c r="P601" s="146" t="s">
        <v>19</v>
      </c>
      <c r="Q601" s="146"/>
      <c r="R601" s="145"/>
      <c r="S601" s="145" t="s">
        <v>1196</v>
      </c>
    </row>
    <row r="602" spans="4:19" x14ac:dyDescent="0.3">
      <c r="D602" s="29" t="s">
        <v>1197</v>
      </c>
      <c r="E602" s="29" t="s">
        <v>23</v>
      </c>
      <c r="F602" s="71" t="s">
        <v>19</v>
      </c>
      <c r="G602" s="100"/>
      <c r="H602" s="71"/>
      <c r="I602" s="29" t="s">
        <v>1198</v>
      </c>
      <c r="N602" s="145" t="s">
        <v>1197</v>
      </c>
      <c r="O602" s="145" t="s">
        <v>23</v>
      </c>
      <c r="P602" s="146" t="s">
        <v>19</v>
      </c>
      <c r="Q602" s="146"/>
      <c r="R602" s="145"/>
      <c r="S602" s="145" t="s">
        <v>1198</v>
      </c>
    </row>
    <row r="603" spans="4:19" x14ac:dyDescent="0.3">
      <c r="D603" s="29" t="s">
        <v>1199</v>
      </c>
      <c r="E603" s="29" t="s">
        <v>23</v>
      </c>
      <c r="F603" s="71" t="s">
        <v>19</v>
      </c>
      <c r="G603" s="100"/>
      <c r="H603" s="71"/>
      <c r="I603" s="29" t="s">
        <v>1200</v>
      </c>
      <c r="N603" s="145" t="s">
        <v>1199</v>
      </c>
      <c r="O603" s="145" t="s">
        <v>23</v>
      </c>
      <c r="P603" s="146" t="s">
        <v>19</v>
      </c>
      <c r="Q603" s="146"/>
      <c r="R603" s="145"/>
      <c r="S603" s="145" t="s">
        <v>1200</v>
      </c>
    </row>
    <row r="604" spans="4:19" x14ac:dyDescent="0.3">
      <c r="D604" s="29" t="s">
        <v>1201</v>
      </c>
      <c r="E604" s="29" t="s">
        <v>23</v>
      </c>
      <c r="F604" s="71" t="s">
        <v>19</v>
      </c>
      <c r="G604" s="100"/>
      <c r="H604" s="71"/>
      <c r="I604" s="29" t="s">
        <v>1202</v>
      </c>
      <c r="N604" s="145" t="s">
        <v>1201</v>
      </c>
      <c r="O604" s="145" t="s">
        <v>23</v>
      </c>
      <c r="P604" s="146" t="s">
        <v>19</v>
      </c>
      <c r="Q604" s="146"/>
      <c r="R604" s="145"/>
      <c r="S604" s="145" t="s">
        <v>1202</v>
      </c>
    </row>
    <row r="605" spans="4:19" x14ac:dyDescent="0.3">
      <c r="D605" s="29" t="s">
        <v>1203</v>
      </c>
      <c r="E605" s="29" t="s">
        <v>23</v>
      </c>
      <c r="F605" s="71" t="s">
        <v>19</v>
      </c>
      <c r="G605" s="100"/>
      <c r="H605" s="71"/>
      <c r="I605" s="29" t="s">
        <v>1204</v>
      </c>
      <c r="N605" s="145" t="s">
        <v>1203</v>
      </c>
      <c r="O605" s="145" t="s">
        <v>23</v>
      </c>
      <c r="P605" s="146" t="s">
        <v>19</v>
      </c>
      <c r="Q605" s="146"/>
      <c r="R605" s="145"/>
      <c r="S605" s="145" t="s">
        <v>1204</v>
      </c>
    </row>
    <row r="606" spans="4:19" ht="27" x14ac:dyDescent="0.3">
      <c r="D606" s="29" t="s">
        <v>46</v>
      </c>
      <c r="E606" s="29" t="s">
        <v>47</v>
      </c>
      <c r="F606" s="71"/>
      <c r="G606" s="25" t="s">
        <v>1300</v>
      </c>
      <c r="H606" s="71"/>
      <c r="I606" s="29"/>
      <c r="N606" s="145" t="s">
        <v>46</v>
      </c>
      <c r="O606" s="145" t="s">
        <v>47</v>
      </c>
      <c r="P606" s="146"/>
      <c r="Q606" s="147" t="s">
        <v>1394</v>
      </c>
      <c r="R606" s="145"/>
      <c r="S606" s="145"/>
    </row>
    <row r="607" spans="4:19" x14ac:dyDescent="0.3">
      <c r="D607" s="29" t="s">
        <v>49</v>
      </c>
      <c r="E607" s="29" t="s">
        <v>23</v>
      </c>
      <c r="F607" s="71" t="s">
        <v>19</v>
      </c>
      <c r="G607" s="100"/>
      <c r="H607" s="71"/>
      <c r="I607" s="29"/>
      <c r="N607" s="145" t="s">
        <v>49</v>
      </c>
      <c r="O607" s="145" t="s">
        <v>23</v>
      </c>
      <c r="P607" s="146" t="s">
        <v>19</v>
      </c>
      <c r="Q607" s="146"/>
      <c r="R607" s="145"/>
      <c r="S607" s="145"/>
    </row>
    <row r="608" spans="4:19" x14ac:dyDescent="0.3">
      <c r="D608" s="29" t="s">
        <v>51</v>
      </c>
      <c r="E608" s="29" t="s">
        <v>47</v>
      </c>
      <c r="F608" s="71" t="s">
        <v>19</v>
      </c>
      <c r="G608" s="100"/>
      <c r="H608" s="71"/>
      <c r="I608" s="29"/>
      <c r="N608" s="145" t="s">
        <v>51</v>
      </c>
      <c r="O608" s="145" t="s">
        <v>47</v>
      </c>
      <c r="P608" s="146" t="s">
        <v>19</v>
      </c>
      <c r="Q608" s="146"/>
      <c r="R608" s="145"/>
      <c r="S608" s="145"/>
    </row>
    <row r="609" spans="4:19" x14ac:dyDescent="0.3">
      <c r="D609" s="29" t="s">
        <v>53</v>
      </c>
      <c r="E609" s="29" t="s">
        <v>23</v>
      </c>
      <c r="F609" s="71" t="s">
        <v>19</v>
      </c>
      <c r="G609" s="100"/>
      <c r="H609" s="71"/>
      <c r="I609" s="29"/>
      <c r="N609" s="145" t="s">
        <v>53</v>
      </c>
      <c r="O609" s="145" t="s">
        <v>23</v>
      </c>
      <c r="P609" s="146" t="s">
        <v>19</v>
      </c>
      <c r="Q609" s="146"/>
      <c r="R609" s="145"/>
      <c r="S609" s="145"/>
    </row>
    <row r="610" spans="4:19" x14ac:dyDescent="0.3">
      <c r="D610" s="29" t="s">
        <v>1205</v>
      </c>
      <c r="E610" s="29" t="s">
        <v>23</v>
      </c>
      <c r="F610" s="71" t="s">
        <v>19</v>
      </c>
      <c r="G610" s="100"/>
      <c r="H610" s="71"/>
      <c r="I610" s="29"/>
      <c r="N610" s="145" t="s">
        <v>1205</v>
      </c>
      <c r="O610" s="145" t="s">
        <v>23</v>
      </c>
      <c r="P610" s="146" t="s">
        <v>19</v>
      </c>
      <c r="Q610" s="146"/>
      <c r="R610" s="145"/>
      <c r="S610" s="145"/>
    </row>
    <row r="611" spans="4:19" x14ac:dyDescent="0.3">
      <c r="D611" s="29" t="s">
        <v>1206</v>
      </c>
      <c r="E611" s="29" t="s">
        <v>23</v>
      </c>
      <c r="F611" s="71" t="s">
        <v>19</v>
      </c>
      <c r="G611" s="100"/>
      <c r="H611" s="71"/>
      <c r="I611" s="29"/>
      <c r="N611" s="145" t="s">
        <v>1206</v>
      </c>
      <c r="O611" s="145" t="s">
        <v>23</v>
      </c>
      <c r="P611" s="146" t="s">
        <v>19</v>
      </c>
      <c r="Q611" s="146"/>
      <c r="R611" s="145"/>
      <c r="S611" s="145"/>
    </row>
    <row r="612" spans="4:19" x14ac:dyDescent="0.3">
      <c r="D612" s="29" t="s">
        <v>1207</v>
      </c>
      <c r="E612" s="29" t="s">
        <v>23</v>
      </c>
      <c r="F612" s="71" t="s">
        <v>19</v>
      </c>
      <c r="G612" s="100"/>
      <c r="H612" s="71"/>
      <c r="I612" s="29"/>
      <c r="N612" s="145" t="s">
        <v>1207</v>
      </c>
      <c r="O612" s="145" t="s">
        <v>23</v>
      </c>
      <c r="P612" s="146" t="s">
        <v>19</v>
      </c>
      <c r="Q612" s="146"/>
      <c r="R612" s="145"/>
      <c r="S612" s="145"/>
    </row>
    <row r="613" spans="4:19" x14ac:dyDescent="0.3">
      <c r="D613" s="38" t="s">
        <v>1208</v>
      </c>
      <c r="E613" s="38" t="s">
        <v>23</v>
      </c>
      <c r="F613" s="72" t="s">
        <v>19</v>
      </c>
      <c r="G613" s="101"/>
      <c r="H613" s="72"/>
      <c r="I613" s="38"/>
      <c r="N613" s="148" t="s">
        <v>1208</v>
      </c>
      <c r="O613" s="148" t="s">
        <v>23</v>
      </c>
      <c r="P613" s="149" t="s">
        <v>19</v>
      </c>
      <c r="Q613" s="149"/>
      <c r="R613" s="148"/>
      <c r="S613" s="148"/>
    </row>
    <row r="615" spans="4:19" x14ac:dyDescent="0.3">
      <c r="D615" s="10" t="s">
        <v>1301</v>
      </c>
      <c r="N615" s="10" t="s">
        <v>1395</v>
      </c>
      <c r="Q615" s="18"/>
    </row>
    <row r="616" spans="4:19" x14ac:dyDescent="0.3">
      <c r="D616" s="62" t="s">
        <v>85</v>
      </c>
      <c r="E616" s="62" t="s">
        <v>0</v>
      </c>
      <c r="F616" s="62" t="s">
        <v>1</v>
      </c>
      <c r="G616" s="62" t="s">
        <v>2</v>
      </c>
      <c r="H616" s="62" t="s">
        <v>21</v>
      </c>
      <c r="I616" s="62" t="s">
        <v>3</v>
      </c>
      <c r="N616" s="43" t="s">
        <v>85</v>
      </c>
      <c r="O616" s="43" t="s">
        <v>0</v>
      </c>
      <c r="P616" s="43" t="s">
        <v>1</v>
      </c>
      <c r="Q616" s="43" t="s">
        <v>2</v>
      </c>
      <c r="R616" s="43" t="s">
        <v>21</v>
      </c>
      <c r="S616" s="43" t="s">
        <v>3</v>
      </c>
    </row>
    <row r="617" spans="4:19" x14ac:dyDescent="0.3">
      <c r="D617" s="97" t="s">
        <v>1210</v>
      </c>
      <c r="E617" s="97" t="s">
        <v>23</v>
      </c>
      <c r="F617" s="98"/>
      <c r="G617" s="99"/>
      <c r="H617" s="98">
        <v>1</v>
      </c>
      <c r="I617" s="97" t="s">
        <v>1211</v>
      </c>
      <c r="N617" s="142" t="s">
        <v>1210</v>
      </c>
      <c r="O617" s="142" t="s">
        <v>23</v>
      </c>
      <c r="P617" s="143"/>
      <c r="Q617" s="144"/>
      <c r="R617" s="143">
        <v>1</v>
      </c>
      <c r="S617" s="142" t="s">
        <v>1211</v>
      </c>
    </row>
    <row r="618" spans="4:19" x14ac:dyDescent="0.3">
      <c r="D618" s="97" t="s">
        <v>1212</v>
      </c>
      <c r="E618" s="97" t="s">
        <v>44</v>
      </c>
      <c r="F618" s="98"/>
      <c r="G618" s="99"/>
      <c r="H618" s="98">
        <v>2</v>
      </c>
      <c r="I618" s="97"/>
      <c r="N618" s="151" t="s">
        <v>1212</v>
      </c>
      <c r="O618" s="151" t="s">
        <v>44</v>
      </c>
      <c r="P618" s="152"/>
      <c r="Q618" s="152"/>
      <c r="R618" s="152">
        <v>2</v>
      </c>
      <c r="S618" s="151"/>
    </row>
    <row r="619" spans="4:19" ht="27" x14ac:dyDescent="0.3">
      <c r="D619" s="29" t="s">
        <v>46</v>
      </c>
      <c r="E619" s="29" t="s">
        <v>47</v>
      </c>
      <c r="F619" s="71"/>
      <c r="G619" s="25" t="s">
        <v>1299</v>
      </c>
      <c r="H619" s="71"/>
      <c r="I619" s="29" t="s">
        <v>48</v>
      </c>
      <c r="N619" s="145" t="s">
        <v>46</v>
      </c>
      <c r="O619" s="145" t="s">
        <v>47</v>
      </c>
      <c r="P619" s="146"/>
      <c r="Q619" s="147" t="s">
        <v>1378</v>
      </c>
      <c r="R619" s="145"/>
      <c r="S619" s="145" t="s">
        <v>48</v>
      </c>
    </row>
    <row r="620" spans="4:19" x14ac:dyDescent="0.3">
      <c r="D620" s="29" t="s">
        <v>49</v>
      </c>
      <c r="E620" s="29" t="s">
        <v>23</v>
      </c>
      <c r="F620" s="71"/>
      <c r="G620" s="100"/>
      <c r="H620" s="71"/>
      <c r="I620" s="29" t="s">
        <v>50</v>
      </c>
      <c r="N620" s="145" t="s">
        <v>49</v>
      </c>
      <c r="O620" s="145" t="s">
        <v>23</v>
      </c>
      <c r="P620" s="146"/>
      <c r="Q620" s="146"/>
      <c r="R620" s="145"/>
      <c r="S620" s="145" t="s">
        <v>50</v>
      </c>
    </row>
    <row r="621" spans="4:19" x14ac:dyDescent="0.3">
      <c r="D621" s="29" t="s">
        <v>51</v>
      </c>
      <c r="E621" s="29" t="s">
        <v>47</v>
      </c>
      <c r="F621" s="71" t="s">
        <v>19</v>
      </c>
      <c r="G621" s="100"/>
      <c r="H621" s="71"/>
      <c r="I621" s="29" t="s">
        <v>52</v>
      </c>
      <c r="N621" s="145" t="s">
        <v>51</v>
      </c>
      <c r="O621" s="145" t="s">
        <v>47</v>
      </c>
      <c r="P621" s="146" t="s">
        <v>19</v>
      </c>
      <c r="Q621" s="146"/>
      <c r="R621" s="145"/>
      <c r="S621" s="145" t="s">
        <v>52</v>
      </c>
    </row>
    <row r="622" spans="4:19" x14ac:dyDescent="0.3">
      <c r="D622" s="29" t="s">
        <v>53</v>
      </c>
      <c r="E622" s="29" t="s">
        <v>23</v>
      </c>
      <c r="F622" s="71" t="s">
        <v>19</v>
      </c>
      <c r="G622" s="100"/>
      <c r="H622" s="71"/>
      <c r="I622" s="29" t="s">
        <v>54</v>
      </c>
      <c r="N622" s="145" t="s">
        <v>53</v>
      </c>
      <c r="O622" s="145" t="s">
        <v>23</v>
      </c>
      <c r="P622" s="146" t="s">
        <v>19</v>
      </c>
      <c r="Q622" s="146"/>
      <c r="R622" s="145"/>
      <c r="S622" s="145" t="s">
        <v>54</v>
      </c>
    </row>
    <row r="623" spans="4:19" x14ac:dyDescent="0.3">
      <c r="D623" s="29" t="s">
        <v>986</v>
      </c>
      <c r="E623" s="29" t="s">
        <v>23</v>
      </c>
      <c r="F623" s="71"/>
      <c r="G623" s="100"/>
      <c r="H623" s="71"/>
      <c r="I623" s="29" t="s">
        <v>987</v>
      </c>
      <c r="N623" s="145" t="s">
        <v>986</v>
      </c>
      <c r="O623" s="145" t="s">
        <v>23</v>
      </c>
      <c r="P623" s="146"/>
      <c r="Q623" s="146"/>
      <c r="R623" s="145"/>
      <c r="S623" s="145" t="s">
        <v>987</v>
      </c>
    </row>
    <row r="624" spans="4:19" x14ac:dyDescent="0.3">
      <c r="D624" s="29" t="s">
        <v>754</v>
      </c>
      <c r="E624" s="29" t="s">
        <v>73</v>
      </c>
      <c r="F624" s="71"/>
      <c r="G624" s="100"/>
      <c r="H624" s="71"/>
      <c r="I624" s="29" t="s">
        <v>1213</v>
      </c>
      <c r="N624" s="145" t="s">
        <v>754</v>
      </c>
      <c r="O624" s="145" t="s">
        <v>73</v>
      </c>
      <c r="P624" s="146"/>
      <c r="Q624" s="146"/>
      <c r="R624" s="145"/>
      <c r="S624" s="145" t="s">
        <v>1213</v>
      </c>
    </row>
    <row r="625" spans="4:19" x14ac:dyDescent="0.3">
      <c r="D625" s="29" t="s">
        <v>331</v>
      </c>
      <c r="E625" s="29" t="s">
        <v>44</v>
      </c>
      <c r="F625" s="71" t="s">
        <v>19</v>
      </c>
      <c r="G625" s="100"/>
      <c r="H625" s="71"/>
      <c r="I625" s="29" t="s">
        <v>332</v>
      </c>
      <c r="N625" s="145" t="s">
        <v>331</v>
      </c>
      <c r="O625" s="145" t="s">
        <v>44</v>
      </c>
      <c r="P625" s="146" t="s">
        <v>19</v>
      </c>
      <c r="Q625" s="146"/>
      <c r="R625" s="145"/>
      <c r="S625" s="145" t="s">
        <v>332</v>
      </c>
    </row>
    <row r="626" spans="4:19" x14ac:dyDescent="0.3">
      <c r="D626" s="29" t="s">
        <v>337</v>
      </c>
      <c r="E626" s="29" t="s">
        <v>23</v>
      </c>
      <c r="F626" s="71" t="s">
        <v>19</v>
      </c>
      <c r="G626" s="100"/>
      <c r="H626" s="71"/>
      <c r="I626" s="29" t="s">
        <v>338</v>
      </c>
      <c r="N626" s="145" t="s">
        <v>337</v>
      </c>
      <c r="O626" s="145" t="s">
        <v>23</v>
      </c>
      <c r="P626" s="146" t="s">
        <v>19</v>
      </c>
      <c r="Q626" s="146"/>
      <c r="R626" s="145"/>
      <c r="S626" s="145" t="s">
        <v>338</v>
      </c>
    </row>
    <row r="627" spans="4:19" x14ac:dyDescent="0.3">
      <c r="D627" s="29" t="s">
        <v>1214</v>
      </c>
      <c r="E627" s="29" t="s">
        <v>47</v>
      </c>
      <c r="F627" s="71" t="s">
        <v>19</v>
      </c>
      <c r="G627" s="100"/>
      <c r="H627" s="71"/>
      <c r="I627" s="29" t="s">
        <v>1215</v>
      </c>
      <c r="N627" s="145" t="s">
        <v>1214</v>
      </c>
      <c r="O627" s="145" t="s">
        <v>47</v>
      </c>
      <c r="P627" s="146" t="s">
        <v>19</v>
      </c>
      <c r="Q627" s="146"/>
      <c r="R627" s="145"/>
      <c r="S627" s="145" t="s">
        <v>1215</v>
      </c>
    </row>
    <row r="628" spans="4:19" x14ac:dyDescent="0.3">
      <c r="D628" s="29" t="s">
        <v>1216</v>
      </c>
      <c r="E628" s="29" t="s">
        <v>133</v>
      </c>
      <c r="F628" s="71" t="s">
        <v>19</v>
      </c>
      <c r="G628" s="100"/>
      <c r="H628" s="71"/>
      <c r="I628" s="29" t="s">
        <v>1217</v>
      </c>
      <c r="N628" s="145" t="s">
        <v>1216</v>
      </c>
      <c r="O628" s="145" t="s">
        <v>133</v>
      </c>
      <c r="P628" s="146" t="s">
        <v>19</v>
      </c>
      <c r="Q628" s="146"/>
      <c r="R628" s="145"/>
      <c r="S628" s="145" t="s">
        <v>1217</v>
      </c>
    </row>
    <row r="629" spans="4:19" x14ac:dyDescent="0.3">
      <c r="D629" s="29" t="s">
        <v>1218</v>
      </c>
      <c r="E629" s="29" t="s">
        <v>133</v>
      </c>
      <c r="F629" s="71" t="s">
        <v>19</v>
      </c>
      <c r="G629" s="100"/>
      <c r="H629" s="71"/>
      <c r="I629" s="29" t="s">
        <v>1219</v>
      </c>
      <c r="N629" s="145" t="s">
        <v>1218</v>
      </c>
      <c r="O629" s="145" t="s">
        <v>133</v>
      </c>
      <c r="P629" s="146" t="s">
        <v>19</v>
      </c>
      <c r="Q629" s="146"/>
      <c r="R629" s="145"/>
      <c r="S629" s="145" t="s">
        <v>1219</v>
      </c>
    </row>
    <row r="630" spans="4:19" x14ac:dyDescent="0.3">
      <c r="D630" s="29" t="s">
        <v>1220</v>
      </c>
      <c r="E630" s="29" t="s">
        <v>133</v>
      </c>
      <c r="F630" s="71" t="s">
        <v>19</v>
      </c>
      <c r="G630" s="100"/>
      <c r="H630" s="71"/>
      <c r="I630" s="29" t="s">
        <v>1221</v>
      </c>
      <c r="N630" s="145" t="s">
        <v>1220</v>
      </c>
      <c r="O630" s="145" t="s">
        <v>133</v>
      </c>
      <c r="P630" s="146" t="s">
        <v>19</v>
      </c>
      <c r="Q630" s="146"/>
      <c r="R630" s="145"/>
      <c r="S630" s="145" t="s">
        <v>1221</v>
      </c>
    </row>
    <row r="631" spans="4:19" x14ac:dyDescent="0.3">
      <c r="D631" s="29" t="s">
        <v>1222</v>
      </c>
      <c r="E631" s="29" t="s">
        <v>133</v>
      </c>
      <c r="F631" s="71" t="s">
        <v>19</v>
      </c>
      <c r="G631" s="100"/>
      <c r="H631" s="71"/>
      <c r="I631" s="29" t="s">
        <v>1223</v>
      </c>
      <c r="N631" s="145" t="s">
        <v>1222</v>
      </c>
      <c r="O631" s="145" t="s">
        <v>133</v>
      </c>
      <c r="P631" s="146" t="s">
        <v>19</v>
      </c>
      <c r="Q631" s="146"/>
      <c r="R631" s="145"/>
      <c r="S631" s="145" t="s">
        <v>1223</v>
      </c>
    </row>
    <row r="632" spans="4:19" x14ac:dyDescent="0.3">
      <c r="D632" s="29" t="s">
        <v>1224</v>
      </c>
      <c r="E632" s="29" t="s">
        <v>31</v>
      </c>
      <c r="F632" s="71" t="s">
        <v>19</v>
      </c>
      <c r="G632" s="100"/>
      <c r="H632" s="71"/>
      <c r="I632" s="29" t="s">
        <v>1225</v>
      </c>
      <c r="N632" s="145" t="s">
        <v>1224</v>
      </c>
      <c r="O632" s="145" t="s">
        <v>31</v>
      </c>
      <c r="P632" s="146" t="s">
        <v>19</v>
      </c>
      <c r="Q632" s="146"/>
      <c r="R632" s="145"/>
      <c r="S632" s="145" t="s">
        <v>1225</v>
      </c>
    </row>
    <row r="633" spans="4:19" x14ac:dyDescent="0.3">
      <c r="D633" s="29" t="s">
        <v>1226</v>
      </c>
      <c r="E633" s="29" t="s">
        <v>133</v>
      </c>
      <c r="F633" s="71" t="s">
        <v>19</v>
      </c>
      <c r="G633" s="100"/>
      <c r="H633" s="71"/>
      <c r="I633" s="29" t="s">
        <v>1227</v>
      </c>
      <c r="N633" s="145" t="s">
        <v>1226</v>
      </c>
      <c r="O633" s="145" t="s">
        <v>133</v>
      </c>
      <c r="P633" s="146" t="s">
        <v>19</v>
      </c>
      <c r="Q633" s="146"/>
      <c r="R633" s="145"/>
      <c r="S633" s="145" t="s">
        <v>1227</v>
      </c>
    </row>
    <row r="634" spans="4:19" x14ac:dyDescent="0.3">
      <c r="D634" s="29" t="s">
        <v>1228</v>
      </c>
      <c r="E634" s="29" t="s">
        <v>133</v>
      </c>
      <c r="F634" s="71" t="s">
        <v>19</v>
      </c>
      <c r="G634" s="100"/>
      <c r="H634" s="71"/>
      <c r="I634" s="29" t="s">
        <v>1229</v>
      </c>
      <c r="N634" s="145" t="s">
        <v>1228</v>
      </c>
      <c r="O634" s="145" t="s">
        <v>133</v>
      </c>
      <c r="P634" s="146" t="s">
        <v>19</v>
      </c>
      <c r="Q634" s="146"/>
      <c r="R634" s="145"/>
      <c r="S634" s="145" t="s">
        <v>1229</v>
      </c>
    </row>
    <row r="635" spans="4:19" x14ac:dyDescent="0.3">
      <c r="D635" s="29" t="s">
        <v>1230</v>
      </c>
      <c r="E635" s="29" t="s">
        <v>31</v>
      </c>
      <c r="F635" s="71" t="s">
        <v>19</v>
      </c>
      <c r="G635" s="100"/>
      <c r="H635" s="71"/>
      <c r="I635" s="29" t="s">
        <v>1231</v>
      </c>
      <c r="N635" s="145" t="s">
        <v>1230</v>
      </c>
      <c r="O635" s="145" t="s">
        <v>31</v>
      </c>
      <c r="P635" s="146" t="s">
        <v>19</v>
      </c>
      <c r="Q635" s="146"/>
      <c r="R635" s="145"/>
      <c r="S635" s="145" t="s">
        <v>1231</v>
      </c>
    </row>
    <row r="636" spans="4:19" x14ac:dyDescent="0.3">
      <c r="D636" s="29" t="s">
        <v>1232</v>
      </c>
      <c r="E636" s="29" t="s">
        <v>133</v>
      </c>
      <c r="F636" s="71" t="s">
        <v>19</v>
      </c>
      <c r="G636" s="100"/>
      <c r="H636" s="71"/>
      <c r="I636" s="29" t="s">
        <v>1233</v>
      </c>
      <c r="N636" s="145" t="s">
        <v>1232</v>
      </c>
      <c r="O636" s="145" t="s">
        <v>133</v>
      </c>
      <c r="P636" s="146" t="s">
        <v>19</v>
      </c>
      <c r="Q636" s="146"/>
      <c r="R636" s="145"/>
      <c r="S636" s="145" t="s">
        <v>1233</v>
      </c>
    </row>
    <row r="637" spans="4:19" x14ac:dyDescent="0.3">
      <c r="D637" s="29" t="s">
        <v>1234</v>
      </c>
      <c r="E637" s="29" t="s">
        <v>133</v>
      </c>
      <c r="F637" s="71" t="s">
        <v>19</v>
      </c>
      <c r="G637" s="100"/>
      <c r="H637" s="71"/>
      <c r="I637" s="29" t="s">
        <v>1235</v>
      </c>
      <c r="N637" s="145" t="s">
        <v>1234</v>
      </c>
      <c r="O637" s="145" t="s">
        <v>133</v>
      </c>
      <c r="P637" s="146" t="s">
        <v>19</v>
      </c>
      <c r="Q637" s="146"/>
      <c r="R637" s="145"/>
      <c r="S637" s="145" t="s">
        <v>1235</v>
      </c>
    </row>
    <row r="638" spans="4:19" x14ac:dyDescent="0.3">
      <c r="D638" s="29" t="s">
        <v>1236</v>
      </c>
      <c r="E638" s="29" t="s">
        <v>31</v>
      </c>
      <c r="F638" s="71" t="s">
        <v>19</v>
      </c>
      <c r="G638" s="100"/>
      <c r="H638" s="71"/>
      <c r="I638" s="29" t="s">
        <v>1237</v>
      </c>
      <c r="N638" s="145" t="s">
        <v>1236</v>
      </c>
      <c r="O638" s="145" t="s">
        <v>31</v>
      </c>
      <c r="P638" s="146" t="s">
        <v>19</v>
      </c>
      <c r="Q638" s="146"/>
      <c r="R638" s="145"/>
      <c r="S638" s="145" t="s">
        <v>1237</v>
      </c>
    </row>
    <row r="639" spans="4:19" x14ac:dyDescent="0.3">
      <c r="D639" s="29" t="s">
        <v>1238</v>
      </c>
      <c r="E639" s="29" t="s">
        <v>133</v>
      </c>
      <c r="F639" s="71" t="s">
        <v>19</v>
      </c>
      <c r="G639" s="100"/>
      <c r="H639" s="71"/>
      <c r="I639" s="29" t="s">
        <v>1239</v>
      </c>
      <c r="N639" s="145" t="s">
        <v>1238</v>
      </c>
      <c r="O639" s="145" t="s">
        <v>133</v>
      </c>
      <c r="P639" s="146" t="s">
        <v>19</v>
      </c>
      <c r="Q639" s="146"/>
      <c r="R639" s="145"/>
      <c r="S639" s="145" t="s">
        <v>1239</v>
      </c>
    </row>
    <row r="640" spans="4:19" x14ac:dyDescent="0.3">
      <c r="D640" s="29" t="s">
        <v>1240</v>
      </c>
      <c r="E640" s="29" t="s">
        <v>133</v>
      </c>
      <c r="F640" s="71" t="s">
        <v>19</v>
      </c>
      <c r="G640" s="100"/>
      <c r="H640" s="71"/>
      <c r="I640" s="29" t="s">
        <v>1241</v>
      </c>
      <c r="N640" s="145" t="s">
        <v>1240</v>
      </c>
      <c r="O640" s="145" t="s">
        <v>133</v>
      </c>
      <c r="P640" s="146" t="s">
        <v>19</v>
      </c>
      <c r="Q640" s="146"/>
      <c r="R640" s="145"/>
      <c r="S640" s="145" t="s">
        <v>1241</v>
      </c>
    </row>
    <row r="641" spans="4:19" x14ac:dyDescent="0.3">
      <c r="D641" s="29" t="s">
        <v>1242</v>
      </c>
      <c r="E641" s="29" t="s">
        <v>31</v>
      </c>
      <c r="F641" s="71" t="s">
        <v>19</v>
      </c>
      <c r="G641" s="100"/>
      <c r="H641" s="71"/>
      <c r="I641" s="29" t="s">
        <v>1243</v>
      </c>
      <c r="N641" s="145" t="s">
        <v>1242</v>
      </c>
      <c r="O641" s="145" t="s">
        <v>31</v>
      </c>
      <c r="P641" s="146" t="s">
        <v>19</v>
      </c>
      <c r="Q641" s="146"/>
      <c r="R641" s="145"/>
      <c r="S641" s="145" t="s">
        <v>1243</v>
      </c>
    </row>
    <row r="642" spans="4:19" x14ac:dyDescent="0.3">
      <c r="D642" s="29" t="s">
        <v>1244</v>
      </c>
      <c r="E642" s="29" t="s">
        <v>1245</v>
      </c>
      <c r="F642" s="71" t="s">
        <v>19</v>
      </c>
      <c r="G642" s="100"/>
      <c r="H642" s="71"/>
      <c r="I642" s="29" t="s">
        <v>1246</v>
      </c>
      <c r="N642" s="145" t="s">
        <v>1244</v>
      </c>
      <c r="O642" s="145" t="s">
        <v>1245</v>
      </c>
      <c r="P642" s="146" t="s">
        <v>19</v>
      </c>
      <c r="Q642" s="146"/>
      <c r="R642" s="145"/>
      <c r="S642" s="145" t="s">
        <v>1246</v>
      </c>
    </row>
    <row r="643" spans="4:19" x14ac:dyDescent="0.3">
      <c r="D643" s="29" t="s">
        <v>1247</v>
      </c>
      <c r="E643" s="29" t="s">
        <v>1245</v>
      </c>
      <c r="F643" s="71" t="s">
        <v>19</v>
      </c>
      <c r="G643" s="100"/>
      <c r="H643" s="71"/>
      <c r="I643" s="29" t="s">
        <v>1248</v>
      </c>
      <c r="N643" s="145" t="s">
        <v>1247</v>
      </c>
      <c r="O643" s="145" t="s">
        <v>1245</v>
      </c>
      <c r="P643" s="146" t="s">
        <v>19</v>
      </c>
      <c r="Q643" s="146"/>
      <c r="R643" s="145"/>
      <c r="S643" s="145" t="s">
        <v>1248</v>
      </c>
    </row>
    <row r="644" spans="4:19" x14ac:dyDescent="0.3">
      <c r="D644" s="29" t="s">
        <v>1249</v>
      </c>
      <c r="E644" s="29" t="s">
        <v>36</v>
      </c>
      <c r="F644" s="71" t="s">
        <v>19</v>
      </c>
      <c r="G644" s="100"/>
      <c r="H644" s="71"/>
      <c r="I644" s="29" t="s">
        <v>1250</v>
      </c>
      <c r="N644" s="145" t="s">
        <v>1249</v>
      </c>
      <c r="O644" s="145" t="s">
        <v>36</v>
      </c>
      <c r="P644" s="146" t="s">
        <v>19</v>
      </c>
      <c r="Q644" s="146"/>
      <c r="R644" s="145"/>
      <c r="S644" s="145" t="s">
        <v>1250</v>
      </c>
    </row>
    <row r="645" spans="4:19" x14ac:dyDescent="0.3">
      <c r="D645" s="29" t="s">
        <v>1251</v>
      </c>
      <c r="E645" s="29" t="s">
        <v>133</v>
      </c>
      <c r="F645" s="71" t="s">
        <v>19</v>
      </c>
      <c r="G645" s="100"/>
      <c r="H645" s="71"/>
      <c r="I645" s="29" t="s">
        <v>1252</v>
      </c>
      <c r="N645" s="145" t="s">
        <v>1251</v>
      </c>
      <c r="O645" s="145" t="s">
        <v>133</v>
      </c>
      <c r="P645" s="146" t="s">
        <v>19</v>
      </c>
      <c r="Q645" s="146"/>
      <c r="R645" s="145"/>
      <c r="S645" s="145" t="s">
        <v>1252</v>
      </c>
    </row>
    <row r="646" spans="4:19" x14ac:dyDescent="0.3">
      <c r="D646" s="29" t="s">
        <v>1253</v>
      </c>
      <c r="E646" s="29" t="s">
        <v>31</v>
      </c>
      <c r="F646" s="71" t="s">
        <v>19</v>
      </c>
      <c r="G646" s="100"/>
      <c r="H646" s="71"/>
      <c r="I646" s="29" t="s">
        <v>1254</v>
      </c>
      <c r="N646" s="145" t="s">
        <v>1253</v>
      </c>
      <c r="O646" s="145" t="s">
        <v>31</v>
      </c>
      <c r="P646" s="146" t="s">
        <v>19</v>
      </c>
      <c r="Q646" s="146"/>
      <c r="R646" s="145"/>
      <c r="S646" s="145" t="s">
        <v>1254</v>
      </c>
    </row>
    <row r="647" spans="4:19" x14ac:dyDescent="0.3">
      <c r="D647" s="29" t="s">
        <v>1255</v>
      </c>
      <c r="E647" s="29" t="s">
        <v>133</v>
      </c>
      <c r="F647" s="71" t="s">
        <v>19</v>
      </c>
      <c r="G647" s="100"/>
      <c r="H647" s="71"/>
      <c r="I647" s="29" t="s">
        <v>1256</v>
      </c>
      <c r="N647" s="145" t="s">
        <v>1255</v>
      </c>
      <c r="O647" s="145" t="s">
        <v>133</v>
      </c>
      <c r="P647" s="146" t="s">
        <v>19</v>
      </c>
      <c r="Q647" s="146"/>
      <c r="R647" s="145"/>
      <c r="S647" s="145" t="s">
        <v>1256</v>
      </c>
    </row>
    <row r="648" spans="4:19" x14ac:dyDescent="0.3">
      <c r="D648" s="29" t="s">
        <v>1257</v>
      </c>
      <c r="E648" s="29" t="s">
        <v>133</v>
      </c>
      <c r="F648" s="71" t="s">
        <v>19</v>
      </c>
      <c r="G648" s="100"/>
      <c r="H648" s="71"/>
      <c r="I648" s="29" t="s">
        <v>1258</v>
      </c>
      <c r="N648" s="145" t="s">
        <v>1257</v>
      </c>
      <c r="O648" s="145" t="s">
        <v>133</v>
      </c>
      <c r="P648" s="146" t="s">
        <v>19</v>
      </c>
      <c r="Q648" s="146"/>
      <c r="R648" s="145"/>
      <c r="S648" s="145" t="s">
        <v>1258</v>
      </c>
    </row>
    <row r="649" spans="4:19" x14ac:dyDescent="0.3">
      <c r="D649" s="29" t="s">
        <v>1259</v>
      </c>
      <c r="E649" s="29" t="s">
        <v>31</v>
      </c>
      <c r="F649" s="71" t="s">
        <v>19</v>
      </c>
      <c r="G649" s="100"/>
      <c r="H649" s="71"/>
      <c r="I649" s="29" t="s">
        <v>1260</v>
      </c>
      <c r="N649" s="145" t="s">
        <v>1259</v>
      </c>
      <c r="O649" s="145" t="s">
        <v>31</v>
      </c>
      <c r="P649" s="146" t="s">
        <v>19</v>
      </c>
      <c r="Q649" s="146"/>
      <c r="R649" s="145"/>
      <c r="S649" s="145" t="s">
        <v>1260</v>
      </c>
    </row>
    <row r="650" spans="4:19" x14ac:dyDescent="0.3">
      <c r="D650" s="29" t="s">
        <v>1261</v>
      </c>
      <c r="E650" s="29" t="s">
        <v>31</v>
      </c>
      <c r="F650" s="71" t="s">
        <v>19</v>
      </c>
      <c r="G650" s="100"/>
      <c r="H650" s="71"/>
      <c r="I650" s="29" t="s">
        <v>1262</v>
      </c>
      <c r="N650" s="145" t="s">
        <v>1261</v>
      </c>
      <c r="O650" s="145" t="s">
        <v>31</v>
      </c>
      <c r="P650" s="146" t="s">
        <v>19</v>
      </c>
      <c r="Q650" s="146"/>
      <c r="R650" s="145"/>
      <c r="S650" s="145" t="s">
        <v>1262</v>
      </c>
    </row>
    <row r="651" spans="4:19" x14ac:dyDescent="0.3">
      <c r="D651" s="29" t="s">
        <v>1263</v>
      </c>
      <c r="E651" s="29" t="s">
        <v>133</v>
      </c>
      <c r="F651" s="71" t="s">
        <v>19</v>
      </c>
      <c r="G651" s="100"/>
      <c r="H651" s="71"/>
      <c r="I651" s="29" t="s">
        <v>1264</v>
      </c>
      <c r="N651" s="145" t="s">
        <v>1263</v>
      </c>
      <c r="O651" s="145" t="s">
        <v>133</v>
      </c>
      <c r="P651" s="146" t="s">
        <v>19</v>
      </c>
      <c r="Q651" s="146"/>
      <c r="R651" s="145"/>
      <c r="S651" s="145" t="s">
        <v>1264</v>
      </c>
    </row>
    <row r="652" spans="4:19" x14ac:dyDescent="0.3">
      <c r="D652" s="29" t="s">
        <v>1265</v>
      </c>
      <c r="E652" s="29" t="s">
        <v>31</v>
      </c>
      <c r="F652" s="71" t="s">
        <v>19</v>
      </c>
      <c r="G652" s="100"/>
      <c r="H652" s="71"/>
      <c r="I652" s="29" t="s">
        <v>1266</v>
      </c>
      <c r="N652" s="145" t="s">
        <v>1265</v>
      </c>
      <c r="O652" s="145" t="s">
        <v>31</v>
      </c>
      <c r="P652" s="146" t="s">
        <v>19</v>
      </c>
      <c r="Q652" s="146"/>
      <c r="R652" s="145"/>
      <c r="S652" s="145" t="s">
        <v>1266</v>
      </c>
    </row>
    <row r="653" spans="4:19" x14ac:dyDescent="0.3">
      <c r="D653" s="29" t="s">
        <v>1267</v>
      </c>
      <c r="E653" s="29" t="s">
        <v>31</v>
      </c>
      <c r="F653" s="71" t="s">
        <v>19</v>
      </c>
      <c r="G653" s="100"/>
      <c r="H653" s="71"/>
      <c r="I653" s="29" t="s">
        <v>1268</v>
      </c>
      <c r="N653" s="145" t="s">
        <v>1267</v>
      </c>
      <c r="O653" s="145" t="s">
        <v>31</v>
      </c>
      <c r="P653" s="146" t="s">
        <v>19</v>
      </c>
      <c r="Q653" s="146"/>
      <c r="R653" s="145"/>
      <c r="S653" s="145" t="s">
        <v>1268</v>
      </c>
    </row>
    <row r="654" spans="4:19" x14ac:dyDescent="0.3">
      <c r="D654" s="29" t="s">
        <v>1269</v>
      </c>
      <c r="E654" s="29" t="s">
        <v>31</v>
      </c>
      <c r="F654" s="71" t="s">
        <v>19</v>
      </c>
      <c r="G654" s="100"/>
      <c r="H654" s="71"/>
      <c r="I654" s="29" t="s">
        <v>1270</v>
      </c>
      <c r="N654" s="145" t="s">
        <v>1269</v>
      </c>
      <c r="O654" s="145" t="s">
        <v>31</v>
      </c>
      <c r="P654" s="146" t="s">
        <v>19</v>
      </c>
      <c r="Q654" s="146"/>
      <c r="R654" s="145"/>
      <c r="S654" s="145" t="s">
        <v>1270</v>
      </c>
    </row>
    <row r="655" spans="4:19" x14ac:dyDescent="0.3">
      <c r="D655" s="29" t="s">
        <v>1271</v>
      </c>
      <c r="E655" s="29" t="s">
        <v>133</v>
      </c>
      <c r="F655" s="71" t="s">
        <v>19</v>
      </c>
      <c r="G655" s="100"/>
      <c r="H655" s="71"/>
      <c r="I655" s="29" t="s">
        <v>1272</v>
      </c>
      <c r="N655" s="145" t="s">
        <v>1271</v>
      </c>
      <c r="O655" s="145" t="s">
        <v>133</v>
      </c>
      <c r="P655" s="146" t="s">
        <v>19</v>
      </c>
      <c r="Q655" s="146"/>
      <c r="R655" s="145"/>
      <c r="S655" s="145" t="s">
        <v>1272</v>
      </c>
    </row>
    <row r="656" spans="4:19" x14ac:dyDescent="0.3">
      <c r="D656" s="29" t="s">
        <v>1273</v>
      </c>
      <c r="E656" s="29" t="s">
        <v>133</v>
      </c>
      <c r="F656" s="71" t="s">
        <v>19</v>
      </c>
      <c r="G656" s="100"/>
      <c r="H656" s="71"/>
      <c r="I656" s="29" t="s">
        <v>1274</v>
      </c>
      <c r="N656" s="145" t="s">
        <v>1273</v>
      </c>
      <c r="O656" s="145" t="s">
        <v>133</v>
      </c>
      <c r="P656" s="146" t="s">
        <v>19</v>
      </c>
      <c r="Q656" s="146"/>
      <c r="R656" s="145"/>
      <c r="S656" s="145" t="s">
        <v>1274</v>
      </c>
    </row>
    <row r="657" spans="4:19" x14ac:dyDescent="0.3">
      <c r="D657" s="29" t="s">
        <v>1275</v>
      </c>
      <c r="E657" s="29" t="s">
        <v>133</v>
      </c>
      <c r="F657" s="71" t="s">
        <v>19</v>
      </c>
      <c r="G657" s="100"/>
      <c r="H657" s="71"/>
      <c r="I657" s="29" t="s">
        <v>1276</v>
      </c>
      <c r="N657" s="145" t="s">
        <v>1275</v>
      </c>
      <c r="O657" s="145" t="s">
        <v>133</v>
      </c>
      <c r="P657" s="146" t="s">
        <v>19</v>
      </c>
      <c r="Q657" s="146"/>
      <c r="R657" s="145"/>
      <c r="S657" s="145" t="s">
        <v>1276</v>
      </c>
    </row>
    <row r="658" spans="4:19" x14ac:dyDescent="0.3">
      <c r="D658" s="29" t="s">
        <v>1277</v>
      </c>
      <c r="E658" s="29" t="s">
        <v>133</v>
      </c>
      <c r="F658" s="71" t="s">
        <v>19</v>
      </c>
      <c r="G658" s="100"/>
      <c r="H658" s="71"/>
      <c r="I658" s="29" t="s">
        <v>1278</v>
      </c>
      <c r="N658" s="145" t="s">
        <v>1277</v>
      </c>
      <c r="O658" s="145" t="s">
        <v>133</v>
      </c>
      <c r="P658" s="146" t="s">
        <v>19</v>
      </c>
      <c r="Q658" s="146"/>
      <c r="R658" s="145"/>
      <c r="S658" s="145" t="s">
        <v>1278</v>
      </c>
    </row>
    <row r="659" spans="4:19" x14ac:dyDescent="0.3">
      <c r="D659" s="29" t="s">
        <v>1279</v>
      </c>
      <c r="E659" s="29" t="s">
        <v>133</v>
      </c>
      <c r="F659" s="71" t="s">
        <v>19</v>
      </c>
      <c r="G659" s="100"/>
      <c r="H659" s="71"/>
      <c r="I659" s="29" t="s">
        <v>1280</v>
      </c>
      <c r="N659" s="145" t="s">
        <v>1279</v>
      </c>
      <c r="O659" s="145" t="s">
        <v>133</v>
      </c>
      <c r="P659" s="146" t="s">
        <v>19</v>
      </c>
      <c r="Q659" s="146"/>
      <c r="R659" s="145"/>
      <c r="S659" s="145" t="s">
        <v>1280</v>
      </c>
    </row>
    <row r="660" spans="4:19" x14ac:dyDescent="0.3">
      <c r="D660" s="29" t="s">
        <v>1281</v>
      </c>
      <c r="E660" s="29" t="s">
        <v>31</v>
      </c>
      <c r="F660" s="71" t="s">
        <v>19</v>
      </c>
      <c r="G660" s="100"/>
      <c r="H660" s="71"/>
      <c r="I660" s="29" t="s">
        <v>1282</v>
      </c>
      <c r="N660" s="145" t="s">
        <v>1281</v>
      </c>
      <c r="O660" s="145" t="s">
        <v>31</v>
      </c>
      <c r="P660" s="146" t="s">
        <v>19</v>
      </c>
      <c r="Q660" s="146"/>
      <c r="R660" s="145"/>
      <c r="S660" s="145" t="s">
        <v>1282</v>
      </c>
    </row>
    <row r="661" spans="4:19" x14ac:dyDescent="0.3">
      <c r="D661" s="29" t="s">
        <v>359</v>
      </c>
      <c r="E661" s="29" t="s">
        <v>31</v>
      </c>
      <c r="F661" s="71" t="s">
        <v>19</v>
      </c>
      <c r="G661" s="100"/>
      <c r="H661" s="71"/>
      <c r="I661" s="29" t="s">
        <v>1283</v>
      </c>
      <c r="N661" s="145" t="s">
        <v>359</v>
      </c>
      <c r="O661" s="145" t="s">
        <v>31</v>
      </c>
      <c r="P661" s="146" t="s">
        <v>19</v>
      </c>
      <c r="Q661" s="146"/>
      <c r="R661" s="145"/>
      <c r="S661" s="145" t="s">
        <v>1283</v>
      </c>
    </row>
    <row r="662" spans="4:19" x14ac:dyDescent="0.3">
      <c r="D662" s="29" t="s">
        <v>358</v>
      </c>
      <c r="E662" s="29" t="s">
        <v>133</v>
      </c>
      <c r="F662" s="71" t="s">
        <v>19</v>
      </c>
      <c r="G662" s="100"/>
      <c r="H662" s="71"/>
      <c r="I662" s="29" t="s">
        <v>1121</v>
      </c>
      <c r="N662" s="145" t="s">
        <v>358</v>
      </c>
      <c r="O662" s="145" t="s">
        <v>133</v>
      </c>
      <c r="P662" s="146" t="s">
        <v>19</v>
      </c>
      <c r="Q662" s="146"/>
      <c r="R662" s="145"/>
      <c r="S662" s="145" t="s">
        <v>1121</v>
      </c>
    </row>
    <row r="663" spans="4:19" x14ac:dyDescent="0.3">
      <c r="D663" s="29" t="s">
        <v>1122</v>
      </c>
      <c r="E663" s="29" t="s">
        <v>133</v>
      </c>
      <c r="F663" s="71" t="s">
        <v>19</v>
      </c>
      <c r="G663" s="100"/>
      <c r="H663" s="71"/>
      <c r="I663" s="29" t="s">
        <v>1123</v>
      </c>
      <c r="N663" s="145" t="s">
        <v>1122</v>
      </c>
      <c r="O663" s="145" t="s">
        <v>133</v>
      </c>
      <c r="P663" s="146" t="s">
        <v>19</v>
      </c>
      <c r="Q663" s="146"/>
      <c r="R663" s="145"/>
      <c r="S663" s="145" t="s">
        <v>1123</v>
      </c>
    </row>
    <row r="664" spans="4:19" x14ac:dyDescent="0.3">
      <c r="D664" s="29" t="s">
        <v>1284</v>
      </c>
      <c r="E664" s="29" t="s">
        <v>31</v>
      </c>
      <c r="F664" s="71" t="s">
        <v>19</v>
      </c>
      <c r="G664" s="100"/>
      <c r="H664" s="71"/>
      <c r="I664" s="29" t="s">
        <v>1285</v>
      </c>
      <c r="N664" s="145" t="s">
        <v>1284</v>
      </c>
      <c r="O664" s="145" t="s">
        <v>31</v>
      </c>
      <c r="P664" s="146" t="s">
        <v>19</v>
      </c>
      <c r="Q664" s="146"/>
      <c r="R664" s="145"/>
      <c r="S664" s="145" t="s">
        <v>1285</v>
      </c>
    </row>
    <row r="665" spans="4:19" x14ac:dyDescent="0.3">
      <c r="D665" s="29" t="s">
        <v>1286</v>
      </c>
      <c r="E665" s="29" t="s">
        <v>31</v>
      </c>
      <c r="F665" s="71" t="s">
        <v>19</v>
      </c>
      <c r="G665" s="100"/>
      <c r="H665" s="71"/>
      <c r="I665" s="29" t="s">
        <v>1287</v>
      </c>
      <c r="N665" s="145" t="s">
        <v>1286</v>
      </c>
      <c r="O665" s="145" t="s">
        <v>31</v>
      </c>
      <c r="P665" s="146" t="s">
        <v>19</v>
      </c>
      <c r="Q665" s="146"/>
      <c r="R665" s="145"/>
      <c r="S665" s="145" t="s">
        <v>1287</v>
      </c>
    </row>
    <row r="666" spans="4:19" x14ac:dyDescent="0.3">
      <c r="D666" s="29" t="s">
        <v>1288</v>
      </c>
      <c r="E666" s="29" t="s">
        <v>31</v>
      </c>
      <c r="F666" s="71" t="s">
        <v>19</v>
      </c>
      <c r="G666" s="100"/>
      <c r="H666" s="71"/>
      <c r="I666" s="29" t="s">
        <v>1289</v>
      </c>
      <c r="N666" s="145" t="s">
        <v>1288</v>
      </c>
      <c r="O666" s="145" t="s">
        <v>31</v>
      </c>
      <c r="P666" s="146" t="s">
        <v>19</v>
      </c>
      <c r="Q666" s="146"/>
      <c r="R666" s="145"/>
      <c r="S666" s="145" t="s">
        <v>1289</v>
      </c>
    </row>
    <row r="667" spans="4:19" x14ac:dyDescent="0.3">
      <c r="D667" s="29" t="s">
        <v>41</v>
      </c>
      <c r="E667" s="29" t="s">
        <v>42</v>
      </c>
      <c r="F667" s="71" t="s">
        <v>19</v>
      </c>
      <c r="G667" s="100"/>
      <c r="H667" s="71"/>
      <c r="I667" s="29" t="s">
        <v>16</v>
      </c>
      <c r="N667" s="145" t="s">
        <v>41</v>
      </c>
      <c r="O667" s="145" t="s">
        <v>42</v>
      </c>
      <c r="P667" s="146" t="s">
        <v>19</v>
      </c>
      <c r="Q667" s="146"/>
      <c r="R667" s="145"/>
      <c r="S667" s="145" t="s">
        <v>16</v>
      </c>
    </row>
    <row r="668" spans="4:19" x14ac:dyDescent="0.3">
      <c r="D668" s="29" t="s">
        <v>327</v>
      </c>
      <c r="E668" s="29" t="s">
        <v>23</v>
      </c>
      <c r="F668" s="71" t="s">
        <v>19</v>
      </c>
      <c r="G668" s="100"/>
      <c r="H668" s="71"/>
      <c r="I668" s="29" t="s">
        <v>328</v>
      </c>
      <c r="N668" s="145" t="s">
        <v>327</v>
      </c>
      <c r="O668" s="145" t="s">
        <v>23</v>
      </c>
      <c r="P668" s="146" t="s">
        <v>19</v>
      </c>
      <c r="Q668" s="146"/>
      <c r="R668" s="145"/>
      <c r="S668" s="145" t="s">
        <v>328</v>
      </c>
    </row>
    <row r="669" spans="4:19" x14ac:dyDescent="0.3">
      <c r="D669" s="29" t="s">
        <v>756</v>
      </c>
      <c r="E669" s="29" t="s">
        <v>23</v>
      </c>
      <c r="F669" s="71" t="s">
        <v>19</v>
      </c>
      <c r="G669" s="100"/>
      <c r="H669" s="71"/>
      <c r="I669" s="29" t="s">
        <v>988</v>
      </c>
      <c r="N669" s="145" t="s">
        <v>756</v>
      </c>
      <c r="O669" s="145" t="s">
        <v>23</v>
      </c>
      <c r="P669" s="146" t="s">
        <v>19</v>
      </c>
      <c r="Q669" s="146"/>
      <c r="R669" s="145"/>
      <c r="S669" s="145" t="s">
        <v>988</v>
      </c>
    </row>
    <row r="670" spans="4:19" x14ac:dyDescent="0.3">
      <c r="D670" s="29" t="s">
        <v>28</v>
      </c>
      <c r="E670" s="29" t="s">
        <v>23</v>
      </c>
      <c r="F670" s="71" t="s">
        <v>19</v>
      </c>
      <c r="G670" s="100"/>
      <c r="H670" s="71"/>
      <c r="I670" s="29" t="s">
        <v>29</v>
      </c>
      <c r="N670" s="145" t="s">
        <v>28</v>
      </c>
      <c r="O670" s="145" t="s">
        <v>23</v>
      </c>
      <c r="P670" s="146" t="s">
        <v>19</v>
      </c>
      <c r="Q670" s="146"/>
      <c r="R670" s="145"/>
      <c r="S670" s="145" t="s">
        <v>29</v>
      </c>
    </row>
    <row r="671" spans="4:19" x14ac:dyDescent="0.3">
      <c r="D671" s="29" t="s">
        <v>59</v>
      </c>
      <c r="E671" s="29" t="s">
        <v>60</v>
      </c>
      <c r="F671" s="71" t="s">
        <v>19</v>
      </c>
      <c r="G671" s="100"/>
      <c r="H671" s="71"/>
      <c r="I671" s="29" t="s">
        <v>59</v>
      </c>
      <c r="N671" s="145" t="s">
        <v>59</v>
      </c>
      <c r="O671" s="145" t="s">
        <v>60</v>
      </c>
      <c r="P671" s="146" t="s">
        <v>19</v>
      </c>
      <c r="Q671" s="146"/>
      <c r="R671" s="145"/>
      <c r="S671" s="145" t="s">
        <v>59</v>
      </c>
    </row>
    <row r="672" spans="4:19" x14ac:dyDescent="0.3">
      <c r="D672" s="29" t="s">
        <v>62</v>
      </c>
      <c r="E672" s="29" t="s">
        <v>60</v>
      </c>
      <c r="F672" s="71" t="s">
        <v>19</v>
      </c>
      <c r="G672" s="100"/>
      <c r="H672" s="71"/>
      <c r="I672" s="29" t="s">
        <v>62</v>
      </c>
      <c r="N672" s="145" t="s">
        <v>62</v>
      </c>
      <c r="O672" s="145" t="s">
        <v>60</v>
      </c>
      <c r="P672" s="146" t="s">
        <v>19</v>
      </c>
      <c r="Q672" s="146"/>
      <c r="R672" s="145"/>
      <c r="S672" s="145" t="s">
        <v>62</v>
      </c>
    </row>
    <row r="673" spans="4:19" x14ac:dyDescent="0.3">
      <c r="D673" s="29" t="s">
        <v>64</v>
      </c>
      <c r="E673" s="29" t="s">
        <v>60</v>
      </c>
      <c r="F673" s="71" t="s">
        <v>19</v>
      </c>
      <c r="G673" s="100"/>
      <c r="H673" s="71"/>
      <c r="I673" s="29" t="s">
        <v>64</v>
      </c>
      <c r="N673" s="145" t="s">
        <v>64</v>
      </c>
      <c r="O673" s="145" t="s">
        <v>60</v>
      </c>
      <c r="P673" s="146" t="s">
        <v>19</v>
      </c>
      <c r="Q673" s="146"/>
      <c r="R673" s="145"/>
      <c r="S673" s="145" t="s">
        <v>64</v>
      </c>
    </row>
    <row r="674" spans="4:19" x14ac:dyDescent="0.3">
      <c r="D674" s="29" t="s">
        <v>66</v>
      </c>
      <c r="E674" s="29" t="s">
        <v>60</v>
      </c>
      <c r="F674" s="71" t="s">
        <v>19</v>
      </c>
      <c r="G674" s="100"/>
      <c r="H674" s="71"/>
      <c r="I674" s="29" t="s">
        <v>66</v>
      </c>
      <c r="N674" s="145" t="s">
        <v>66</v>
      </c>
      <c r="O674" s="145" t="s">
        <v>60</v>
      </c>
      <c r="P674" s="146" t="s">
        <v>19</v>
      </c>
      <c r="Q674" s="146"/>
      <c r="R674" s="145"/>
      <c r="S674" s="145" t="s">
        <v>66</v>
      </c>
    </row>
    <row r="675" spans="4:19" x14ac:dyDescent="0.3">
      <c r="D675" s="29" t="s">
        <v>67</v>
      </c>
      <c r="E675" s="29" t="s">
        <v>60</v>
      </c>
      <c r="F675" s="71" t="s">
        <v>19</v>
      </c>
      <c r="G675" s="100"/>
      <c r="H675" s="71"/>
      <c r="I675" s="29" t="s">
        <v>67</v>
      </c>
      <c r="N675" s="145" t="s">
        <v>67</v>
      </c>
      <c r="O675" s="145" t="s">
        <v>60</v>
      </c>
      <c r="P675" s="146" t="s">
        <v>19</v>
      </c>
      <c r="Q675" s="146"/>
      <c r="R675" s="145"/>
      <c r="S675" s="145" t="s">
        <v>67</v>
      </c>
    </row>
    <row r="676" spans="4:19" x14ac:dyDescent="0.3">
      <c r="D676" s="29" t="s">
        <v>1290</v>
      </c>
      <c r="E676" s="29" t="s">
        <v>36</v>
      </c>
      <c r="F676" s="71" t="s">
        <v>19</v>
      </c>
      <c r="G676" s="100"/>
      <c r="H676" s="71"/>
      <c r="I676" s="29" t="s">
        <v>1291</v>
      </c>
      <c r="N676" s="145" t="s">
        <v>1290</v>
      </c>
      <c r="O676" s="145" t="s">
        <v>36</v>
      </c>
      <c r="P676" s="146" t="s">
        <v>19</v>
      </c>
      <c r="Q676" s="146"/>
      <c r="R676" s="145"/>
      <c r="S676" s="145" t="s">
        <v>1291</v>
      </c>
    </row>
    <row r="677" spans="4:19" x14ac:dyDescent="0.3">
      <c r="D677" s="29" t="s">
        <v>1292</v>
      </c>
      <c r="E677" s="29" t="s">
        <v>36</v>
      </c>
      <c r="F677" s="71" t="s">
        <v>19</v>
      </c>
      <c r="G677" s="100"/>
      <c r="H677" s="71"/>
      <c r="I677" s="29" t="s">
        <v>1293</v>
      </c>
      <c r="N677" s="145" t="s">
        <v>1292</v>
      </c>
      <c r="O677" s="145" t="s">
        <v>36</v>
      </c>
      <c r="P677" s="146" t="s">
        <v>19</v>
      </c>
      <c r="Q677" s="146"/>
      <c r="R677" s="145"/>
      <c r="S677" s="145" t="s">
        <v>1293</v>
      </c>
    </row>
    <row r="678" spans="4:19" x14ac:dyDescent="0.3">
      <c r="D678" s="29" t="s">
        <v>1294</v>
      </c>
      <c r="E678" s="29" t="s">
        <v>36</v>
      </c>
      <c r="F678" s="71" t="s">
        <v>19</v>
      </c>
      <c r="G678" s="100"/>
      <c r="H678" s="71"/>
      <c r="I678" s="29" t="s">
        <v>1295</v>
      </c>
      <c r="N678" s="145" t="s">
        <v>1294</v>
      </c>
      <c r="O678" s="145" t="s">
        <v>36</v>
      </c>
      <c r="P678" s="146" t="s">
        <v>19</v>
      </c>
      <c r="Q678" s="146"/>
      <c r="R678" s="145"/>
      <c r="S678" s="145" t="s">
        <v>1295</v>
      </c>
    </row>
    <row r="679" spans="4:19" x14ac:dyDescent="0.3">
      <c r="D679" s="29" t="s">
        <v>1296</v>
      </c>
      <c r="E679" s="29" t="s">
        <v>44</v>
      </c>
      <c r="F679" s="71" t="s">
        <v>19</v>
      </c>
      <c r="G679" s="100" t="s">
        <v>20</v>
      </c>
      <c r="H679" s="71"/>
      <c r="I679" s="29" t="s">
        <v>1297</v>
      </c>
      <c r="N679" s="145" t="s">
        <v>1296</v>
      </c>
      <c r="O679" s="145" t="s">
        <v>44</v>
      </c>
      <c r="P679" s="146" t="s">
        <v>19</v>
      </c>
      <c r="Q679" s="146">
        <v>0</v>
      </c>
      <c r="R679" s="145"/>
      <c r="S679" s="145" t="s">
        <v>1297</v>
      </c>
    </row>
    <row r="680" spans="4:19" x14ac:dyDescent="0.3">
      <c r="D680" s="29" t="s">
        <v>38</v>
      </c>
      <c r="E680" s="29" t="s">
        <v>271</v>
      </c>
      <c r="F680" s="71"/>
      <c r="G680" s="100"/>
      <c r="H680" s="71"/>
      <c r="I680" s="29"/>
      <c r="N680" s="145" t="s">
        <v>38</v>
      </c>
      <c r="O680" s="145" t="s">
        <v>271</v>
      </c>
      <c r="P680" s="146"/>
      <c r="Q680" s="146"/>
      <c r="R680" s="145"/>
      <c r="S680" s="145"/>
    </row>
    <row r="681" spans="4:19" x14ac:dyDescent="0.3">
      <c r="D681" s="29" t="s">
        <v>755</v>
      </c>
      <c r="E681" s="29" t="s">
        <v>42</v>
      </c>
      <c r="F681" s="71" t="s">
        <v>19</v>
      </c>
      <c r="G681" s="100"/>
      <c r="H681" s="71"/>
      <c r="I681" s="29"/>
      <c r="N681" s="145" t="s">
        <v>755</v>
      </c>
      <c r="O681" s="145" t="s">
        <v>42</v>
      </c>
      <c r="P681" s="146" t="s">
        <v>19</v>
      </c>
      <c r="Q681" s="146"/>
      <c r="R681" s="145"/>
      <c r="S681" s="145"/>
    </row>
    <row r="682" spans="4:19" x14ac:dyDescent="0.3">
      <c r="D682" s="38" t="s">
        <v>1298</v>
      </c>
      <c r="E682" s="38" t="s">
        <v>60</v>
      </c>
      <c r="F682" s="72" t="s">
        <v>19</v>
      </c>
      <c r="G682" s="101"/>
      <c r="H682" s="72"/>
      <c r="I682" s="38"/>
      <c r="N682" s="148" t="s">
        <v>1298</v>
      </c>
      <c r="O682" s="148" t="s">
        <v>60</v>
      </c>
      <c r="P682" s="149" t="s">
        <v>19</v>
      </c>
      <c r="Q682" s="149"/>
      <c r="R682" s="148"/>
      <c r="S682" s="148"/>
    </row>
    <row r="684" spans="4:19" x14ac:dyDescent="0.3">
      <c r="D684" s="10" t="s">
        <v>1305</v>
      </c>
      <c r="N684" s="10" t="s">
        <v>1396</v>
      </c>
      <c r="Q684" s="18"/>
    </row>
    <row r="685" spans="4:19" x14ac:dyDescent="0.3">
      <c r="D685" s="43" t="s">
        <v>1306</v>
      </c>
      <c r="E685" s="43" t="s">
        <v>0</v>
      </c>
      <c r="F685" s="43" t="s">
        <v>1</v>
      </c>
      <c r="G685" s="43" t="s">
        <v>2</v>
      </c>
      <c r="H685" s="43" t="s">
        <v>21</v>
      </c>
      <c r="I685" s="43" t="s">
        <v>3</v>
      </c>
      <c r="N685" s="43" t="s">
        <v>85</v>
      </c>
      <c r="O685" s="43" t="s">
        <v>0</v>
      </c>
      <c r="P685" s="43" t="s">
        <v>1</v>
      </c>
      <c r="Q685" s="43" t="s">
        <v>2</v>
      </c>
      <c r="R685" s="43" t="s">
        <v>21</v>
      </c>
      <c r="S685" s="43" t="s">
        <v>3</v>
      </c>
    </row>
    <row r="686" spans="4:19" x14ac:dyDescent="0.3">
      <c r="D686" s="129" t="s">
        <v>1210</v>
      </c>
      <c r="E686" s="129" t="s">
        <v>23</v>
      </c>
      <c r="F686" s="130"/>
      <c r="G686" s="131"/>
      <c r="H686" s="130">
        <v>1</v>
      </c>
      <c r="I686" s="129" t="s">
        <v>1211</v>
      </c>
      <c r="N686" s="142" t="s">
        <v>1210</v>
      </c>
      <c r="O686" s="142" t="s">
        <v>23</v>
      </c>
      <c r="P686" s="143"/>
      <c r="Q686" s="144"/>
      <c r="R686" s="143">
        <v>1</v>
      </c>
      <c r="S686" s="142" t="s">
        <v>1211</v>
      </c>
    </row>
    <row r="687" spans="4:19" ht="27" x14ac:dyDescent="0.3">
      <c r="D687" s="29" t="s">
        <v>46</v>
      </c>
      <c r="E687" s="29" t="s">
        <v>47</v>
      </c>
      <c r="F687" s="71"/>
      <c r="G687" s="25" t="s">
        <v>1044</v>
      </c>
      <c r="H687" s="71"/>
      <c r="I687" s="29" t="s">
        <v>48</v>
      </c>
      <c r="N687" s="145" t="s">
        <v>46</v>
      </c>
      <c r="O687" s="145" t="s">
        <v>47</v>
      </c>
      <c r="P687" s="146"/>
      <c r="Q687" s="147" t="s">
        <v>1385</v>
      </c>
      <c r="R687" s="145"/>
      <c r="S687" s="145" t="s">
        <v>48</v>
      </c>
    </row>
    <row r="688" spans="4:19" x14ac:dyDescent="0.3">
      <c r="D688" s="29" t="s">
        <v>49</v>
      </c>
      <c r="E688" s="29" t="s">
        <v>23</v>
      </c>
      <c r="F688" s="71"/>
      <c r="G688" s="100"/>
      <c r="H688" s="71"/>
      <c r="I688" s="29" t="s">
        <v>50</v>
      </c>
      <c r="N688" s="145" t="s">
        <v>49</v>
      </c>
      <c r="O688" s="145" t="s">
        <v>23</v>
      </c>
      <c r="P688" s="146"/>
      <c r="Q688" s="146"/>
      <c r="R688" s="145"/>
      <c r="S688" s="145" t="s">
        <v>50</v>
      </c>
    </row>
    <row r="689" spans="4:19" x14ac:dyDescent="0.3">
      <c r="D689" s="29" t="s">
        <v>51</v>
      </c>
      <c r="E689" s="29" t="s">
        <v>47</v>
      </c>
      <c r="F689" s="71" t="s">
        <v>19</v>
      </c>
      <c r="G689" s="100"/>
      <c r="H689" s="71"/>
      <c r="I689" s="29" t="s">
        <v>52</v>
      </c>
      <c r="N689" s="145" t="s">
        <v>51</v>
      </c>
      <c r="O689" s="145" t="s">
        <v>47</v>
      </c>
      <c r="P689" s="146" t="s">
        <v>19</v>
      </c>
      <c r="Q689" s="146"/>
      <c r="R689" s="145"/>
      <c r="S689" s="145" t="s">
        <v>52</v>
      </c>
    </row>
    <row r="690" spans="4:19" x14ac:dyDescent="0.3">
      <c r="D690" s="29" t="s">
        <v>53</v>
      </c>
      <c r="E690" s="29" t="s">
        <v>23</v>
      </c>
      <c r="F690" s="71" t="s">
        <v>19</v>
      </c>
      <c r="G690" s="100"/>
      <c r="H690" s="71"/>
      <c r="I690" s="29" t="s">
        <v>54</v>
      </c>
      <c r="N690" s="145" t="s">
        <v>53</v>
      </c>
      <c r="O690" s="145" t="s">
        <v>23</v>
      </c>
      <c r="P690" s="146" t="s">
        <v>19</v>
      </c>
      <c r="Q690" s="146"/>
      <c r="R690" s="145"/>
      <c r="S690" s="145" t="s">
        <v>54</v>
      </c>
    </row>
    <row r="691" spans="4:19" x14ac:dyDescent="0.3">
      <c r="D691" s="29" t="s">
        <v>986</v>
      </c>
      <c r="E691" s="29" t="s">
        <v>23</v>
      </c>
      <c r="F691" s="71"/>
      <c r="G691" s="100"/>
      <c r="H691" s="71"/>
      <c r="I691" s="29" t="s">
        <v>987</v>
      </c>
      <c r="N691" s="145" t="s">
        <v>986</v>
      </c>
      <c r="O691" s="145" t="s">
        <v>23</v>
      </c>
      <c r="P691" s="146"/>
      <c r="Q691" s="146"/>
      <c r="R691" s="145"/>
      <c r="S691" s="145" t="s">
        <v>987</v>
      </c>
    </row>
    <row r="692" spans="4:19" x14ac:dyDescent="0.3">
      <c r="D692" s="29" t="s">
        <v>754</v>
      </c>
      <c r="E692" s="29" t="s">
        <v>73</v>
      </c>
      <c r="F692" s="71"/>
      <c r="G692" s="100"/>
      <c r="H692" s="71"/>
      <c r="I692" s="29" t="s">
        <v>1213</v>
      </c>
      <c r="N692" s="145" t="s">
        <v>754</v>
      </c>
      <c r="O692" s="145" t="s">
        <v>73</v>
      </c>
      <c r="P692" s="146"/>
      <c r="Q692" s="146"/>
      <c r="R692" s="145"/>
      <c r="S692" s="145" t="s">
        <v>1213</v>
      </c>
    </row>
    <row r="693" spans="4:19" x14ac:dyDescent="0.3">
      <c r="D693" s="29" t="s">
        <v>331</v>
      </c>
      <c r="E693" s="29" t="s">
        <v>44</v>
      </c>
      <c r="F693" s="71" t="s">
        <v>19</v>
      </c>
      <c r="G693" s="100"/>
      <c r="H693" s="71"/>
      <c r="I693" s="29" t="s">
        <v>332</v>
      </c>
      <c r="N693" s="145" t="s">
        <v>331</v>
      </c>
      <c r="O693" s="145" t="s">
        <v>44</v>
      </c>
      <c r="P693" s="146" t="s">
        <v>19</v>
      </c>
      <c r="Q693" s="146"/>
      <c r="R693" s="145"/>
      <c r="S693" s="145" t="s">
        <v>332</v>
      </c>
    </row>
    <row r="694" spans="4:19" x14ac:dyDescent="0.3">
      <c r="D694" s="29" t="s">
        <v>337</v>
      </c>
      <c r="E694" s="29" t="s">
        <v>23</v>
      </c>
      <c r="F694" s="71" t="s">
        <v>19</v>
      </c>
      <c r="G694" s="100"/>
      <c r="H694" s="71"/>
      <c r="I694" s="29" t="s">
        <v>338</v>
      </c>
      <c r="N694" s="145" t="s">
        <v>337</v>
      </c>
      <c r="O694" s="145" t="s">
        <v>23</v>
      </c>
      <c r="P694" s="146" t="s">
        <v>19</v>
      </c>
      <c r="Q694" s="146"/>
      <c r="R694" s="145"/>
      <c r="S694" s="145" t="s">
        <v>338</v>
      </c>
    </row>
    <row r="695" spans="4:19" x14ac:dyDescent="0.3">
      <c r="D695" s="29" t="s">
        <v>1214</v>
      </c>
      <c r="E695" s="29" t="s">
        <v>47</v>
      </c>
      <c r="F695" s="71" t="s">
        <v>19</v>
      </c>
      <c r="G695" s="100"/>
      <c r="H695" s="71"/>
      <c r="I695" s="29" t="s">
        <v>1215</v>
      </c>
      <c r="N695" s="145" t="s">
        <v>1214</v>
      </c>
      <c r="O695" s="145" t="s">
        <v>47</v>
      </c>
      <c r="P695" s="146" t="s">
        <v>19</v>
      </c>
      <c r="Q695" s="146"/>
      <c r="R695" s="145"/>
      <c r="S695" s="145" t="s">
        <v>1215</v>
      </c>
    </row>
    <row r="696" spans="4:19" x14ac:dyDescent="0.3">
      <c r="D696" s="29" t="s">
        <v>1216</v>
      </c>
      <c r="E696" s="29" t="s">
        <v>133</v>
      </c>
      <c r="F696" s="71" t="s">
        <v>19</v>
      </c>
      <c r="G696" s="100"/>
      <c r="H696" s="71"/>
      <c r="I696" s="29" t="s">
        <v>1217</v>
      </c>
      <c r="N696" s="145" t="s">
        <v>1216</v>
      </c>
      <c r="O696" s="145" t="s">
        <v>133</v>
      </c>
      <c r="P696" s="146" t="s">
        <v>19</v>
      </c>
      <c r="Q696" s="146"/>
      <c r="R696" s="145"/>
      <c r="S696" s="145" t="s">
        <v>1217</v>
      </c>
    </row>
    <row r="697" spans="4:19" x14ac:dyDescent="0.3">
      <c r="D697" s="29" t="s">
        <v>1218</v>
      </c>
      <c r="E697" s="29" t="s">
        <v>133</v>
      </c>
      <c r="F697" s="71" t="s">
        <v>19</v>
      </c>
      <c r="G697" s="100"/>
      <c r="H697" s="71"/>
      <c r="I697" s="29" t="s">
        <v>1219</v>
      </c>
      <c r="N697" s="145" t="s">
        <v>1218</v>
      </c>
      <c r="O697" s="145" t="s">
        <v>133</v>
      </c>
      <c r="P697" s="146" t="s">
        <v>19</v>
      </c>
      <c r="Q697" s="146"/>
      <c r="R697" s="145"/>
      <c r="S697" s="145" t="s">
        <v>1219</v>
      </c>
    </row>
    <row r="698" spans="4:19" x14ac:dyDescent="0.3">
      <c r="D698" s="29" t="s">
        <v>1220</v>
      </c>
      <c r="E698" s="29" t="s">
        <v>133</v>
      </c>
      <c r="F698" s="71" t="s">
        <v>19</v>
      </c>
      <c r="G698" s="100"/>
      <c r="H698" s="71"/>
      <c r="I698" s="29" t="s">
        <v>1221</v>
      </c>
      <c r="N698" s="145" t="s">
        <v>1220</v>
      </c>
      <c r="O698" s="145" t="s">
        <v>133</v>
      </c>
      <c r="P698" s="146" t="s">
        <v>19</v>
      </c>
      <c r="Q698" s="146"/>
      <c r="R698" s="145"/>
      <c r="S698" s="145" t="s">
        <v>1221</v>
      </c>
    </row>
    <row r="699" spans="4:19" x14ac:dyDescent="0.3">
      <c r="D699" s="29" t="s">
        <v>1222</v>
      </c>
      <c r="E699" s="29" t="s">
        <v>133</v>
      </c>
      <c r="F699" s="71" t="s">
        <v>19</v>
      </c>
      <c r="G699" s="100"/>
      <c r="H699" s="71"/>
      <c r="I699" s="29" t="s">
        <v>1223</v>
      </c>
      <c r="N699" s="145" t="s">
        <v>1222</v>
      </c>
      <c r="O699" s="145" t="s">
        <v>133</v>
      </c>
      <c r="P699" s="146" t="s">
        <v>19</v>
      </c>
      <c r="Q699" s="146"/>
      <c r="R699" s="145"/>
      <c r="S699" s="145" t="s">
        <v>1223</v>
      </c>
    </row>
    <row r="700" spans="4:19" x14ac:dyDescent="0.3">
      <c r="D700" s="29" t="s">
        <v>1224</v>
      </c>
      <c r="E700" s="29" t="s">
        <v>31</v>
      </c>
      <c r="F700" s="71" t="s">
        <v>19</v>
      </c>
      <c r="G700" s="100"/>
      <c r="H700" s="71"/>
      <c r="I700" s="29" t="s">
        <v>1225</v>
      </c>
      <c r="N700" s="145" t="s">
        <v>1224</v>
      </c>
      <c r="O700" s="145" t="s">
        <v>31</v>
      </c>
      <c r="P700" s="146" t="s">
        <v>19</v>
      </c>
      <c r="Q700" s="146"/>
      <c r="R700" s="145"/>
      <c r="S700" s="145" t="s">
        <v>1225</v>
      </c>
    </row>
    <row r="701" spans="4:19" x14ac:dyDescent="0.3">
      <c r="D701" s="29" t="s">
        <v>1226</v>
      </c>
      <c r="E701" s="29" t="s">
        <v>133</v>
      </c>
      <c r="F701" s="71" t="s">
        <v>19</v>
      </c>
      <c r="G701" s="100"/>
      <c r="H701" s="71"/>
      <c r="I701" s="29" t="s">
        <v>1227</v>
      </c>
      <c r="N701" s="145" t="s">
        <v>1226</v>
      </c>
      <c r="O701" s="145" t="s">
        <v>133</v>
      </c>
      <c r="P701" s="146" t="s">
        <v>19</v>
      </c>
      <c r="Q701" s="146"/>
      <c r="R701" s="145"/>
      <c r="S701" s="145" t="s">
        <v>1227</v>
      </c>
    </row>
    <row r="702" spans="4:19" x14ac:dyDescent="0.3">
      <c r="D702" s="29" t="s">
        <v>1228</v>
      </c>
      <c r="E702" s="29" t="s">
        <v>133</v>
      </c>
      <c r="F702" s="71" t="s">
        <v>19</v>
      </c>
      <c r="G702" s="100"/>
      <c r="H702" s="71"/>
      <c r="I702" s="29" t="s">
        <v>1229</v>
      </c>
      <c r="N702" s="145" t="s">
        <v>1228</v>
      </c>
      <c r="O702" s="145" t="s">
        <v>133</v>
      </c>
      <c r="P702" s="146" t="s">
        <v>19</v>
      </c>
      <c r="Q702" s="146"/>
      <c r="R702" s="145"/>
      <c r="S702" s="145" t="s">
        <v>1229</v>
      </c>
    </row>
    <row r="703" spans="4:19" x14ac:dyDescent="0.3">
      <c r="D703" s="29" t="s">
        <v>1230</v>
      </c>
      <c r="E703" s="29" t="s">
        <v>31</v>
      </c>
      <c r="F703" s="71" t="s">
        <v>19</v>
      </c>
      <c r="G703" s="100"/>
      <c r="H703" s="71"/>
      <c r="I703" s="29" t="s">
        <v>1231</v>
      </c>
      <c r="N703" s="145" t="s">
        <v>1230</v>
      </c>
      <c r="O703" s="145" t="s">
        <v>31</v>
      </c>
      <c r="P703" s="146" t="s">
        <v>19</v>
      </c>
      <c r="Q703" s="146"/>
      <c r="R703" s="145"/>
      <c r="S703" s="145" t="s">
        <v>1231</v>
      </c>
    </row>
    <row r="704" spans="4:19" x14ac:dyDescent="0.3">
      <c r="D704" s="29" t="s">
        <v>1232</v>
      </c>
      <c r="E704" s="29" t="s">
        <v>133</v>
      </c>
      <c r="F704" s="71" t="s">
        <v>19</v>
      </c>
      <c r="G704" s="100"/>
      <c r="H704" s="71"/>
      <c r="I704" s="29" t="s">
        <v>1233</v>
      </c>
      <c r="N704" s="145" t="s">
        <v>1232</v>
      </c>
      <c r="O704" s="145" t="s">
        <v>133</v>
      </c>
      <c r="P704" s="146" t="s">
        <v>19</v>
      </c>
      <c r="Q704" s="146"/>
      <c r="R704" s="145"/>
      <c r="S704" s="145" t="s">
        <v>1233</v>
      </c>
    </row>
    <row r="705" spans="4:19" x14ac:dyDescent="0.3">
      <c r="D705" s="29" t="s">
        <v>1234</v>
      </c>
      <c r="E705" s="29" t="s">
        <v>133</v>
      </c>
      <c r="F705" s="71" t="s">
        <v>19</v>
      </c>
      <c r="G705" s="100"/>
      <c r="H705" s="71"/>
      <c r="I705" s="29" t="s">
        <v>1235</v>
      </c>
      <c r="N705" s="145" t="s">
        <v>1234</v>
      </c>
      <c r="O705" s="145" t="s">
        <v>133</v>
      </c>
      <c r="P705" s="146" t="s">
        <v>19</v>
      </c>
      <c r="Q705" s="146"/>
      <c r="R705" s="145"/>
      <c r="S705" s="145" t="s">
        <v>1235</v>
      </c>
    </row>
    <row r="706" spans="4:19" x14ac:dyDescent="0.3">
      <c r="D706" s="29" t="s">
        <v>1236</v>
      </c>
      <c r="E706" s="29" t="s">
        <v>31</v>
      </c>
      <c r="F706" s="71" t="s">
        <v>19</v>
      </c>
      <c r="G706" s="100"/>
      <c r="H706" s="71"/>
      <c r="I706" s="29" t="s">
        <v>1237</v>
      </c>
      <c r="N706" s="145" t="s">
        <v>1236</v>
      </c>
      <c r="O706" s="145" t="s">
        <v>31</v>
      </c>
      <c r="P706" s="146" t="s">
        <v>19</v>
      </c>
      <c r="Q706" s="146"/>
      <c r="R706" s="145"/>
      <c r="S706" s="145" t="s">
        <v>1237</v>
      </c>
    </row>
    <row r="707" spans="4:19" x14ac:dyDescent="0.3">
      <c r="D707" s="29" t="s">
        <v>1238</v>
      </c>
      <c r="E707" s="29" t="s">
        <v>133</v>
      </c>
      <c r="F707" s="71" t="s">
        <v>19</v>
      </c>
      <c r="G707" s="100"/>
      <c r="H707" s="71"/>
      <c r="I707" s="29" t="s">
        <v>1239</v>
      </c>
      <c r="N707" s="145" t="s">
        <v>1238</v>
      </c>
      <c r="O707" s="145" t="s">
        <v>133</v>
      </c>
      <c r="P707" s="146" t="s">
        <v>19</v>
      </c>
      <c r="Q707" s="146"/>
      <c r="R707" s="145"/>
      <c r="S707" s="145" t="s">
        <v>1239</v>
      </c>
    </row>
    <row r="708" spans="4:19" x14ac:dyDescent="0.3">
      <c r="D708" s="29" t="s">
        <v>1240</v>
      </c>
      <c r="E708" s="29" t="s">
        <v>133</v>
      </c>
      <c r="F708" s="71" t="s">
        <v>19</v>
      </c>
      <c r="G708" s="100"/>
      <c r="H708" s="71"/>
      <c r="I708" s="29" t="s">
        <v>1241</v>
      </c>
      <c r="N708" s="145" t="s">
        <v>1240</v>
      </c>
      <c r="O708" s="145" t="s">
        <v>133</v>
      </c>
      <c r="P708" s="146" t="s">
        <v>19</v>
      </c>
      <c r="Q708" s="146"/>
      <c r="R708" s="145"/>
      <c r="S708" s="145" t="s">
        <v>1241</v>
      </c>
    </row>
    <row r="709" spans="4:19" x14ac:dyDescent="0.3">
      <c r="D709" s="29" t="s">
        <v>1242</v>
      </c>
      <c r="E709" s="29" t="s">
        <v>31</v>
      </c>
      <c r="F709" s="71" t="s">
        <v>19</v>
      </c>
      <c r="G709" s="100"/>
      <c r="H709" s="71"/>
      <c r="I709" s="29" t="s">
        <v>1243</v>
      </c>
      <c r="N709" s="145" t="s">
        <v>1242</v>
      </c>
      <c r="O709" s="145" t="s">
        <v>31</v>
      </c>
      <c r="P709" s="146" t="s">
        <v>19</v>
      </c>
      <c r="Q709" s="146"/>
      <c r="R709" s="145"/>
      <c r="S709" s="145" t="s">
        <v>1243</v>
      </c>
    </row>
    <row r="710" spans="4:19" x14ac:dyDescent="0.3">
      <c r="D710" s="29" t="s">
        <v>1244</v>
      </c>
      <c r="E710" s="29" t="s">
        <v>1245</v>
      </c>
      <c r="F710" s="71" t="s">
        <v>19</v>
      </c>
      <c r="G710" s="100"/>
      <c r="H710" s="71"/>
      <c r="I710" s="29" t="s">
        <v>1246</v>
      </c>
      <c r="N710" s="145" t="s">
        <v>1244</v>
      </c>
      <c r="O710" s="145" t="s">
        <v>1245</v>
      </c>
      <c r="P710" s="146" t="s">
        <v>19</v>
      </c>
      <c r="Q710" s="146"/>
      <c r="R710" s="145"/>
      <c r="S710" s="145" t="s">
        <v>1246</v>
      </c>
    </row>
    <row r="711" spans="4:19" x14ac:dyDescent="0.3">
      <c r="D711" s="29" t="s">
        <v>1247</v>
      </c>
      <c r="E711" s="29" t="s">
        <v>1245</v>
      </c>
      <c r="F711" s="71" t="s">
        <v>19</v>
      </c>
      <c r="G711" s="100"/>
      <c r="H711" s="71"/>
      <c r="I711" s="29" t="s">
        <v>1248</v>
      </c>
      <c r="N711" s="145" t="s">
        <v>1247</v>
      </c>
      <c r="O711" s="145" t="s">
        <v>1245</v>
      </c>
      <c r="P711" s="146" t="s">
        <v>19</v>
      </c>
      <c r="Q711" s="146"/>
      <c r="R711" s="145"/>
      <c r="S711" s="145" t="s">
        <v>1248</v>
      </c>
    </row>
    <row r="712" spans="4:19" x14ac:dyDescent="0.3">
      <c r="D712" s="29" t="s">
        <v>1249</v>
      </c>
      <c r="E712" s="29" t="s">
        <v>36</v>
      </c>
      <c r="F712" s="71" t="s">
        <v>19</v>
      </c>
      <c r="G712" s="100"/>
      <c r="H712" s="71"/>
      <c r="I712" s="29" t="s">
        <v>1250</v>
      </c>
      <c r="N712" s="145" t="s">
        <v>1249</v>
      </c>
      <c r="O712" s="145" t="s">
        <v>36</v>
      </c>
      <c r="P712" s="146" t="s">
        <v>19</v>
      </c>
      <c r="Q712" s="146"/>
      <c r="R712" s="145"/>
      <c r="S712" s="145" t="s">
        <v>1250</v>
      </c>
    </row>
    <row r="713" spans="4:19" x14ac:dyDescent="0.3">
      <c r="D713" s="29" t="s">
        <v>1251</v>
      </c>
      <c r="E713" s="29" t="s">
        <v>133</v>
      </c>
      <c r="F713" s="71" t="s">
        <v>19</v>
      </c>
      <c r="G713" s="100"/>
      <c r="H713" s="71"/>
      <c r="I713" s="29" t="s">
        <v>1252</v>
      </c>
      <c r="N713" s="145" t="s">
        <v>1251</v>
      </c>
      <c r="O713" s="145" t="s">
        <v>133</v>
      </c>
      <c r="P713" s="146" t="s">
        <v>19</v>
      </c>
      <c r="Q713" s="146"/>
      <c r="R713" s="145"/>
      <c r="S713" s="145" t="s">
        <v>1252</v>
      </c>
    </row>
    <row r="714" spans="4:19" x14ac:dyDescent="0.3">
      <c r="D714" s="29" t="s">
        <v>1253</v>
      </c>
      <c r="E714" s="29" t="s">
        <v>31</v>
      </c>
      <c r="F714" s="71" t="s">
        <v>19</v>
      </c>
      <c r="G714" s="100"/>
      <c r="H714" s="71"/>
      <c r="I714" s="29" t="s">
        <v>1254</v>
      </c>
      <c r="N714" s="145" t="s">
        <v>1253</v>
      </c>
      <c r="O714" s="145" t="s">
        <v>31</v>
      </c>
      <c r="P714" s="146" t="s">
        <v>19</v>
      </c>
      <c r="Q714" s="146"/>
      <c r="R714" s="145"/>
      <c r="S714" s="145" t="s">
        <v>1254</v>
      </c>
    </row>
    <row r="715" spans="4:19" x14ac:dyDescent="0.3">
      <c r="D715" s="29" t="s">
        <v>1255</v>
      </c>
      <c r="E715" s="29" t="s">
        <v>133</v>
      </c>
      <c r="F715" s="71" t="s">
        <v>19</v>
      </c>
      <c r="G715" s="100"/>
      <c r="H715" s="71"/>
      <c r="I715" s="29" t="s">
        <v>1256</v>
      </c>
      <c r="N715" s="145" t="s">
        <v>1255</v>
      </c>
      <c r="O715" s="145" t="s">
        <v>133</v>
      </c>
      <c r="P715" s="146" t="s">
        <v>19</v>
      </c>
      <c r="Q715" s="146"/>
      <c r="R715" s="145"/>
      <c r="S715" s="145" t="s">
        <v>1256</v>
      </c>
    </row>
    <row r="716" spans="4:19" x14ac:dyDescent="0.3">
      <c r="D716" s="29" t="s">
        <v>1257</v>
      </c>
      <c r="E716" s="29" t="s">
        <v>133</v>
      </c>
      <c r="F716" s="71" t="s">
        <v>19</v>
      </c>
      <c r="G716" s="100"/>
      <c r="H716" s="71"/>
      <c r="I716" s="29" t="s">
        <v>1258</v>
      </c>
      <c r="N716" s="145" t="s">
        <v>1257</v>
      </c>
      <c r="O716" s="145" t="s">
        <v>133</v>
      </c>
      <c r="P716" s="146" t="s">
        <v>19</v>
      </c>
      <c r="Q716" s="146"/>
      <c r="R716" s="145"/>
      <c r="S716" s="145" t="s">
        <v>1258</v>
      </c>
    </row>
    <row r="717" spans="4:19" x14ac:dyDescent="0.3">
      <c r="D717" s="29" t="s">
        <v>1259</v>
      </c>
      <c r="E717" s="29" t="s">
        <v>31</v>
      </c>
      <c r="F717" s="71" t="s">
        <v>19</v>
      </c>
      <c r="G717" s="100"/>
      <c r="H717" s="71"/>
      <c r="I717" s="29" t="s">
        <v>1260</v>
      </c>
      <c r="N717" s="145" t="s">
        <v>1259</v>
      </c>
      <c r="O717" s="145" t="s">
        <v>31</v>
      </c>
      <c r="P717" s="146" t="s">
        <v>19</v>
      </c>
      <c r="Q717" s="146"/>
      <c r="R717" s="145"/>
      <c r="S717" s="145" t="s">
        <v>1260</v>
      </c>
    </row>
    <row r="718" spans="4:19" x14ac:dyDescent="0.3">
      <c r="D718" s="29" t="s">
        <v>1261</v>
      </c>
      <c r="E718" s="29" t="s">
        <v>31</v>
      </c>
      <c r="F718" s="71" t="s">
        <v>19</v>
      </c>
      <c r="G718" s="100"/>
      <c r="H718" s="71"/>
      <c r="I718" s="29" t="s">
        <v>1302</v>
      </c>
      <c r="N718" s="145" t="s">
        <v>1261</v>
      </c>
      <c r="O718" s="145" t="s">
        <v>31</v>
      </c>
      <c r="P718" s="146" t="s">
        <v>19</v>
      </c>
      <c r="Q718" s="146"/>
      <c r="R718" s="145"/>
      <c r="S718" s="145" t="s">
        <v>1262</v>
      </c>
    </row>
    <row r="719" spans="4:19" x14ac:dyDescent="0.3">
      <c r="D719" s="29" t="s">
        <v>1263</v>
      </c>
      <c r="E719" s="29" t="s">
        <v>133</v>
      </c>
      <c r="F719" s="71" t="s">
        <v>19</v>
      </c>
      <c r="G719" s="100"/>
      <c r="H719" s="71"/>
      <c r="I719" s="29" t="s">
        <v>1264</v>
      </c>
      <c r="N719" s="145" t="s">
        <v>1263</v>
      </c>
      <c r="O719" s="145" t="s">
        <v>133</v>
      </c>
      <c r="P719" s="146" t="s">
        <v>19</v>
      </c>
      <c r="Q719" s="146"/>
      <c r="R719" s="145"/>
      <c r="S719" s="145" t="s">
        <v>1264</v>
      </c>
    </row>
    <row r="720" spans="4:19" x14ac:dyDescent="0.3">
      <c r="D720" s="29" t="s">
        <v>1265</v>
      </c>
      <c r="E720" s="29" t="s">
        <v>31</v>
      </c>
      <c r="F720" s="71" t="s">
        <v>19</v>
      </c>
      <c r="G720" s="100"/>
      <c r="H720" s="71"/>
      <c r="I720" s="29" t="s">
        <v>1266</v>
      </c>
      <c r="N720" s="145" t="s">
        <v>1265</v>
      </c>
      <c r="O720" s="145" t="s">
        <v>31</v>
      </c>
      <c r="P720" s="146" t="s">
        <v>19</v>
      </c>
      <c r="Q720" s="146"/>
      <c r="R720" s="145"/>
      <c r="S720" s="145" t="s">
        <v>1266</v>
      </c>
    </row>
    <row r="721" spans="4:19" x14ac:dyDescent="0.3">
      <c r="D721" s="29" t="s">
        <v>1267</v>
      </c>
      <c r="E721" s="29" t="s">
        <v>31</v>
      </c>
      <c r="F721" s="71" t="s">
        <v>19</v>
      </c>
      <c r="G721" s="100"/>
      <c r="H721" s="71"/>
      <c r="I721" s="29" t="s">
        <v>1268</v>
      </c>
      <c r="N721" s="145" t="s">
        <v>1267</v>
      </c>
      <c r="O721" s="145" t="s">
        <v>31</v>
      </c>
      <c r="P721" s="146" t="s">
        <v>19</v>
      </c>
      <c r="Q721" s="146"/>
      <c r="R721" s="145"/>
      <c r="S721" s="145" t="s">
        <v>1268</v>
      </c>
    </row>
    <row r="722" spans="4:19" x14ac:dyDescent="0.3">
      <c r="D722" s="29" t="s">
        <v>1269</v>
      </c>
      <c r="E722" s="29" t="s">
        <v>31</v>
      </c>
      <c r="F722" s="71" t="s">
        <v>19</v>
      </c>
      <c r="G722" s="100"/>
      <c r="H722" s="71"/>
      <c r="I722" s="29" t="s">
        <v>1303</v>
      </c>
      <c r="N722" s="145" t="s">
        <v>1269</v>
      </c>
      <c r="O722" s="145" t="s">
        <v>31</v>
      </c>
      <c r="P722" s="146" t="s">
        <v>19</v>
      </c>
      <c r="Q722" s="146"/>
      <c r="R722" s="145"/>
      <c r="S722" s="145" t="s">
        <v>1270</v>
      </c>
    </row>
    <row r="723" spans="4:19" x14ac:dyDescent="0.3">
      <c r="D723" s="29" t="s">
        <v>1271</v>
      </c>
      <c r="E723" s="29" t="s">
        <v>133</v>
      </c>
      <c r="F723" s="71" t="s">
        <v>19</v>
      </c>
      <c r="G723" s="100"/>
      <c r="H723" s="71"/>
      <c r="I723" s="29" t="s">
        <v>1272</v>
      </c>
      <c r="N723" s="145" t="s">
        <v>1271</v>
      </c>
      <c r="O723" s="145" t="s">
        <v>133</v>
      </c>
      <c r="P723" s="146" t="s">
        <v>19</v>
      </c>
      <c r="Q723" s="146"/>
      <c r="R723" s="145"/>
      <c r="S723" s="145" t="s">
        <v>1272</v>
      </c>
    </row>
    <row r="724" spans="4:19" x14ac:dyDescent="0.3">
      <c r="D724" s="29" t="s">
        <v>1273</v>
      </c>
      <c r="E724" s="29" t="s">
        <v>133</v>
      </c>
      <c r="F724" s="71" t="s">
        <v>19</v>
      </c>
      <c r="G724" s="100"/>
      <c r="H724" s="71"/>
      <c r="I724" s="29" t="s">
        <v>1274</v>
      </c>
      <c r="N724" s="145" t="s">
        <v>1273</v>
      </c>
      <c r="O724" s="145" t="s">
        <v>133</v>
      </c>
      <c r="P724" s="146" t="s">
        <v>19</v>
      </c>
      <c r="Q724" s="146"/>
      <c r="R724" s="145"/>
      <c r="S724" s="145" t="s">
        <v>1274</v>
      </c>
    </row>
    <row r="725" spans="4:19" x14ac:dyDescent="0.3">
      <c r="D725" s="29" t="s">
        <v>1275</v>
      </c>
      <c r="E725" s="29" t="s">
        <v>133</v>
      </c>
      <c r="F725" s="71" t="s">
        <v>19</v>
      </c>
      <c r="G725" s="100"/>
      <c r="H725" s="71"/>
      <c r="I725" s="29" t="s">
        <v>1276</v>
      </c>
      <c r="N725" s="145" t="s">
        <v>1275</v>
      </c>
      <c r="O725" s="145" t="s">
        <v>133</v>
      </c>
      <c r="P725" s="146" t="s">
        <v>19</v>
      </c>
      <c r="Q725" s="146"/>
      <c r="R725" s="145"/>
      <c r="S725" s="145" t="s">
        <v>1276</v>
      </c>
    </row>
    <row r="726" spans="4:19" x14ac:dyDescent="0.3">
      <c r="D726" s="29" t="s">
        <v>1277</v>
      </c>
      <c r="E726" s="29" t="s">
        <v>133</v>
      </c>
      <c r="F726" s="71" t="s">
        <v>19</v>
      </c>
      <c r="G726" s="100"/>
      <c r="H726" s="71"/>
      <c r="I726" s="29" t="s">
        <v>1278</v>
      </c>
      <c r="N726" s="145" t="s">
        <v>1277</v>
      </c>
      <c r="O726" s="145" t="s">
        <v>133</v>
      </c>
      <c r="P726" s="146" t="s">
        <v>19</v>
      </c>
      <c r="Q726" s="146"/>
      <c r="R726" s="145"/>
      <c r="S726" s="145" t="s">
        <v>1278</v>
      </c>
    </row>
    <row r="727" spans="4:19" x14ac:dyDescent="0.3">
      <c r="D727" s="29" t="s">
        <v>1279</v>
      </c>
      <c r="E727" s="29" t="s">
        <v>133</v>
      </c>
      <c r="F727" s="71" t="s">
        <v>19</v>
      </c>
      <c r="G727" s="100"/>
      <c r="H727" s="71"/>
      <c r="I727" s="29" t="s">
        <v>1280</v>
      </c>
      <c r="N727" s="145" t="s">
        <v>1279</v>
      </c>
      <c r="O727" s="145" t="s">
        <v>133</v>
      </c>
      <c r="P727" s="146" t="s">
        <v>19</v>
      </c>
      <c r="Q727" s="146"/>
      <c r="R727" s="145"/>
      <c r="S727" s="145" t="s">
        <v>1280</v>
      </c>
    </row>
    <row r="728" spans="4:19" x14ac:dyDescent="0.3">
      <c r="D728" s="29" t="s">
        <v>1281</v>
      </c>
      <c r="E728" s="29" t="s">
        <v>31</v>
      </c>
      <c r="F728" s="71" t="s">
        <v>19</v>
      </c>
      <c r="G728" s="100"/>
      <c r="H728" s="71"/>
      <c r="I728" s="29" t="s">
        <v>1282</v>
      </c>
      <c r="N728" s="145" t="s">
        <v>1281</v>
      </c>
      <c r="O728" s="145" t="s">
        <v>31</v>
      </c>
      <c r="P728" s="146" t="s">
        <v>19</v>
      </c>
      <c r="Q728" s="146"/>
      <c r="R728" s="145"/>
      <c r="S728" s="145" t="s">
        <v>1282</v>
      </c>
    </row>
    <row r="729" spans="4:19" x14ac:dyDescent="0.3">
      <c r="D729" s="29" t="s">
        <v>359</v>
      </c>
      <c r="E729" s="29" t="s">
        <v>31</v>
      </c>
      <c r="F729" s="71" t="s">
        <v>19</v>
      </c>
      <c r="G729" s="100"/>
      <c r="H729" s="71"/>
      <c r="I729" s="29" t="s">
        <v>1283</v>
      </c>
      <c r="N729" s="145" t="s">
        <v>359</v>
      </c>
      <c r="O729" s="145" t="s">
        <v>31</v>
      </c>
      <c r="P729" s="146" t="s">
        <v>19</v>
      </c>
      <c r="Q729" s="146"/>
      <c r="R729" s="145"/>
      <c r="S729" s="145" t="s">
        <v>1283</v>
      </c>
    </row>
    <row r="730" spans="4:19" x14ac:dyDescent="0.3">
      <c r="D730" s="29" t="s">
        <v>358</v>
      </c>
      <c r="E730" s="29" t="s">
        <v>133</v>
      </c>
      <c r="F730" s="71" t="s">
        <v>19</v>
      </c>
      <c r="G730" s="100"/>
      <c r="H730" s="71"/>
      <c r="I730" s="29" t="s">
        <v>1121</v>
      </c>
      <c r="N730" s="145" t="s">
        <v>358</v>
      </c>
      <c r="O730" s="145" t="s">
        <v>133</v>
      </c>
      <c r="P730" s="146" t="s">
        <v>19</v>
      </c>
      <c r="Q730" s="146"/>
      <c r="R730" s="145"/>
      <c r="S730" s="145" t="s">
        <v>1121</v>
      </c>
    </row>
    <row r="731" spans="4:19" x14ac:dyDescent="0.3">
      <c r="D731" s="29" t="s">
        <v>1122</v>
      </c>
      <c r="E731" s="29" t="s">
        <v>133</v>
      </c>
      <c r="F731" s="71" t="s">
        <v>19</v>
      </c>
      <c r="G731" s="100"/>
      <c r="H731" s="71"/>
      <c r="I731" s="29" t="s">
        <v>1123</v>
      </c>
      <c r="N731" s="145" t="s">
        <v>1122</v>
      </c>
      <c r="O731" s="145" t="s">
        <v>133</v>
      </c>
      <c r="P731" s="146" t="s">
        <v>19</v>
      </c>
      <c r="Q731" s="146"/>
      <c r="R731" s="145"/>
      <c r="S731" s="145" t="s">
        <v>1123</v>
      </c>
    </row>
    <row r="732" spans="4:19" x14ac:dyDescent="0.3">
      <c r="D732" s="29" t="s">
        <v>1284</v>
      </c>
      <c r="E732" s="29" t="s">
        <v>31</v>
      </c>
      <c r="F732" s="71" t="s">
        <v>19</v>
      </c>
      <c r="G732" s="100"/>
      <c r="H732" s="71"/>
      <c r="I732" s="29" t="s">
        <v>1285</v>
      </c>
      <c r="N732" s="145" t="s">
        <v>1284</v>
      </c>
      <c r="O732" s="145" t="s">
        <v>31</v>
      </c>
      <c r="P732" s="146" t="s">
        <v>19</v>
      </c>
      <c r="Q732" s="146"/>
      <c r="R732" s="145"/>
      <c r="S732" s="145" t="s">
        <v>1285</v>
      </c>
    </row>
    <row r="733" spans="4:19" x14ac:dyDescent="0.3">
      <c r="D733" s="29" t="s">
        <v>1286</v>
      </c>
      <c r="E733" s="29" t="s">
        <v>31</v>
      </c>
      <c r="F733" s="71" t="s">
        <v>19</v>
      </c>
      <c r="G733" s="100"/>
      <c r="H733" s="71"/>
      <c r="I733" s="29" t="s">
        <v>1287</v>
      </c>
      <c r="N733" s="145" t="s">
        <v>1286</v>
      </c>
      <c r="O733" s="145" t="s">
        <v>31</v>
      </c>
      <c r="P733" s="146" t="s">
        <v>19</v>
      </c>
      <c r="Q733" s="146"/>
      <c r="R733" s="145"/>
      <c r="S733" s="145" t="s">
        <v>1287</v>
      </c>
    </row>
    <row r="734" spans="4:19" x14ac:dyDescent="0.3">
      <c r="D734" s="29" t="s">
        <v>1288</v>
      </c>
      <c r="E734" s="29" t="s">
        <v>31</v>
      </c>
      <c r="F734" s="71" t="s">
        <v>19</v>
      </c>
      <c r="G734" s="100"/>
      <c r="H734" s="71"/>
      <c r="I734" s="29" t="s">
        <v>1289</v>
      </c>
      <c r="N734" s="145" t="s">
        <v>1288</v>
      </c>
      <c r="O734" s="145" t="s">
        <v>31</v>
      </c>
      <c r="P734" s="146" t="s">
        <v>19</v>
      </c>
      <c r="Q734" s="146"/>
      <c r="R734" s="145"/>
      <c r="S734" s="145" t="s">
        <v>1289</v>
      </c>
    </row>
    <row r="735" spans="4:19" x14ac:dyDescent="0.3">
      <c r="D735" s="29" t="s">
        <v>41</v>
      </c>
      <c r="E735" s="29" t="s">
        <v>42</v>
      </c>
      <c r="F735" s="71" t="s">
        <v>19</v>
      </c>
      <c r="G735" s="100"/>
      <c r="H735" s="71"/>
      <c r="I735" s="29" t="s">
        <v>1304</v>
      </c>
      <c r="N735" s="145" t="s">
        <v>41</v>
      </c>
      <c r="O735" s="145" t="s">
        <v>42</v>
      </c>
      <c r="P735" s="146" t="s">
        <v>19</v>
      </c>
      <c r="Q735" s="146"/>
      <c r="R735" s="145"/>
      <c r="S735" s="145" t="s">
        <v>16</v>
      </c>
    </row>
    <row r="736" spans="4:19" x14ac:dyDescent="0.3">
      <c r="D736" s="29" t="s">
        <v>327</v>
      </c>
      <c r="E736" s="29" t="s">
        <v>23</v>
      </c>
      <c r="F736" s="71" t="s">
        <v>19</v>
      </c>
      <c r="G736" s="100"/>
      <c r="H736" s="71"/>
      <c r="I736" s="29" t="s">
        <v>328</v>
      </c>
      <c r="N736" s="145" t="s">
        <v>327</v>
      </c>
      <c r="O736" s="145" t="s">
        <v>23</v>
      </c>
      <c r="P736" s="146" t="s">
        <v>19</v>
      </c>
      <c r="Q736" s="146"/>
      <c r="R736" s="145"/>
      <c r="S736" s="145" t="s">
        <v>328</v>
      </c>
    </row>
    <row r="737" spans="4:19" x14ac:dyDescent="0.3">
      <c r="D737" s="29" t="s">
        <v>756</v>
      </c>
      <c r="E737" s="29" t="s">
        <v>23</v>
      </c>
      <c r="F737" s="71" t="s">
        <v>19</v>
      </c>
      <c r="G737" s="100"/>
      <c r="H737" s="71"/>
      <c r="I737" s="29" t="s">
        <v>988</v>
      </c>
      <c r="N737" s="145" t="s">
        <v>756</v>
      </c>
      <c r="O737" s="145" t="s">
        <v>23</v>
      </c>
      <c r="P737" s="146" t="s">
        <v>19</v>
      </c>
      <c r="Q737" s="146"/>
      <c r="R737" s="145"/>
      <c r="S737" s="145" t="s">
        <v>988</v>
      </c>
    </row>
    <row r="738" spans="4:19" x14ac:dyDescent="0.3">
      <c r="D738" s="29" t="s">
        <v>28</v>
      </c>
      <c r="E738" s="29" t="s">
        <v>23</v>
      </c>
      <c r="F738" s="71" t="s">
        <v>19</v>
      </c>
      <c r="G738" s="100"/>
      <c r="H738" s="71"/>
      <c r="I738" s="29" t="s">
        <v>29</v>
      </c>
      <c r="N738" s="145" t="s">
        <v>28</v>
      </c>
      <c r="O738" s="145" t="s">
        <v>23</v>
      </c>
      <c r="P738" s="146" t="s">
        <v>19</v>
      </c>
      <c r="Q738" s="146"/>
      <c r="R738" s="145"/>
      <c r="S738" s="145" t="s">
        <v>29</v>
      </c>
    </row>
    <row r="739" spans="4:19" x14ac:dyDescent="0.3">
      <c r="D739" s="29" t="s">
        <v>59</v>
      </c>
      <c r="E739" s="29" t="s">
        <v>60</v>
      </c>
      <c r="F739" s="71" t="s">
        <v>19</v>
      </c>
      <c r="G739" s="100"/>
      <c r="H739" s="71"/>
      <c r="I739" s="29" t="s">
        <v>59</v>
      </c>
      <c r="N739" s="145" t="s">
        <v>59</v>
      </c>
      <c r="O739" s="145" t="s">
        <v>60</v>
      </c>
      <c r="P739" s="146" t="s">
        <v>19</v>
      </c>
      <c r="Q739" s="146"/>
      <c r="R739" s="145"/>
      <c r="S739" s="145" t="s">
        <v>59</v>
      </c>
    </row>
    <row r="740" spans="4:19" x14ac:dyDescent="0.3">
      <c r="D740" s="29" t="s">
        <v>62</v>
      </c>
      <c r="E740" s="29" t="s">
        <v>60</v>
      </c>
      <c r="F740" s="71" t="s">
        <v>19</v>
      </c>
      <c r="G740" s="100"/>
      <c r="H740" s="71"/>
      <c r="I740" s="29" t="s">
        <v>62</v>
      </c>
      <c r="N740" s="145" t="s">
        <v>62</v>
      </c>
      <c r="O740" s="145" t="s">
        <v>60</v>
      </c>
      <c r="P740" s="146" t="s">
        <v>19</v>
      </c>
      <c r="Q740" s="146"/>
      <c r="R740" s="145"/>
      <c r="S740" s="145" t="s">
        <v>62</v>
      </c>
    </row>
    <row r="741" spans="4:19" x14ac:dyDescent="0.3">
      <c r="D741" s="29" t="s">
        <v>64</v>
      </c>
      <c r="E741" s="29" t="s">
        <v>60</v>
      </c>
      <c r="F741" s="71" t="s">
        <v>19</v>
      </c>
      <c r="G741" s="100"/>
      <c r="H741" s="71"/>
      <c r="I741" s="29" t="s">
        <v>64</v>
      </c>
      <c r="N741" s="145" t="s">
        <v>64</v>
      </c>
      <c r="O741" s="145" t="s">
        <v>60</v>
      </c>
      <c r="P741" s="146" t="s">
        <v>19</v>
      </c>
      <c r="Q741" s="146"/>
      <c r="R741" s="145"/>
      <c r="S741" s="145" t="s">
        <v>64</v>
      </c>
    </row>
    <row r="742" spans="4:19" x14ac:dyDescent="0.3">
      <c r="D742" s="29" t="s">
        <v>66</v>
      </c>
      <c r="E742" s="29" t="s">
        <v>60</v>
      </c>
      <c r="F742" s="71" t="s">
        <v>19</v>
      </c>
      <c r="G742" s="100"/>
      <c r="H742" s="71"/>
      <c r="I742" s="29" t="s">
        <v>66</v>
      </c>
      <c r="N742" s="145" t="s">
        <v>66</v>
      </c>
      <c r="O742" s="145" t="s">
        <v>60</v>
      </c>
      <c r="P742" s="146" t="s">
        <v>19</v>
      </c>
      <c r="Q742" s="146"/>
      <c r="R742" s="145"/>
      <c r="S742" s="145" t="s">
        <v>66</v>
      </c>
    </row>
    <row r="743" spans="4:19" x14ac:dyDescent="0.3">
      <c r="D743" s="29" t="s">
        <v>67</v>
      </c>
      <c r="E743" s="29" t="s">
        <v>60</v>
      </c>
      <c r="F743" s="71" t="s">
        <v>19</v>
      </c>
      <c r="G743" s="100"/>
      <c r="H743" s="71"/>
      <c r="I743" s="29" t="s">
        <v>67</v>
      </c>
      <c r="N743" s="145" t="s">
        <v>67</v>
      </c>
      <c r="O743" s="145" t="s">
        <v>60</v>
      </c>
      <c r="P743" s="146" t="s">
        <v>19</v>
      </c>
      <c r="Q743" s="146"/>
      <c r="R743" s="145"/>
      <c r="S743" s="145" t="s">
        <v>67</v>
      </c>
    </row>
    <row r="744" spans="4:19" x14ac:dyDescent="0.3">
      <c r="D744" s="29" t="s">
        <v>1290</v>
      </c>
      <c r="E744" s="29" t="s">
        <v>36</v>
      </c>
      <c r="F744" s="71" t="s">
        <v>19</v>
      </c>
      <c r="G744" s="100"/>
      <c r="H744" s="71"/>
      <c r="I744" s="29" t="s">
        <v>1291</v>
      </c>
      <c r="N744" s="145" t="s">
        <v>1290</v>
      </c>
      <c r="O744" s="145" t="s">
        <v>36</v>
      </c>
      <c r="P744" s="146" t="s">
        <v>19</v>
      </c>
      <c r="Q744" s="146"/>
      <c r="R744" s="145"/>
      <c r="S744" s="145" t="s">
        <v>1291</v>
      </c>
    </row>
    <row r="745" spans="4:19" x14ac:dyDescent="0.3">
      <c r="D745" s="29" t="s">
        <v>1292</v>
      </c>
      <c r="E745" s="29" t="s">
        <v>36</v>
      </c>
      <c r="F745" s="71" t="s">
        <v>19</v>
      </c>
      <c r="G745" s="100"/>
      <c r="H745" s="71"/>
      <c r="I745" s="29" t="s">
        <v>1293</v>
      </c>
      <c r="N745" s="145" t="s">
        <v>1292</v>
      </c>
      <c r="O745" s="145" t="s">
        <v>36</v>
      </c>
      <c r="P745" s="146" t="s">
        <v>19</v>
      </c>
      <c r="Q745" s="146"/>
      <c r="R745" s="145"/>
      <c r="S745" s="145" t="s">
        <v>1293</v>
      </c>
    </row>
    <row r="746" spans="4:19" x14ac:dyDescent="0.3">
      <c r="D746" s="29" t="s">
        <v>1294</v>
      </c>
      <c r="E746" s="29" t="s">
        <v>36</v>
      </c>
      <c r="F746" s="71" t="s">
        <v>19</v>
      </c>
      <c r="G746" s="100"/>
      <c r="H746" s="71"/>
      <c r="I746" s="29" t="s">
        <v>1295</v>
      </c>
      <c r="N746" s="145" t="s">
        <v>1294</v>
      </c>
      <c r="O746" s="145" t="s">
        <v>36</v>
      </c>
      <c r="P746" s="146" t="s">
        <v>19</v>
      </c>
      <c r="Q746" s="146"/>
      <c r="R746" s="145"/>
      <c r="S746" s="145" t="s">
        <v>1295</v>
      </c>
    </row>
    <row r="747" spans="4:19" x14ac:dyDescent="0.3">
      <c r="D747" s="29" t="s">
        <v>1296</v>
      </c>
      <c r="E747" s="29" t="s">
        <v>44</v>
      </c>
      <c r="F747" s="71" t="s">
        <v>19</v>
      </c>
      <c r="G747" s="100" t="s">
        <v>20</v>
      </c>
      <c r="H747" s="71"/>
      <c r="I747" s="29" t="s">
        <v>1297</v>
      </c>
      <c r="N747" s="145" t="s">
        <v>1296</v>
      </c>
      <c r="O747" s="145" t="s">
        <v>44</v>
      </c>
      <c r="P747" s="146" t="s">
        <v>19</v>
      </c>
      <c r="Q747" s="146">
        <v>0</v>
      </c>
      <c r="R747" s="145"/>
      <c r="S747" s="145" t="s">
        <v>1297</v>
      </c>
    </row>
    <row r="748" spans="4:19" x14ac:dyDescent="0.3">
      <c r="D748" s="38" t="s">
        <v>729</v>
      </c>
      <c r="E748" s="38" t="s">
        <v>36</v>
      </c>
      <c r="F748" s="72" t="s">
        <v>19</v>
      </c>
      <c r="G748" s="101"/>
      <c r="H748" s="72"/>
      <c r="I748" s="38"/>
      <c r="N748" s="148" t="s">
        <v>729</v>
      </c>
      <c r="O748" s="148" t="s">
        <v>36</v>
      </c>
      <c r="P748" s="149" t="s">
        <v>19</v>
      </c>
      <c r="Q748" s="149"/>
      <c r="R748" s="148"/>
      <c r="S748" s="148"/>
    </row>
    <row r="750" spans="4:19" x14ac:dyDescent="0.3">
      <c r="D750" s="10" t="s">
        <v>1314</v>
      </c>
      <c r="N750" s="10" t="s">
        <v>1397</v>
      </c>
      <c r="Q750" s="18"/>
    </row>
    <row r="751" spans="4:19" x14ac:dyDescent="0.3">
      <c r="D751" s="43" t="s">
        <v>85</v>
      </c>
      <c r="E751" s="43" t="s">
        <v>0</v>
      </c>
      <c r="F751" s="43" t="s">
        <v>1</v>
      </c>
      <c r="G751" s="43" t="s">
        <v>2</v>
      </c>
      <c r="H751" s="43" t="s">
        <v>21</v>
      </c>
      <c r="I751" s="43" t="s">
        <v>3</v>
      </c>
      <c r="N751" s="43" t="s">
        <v>1398</v>
      </c>
      <c r="O751" s="43" t="s">
        <v>0</v>
      </c>
      <c r="P751" s="43" t="s">
        <v>1</v>
      </c>
      <c r="Q751" s="43" t="s">
        <v>2</v>
      </c>
      <c r="R751" s="43" t="s">
        <v>1399</v>
      </c>
      <c r="S751" s="43" t="s">
        <v>3</v>
      </c>
    </row>
    <row r="752" spans="4:19" x14ac:dyDescent="0.3">
      <c r="D752" s="117" t="s">
        <v>1210</v>
      </c>
      <c r="E752" s="117" t="s">
        <v>23</v>
      </c>
      <c r="F752" s="118"/>
      <c r="G752" s="119"/>
      <c r="H752" s="118">
        <v>1</v>
      </c>
      <c r="I752" s="117" t="s">
        <v>1211</v>
      </c>
      <c r="N752" s="142" t="s">
        <v>1210</v>
      </c>
      <c r="O752" s="142" t="s">
        <v>23</v>
      </c>
      <c r="P752" s="143"/>
      <c r="Q752" s="144"/>
      <c r="R752" s="143">
        <v>1</v>
      </c>
      <c r="S752" s="142" t="s">
        <v>1211</v>
      </c>
    </row>
    <row r="753" spans="4:19" x14ac:dyDescent="0.3">
      <c r="D753" s="97" t="s">
        <v>758</v>
      </c>
      <c r="E753" s="97" t="s">
        <v>23</v>
      </c>
      <c r="F753" s="98"/>
      <c r="G753" s="99"/>
      <c r="H753" s="98">
        <v>2</v>
      </c>
      <c r="I753" s="97" t="s">
        <v>1307</v>
      </c>
      <c r="N753" s="151" t="s">
        <v>758</v>
      </c>
      <c r="O753" s="151" t="s">
        <v>23</v>
      </c>
      <c r="P753" s="152"/>
      <c r="Q753" s="152"/>
      <c r="R753" s="152">
        <v>2</v>
      </c>
      <c r="S753" s="151" t="s">
        <v>1307</v>
      </c>
    </row>
    <row r="754" spans="4:19" x14ac:dyDescent="0.3">
      <c r="D754" s="97" t="s">
        <v>1212</v>
      </c>
      <c r="E754" s="97" t="s">
        <v>44</v>
      </c>
      <c r="F754" s="98"/>
      <c r="G754" s="99"/>
      <c r="H754" s="98">
        <v>3</v>
      </c>
      <c r="I754" s="97"/>
      <c r="N754" s="151" t="s">
        <v>1212</v>
      </c>
      <c r="O754" s="151" t="s">
        <v>44</v>
      </c>
      <c r="P754" s="152"/>
      <c r="Q754" s="152"/>
      <c r="R754" s="152">
        <v>3</v>
      </c>
      <c r="S754" s="151"/>
    </row>
    <row r="755" spans="4:19" ht="27" x14ac:dyDescent="0.3">
      <c r="D755" s="29" t="s">
        <v>46</v>
      </c>
      <c r="E755" s="29" t="s">
        <v>47</v>
      </c>
      <c r="F755" s="71"/>
      <c r="G755" s="100" t="s">
        <v>84</v>
      </c>
      <c r="H755" s="71"/>
      <c r="I755" s="29" t="s">
        <v>48</v>
      </c>
      <c r="N755" s="145" t="s">
        <v>46</v>
      </c>
      <c r="O755" s="145" t="s">
        <v>47</v>
      </c>
      <c r="P755" s="146"/>
      <c r="Q755" s="147" t="s">
        <v>1029</v>
      </c>
      <c r="R755" s="145"/>
      <c r="S755" s="145" t="s">
        <v>48</v>
      </c>
    </row>
    <row r="756" spans="4:19" x14ac:dyDescent="0.3">
      <c r="D756" s="29" t="s">
        <v>49</v>
      </c>
      <c r="E756" s="29" t="s">
        <v>23</v>
      </c>
      <c r="F756" s="71"/>
      <c r="G756" s="100"/>
      <c r="H756" s="71"/>
      <c r="I756" s="29" t="s">
        <v>50</v>
      </c>
      <c r="N756" s="145" t="s">
        <v>49</v>
      </c>
      <c r="O756" s="145" t="s">
        <v>23</v>
      </c>
      <c r="P756" s="146"/>
      <c r="Q756" s="146"/>
      <c r="R756" s="145"/>
      <c r="S756" s="145" t="s">
        <v>50</v>
      </c>
    </row>
    <row r="757" spans="4:19" x14ac:dyDescent="0.3">
      <c r="D757" s="29" t="s">
        <v>51</v>
      </c>
      <c r="E757" s="29" t="s">
        <v>47</v>
      </c>
      <c r="F757" s="71" t="s">
        <v>19</v>
      </c>
      <c r="G757" s="100"/>
      <c r="H757" s="71"/>
      <c r="I757" s="29" t="s">
        <v>52</v>
      </c>
      <c r="N757" s="145" t="s">
        <v>51</v>
      </c>
      <c r="O757" s="145" t="s">
        <v>47</v>
      </c>
      <c r="P757" s="146" t="s">
        <v>19</v>
      </c>
      <c r="Q757" s="146"/>
      <c r="R757" s="145"/>
      <c r="S757" s="145" t="s">
        <v>52</v>
      </c>
    </row>
    <row r="758" spans="4:19" x14ac:dyDescent="0.3">
      <c r="D758" s="29" t="s">
        <v>53</v>
      </c>
      <c r="E758" s="29" t="s">
        <v>23</v>
      </c>
      <c r="F758" s="71" t="s">
        <v>19</v>
      </c>
      <c r="G758" s="100"/>
      <c r="H758" s="71"/>
      <c r="I758" s="29" t="s">
        <v>54</v>
      </c>
      <c r="N758" s="145" t="s">
        <v>53</v>
      </c>
      <c r="O758" s="145" t="s">
        <v>23</v>
      </c>
      <c r="P758" s="146" t="s">
        <v>19</v>
      </c>
      <c r="Q758" s="146"/>
      <c r="R758" s="145"/>
      <c r="S758" s="145" t="s">
        <v>54</v>
      </c>
    </row>
    <row r="759" spans="4:19" x14ac:dyDescent="0.3">
      <c r="D759" s="29" t="s">
        <v>1267</v>
      </c>
      <c r="E759" s="29" t="s">
        <v>44</v>
      </c>
      <c r="F759" s="71"/>
      <c r="G759" s="100"/>
      <c r="H759" s="71"/>
      <c r="I759" s="29" t="s">
        <v>1268</v>
      </c>
      <c r="N759" s="145" t="s">
        <v>1267</v>
      </c>
      <c r="O759" s="145" t="s">
        <v>44</v>
      </c>
      <c r="P759" s="146"/>
      <c r="Q759" s="146"/>
      <c r="R759" s="145"/>
      <c r="S759" s="145" t="s">
        <v>1268</v>
      </c>
    </row>
    <row r="760" spans="4:19" x14ac:dyDescent="0.3">
      <c r="D760" s="29" t="s">
        <v>359</v>
      </c>
      <c r="E760" s="29" t="s">
        <v>44</v>
      </c>
      <c r="F760" s="71"/>
      <c r="G760" s="100"/>
      <c r="H760" s="71"/>
      <c r="I760" s="29" t="s">
        <v>1283</v>
      </c>
      <c r="N760" s="145" t="s">
        <v>359</v>
      </c>
      <c r="O760" s="145" t="s">
        <v>44</v>
      </c>
      <c r="P760" s="146"/>
      <c r="Q760" s="146"/>
      <c r="R760" s="145"/>
      <c r="S760" s="145" t="s">
        <v>1283</v>
      </c>
    </row>
    <row r="761" spans="4:19" x14ac:dyDescent="0.3">
      <c r="D761" s="29" t="s">
        <v>1308</v>
      </c>
      <c r="E761" s="29" t="s">
        <v>133</v>
      </c>
      <c r="F761" s="71" t="s">
        <v>19</v>
      </c>
      <c r="G761" s="100"/>
      <c r="H761" s="71"/>
      <c r="I761" s="29" t="s">
        <v>1309</v>
      </c>
      <c r="N761" s="145" t="s">
        <v>1308</v>
      </c>
      <c r="O761" s="145" t="s">
        <v>133</v>
      </c>
      <c r="P761" s="146" t="s">
        <v>19</v>
      </c>
      <c r="Q761" s="146"/>
      <c r="R761" s="145"/>
      <c r="S761" s="145" t="s">
        <v>1309</v>
      </c>
    </row>
    <row r="762" spans="4:19" x14ac:dyDescent="0.3">
      <c r="D762" s="29" t="s">
        <v>1310</v>
      </c>
      <c r="E762" s="29" t="s">
        <v>47</v>
      </c>
      <c r="F762" s="71" t="s">
        <v>19</v>
      </c>
      <c r="G762" s="100"/>
      <c r="H762" s="71"/>
      <c r="I762" s="29" t="s">
        <v>1311</v>
      </c>
      <c r="N762" s="145" t="s">
        <v>1310</v>
      </c>
      <c r="O762" s="145" t="s">
        <v>47</v>
      </c>
      <c r="P762" s="146" t="s">
        <v>19</v>
      </c>
      <c r="Q762" s="146"/>
      <c r="R762" s="145"/>
      <c r="S762" s="145" t="s">
        <v>1311</v>
      </c>
    </row>
    <row r="763" spans="4:19" x14ac:dyDescent="0.3">
      <c r="D763" s="29" t="s">
        <v>28</v>
      </c>
      <c r="E763" s="29" t="s">
        <v>23</v>
      </c>
      <c r="F763" s="71" t="s">
        <v>19</v>
      </c>
      <c r="G763" s="100" t="s">
        <v>83</v>
      </c>
      <c r="H763" s="71"/>
      <c r="I763" s="29" t="s">
        <v>29</v>
      </c>
      <c r="N763" s="145" t="s">
        <v>28</v>
      </c>
      <c r="O763" s="145" t="s">
        <v>23</v>
      </c>
      <c r="P763" s="146" t="s">
        <v>19</v>
      </c>
      <c r="Q763" s="146" t="s">
        <v>83</v>
      </c>
      <c r="R763" s="145"/>
      <c r="S763" s="145" t="s">
        <v>29</v>
      </c>
    </row>
    <row r="764" spans="4:19" x14ac:dyDescent="0.3">
      <c r="D764" s="29" t="s">
        <v>1265</v>
      </c>
      <c r="E764" s="29" t="s">
        <v>44</v>
      </c>
      <c r="F764" s="71"/>
      <c r="G764" s="100"/>
      <c r="H764" s="71"/>
      <c r="I764" s="29" t="s">
        <v>1315</v>
      </c>
      <c r="N764" s="145" t="s">
        <v>1265</v>
      </c>
      <c r="O764" s="145" t="s">
        <v>44</v>
      </c>
      <c r="P764" s="146"/>
      <c r="Q764" s="146"/>
      <c r="R764" s="145"/>
      <c r="S764" s="145" t="s">
        <v>1266</v>
      </c>
    </row>
    <row r="765" spans="4:19" x14ac:dyDescent="0.3">
      <c r="D765" s="29" t="s">
        <v>59</v>
      </c>
      <c r="E765" s="29" t="s">
        <v>60</v>
      </c>
      <c r="F765" s="71" t="s">
        <v>19</v>
      </c>
      <c r="G765" s="100"/>
      <c r="H765" s="71"/>
      <c r="I765" s="29" t="s">
        <v>198</v>
      </c>
      <c r="N765" s="145" t="s">
        <v>59</v>
      </c>
      <c r="O765" s="145" t="s">
        <v>60</v>
      </c>
      <c r="P765" s="146" t="s">
        <v>19</v>
      </c>
      <c r="Q765" s="146"/>
      <c r="R765" s="145"/>
      <c r="S765" s="145" t="s">
        <v>198</v>
      </c>
    </row>
    <row r="766" spans="4:19" x14ac:dyDescent="0.3">
      <c r="D766" s="29" t="s">
        <v>62</v>
      </c>
      <c r="E766" s="29" t="s">
        <v>60</v>
      </c>
      <c r="F766" s="71" t="s">
        <v>19</v>
      </c>
      <c r="G766" s="100"/>
      <c r="H766" s="71"/>
      <c r="I766" s="29" t="s">
        <v>1143</v>
      </c>
      <c r="N766" s="145" t="s">
        <v>62</v>
      </c>
      <c r="O766" s="145" t="s">
        <v>60</v>
      </c>
      <c r="P766" s="146" t="s">
        <v>19</v>
      </c>
      <c r="Q766" s="146"/>
      <c r="R766" s="145"/>
      <c r="S766" s="145" t="s">
        <v>1143</v>
      </c>
    </row>
    <row r="767" spans="4:19" x14ac:dyDescent="0.3">
      <c r="D767" s="29" t="s">
        <v>64</v>
      </c>
      <c r="E767" s="29" t="s">
        <v>60</v>
      </c>
      <c r="F767" s="71" t="s">
        <v>19</v>
      </c>
      <c r="G767" s="100"/>
      <c r="H767" s="71"/>
      <c r="I767" s="29" t="s">
        <v>200</v>
      </c>
      <c r="N767" s="145" t="s">
        <v>64</v>
      </c>
      <c r="O767" s="145" t="s">
        <v>60</v>
      </c>
      <c r="P767" s="146" t="s">
        <v>19</v>
      </c>
      <c r="Q767" s="146"/>
      <c r="R767" s="145"/>
      <c r="S767" s="145" t="s">
        <v>200</v>
      </c>
    </row>
    <row r="768" spans="4:19" x14ac:dyDescent="0.3">
      <c r="D768" s="29" t="s">
        <v>66</v>
      </c>
      <c r="E768" s="29" t="s">
        <v>60</v>
      </c>
      <c r="F768" s="71" t="s">
        <v>19</v>
      </c>
      <c r="G768" s="100"/>
      <c r="H768" s="71"/>
      <c r="I768" s="29" t="s">
        <v>201</v>
      </c>
      <c r="N768" s="145" t="s">
        <v>66</v>
      </c>
      <c r="O768" s="145" t="s">
        <v>60</v>
      </c>
      <c r="P768" s="146" t="s">
        <v>19</v>
      </c>
      <c r="Q768" s="146"/>
      <c r="R768" s="145"/>
      <c r="S768" s="145" t="s">
        <v>201</v>
      </c>
    </row>
    <row r="769" spans="4:19" x14ac:dyDescent="0.3">
      <c r="D769" s="29" t="s">
        <v>67</v>
      </c>
      <c r="E769" s="29" t="s">
        <v>60</v>
      </c>
      <c r="F769" s="71" t="s">
        <v>19</v>
      </c>
      <c r="G769" s="100"/>
      <c r="H769" s="71"/>
      <c r="I769" s="29" t="s">
        <v>202</v>
      </c>
      <c r="N769" s="145" t="s">
        <v>67</v>
      </c>
      <c r="O769" s="145" t="s">
        <v>60</v>
      </c>
      <c r="P769" s="146" t="s">
        <v>19</v>
      </c>
      <c r="Q769" s="146"/>
      <c r="R769" s="145"/>
      <c r="S769" s="145" t="s">
        <v>202</v>
      </c>
    </row>
    <row r="770" spans="4:19" x14ac:dyDescent="0.3">
      <c r="D770" s="29" t="s">
        <v>1312</v>
      </c>
      <c r="E770" s="29" t="s">
        <v>36</v>
      </c>
      <c r="F770" s="71" t="s">
        <v>19</v>
      </c>
      <c r="G770" s="100"/>
      <c r="H770" s="71"/>
      <c r="I770" s="29"/>
      <c r="N770" s="145" t="s">
        <v>1312</v>
      </c>
      <c r="O770" s="145" t="s">
        <v>36</v>
      </c>
      <c r="P770" s="146" t="s">
        <v>19</v>
      </c>
      <c r="Q770" s="146"/>
      <c r="R770" s="145"/>
      <c r="S770" s="145"/>
    </row>
    <row r="771" spans="4:19" x14ac:dyDescent="0.3">
      <c r="D771" s="29" t="s">
        <v>1313</v>
      </c>
      <c r="E771" s="29" t="s">
        <v>44</v>
      </c>
      <c r="F771" s="71" t="s">
        <v>19</v>
      </c>
      <c r="G771" s="100"/>
      <c r="H771" s="71"/>
      <c r="I771" s="29"/>
      <c r="N771" s="145" t="s">
        <v>1313</v>
      </c>
      <c r="O771" s="145" t="s">
        <v>44</v>
      </c>
      <c r="P771" s="146" t="s">
        <v>19</v>
      </c>
      <c r="Q771" s="146"/>
      <c r="R771" s="145"/>
      <c r="S771" s="145"/>
    </row>
    <row r="772" spans="4:19" x14ac:dyDescent="0.3">
      <c r="D772" s="38" t="s">
        <v>38</v>
      </c>
      <c r="E772" s="38" t="s">
        <v>271</v>
      </c>
      <c r="F772" s="72"/>
      <c r="G772" s="101"/>
      <c r="H772" s="72"/>
      <c r="I772" s="38"/>
      <c r="N772" s="148" t="s">
        <v>38</v>
      </c>
      <c r="O772" s="148" t="s">
        <v>271</v>
      </c>
      <c r="P772" s="149"/>
      <c r="Q772" s="149"/>
      <c r="R772" s="148"/>
      <c r="S772" s="148"/>
    </row>
    <row r="774" spans="4:19" x14ac:dyDescent="0.3">
      <c r="D774" s="10" t="s">
        <v>1316</v>
      </c>
      <c r="N774" s="10" t="s">
        <v>1400</v>
      </c>
      <c r="Q774" s="18"/>
    </row>
    <row r="775" spans="4:19" x14ac:dyDescent="0.3">
      <c r="D775" s="43" t="s">
        <v>85</v>
      </c>
      <c r="E775" s="43" t="s">
        <v>0</v>
      </c>
      <c r="F775" s="43" t="s">
        <v>1</v>
      </c>
      <c r="G775" s="43" t="s">
        <v>2</v>
      </c>
      <c r="H775" s="43" t="s">
        <v>21</v>
      </c>
      <c r="I775" s="43" t="s">
        <v>3</v>
      </c>
      <c r="N775" s="43" t="s">
        <v>1401</v>
      </c>
      <c r="O775" s="43" t="s">
        <v>0</v>
      </c>
      <c r="P775" s="43" t="s">
        <v>1</v>
      </c>
      <c r="Q775" s="43" t="s">
        <v>2</v>
      </c>
      <c r="R775" s="43" t="s">
        <v>1402</v>
      </c>
      <c r="S775" s="43" t="s">
        <v>3</v>
      </c>
    </row>
    <row r="776" spans="4:19" x14ac:dyDescent="0.3">
      <c r="D776" s="117" t="s">
        <v>327</v>
      </c>
      <c r="E776" s="117" t="s">
        <v>239</v>
      </c>
      <c r="F776" s="118"/>
      <c r="G776" s="119"/>
      <c r="H776" s="118">
        <v>2</v>
      </c>
      <c r="I776" s="117" t="s">
        <v>328</v>
      </c>
      <c r="N776" s="142" t="s">
        <v>327</v>
      </c>
      <c r="O776" s="142" t="s">
        <v>239</v>
      </c>
      <c r="P776" s="143"/>
      <c r="Q776" s="144"/>
      <c r="R776" s="143">
        <v>2</v>
      </c>
      <c r="S776" s="142" t="s">
        <v>328</v>
      </c>
    </row>
    <row r="777" spans="4:19" x14ac:dyDescent="0.3">
      <c r="D777" s="97" t="s">
        <v>329</v>
      </c>
      <c r="E777" s="97" t="s">
        <v>73</v>
      </c>
      <c r="F777" s="98"/>
      <c r="G777" s="99"/>
      <c r="H777" s="98">
        <v>3</v>
      </c>
      <c r="I777" s="97" t="s">
        <v>330</v>
      </c>
      <c r="N777" s="151" t="s">
        <v>329</v>
      </c>
      <c r="O777" s="151" t="s">
        <v>73</v>
      </c>
      <c r="P777" s="152"/>
      <c r="Q777" s="152"/>
      <c r="R777" s="152">
        <v>3</v>
      </c>
      <c r="S777" s="151" t="s">
        <v>330</v>
      </c>
    </row>
    <row r="778" spans="4:19" x14ac:dyDescent="0.3">
      <c r="D778" s="97" t="s">
        <v>1149</v>
      </c>
      <c r="E778" s="97" t="s">
        <v>44</v>
      </c>
      <c r="F778" s="98"/>
      <c r="G778" s="99"/>
      <c r="H778" s="98">
        <v>1</v>
      </c>
      <c r="I778" s="97" t="s">
        <v>1149</v>
      </c>
      <c r="N778" s="151" t="s">
        <v>1149</v>
      </c>
      <c r="O778" s="151" t="s">
        <v>44</v>
      </c>
      <c r="P778" s="152"/>
      <c r="Q778" s="152"/>
      <c r="R778" s="152">
        <v>1</v>
      </c>
      <c r="S778" s="151" t="s">
        <v>1149</v>
      </c>
    </row>
    <row r="779" spans="4:19" x14ac:dyDescent="0.3">
      <c r="D779" s="29" t="s">
        <v>741</v>
      </c>
      <c r="E779" s="29" t="s">
        <v>23</v>
      </c>
      <c r="F779" s="71" t="s">
        <v>19</v>
      </c>
      <c r="G779" s="100"/>
      <c r="H779" s="71"/>
      <c r="I779" s="29" t="s">
        <v>1317</v>
      </c>
      <c r="N779" s="145" t="s">
        <v>741</v>
      </c>
      <c r="O779" s="145" t="s">
        <v>23</v>
      </c>
      <c r="P779" s="146" t="s">
        <v>19</v>
      </c>
      <c r="Q779" s="146"/>
      <c r="R779" s="145"/>
      <c r="S779" s="145" t="s">
        <v>1317</v>
      </c>
    </row>
    <row r="780" spans="4:19" x14ac:dyDescent="0.3">
      <c r="D780" s="29" t="s">
        <v>1318</v>
      </c>
      <c r="E780" s="29" t="s">
        <v>36</v>
      </c>
      <c r="F780" s="71" t="s">
        <v>19</v>
      </c>
      <c r="G780" s="100"/>
      <c r="H780" s="71"/>
      <c r="I780" s="29" t="s">
        <v>1319</v>
      </c>
      <c r="N780" s="145" t="s">
        <v>1318</v>
      </c>
      <c r="O780" s="145" t="s">
        <v>36</v>
      </c>
      <c r="P780" s="146" t="s">
        <v>19</v>
      </c>
      <c r="Q780" s="146"/>
      <c r="R780" s="145"/>
      <c r="S780" s="145" t="s">
        <v>1319</v>
      </c>
    </row>
    <row r="781" spans="4:19" x14ac:dyDescent="0.3">
      <c r="D781" s="29" t="s">
        <v>1320</v>
      </c>
      <c r="E781" s="29" t="s">
        <v>23</v>
      </c>
      <c r="F781" s="71" t="s">
        <v>19</v>
      </c>
      <c r="G781" s="100"/>
      <c r="H781" s="71"/>
      <c r="I781" s="29" t="s">
        <v>1321</v>
      </c>
      <c r="N781" s="145" t="s">
        <v>1320</v>
      </c>
      <c r="O781" s="145" t="s">
        <v>23</v>
      </c>
      <c r="P781" s="146" t="s">
        <v>19</v>
      </c>
      <c r="Q781" s="146"/>
      <c r="R781" s="145"/>
      <c r="S781" s="145" t="s">
        <v>1321</v>
      </c>
    </row>
    <row r="782" spans="4:19" x14ac:dyDescent="0.3">
      <c r="D782" s="29" t="s">
        <v>747</v>
      </c>
      <c r="E782" s="29" t="s">
        <v>60</v>
      </c>
      <c r="F782" s="71" t="s">
        <v>19</v>
      </c>
      <c r="G782" s="100"/>
      <c r="H782" s="71"/>
      <c r="I782" s="29" t="s">
        <v>1322</v>
      </c>
      <c r="N782" s="145" t="s">
        <v>747</v>
      </c>
      <c r="O782" s="145" t="s">
        <v>60</v>
      </c>
      <c r="P782" s="146" t="s">
        <v>19</v>
      </c>
      <c r="Q782" s="146"/>
      <c r="R782" s="145"/>
      <c r="S782" s="145" t="s">
        <v>1322</v>
      </c>
    </row>
    <row r="783" spans="4:19" x14ac:dyDescent="0.3">
      <c r="D783" s="29" t="s">
        <v>1323</v>
      </c>
      <c r="E783" s="29" t="s">
        <v>23</v>
      </c>
      <c r="F783" s="71" t="s">
        <v>19</v>
      </c>
      <c r="G783" s="100"/>
      <c r="H783" s="71"/>
      <c r="I783" s="29" t="s">
        <v>1324</v>
      </c>
      <c r="N783" s="145" t="s">
        <v>1323</v>
      </c>
      <c r="O783" s="145" t="s">
        <v>23</v>
      </c>
      <c r="P783" s="146" t="s">
        <v>19</v>
      </c>
      <c r="Q783" s="146"/>
      <c r="R783" s="145"/>
      <c r="S783" s="145" t="s">
        <v>1324</v>
      </c>
    </row>
    <row r="784" spans="4:19" x14ac:dyDescent="0.3">
      <c r="D784" s="29" t="s">
        <v>1325</v>
      </c>
      <c r="E784" s="29" t="s">
        <v>60</v>
      </c>
      <c r="F784" s="71" t="s">
        <v>19</v>
      </c>
      <c r="G784" s="100"/>
      <c r="H784" s="71"/>
      <c r="I784" s="29" t="s">
        <v>1326</v>
      </c>
      <c r="N784" s="145" t="s">
        <v>1325</v>
      </c>
      <c r="O784" s="145" t="s">
        <v>60</v>
      </c>
      <c r="P784" s="146" t="s">
        <v>19</v>
      </c>
      <c r="Q784" s="146"/>
      <c r="R784" s="145"/>
      <c r="S784" s="145" t="s">
        <v>1326</v>
      </c>
    </row>
    <row r="785" spans="4:19" x14ac:dyDescent="0.3">
      <c r="D785" s="29" t="s">
        <v>742</v>
      </c>
      <c r="E785" s="29" t="s">
        <v>23</v>
      </c>
      <c r="F785" s="71" t="s">
        <v>19</v>
      </c>
      <c r="G785" s="100"/>
      <c r="H785" s="71"/>
      <c r="I785" s="29" t="s">
        <v>1327</v>
      </c>
      <c r="N785" s="145" t="s">
        <v>742</v>
      </c>
      <c r="O785" s="145" t="s">
        <v>23</v>
      </c>
      <c r="P785" s="146" t="s">
        <v>19</v>
      </c>
      <c r="Q785" s="146"/>
      <c r="R785" s="145"/>
      <c r="S785" s="145" t="s">
        <v>1327</v>
      </c>
    </row>
    <row r="786" spans="4:19" x14ac:dyDescent="0.3">
      <c r="D786" s="29" t="s">
        <v>744</v>
      </c>
      <c r="E786" s="29" t="s">
        <v>23</v>
      </c>
      <c r="F786" s="71" t="s">
        <v>19</v>
      </c>
      <c r="G786" s="100"/>
      <c r="H786" s="71"/>
      <c r="I786" s="29" t="s">
        <v>1328</v>
      </c>
      <c r="N786" s="145" t="s">
        <v>744</v>
      </c>
      <c r="O786" s="145" t="s">
        <v>23</v>
      </c>
      <c r="P786" s="146" t="s">
        <v>19</v>
      </c>
      <c r="Q786" s="146"/>
      <c r="R786" s="145"/>
      <c r="S786" s="145" t="s">
        <v>1328</v>
      </c>
    </row>
    <row r="787" spans="4:19" x14ac:dyDescent="0.3">
      <c r="D787" s="29" t="s">
        <v>1329</v>
      </c>
      <c r="E787" s="29" t="s">
        <v>44</v>
      </c>
      <c r="F787" s="71" t="s">
        <v>19</v>
      </c>
      <c r="G787" s="100"/>
      <c r="H787" s="71"/>
      <c r="I787" s="29" t="s">
        <v>1330</v>
      </c>
      <c r="N787" s="145" t="s">
        <v>1329</v>
      </c>
      <c r="O787" s="145" t="s">
        <v>44</v>
      </c>
      <c r="P787" s="146" t="s">
        <v>19</v>
      </c>
      <c r="Q787" s="146"/>
      <c r="R787" s="145"/>
      <c r="S787" s="145" t="s">
        <v>1330</v>
      </c>
    </row>
    <row r="788" spans="4:19" x14ac:dyDescent="0.3">
      <c r="D788" s="29" t="s">
        <v>743</v>
      </c>
      <c r="E788" s="29" t="s">
        <v>1331</v>
      </c>
      <c r="F788" s="71" t="s">
        <v>19</v>
      </c>
      <c r="G788" s="100"/>
      <c r="H788" s="71"/>
      <c r="I788" s="29" t="s">
        <v>1332</v>
      </c>
      <c r="N788" s="145" t="s">
        <v>743</v>
      </c>
      <c r="O788" s="145" t="s">
        <v>1331</v>
      </c>
      <c r="P788" s="146" t="s">
        <v>19</v>
      </c>
      <c r="Q788" s="146"/>
      <c r="R788" s="145"/>
      <c r="S788" s="145" t="s">
        <v>1332</v>
      </c>
    </row>
    <row r="789" spans="4:19" x14ac:dyDescent="0.3">
      <c r="D789" s="29" t="s">
        <v>1333</v>
      </c>
      <c r="E789" s="29" t="s">
        <v>44</v>
      </c>
      <c r="F789" s="71" t="s">
        <v>19</v>
      </c>
      <c r="G789" s="100"/>
      <c r="H789" s="71"/>
      <c r="I789" s="29" t="s">
        <v>1334</v>
      </c>
      <c r="N789" s="145" t="s">
        <v>1333</v>
      </c>
      <c r="O789" s="145" t="s">
        <v>44</v>
      </c>
      <c r="P789" s="146" t="s">
        <v>19</v>
      </c>
      <c r="Q789" s="146"/>
      <c r="R789" s="145"/>
      <c r="S789" s="145" t="s">
        <v>1334</v>
      </c>
    </row>
    <row r="790" spans="4:19" x14ac:dyDescent="0.3">
      <c r="D790" s="29" t="s">
        <v>1335</v>
      </c>
      <c r="E790" s="29" t="s">
        <v>44</v>
      </c>
      <c r="F790" s="71" t="s">
        <v>19</v>
      </c>
      <c r="G790" s="100"/>
      <c r="H790" s="71"/>
      <c r="I790" s="29" t="s">
        <v>1336</v>
      </c>
      <c r="N790" s="145" t="s">
        <v>1335</v>
      </c>
      <c r="O790" s="145" t="s">
        <v>44</v>
      </c>
      <c r="P790" s="146" t="s">
        <v>19</v>
      </c>
      <c r="Q790" s="146"/>
      <c r="R790" s="145"/>
      <c r="S790" s="145" t="s">
        <v>1336</v>
      </c>
    </row>
    <row r="791" spans="4:19" x14ac:dyDescent="0.3">
      <c r="D791" s="29" t="s">
        <v>1337</v>
      </c>
      <c r="E791" s="29" t="s">
        <v>44</v>
      </c>
      <c r="F791" s="71" t="s">
        <v>19</v>
      </c>
      <c r="G791" s="100"/>
      <c r="H791" s="71"/>
      <c r="I791" s="29" t="s">
        <v>1338</v>
      </c>
      <c r="N791" s="145" t="s">
        <v>1337</v>
      </c>
      <c r="O791" s="145" t="s">
        <v>44</v>
      </c>
      <c r="P791" s="146" t="s">
        <v>19</v>
      </c>
      <c r="Q791" s="146"/>
      <c r="R791" s="145"/>
      <c r="S791" s="145" t="s">
        <v>1338</v>
      </c>
    </row>
    <row r="792" spans="4:19" x14ac:dyDescent="0.3">
      <c r="D792" s="29" t="s">
        <v>331</v>
      </c>
      <c r="E792" s="29" t="s">
        <v>44</v>
      </c>
      <c r="F792" s="71" t="s">
        <v>19</v>
      </c>
      <c r="G792" s="100"/>
      <c r="H792" s="71"/>
      <c r="I792" s="29" t="s">
        <v>332</v>
      </c>
      <c r="N792" s="145" t="s">
        <v>331</v>
      </c>
      <c r="O792" s="145" t="s">
        <v>44</v>
      </c>
      <c r="P792" s="146" t="s">
        <v>19</v>
      </c>
      <c r="Q792" s="146"/>
      <c r="R792" s="145"/>
      <c r="S792" s="145" t="s">
        <v>332</v>
      </c>
    </row>
    <row r="793" spans="4:19" x14ac:dyDescent="0.3">
      <c r="D793" s="29" t="s">
        <v>740</v>
      </c>
      <c r="E793" s="29" t="s">
        <v>42</v>
      </c>
      <c r="F793" s="71" t="s">
        <v>19</v>
      </c>
      <c r="G793" s="100"/>
      <c r="H793" s="71"/>
      <c r="I793" s="29" t="s">
        <v>1339</v>
      </c>
      <c r="N793" s="145" t="s">
        <v>740</v>
      </c>
      <c r="O793" s="145" t="s">
        <v>42</v>
      </c>
      <c r="P793" s="146" t="s">
        <v>19</v>
      </c>
      <c r="Q793" s="146"/>
      <c r="R793" s="145"/>
      <c r="S793" s="145" t="s">
        <v>1339</v>
      </c>
    </row>
    <row r="794" spans="4:19" ht="27" x14ac:dyDescent="0.3">
      <c r="D794" s="29" t="s">
        <v>46</v>
      </c>
      <c r="E794" s="29" t="s">
        <v>47</v>
      </c>
      <c r="F794" s="71"/>
      <c r="G794" s="100" t="s">
        <v>344</v>
      </c>
      <c r="H794" s="71"/>
      <c r="I794" s="29" t="s">
        <v>48</v>
      </c>
      <c r="N794" s="145" t="s">
        <v>46</v>
      </c>
      <c r="O794" s="145" t="s">
        <v>47</v>
      </c>
      <c r="P794" s="146"/>
      <c r="Q794" s="147" t="s">
        <v>1349</v>
      </c>
      <c r="R794" s="145"/>
      <c r="S794" s="145" t="s">
        <v>48</v>
      </c>
    </row>
    <row r="795" spans="4:19" x14ac:dyDescent="0.3">
      <c r="D795" s="29" t="s">
        <v>49</v>
      </c>
      <c r="E795" s="29" t="s">
        <v>23</v>
      </c>
      <c r="F795" s="71"/>
      <c r="G795" s="100"/>
      <c r="H795" s="71"/>
      <c r="I795" s="29" t="s">
        <v>50</v>
      </c>
      <c r="N795" s="145" t="s">
        <v>49</v>
      </c>
      <c r="O795" s="145" t="s">
        <v>23</v>
      </c>
      <c r="P795" s="146"/>
      <c r="Q795" s="146"/>
      <c r="R795" s="145"/>
      <c r="S795" s="145" t="s">
        <v>50</v>
      </c>
    </row>
    <row r="796" spans="4:19" x14ac:dyDescent="0.3">
      <c r="D796" s="29" t="s">
        <v>51</v>
      </c>
      <c r="E796" s="29" t="s">
        <v>47</v>
      </c>
      <c r="F796" s="71" t="s">
        <v>19</v>
      </c>
      <c r="G796" s="100"/>
      <c r="H796" s="71"/>
      <c r="I796" s="29" t="s">
        <v>52</v>
      </c>
      <c r="N796" s="145" t="s">
        <v>51</v>
      </c>
      <c r="O796" s="145" t="s">
        <v>47</v>
      </c>
      <c r="P796" s="146" t="s">
        <v>19</v>
      </c>
      <c r="Q796" s="146"/>
      <c r="R796" s="145"/>
      <c r="S796" s="145" t="s">
        <v>52</v>
      </c>
    </row>
    <row r="797" spans="4:19" x14ac:dyDescent="0.3">
      <c r="D797" s="29" t="s">
        <v>53</v>
      </c>
      <c r="E797" s="29" t="s">
        <v>23</v>
      </c>
      <c r="F797" s="71" t="s">
        <v>19</v>
      </c>
      <c r="G797" s="100"/>
      <c r="H797" s="71"/>
      <c r="I797" s="29" t="s">
        <v>54</v>
      </c>
      <c r="N797" s="145" t="s">
        <v>53</v>
      </c>
      <c r="O797" s="145" t="s">
        <v>23</v>
      </c>
      <c r="P797" s="146" t="s">
        <v>19</v>
      </c>
      <c r="Q797" s="146"/>
      <c r="R797" s="145"/>
      <c r="S797" s="145" t="s">
        <v>54</v>
      </c>
    </row>
    <row r="798" spans="4:19" x14ac:dyDescent="0.3">
      <c r="D798" s="29" t="s">
        <v>55</v>
      </c>
      <c r="E798" s="29" t="s">
        <v>47</v>
      </c>
      <c r="F798" s="71" t="s">
        <v>19</v>
      </c>
      <c r="G798" s="100"/>
      <c r="H798" s="71"/>
      <c r="I798" s="29" t="s">
        <v>56</v>
      </c>
      <c r="N798" s="145" t="s">
        <v>55</v>
      </c>
      <c r="O798" s="145" t="s">
        <v>47</v>
      </c>
      <c r="P798" s="146" t="s">
        <v>19</v>
      </c>
      <c r="Q798" s="146"/>
      <c r="R798" s="145"/>
      <c r="S798" s="145" t="s">
        <v>56</v>
      </c>
    </row>
    <row r="799" spans="4:19" x14ac:dyDescent="0.3">
      <c r="D799" s="29" t="s">
        <v>57</v>
      </c>
      <c r="E799" s="29" t="s">
        <v>23</v>
      </c>
      <c r="F799" s="71" t="s">
        <v>19</v>
      </c>
      <c r="G799" s="100"/>
      <c r="H799" s="71"/>
      <c r="I799" s="29" t="s">
        <v>58</v>
      </c>
      <c r="N799" s="145" t="s">
        <v>57</v>
      </c>
      <c r="O799" s="145" t="s">
        <v>23</v>
      </c>
      <c r="P799" s="146" t="s">
        <v>19</v>
      </c>
      <c r="Q799" s="146"/>
      <c r="R799" s="145"/>
      <c r="S799" s="145" t="s">
        <v>58</v>
      </c>
    </row>
    <row r="800" spans="4:19" x14ac:dyDescent="0.3">
      <c r="D800" s="29" t="s">
        <v>28</v>
      </c>
      <c r="E800" s="29" t="s">
        <v>23</v>
      </c>
      <c r="F800" s="71" t="s">
        <v>19</v>
      </c>
      <c r="G800" s="100"/>
      <c r="H800" s="71"/>
      <c r="I800" s="29" t="s">
        <v>29</v>
      </c>
      <c r="N800" s="145" t="s">
        <v>28</v>
      </c>
      <c r="O800" s="145" t="s">
        <v>23</v>
      </c>
      <c r="P800" s="146" t="s">
        <v>19</v>
      </c>
      <c r="Q800" s="146"/>
      <c r="R800" s="145"/>
      <c r="S800" s="145" t="s">
        <v>29</v>
      </c>
    </row>
    <row r="801" spans="4:19" x14ac:dyDescent="0.3">
      <c r="D801" s="29" t="s">
        <v>59</v>
      </c>
      <c r="E801" s="29" t="s">
        <v>60</v>
      </c>
      <c r="F801" s="71" t="s">
        <v>19</v>
      </c>
      <c r="G801" s="100"/>
      <c r="H801" s="71"/>
      <c r="I801" s="29" t="s">
        <v>59</v>
      </c>
      <c r="N801" s="145" t="s">
        <v>59</v>
      </c>
      <c r="O801" s="145" t="s">
        <v>60</v>
      </c>
      <c r="P801" s="146" t="s">
        <v>19</v>
      </c>
      <c r="Q801" s="146"/>
      <c r="R801" s="145"/>
      <c r="S801" s="145" t="s">
        <v>59</v>
      </c>
    </row>
    <row r="802" spans="4:19" x14ac:dyDescent="0.3">
      <c r="D802" s="29" t="s">
        <v>62</v>
      </c>
      <c r="E802" s="29" t="s">
        <v>60</v>
      </c>
      <c r="F802" s="71" t="s">
        <v>19</v>
      </c>
      <c r="G802" s="100"/>
      <c r="H802" s="71"/>
      <c r="I802" s="29" t="s">
        <v>62</v>
      </c>
      <c r="N802" s="145" t="s">
        <v>62</v>
      </c>
      <c r="O802" s="145" t="s">
        <v>60</v>
      </c>
      <c r="P802" s="146" t="s">
        <v>19</v>
      </c>
      <c r="Q802" s="146"/>
      <c r="R802" s="145"/>
      <c r="S802" s="145" t="s">
        <v>62</v>
      </c>
    </row>
    <row r="803" spans="4:19" x14ac:dyDescent="0.3">
      <c r="D803" s="29" t="s">
        <v>64</v>
      </c>
      <c r="E803" s="29" t="s">
        <v>60</v>
      </c>
      <c r="F803" s="71" t="s">
        <v>19</v>
      </c>
      <c r="G803" s="100"/>
      <c r="H803" s="71"/>
      <c r="I803" s="29" t="s">
        <v>64</v>
      </c>
      <c r="N803" s="145" t="s">
        <v>64</v>
      </c>
      <c r="O803" s="145" t="s">
        <v>60</v>
      </c>
      <c r="P803" s="146" t="s">
        <v>19</v>
      </c>
      <c r="Q803" s="146"/>
      <c r="R803" s="145"/>
      <c r="S803" s="145" t="s">
        <v>64</v>
      </c>
    </row>
    <row r="804" spans="4:19" x14ac:dyDescent="0.3">
      <c r="D804" s="29" t="s">
        <v>66</v>
      </c>
      <c r="E804" s="29" t="s">
        <v>60</v>
      </c>
      <c r="F804" s="71" t="s">
        <v>19</v>
      </c>
      <c r="G804" s="100"/>
      <c r="H804" s="71"/>
      <c r="I804" s="29" t="s">
        <v>66</v>
      </c>
      <c r="N804" s="145" t="s">
        <v>66</v>
      </c>
      <c r="O804" s="145" t="s">
        <v>60</v>
      </c>
      <c r="P804" s="146" t="s">
        <v>19</v>
      </c>
      <c r="Q804" s="146"/>
      <c r="R804" s="145"/>
      <c r="S804" s="145" t="s">
        <v>66</v>
      </c>
    </row>
    <row r="805" spans="4:19" x14ac:dyDescent="0.3">
      <c r="D805" s="29" t="s">
        <v>67</v>
      </c>
      <c r="E805" s="29" t="s">
        <v>60</v>
      </c>
      <c r="F805" s="71" t="s">
        <v>19</v>
      </c>
      <c r="G805" s="100"/>
      <c r="H805" s="71"/>
      <c r="I805" s="29" t="s">
        <v>67</v>
      </c>
      <c r="N805" s="145" t="s">
        <v>67</v>
      </c>
      <c r="O805" s="145" t="s">
        <v>60</v>
      </c>
      <c r="P805" s="146" t="s">
        <v>19</v>
      </c>
      <c r="Q805" s="146"/>
      <c r="R805" s="145"/>
      <c r="S805" s="145" t="s">
        <v>67</v>
      </c>
    </row>
    <row r="806" spans="4:19" x14ac:dyDescent="0.3">
      <c r="D806" s="29" t="s">
        <v>745</v>
      </c>
      <c r="E806" s="29" t="s">
        <v>44</v>
      </c>
      <c r="F806" s="71" t="s">
        <v>19</v>
      </c>
      <c r="G806" s="100" t="s">
        <v>20</v>
      </c>
      <c r="H806" s="71"/>
      <c r="I806" s="29"/>
      <c r="N806" s="145" t="s">
        <v>745</v>
      </c>
      <c r="O806" s="145" t="s">
        <v>44</v>
      </c>
      <c r="P806" s="146" t="s">
        <v>19</v>
      </c>
      <c r="Q806" s="146">
        <v>0</v>
      </c>
      <c r="R806" s="145"/>
      <c r="S806" s="145"/>
    </row>
    <row r="807" spans="4:19" x14ac:dyDescent="0.3">
      <c r="D807" s="29" t="s">
        <v>1340</v>
      </c>
      <c r="E807" s="29" t="s">
        <v>23</v>
      </c>
      <c r="F807" s="71" t="s">
        <v>19</v>
      </c>
      <c r="G807" s="100"/>
      <c r="H807" s="71"/>
      <c r="I807" s="29"/>
      <c r="N807" s="145" t="s">
        <v>1340</v>
      </c>
      <c r="O807" s="145" t="s">
        <v>23</v>
      </c>
      <c r="P807" s="146" t="s">
        <v>19</v>
      </c>
      <c r="Q807" s="146"/>
      <c r="R807" s="145"/>
      <c r="S807" s="145"/>
    </row>
    <row r="808" spans="4:19" x14ac:dyDescent="0.3">
      <c r="D808" s="29" t="s">
        <v>347</v>
      </c>
      <c r="E808" s="29" t="s">
        <v>60</v>
      </c>
      <c r="F808" s="71" t="s">
        <v>19</v>
      </c>
      <c r="G808" s="100" t="s">
        <v>20</v>
      </c>
      <c r="H808" s="71"/>
      <c r="I808" s="29"/>
      <c r="N808" s="145" t="s">
        <v>347</v>
      </c>
      <c r="O808" s="145" t="s">
        <v>60</v>
      </c>
      <c r="P808" s="146" t="s">
        <v>19</v>
      </c>
      <c r="Q808" s="146">
        <v>0</v>
      </c>
      <c r="R808" s="145"/>
      <c r="S808" s="145"/>
    </row>
    <row r="809" spans="4:19" x14ac:dyDescent="0.3">
      <c r="D809" s="29" t="s">
        <v>746</v>
      </c>
      <c r="E809" s="29" t="s">
        <v>42</v>
      </c>
      <c r="F809" s="71" t="s">
        <v>19</v>
      </c>
      <c r="G809" s="100"/>
      <c r="H809" s="71"/>
      <c r="I809" s="29"/>
      <c r="N809" s="145" t="s">
        <v>746</v>
      </c>
      <c r="O809" s="145" t="s">
        <v>42</v>
      </c>
      <c r="P809" s="146" t="s">
        <v>19</v>
      </c>
      <c r="Q809" s="146"/>
      <c r="R809" s="145"/>
      <c r="S809" s="145"/>
    </row>
    <row r="810" spans="4:19" x14ac:dyDescent="0.3">
      <c r="D810" s="29" t="s">
        <v>738</v>
      </c>
      <c r="E810" s="29" t="s">
        <v>23</v>
      </c>
      <c r="F810" s="71" t="s">
        <v>19</v>
      </c>
      <c r="G810" s="100"/>
      <c r="H810" s="71"/>
      <c r="I810" s="29" t="s">
        <v>1341</v>
      </c>
      <c r="N810" s="145" t="s">
        <v>738</v>
      </c>
      <c r="O810" s="145" t="s">
        <v>23</v>
      </c>
      <c r="P810" s="146" t="s">
        <v>19</v>
      </c>
      <c r="Q810" s="146"/>
      <c r="R810" s="145"/>
      <c r="S810" s="145" t="s">
        <v>1341</v>
      </c>
    </row>
    <row r="811" spans="4:19" x14ac:dyDescent="0.3">
      <c r="D811" s="29" t="s">
        <v>739</v>
      </c>
      <c r="E811" s="29" t="s">
        <v>23</v>
      </c>
      <c r="F811" s="71" t="s">
        <v>19</v>
      </c>
      <c r="G811" s="100"/>
      <c r="H811" s="71"/>
      <c r="I811" s="29" t="s">
        <v>1342</v>
      </c>
      <c r="N811" s="145" t="s">
        <v>739</v>
      </c>
      <c r="O811" s="145" t="s">
        <v>23</v>
      </c>
      <c r="P811" s="146" t="s">
        <v>19</v>
      </c>
      <c r="Q811" s="146"/>
      <c r="R811" s="145"/>
      <c r="S811" s="145" t="s">
        <v>1342</v>
      </c>
    </row>
    <row r="812" spans="4:19" x14ac:dyDescent="0.3">
      <c r="D812" s="29" t="s">
        <v>748</v>
      </c>
      <c r="E812" s="29" t="s">
        <v>23</v>
      </c>
      <c r="F812" s="71" t="s">
        <v>19</v>
      </c>
      <c r="G812" s="100"/>
      <c r="H812" s="71"/>
      <c r="I812" s="29" t="s">
        <v>1343</v>
      </c>
      <c r="N812" s="145" t="s">
        <v>748</v>
      </c>
      <c r="O812" s="145" t="s">
        <v>23</v>
      </c>
      <c r="P812" s="146" t="s">
        <v>19</v>
      </c>
      <c r="Q812" s="146"/>
      <c r="R812" s="145"/>
      <c r="S812" s="145" t="s">
        <v>1343</v>
      </c>
    </row>
    <row r="813" spans="4:19" x14ac:dyDescent="0.3">
      <c r="D813" s="29" t="s">
        <v>749</v>
      </c>
      <c r="E813" s="29" t="s">
        <v>23</v>
      </c>
      <c r="F813" s="71" t="s">
        <v>19</v>
      </c>
      <c r="G813" s="100"/>
      <c r="H813" s="71"/>
      <c r="I813" s="29" t="s">
        <v>1344</v>
      </c>
      <c r="N813" s="145" t="s">
        <v>749</v>
      </c>
      <c r="O813" s="145" t="s">
        <v>23</v>
      </c>
      <c r="P813" s="146" t="s">
        <v>19</v>
      </c>
      <c r="Q813" s="146"/>
      <c r="R813" s="145"/>
      <c r="S813" s="145" t="s">
        <v>1344</v>
      </c>
    </row>
    <row r="814" spans="4:19" x14ac:dyDescent="0.3">
      <c r="D814" s="38" t="s">
        <v>43</v>
      </c>
      <c r="E814" s="38" t="s">
        <v>44</v>
      </c>
      <c r="F814" s="72" t="s">
        <v>19</v>
      </c>
      <c r="G814" s="101"/>
      <c r="H814" s="72"/>
      <c r="I814" s="38" t="s">
        <v>45</v>
      </c>
      <c r="N814" s="148" t="s">
        <v>43</v>
      </c>
      <c r="O814" s="148" t="s">
        <v>44</v>
      </c>
      <c r="P814" s="149" t="s">
        <v>19</v>
      </c>
      <c r="Q814" s="149"/>
      <c r="R814" s="148"/>
      <c r="S814" s="148" t="s">
        <v>45</v>
      </c>
    </row>
    <row r="816" spans="4:19" x14ac:dyDescent="0.3">
      <c r="D816" s="10" t="s">
        <v>1345</v>
      </c>
      <c r="N816" s="10" t="s">
        <v>1403</v>
      </c>
      <c r="Q816" s="18"/>
    </row>
    <row r="817" spans="4:19" x14ac:dyDescent="0.3">
      <c r="D817" s="43" t="s">
        <v>85</v>
      </c>
      <c r="E817" s="43" t="s">
        <v>0</v>
      </c>
      <c r="F817" s="43" t="s">
        <v>1</v>
      </c>
      <c r="G817" s="43" t="s">
        <v>2</v>
      </c>
      <c r="H817" s="43" t="s">
        <v>21</v>
      </c>
      <c r="I817" s="43" t="s">
        <v>3</v>
      </c>
      <c r="N817" s="43" t="s">
        <v>85</v>
      </c>
      <c r="O817" s="43" t="s">
        <v>0</v>
      </c>
      <c r="P817" s="43" t="s">
        <v>1</v>
      </c>
      <c r="Q817" s="43" t="s">
        <v>2</v>
      </c>
      <c r="R817" s="43" t="s">
        <v>21</v>
      </c>
      <c r="S817" s="43" t="s">
        <v>3</v>
      </c>
    </row>
    <row r="818" spans="4:19" x14ac:dyDescent="0.3">
      <c r="D818" s="117" t="s">
        <v>327</v>
      </c>
      <c r="E818" s="117" t="s">
        <v>239</v>
      </c>
      <c r="F818" s="118"/>
      <c r="G818" s="119"/>
      <c r="H818" s="118">
        <v>3</v>
      </c>
      <c r="I818" s="117" t="s">
        <v>328</v>
      </c>
      <c r="N818" s="142" t="s">
        <v>327</v>
      </c>
      <c r="O818" s="142" t="s">
        <v>239</v>
      </c>
      <c r="P818" s="143"/>
      <c r="Q818" s="144"/>
      <c r="R818" s="143">
        <v>3</v>
      </c>
      <c r="S818" s="142" t="s">
        <v>328</v>
      </c>
    </row>
    <row r="819" spans="4:19" x14ac:dyDescent="0.3">
      <c r="D819" s="97" t="s">
        <v>329</v>
      </c>
      <c r="E819" s="97" t="s">
        <v>73</v>
      </c>
      <c r="F819" s="98"/>
      <c r="G819" s="99"/>
      <c r="H819" s="98">
        <v>4</v>
      </c>
      <c r="I819" s="97" t="s">
        <v>330</v>
      </c>
      <c r="N819" s="151" t="s">
        <v>329</v>
      </c>
      <c r="O819" s="151" t="s">
        <v>73</v>
      </c>
      <c r="P819" s="152"/>
      <c r="Q819" s="152"/>
      <c r="R819" s="152">
        <v>4</v>
      </c>
      <c r="S819" s="151" t="s">
        <v>330</v>
      </c>
    </row>
    <row r="820" spans="4:19" x14ac:dyDescent="0.3">
      <c r="D820" s="97" t="s">
        <v>758</v>
      </c>
      <c r="E820" s="97" t="s">
        <v>23</v>
      </c>
      <c r="F820" s="98"/>
      <c r="G820" s="99"/>
      <c r="H820" s="98">
        <v>1</v>
      </c>
      <c r="I820" s="97" t="s">
        <v>1307</v>
      </c>
      <c r="N820" s="151" t="s">
        <v>758</v>
      </c>
      <c r="O820" s="151" t="s">
        <v>23</v>
      </c>
      <c r="P820" s="152"/>
      <c r="Q820" s="152"/>
      <c r="R820" s="152">
        <v>1</v>
      </c>
      <c r="S820" s="151" t="s">
        <v>1307</v>
      </c>
    </row>
    <row r="821" spans="4:19" x14ac:dyDescent="0.3">
      <c r="D821" s="97" t="s">
        <v>1149</v>
      </c>
      <c r="E821" s="97" t="s">
        <v>44</v>
      </c>
      <c r="F821" s="98"/>
      <c r="G821" s="99"/>
      <c r="H821" s="98">
        <v>2</v>
      </c>
      <c r="I821" s="97" t="s">
        <v>1149</v>
      </c>
      <c r="N821" s="151" t="s">
        <v>1149</v>
      </c>
      <c r="O821" s="151" t="s">
        <v>44</v>
      </c>
      <c r="P821" s="152"/>
      <c r="Q821" s="152"/>
      <c r="R821" s="152">
        <v>2</v>
      </c>
      <c r="S821" s="151" t="s">
        <v>1149</v>
      </c>
    </row>
    <row r="822" spans="4:19" x14ac:dyDescent="0.3">
      <c r="D822" s="29" t="s">
        <v>751</v>
      </c>
      <c r="E822" s="29" t="s">
        <v>96</v>
      </c>
      <c r="F822" s="71"/>
      <c r="G822" s="100"/>
      <c r="H822" s="71"/>
      <c r="I822" s="29" t="s">
        <v>1346</v>
      </c>
      <c r="N822" s="145" t="s">
        <v>751</v>
      </c>
      <c r="O822" s="145" t="s">
        <v>96</v>
      </c>
      <c r="P822" s="146"/>
      <c r="Q822" s="146"/>
      <c r="R822" s="146"/>
      <c r="S822" s="145" t="s">
        <v>1346</v>
      </c>
    </row>
    <row r="823" spans="4:19" x14ac:dyDescent="0.3">
      <c r="D823" s="29" t="s">
        <v>1347</v>
      </c>
      <c r="E823" s="29" t="s">
        <v>60</v>
      </c>
      <c r="F823" s="71" t="s">
        <v>19</v>
      </c>
      <c r="G823" s="100"/>
      <c r="H823" s="71"/>
      <c r="I823" s="29" t="s">
        <v>1348</v>
      </c>
      <c r="N823" s="145" t="s">
        <v>1347</v>
      </c>
      <c r="O823" s="145" t="s">
        <v>60</v>
      </c>
      <c r="P823" s="146" t="s">
        <v>19</v>
      </c>
      <c r="Q823" s="146"/>
      <c r="R823" s="146"/>
      <c r="S823" s="145" t="s">
        <v>1348</v>
      </c>
    </row>
    <row r="824" spans="4:19" ht="27" x14ac:dyDescent="0.3">
      <c r="D824" s="29" t="s">
        <v>46</v>
      </c>
      <c r="E824" s="29" t="s">
        <v>47</v>
      </c>
      <c r="F824" s="71"/>
      <c r="G824" s="25" t="s">
        <v>1349</v>
      </c>
      <c r="H824" s="71"/>
      <c r="I824" s="29" t="s">
        <v>48</v>
      </c>
      <c r="N824" s="145" t="s">
        <v>46</v>
      </c>
      <c r="O824" s="145" t="s">
        <v>47</v>
      </c>
      <c r="P824" s="146"/>
      <c r="Q824" s="147" t="s">
        <v>1394</v>
      </c>
      <c r="R824" s="146"/>
      <c r="S824" s="145" t="s">
        <v>48</v>
      </c>
    </row>
    <row r="825" spans="4:19" x14ac:dyDescent="0.3">
      <c r="D825" s="29" t="s">
        <v>49</v>
      </c>
      <c r="E825" s="29" t="s">
        <v>23</v>
      </c>
      <c r="F825" s="71"/>
      <c r="G825" s="100"/>
      <c r="H825" s="71"/>
      <c r="I825" s="29" t="s">
        <v>50</v>
      </c>
      <c r="N825" s="145" t="s">
        <v>49</v>
      </c>
      <c r="O825" s="145" t="s">
        <v>23</v>
      </c>
      <c r="P825" s="146"/>
      <c r="Q825" s="146"/>
      <c r="R825" s="146"/>
      <c r="S825" s="145" t="s">
        <v>50</v>
      </c>
    </row>
    <row r="826" spans="4:19" x14ac:dyDescent="0.3">
      <c r="D826" s="29" t="s">
        <v>51</v>
      </c>
      <c r="E826" s="29" t="s">
        <v>47</v>
      </c>
      <c r="F826" s="71" t="s">
        <v>19</v>
      </c>
      <c r="G826" s="100"/>
      <c r="H826" s="71"/>
      <c r="I826" s="29" t="s">
        <v>52</v>
      </c>
      <c r="N826" s="145" t="s">
        <v>51</v>
      </c>
      <c r="O826" s="145" t="s">
        <v>47</v>
      </c>
      <c r="P826" s="146" t="s">
        <v>19</v>
      </c>
      <c r="Q826" s="146"/>
      <c r="R826" s="146"/>
      <c r="S826" s="145" t="s">
        <v>52</v>
      </c>
    </row>
    <row r="827" spans="4:19" x14ac:dyDescent="0.3">
      <c r="D827" s="29" t="s">
        <v>53</v>
      </c>
      <c r="E827" s="29" t="s">
        <v>23</v>
      </c>
      <c r="F827" s="71" t="s">
        <v>19</v>
      </c>
      <c r="G827" s="100"/>
      <c r="H827" s="71"/>
      <c r="I827" s="29" t="s">
        <v>54</v>
      </c>
      <c r="N827" s="145" t="s">
        <v>53</v>
      </c>
      <c r="O827" s="145" t="s">
        <v>23</v>
      </c>
      <c r="P827" s="146" t="s">
        <v>19</v>
      </c>
      <c r="Q827" s="146"/>
      <c r="R827" s="146"/>
      <c r="S827" s="145" t="s">
        <v>54</v>
      </c>
    </row>
    <row r="828" spans="4:19" x14ac:dyDescent="0.3">
      <c r="D828" s="29" t="s">
        <v>55</v>
      </c>
      <c r="E828" s="29" t="s">
        <v>47</v>
      </c>
      <c r="F828" s="71" t="s">
        <v>19</v>
      </c>
      <c r="G828" s="100"/>
      <c r="H828" s="71"/>
      <c r="I828" s="29" t="s">
        <v>56</v>
      </c>
      <c r="N828" s="145" t="s">
        <v>55</v>
      </c>
      <c r="O828" s="145" t="s">
        <v>47</v>
      </c>
      <c r="P828" s="146" t="s">
        <v>19</v>
      </c>
      <c r="Q828" s="146"/>
      <c r="R828" s="146"/>
      <c r="S828" s="145" t="s">
        <v>56</v>
      </c>
    </row>
    <row r="829" spans="4:19" x14ac:dyDescent="0.3">
      <c r="D829" s="29" t="s">
        <v>57</v>
      </c>
      <c r="E829" s="29" t="s">
        <v>23</v>
      </c>
      <c r="F829" s="71" t="s">
        <v>19</v>
      </c>
      <c r="G829" s="100"/>
      <c r="H829" s="71"/>
      <c r="I829" s="29" t="s">
        <v>58</v>
      </c>
      <c r="N829" s="145" t="s">
        <v>57</v>
      </c>
      <c r="O829" s="145" t="s">
        <v>23</v>
      </c>
      <c r="P829" s="146" t="s">
        <v>19</v>
      </c>
      <c r="Q829" s="146"/>
      <c r="R829" s="146"/>
      <c r="S829" s="145" t="s">
        <v>58</v>
      </c>
    </row>
    <row r="830" spans="4:19" x14ac:dyDescent="0.3">
      <c r="D830" s="29" t="s">
        <v>28</v>
      </c>
      <c r="E830" s="29" t="s">
        <v>23</v>
      </c>
      <c r="F830" s="71" t="s">
        <v>19</v>
      </c>
      <c r="G830" s="100"/>
      <c r="H830" s="71"/>
      <c r="I830" s="29" t="s">
        <v>29</v>
      </c>
      <c r="N830" s="145" t="s">
        <v>28</v>
      </c>
      <c r="O830" s="145" t="s">
        <v>23</v>
      </c>
      <c r="P830" s="146" t="s">
        <v>19</v>
      </c>
      <c r="Q830" s="146"/>
      <c r="R830" s="146"/>
      <c r="S830" s="145" t="s">
        <v>29</v>
      </c>
    </row>
    <row r="831" spans="4:19" x14ac:dyDescent="0.3">
      <c r="D831" s="29" t="s">
        <v>59</v>
      </c>
      <c r="E831" s="29" t="s">
        <v>60</v>
      </c>
      <c r="F831" s="71" t="s">
        <v>19</v>
      </c>
      <c r="G831" s="100"/>
      <c r="H831" s="71"/>
      <c r="I831" s="29" t="s">
        <v>59</v>
      </c>
      <c r="N831" s="145" t="s">
        <v>59</v>
      </c>
      <c r="O831" s="145" t="s">
        <v>60</v>
      </c>
      <c r="P831" s="146" t="s">
        <v>19</v>
      </c>
      <c r="Q831" s="146"/>
      <c r="R831" s="146"/>
      <c r="S831" s="145" t="s">
        <v>59</v>
      </c>
    </row>
    <row r="832" spans="4:19" x14ac:dyDescent="0.3">
      <c r="D832" s="29" t="s">
        <v>62</v>
      </c>
      <c r="E832" s="29" t="s">
        <v>60</v>
      </c>
      <c r="F832" s="71" t="s">
        <v>19</v>
      </c>
      <c r="G832" s="100"/>
      <c r="H832" s="71"/>
      <c r="I832" s="29" t="s">
        <v>62</v>
      </c>
      <c r="N832" s="145" t="s">
        <v>62</v>
      </c>
      <c r="O832" s="145" t="s">
        <v>60</v>
      </c>
      <c r="P832" s="146" t="s">
        <v>19</v>
      </c>
      <c r="Q832" s="146"/>
      <c r="R832" s="146"/>
      <c r="S832" s="145" t="s">
        <v>62</v>
      </c>
    </row>
    <row r="833" spans="4:19" x14ac:dyDescent="0.3">
      <c r="D833" s="29" t="s">
        <v>64</v>
      </c>
      <c r="E833" s="29" t="s">
        <v>60</v>
      </c>
      <c r="F833" s="71" t="s">
        <v>19</v>
      </c>
      <c r="G833" s="100"/>
      <c r="H833" s="71"/>
      <c r="I833" s="29" t="s">
        <v>64</v>
      </c>
      <c r="N833" s="145" t="s">
        <v>64</v>
      </c>
      <c r="O833" s="145" t="s">
        <v>60</v>
      </c>
      <c r="P833" s="146" t="s">
        <v>19</v>
      </c>
      <c r="Q833" s="146"/>
      <c r="R833" s="146"/>
      <c r="S833" s="145" t="s">
        <v>64</v>
      </c>
    </row>
    <row r="834" spans="4:19" x14ac:dyDescent="0.3">
      <c r="D834" s="29" t="s">
        <v>66</v>
      </c>
      <c r="E834" s="29" t="s">
        <v>60</v>
      </c>
      <c r="F834" s="71" t="s">
        <v>19</v>
      </c>
      <c r="G834" s="100"/>
      <c r="H834" s="71"/>
      <c r="I834" s="29" t="s">
        <v>66</v>
      </c>
      <c r="N834" s="145" t="s">
        <v>66</v>
      </c>
      <c r="O834" s="145" t="s">
        <v>60</v>
      </c>
      <c r="P834" s="146" t="s">
        <v>19</v>
      </c>
      <c r="Q834" s="146"/>
      <c r="R834" s="146"/>
      <c r="S834" s="145" t="s">
        <v>66</v>
      </c>
    </row>
    <row r="835" spans="4:19" x14ac:dyDescent="0.3">
      <c r="D835" s="38" t="s">
        <v>67</v>
      </c>
      <c r="E835" s="38" t="s">
        <v>60</v>
      </c>
      <c r="F835" s="72" t="s">
        <v>19</v>
      </c>
      <c r="G835" s="101"/>
      <c r="H835" s="72"/>
      <c r="I835" s="38" t="s">
        <v>67</v>
      </c>
      <c r="N835" s="148" t="s">
        <v>67</v>
      </c>
      <c r="O835" s="148" t="s">
        <v>60</v>
      </c>
      <c r="P835" s="149" t="s">
        <v>19</v>
      </c>
      <c r="Q835" s="149"/>
      <c r="R835" s="149"/>
      <c r="S835" s="148" t="s">
        <v>67</v>
      </c>
    </row>
    <row r="837" spans="4:19" x14ac:dyDescent="0.3">
      <c r="D837" s="10" t="s">
        <v>1358</v>
      </c>
      <c r="N837" s="10" t="s">
        <v>1404</v>
      </c>
      <c r="Q837" s="18"/>
    </row>
    <row r="838" spans="4:19" x14ac:dyDescent="0.3">
      <c r="D838" s="43" t="s">
        <v>85</v>
      </c>
      <c r="E838" s="43" t="s">
        <v>0</v>
      </c>
      <c r="F838" s="43" t="s">
        <v>1</v>
      </c>
      <c r="G838" s="43" t="s">
        <v>2</v>
      </c>
      <c r="H838" s="43" t="s">
        <v>21</v>
      </c>
      <c r="I838" s="43" t="s">
        <v>3</v>
      </c>
      <c r="N838" s="43" t="s">
        <v>1405</v>
      </c>
      <c r="O838" s="43" t="s">
        <v>0</v>
      </c>
      <c r="P838" s="43" t="s">
        <v>1</v>
      </c>
      <c r="Q838" s="43" t="s">
        <v>2</v>
      </c>
      <c r="R838" s="43" t="s">
        <v>21</v>
      </c>
      <c r="S838" s="43" t="s">
        <v>3</v>
      </c>
    </row>
    <row r="839" spans="4:19" x14ac:dyDescent="0.3">
      <c r="D839" s="117" t="s">
        <v>1357</v>
      </c>
      <c r="E839" s="117" t="s">
        <v>239</v>
      </c>
      <c r="F839" s="118"/>
      <c r="G839" s="119"/>
      <c r="H839" s="118">
        <v>2</v>
      </c>
      <c r="I839" s="117" t="s">
        <v>328</v>
      </c>
      <c r="N839" s="142" t="s">
        <v>327</v>
      </c>
      <c r="O839" s="142" t="s">
        <v>239</v>
      </c>
      <c r="P839" s="143"/>
      <c r="Q839" s="144"/>
      <c r="R839" s="143">
        <v>2</v>
      </c>
      <c r="S839" s="142" t="s">
        <v>328</v>
      </c>
    </row>
    <row r="840" spans="4:19" x14ac:dyDescent="0.3">
      <c r="D840" s="97" t="s">
        <v>329</v>
      </c>
      <c r="E840" s="97" t="s">
        <v>73</v>
      </c>
      <c r="F840" s="98"/>
      <c r="G840" s="99"/>
      <c r="H840" s="98">
        <v>3</v>
      </c>
      <c r="I840" s="97" t="s">
        <v>330</v>
      </c>
      <c r="N840" s="151" t="s">
        <v>329</v>
      </c>
      <c r="O840" s="151" t="s">
        <v>73</v>
      </c>
      <c r="P840" s="152"/>
      <c r="Q840" s="152"/>
      <c r="R840" s="152">
        <v>3</v>
      </c>
      <c r="S840" s="151" t="s">
        <v>330</v>
      </c>
    </row>
    <row r="841" spans="4:19" x14ac:dyDescent="0.3">
      <c r="D841" s="97" t="s">
        <v>1149</v>
      </c>
      <c r="E841" s="97" t="s">
        <v>44</v>
      </c>
      <c r="F841" s="98"/>
      <c r="G841" s="99"/>
      <c r="H841" s="98">
        <v>1</v>
      </c>
      <c r="I841" s="97" t="s">
        <v>1149</v>
      </c>
      <c r="N841" s="151" t="s">
        <v>1149</v>
      </c>
      <c r="O841" s="151" t="s">
        <v>44</v>
      </c>
      <c r="P841" s="152"/>
      <c r="Q841" s="152"/>
      <c r="R841" s="152">
        <v>1</v>
      </c>
      <c r="S841" s="151" t="s">
        <v>1149</v>
      </c>
    </row>
    <row r="842" spans="4:19" x14ac:dyDescent="0.3">
      <c r="D842" s="29" t="s">
        <v>1350</v>
      </c>
      <c r="E842" s="29" t="s">
        <v>60</v>
      </c>
      <c r="F842" s="71"/>
      <c r="G842" s="100"/>
      <c r="H842" s="71"/>
      <c r="I842" s="29" t="s">
        <v>1351</v>
      </c>
      <c r="N842" s="145" t="s">
        <v>1350</v>
      </c>
      <c r="O842" s="145" t="s">
        <v>60</v>
      </c>
      <c r="P842" s="146"/>
      <c r="Q842" s="146"/>
      <c r="R842" s="146"/>
      <c r="S842" s="145" t="s">
        <v>1351</v>
      </c>
    </row>
    <row r="843" spans="4:19" x14ac:dyDescent="0.3">
      <c r="D843" s="29" t="s">
        <v>1352</v>
      </c>
      <c r="E843" s="29" t="s">
        <v>60</v>
      </c>
      <c r="F843" s="71"/>
      <c r="G843" s="100"/>
      <c r="H843" s="71"/>
      <c r="I843" s="29" t="s">
        <v>1353</v>
      </c>
      <c r="N843" s="145" t="s">
        <v>1352</v>
      </c>
      <c r="O843" s="145" t="s">
        <v>60</v>
      </c>
      <c r="P843" s="146"/>
      <c r="Q843" s="146"/>
      <c r="R843" s="146"/>
      <c r="S843" s="145" t="s">
        <v>1353</v>
      </c>
    </row>
    <row r="844" spans="4:19" x14ac:dyDescent="0.3">
      <c r="D844" s="29" t="s">
        <v>1354</v>
      </c>
      <c r="E844" s="29" t="s">
        <v>60</v>
      </c>
      <c r="F844" s="71"/>
      <c r="G844" s="100"/>
      <c r="H844" s="71"/>
      <c r="I844" s="29" t="s">
        <v>1355</v>
      </c>
      <c r="N844" s="145" t="s">
        <v>1354</v>
      </c>
      <c r="O844" s="145" t="s">
        <v>60</v>
      </c>
      <c r="P844" s="146"/>
      <c r="Q844" s="146"/>
      <c r="R844" s="146"/>
      <c r="S844" s="145" t="s">
        <v>1355</v>
      </c>
    </row>
    <row r="845" spans="4:19" x14ac:dyDescent="0.3">
      <c r="D845" s="29" t="s">
        <v>341</v>
      </c>
      <c r="E845" s="29" t="s">
        <v>60</v>
      </c>
      <c r="F845" s="71" t="s">
        <v>19</v>
      </c>
      <c r="G845" s="100"/>
      <c r="H845" s="71"/>
      <c r="I845" s="29" t="s">
        <v>343</v>
      </c>
      <c r="N845" s="145" t="s">
        <v>341</v>
      </c>
      <c r="O845" s="145" t="s">
        <v>60</v>
      </c>
      <c r="P845" s="146" t="s">
        <v>19</v>
      </c>
      <c r="Q845" s="146"/>
      <c r="R845" s="145"/>
      <c r="S845" s="145" t="s">
        <v>343</v>
      </c>
    </row>
    <row r="846" spans="4:19" ht="27" x14ac:dyDescent="0.3">
      <c r="D846" s="29" t="s">
        <v>46</v>
      </c>
      <c r="E846" s="29" t="s">
        <v>47</v>
      </c>
      <c r="F846" s="71"/>
      <c r="G846" s="25" t="s">
        <v>1349</v>
      </c>
      <c r="H846" s="71"/>
      <c r="I846" s="29" t="s">
        <v>48</v>
      </c>
      <c r="N846" s="145" t="s">
        <v>46</v>
      </c>
      <c r="O846" s="145" t="s">
        <v>47</v>
      </c>
      <c r="P846" s="146"/>
      <c r="Q846" s="147" t="s">
        <v>1394</v>
      </c>
      <c r="R846" s="145"/>
      <c r="S846" s="145" t="s">
        <v>48</v>
      </c>
    </row>
    <row r="847" spans="4:19" x14ac:dyDescent="0.3">
      <c r="D847" s="29" t="s">
        <v>49</v>
      </c>
      <c r="E847" s="29" t="s">
        <v>23</v>
      </c>
      <c r="F847" s="71"/>
      <c r="G847" s="100"/>
      <c r="H847" s="71"/>
      <c r="I847" s="29" t="s">
        <v>50</v>
      </c>
      <c r="N847" s="145" t="s">
        <v>49</v>
      </c>
      <c r="O847" s="145" t="s">
        <v>23</v>
      </c>
      <c r="P847" s="146"/>
      <c r="Q847" s="146"/>
      <c r="R847" s="145"/>
      <c r="S847" s="145" t="s">
        <v>50</v>
      </c>
    </row>
    <row r="848" spans="4:19" x14ac:dyDescent="0.3">
      <c r="D848" s="29" t="s">
        <v>51</v>
      </c>
      <c r="E848" s="29" t="s">
        <v>47</v>
      </c>
      <c r="F848" s="71" t="s">
        <v>19</v>
      </c>
      <c r="G848" s="100"/>
      <c r="H848" s="71"/>
      <c r="I848" s="29" t="s">
        <v>52</v>
      </c>
      <c r="N848" s="145" t="s">
        <v>51</v>
      </c>
      <c r="O848" s="145" t="s">
        <v>47</v>
      </c>
      <c r="P848" s="146" t="s">
        <v>19</v>
      </c>
      <c r="Q848" s="146"/>
      <c r="R848" s="145"/>
      <c r="S848" s="145" t="s">
        <v>52</v>
      </c>
    </row>
    <row r="849" spans="4:19" x14ac:dyDescent="0.3">
      <c r="D849" s="29" t="s">
        <v>53</v>
      </c>
      <c r="E849" s="29" t="s">
        <v>23</v>
      </c>
      <c r="F849" s="71" t="s">
        <v>19</v>
      </c>
      <c r="G849" s="100"/>
      <c r="H849" s="71"/>
      <c r="I849" s="29" t="s">
        <v>54</v>
      </c>
      <c r="N849" s="145" t="s">
        <v>53</v>
      </c>
      <c r="O849" s="145" t="s">
        <v>23</v>
      </c>
      <c r="P849" s="146" t="s">
        <v>19</v>
      </c>
      <c r="Q849" s="146"/>
      <c r="R849" s="145"/>
      <c r="S849" s="145" t="s">
        <v>54</v>
      </c>
    </row>
    <row r="850" spans="4:19" x14ac:dyDescent="0.3">
      <c r="D850" s="29" t="s">
        <v>55</v>
      </c>
      <c r="E850" s="29" t="s">
        <v>47</v>
      </c>
      <c r="F850" s="71" t="s">
        <v>19</v>
      </c>
      <c r="G850" s="100"/>
      <c r="H850" s="71"/>
      <c r="I850" s="29" t="s">
        <v>56</v>
      </c>
      <c r="N850" s="145" t="s">
        <v>55</v>
      </c>
      <c r="O850" s="145" t="s">
        <v>47</v>
      </c>
      <c r="P850" s="146" t="s">
        <v>19</v>
      </c>
      <c r="Q850" s="146"/>
      <c r="R850" s="145"/>
      <c r="S850" s="145" t="s">
        <v>56</v>
      </c>
    </row>
    <row r="851" spans="4:19" x14ac:dyDescent="0.3">
      <c r="D851" s="29" t="s">
        <v>57</v>
      </c>
      <c r="E851" s="29" t="s">
        <v>23</v>
      </c>
      <c r="F851" s="71" t="s">
        <v>19</v>
      </c>
      <c r="G851" s="100"/>
      <c r="H851" s="71"/>
      <c r="I851" s="29" t="s">
        <v>58</v>
      </c>
      <c r="N851" s="145" t="s">
        <v>57</v>
      </c>
      <c r="O851" s="145" t="s">
        <v>23</v>
      </c>
      <c r="P851" s="146" t="s">
        <v>19</v>
      </c>
      <c r="Q851" s="146"/>
      <c r="R851" s="145"/>
      <c r="S851" s="145" t="s">
        <v>58</v>
      </c>
    </row>
    <row r="852" spans="4:19" x14ac:dyDescent="0.3">
      <c r="D852" s="29" t="s">
        <v>1356</v>
      </c>
      <c r="E852" s="29" t="s">
        <v>39</v>
      </c>
      <c r="F852" s="71"/>
      <c r="G852" s="100"/>
      <c r="H852" s="71"/>
      <c r="I852" s="29" t="s">
        <v>1356</v>
      </c>
      <c r="N852" s="145" t="s">
        <v>1356</v>
      </c>
      <c r="O852" s="145" t="s">
        <v>39</v>
      </c>
      <c r="P852" s="146"/>
      <c r="Q852" s="146"/>
      <c r="R852" s="145"/>
      <c r="S852" s="145" t="s">
        <v>1356</v>
      </c>
    </row>
    <row r="853" spans="4:19" x14ac:dyDescent="0.3">
      <c r="D853" s="29" t="s">
        <v>28</v>
      </c>
      <c r="E853" s="29" t="s">
        <v>23</v>
      </c>
      <c r="F853" s="71" t="s">
        <v>19</v>
      </c>
      <c r="G853" s="100"/>
      <c r="H853" s="71"/>
      <c r="I853" s="29" t="s">
        <v>29</v>
      </c>
      <c r="N853" s="145" t="s">
        <v>28</v>
      </c>
      <c r="O853" s="145" t="s">
        <v>23</v>
      </c>
      <c r="P853" s="146" t="s">
        <v>19</v>
      </c>
      <c r="Q853" s="146"/>
      <c r="R853" s="145"/>
      <c r="S853" s="145" t="s">
        <v>29</v>
      </c>
    </row>
    <row r="854" spans="4:19" x14ac:dyDescent="0.3">
      <c r="D854" s="29" t="s">
        <v>59</v>
      </c>
      <c r="E854" s="29" t="s">
        <v>60</v>
      </c>
      <c r="F854" s="71" t="s">
        <v>19</v>
      </c>
      <c r="G854" s="100"/>
      <c r="H854" s="71"/>
      <c r="I854" s="29" t="s">
        <v>59</v>
      </c>
      <c r="N854" s="145" t="s">
        <v>59</v>
      </c>
      <c r="O854" s="145" t="s">
        <v>60</v>
      </c>
      <c r="P854" s="146" t="s">
        <v>19</v>
      </c>
      <c r="Q854" s="146"/>
      <c r="R854" s="145"/>
      <c r="S854" s="145" t="s">
        <v>59</v>
      </c>
    </row>
    <row r="855" spans="4:19" x14ac:dyDescent="0.3">
      <c r="D855" s="29" t="s">
        <v>62</v>
      </c>
      <c r="E855" s="29" t="s">
        <v>60</v>
      </c>
      <c r="F855" s="71" t="s">
        <v>19</v>
      </c>
      <c r="G855" s="100"/>
      <c r="H855" s="71"/>
      <c r="I855" s="29" t="s">
        <v>62</v>
      </c>
      <c r="N855" s="145" t="s">
        <v>62</v>
      </c>
      <c r="O855" s="145" t="s">
        <v>60</v>
      </c>
      <c r="P855" s="146" t="s">
        <v>19</v>
      </c>
      <c r="Q855" s="146"/>
      <c r="R855" s="145"/>
      <c r="S855" s="145" t="s">
        <v>62</v>
      </c>
    </row>
    <row r="856" spans="4:19" x14ac:dyDescent="0.3">
      <c r="D856" s="29" t="s">
        <v>64</v>
      </c>
      <c r="E856" s="29" t="s">
        <v>60</v>
      </c>
      <c r="F856" s="71" t="s">
        <v>19</v>
      </c>
      <c r="G856" s="100"/>
      <c r="H856" s="71"/>
      <c r="I856" s="29" t="s">
        <v>64</v>
      </c>
      <c r="N856" s="145" t="s">
        <v>64</v>
      </c>
      <c r="O856" s="145" t="s">
        <v>60</v>
      </c>
      <c r="P856" s="146" t="s">
        <v>19</v>
      </c>
      <c r="Q856" s="146"/>
      <c r="R856" s="145"/>
      <c r="S856" s="145" t="s">
        <v>64</v>
      </c>
    </row>
    <row r="857" spans="4:19" x14ac:dyDescent="0.3">
      <c r="D857" s="29" t="s">
        <v>66</v>
      </c>
      <c r="E857" s="29" t="s">
        <v>60</v>
      </c>
      <c r="F857" s="71" t="s">
        <v>19</v>
      </c>
      <c r="G857" s="100"/>
      <c r="H857" s="71"/>
      <c r="I857" s="29" t="s">
        <v>66</v>
      </c>
      <c r="N857" s="145" t="s">
        <v>66</v>
      </c>
      <c r="O857" s="145" t="s">
        <v>60</v>
      </c>
      <c r="P857" s="146" t="s">
        <v>19</v>
      </c>
      <c r="Q857" s="146"/>
      <c r="R857" s="145"/>
      <c r="S857" s="145" t="s">
        <v>66</v>
      </c>
    </row>
    <row r="858" spans="4:19" x14ac:dyDescent="0.3">
      <c r="D858" s="38" t="s">
        <v>67</v>
      </c>
      <c r="E858" s="38" t="s">
        <v>60</v>
      </c>
      <c r="F858" s="72" t="s">
        <v>19</v>
      </c>
      <c r="G858" s="101"/>
      <c r="H858" s="72"/>
      <c r="I858" s="38" t="s">
        <v>67</v>
      </c>
      <c r="N858" s="148" t="s">
        <v>67</v>
      </c>
      <c r="O858" s="148" t="s">
        <v>60</v>
      </c>
      <c r="P858" s="149" t="s">
        <v>19</v>
      </c>
      <c r="Q858" s="149"/>
      <c r="R858" s="148"/>
      <c r="S858" s="148" t="s">
        <v>67</v>
      </c>
    </row>
    <row r="860" spans="4:19" x14ac:dyDescent="0.3">
      <c r="D860" s="10" t="s">
        <v>1409</v>
      </c>
      <c r="N860" s="10" t="s">
        <v>1406</v>
      </c>
      <c r="Q860" s="18"/>
    </row>
    <row r="861" spans="4:19" x14ac:dyDescent="0.3">
      <c r="D861" s="43" t="s">
        <v>85</v>
      </c>
      <c r="E861" s="43" t="s">
        <v>0</v>
      </c>
      <c r="F861" s="43" t="s">
        <v>1</v>
      </c>
      <c r="G861" s="43" t="s">
        <v>2</v>
      </c>
      <c r="H861" s="43" t="s">
        <v>21</v>
      </c>
      <c r="I861" s="43" t="s">
        <v>3</v>
      </c>
      <c r="N861" s="43" t="s">
        <v>1407</v>
      </c>
      <c r="O861" s="43" t="s">
        <v>0</v>
      </c>
      <c r="P861" s="43" t="s">
        <v>1</v>
      </c>
      <c r="Q861" s="43" t="s">
        <v>2</v>
      </c>
      <c r="R861" s="43" t="s">
        <v>1408</v>
      </c>
      <c r="S861" s="43" t="s">
        <v>3</v>
      </c>
    </row>
    <row r="862" spans="4:19" x14ac:dyDescent="0.3">
      <c r="D862" s="132" t="s">
        <v>327</v>
      </c>
      <c r="E862" s="132" t="s">
        <v>239</v>
      </c>
      <c r="F862" s="133"/>
      <c r="G862" s="134"/>
      <c r="H862" s="133"/>
      <c r="I862" s="132" t="s">
        <v>328</v>
      </c>
      <c r="N862" s="142" t="s">
        <v>327</v>
      </c>
      <c r="O862" s="142" t="s">
        <v>239</v>
      </c>
      <c r="P862" s="143"/>
      <c r="Q862" s="144"/>
      <c r="R862" s="143">
        <v>1</v>
      </c>
      <c r="S862" s="142" t="s">
        <v>328</v>
      </c>
    </row>
    <row r="863" spans="4:19" x14ac:dyDescent="0.3">
      <c r="D863" s="135" t="s">
        <v>329</v>
      </c>
      <c r="E863" s="135" t="s">
        <v>73</v>
      </c>
      <c r="F863" s="136"/>
      <c r="G863" s="137"/>
      <c r="H863" s="136"/>
      <c r="I863" s="135" t="s">
        <v>330</v>
      </c>
      <c r="N863" s="151" t="s">
        <v>329</v>
      </c>
      <c r="O863" s="151" t="s">
        <v>73</v>
      </c>
      <c r="P863" s="152"/>
      <c r="Q863" s="152"/>
      <c r="R863" s="152">
        <v>2</v>
      </c>
      <c r="S863" s="151" t="s">
        <v>330</v>
      </c>
    </row>
    <row r="864" spans="4:19" x14ac:dyDescent="0.3">
      <c r="D864" s="135" t="s">
        <v>1149</v>
      </c>
      <c r="E864" s="135" t="s">
        <v>44</v>
      </c>
      <c r="F864" s="136"/>
      <c r="G864" s="137"/>
      <c r="H864" s="136"/>
      <c r="I864" s="135" t="s">
        <v>1149</v>
      </c>
      <c r="N864" s="151" t="s">
        <v>1149</v>
      </c>
      <c r="O864" s="151" t="s">
        <v>44</v>
      </c>
      <c r="P864" s="152"/>
      <c r="Q864" s="152"/>
      <c r="R864" s="152">
        <v>3</v>
      </c>
      <c r="S864" s="151" t="s">
        <v>1149</v>
      </c>
    </row>
    <row r="865" spans="4:19" x14ac:dyDescent="0.3">
      <c r="D865" s="38" t="s">
        <v>341</v>
      </c>
      <c r="E865" s="38" t="s">
        <v>1359</v>
      </c>
      <c r="F865" s="72" t="s">
        <v>19</v>
      </c>
      <c r="G865" s="101"/>
      <c r="H865" s="72"/>
      <c r="I865" s="38"/>
      <c r="N865" s="148" t="s">
        <v>341</v>
      </c>
      <c r="O865" s="148" t="s">
        <v>1359</v>
      </c>
      <c r="P865" s="149" t="s">
        <v>19</v>
      </c>
      <c r="Q865" s="149"/>
      <c r="R865" s="148"/>
      <c r="S865" s="148"/>
    </row>
    <row r="867" spans="4:19" x14ac:dyDescent="0.3">
      <c r="D867" s="10" t="s">
        <v>1368</v>
      </c>
      <c r="N867" s="10" t="s">
        <v>1410</v>
      </c>
      <c r="Q867" s="18"/>
    </row>
    <row r="868" spans="4:19" x14ac:dyDescent="0.3">
      <c r="D868" s="43" t="s">
        <v>85</v>
      </c>
      <c r="E868" s="43" t="s">
        <v>0</v>
      </c>
      <c r="F868" s="43" t="s">
        <v>1</v>
      </c>
      <c r="G868" s="43" t="s">
        <v>2</v>
      </c>
      <c r="H868" s="43" t="s">
        <v>21</v>
      </c>
      <c r="I868" s="43" t="s">
        <v>3</v>
      </c>
      <c r="N868" s="43" t="s">
        <v>85</v>
      </c>
      <c r="O868" s="43" t="s">
        <v>0</v>
      </c>
      <c r="P868" s="43" t="s">
        <v>1</v>
      </c>
      <c r="Q868" s="43" t="s">
        <v>2</v>
      </c>
      <c r="R868" s="43" t="s">
        <v>21</v>
      </c>
      <c r="S868" s="43" t="s">
        <v>3</v>
      </c>
    </row>
    <row r="869" spans="4:19" x14ac:dyDescent="0.3">
      <c r="D869" s="117" t="s">
        <v>327</v>
      </c>
      <c r="E869" s="117" t="s">
        <v>239</v>
      </c>
      <c r="F869" s="118"/>
      <c r="G869" s="119"/>
      <c r="H869" s="118">
        <v>1</v>
      </c>
      <c r="I869" s="117" t="s">
        <v>328</v>
      </c>
      <c r="N869" s="142" t="s">
        <v>327</v>
      </c>
      <c r="O869" s="142" t="s">
        <v>239</v>
      </c>
      <c r="P869" s="143"/>
      <c r="Q869" s="144"/>
      <c r="R869" s="143">
        <v>1</v>
      </c>
      <c r="S869" s="142" t="s">
        <v>328</v>
      </c>
    </row>
    <row r="870" spans="4:19" x14ac:dyDescent="0.3">
      <c r="D870" s="97" t="s">
        <v>754</v>
      </c>
      <c r="E870" s="97" t="s">
        <v>73</v>
      </c>
      <c r="F870" s="98"/>
      <c r="G870" s="99"/>
      <c r="H870" s="98">
        <v>2</v>
      </c>
      <c r="I870" s="97" t="s">
        <v>1213</v>
      </c>
      <c r="N870" s="151" t="s">
        <v>754</v>
      </c>
      <c r="O870" s="151" t="s">
        <v>73</v>
      </c>
      <c r="P870" s="152"/>
      <c r="Q870" s="152"/>
      <c r="R870" s="152">
        <v>2</v>
      </c>
      <c r="S870" s="151" t="s">
        <v>1213</v>
      </c>
    </row>
    <row r="871" spans="4:19" x14ac:dyDescent="0.3">
      <c r="D871" s="97" t="s">
        <v>1360</v>
      </c>
      <c r="E871" s="97" t="s">
        <v>44</v>
      </c>
      <c r="F871" s="98"/>
      <c r="G871" s="99"/>
      <c r="H871" s="98">
        <v>3</v>
      </c>
      <c r="I871" s="97" t="s">
        <v>1361</v>
      </c>
      <c r="N871" s="151" t="s">
        <v>1360</v>
      </c>
      <c r="O871" s="151" t="s">
        <v>44</v>
      </c>
      <c r="P871" s="152"/>
      <c r="Q871" s="152"/>
      <c r="R871" s="152">
        <v>3</v>
      </c>
      <c r="S871" s="151" t="s">
        <v>1361</v>
      </c>
    </row>
    <row r="872" spans="4:19" x14ac:dyDescent="0.3">
      <c r="D872" s="29" t="s">
        <v>1362</v>
      </c>
      <c r="E872" s="29" t="s">
        <v>44</v>
      </c>
      <c r="F872" s="71"/>
      <c r="G872" s="100"/>
      <c r="H872" s="71"/>
      <c r="I872" s="29" t="s">
        <v>1363</v>
      </c>
      <c r="N872" s="145" t="s">
        <v>1362</v>
      </c>
      <c r="O872" s="145" t="s">
        <v>44</v>
      </c>
      <c r="P872" s="146"/>
      <c r="Q872" s="146"/>
      <c r="R872" s="145"/>
      <c r="S872" s="145" t="s">
        <v>1363</v>
      </c>
    </row>
    <row r="873" spans="4:19" x14ac:dyDescent="0.3">
      <c r="D873" s="29" t="s">
        <v>1364</v>
      </c>
      <c r="E873" s="29" t="s">
        <v>133</v>
      </c>
      <c r="F873" s="71" t="s">
        <v>19</v>
      </c>
      <c r="G873" s="100"/>
      <c r="H873" s="71"/>
      <c r="I873" s="29" t="s">
        <v>1365</v>
      </c>
      <c r="N873" s="145" t="s">
        <v>1364</v>
      </c>
      <c r="O873" s="145" t="s">
        <v>133</v>
      </c>
      <c r="P873" s="146" t="s">
        <v>19</v>
      </c>
      <c r="Q873" s="146"/>
      <c r="R873" s="145"/>
      <c r="S873" s="145" t="s">
        <v>1365</v>
      </c>
    </row>
    <row r="874" spans="4:19" x14ac:dyDescent="0.3">
      <c r="D874" s="29" t="s">
        <v>1366</v>
      </c>
      <c r="E874" s="29" t="s">
        <v>44</v>
      </c>
      <c r="F874" s="71" t="s">
        <v>19</v>
      </c>
      <c r="G874" s="100"/>
      <c r="H874" s="71"/>
      <c r="I874" s="29" t="s">
        <v>1367</v>
      </c>
      <c r="N874" s="145" t="s">
        <v>1366</v>
      </c>
      <c r="O874" s="145" t="s">
        <v>44</v>
      </c>
      <c r="P874" s="146" t="s">
        <v>19</v>
      </c>
      <c r="Q874" s="146"/>
      <c r="R874" s="145"/>
      <c r="S874" s="145" t="s">
        <v>1367</v>
      </c>
    </row>
    <row r="875" spans="4:19" ht="27" x14ac:dyDescent="0.3">
      <c r="D875" s="29" t="s">
        <v>46</v>
      </c>
      <c r="E875" s="29" t="s">
        <v>47</v>
      </c>
      <c r="F875" s="71"/>
      <c r="G875" s="25" t="s">
        <v>1369</v>
      </c>
      <c r="H875" s="71"/>
      <c r="I875" s="29"/>
      <c r="N875" s="145" t="s">
        <v>46</v>
      </c>
      <c r="O875" s="145" t="s">
        <v>47</v>
      </c>
      <c r="P875" s="146"/>
      <c r="Q875" s="147" t="s">
        <v>1029</v>
      </c>
      <c r="R875" s="145"/>
      <c r="S875" s="145"/>
    </row>
    <row r="876" spans="4:19" x14ac:dyDescent="0.3">
      <c r="D876" s="29" t="s">
        <v>49</v>
      </c>
      <c r="E876" s="29" t="s">
        <v>23</v>
      </c>
      <c r="F876" s="71"/>
      <c r="G876" s="100"/>
      <c r="H876" s="71"/>
      <c r="I876" s="29"/>
      <c r="N876" s="145" t="s">
        <v>49</v>
      </c>
      <c r="O876" s="145" t="s">
        <v>23</v>
      </c>
      <c r="P876" s="146"/>
      <c r="Q876" s="146"/>
      <c r="R876" s="145"/>
      <c r="S876" s="145"/>
    </row>
    <row r="877" spans="4:19" x14ac:dyDescent="0.3">
      <c r="D877" s="29" t="s">
        <v>51</v>
      </c>
      <c r="E877" s="29" t="s">
        <v>47</v>
      </c>
      <c r="F877" s="71" t="s">
        <v>19</v>
      </c>
      <c r="G877" s="100"/>
      <c r="H877" s="71"/>
      <c r="I877" s="29"/>
      <c r="N877" s="145" t="s">
        <v>51</v>
      </c>
      <c r="O877" s="145" t="s">
        <v>47</v>
      </c>
      <c r="P877" s="146" t="s">
        <v>19</v>
      </c>
      <c r="Q877" s="146"/>
      <c r="R877" s="145"/>
      <c r="S877" s="145"/>
    </row>
    <row r="878" spans="4:19" x14ac:dyDescent="0.3">
      <c r="D878" s="29" t="s">
        <v>53</v>
      </c>
      <c r="E878" s="29" t="s">
        <v>23</v>
      </c>
      <c r="F878" s="71" t="s">
        <v>19</v>
      </c>
      <c r="G878" s="100"/>
      <c r="H878" s="71"/>
      <c r="I878" s="29"/>
      <c r="N878" s="145" t="s">
        <v>53</v>
      </c>
      <c r="O878" s="145" t="s">
        <v>23</v>
      </c>
      <c r="P878" s="146" t="s">
        <v>19</v>
      </c>
      <c r="Q878" s="146"/>
      <c r="R878" s="145"/>
      <c r="S878" s="145"/>
    </row>
    <row r="879" spans="4:19" x14ac:dyDescent="0.3">
      <c r="D879" s="29" t="s">
        <v>55</v>
      </c>
      <c r="E879" s="29" t="s">
        <v>47</v>
      </c>
      <c r="F879" s="71" t="s">
        <v>19</v>
      </c>
      <c r="G879" s="100"/>
      <c r="H879" s="71"/>
      <c r="I879" s="29"/>
      <c r="N879" s="145" t="s">
        <v>55</v>
      </c>
      <c r="O879" s="145" t="s">
        <v>47</v>
      </c>
      <c r="P879" s="146" t="s">
        <v>19</v>
      </c>
      <c r="Q879" s="146"/>
      <c r="R879" s="145"/>
      <c r="S879" s="145"/>
    </row>
    <row r="880" spans="4:19" x14ac:dyDescent="0.3">
      <c r="D880" s="29" t="s">
        <v>57</v>
      </c>
      <c r="E880" s="29" t="s">
        <v>23</v>
      </c>
      <c r="F880" s="71" t="s">
        <v>19</v>
      </c>
      <c r="G880" s="100"/>
      <c r="H880" s="71"/>
      <c r="I880" s="29"/>
      <c r="N880" s="145" t="s">
        <v>57</v>
      </c>
      <c r="O880" s="145" t="s">
        <v>23</v>
      </c>
      <c r="P880" s="146" t="s">
        <v>19</v>
      </c>
      <c r="Q880" s="146"/>
      <c r="R880" s="145"/>
      <c r="S880" s="145"/>
    </row>
    <row r="881" spans="4:19" x14ac:dyDescent="0.3">
      <c r="D881" s="29" t="s">
        <v>59</v>
      </c>
      <c r="E881" s="29" t="s">
        <v>60</v>
      </c>
      <c r="F881" s="71" t="s">
        <v>19</v>
      </c>
      <c r="G881" s="100"/>
      <c r="H881" s="71"/>
      <c r="I881" s="29"/>
      <c r="N881" s="145" t="s">
        <v>59</v>
      </c>
      <c r="O881" s="145" t="s">
        <v>60</v>
      </c>
      <c r="P881" s="146" t="s">
        <v>19</v>
      </c>
      <c r="Q881" s="146"/>
      <c r="R881" s="145"/>
      <c r="S881" s="145"/>
    </row>
    <row r="882" spans="4:19" x14ac:dyDescent="0.3">
      <c r="D882" s="29" t="s">
        <v>62</v>
      </c>
      <c r="E882" s="29" t="s">
        <v>60</v>
      </c>
      <c r="F882" s="71" t="s">
        <v>19</v>
      </c>
      <c r="G882" s="100"/>
      <c r="H882" s="71"/>
      <c r="I882" s="29"/>
      <c r="N882" s="145" t="s">
        <v>62</v>
      </c>
      <c r="O882" s="145" t="s">
        <v>60</v>
      </c>
      <c r="P882" s="146" t="s">
        <v>19</v>
      </c>
      <c r="Q882" s="146"/>
      <c r="R882" s="145"/>
      <c r="S882" s="145"/>
    </row>
    <row r="883" spans="4:19" x14ac:dyDescent="0.3">
      <c r="D883" s="29" t="s">
        <v>64</v>
      </c>
      <c r="E883" s="29" t="s">
        <v>60</v>
      </c>
      <c r="F883" s="71" t="s">
        <v>19</v>
      </c>
      <c r="G883" s="100"/>
      <c r="H883" s="71"/>
      <c r="I883" s="29"/>
      <c r="N883" s="145" t="s">
        <v>64</v>
      </c>
      <c r="O883" s="145" t="s">
        <v>60</v>
      </c>
      <c r="P883" s="146" t="s">
        <v>19</v>
      </c>
      <c r="Q883" s="146"/>
      <c r="R883" s="145"/>
      <c r="S883" s="145"/>
    </row>
    <row r="884" spans="4:19" x14ac:dyDescent="0.3">
      <c r="D884" s="29" t="s">
        <v>66</v>
      </c>
      <c r="E884" s="29" t="s">
        <v>60</v>
      </c>
      <c r="F884" s="71" t="s">
        <v>19</v>
      </c>
      <c r="G884" s="100"/>
      <c r="H884" s="71"/>
      <c r="I884" s="29"/>
      <c r="N884" s="145" t="s">
        <v>66</v>
      </c>
      <c r="O884" s="145" t="s">
        <v>60</v>
      </c>
      <c r="P884" s="146" t="s">
        <v>19</v>
      </c>
      <c r="Q884" s="146"/>
      <c r="R884" s="145"/>
      <c r="S884" s="145"/>
    </row>
    <row r="885" spans="4:19" x14ac:dyDescent="0.3">
      <c r="D885" s="38" t="s">
        <v>67</v>
      </c>
      <c r="E885" s="38" t="s">
        <v>60</v>
      </c>
      <c r="F885" s="72" t="s">
        <v>19</v>
      </c>
      <c r="G885" s="101"/>
      <c r="H885" s="72"/>
      <c r="I885" s="38"/>
      <c r="N885" s="148" t="s">
        <v>67</v>
      </c>
      <c r="O885" s="148" t="s">
        <v>60</v>
      </c>
      <c r="P885" s="149" t="s">
        <v>19</v>
      </c>
      <c r="Q885" s="149"/>
      <c r="R885" s="148"/>
      <c r="S885" s="148"/>
    </row>
    <row r="887" spans="4:19" x14ac:dyDescent="0.3">
      <c r="D887" s="10" t="s">
        <v>1371</v>
      </c>
      <c r="N887" s="10" t="s">
        <v>1411</v>
      </c>
      <c r="Q887" s="18"/>
    </row>
    <row r="888" spans="4:19" x14ac:dyDescent="0.3">
      <c r="D888" s="43" t="s">
        <v>85</v>
      </c>
      <c r="E888" s="43" t="s">
        <v>0</v>
      </c>
      <c r="F888" s="43" t="s">
        <v>1</v>
      </c>
      <c r="G888" s="43" t="s">
        <v>2</v>
      </c>
      <c r="H888" s="43" t="s">
        <v>21</v>
      </c>
      <c r="I888" s="43" t="s">
        <v>1370</v>
      </c>
      <c r="N888" s="43" t="s">
        <v>1412</v>
      </c>
      <c r="O888" s="43" t="s">
        <v>0</v>
      </c>
      <c r="P888" s="43" t="s">
        <v>1</v>
      </c>
      <c r="Q888" s="43" t="s">
        <v>2</v>
      </c>
      <c r="R888" s="43" t="s">
        <v>1413</v>
      </c>
      <c r="S888" s="43" t="s">
        <v>3</v>
      </c>
    </row>
    <row r="889" spans="4:19" x14ac:dyDescent="0.3">
      <c r="D889" s="117" t="s">
        <v>327</v>
      </c>
      <c r="E889" s="117" t="s">
        <v>239</v>
      </c>
      <c r="F889" s="118"/>
      <c r="G889" s="119"/>
      <c r="H889" s="118">
        <v>1</v>
      </c>
      <c r="I889" s="117" t="s">
        <v>328</v>
      </c>
      <c r="N889" s="142" t="s">
        <v>327</v>
      </c>
      <c r="O889" s="142" t="s">
        <v>239</v>
      </c>
      <c r="P889" s="143"/>
      <c r="Q889" s="144"/>
      <c r="R889" s="143">
        <v>1</v>
      </c>
      <c r="S889" s="142" t="s">
        <v>328</v>
      </c>
    </row>
    <row r="890" spans="4:19" x14ac:dyDescent="0.3">
      <c r="D890" s="97" t="s">
        <v>754</v>
      </c>
      <c r="E890" s="97" t="s">
        <v>73</v>
      </c>
      <c r="F890" s="98"/>
      <c r="G890" s="99"/>
      <c r="H890" s="98">
        <v>2</v>
      </c>
      <c r="I890" s="97" t="s">
        <v>1213</v>
      </c>
      <c r="N890" s="151" t="s">
        <v>754</v>
      </c>
      <c r="O890" s="151" t="s">
        <v>73</v>
      </c>
      <c r="P890" s="152"/>
      <c r="Q890" s="152"/>
      <c r="R890" s="152">
        <v>2</v>
      </c>
      <c r="S890" s="151" t="s">
        <v>1213</v>
      </c>
    </row>
    <row r="891" spans="4:19" x14ac:dyDescent="0.3">
      <c r="D891" s="97" t="s">
        <v>1360</v>
      </c>
      <c r="E891" s="97" t="s">
        <v>44</v>
      </c>
      <c r="F891" s="98"/>
      <c r="G891" s="99"/>
      <c r="H891" s="98">
        <v>3</v>
      </c>
      <c r="I891" s="97" t="s">
        <v>1361</v>
      </c>
      <c r="N891" s="151" t="s">
        <v>1360</v>
      </c>
      <c r="O891" s="151" t="s">
        <v>44</v>
      </c>
      <c r="P891" s="152"/>
      <c r="Q891" s="152"/>
      <c r="R891" s="152">
        <v>3</v>
      </c>
      <c r="S891" s="151" t="s">
        <v>1361</v>
      </c>
    </row>
    <row r="892" spans="4:19" x14ac:dyDescent="0.3">
      <c r="D892" s="97" t="s">
        <v>756</v>
      </c>
      <c r="E892" s="97" t="s">
        <v>23</v>
      </c>
      <c r="F892" s="98"/>
      <c r="G892" s="99"/>
      <c r="H892" s="98">
        <v>4</v>
      </c>
      <c r="I892" s="97" t="s">
        <v>1213</v>
      </c>
      <c r="N892" s="151" t="s">
        <v>756</v>
      </c>
      <c r="O892" s="151" t="s">
        <v>23</v>
      </c>
      <c r="P892" s="152"/>
      <c r="Q892" s="152"/>
      <c r="R892" s="152">
        <v>4</v>
      </c>
      <c r="S892" s="151" t="s">
        <v>1213</v>
      </c>
    </row>
    <row r="893" spans="4:19" x14ac:dyDescent="0.3">
      <c r="D893" s="97" t="s">
        <v>758</v>
      </c>
      <c r="E893" s="97" t="s">
        <v>23</v>
      </c>
      <c r="F893" s="98"/>
      <c r="G893" s="99"/>
      <c r="H893" s="98">
        <v>5</v>
      </c>
      <c r="I893" s="97" t="s">
        <v>1213</v>
      </c>
      <c r="N893" s="151" t="s">
        <v>758</v>
      </c>
      <c r="O893" s="151" t="s">
        <v>23</v>
      </c>
      <c r="P893" s="152"/>
      <c r="Q893" s="152"/>
      <c r="R893" s="152">
        <v>5</v>
      </c>
      <c r="S893" s="151" t="s">
        <v>1213</v>
      </c>
    </row>
    <row r="894" spans="4:19" x14ac:dyDescent="0.3">
      <c r="D894" s="29" t="s">
        <v>1362</v>
      </c>
      <c r="E894" s="29" t="s">
        <v>44</v>
      </c>
      <c r="F894" s="71" t="s">
        <v>19</v>
      </c>
      <c r="G894" s="100"/>
      <c r="H894" s="71"/>
      <c r="I894" s="29" t="s">
        <v>1363</v>
      </c>
      <c r="N894" s="145" t="s">
        <v>1362</v>
      </c>
      <c r="O894" s="145" t="s">
        <v>44</v>
      </c>
      <c r="P894" s="146" t="s">
        <v>19</v>
      </c>
      <c r="Q894" s="146"/>
      <c r="R894" s="145"/>
      <c r="S894" s="145" t="s">
        <v>1363</v>
      </c>
    </row>
    <row r="895" spans="4:19" ht="27" x14ac:dyDescent="0.3">
      <c r="D895" s="29" t="s">
        <v>46</v>
      </c>
      <c r="E895" s="29" t="s">
        <v>47</v>
      </c>
      <c r="F895" s="71"/>
      <c r="G895" s="25" t="s">
        <v>1372</v>
      </c>
      <c r="H895" s="71"/>
      <c r="I895" s="29"/>
      <c r="N895" s="145" t="s">
        <v>46</v>
      </c>
      <c r="O895" s="145" t="s">
        <v>47</v>
      </c>
      <c r="P895" s="146"/>
      <c r="Q895" s="147" t="s">
        <v>1029</v>
      </c>
      <c r="R895" s="145"/>
      <c r="S895" s="145"/>
    </row>
    <row r="896" spans="4:19" x14ac:dyDescent="0.3">
      <c r="D896" s="29" t="s">
        <v>49</v>
      </c>
      <c r="E896" s="29" t="s">
        <v>23</v>
      </c>
      <c r="F896" s="71"/>
      <c r="G896" s="100"/>
      <c r="H896" s="71"/>
      <c r="I896" s="29"/>
      <c r="N896" s="145" t="s">
        <v>49</v>
      </c>
      <c r="O896" s="145" t="s">
        <v>23</v>
      </c>
      <c r="P896" s="146"/>
      <c r="Q896" s="146"/>
      <c r="R896" s="145"/>
      <c r="S896" s="145"/>
    </row>
    <row r="897" spans="4:19" x14ac:dyDescent="0.3">
      <c r="D897" s="29" t="s">
        <v>51</v>
      </c>
      <c r="E897" s="29" t="s">
        <v>47</v>
      </c>
      <c r="F897" s="71" t="s">
        <v>19</v>
      </c>
      <c r="G897" s="100"/>
      <c r="H897" s="71"/>
      <c r="I897" s="29"/>
      <c r="N897" s="145" t="s">
        <v>51</v>
      </c>
      <c r="O897" s="145" t="s">
        <v>47</v>
      </c>
      <c r="P897" s="146" t="s">
        <v>19</v>
      </c>
      <c r="Q897" s="146"/>
      <c r="R897" s="145"/>
      <c r="S897" s="145"/>
    </row>
    <row r="898" spans="4:19" x14ac:dyDescent="0.3">
      <c r="D898" s="29" t="s">
        <v>53</v>
      </c>
      <c r="E898" s="29" t="s">
        <v>23</v>
      </c>
      <c r="F898" s="71" t="s">
        <v>19</v>
      </c>
      <c r="G898" s="100"/>
      <c r="H898" s="71"/>
      <c r="I898" s="29"/>
      <c r="N898" s="145" t="s">
        <v>53</v>
      </c>
      <c r="O898" s="145" t="s">
        <v>23</v>
      </c>
      <c r="P898" s="146" t="s">
        <v>19</v>
      </c>
      <c r="Q898" s="146"/>
      <c r="R898" s="145"/>
      <c r="S898" s="145"/>
    </row>
    <row r="899" spans="4:19" x14ac:dyDescent="0.3">
      <c r="D899" s="29" t="s">
        <v>55</v>
      </c>
      <c r="E899" s="29" t="s">
        <v>47</v>
      </c>
      <c r="F899" s="71" t="s">
        <v>19</v>
      </c>
      <c r="G899" s="100"/>
      <c r="H899" s="71"/>
      <c r="I899" s="29"/>
      <c r="N899" s="145" t="s">
        <v>55</v>
      </c>
      <c r="O899" s="145" t="s">
        <v>47</v>
      </c>
      <c r="P899" s="146" t="s">
        <v>19</v>
      </c>
      <c r="Q899" s="146"/>
      <c r="R899" s="145"/>
      <c r="S899" s="145"/>
    </row>
    <row r="900" spans="4:19" x14ac:dyDescent="0.3">
      <c r="D900" s="29" t="s">
        <v>57</v>
      </c>
      <c r="E900" s="29" t="s">
        <v>23</v>
      </c>
      <c r="F900" s="71" t="s">
        <v>19</v>
      </c>
      <c r="G900" s="100"/>
      <c r="H900" s="71"/>
      <c r="I900" s="29"/>
      <c r="N900" s="145" t="s">
        <v>57</v>
      </c>
      <c r="O900" s="145" t="s">
        <v>23</v>
      </c>
      <c r="P900" s="146" t="s">
        <v>19</v>
      </c>
      <c r="Q900" s="146"/>
      <c r="R900" s="145"/>
      <c r="S900" s="145"/>
    </row>
    <row r="901" spans="4:19" x14ac:dyDescent="0.3">
      <c r="D901" s="29" t="s">
        <v>59</v>
      </c>
      <c r="E901" s="29" t="s">
        <v>60</v>
      </c>
      <c r="F901" s="71" t="s">
        <v>19</v>
      </c>
      <c r="G901" s="100"/>
      <c r="H901" s="71"/>
      <c r="I901" s="29"/>
      <c r="N901" s="145" t="s">
        <v>59</v>
      </c>
      <c r="O901" s="145" t="s">
        <v>60</v>
      </c>
      <c r="P901" s="146" t="s">
        <v>19</v>
      </c>
      <c r="Q901" s="146"/>
      <c r="R901" s="145"/>
      <c r="S901" s="145"/>
    </row>
    <row r="902" spans="4:19" x14ac:dyDescent="0.3">
      <c r="D902" s="29" t="s">
        <v>62</v>
      </c>
      <c r="E902" s="29" t="s">
        <v>60</v>
      </c>
      <c r="F902" s="71" t="s">
        <v>19</v>
      </c>
      <c r="G902" s="100"/>
      <c r="H902" s="71"/>
      <c r="I902" s="29"/>
      <c r="N902" s="145" t="s">
        <v>62</v>
      </c>
      <c r="O902" s="145" t="s">
        <v>60</v>
      </c>
      <c r="P902" s="146" t="s">
        <v>19</v>
      </c>
      <c r="Q902" s="146"/>
      <c r="R902" s="145"/>
      <c r="S902" s="145"/>
    </row>
    <row r="903" spans="4:19" x14ac:dyDescent="0.3">
      <c r="D903" s="29" t="s">
        <v>64</v>
      </c>
      <c r="E903" s="29" t="s">
        <v>60</v>
      </c>
      <c r="F903" s="71" t="s">
        <v>19</v>
      </c>
      <c r="G903" s="100"/>
      <c r="H903" s="71"/>
      <c r="I903" s="29"/>
      <c r="N903" s="145" t="s">
        <v>64</v>
      </c>
      <c r="O903" s="145" t="s">
        <v>60</v>
      </c>
      <c r="P903" s="146" t="s">
        <v>19</v>
      </c>
      <c r="Q903" s="146"/>
      <c r="R903" s="145"/>
      <c r="S903" s="145"/>
    </row>
    <row r="904" spans="4:19" x14ac:dyDescent="0.3">
      <c r="D904" s="29" t="s">
        <v>66</v>
      </c>
      <c r="E904" s="29" t="s">
        <v>60</v>
      </c>
      <c r="F904" s="71" t="s">
        <v>19</v>
      </c>
      <c r="G904" s="100"/>
      <c r="H904" s="71"/>
      <c r="I904" s="29"/>
      <c r="N904" s="145" t="s">
        <v>66</v>
      </c>
      <c r="O904" s="145" t="s">
        <v>60</v>
      </c>
      <c r="P904" s="146" t="s">
        <v>19</v>
      </c>
      <c r="Q904" s="146"/>
      <c r="R904" s="145"/>
      <c r="S904" s="145"/>
    </row>
    <row r="905" spans="4:19" x14ac:dyDescent="0.3">
      <c r="D905" s="38" t="s">
        <v>67</v>
      </c>
      <c r="E905" s="38" t="s">
        <v>60</v>
      </c>
      <c r="F905" s="72" t="s">
        <v>19</v>
      </c>
      <c r="G905" s="101"/>
      <c r="H905" s="72"/>
      <c r="I905" s="38"/>
      <c r="N905" s="148" t="s">
        <v>67</v>
      </c>
      <c r="O905" s="148" t="s">
        <v>60</v>
      </c>
      <c r="P905" s="149" t="s">
        <v>19</v>
      </c>
      <c r="Q905" s="149"/>
      <c r="R905" s="148"/>
      <c r="S905" s="148"/>
    </row>
  </sheetData>
  <phoneticPr fontId="2" type="noConversion"/>
  <hyperlinks>
    <hyperlink ref="I4" location="'기준정보-주요테이블명세'!D31" display="T_BRD"/>
    <hyperlink ref="I17" location="'기준정보-주요테이블명세'!D268" display="T_COMN_CD"/>
    <hyperlink ref="I18" location="'기준정보-주요테이블명세'!D295" display="T_EMP"/>
    <hyperlink ref="I13" location="'기준정보-주요테이블명세'!D380" display="T_PRDT_DEAL"/>
    <hyperlink ref="I14" location="'기준정보-주요테이블명세'!D423" display="T_SHOP_HIST"/>
    <hyperlink ref="I12" location="'기준정보-주요테이블명세'!D519" display="T_PRDT_KIND"/>
    <hyperlink ref="I15" location="'기준정보-주요테이블명세'!D569" display="T_PRDT_TAG_ORDER"/>
    <hyperlink ref="I16" location="'기준정보-주요테이블명세'!D584" display="T_PRDT_PROP"/>
    <hyperlink ref="I19" location="'기준정보-주요테이블명세'!D617" display="CT_STYLE"/>
    <hyperlink ref="I20" location="'기준정보-주요테이블명세'!D751" display="CT_STYLE_SIZE"/>
    <hyperlink ref="I21" location="'기준정보-주요테이블명세'!D776" display="T_MAT_MATSY_INFO"/>
    <hyperlink ref="I22" location="'기준정보-주요테이블명세'!D839" display="T_WORK_INDC_APND_FILE"/>
    <hyperlink ref="I23" location="'기준정보-주요테이블명세'!D862" display="T_WORK_INDC_MEMO "/>
    <hyperlink ref="I24" location="'기준정보-주요테이블명세'!D868" display="T_PARTT_STOR_INFO "/>
    <hyperlink ref="I25" location="'기준정보-주요테이블명세'!D888" display="T_PARTT_STOR_DETL"/>
    <hyperlink ref="S4" location="'기준정보-주요테이블명세'!N31" display="T_BRD"/>
    <hyperlink ref="S5" location="'기준정보-주요테이블명세'!N62" display="T_SHOP"/>
    <hyperlink ref="S9" location="'기준정보-주요테이블명세'!N188" display="T_WORK_INDC"/>
    <hyperlink ref="S7" location="'기준정보-주요테이블명세'!N227" display="T_PRDT"/>
    <hyperlink ref="S17" location="'기준정보-주요테이블명세'!N268" display="T_COMN_CD"/>
    <hyperlink ref="S18" location="'기준정보-주요테이블명세'!N295" display="T_EMP"/>
    <hyperlink ref="S8" location="'기준정보-주요테이블명세'!N331" display="T_PRDT_PLAN"/>
    <hyperlink ref="S13" location="'기준정보-주요테이블명세'!N380" display="T_PRDT_DEAL"/>
    <hyperlink ref="S6" location="'기준정보-주요테이블명세'!N402" display="T_SHOP_BRD"/>
    <hyperlink ref="S14" location="'기준정보-주요테이블명세'!N423" display="T_SHOP_HIST"/>
    <hyperlink ref="S12" location="'기준정보-주요테이블명세'!N519" display="T_PRDT_KIND"/>
    <hyperlink ref="S16" location="'기준정보-주요테이블명세'!N888" display="T_PRDT_PROP"/>
    <hyperlink ref="S10" location="'기준정보-주요테이블명세'!N685" display="T_STYLE"/>
    <hyperlink ref="S20" location="'기준정보-주요테이블명세'!N751" display="CT_STYLE_SIZE"/>
    <hyperlink ref="S21" location="'기준정보-주요테이블명세'!N776" display="T_MAT_MATSY_INFO"/>
    <hyperlink ref="S11" location="'기준정보-주요테이블명세'!N818" display="T_SIZE_SPEC"/>
    <hyperlink ref="S22" location="'기준정보-주요테이블명세'!N839" display="T_WORK_INDC_APND_FILE"/>
    <hyperlink ref="S23" location="'기준정보-주요테이블명세'!N862" display="T_WORK_INDC_MEMO"/>
    <hyperlink ref="S24" location="'기준정보-주요테이블명세'!N868" display="T_PARTT_STOR_INFO"/>
    <hyperlink ref="S25" location="'기준정보-주요테이블명세'!N888" display="T_PARTT_STOR_DETL"/>
    <hyperlink ref="I10" location="'기준정보-주요테이블명세'!D685" display="T_STYLE"/>
    <hyperlink ref="I11" location="'기준정보-주요테이블명세'!D818" display="T_SIZE_SPEC "/>
    <hyperlink ref="I8" location="'기준정보-주요테이블명세'!D331" display="T_PRDT_PLAN"/>
    <hyperlink ref="I5" location="'기준정보-주요테이블명세'!D62" display="T_SHOP"/>
    <hyperlink ref="I6" location="'기준정보-주요테이블명세'!D402" display="T_SHOP_BRD"/>
    <hyperlink ref="I7" location="'기준정보-주요테이블명세'!D227" display="T_PRDT"/>
    <hyperlink ref="I9" location="'기준정보-주요테이블명세'!D188" display="T_WORK_INDC"/>
    <hyperlink ref="S19" location="'기준정보-주요테이블명세'!N617" display="CT_STYLE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1</vt:i4>
      </vt:variant>
    </vt:vector>
  </HeadingPairs>
  <TitlesOfParts>
    <vt:vector size="9" baseType="lpstr">
      <vt:lpstr>보고</vt:lpstr>
      <vt:lpstr>화면-브랜드정보</vt:lpstr>
      <vt:lpstr>화면-매장브랜드정보</vt:lpstr>
      <vt:lpstr>화면-매장정보</vt:lpstr>
      <vt:lpstr>화면-제품정보</vt:lpstr>
      <vt:lpstr>화면-작업지시등록 </vt:lpstr>
      <vt:lpstr>SQL</vt:lpstr>
      <vt:lpstr>기준정보-주요테이블명세</vt:lpstr>
      <vt:lpstr>보고!Print_Area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2024-11-13T05:10:50Z</cp:lastPrinted>
  <dcterms:created xsi:type="dcterms:W3CDTF">2024-09-03T03:48:44Z</dcterms:created>
  <dcterms:modified xsi:type="dcterms:W3CDTF">2024-11-13T08:08:28Z</dcterms:modified>
</cp:coreProperties>
</file>