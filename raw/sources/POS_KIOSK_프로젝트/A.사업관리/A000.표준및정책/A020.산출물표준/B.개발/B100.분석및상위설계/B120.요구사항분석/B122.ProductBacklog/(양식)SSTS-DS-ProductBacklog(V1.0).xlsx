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1000.SSTS\A.사업관리\A000.표준및정책\A020.산출물표준\B.개발\B100.분석및상위설계\B120.요구사항분석\"/>
    </mc:Choice>
  </mc:AlternateContent>
  <bookViews>
    <workbookView xWindow="0" yWindow="600" windowWidth="23040" windowHeight="10404" activeTab="2"/>
  </bookViews>
  <sheets>
    <sheet name="표지" sheetId="1" r:id="rId1"/>
    <sheet name="개정이력" sheetId="2" r:id="rId2"/>
    <sheet name="(집계)" sheetId="9" r:id="rId3"/>
    <sheet name="POS" sheetId="12" r:id="rId4"/>
    <sheet name="키오스크" sheetId="13" r:id="rId5"/>
    <sheet name="POS관리" sheetId="8" r:id="rId6"/>
  </sheets>
  <externalReferences>
    <externalReference r:id="rId7"/>
  </externalReferences>
  <definedNames>
    <definedName name="_xlnm._FilterDatabase" localSheetId="3" hidden="1">POS!$A$3:$AR$3</definedName>
    <definedName name="_xlnm._FilterDatabase" localSheetId="5" hidden="1">POS관리!$A$3:$AR$3</definedName>
    <definedName name="_xlnm._FilterDatabase" localSheetId="4" hidden="1">키오스크!$A$3:$AR$3</definedName>
    <definedName name="ACTUAL_RATE">[1]Progress!$B$21</definedName>
    <definedName name="PLANNED_RATE">[1]Progress!$B$18</definedName>
  </definedNames>
  <calcPr calcId="162913"/>
</workbook>
</file>

<file path=xl/calcChain.xml><?xml version="1.0" encoding="utf-8"?>
<calcChain xmlns="http://schemas.openxmlformats.org/spreadsheetml/2006/main">
  <c r="F199" i="9" l="1"/>
  <c r="E190" i="9"/>
  <c r="F185" i="9"/>
  <c r="E202" i="9"/>
  <c r="E92" i="9"/>
  <c r="F116" i="9"/>
  <c r="F51" i="9"/>
  <c r="E162" i="9"/>
  <c r="E172" i="9"/>
  <c r="E33" i="9"/>
  <c r="E125" i="9"/>
  <c r="F6" i="9"/>
  <c r="E194" i="9"/>
  <c r="E191" i="9"/>
  <c r="F81" i="9"/>
  <c r="F137" i="9"/>
  <c r="F108" i="9"/>
  <c r="F86" i="9"/>
  <c r="E154" i="9"/>
  <c r="E29" i="9"/>
  <c r="E9" i="9"/>
  <c r="E42" i="9"/>
  <c r="F136" i="9"/>
  <c r="E100" i="9"/>
  <c r="E185" i="9"/>
  <c r="F155" i="9"/>
  <c r="E110" i="9"/>
  <c r="E30" i="9"/>
  <c r="E6" i="9"/>
  <c r="E129" i="9"/>
  <c r="E48" i="9"/>
  <c r="E151" i="9"/>
  <c r="E8" i="9"/>
  <c r="E107" i="9"/>
  <c r="E173" i="9"/>
  <c r="E37" i="9"/>
  <c r="E192" i="9"/>
  <c r="F189" i="9"/>
  <c r="E134" i="9"/>
  <c r="E166" i="9"/>
  <c r="E44" i="9"/>
  <c r="E66" i="9"/>
  <c r="F198" i="9"/>
  <c r="E160" i="9"/>
  <c r="E176" i="9"/>
  <c r="E171" i="9"/>
  <c r="E196" i="9"/>
  <c r="F57" i="9"/>
  <c r="E122" i="9"/>
  <c r="E149" i="9"/>
  <c r="E155" i="9"/>
  <c r="F167" i="9"/>
  <c r="E12" i="9"/>
  <c r="F121" i="9"/>
  <c r="F62" i="9"/>
  <c r="F163" i="9"/>
  <c r="E179" i="9"/>
  <c r="F76" i="9"/>
  <c r="F120" i="9"/>
  <c r="E97" i="9"/>
  <c r="E23" i="9"/>
  <c r="F148" i="9"/>
  <c r="F20" i="9"/>
  <c r="F42" i="9"/>
  <c r="E27" i="9"/>
  <c r="E5" i="9"/>
  <c r="E94" i="9"/>
  <c r="F173" i="9"/>
  <c r="F142" i="9"/>
  <c r="F94" i="9"/>
  <c r="F180" i="9"/>
  <c r="F99" i="9"/>
  <c r="E130" i="9"/>
  <c r="E111" i="9"/>
  <c r="E140" i="9"/>
  <c r="F90" i="9"/>
  <c r="F7" i="9"/>
  <c r="F21" i="9"/>
  <c r="E189" i="9"/>
  <c r="F107" i="9"/>
  <c r="E63" i="9"/>
  <c r="F201" i="9"/>
  <c r="F38" i="9"/>
  <c r="E200" i="9"/>
  <c r="E116" i="9"/>
  <c r="E76" i="9"/>
  <c r="E64" i="9"/>
  <c r="F48" i="9"/>
  <c r="F124" i="9"/>
  <c r="F178" i="9"/>
  <c r="F37" i="9"/>
  <c r="E43" i="9"/>
  <c r="F112" i="9"/>
  <c r="F161" i="9"/>
  <c r="F193" i="9"/>
  <c r="F24" i="9"/>
  <c r="E113" i="9"/>
  <c r="E117" i="9"/>
  <c r="F139" i="9"/>
  <c r="E153" i="9"/>
  <c r="E16" i="9"/>
  <c r="E115" i="9"/>
  <c r="F191" i="9"/>
  <c r="F156" i="9"/>
  <c r="F172" i="9"/>
  <c r="F44" i="9"/>
  <c r="E103" i="9"/>
  <c r="F84" i="9"/>
  <c r="F54" i="9"/>
  <c r="F135" i="9"/>
  <c r="F63" i="9"/>
  <c r="F56" i="9"/>
  <c r="F25" i="9"/>
  <c r="E201" i="9"/>
  <c r="E88" i="9"/>
  <c r="E161" i="9"/>
  <c r="E126" i="9"/>
  <c r="E71" i="9"/>
  <c r="F47" i="9"/>
  <c r="E99" i="9"/>
  <c r="F146" i="9"/>
  <c r="E175" i="9"/>
  <c r="F169" i="9"/>
  <c r="E47" i="9"/>
  <c r="E52" i="9"/>
  <c r="F85" i="9"/>
  <c r="E35" i="9"/>
  <c r="E19" i="9"/>
  <c r="F166" i="9"/>
  <c r="F111" i="9"/>
  <c r="E62" i="9"/>
  <c r="E145" i="9"/>
  <c r="E26" i="9"/>
  <c r="F144" i="9"/>
  <c r="E142" i="9"/>
  <c r="E174" i="9"/>
  <c r="E156" i="9"/>
  <c r="F17" i="9"/>
  <c r="F145" i="9"/>
  <c r="F113" i="9"/>
  <c r="F176" i="9"/>
  <c r="E198" i="9"/>
  <c r="F92" i="9"/>
  <c r="E80" i="9"/>
  <c r="F117" i="9"/>
  <c r="F134" i="9"/>
  <c r="F36" i="9"/>
  <c r="F102" i="9"/>
  <c r="F165" i="9"/>
  <c r="F122" i="9"/>
  <c r="E165" i="9"/>
  <c r="E15" i="9"/>
  <c r="E73" i="9"/>
  <c r="F15" i="9"/>
  <c r="E54" i="9"/>
  <c r="F115" i="9"/>
  <c r="F50" i="9"/>
  <c r="F192" i="9"/>
  <c r="F97" i="9"/>
  <c r="F182" i="9"/>
  <c r="F77" i="9"/>
  <c r="F140" i="9"/>
  <c r="E89" i="9"/>
  <c r="F8" i="9"/>
  <c r="E164" i="9"/>
  <c r="F190" i="9"/>
  <c r="E82" i="9"/>
  <c r="E34" i="9"/>
  <c r="E108" i="9"/>
  <c r="F131" i="9"/>
  <c r="F200" i="9"/>
  <c r="F95" i="9"/>
  <c r="F149" i="9"/>
  <c r="E98" i="9"/>
  <c r="F153" i="9"/>
  <c r="F46" i="9"/>
  <c r="F171" i="9"/>
  <c r="F74" i="9"/>
  <c r="E124" i="9"/>
  <c r="F52" i="9"/>
  <c r="F110" i="9"/>
  <c r="F106" i="9"/>
  <c r="F70" i="9"/>
  <c r="E25" i="9"/>
  <c r="E91" i="9"/>
  <c r="F33" i="9"/>
  <c r="E70" i="9"/>
  <c r="E61" i="9"/>
  <c r="E158" i="9"/>
  <c r="F187" i="9"/>
  <c r="F75" i="9"/>
  <c r="F5" i="9"/>
  <c r="E95" i="9"/>
  <c r="F118" i="9"/>
  <c r="F188" i="9"/>
  <c r="E83" i="9"/>
  <c r="F125" i="9"/>
  <c r="E93" i="9"/>
  <c r="E148" i="9"/>
  <c r="E65" i="9"/>
  <c r="F60" i="9"/>
  <c r="E127" i="9"/>
  <c r="F179" i="9"/>
  <c r="F103" i="9"/>
  <c r="E157" i="9"/>
  <c r="E143" i="9"/>
  <c r="E152" i="9"/>
  <c r="F164" i="9"/>
  <c r="F18" i="9"/>
  <c r="F93" i="9"/>
  <c r="F65" i="9"/>
  <c r="F26" i="9"/>
  <c r="F79" i="9"/>
  <c r="E67" i="9"/>
  <c r="F174" i="9"/>
  <c r="F16" i="9"/>
  <c r="F43" i="9"/>
  <c r="E178" i="9"/>
  <c r="E51" i="9"/>
  <c r="F29" i="9"/>
  <c r="E75" i="9"/>
  <c r="E203" i="9"/>
  <c r="E131" i="9"/>
  <c r="E136" i="9"/>
  <c r="E11" i="9"/>
  <c r="F203" i="9"/>
  <c r="E133" i="9"/>
  <c r="E17" i="9"/>
  <c r="E197" i="9"/>
  <c r="F104" i="9"/>
  <c r="E14" i="9"/>
  <c r="F10" i="9"/>
  <c r="E45" i="9"/>
  <c r="E101" i="9"/>
  <c r="F27" i="9"/>
  <c r="F64" i="9"/>
  <c r="E81" i="9"/>
  <c r="E74" i="9"/>
  <c r="F133" i="9"/>
  <c r="F23" i="9"/>
  <c r="E7" i="9"/>
  <c r="F53" i="9"/>
  <c r="F89" i="9"/>
  <c r="E39" i="9"/>
  <c r="F143" i="9"/>
  <c r="E183" i="9"/>
  <c r="F45" i="9"/>
  <c r="F66" i="9"/>
  <c r="E72" i="9"/>
  <c r="E118" i="9"/>
  <c r="E184" i="9"/>
  <c r="F72" i="9"/>
  <c r="E112" i="9"/>
  <c r="E77" i="9"/>
  <c r="E138" i="9"/>
  <c r="F67" i="9"/>
  <c r="E21" i="9"/>
  <c r="F101" i="9"/>
  <c r="F30" i="9"/>
  <c r="F91" i="9"/>
  <c r="E146" i="9"/>
  <c r="F138" i="9"/>
  <c r="E147" i="9"/>
  <c r="F154" i="9"/>
  <c r="E38" i="9"/>
  <c r="E50" i="9"/>
  <c r="E139" i="9"/>
  <c r="F35" i="9"/>
  <c r="E109" i="9"/>
  <c r="F41" i="9"/>
  <c r="E106" i="9"/>
  <c r="F130" i="9"/>
  <c r="E10" i="9"/>
  <c r="F88" i="9"/>
  <c r="E121" i="9"/>
  <c r="F151" i="9"/>
  <c r="E32" i="9"/>
  <c r="E36" i="9"/>
  <c r="E167" i="9"/>
  <c r="F34" i="9"/>
  <c r="F175" i="9"/>
  <c r="E84" i="9"/>
  <c r="F119" i="9"/>
  <c r="F82" i="9"/>
  <c r="F14" i="9"/>
  <c r="F181" i="9"/>
  <c r="E144" i="9"/>
  <c r="E169" i="9"/>
  <c r="E24" i="9"/>
  <c r="E104" i="9"/>
  <c r="E128" i="9"/>
  <c r="F194" i="9"/>
  <c r="F71" i="9"/>
  <c r="F28" i="9"/>
  <c r="E20" i="9"/>
  <c r="F126" i="9"/>
  <c r="F152" i="9"/>
  <c r="F55" i="9"/>
  <c r="E193" i="9"/>
  <c r="F202" i="9"/>
  <c r="E90" i="9"/>
  <c r="F162" i="9"/>
  <c r="E57" i="9"/>
  <c r="E18" i="9"/>
  <c r="E55" i="9"/>
  <c r="F109" i="9"/>
  <c r="F197" i="9"/>
  <c r="E170" i="9"/>
  <c r="F32" i="9"/>
  <c r="E182" i="9"/>
  <c r="F73" i="9"/>
  <c r="F98" i="9"/>
  <c r="F83" i="9"/>
  <c r="E102" i="9"/>
  <c r="E135" i="9"/>
  <c r="E60" i="9"/>
  <c r="E56" i="9"/>
  <c r="E180" i="9"/>
  <c r="F196" i="9"/>
  <c r="E120" i="9"/>
  <c r="F147" i="9"/>
  <c r="F39" i="9"/>
  <c r="E187" i="9"/>
  <c r="E188" i="9"/>
  <c r="F80" i="9"/>
  <c r="F158" i="9"/>
  <c r="E46" i="9"/>
  <c r="F19" i="9"/>
  <c r="E119" i="9"/>
  <c r="F100" i="9"/>
  <c r="F184" i="9"/>
  <c r="F160" i="9"/>
  <c r="E53" i="9"/>
  <c r="F170" i="9"/>
  <c r="E41" i="9"/>
  <c r="E85" i="9"/>
  <c r="E79" i="9"/>
  <c r="E86" i="9"/>
  <c r="F128" i="9"/>
  <c r="F11" i="9"/>
  <c r="E199" i="9"/>
  <c r="E163" i="9"/>
  <c r="F157" i="9"/>
  <c r="E181" i="9"/>
  <c r="F61" i="9"/>
  <c r="F12" i="9"/>
  <c r="F183" i="9"/>
  <c r="F127" i="9"/>
  <c r="E137" i="9"/>
  <c r="F9" i="9"/>
  <c r="F129" i="9"/>
  <c r="E28" i="9"/>
  <c r="D129" i="9" l="1"/>
  <c r="D9" i="9"/>
  <c r="D127" i="9"/>
  <c r="D183" i="9"/>
  <c r="D12" i="9"/>
  <c r="D61" i="9"/>
  <c r="D157" i="9"/>
  <c r="D11" i="9"/>
  <c r="D128" i="9"/>
  <c r="E78" i="9"/>
  <c r="E40" i="9"/>
  <c r="D170" i="9"/>
  <c r="D160" i="9"/>
  <c r="F159" i="9"/>
  <c r="D184" i="9"/>
  <c r="D100" i="9"/>
  <c r="D19" i="9"/>
  <c r="D158" i="9"/>
  <c r="D80" i="9"/>
  <c r="E186" i="9"/>
  <c r="D39" i="9"/>
  <c r="D147" i="9"/>
  <c r="F195" i="9"/>
  <c r="D196" i="9"/>
  <c r="E59" i="9"/>
  <c r="E58" i="9" s="1"/>
  <c r="D83" i="9"/>
  <c r="D98" i="9"/>
  <c r="D73" i="9"/>
  <c r="F31" i="9"/>
  <c r="D32" i="9"/>
  <c r="D197" i="9"/>
  <c r="D109" i="9"/>
  <c r="D162" i="9"/>
  <c r="D202" i="9"/>
  <c r="D55" i="9"/>
  <c r="D152" i="9"/>
  <c r="D126" i="9"/>
  <c r="D28" i="9"/>
  <c r="D71" i="9"/>
  <c r="D194" i="9"/>
  <c r="E168" i="9"/>
  <c r="D181" i="9"/>
  <c r="F13" i="9"/>
  <c r="D14" i="9"/>
  <c r="D82" i="9"/>
  <c r="D119" i="9"/>
  <c r="D175" i="9"/>
  <c r="D34" i="9"/>
  <c r="E31" i="9"/>
  <c r="D151" i="9"/>
  <c r="F150" i="9"/>
  <c r="D150" i="9" s="1"/>
  <c r="D88" i="9"/>
  <c r="F87" i="9"/>
  <c r="D87" i="9" s="1"/>
  <c r="D130" i="9"/>
  <c r="E105" i="9"/>
  <c r="F40" i="9"/>
  <c r="D41" i="9"/>
  <c r="D35" i="9"/>
  <c r="E49" i="9"/>
  <c r="D154" i="9"/>
  <c r="D138" i="9"/>
  <c r="D91" i="9"/>
  <c r="D30" i="9"/>
  <c r="D101" i="9"/>
  <c r="D67" i="9"/>
  <c r="D72" i="9"/>
  <c r="D66" i="9"/>
  <c r="D45" i="9"/>
  <c r="D143" i="9"/>
  <c r="D89" i="9"/>
  <c r="D53" i="9"/>
  <c r="D23" i="9"/>
  <c r="F22" i="9"/>
  <c r="D22" i="9" s="1"/>
  <c r="D133" i="9"/>
  <c r="F132" i="9"/>
  <c r="D64" i="9"/>
  <c r="D27" i="9"/>
  <c r="D10" i="9"/>
  <c r="E13" i="9"/>
  <c r="D104" i="9"/>
  <c r="E132" i="9"/>
  <c r="D203" i="9"/>
  <c r="D29" i="9"/>
  <c r="E177" i="9"/>
  <c r="D43" i="9"/>
  <c r="D16" i="9"/>
  <c r="D174" i="9"/>
  <c r="D79" i="9"/>
  <c r="F78" i="9"/>
  <c r="D26" i="9"/>
  <c r="D65" i="9"/>
  <c r="D93" i="9"/>
  <c r="D18" i="9"/>
  <c r="D164" i="9"/>
  <c r="D103" i="9"/>
  <c r="D179" i="9"/>
  <c r="D60" i="9"/>
  <c r="F59" i="9"/>
  <c r="D125" i="9"/>
  <c r="D188" i="9"/>
  <c r="D118" i="9"/>
  <c r="D5" i="9"/>
  <c r="F4" i="9"/>
  <c r="D75" i="9"/>
  <c r="F186" i="9"/>
  <c r="D186" i="9" s="1"/>
  <c r="D187" i="9"/>
  <c r="E69" i="9"/>
  <c r="D33" i="9"/>
  <c r="F69" i="9"/>
  <c r="D70" i="9"/>
  <c r="F105" i="9"/>
  <c r="D105" i="9" s="1"/>
  <c r="D106" i="9"/>
  <c r="D110" i="9"/>
  <c r="D52" i="9"/>
  <c r="E123" i="9"/>
  <c r="D74" i="9"/>
  <c r="D171" i="9"/>
  <c r="D46" i="9"/>
  <c r="D153" i="9"/>
  <c r="D149" i="9"/>
  <c r="D95" i="9"/>
  <c r="D200" i="9"/>
  <c r="D131" i="9"/>
  <c r="D190" i="9"/>
  <c r="D8" i="9"/>
  <c r="D140" i="9"/>
  <c r="D77" i="9"/>
  <c r="D182" i="9"/>
  <c r="D97" i="9"/>
  <c r="F96" i="9"/>
  <c r="D96" i="9" s="1"/>
  <c r="D192" i="9"/>
  <c r="D50" i="9"/>
  <c r="F49" i="9"/>
  <c r="D49" i="9" s="1"/>
  <c r="D115" i="9"/>
  <c r="F114" i="9"/>
  <c r="D114" i="9" s="1"/>
  <c r="D15" i="9"/>
  <c r="D122" i="9"/>
  <c r="D165" i="9"/>
  <c r="D102" i="9"/>
  <c r="D36" i="9"/>
  <c r="D134" i="9"/>
  <c r="D117" i="9"/>
  <c r="D92" i="9"/>
  <c r="D176" i="9"/>
  <c r="D113" i="9"/>
  <c r="D145" i="9"/>
  <c r="D17" i="9"/>
  <c r="E141" i="9"/>
  <c r="D144" i="9"/>
  <c r="D111" i="9"/>
  <c r="D166" i="9"/>
  <c r="D85" i="9"/>
  <c r="F168" i="9"/>
  <c r="D168" i="9" s="1"/>
  <c r="D169" i="9"/>
  <c r="D146" i="9"/>
  <c r="D47" i="9"/>
  <c r="E87" i="9"/>
  <c r="D25" i="9"/>
  <c r="D56" i="9"/>
  <c r="D63" i="9"/>
  <c r="D135" i="9"/>
  <c r="D54" i="9"/>
  <c r="D84" i="9"/>
  <c r="D44" i="9"/>
  <c r="D172" i="9"/>
  <c r="D156" i="9"/>
  <c r="D191" i="9"/>
  <c r="E114" i="9"/>
  <c r="D139" i="9"/>
  <c r="D24" i="9"/>
  <c r="D193" i="9"/>
  <c r="D161" i="9"/>
  <c r="D112" i="9"/>
  <c r="D37" i="9"/>
  <c r="D178" i="9"/>
  <c r="F177" i="9"/>
  <c r="D177" i="9" s="1"/>
  <c r="D124" i="9"/>
  <c r="F123" i="9"/>
  <c r="D123" i="9" s="1"/>
  <c r="D48" i="9"/>
  <c r="D38" i="9"/>
  <c r="D201" i="9"/>
  <c r="D107" i="9"/>
  <c r="D21" i="9"/>
  <c r="D7" i="9"/>
  <c r="D90" i="9"/>
  <c r="D99" i="9"/>
  <c r="D180" i="9"/>
  <c r="D94" i="9"/>
  <c r="F141" i="9"/>
  <c r="D142" i="9"/>
  <c r="D173" i="9"/>
  <c r="E4" i="9"/>
  <c r="E3" i="9" s="1"/>
  <c r="D42" i="9"/>
  <c r="D20" i="9"/>
  <c r="D148" i="9"/>
  <c r="E22" i="9"/>
  <c r="E96" i="9"/>
  <c r="D120" i="9"/>
  <c r="D76" i="9"/>
  <c r="D163" i="9"/>
  <c r="D62" i="9"/>
  <c r="D121" i="9"/>
  <c r="D167" i="9"/>
  <c r="D57" i="9"/>
  <c r="E195" i="9"/>
  <c r="E159" i="9"/>
  <c r="D198" i="9"/>
  <c r="D189" i="9"/>
  <c r="E150" i="9"/>
  <c r="D155" i="9"/>
  <c r="D136" i="9"/>
  <c r="D86" i="9"/>
  <c r="D108" i="9"/>
  <c r="D137" i="9"/>
  <c r="D81" i="9"/>
  <c r="D6" i="9"/>
  <c r="D51" i="9"/>
  <c r="D116" i="9"/>
  <c r="D185" i="9"/>
  <c r="D199" i="9"/>
  <c r="F68" i="9" l="1"/>
  <c r="D68" i="9" s="1"/>
  <c r="D69" i="9"/>
  <c r="E68" i="9"/>
  <c r="D195" i="9"/>
  <c r="F3" i="9"/>
  <c r="D3" i="9" s="1"/>
  <c r="D4" i="9"/>
  <c r="D78" i="9"/>
  <c r="D132" i="9"/>
  <c r="D59" i="9"/>
  <c r="F58" i="9"/>
  <c r="D58" i="9" s="1"/>
  <c r="D40" i="9"/>
  <c r="D159" i="9"/>
  <c r="D141" i="9"/>
  <c r="D13" i="9"/>
  <c r="D31" i="9"/>
</calcChain>
</file>

<file path=xl/sharedStrings.xml><?xml version="1.0" encoding="utf-8"?>
<sst xmlns="http://schemas.openxmlformats.org/spreadsheetml/2006/main" count="10648" uniqueCount="308">
  <si>
    <t xml:space="preserve">문서번호 : </t>
    <phoneticPr fontId="5" type="noConversion"/>
  </si>
  <si>
    <t>Version</t>
    <phoneticPr fontId="5" type="noConversion"/>
  </si>
  <si>
    <t>V0.1</t>
    <phoneticPr fontId="5" type="noConversion"/>
  </si>
  <si>
    <t>개정일자</t>
    <phoneticPr fontId="5" type="noConversion"/>
  </si>
  <si>
    <t>작성자</t>
    <phoneticPr fontId="5" type="noConversion"/>
  </si>
  <si>
    <t>김재희</t>
    <phoneticPr fontId="4" type="noConversion"/>
  </si>
  <si>
    <t>신성통상 차세대 POS 및 키오스크 구축 프로젝트</t>
  </si>
  <si>
    <t>ProductBacklog</t>
    <phoneticPr fontId="5" type="noConversion"/>
  </si>
  <si>
    <t>개정 이력</t>
  </si>
  <si>
    <t>버전</t>
  </si>
  <si>
    <t>개정일자</t>
  </si>
  <si>
    <t>[1]개정사유</t>
  </si>
  <si>
    <t>[2]개정내역</t>
  </si>
  <si>
    <t>작성자</t>
  </si>
  <si>
    <t>승인자</t>
  </si>
  <si>
    <t>개정</t>
    <phoneticPr fontId="5" type="noConversion"/>
  </si>
  <si>
    <t>초안 작성</t>
    <phoneticPr fontId="5" type="noConversion"/>
  </si>
  <si>
    <t>[1] 개정 사유: 제정 또는 개정 내용이 이전 문서에 대해 추가/수정/삭제인지 선택 기입</t>
  </si>
  <si>
    <t>[2] 개정 내역: 개정이 발생하는 페이지 번호와 변경 내용을 기술</t>
  </si>
  <si>
    <t>모듈</t>
  </si>
  <si>
    <t>NO</t>
  </si>
  <si>
    <t>1depth</t>
  </si>
  <si>
    <t>2depth</t>
  </si>
  <si>
    <t>3depth</t>
  </si>
  <si>
    <t>화면ID</t>
  </si>
  <si>
    <t>개발/구현</t>
  </si>
  <si>
    <t>단위 테스트</t>
  </si>
  <si>
    <t>통합 테스트</t>
    <phoneticPr fontId="4" type="noConversion"/>
  </si>
  <si>
    <t>담당자</t>
  </si>
  <si>
    <t>시작일</t>
  </si>
  <si>
    <t>종료일</t>
  </si>
  <si>
    <t>완료여부</t>
  </si>
  <si>
    <t>완료일자</t>
  </si>
  <si>
    <t>처리여부</t>
  </si>
  <si>
    <t>POS</t>
    <phoneticPr fontId="4" type="noConversion"/>
  </si>
  <si>
    <t>　</t>
  </si>
  <si>
    <t>공통</t>
  </si>
  <si>
    <t>로그인</t>
  </si>
  <si>
    <t>런처</t>
  </si>
  <si>
    <t>업데이트</t>
  </si>
  <si>
    <t>프로그램 버전 동기화</t>
  </si>
  <si>
    <t>데이터 전송</t>
  </si>
  <si>
    <t>매출 전송</t>
  </si>
  <si>
    <t>개점 전송</t>
  </si>
  <si>
    <t>중간 정산 전송</t>
  </si>
  <si>
    <t>마감 전송</t>
  </si>
  <si>
    <t>사용자 로그 전송</t>
  </si>
  <si>
    <t>시스템 로그 전송</t>
  </si>
  <si>
    <t>H/W 연동</t>
  </si>
  <si>
    <t>OKPOS 프린터</t>
  </si>
  <si>
    <t>POSBANK 프린터</t>
  </si>
  <si>
    <t>KPN CAT 프린터</t>
  </si>
  <si>
    <t>KPN VCAT 연동</t>
  </si>
  <si>
    <t>KICC 연동</t>
  </si>
  <si>
    <t>여권 스캐너 #2</t>
  </si>
  <si>
    <t>파일 다운로드</t>
  </si>
  <si>
    <t>파일다운로드</t>
  </si>
  <si>
    <t>기준정보 수신</t>
  </si>
  <si>
    <t>기준정보 업데이트</t>
  </si>
  <si>
    <t>매장 마스터</t>
  </si>
  <si>
    <t>환경 마스터</t>
  </si>
  <si>
    <t>본사/매장 직원 마스터</t>
  </si>
  <si>
    <t>기능 마스터</t>
  </si>
  <si>
    <t>기능별 권한 마스터</t>
  </si>
  <si>
    <t>명칭 마스터</t>
  </si>
  <si>
    <t>메시지 마스터</t>
  </si>
  <si>
    <t>상품 마스터</t>
  </si>
  <si>
    <t>상품 판매가 마스터</t>
  </si>
  <si>
    <t>상품 부가 정보 마스터</t>
  </si>
  <si>
    <t>공통코드 마스터</t>
  </si>
  <si>
    <t>프로모션 마스터</t>
  </si>
  <si>
    <t>프로모션 구매조건 마스터</t>
  </si>
  <si>
    <t>프로모션 혜택적용 마스터</t>
  </si>
  <si>
    <t>프로모션 혜택제외 마스터</t>
  </si>
  <si>
    <t>PLU 마스터</t>
  </si>
  <si>
    <t>기능키 마스터</t>
  </si>
  <si>
    <t>콜센터 마스터</t>
  </si>
  <si>
    <t>주문</t>
  </si>
  <si>
    <t>메인화면</t>
  </si>
  <si>
    <t>상품 추가</t>
  </si>
  <si>
    <t>상품 수정</t>
  </si>
  <si>
    <t>상품 삭제</t>
  </si>
  <si>
    <t>상품 조회</t>
  </si>
  <si>
    <t>주문 보류</t>
  </si>
  <si>
    <t>할인</t>
  </si>
  <si>
    <t>상품 할인</t>
  </si>
  <si>
    <t>직원 할인</t>
  </si>
  <si>
    <t>주문 할인</t>
  </si>
  <si>
    <t>결제</t>
  </si>
  <si>
    <t>현금 결제창</t>
  </si>
  <si>
    <t>현금</t>
  </si>
  <si>
    <t>외화</t>
  </si>
  <si>
    <t>현금영수증(현금)</t>
  </si>
  <si>
    <t>상품권 결제창</t>
  </si>
  <si>
    <t>상품권</t>
  </si>
  <si>
    <t>현금영수증(상품권)</t>
  </si>
  <si>
    <t>신용카드 결제창</t>
  </si>
  <si>
    <t>신용카드</t>
  </si>
  <si>
    <t>신용카드 강제승인</t>
  </si>
  <si>
    <t>카카오페이</t>
  </si>
  <si>
    <t>네이버페이</t>
  </si>
  <si>
    <t>위챗/알리페이</t>
  </si>
  <si>
    <t>페이코</t>
  </si>
  <si>
    <t>라인페이</t>
  </si>
  <si>
    <t>Tax Refund</t>
  </si>
  <si>
    <t>회원</t>
  </si>
  <si>
    <t>회원 및 포인트/쿠폰 처리</t>
  </si>
  <si>
    <t>회원조회</t>
  </si>
  <si>
    <t>포인트 적립</t>
  </si>
  <si>
    <t>포인트 사용</t>
  </si>
  <si>
    <t>쿠폰 조회</t>
  </si>
  <si>
    <t>쿠폰 사용</t>
  </si>
  <si>
    <t>정산</t>
  </si>
  <si>
    <t>개점처리</t>
  </si>
  <si>
    <t>개점</t>
  </si>
  <si>
    <t>마감처리</t>
  </si>
  <si>
    <t>마감</t>
  </si>
  <si>
    <t>담당자 변경 처리</t>
  </si>
  <si>
    <t>담당자 변경</t>
  </si>
  <si>
    <t>반품</t>
  </si>
  <si>
    <t>영수증 반품</t>
  </si>
  <si>
    <t>부가 기능</t>
  </si>
  <si>
    <t>계산정정처리</t>
  </si>
  <si>
    <t>계산 정정(결제 중 취소)</t>
  </si>
  <si>
    <t>점간미이행안내</t>
  </si>
  <si>
    <t>점간이동이행 여부 체크</t>
  </si>
  <si>
    <t>영업관리시스템 로그인페이지 호출</t>
  </si>
  <si>
    <t>매출조회</t>
  </si>
  <si>
    <t>고객센터 조회</t>
  </si>
  <si>
    <t>공지사항</t>
  </si>
  <si>
    <t>공지(긴급/일반)</t>
  </si>
  <si>
    <t>매뉴얼</t>
  </si>
  <si>
    <t>기준정보 재수신</t>
  </si>
  <si>
    <t>영수증</t>
  </si>
  <si>
    <t>영수증조회</t>
  </si>
  <si>
    <t>영수증 조회</t>
  </si>
  <si>
    <t>영수증 재출력</t>
  </si>
  <si>
    <t>간이 영수증 출력</t>
  </si>
  <si>
    <t>영수증 이벤트</t>
  </si>
  <si>
    <t>영수증 복사</t>
  </si>
  <si>
    <t>고객 화면</t>
  </si>
  <si>
    <t>주문 상품 리스트</t>
  </si>
  <si>
    <t>할인/결제 내역</t>
  </si>
  <si>
    <t>금액 내역</t>
  </si>
  <si>
    <t>영상(이미지/동영상)</t>
  </si>
  <si>
    <t>프로그램 구분</t>
  </si>
  <si>
    <t>프로그램ID</t>
  </si>
  <si>
    <t>인터페이스ID</t>
  </si>
  <si>
    <t>배치ID</t>
  </si>
  <si>
    <t>통합 테스트</t>
  </si>
  <si>
    <t>오픈차수</t>
  </si>
  <si>
    <t>오픈일자</t>
  </si>
  <si>
    <t>로깅</t>
  </si>
  <si>
    <t>메시지</t>
  </si>
  <si>
    <t>에러처리</t>
  </si>
  <si>
    <t>알림처리</t>
  </si>
  <si>
    <t>배치데몬</t>
  </si>
  <si>
    <t>인터페이스</t>
  </si>
  <si>
    <t>로그인 후 처리</t>
  </si>
  <si>
    <t>로그아웃처리</t>
  </si>
  <si>
    <t>비밀번호 찾기 및 변경</t>
  </si>
  <si>
    <t>엑셀다운로드</t>
  </si>
  <si>
    <t>GNB</t>
  </si>
  <si>
    <t>LNB</t>
  </si>
  <si>
    <t>최근접속기록</t>
  </si>
  <si>
    <t>메인</t>
  </si>
  <si>
    <t>Front/Back</t>
  </si>
  <si>
    <t>기준정보관리</t>
  </si>
  <si>
    <t>공통코드 관리</t>
  </si>
  <si>
    <t>POS/키오스크 관리</t>
  </si>
  <si>
    <t>POS/키오스크 프로그램 관리</t>
  </si>
  <si>
    <t>POS듀얼화면 및 배너관리</t>
  </si>
  <si>
    <t>기기환경관리</t>
  </si>
  <si>
    <t>기능 마스터 관리</t>
  </si>
  <si>
    <t>계정별 (권한별 ) 마스터 관리</t>
  </si>
  <si>
    <t>PLU 마스터 관리</t>
  </si>
  <si>
    <t>브랜드별 포스기능 관리</t>
  </si>
  <si>
    <t>매장별 POS/키오스크 프로그램 관리</t>
  </si>
  <si>
    <t>명칭관리</t>
  </si>
  <si>
    <t>메세지관리</t>
  </si>
  <si>
    <t>판매관리</t>
  </si>
  <si>
    <t>매장별 장비별 정산내역 조회</t>
  </si>
  <si>
    <t>매장별 장비별 매출 조회</t>
  </si>
  <si>
    <t>시스템관리</t>
  </si>
  <si>
    <t>사용자 그룹관리</t>
  </si>
  <si>
    <t>사용자 그룹별 메뉴권한관리</t>
  </si>
  <si>
    <t>인터페이스 현황 및 재처리 관리</t>
  </si>
  <si>
    <t>공지사항 관리</t>
  </si>
  <si>
    <t>메뉴얼관리</t>
  </si>
  <si>
    <t>메뉴관리</t>
  </si>
  <si>
    <t>공지관리</t>
  </si>
  <si>
    <t>긴급배포관리</t>
  </si>
  <si>
    <t>사용자 로그 조회</t>
  </si>
  <si>
    <t>시스템 오류 현황조회</t>
  </si>
  <si>
    <t>알림 발송 내역 조회</t>
  </si>
  <si>
    <t>배치관리</t>
  </si>
  <si>
    <t>Batch</t>
  </si>
  <si>
    <t>로그 삭제</t>
  </si>
  <si>
    <t>POS-&gt;관리</t>
  </si>
  <si>
    <t>프로그램 버전체크</t>
  </si>
  <si>
    <t>I/F</t>
  </si>
  <si>
    <t>기획</t>
    <phoneticPr fontId="4" type="noConversion"/>
  </si>
  <si>
    <t>디자인</t>
    <phoneticPr fontId="4" type="noConversion"/>
  </si>
  <si>
    <t>퍼블리싱</t>
    <phoneticPr fontId="4" type="noConversion"/>
  </si>
  <si>
    <t>POS관리시스템</t>
  </si>
  <si>
    <t>POS관리시스템</t>
    <phoneticPr fontId="4" type="noConversion"/>
  </si>
  <si>
    <t>설계</t>
    <phoneticPr fontId="4" type="noConversion"/>
  </si>
  <si>
    <t>분석</t>
    <phoneticPr fontId="4" type="noConversion"/>
  </si>
  <si>
    <t>Y</t>
    <phoneticPr fontId="4" type="noConversion"/>
  </si>
  <si>
    <t>AWS API</t>
    <phoneticPr fontId="4" type="noConversion"/>
  </si>
  <si>
    <t>NA</t>
    <phoneticPr fontId="4" type="noConversion"/>
  </si>
  <si>
    <t>S</t>
    <phoneticPr fontId="4" type="noConversion"/>
  </si>
  <si>
    <t>W</t>
    <phoneticPr fontId="4" type="noConversion"/>
  </si>
  <si>
    <t>AA</t>
    <phoneticPr fontId="4" type="noConversion"/>
  </si>
  <si>
    <t>AE</t>
    <phoneticPr fontId="4" type="noConversion"/>
  </si>
  <si>
    <t>AI</t>
    <phoneticPr fontId="4" type="noConversion"/>
  </si>
  <si>
    <t>AL</t>
    <phoneticPr fontId="4" type="noConversion"/>
  </si>
  <si>
    <t>AO</t>
    <phoneticPr fontId="4" type="noConversion"/>
  </si>
  <si>
    <t>O</t>
    <phoneticPr fontId="4" type="noConversion"/>
  </si>
  <si>
    <t>POS관리</t>
  </si>
  <si>
    <t>합계</t>
    <phoneticPr fontId="4" type="noConversion"/>
  </si>
  <si>
    <t>소계</t>
    <phoneticPr fontId="4" type="noConversion"/>
  </si>
  <si>
    <t>Sheet</t>
    <phoneticPr fontId="4" type="noConversion"/>
  </si>
  <si>
    <t>키오스크</t>
    <phoneticPr fontId="4" type="noConversion"/>
  </si>
  <si>
    <t>C</t>
    <phoneticPr fontId="4" type="noConversion"/>
  </si>
  <si>
    <t>D</t>
    <phoneticPr fontId="4" type="noConversion"/>
  </si>
  <si>
    <t>모듈</t>
    <phoneticPr fontId="4" type="noConversion"/>
  </si>
  <si>
    <t>1depth</t>
    <phoneticPr fontId="4" type="noConversion"/>
  </si>
  <si>
    <t>개발/구현</t>
    <phoneticPr fontId="4" type="noConversion"/>
  </si>
  <si>
    <t>단위 테스트</t>
    <phoneticPr fontId="4" type="noConversion"/>
  </si>
  <si>
    <t>여권 스캐너 #1</t>
  </si>
  <si>
    <t>시스템</t>
    <phoneticPr fontId="4" type="noConversion"/>
  </si>
  <si>
    <t>단계</t>
    <phoneticPr fontId="4" type="noConversion"/>
  </si>
  <si>
    <t>진척율</t>
    <phoneticPr fontId="4" type="noConversion"/>
  </si>
  <si>
    <t>완료건</t>
    <phoneticPr fontId="4" type="noConversion"/>
  </si>
  <si>
    <t>전체건</t>
    <phoneticPr fontId="4" type="noConversion"/>
  </si>
  <si>
    <t>개발 친척율</t>
    <phoneticPr fontId="4" type="noConversion"/>
  </si>
  <si>
    <t>로그인</t>
    <phoneticPr fontId="4" type="noConversion"/>
  </si>
  <si>
    <t>런처</t>
    <phoneticPr fontId="4" type="noConversion"/>
  </si>
  <si>
    <t>데이터 전송</t>
    <phoneticPr fontId="4" type="noConversion"/>
  </si>
  <si>
    <t>H/W 연동</t>
    <phoneticPr fontId="4" type="noConversion"/>
  </si>
  <si>
    <t>파일 다운로드</t>
    <phoneticPr fontId="4" type="noConversion"/>
  </si>
  <si>
    <t>기준정보 수신</t>
    <phoneticPr fontId="4" type="noConversion"/>
  </si>
  <si>
    <t>주문</t>
    <phoneticPr fontId="4" type="noConversion"/>
  </si>
  <si>
    <t>할인</t>
    <phoneticPr fontId="4" type="noConversion"/>
  </si>
  <si>
    <t>결제</t>
    <phoneticPr fontId="4" type="noConversion"/>
  </si>
  <si>
    <t>회원</t>
    <phoneticPr fontId="4" type="noConversion"/>
  </si>
  <si>
    <t>정산</t>
    <phoneticPr fontId="4" type="noConversion"/>
  </si>
  <si>
    <t>반품</t>
    <phoneticPr fontId="4" type="noConversion"/>
  </si>
  <si>
    <t>부가 기능</t>
    <phoneticPr fontId="4" type="noConversion"/>
  </si>
  <si>
    <t>영수증</t>
    <phoneticPr fontId="4" type="noConversion"/>
  </si>
  <si>
    <t>고객 화면</t>
    <phoneticPr fontId="4" type="noConversion"/>
  </si>
  <si>
    <t>이벤트 관리 (後)</t>
  </si>
  <si>
    <t>배치</t>
  </si>
  <si>
    <t>프로그램 버전 갱신</t>
  </si>
  <si>
    <t>매출전송</t>
  </si>
  <si>
    <t>영수증 리스트 조회</t>
  </si>
  <si>
    <t>영수증 내역 조회</t>
  </si>
  <si>
    <t>갱신 대상 파일 체크</t>
  </si>
  <si>
    <t>관리 -&gt; 영업</t>
  </si>
  <si>
    <t>중계 -&gt; 영업</t>
  </si>
  <si>
    <t>영업-&gt;관리</t>
  </si>
  <si>
    <t>계정 및 권한내역</t>
  </si>
  <si>
    <t>관리 -&gt; POS</t>
  </si>
  <si>
    <t>AWS API</t>
  </si>
  <si>
    <t>onPremise API</t>
  </si>
  <si>
    <t>onPremise API</t>
    <phoneticPr fontId="4" type="noConversion"/>
  </si>
  <si>
    <t>공통</t>
    <phoneticPr fontId="4" type="noConversion"/>
  </si>
  <si>
    <t>공통로직</t>
    <phoneticPr fontId="4" type="noConversion"/>
  </si>
  <si>
    <t>POS관리시스템(AWS API/onPremise API) 작업일정</t>
    <phoneticPr fontId="4" type="noConversion"/>
  </si>
  <si>
    <t>POS 작업일정</t>
    <phoneticPr fontId="4" type="noConversion"/>
  </si>
  <si>
    <t>키오스크 작업일정</t>
    <phoneticPr fontId="4" type="noConversion"/>
  </si>
  <si>
    <t>Back</t>
  </si>
  <si>
    <t>KIOSK</t>
  </si>
  <si>
    <t>거래</t>
  </si>
  <si>
    <t>다국어</t>
  </si>
  <si>
    <t>거래단계</t>
  </si>
  <si>
    <t>POS</t>
  </si>
  <si>
    <t>시작</t>
  </si>
  <si>
    <t>광고</t>
  </si>
  <si>
    <t>상품구매</t>
  </si>
  <si>
    <t>제품스캔</t>
  </si>
  <si>
    <t>상품쿠폰 적용</t>
  </si>
  <si>
    <t>할인수단 적용</t>
  </si>
  <si>
    <t>결제수단 적용</t>
  </si>
  <si>
    <t>적립</t>
  </si>
  <si>
    <t>현금영수증</t>
  </si>
  <si>
    <t>현금영수증 발행</t>
  </si>
  <si>
    <t>완료</t>
  </si>
  <si>
    <t>영수증 출력</t>
  </si>
  <si>
    <t>관리자</t>
  </si>
  <si>
    <t>매출</t>
  </si>
  <si>
    <t>매출 취소</t>
  </si>
  <si>
    <t>영수증 재발행</t>
  </si>
  <si>
    <t>마감 처리</t>
  </si>
  <si>
    <t>상태 변경</t>
  </si>
  <si>
    <t>키오스크 상태 변경</t>
  </si>
  <si>
    <t>종료</t>
  </si>
  <si>
    <t>키오스크 종료</t>
  </si>
  <si>
    <t>접근성</t>
  </si>
  <si>
    <t>접근성 기능</t>
  </si>
  <si>
    <t>낮은화면</t>
  </si>
  <si>
    <t>음성안내</t>
  </si>
  <si>
    <t>고대비 화면</t>
  </si>
  <si>
    <t>화면 확대</t>
  </si>
  <si>
    <t>키패드 제어</t>
  </si>
  <si>
    <t>직원호출</t>
  </si>
  <si>
    <t>`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</si>
</sst>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0.0"/>
    <numFmt numFmtId="177" formatCode="0.0%"/>
  </numFmts>
  <fonts count="5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2"/>
      <color theme="1" tint="0.499984740745262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indexed="12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color theme="1"/>
      <name val="CJ ONLYONE NEW 본문 Light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2"/>
      <name val="宋体"/>
      <family val="3"/>
      <charset val="129"/>
    </font>
    <font>
      <sz val="11"/>
      <color theme="1"/>
      <name val="새굴림"/>
      <family val="1"/>
      <charset val="129"/>
    </font>
    <font>
      <sz val="10"/>
      <color theme="1"/>
      <name val="CJ ONLYONE NEW 본문 Light"/>
      <family val="2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theme="1"/>
      <name val="CJ ONLYONE NEW 본문 Light"/>
      <family val="2"/>
      <charset val="129"/>
    </font>
    <font>
      <sz val="10"/>
      <color theme="1"/>
      <name val="나눔고딕"/>
      <family val="2"/>
      <charset val="129"/>
    </font>
    <font>
      <sz val="11"/>
      <color rgb="FF9C57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굴림체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color theme="1"/>
      <name val="가는각진제목체"/>
      <family val="2"/>
      <charset val="129"/>
    </font>
    <font>
      <sz val="11"/>
      <color theme="1"/>
      <name val="맑은 고딕"/>
      <family val="2"/>
      <charset val="129"/>
    </font>
    <font>
      <sz val="9"/>
      <color theme="1"/>
      <name val="가는각진제목체"/>
      <family val="2"/>
      <charset val="129"/>
    </font>
    <font>
      <sz val="11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theme="0"/>
      <name val="맑은 고딕"/>
      <family val="3"/>
      <charset val="129"/>
    </font>
    <font>
      <sz val="11"/>
      <name val="맑은 고딕"/>
      <family val="3"/>
      <charset val="129"/>
    </font>
    <font>
      <b/>
      <sz val="10"/>
      <color rgb="FF00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5"/>
      <name val="맑은 고딕"/>
      <family val="3"/>
      <charset val="129"/>
    </font>
    <font>
      <b/>
      <sz val="10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 tint="0.499984740745262"/>
      <name val="HY헤드라인M"/>
      <family val="1"/>
      <charset val="129"/>
    </font>
    <font>
      <sz val="24"/>
      <name val="HY헤드라인M"/>
      <family val="1"/>
      <charset val="129"/>
    </font>
  </fonts>
  <fills count="4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000000"/>
      </patternFill>
    </fill>
  </fills>
  <borders count="47">
    <border>
      <left/>
      <right/>
      <top/>
      <bottom/>
      <diagonal/>
    </border>
    <border>
      <left style="medium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/>
      <top style="medium">
        <color indexed="23"/>
      </top>
      <bottom style="thin">
        <color indexed="23"/>
      </bottom>
      <diagonal/>
    </border>
    <border>
      <left/>
      <right style="medium">
        <color indexed="23"/>
      </right>
      <top style="medium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 style="medium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/>
      <top style="thin">
        <color indexed="23"/>
      </top>
      <bottom style="medium">
        <color indexed="23"/>
      </bottom>
      <diagonal/>
    </border>
    <border>
      <left/>
      <right style="medium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FFFFFF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</borders>
  <cellStyleXfs count="163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2" fillId="0" borderId="0">
      <alignment vertical="center"/>
    </xf>
    <xf numFmtId="0" fontId="17" fillId="0" borderId="0">
      <alignment vertical="center"/>
    </xf>
    <xf numFmtId="0" fontId="1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8" borderId="14" applyNumberFormat="0" applyAlignment="0" applyProtection="0">
      <alignment vertical="center"/>
    </xf>
    <xf numFmtId="0" fontId="22" fillId="8" borderId="14" applyNumberFormat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7" fillId="10" borderId="18" applyNumberFormat="0" applyFont="0" applyAlignment="0" applyProtection="0">
      <alignment vertical="center"/>
    </xf>
    <xf numFmtId="0" fontId="7" fillId="10" borderId="18" applyNumberFormat="0" applyFont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9" borderId="17" applyNumberFormat="0" applyAlignment="0" applyProtection="0">
      <alignment vertical="center"/>
    </xf>
    <xf numFmtId="0" fontId="28" fillId="9" borderId="17" applyNumberFormat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31" fillId="7" borderId="14" applyNumberFormat="0" applyAlignment="0" applyProtection="0">
      <alignment vertical="center"/>
    </xf>
    <xf numFmtId="0" fontId="31" fillId="7" borderId="14" applyNumberFormat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7" fillId="8" borderId="15" applyNumberFormat="0" applyAlignment="0" applyProtection="0">
      <alignment vertical="center"/>
    </xf>
    <xf numFmtId="0" fontId="37" fillId="8" borderId="15" applyNumberFormat="0" applyAlignment="0" applyProtection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29" fillId="0" borderId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0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2" fillId="0" borderId="0"/>
    <xf numFmtId="0" fontId="19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45">
    <xf numFmtId="0" fontId="0" fillId="0" borderId="0" xfId="0">
      <alignment vertical="center"/>
    </xf>
    <xf numFmtId="0" fontId="3" fillId="0" borderId="0" xfId="1" applyFont="1">
      <alignment vertical="center"/>
    </xf>
    <xf numFmtId="0" fontId="6" fillId="0" borderId="0" xfId="1" applyFont="1">
      <alignment vertical="center"/>
    </xf>
    <xf numFmtId="0" fontId="7" fillId="0" borderId="0" xfId="2" applyFont="1">
      <alignment vertical="center"/>
    </xf>
    <xf numFmtId="0" fontId="6" fillId="0" borderId="1" xfId="1" applyFont="1" applyBorder="1" applyAlignment="1">
      <alignment horizontal="center" vertical="center"/>
    </xf>
    <xf numFmtId="14" fontId="6" fillId="0" borderId="0" xfId="1" applyNumberFormat="1" applyFont="1">
      <alignment vertical="center"/>
    </xf>
    <xf numFmtId="0" fontId="8" fillId="0" borderId="0" xfId="1" applyFont="1">
      <alignment vertical="center"/>
    </xf>
    <xf numFmtId="0" fontId="6" fillId="0" borderId="4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2" borderId="0" xfId="1" applyFont="1" applyFill="1">
      <alignment vertical="center"/>
    </xf>
    <xf numFmtId="0" fontId="10" fillId="3" borderId="10" xfId="2" applyFont="1" applyFill="1" applyBorder="1" applyAlignment="1">
      <alignment horizontal="center" vertical="center" wrapText="1"/>
    </xf>
    <xf numFmtId="0" fontId="10" fillId="3" borderId="10" xfId="2" applyFont="1" applyFill="1" applyBorder="1" applyAlignment="1">
      <alignment horizontal="center" vertical="center"/>
    </xf>
    <xf numFmtId="0" fontId="8" fillId="0" borderId="10" xfId="2" applyFont="1" applyBorder="1" applyAlignment="1">
      <alignment horizontal="center" vertical="center" wrapText="1"/>
    </xf>
    <xf numFmtId="14" fontId="8" fillId="0" borderId="10" xfId="2" applyNumberFormat="1" applyFont="1" applyBorder="1" applyAlignment="1">
      <alignment horizontal="center" vertical="center" wrapText="1"/>
    </xf>
    <xf numFmtId="0" fontId="8" fillId="0" borderId="10" xfId="2" applyFont="1" applyBorder="1" applyAlignment="1">
      <alignment horizontal="justify" vertical="center" wrapText="1"/>
    </xf>
    <xf numFmtId="176" fontId="8" fillId="0" borderId="10" xfId="2" applyNumberFormat="1" applyFont="1" applyBorder="1" applyAlignment="1">
      <alignment horizontal="center" vertical="center" wrapText="1"/>
    </xf>
    <xf numFmtId="176" fontId="8" fillId="0" borderId="10" xfId="1" applyNumberFormat="1" applyFont="1" applyBorder="1" applyAlignment="1">
      <alignment horizontal="center" vertical="center" wrapText="1"/>
    </xf>
    <xf numFmtId="14" fontId="8" fillId="0" borderId="10" xfId="1" applyNumberFormat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wrapText="1"/>
    </xf>
    <xf numFmtId="0" fontId="8" fillId="0" borderId="10" xfId="2" applyFont="1" applyBorder="1" applyAlignment="1">
      <alignment horizontal="justify" vertical="center"/>
    </xf>
    <xf numFmtId="0" fontId="8" fillId="0" borderId="10" xfId="2" applyFont="1" applyBorder="1">
      <alignment vertical="center"/>
    </xf>
    <xf numFmtId="0" fontId="8" fillId="0" borderId="0" xfId="2" applyFont="1">
      <alignment vertical="center"/>
    </xf>
    <xf numFmtId="0" fontId="6" fillId="0" borderId="0" xfId="2" applyFont="1">
      <alignment vertical="center"/>
    </xf>
    <xf numFmtId="0" fontId="11" fillId="0" borderId="0" xfId="2" applyFont="1">
      <alignment vertical="center"/>
    </xf>
    <xf numFmtId="0" fontId="0" fillId="0" borderId="20" xfId="0" applyBorder="1">
      <alignment vertical="center"/>
    </xf>
    <xf numFmtId="0" fontId="16" fillId="2" borderId="10" xfId="0" applyFont="1" applyFill="1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20" xfId="0" applyBorder="1" applyAlignment="1">
      <alignment horizontal="center" vertical="center"/>
    </xf>
    <xf numFmtId="0" fontId="41" fillId="0" borderId="30" xfId="0" applyFont="1" applyBorder="1">
      <alignment vertical="center"/>
    </xf>
    <xf numFmtId="0" fontId="41" fillId="0" borderId="31" xfId="0" applyFont="1" applyBorder="1">
      <alignment vertical="center"/>
    </xf>
    <xf numFmtId="0" fontId="41" fillId="0" borderId="32" xfId="0" applyFont="1" applyBorder="1">
      <alignment vertical="center"/>
    </xf>
    <xf numFmtId="0" fontId="41" fillId="0" borderId="34" xfId="0" applyFont="1" applyBorder="1">
      <alignment vertical="center"/>
    </xf>
    <xf numFmtId="0" fontId="41" fillId="0" borderId="36" xfId="0" applyFont="1" applyBorder="1">
      <alignment vertical="center"/>
    </xf>
    <xf numFmtId="0" fontId="41" fillId="0" borderId="29" xfId="0" applyFont="1" applyBorder="1">
      <alignment vertical="center"/>
    </xf>
    <xf numFmtId="0" fontId="42" fillId="0" borderId="0" xfId="0" applyFont="1">
      <alignment vertical="center"/>
    </xf>
    <xf numFmtId="0" fontId="41" fillId="0" borderId="34" xfId="0" applyFont="1" applyBorder="1" applyAlignment="1">
      <alignment horizontal="center" vertical="center"/>
    </xf>
    <xf numFmtId="0" fontId="41" fillId="0" borderId="36" xfId="0" applyFont="1" applyBorder="1" applyAlignment="1">
      <alignment horizontal="center" vertical="center"/>
    </xf>
    <xf numFmtId="0" fontId="41" fillId="0" borderId="32" xfId="0" applyFont="1" applyBorder="1" applyAlignment="1">
      <alignment horizontal="center" vertical="center"/>
    </xf>
    <xf numFmtId="0" fontId="41" fillId="0" borderId="29" xfId="0" applyFont="1" applyBorder="1" applyAlignment="1">
      <alignment horizontal="center" vertical="center"/>
    </xf>
    <xf numFmtId="0" fontId="43" fillId="37" borderId="37" xfId="0" applyFont="1" applyFill="1" applyBorder="1" applyAlignment="1">
      <alignment horizontal="center" vertical="center"/>
    </xf>
    <xf numFmtId="0" fontId="43" fillId="37" borderId="38" xfId="0" applyFont="1" applyFill="1" applyBorder="1" applyAlignment="1">
      <alignment horizontal="center" vertical="center"/>
    </xf>
    <xf numFmtId="0" fontId="43" fillId="37" borderId="39" xfId="0" applyFont="1" applyFill="1" applyBorder="1" applyAlignment="1">
      <alignment horizontal="center" vertical="center"/>
    </xf>
    <xf numFmtId="0" fontId="41" fillId="0" borderId="10" xfId="0" applyFont="1" applyBorder="1" applyAlignment="1">
      <alignment horizontal="center" vertical="center"/>
    </xf>
    <xf numFmtId="0" fontId="41" fillId="0" borderId="32" xfId="0" applyFont="1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44" fillId="0" borderId="22" xfId="0" applyFont="1" applyBorder="1">
      <alignment vertical="center"/>
    </xf>
    <xf numFmtId="0" fontId="44" fillId="0" borderId="10" xfId="0" applyFont="1" applyBorder="1" applyAlignment="1">
      <alignment vertical="center" wrapText="1"/>
    </xf>
    <xf numFmtId="0" fontId="44" fillId="0" borderId="22" xfId="0" applyFont="1" applyBorder="1" applyAlignment="1">
      <alignment vertical="center" wrapText="1"/>
    </xf>
    <xf numFmtId="0" fontId="44" fillId="0" borderId="10" xfId="0" applyFont="1" applyBorder="1">
      <alignment vertical="center"/>
    </xf>
    <xf numFmtId="0" fontId="45" fillId="0" borderId="10" xfId="0" applyFont="1" applyBorder="1" applyAlignment="1">
      <alignment vertical="center" wrapText="1"/>
    </xf>
    <xf numFmtId="0" fontId="45" fillId="0" borderId="10" xfId="0" applyFont="1" applyBorder="1">
      <alignment vertical="center"/>
    </xf>
    <xf numFmtId="0" fontId="45" fillId="0" borderId="23" xfId="0" applyFont="1" applyBorder="1" applyAlignment="1">
      <alignment vertical="center" wrapText="1"/>
    </xf>
    <xf numFmtId="0" fontId="44" fillId="0" borderId="21" xfId="0" applyFont="1" applyBorder="1">
      <alignment vertical="center"/>
    </xf>
    <xf numFmtId="0" fontId="44" fillId="0" borderId="21" xfId="0" applyFont="1" applyBorder="1" applyAlignment="1">
      <alignment vertical="center" wrapText="1"/>
    </xf>
    <xf numFmtId="0" fontId="45" fillId="0" borderId="23" xfId="0" applyFont="1" applyBorder="1">
      <alignment vertical="center"/>
    </xf>
    <xf numFmtId="0" fontId="15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41" fillId="0" borderId="39" xfId="0" applyFont="1" applyBorder="1" applyAlignment="1">
      <alignment horizontal="center" vertical="center"/>
    </xf>
    <xf numFmtId="0" fontId="41" fillId="0" borderId="37" xfId="0" applyFont="1" applyBorder="1" applyAlignment="1">
      <alignment horizontal="center" vertical="center"/>
    </xf>
    <xf numFmtId="0" fontId="41" fillId="0" borderId="38" xfId="0" applyFont="1" applyBorder="1" applyAlignment="1">
      <alignment horizontal="center" vertical="center"/>
    </xf>
    <xf numFmtId="0" fontId="48" fillId="39" borderId="10" xfId="0" applyFont="1" applyFill="1" applyBorder="1">
      <alignment vertical="center"/>
    </xf>
    <xf numFmtId="177" fontId="48" fillId="35" borderId="10" xfId="162" applyNumberFormat="1" applyFont="1" applyFill="1" applyBorder="1" applyAlignment="1">
      <alignment horizontal="center" vertical="center"/>
    </xf>
    <xf numFmtId="0" fontId="15" fillId="35" borderId="10" xfId="0" applyFont="1" applyFill="1" applyBorder="1" applyAlignment="1">
      <alignment horizontal="center" vertical="center"/>
    </xf>
    <xf numFmtId="177" fontId="48" fillId="39" borderId="10" xfId="162" applyNumberFormat="1" applyFont="1" applyFill="1" applyBorder="1" applyAlignment="1">
      <alignment horizontal="center" vertical="center"/>
    </xf>
    <xf numFmtId="0" fontId="15" fillId="39" borderId="10" xfId="0" applyFont="1" applyFill="1" applyBorder="1" applyAlignment="1">
      <alignment horizontal="center" vertical="center"/>
    </xf>
    <xf numFmtId="177" fontId="46" fillId="2" borderId="10" xfId="162" applyNumberFormat="1" applyFont="1" applyFill="1" applyBorder="1" applyAlignment="1">
      <alignment horizontal="center" vertical="center"/>
    </xf>
    <xf numFmtId="177" fontId="46" fillId="38" borderId="10" xfId="162" applyNumberFormat="1" applyFont="1" applyFill="1" applyBorder="1" applyAlignment="1">
      <alignment horizontal="center" vertical="center"/>
    </xf>
    <xf numFmtId="0" fontId="16" fillId="38" borderId="10" xfId="0" applyFont="1" applyFill="1" applyBorder="1" applyAlignment="1">
      <alignment horizontal="center" vertical="center"/>
    </xf>
    <xf numFmtId="0" fontId="16" fillId="40" borderId="35" xfId="0" applyFont="1" applyFill="1" applyBorder="1" applyAlignment="1">
      <alignment horizontal="center" vertical="center"/>
    </xf>
    <xf numFmtId="0" fontId="16" fillId="40" borderId="26" xfId="0" applyFont="1" applyFill="1" applyBorder="1">
      <alignment vertical="center"/>
    </xf>
    <xf numFmtId="177" fontId="46" fillId="40" borderId="10" xfId="162" applyNumberFormat="1" applyFont="1" applyFill="1" applyBorder="1" applyAlignment="1">
      <alignment horizontal="center" vertical="center"/>
    </xf>
    <xf numFmtId="0" fontId="16" fillId="40" borderId="10" xfId="0" applyFont="1" applyFill="1" applyBorder="1" applyAlignment="1">
      <alignment horizontal="center" vertical="center"/>
    </xf>
    <xf numFmtId="0" fontId="47" fillId="38" borderId="26" xfId="0" applyFont="1" applyFill="1" applyBorder="1" applyAlignment="1" applyProtection="1">
      <alignment horizontal="center" vertical="top"/>
      <protection locked="0"/>
    </xf>
    <xf numFmtId="0" fontId="48" fillId="41" borderId="10" xfId="0" applyFont="1" applyFill="1" applyBorder="1" applyAlignment="1">
      <alignment horizontal="center" vertical="center"/>
    </xf>
    <xf numFmtId="0" fontId="41" fillId="0" borderId="40" xfId="0" applyFont="1" applyBorder="1" applyAlignment="1">
      <alignment horizontal="center" vertical="center"/>
    </xf>
    <xf numFmtId="0" fontId="41" fillId="0" borderId="42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45" fillId="0" borderId="26" xfId="0" applyFont="1" applyBorder="1">
      <alignment vertical="center"/>
    </xf>
    <xf numFmtId="0" fontId="49" fillId="0" borderId="0" xfId="0" applyFont="1">
      <alignment vertical="center"/>
    </xf>
    <xf numFmtId="0" fontId="45" fillId="0" borderId="0" xfId="0" applyFont="1" applyAlignment="1">
      <alignment vertical="center" wrapText="1"/>
    </xf>
    <xf numFmtId="0" fontId="45" fillId="0" borderId="0" xfId="0" applyFont="1">
      <alignment vertical="center"/>
    </xf>
    <xf numFmtId="0" fontId="51" fillId="0" borderId="0" xfId="0" applyFont="1">
      <alignment vertical="center"/>
    </xf>
    <xf numFmtId="0" fontId="51" fillId="0" borderId="0" xfId="0" applyFont="1" applyAlignment="1">
      <alignment vertical="center" wrapText="1"/>
    </xf>
    <xf numFmtId="0" fontId="52" fillId="0" borderId="0" xfId="0" applyFont="1">
      <alignment vertical="center"/>
    </xf>
    <xf numFmtId="0" fontId="45" fillId="0" borderId="45" xfId="0" applyFont="1" applyBorder="1" applyAlignment="1">
      <alignment horizontal="center" vertical="center"/>
    </xf>
    <xf numFmtId="0" fontId="44" fillId="0" borderId="22" xfId="0" applyFont="1" applyBorder="1" applyAlignment="1">
      <alignment horizontal="center" vertical="center"/>
    </xf>
    <xf numFmtId="0" fontId="44" fillId="0" borderId="45" xfId="0" applyFont="1" applyBorder="1" applyAlignment="1">
      <alignment horizontal="center" vertical="center" wrapText="1"/>
    </xf>
    <xf numFmtId="0" fontId="44" fillId="0" borderId="22" xfId="0" applyFont="1" applyBorder="1" applyAlignment="1">
      <alignment horizontal="center" vertical="center" wrapText="1"/>
    </xf>
    <xf numFmtId="0" fontId="44" fillId="0" borderId="21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45" fillId="0" borderId="23" xfId="0" applyFont="1" applyBorder="1" applyAlignment="1">
      <alignment horizontal="center" vertical="center" wrapText="1"/>
    </xf>
    <xf numFmtId="0" fontId="45" fillId="0" borderId="22" xfId="0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44" fillId="0" borderId="21" xfId="0" applyFont="1" applyBorder="1" applyAlignment="1">
      <alignment horizontal="center" vertical="center"/>
    </xf>
    <xf numFmtId="0" fontId="0" fillId="0" borderId="43" xfId="0" applyBorder="1">
      <alignment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41" fillId="0" borderId="29" xfId="0" applyFont="1" applyBorder="1" applyAlignment="1">
      <alignment horizontal="center" vertical="center"/>
    </xf>
    <xf numFmtId="0" fontId="44" fillId="0" borderId="10" xfId="0" applyFont="1" applyBorder="1" applyAlignment="1">
      <alignment vertical="center" wrapText="1"/>
    </xf>
    <xf numFmtId="0" fontId="45" fillId="0" borderId="26" xfId="0" applyFont="1" applyBorder="1">
      <alignment vertical="center"/>
    </xf>
    <xf numFmtId="0" fontId="41" fillId="0" borderId="29" xfId="0" applyFont="1" applyBorder="1" applyAlignment="1">
      <alignment horizontal="center" vertical="center"/>
    </xf>
    <xf numFmtId="0" fontId="44" fillId="0" borderId="10" xfId="0" applyFont="1" applyBorder="1" applyAlignment="1">
      <alignment vertical="center" wrapText="1"/>
    </xf>
    <xf numFmtId="0" fontId="45" fillId="0" borderId="10" xfId="0" applyFont="1" applyBorder="1" applyAlignment="1">
      <alignment vertical="center" wrapText="1"/>
    </xf>
    <xf numFmtId="0" fontId="45" fillId="0" borderId="10" xfId="0" applyFont="1" applyBorder="1">
      <alignment vertical="center"/>
    </xf>
    <xf numFmtId="0" fontId="45" fillId="0" borderId="23" xfId="0" applyFont="1" applyBorder="1" applyAlignment="1">
      <alignment vertical="center" wrapText="1"/>
    </xf>
    <xf numFmtId="0" fontId="45" fillId="0" borderId="26" xfId="0" applyFont="1" applyBorder="1">
      <alignment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14" fontId="6" fillId="0" borderId="5" xfId="1" applyNumberFormat="1" applyFont="1" applyBorder="1" applyAlignment="1">
      <alignment horizontal="center" vertical="center"/>
    </xf>
    <xf numFmtId="14" fontId="6" fillId="0" borderId="6" xfId="1" applyNumberFormat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16" fillId="40" borderId="40" xfId="0" applyFont="1" applyFill="1" applyBorder="1" applyAlignment="1">
      <alignment horizontal="center" vertical="center"/>
    </xf>
    <xf numFmtId="0" fontId="47" fillId="38" borderId="40" xfId="0" applyFont="1" applyFill="1" applyBorder="1" applyAlignment="1">
      <alignment horizontal="center" vertical="center" wrapText="1"/>
    </xf>
    <xf numFmtId="0" fontId="47" fillId="40" borderId="35" xfId="0" applyFont="1" applyFill="1" applyBorder="1" applyAlignment="1">
      <alignment horizontal="center" vertical="center" wrapText="1"/>
    </xf>
    <xf numFmtId="0" fontId="47" fillId="40" borderId="26" xfId="0" applyFont="1" applyFill="1" applyBorder="1" applyAlignment="1">
      <alignment horizontal="center" vertical="center" wrapText="1"/>
    </xf>
    <xf numFmtId="0" fontId="47" fillId="38" borderId="27" xfId="0" applyFont="1" applyFill="1" applyBorder="1" applyAlignment="1">
      <alignment horizontal="center" vertical="center" wrapText="1"/>
    </xf>
    <xf numFmtId="0" fontId="47" fillId="38" borderId="28" xfId="0" applyFont="1" applyFill="1" applyBorder="1" applyAlignment="1">
      <alignment horizontal="center" vertical="center" wrapText="1"/>
    </xf>
    <xf numFmtId="0" fontId="47" fillId="38" borderId="41" xfId="0" applyFont="1" applyFill="1" applyBorder="1" applyAlignment="1">
      <alignment horizontal="center" vertical="center" wrapText="1"/>
    </xf>
    <xf numFmtId="0" fontId="16" fillId="40" borderId="27" xfId="0" applyFont="1" applyFill="1" applyBorder="1" applyAlignment="1">
      <alignment horizontal="center" vertical="center"/>
    </xf>
    <xf numFmtId="0" fontId="16" fillId="40" borderId="28" xfId="0" applyFont="1" applyFill="1" applyBorder="1" applyAlignment="1">
      <alignment horizontal="center" vertical="center"/>
    </xf>
    <xf numFmtId="0" fontId="16" fillId="40" borderId="41" xfId="0" applyFont="1" applyFill="1" applyBorder="1" applyAlignment="1">
      <alignment horizontal="center" vertical="center"/>
    </xf>
    <xf numFmtId="0" fontId="16" fillId="2" borderId="27" xfId="0" applyFont="1" applyFill="1" applyBorder="1" applyAlignment="1">
      <alignment horizontal="center" vertical="center"/>
    </xf>
    <xf numFmtId="0" fontId="16" fillId="2" borderId="28" xfId="0" applyFont="1" applyFill="1" applyBorder="1" applyAlignment="1">
      <alignment horizontal="center" vertical="center"/>
    </xf>
    <xf numFmtId="0" fontId="16" fillId="2" borderId="41" xfId="0" applyFont="1" applyFill="1" applyBorder="1" applyAlignment="1">
      <alignment horizontal="center" vertical="center"/>
    </xf>
    <xf numFmtId="0" fontId="47" fillId="2" borderId="35" xfId="0" applyFont="1" applyFill="1" applyBorder="1" applyAlignment="1">
      <alignment horizontal="center" vertical="center" wrapText="1"/>
    </xf>
    <xf numFmtId="0" fontId="47" fillId="2" borderId="26" xfId="0" applyFont="1" applyFill="1" applyBorder="1" applyAlignment="1">
      <alignment horizontal="center" vertical="center" wrapText="1"/>
    </xf>
    <xf numFmtId="0" fontId="43" fillId="36" borderId="23" xfId="0" applyFont="1" applyFill="1" applyBorder="1" applyAlignment="1">
      <alignment horizontal="center" vertical="center"/>
    </xf>
    <xf numFmtId="0" fontId="43" fillId="36" borderId="21" xfId="0" applyFont="1" applyFill="1" applyBorder="1" applyAlignment="1">
      <alignment horizontal="center" vertical="center"/>
    </xf>
    <xf numFmtId="0" fontId="43" fillId="36" borderId="35" xfId="0" applyFont="1" applyFill="1" applyBorder="1" applyAlignment="1">
      <alignment horizontal="center" vertical="center"/>
    </xf>
    <xf numFmtId="0" fontId="43" fillId="36" borderId="26" xfId="0" applyFont="1" applyFill="1" applyBorder="1" applyAlignment="1">
      <alignment horizontal="center" vertical="center"/>
    </xf>
    <xf numFmtId="0" fontId="43" fillId="36" borderId="40" xfId="0" applyFont="1" applyFill="1" applyBorder="1" applyAlignment="1">
      <alignment horizontal="center" vertical="center"/>
    </xf>
    <xf numFmtId="0" fontId="50" fillId="36" borderId="10" xfId="0" applyFont="1" applyFill="1" applyBorder="1" applyAlignment="1">
      <alignment horizontal="center" vertical="center"/>
    </xf>
    <xf numFmtId="0" fontId="50" fillId="36" borderId="10" xfId="0" applyFont="1" applyFill="1" applyBorder="1" applyAlignment="1">
      <alignment horizontal="center" vertical="center" wrapText="1"/>
    </xf>
    <xf numFmtId="0" fontId="43" fillId="36" borderId="33" xfId="0" applyFont="1" applyFill="1" applyBorder="1" applyAlignment="1">
      <alignment horizontal="center" vertical="center"/>
    </xf>
    <xf numFmtId="0" fontId="43" fillId="36" borderId="29" xfId="0" applyFont="1" applyFill="1" applyBorder="1" applyAlignment="1">
      <alignment horizontal="center" vertical="center"/>
    </xf>
    <xf numFmtId="0" fontId="43" fillId="36" borderId="10" xfId="0" applyFont="1" applyFill="1" applyBorder="1" applyAlignment="1">
      <alignment horizontal="center" vertical="center"/>
    </xf>
    <xf numFmtId="0" fontId="43" fillId="36" borderId="23" xfId="0" applyFont="1" applyFill="1" applyBorder="1" applyAlignment="1">
      <alignment horizontal="center" vertical="center" wrapText="1"/>
    </xf>
    <xf numFmtId="0" fontId="43" fillId="36" borderId="21" xfId="0" applyFont="1" applyFill="1" applyBorder="1" applyAlignment="1">
      <alignment horizontal="center" vertical="center" wrapText="1"/>
    </xf>
    <xf numFmtId="0" fontId="53" fillId="0" borderId="0" xfId="1" applyFont="1">
      <alignment vertical="center"/>
    </xf>
    <xf numFmtId="0" fontId="54" fillId="0" borderId="0" xfId="1" applyFont="1">
      <alignment vertical="center"/>
    </xf>
  </cellXfs>
  <cellStyles count="163">
    <cellStyle name="20% - 강조색1 2" xfId="33"/>
    <cellStyle name="20% - 강조색1 3" xfId="34"/>
    <cellStyle name="20% - 강조색2 2" xfId="35"/>
    <cellStyle name="20% - 강조색2 3" xfId="36"/>
    <cellStyle name="20% - 강조색3 2" xfId="37"/>
    <cellStyle name="20% - 강조색3 3" xfId="38"/>
    <cellStyle name="20% - 강조색4 2" xfId="39"/>
    <cellStyle name="20% - 강조색4 3" xfId="40"/>
    <cellStyle name="20% - 강조색5 2" xfId="41"/>
    <cellStyle name="20% - 강조색5 3" xfId="42"/>
    <cellStyle name="20% - 강조색6 2" xfId="43"/>
    <cellStyle name="20% - 강조색6 3" xfId="44"/>
    <cellStyle name="40% - 강조색1 2" xfId="45"/>
    <cellStyle name="40% - 강조색1 3" xfId="46"/>
    <cellStyle name="40% - 강조색2 2" xfId="47"/>
    <cellStyle name="40% - 강조색2 3" xfId="48"/>
    <cellStyle name="40% - 강조색3 2" xfId="49"/>
    <cellStyle name="40% - 강조색3 3" xfId="50"/>
    <cellStyle name="40% - 강조색4 2" xfId="51"/>
    <cellStyle name="40% - 강조색4 3" xfId="52"/>
    <cellStyle name="40% - 강조색5 2" xfId="53"/>
    <cellStyle name="40% - 강조색5 3" xfId="54"/>
    <cellStyle name="40% - 강조색6 2" xfId="55"/>
    <cellStyle name="40% - 강조색6 3" xfId="56"/>
    <cellStyle name="60% - 강조색1 2" xfId="57"/>
    <cellStyle name="60% - 강조색1 3" xfId="58"/>
    <cellStyle name="60% - 강조색2 2" xfId="59"/>
    <cellStyle name="60% - 강조색2 3" xfId="60"/>
    <cellStyle name="60% - 강조색3 2" xfId="61"/>
    <cellStyle name="60% - 강조색3 3" xfId="62"/>
    <cellStyle name="60% - 강조색4 2" xfId="63"/>
    <cellStyle name="60% - 강조색4 3" xfId="64"/>
    <cellStyle name="60% - 강조색5 2" xfId="65"/>
    <cellStyle name="60% - 강조색5 3" xfId="66"/>
    <cellStyle name="60% - 강조색6 2" xfId="67"/>
    <cellStyle name="60% - 강조색6 3" xfId="68"/>
    <cellStyle name="강조색1 2" xfId="69"/>
    <cellStyle name="강조색1 3" xfId="70"/>
    <cellStyle name="강조색2 2" xfId="71"/>
    <cellStyle name="강조색2 3" xfId="72"/>
    <cellStyle name="강조색3 2" xfId="73"/>
    <cellStyle name="강조색3 3" xfId="74"/>
    <cellStyle name="강조색4 2" xfId="75"/>
    <cellStyle name="강조색4 3" xfId="76"/>
    <cellStyle name="강조색5 2" xfId="77"/>
    <cellStyle name="강조색5 3" xfId="78"/>
    <cellStyle name="강조색6 2" xfId="79"/>
    <cellStyle name="강조색6 3" xfId="80"/>
    <cellStyle name="경고문 2" xfId="81"/>
    <cellStyle name="경고문 3" xfId="82"/>
    <cellStyle name="계산 2" xfId="83"/>
    <cellStyle name="계산 3" xfId="84"/>
    <cellStyle name="나쁨 2" xfId="85"/>
    <cellStyle name="나쁨 3" xfId="86"/>
    <cellStyle name="메모 2" xfId="87"/>
    <cellStyle name="메모 3" xfId="88"/>
    <cellStyle name="백분율" xfId="162" builtinId="5"/>
    <cellStyle name="백분율 2" xfId="9"/>
    <cellStyle name="백분율 2 2" xfId="90"/>
    <cellStyle name="백분율 2 3" xfId="151"/>
    <cellStyle name="백분율 2 4" xfId="89"/>
    <cellStyle name="백분율 2 5" xfId="13"/>
    <cellStyle name="백분율 3" xfId="14"/>
    <cellStyle name="백분율 3 2" xfId="152"/>
    <cellStyle name="백분율 3 3" xfId="156"/>
    <cellStyle name="백분율 3 4" xfId="91"/>
    <cellStyle name="백분율 4" xfId="92"/>
    <cellStyle name="백분율 5" xfId="93"/>
    <cellStyle name="백분율 6" xfId="94"/>
    <cellStyle name="보통 2" xfId="95"/>
    <cellStyle name="보통 3" xfId="96"/>
    <cellStyle name="설명 텍스트 2" xfId="97"/>
    <cellStyle name="설명 텍스트 3" xfId="98"/>
    <cellStyle name="셀 확인 2" xfId="99"/>
    <cellStyle name="셀 확인 3" xfId="100"/>
    <cellStyle name="쉼표 [0] 2" xfId="15"/>
    <cellStyle name="쉼표 [0] 2 2" xfId="102"/>
    <cellStyle name="쉼표 [0] 2 3" xfId="153"/>
    <cellStyle name="쉼표 [0] 2 30" xfId="103"/>
    <cellStyle name="쉼표 [0] 2 4" xfId="104"/>
    <cellStyle name="쉼표 [0] 2 5" xfId="101"/>
    <cellStyle name="쉼표 [0] 3" xfId="105"/>
    <cellStyle name="쉼표 [0] 3 2" xfId="106"/>
    <cellStyle name="쉼표 [0] 4" xfId="107"/>
    <cellStyle name="쉼표 [0] 5" xfId="108"/>
    <cellStyle name="쉼표 [0] 6" xfId="109"/>
    <cellStyle name="쉼표 [0] 7" xfId="32"/>
    <cellStyle name="연결된 셀 2" xfId="110"/>
    <cellStyle name="연결된 셀 3" xfId="111"/>
    <cellStyle name="요약 2" xfId="112"/>
    <cellStyle name="요약 3" xfId="113"/>
    <cellStyle name="입력 2" xfId="114"/>
    <cellStyle name="입력 3" xfId="115"/>
    <cellStyle name="제목 1 2" xfId="116"/>
    <cellStyle name="제목 1 3" xfId="117"/>
    <cellStyle name="제목 2 2" xfId="118"/>
    <cellStyle name="제목 2 3" xfId="119"/>
    <cellStyle name="제목 3 2" xfId="120"/>
    <cellStyle name="제목 3 3" xfId="121"/>
    <cellStyle name="제목 4 2" xfId="122"/>
    <cellStyle name="제목 4 3" xfId="123"/>
    <cellStyle name="제목 5" xfId="124"/>
    <cellStyle name="제목 6" xfId="125"/>
    <cellStyle name="좋음 2" xfId="126"/>
    <cellStyle name="좋음 3" xfId="127"/>
    <cellStyle name="출력 2" xfId="128"/>
    <cellStyle name="출력 3" xfId="129"/>
    <cellStyle name="표준" xfId="0" builtinId="0"/>
    <cellStyle name="표준 10" xfId="31"/>
    <cellStyle name="표준 10 10" xfId="16"/>
    <cellStyle name="표준 10 14 3" xfId="17"/>
    <cellStyle name="표준 10 2 2 3 6" xfId="130"/>
    <cellStyle name="표준 100 2" xfId="18"/>
    <cellStyle name="표준 174" xfId="131"/>
    <cellStyle name="표준 174 2" xfId="157"/>
    <cellStyle name="표준 19 6" xfId="19"/>
    <cellStyle name="표준 196" xfId="132"/>
    <cellStyle name="표준 2" xfId="3"/>
    <cellStyle name="표준 2 10 2" xfId="20"/>
    <cellStyle name="표준 2 10 2 2" xfId="154"/>
    <cellStyle name="표준 2 10 2 3" xfId="134"/>
    <cellStyle name="표준 2 12" xfId="135"/>
    <cellStyle name="표준 2 2" xfId="1"/>
    <cellStyle name="표준 2 2 2" xfId="7"/>
    <cellStyle name="표준 2 2 2 2" xfId="155"/>
    <cellStyle name="표준 2 2 2 3" xfId="136"/>
    <cellStyle name="표준 2 2 2 4" xfId="21"/>
    <cellStyle name="표준 2 3" xfId="4"/>
    <cellStyle name="표준 2 3 2" xfId="137"/>
    <cellStyle name="표준 2 3 2 2" xfId="161"/>
    <cellStyle name="표준 2 4" xfId="138"/>
    <cellStyle name="표준 2 5" xfId="133"/>
    <cellStyle name="표준 218" xfId="139"/>
    <cellStyle name="표준 218 2" xfId="158"/>
    <cellStyle name="표준 3" xfId="2"/>
    <cellStyle name="표준 3 2" xfId="6"/>
    <cellStyle name="표준 3 2 2" xfId="23"/>
    <cellStyle name="표준 3 2 3" xfId="24"/>
    <cellStyle name="표준 3 2 4" xfId="22"/>
    <cellStyle name="표준 3 3" xfId="141"/>
    <cellStyle name="표준 3 4" xfId="149"/>
    <cellStyle name="표준 3 5" xfId="140"/>
    <cellStyle name="표준 3 6" xfId="10"/>
    <cellStyle name="표준 33" xfId="28"/>
    <cellStyle name="표준 4" xfId="8"/>
    <cellStyle name="표준 4 2" xfId="25"/>
    <cellStyle name="표준 4 3" xfId="148"/>
    <cellStyle name="표준 4 4" xfId="142"/>
    <cellStyle name="표준 5" xfId="11"/>
    <cellStyle name="표준 5 15" xfId="26"/>
    <cellStyle name="표준 5 2" xfId="150"/>
    <cellStyle name="표준 5 3" xfId="159"/>
    <cellStyle name="표준 5 4" xfId="143"/>
    <cellStyle name="표준 6" xfId="5"/>
    <cellStyle name="표준 6 2" xfId="144"/>
    <cellStyle name="표준 7" xfId="147"/>
    <cellStyle name="표준 7 2" xfId="160"/>
    <cellStyle name="표준 8" xfId="12"/>
    <cellStyle name="표준 9" xfId="27"/>
    <cellStyle name="표준 9 2" xfId="29"/>
    <cellStyle name="표준 9 2 2" xfId="146"/>
    <cellStyle name="표준 9 3" xfId="30"/>
    <cellStyle name="표준 9 3 2" xfId="145"/>
  </cellStyles>
  <dxfs count="101"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11</xdr:row>
      <xdr:rowOff>142875</xdr:rowOff>
    </xdr:from>
    <xdr:to>
      <xdr:col>15</xdr:col>
      <xdr:colOff>609600</xdr:colOff>
      <xdr:row>29</xdr:row>
      <xdr:rowOff>28575</xdr:rowOff>
    </xdr:to>
    <xdr:pic>
      <xdr:nvPicPr>
        <xdr:cNvPr id="2" name="Picture 8" descr="logo">
          <a:extLst>
            <a:ext uri="{FF2B5EF4-FFF2-40B4-BE49-F238E27FC236}">
              <a16:creationId xmlns:a16="http://schemas.microsoft.com/office/drawing/2014/main" id="{40C92F57-A90B-4F5C-A81C-DA5607161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840355"/>
          <a:ext cx="9825990" cy="3863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378199</xdr:colOff>
      <xdr:row>26</xdr:row>
      <xdr:rowOff>47624</xdr:rowOff>
    </xdr:from>
    <xdr:to>
      <xdr:col>12</xdr:col>
      <xdr:colOff>409575</xdr:colOff>
      <xdr:row>30</xdr:row>
      <xdr:rowOff>25774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FD469B96-979A-44D7-8515-A6D75314384D}"/>
            </a:ext>
          </a:extLst>
        </xdr:cNvPr>
        <xdr:cNvSpPr txBox="1">
          <a:spLocks noChangeArrowheads="1"/>
        </xdr:cNvSpPr>
      </xdr:nvSpPr>
      <xdr:spPr bwMode="auto">
        <a:xfrm>
          <a:off x="1749799" y="6059804"/>
          <a:ext cx="5875916" cy="8620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+mn-ea"/>
              <a:ea typeface="+mn-ea"/>
            </a:rPr>
            <a:t>CJ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+mn-ea"/>
              <a:ea typeface="+mn-ea"/>
            </a:rPr>
            <a:t>올리브네트웍스의 사전 승인 없이 본 내용의 전부 또는 일부에 대한 복사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+mn-ea"/>
              <a:ea typeface="+mn-ea"/>
            </a:rPr>
            <a:t>,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+mn-ea"/>
              <a:ea typeface="+mn-ea"/>
            </a:rPr>
            <a:t>전재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+mn-ea"/>
              <a:ea typeface="+mn-ea"/>
            </a:rPr>
            <a:t>,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+mn-ea"/>
              <a:ea typeface="+mn-ea"/>
            </a:rPr>
            <a:t>배포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+mn-ea"/>
              <a:ea typeface="+mn-ea"/>
            </a:rPr>
            <a:t>,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+mn-ea"/>
              <a:ea typeface="+mn-ea"/>
            </a:rPr>
            <a:t>사용을 금합니다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+mn-ea"/>
              <a:ea typeface="+mn-ea"/>
            </a:rPr>
            <a:t>.</a:t>
          </a:r>
        </a:p>
      </xdr:txBody>
    </xdr:sp>
    <xdr:clientData/>
  </xdr:twoCellAnchor>
  <xdr:twoCellAnchor editAs="oneCell">
    <xdr:from>
      <xdr:col>12</xdr:col>
      <xdr:colOff>676275</xdr:colOff>
      <xdr:row>25</xdr:row>
      <xdr:rowOff>28575</xdr:rowOff>
    </xdr:from>
    <xdr:to>
      <xdr:col>15</xdr:col>
      <xdr:colOff>257175</xdr:colOff>
      <xdr:row>27</xdr:row>
      <xdr:rowOff>142875</xdr:rowOff>
    </xdr:to>
    <xdr:pic>
      <xdr:nvPicPr>
        <xdr:cNvPr id="4" name="그림 1">
          <a:extLst>
            <a:ext uri="{FF2B5EF4-FFF2-40B4-BE49-F238E27FC236}">
              <a16:creationId xmlns:a16="http://schemas.microsoft.com/office/drawing/2014/main" id="{1AE37988-6CBB-47A5-9746-1E4A8C970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2415" y="5819775"/>
          <a:ext cx="1638300" cy="556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51068;&#51221;&#49688;&#47549;/(&#50577;&#49885;)SSTS-PP-29-WBS(V1.0)_&#47112;&#51060;&#48660;&#51228;&#4414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개정이력"/>
      <sheetName val="Schedule"/>
      <sheetName val="(참조)"/>
      <sheetName val="Progress"/>
      <sheetName val="AnalysisReport"/>
      <sheetName val="Calendar"/>
      <sheetName val="TranslatedLanguages"/>
      <sheetName val="Workload"/>
      <sheetName val="Help"/>
      <sheetName val="Sett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35"/>
  <sheetViews>
    <sheetView showGridLines="0" topLeftCell="B1" workbookViewId="0">
      <selection activeCell="Q11" sqref="Q11"/>
    </sheetView>
  </sheetViews>
  <sheetFormatPr defaultColWidth="9" defaultRowHeight="17.399999999999999"/>
  <cols>
    <col min="1" max="3" width="9" style="3"/>
    <col min="4" max="4" width="1.19921875" style="3" customWidth="1"/>
    <col min="5" max="5" width="3.5" style="3" customWidth="1"/>
    <col min="6" max="16384" width="9" style="3"/>
  </cols>
  <sheetData>
    <row r="1" spans="1:16" ht="19.2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6" ht="18" thickBot="1">
      <c r="A2" s="2"/>
      <c r="B2" s="2"/>
      <c r="C2" s="2"/>
      <c r="D2" s="2"/>
      <c r="E2" s="2"/>
      <c r="F2" s="2"/>
      <c r="G2" s="2"/>
      <c r="H2" s="2"/>
      <c r="I2" s="2"/>
      <c r="J2" s="2"/>
      <c r="N2" s="2"/>
      <c r="O2" s="2"/>
      <c r="P2" s="2"/>
    </row>
    <row r="3" spans="1:16">
      <c r="A3" s="2"/>
      <c r="B3" s="2"/>
      <c r="C3" s="2"/>
      <c r="D3" s="2"/>
      <c r="E3" s="2"/>
      <c r="F3" s="2"/>
      <c r="G3" s="2"/>
      <c r="H3" s="2"/>
      <c r="I3" s="2"/>
      <c r="J3" s="2"/>
      <c r="N3" s="4" t="s">
        <v>1</v>
      </c>
      <c r="O3" s="109" t="s">
        <v>2</v>
      </c>
      <c r="P3" s="110"/>
    </row>
    <row r="4" spans="1:16">
      <c r="A4" s="2"/>
      <c r="B4" s="5"/>
      <c r="C4" s="6"/>
      <c r="D4" s="6"/>
      <c r="E4" s="6"/>
      <c r="F4" s="2"/>
      <c r="G4" s="2"/>
      <c r="H4" s="2"/>
      <c r="I4" s="2"/>
      <c r="J4" s="2"/>
      <c r="N4" s="7" t="s">
        <v>3</v>
      </c>
      <c r="O4" s="111">
        <v>45708</v>
      </c>
      <c r="P4" s="112"/>
    </row>
    <row r="5" spans="1:16" ht="18" thickBot="1">
      <c r="A5" s="2"/>
      <c r="B5" s="2"/>
      <c r="C5" s="2"/>
      <c r="D5" s="2"/>
      <c r="E5" s="2"/>
      <c r="F5" s="2"/>
      <c r="G5" s="2"/>
      <c r="H5" s="2"/>
      <c r="I5" s="2"/>
      <c r="J5" s="2"/>
      <c r="N5" s="8" t="s">
        <v>4</v>
      </c>
      <c r="O5" s="113" t="s">
        <v>5</v>
      </c>
      <c r="P5" s="114"/>
    </row>
    <row r="6" spans="1:1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6">
      <c r="A7" s="2"/>
      <c r="B7" s="2"/>
      <c r="C7" s="2"/>
      <c r="E7" s="2"/>
      <c r="F7" s="2"/>
      <c r="G7" s="2"/>
      <c r="H7" s="2"/>
      <c r="I7" s="2"/>
      <c r="J7" s="2"/>
      <c r="K7" s="2"/>
      <c r="L7" s="2"/>
      <c r="M7" s="2"/>
    </row>
    <row r="8" spans="1:16">
      <c r="A8" s="2"/>
      <c r="B8" s="2"/>
      <c r="C8" s="2"/>
      <c r="D8" s="9"/>
      <c r="E8" s="2"/>
      <c r="F8" s="2"/>
      <c r="G8" s="2"/>
      <c r="H8" s="2"/>
      <c r="I8" s="2"/>
      <c r="J8" s="2"/>
      <c r="K8" s="2"/>
      <c r="L8" s="2"/>
      <c r="M8" s="2"/>
    </row>
    <row r="9" spans="1:16" ht="22.2">
      <c r="A9" s="2"/>
      <c r="B9" s="2"/>
      <c r="C9" s="2"/>
      <c r="D9" s="9"/>
      <c r="E9" s="2"/>
      <c r="F9" s="143" t="s">
        <v>6</v>
      </c>
      <c r="G9" s="2"/>
      <c r="H9" s="2"/>
      <c r="I9" s="2"/>
      <c r="J9" s="2"/>
      <c r="K9" s="2"/>
      <c r="L9" s="2"/>
      <c r="M9" s="2"/>
    </row>
    <row r="10" spans="1:16" ht="30.6">
      <c r="A10" s="2"/>
      <c r="B10" s="2"/>
      <c r="C10" s="2"/>
      <c r="D10" s="9"/>
      <c r="E10" s="2"/>
      <c r="F10" s="144" t="s">
        <v>7</v>
      </c>
      <c r="G10" s="2"/>
      <c r="H10" s="2"/>
      <c r="I10" s="2"/>
      <c r="J10" s="2"/>
      <c r="K10" s="2"/>
      <c r="L10" s="2"/>
      <c r="M10" s="2"/>
    </row>
    <row r="11" spans="1:16">
      <c r="A11" s="2"/>
      <c r="B11" s="2"/>
      <c r="C11" s="2"/>
      <c r="D11" s="9"/>
      <c r="E11" s="2"/>
      <c r="F11" s="2"/>
      <c r="G11" s="2"/>
      <c r="H11" s="2"/>
      <c r="I11" s="2"/>
      <c r="J11" s="2"/>
      <c r="K11" s="2"/>
      <c r="L11" s="2"/>
      <c r="M11" s="2"/>
    </row>
    <row r="12" spans="1:1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</sheetData>
  <mergeCells count="3">
    <mergeCell ref="O3:P3"/>
    <mergeCell ref="O4:P4"/>
    <mergeCell ref="O5:P5"/>
  </mergeCells>
  <phoneticPr fontId="4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F25"/>
  <sheetViews>
    <sheetView showGridLines="0" workbookViewId="0">
      <selection activeCell="J8" sqref="J8"/>
    </sheetView>
  </sheetViews>
  <sheetFormatPr defaultColWidth="9" defaultRowHeight="17.399999999999999"/>
  <cols>
    <col min="1" max="1" width="9" style="3"/>
    <col min="2" max="2" width="11.19921875" style="3" bestFit="1" customWidth="1"/>
    <col min="3" max="3" width="13.09765625" style="3" bestFit="1" customWidth="1"/>
    <col min="4" max="4" width="48.5" style="3" customWidth="1"/>
    <col min="5" max="16384" width="9" style="3"/>
  </cols>
  <sheetData>
    <row r="2" spans="1:6" ht="25.2">
      <c r="A2" s="115" t="s">
        <v>8</v>
      </c>
      <c r="B2" s="115"/>
      <c r="C2" s="115"/>
      <c r="D2" s="115"/>
      <c r="E2" s="115"/>
      <c r="F2" s="115"/>
    </row>
    <row r="3" spans="1:6">
      <c r="A3" s="10" t="s">
        <v>9</v>
      </c>
      <c r="B3" s="10" t="s">
        <v>10</v>
      </c>
      <c r="C3" s="11" t="s">
        <v>11</v>
      </c>
      <c r="D3" s="11" t="s">
        <v>12</v>
      </c>
      <c r="E3" s="10" t="s">
        <v>13</v>
      </c>
      <c r="F3" s="10" t="s">
        <v>14</v>
      </c>
    </row>
    <row r="4" spans="1:6">
      <c r="A4" s="12">
        <v>0.1</v>
      </c>
      <c r="B4" s="13">
        <v>45708</v>
      </c>
      <c r="C4" s="12" t="s">
        <v>15</v>
      </c>
      <c r="D4" s="14" t="s">
        <v>16</v>
      </c>
      <c r="E4" s="12" t="s">
        <v>5</v>
      </c>
      <c r="F4" s="12"/>
    </row>
    <row r="5" spans="1:6">
      <c r="A5" s="15"/>
      <c r="B5" s="13"/>
      <c r="C5" s="12"/>
      <c r="D5" s="14"/>
      <c r="E5" s="12"/>
      <c r="F5" s="12"/>
    </row>
    <row r="6" spans="1:6">
      <c r="A6" s="15"/>
      <c r="B6" s="13"/>
      <c r="C6" s="12"/>
      <c r="D6" s="14"/>
      <c r="E6" s="12"/>
      <c r="F6" s="12"/>
    </row>
    <row r="7" spans="1:6">
      <c r="A7" s="15"/>
      <c r="B7" s="13"/>
      <c r="C7" s="12"/>
      <c r="D7" s="14"/>
      <c r="E7" s="12"/>
      <c r="F7" s="12"/>
    </row>
    <row r="8" spans="1:6">
      <c r="A8" s="12"/>
      <c r="B8" s="13"/>
      <c r="C8" s="12"/>
      <c r="D8" s="14"/>
      <c r="E8" s="12"/>
      <c r="F8" s="12"/>
    </row>
    <row r="9" spans="1:6">
      <c r="A9" s="16"/>
      <c r="B9" s="17"/>
      <c r="C9" s="18"/>
      <c r="D9" s="14"/>
      <c r="E9" s="18"/>
      <c r="F9" s="18"/>
    </row>
    <row r="10" spans="1:6">
      <c r="A10" s="12"/>
      <c r="B10" s="17"/>
      <c r="C10" s="18"/>
      <c r="D10" s="14"/>
      <c r="E10" s="18"/>
      <c r="F10" s="18"/>
    </row>
    <row r="11" spans="1:6">
      <c r="A11" s="12"/>
      <c r="B11" s="17"/>
      <c r="C11" s="18"/>
      <c r="D11" s="14"/>
      <c r="E11" s="18"/>
      <c r="F11" s="18"/>
    </row>
    <row r="12" spans="1:6">
      <c r="A12" s="12"/>
      <c r="B12" s="17"/>
      <c r="C12" s="18"/>
      <c r="D12" s="14"/>
      <c r="E12" s="18"/>
      <c r="F12" s="18"/>
    </row>
    <row r="13" spans="1:6">
      <c r="A13" s="12"/>
      <c r="B13" s="12"/>
      <c r="C13" s="12"/>
      <c r="D13" s="14"/>
      <c r="E13" s="12"/>
      <c r="F13" s="12"/>
    </row>
    <row r="14" spans="1:6">
      <c r="A14" s="12"/>
      <c r="B14" s="12"/>
      <c r="C14" s="12"/>
      <c r="D14" s="14"/>
      <c r="E14" s="12"/>
      <c r="F14" s="12"/>
    </row>
    <row r="15" spans="1:6">
      <c r="A15" s="12"/>
      <c r="B15" s="12"/>
      <c r="C15" s="12"/>
      <c r="D15" s="14"/>
      <c r="E15" s="12"/>
      <c r="F15" s="12"/>
    </row>
    <row r="16" spans="1:6">
      <c r="A16" s="12"/>
      <c r="B16" s="12"/>
      <c r="C16" s="12"/>
      <c r="D16" s="14"/>
      <c r="E16" s="12"/>
      <c r="F16" s="12"/>
    </row>
    <row r="17" spans="1:6">
      <c r="A17" s="12"/>
      <c r="B17" s="12"/>
      <c r="C17" s="12"/>
      <c r="D17" s="14"/>
      <c r="E17" s="12"/>
      <c r="F17" s="12"/>
    </row>
    <row r="18" spans="1:6">
      <c r="A18" s="12"/>
      <c r="B18" s="12"/>
      <c r="C18" s="12"/>
      <c r="D18" s="14"/>
      <c r="E18" s="12"/>
      <c r="F18" s="12"/>
    </row>
    <row r="19" spans="1:6">
      <c r="A19" s="12"/>
      <c r="B19" s="12"/>
      <c r="C19" s="12"/>
      <c r="D19" s="14"/>
      <c r="E19" s="12"/>
      <c r="F19" s="12"/>
    </row>
    <row r="20" spans="1:6">
      <c r="A20" s="19"/>
      <c r="B20" s="20"/>
      <c r="C20" s="20"/>
      <c r="D20" s="20"/>
      <c r="E20" s="20"/>
      <c r="F20" s="20"/>
    </row>
    <row r="21" spans="1:6" ht="15.75" customHeight="1">
      <c r="A21" s="20"/>
      <c r="B21" s="20"/>
      <c r="C21" s="20"/>
      <c r="D21" s="20"/>
      <c r="E21" s="20"/>
      <c r="F21" s="20"/>
    </row>
    <row r="22" spans="1:6">
      <c r="A22" s="21"/>
      <c r="B22" s="21"/>
      <c r="C22" s="21"/>
      <c r="D22" s="21"/>
      <c r="E22" s="21"/>
      <c r="F22" s="21"/>
    </row>
    <row r="23" spans="1:6">
      <c r="A23" s="22"/>
      <c r="B23" s="22"/>
      <c r="C23" s="22"/>
      <c r="D23" s="22"/>
      <c r="E23" s="22"/>
      <c r="F23" s="22"/>
    </row>
    <row r="24" spans="1:6">
      <c r="A24" s="23" t="s">
        <v>17</v>
      </c>
      <c r="B24" s="23"/>
      <c r="C24" s="23"/>
      <c r="D24" s="23"/>
      <c r="E24" s="23"/>
      <c r="F24" s="23"/>
    </row>
    <row r="25" spans="1:6">
      <c r="A25" s="23" t="s">
        <v>18</v>
      </c>
      <c r="B25" s="23"/>
      <c r="C25" s="23"/>
      <c r="D25" s="23"/>
      <c r="E25" s="23"/>
      <c r="F25" s="23"/>
    </row>
  </sheetData>
  <mergeCells count="1">
    <mergeCell ref="A2:F2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FF00"/>
  </sheetPr>
  <dimension ref="A1:W269"/>
  <sheetViews>
    <sheetView showGridLines="0"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" defaultRowHeight="15.6" outlineLevelRow="2"/>
  <cols>
    <col min="1" max="1" width="17.69921875" style="55" customWidth="1"/>
    <col min="2" max="2" width="16.5" style="55" customWidth="1"/>
    <col min="3" max="3" width="19.69921875" style="55" customWidth="1"/>
    <col min="4" max="6" width="12.3984375" style="56" customWidth="1"/>
    <col min="7" max="7" width="10" style="56" customWidth="1"/>
    <col min="8" max="8" width="10" style="55" customWidth="1"/>
    <col min="9" max="12" width="9" style="55"/>
    <col min="13" max="15" width="13.19921875" style="55" customWidth="1"/>
    <col min="16" max="16" width="13.19921875" style="56" customWidth="1"/>
    <col min="17" max="23" width="9.3984375" style="56" customWidth="1"/>
    <col min="24" max="16384" width="9" style="55"/>
  </cols>
  <sheetData>
    <row r="1" spans="1:16" ht="23.25" customHeight="1">
      <c r="A1" s="84" t="s">
        <v>236</v>
      </c>
    </row>
    <row r="2" spans="1:16">
      <c r="A2" s="68" t="s">
        <v>231</v>
      </c>
      <c r="B2" s="68" t="s">
        <v>227</v>
      </c>
      <c r="C2" s="68" t="s">
        <v>232</v>
      </c>
      <c r="D2" s="68" t="s">
        <v>233</v>
      </c>
      <c r="E2" s="68" t="s">
        <v>235</v>
      </c>
      <c r="F2" s="68" t="s">
        <v>234</v>
      </c>
      <c r="G2" s="55"/>
    </row>
    <row r="3" spans="1:16">
      <c r="A3" s="123" t="s">
        <v>204</v>
      </c>
      <c r="B3" s="69" t="s">
        <v>220</v>
      </c>
      <c r="C3" s="70"/>
      <c r="D3" s="71">
        <f ca="1">F3/E3</f>
        <v>0</v>
      </c>
      <c r="E3" s="72">
        <f ca="1">SUMIF($C$4:$C$134,"소계", $E$4:$E$134)</f>
        <v>384</v>
      </c>
      <c r="F3" s="72">
        <f ca="1">SUMIF($C$4:$C$134,"소계", $F$4:$F$134)</f>
        <v>0</v>
      </c>
      <c r="M3" s="57" t="s">
        <v>222</v>
      </c>
      <c r="N3" s="57" t="s">
        <v>219</v>
      </c>
      <c r="O3" s="57" t="s">
        <v>34</v>
      </c>
      <c r="P3" s="57" t="s">
        <v>223</v>
      </c>
    </row>
    <row r="4" spans="1:16" outlineLevel="1">
      <c r="A4" s="124"/>
      <c r="B4" s="120" t="s">
        <v>36</v>
      </c>
      <c r="C4" s="73" t="s">
        <v>221</v>
      </c>
      <c r="D4" s="67">
        <f t="shared" ref="D4:D67" ca="1" si="0">F4/E4</f>
        <v>0</v>
      </c>
      <c r="E4" s="68">
        <f ca="1">SUM(E5:E12)</f>
        <v>8</v>
      </c>
      <c r="F4" s="68">
        <f ca="1">SUM(F5:F12)</f>
        <v>0</v>
      </c>
      <c r="M4" s="74" t="s">
        <v>226</v>
      </c>
      <c r="N4" s="57" t="s">
        <v>224</v>
      </c>
      <c r="O4" s="57" t="s">
        <v>224</v>
      </c>
      <c r="P4" s="57" t="s">
        <v>224</v>
      </c>
    </row>
    <row r="5" spans="1:16" outlineLevel="2">
      <c r="A5" s="124"/>
      <c r="B5" s="121"/>
      <c r="C5" s="61" t="s">
        <v>207</v>
      </c>
      <c r="D5" s="62">
        <f t="shared" ca="1" si="0"/>
        <v>0</v>
      </c>
      <c r="E5" s="63">
        <f ca="1">COUNTIFS(INDIRECT($N$3&amp;"!"&amp;$N$4&amp;":"&amp;$N$4),$A$3,INDIRECT($N$3&amp;"!"&amp;$N$5&amp;":"&amp;$N$5),$B$4,INDIRECT($N$3&amp;"!"&amp;$N$6&amp;":"&amp;$N$6),"&lt;&gt;NA")</f>
        <v>1</v>
      </c>
      <c r="F5" s="63">
        <f ca="1">COUNTIFS(INDIRECT($N$3&amp;"!"&amp;$N$4&amp;":"&amp;$N$4),$A$3,INDIRECT($N$3&amp;"!"&amp;$N$5&amp;":"&amp;$N$5),$B$4,INDIRECT($N$3&amp;"!"&amp;$N$6&amp;":"&amp;$N$6),"Y")</f>
        <v>0</v>
      </c>
      <c r="M5" s="74" t="s">
        <v>227</v>
      </c>
      <c r="N5" s="57" t="s">
        <v>225</v>
      </c>
      <c r="O5" s="57" t="s">
        <v>225</v>
      </c>
      <c r="P5" s="57" t="s">
        <v>225</v>
      </c>
    </row>
    <row r="6" spans="1:16" outlineLevel="2">
      <c r="A6" s="124"/>
      <c r="B6" s="121"/>
      <c r="C6" s="61" t="s">
        <v>201</v>
      </c>
      <c r="D6" s="62">
        <f t="shared" ca="1" si="0"/>
        <v>0</v>
      </c>
      <c r="E6" s="63">
        <f ca="1">COUNTIFS(INDIRECT($N$3&amp;"!"&amp;$N$4&amp;":"&amp;$N$4),$A$3,INDIRECT($N$3&amp;"!"&amp;$N$5&amp;":"&amp;$N$5),$B$4,INDIRECT($N$3&amp;"!"&amp;$N$7&amp;":"&amp;$N$7),"&lt;&gt;NA")</f>
        <v>1</v>
      </c>
      <c r="F6" s="63">
        <f ca="1">COUNTIFS(INDIRECT($N$3&amp;"!"&amp;$N$4&amp;":"&amp;$N$4),$A$3,INDIRECT($N$3&amp;"!"&amp;$N$5&amp;":"&amp;$N$5),$B$4,INDIRECT($N$3&amp;"!"&amp;$N$7&amp;":"&amp;$N$7),"Y")</f>
        <v>0</v>
      </c>
      <c r="M6" s="74" t="s">
        <v>207</v>
      </c>
      <c r="N6" s="57" t="s">
        <v>218</v>
      </c>
      <c r="O6" s="57" t="s">
        <v>218</v>
      </c>
      <c r="P6" s="57" t="s">
        <v>218</v>
      </c>
    </row>
    <row r="7" spans="1:16" outlineLevel="2">
      <c r="A7" s="124"/>
      <c r="B7" s="121"/>
      <c r="C7" s="61" t="s">
        <v>202</v>
      </c>
      <c r="D7" s="62">
        <f t="shared" ca="1" si="0"/>
        <v>0</v>
      </c>
      <c r="E7" s="63">
        <f ca="1">COUNTIFS(INDIRECT($N$3&amp;"!"&amp;$N$4&amp;":"&amp;$N$4),$A$3,INDIRECT($N$3&amp;"!"&amp;$N$5&amp;":"&amp;$N$5),$B$4,INDIRECT($N$3&amp;"!"&amp;$N$8&amp;":"&amp;$N$8),"&lt;&gt;NA")</f>
        <v>1</v>
      </c>
      <c r="F7" s="63">
        <f ca="1">COUNTIFS(INDIRECT($N$3&amp;"!"&amp;$N$4&amp;":"&amp;$N$4),$A$3,INDIRECT($N$3&amp;"!"&amp;$N$5&amp;":"&amp;$N$5),$B$4,INDIRECT($N$3&amp;"!"&amp;$N$8&amp;":"&amp;$N$8),"Y")</f>
        <v>0</v>
      </c>
      <c r="M7" s="74" t="s">
        <v>201</v>
      </c>
      <c r="N7" s="57" t="s">
        <v>211</v>
      </c>
      <c r="O7" s="57" t="s">
        <v>211</v>
      </c>
      <c r="P7" s="57" t="s">
        <v>211</v>
      </c>
    </row>
    <row r="8" spans="1:16" outlineLevel="2">
      <c r="A8" s="124"/>
      <c r="B8" s="121"/>
      <c r="C8" s="61" t="s">
        <v>203</v>
      </c>
      <c r="D8" s="62">
        <f t="shared" ca="1" si="0"/>
        <v>0</v>
      </c>
      <c r="E8" s="63">
        <f ca="1">COUNTIFS(INDIRECT($N$3&amp;"!"&amp;$N$4&amp;":"&amp;$N$4),$A$3,INDIRECT($N$3&amp;"!"&amp;$N$5&amp;":"&amp;$N$5),$B$4,INDIRECT($N$3&amp;"!"&amp;$N$9&amp;":"&amp;$N$9),"&lt;&gt;NA")</f>
        <v>1</v>
      </c>
      <c r="F8" s="63">
        <f ca="1">COUNTIFS(INDIRECT($N$3&amp;"!"&amp;$N$4&amp;":"&amp;$N$4),$A$3,INDIRECT($N$3&amp;"!"&amp;$N$5&amp;":"&amp;$N$5),$B$4,INDIRECT($N$3&amp;"!"&amp;$N$9&amp;":"&amp;$N$9),"Y")</f>
        <v>0</v>
      </c>
      <c r="M8" s="74" t="s">
        <v>202</v>
      </c>
      <c r="N8" s="57" t="s">
        <v>212</v>
      </c>
      <c r="O8" s="57" t="s">
        <v>212</v>
      </c>
      <c r="P8" s="57" t="s">
        <v>212</v>
      </c>
    </row>
    <row r="9" spans="1:16" outlineLevel="2">
      <c r="A9" s="124"/>
      <c r="B9" s="121"/>
      <c r="C9" s="61" t="s">
        <v>206</v>
      </c>
      <c r="D9" s="62">
        <f t="shared" ca="1" si="0"/>
        <v>0</v>
      </c>
      <c r="E9" s="63">
        <f ca="1">COUNTIFS(INDIRECT($N$3&amp;"!"&amp;$N$4&amp;":"&amp;$N$4),$A$3,INDIRECT($N$3&amp;"!"&amp;$N$5&amp;":"&amp;$N$5),$B$4,INDIRECT($N$3&amp;"!"&amp;$N$10&amp;":"&amp;$N$10),"&lt;&gt;NA")</f>
        <v>1</v>
      </c>
      <c r="F9" s="63">
        <f ca="1">COUNTIFS(INDIRECT($N$3&amp;"!"&amp;$N$4&amp;":"&amp;$N$4),$A$3,INDIRECT($N$3&amp;"!"&amp;$N$5&amp;":"&amp;$N$5),$B$4,INDIRECT($N$3&amp;"!"&amp;$N$10&amp;":"&amp;$N$10),"Y")</f>
        <v>0</v>
      </c>
      <c r="M9" s="74" t="s">
        <v>203</v>
      </c>
      <c r="N9" s="57" t="s">
        <v>213</v>
      </c>
      <c r="O9" s="57" t="s">
        <v>213</v>
      </c>
      <c r="P9" s="57" t="s">
        <v>213</v>
      </c>
    </row>
    <row r="10" spans="1:16" outlineLevel="2">
      <c r="A10" s="124"/>
      <c r="B10" s="121"/>
      <c r="C10" s="61" t="s">
        <v>25</v>
      </c>
      <c r="D10" s="62">
        <f t="shared" ca="1" si="0"/>
        <v>0</v>
      </c>
      <c r="E10" s="63">
        <f ca="1">COUNTIFS(INDIRECT($N$3&amp;"!"&amp;$N$4&amp;":"&amp;$N$4),$A$3,INDIRECT($N$3&amp;"!"&amp;$N$5&amp;":"&amp;$N$5),$B$4,INDIRECT($N$3&amp;"!"&amp;$N$11&amp;":"&amp;$N$11),"&lt;&gt;NA")</f>
        <v>1</v>
      </c>
      <c r="F10" s="63">
        <f ca="1">COUNTIFS(INDIRECT($N$3&amp;"!"&amp;$N$4&amp;":"&amp;$N$4),$A$3,INDIRECT($N$3&amp;"!"&amp;$N$5&amp;":"&amp;$N$5),$B$4,INDIRECT($N$3&amp;"!"&amp;$N$11&amp;":"&amp;$N$11),"Y")</f>
        <v>0</v>
      </c>
      <c r="M10" s="74" t="s">
        <v>206</v>
      </c>
      <c r="N10" s="57" t="s">
        <v>214</v>
      </c>
      <c r="O10" s="57" t="s">
        <v>214</v>
      </c>
      <c r="P10" s="57" t="s">
        <v>214</v>
      </c>
    </row>
    <row r="11" spans="1:16" outlineLevel="2">
      <c r="A11" s="124"/>
      <c r="B11" s="121"/>
      <c r="C11" s="61" t="s">
        <v>26</v>
      </c>
      <c r="D11" s="62">
        <f t="shared" ca="1" si="0"/>
        <v>0</v>
      </c>
      <c r="E11" s="63">
        <f ca="1">COUNTIFS(INDIRECT($N$3&amp;"!"&amp;$N$4&amp;":"&amp;$N$4),$A$3,INDIRECT($N$3&amp;"!"&amp;$N$5&amp;":"&amp;$N$5),$B$4,INDIRECT($N$3&amp;"!"&amp;$N$12&amp;":"&amp;$N$12),"&lt;&gt;NA")</f>
        <v>1</v>
      </c>
      <c r="F11" s="63">
        <f ca="1">COUNTIFS(INDIRECT($N$3&amp;"!"&amp;$N$4&amp;":"&amp;$N$4),$A$3,INDIRECT($N$3&amp;"!"&amp;$N$5&amp;":"&amp;$N$5),$B$4,INDIRECT($N$3&amp;"!"&amp;$N$12&amp;":"&amp;$N$12),"Y")</f>
        <v>0</v>
      </c>
      <c r="M11" s="74" t="s">
        <v>228</v>
      </c>
      <c r="N11" s="57" t="s">
        <v>215</v>
      </c>
      <c r="O11" s="57" t="s">
        <v>215</v>
      </c>
      <c r="P11" s="57" t="s">
        <v>215</v>
      </c>
    </row>
    <row r="12" spans="1:16" outlineLevel="2">
      <c r="A12" s="124"/>
      <c r="B12" s="122"/>
      <c r="C12" s="61" t="s">
        <v>149</v>
      </c>
      <c r="D12" s="62">
        <f t="shared" ca="1" si="0"/>
        <v>0</v>
      </c>
      <c r="E12" s="63">
        <f ca="1">COUNTIFS(INDIRECT($N$3&amp;"!"&amp;$N$4&amp;":"&amp;$N$4),$A$3,INDIRECT($N$3&amp;"!"&amp;$N$5&amp;":"&amp;$N$5),$B$4,INDIRECT($N$3&amp;"!"&amp;$N$13&amp;":"&amp;$N$13),"&lt;&gt;NA")</f>
        <v>1</v>
      </c>
      <c r="F12" s="63">
        <f ca="1">COUNTIFS(INDIRECT($N$3&amp;"!"&amp;$N$4&amp;":"&amp;$N$4),$A$3,INDIRECT($N$3&amp;"!"&amp;$N$5&amp;":"&amp;$N$5),$B$4,INDIRECT($N$3&amp;"!"&amp;$N$13&amp;":"&amp;$N$13),"Y")</f>
        <v>0</v>
      </c>
      <c r="M12" s="74" t="s">
        <v>229</v>
      </c>
      <c r="N12" s="57" t="s">
        <v>216</v>
      </c>
      <c r="O12" s="57" t="s">
        <v>216</v>
      </c>
      <c r="P12" s="57" t="s">
        <v>216</v>
      </c>
    </row>
    <row r="13" spans="1:16" outlineLevel="1">
      <c r="A13" s="124"/>
      <c r="B13" s="120" t="s">
        <v>167</v>
      </c>
      <c r="C13" s="73" t="s">
        <v>221</v>
      </c>
      <c r="D13" s="67">
        <f t="shared" ca="1" si="0"/>
        <v>0</v>
      </c>
      <c r="E13" s="68">
        <f ca="1">SUM(E14:E21)</f>
        <v>8</v>
      </c>
      <c r="F13" s="68">
        <f ca="1">SUM(F14:F21)</f>
        <v>0</v>
      </c>
      <c r="M13" s="74" t="s">
        <v>27</v>
      </c>
      <c r="N13" s="57" t="s">
        <v>217</v>
      </c>
      <c r="O13" s="57" t="s">
        <v>217</v>
      </c>
      <c r="P13" s="57" t="s">
        <v>217</v>
      </c>
    </row>
    <row r="14" spans="1:16" outlineLevel="2">
      <c r="A14" s="124"/>
      <c r="B14" s="121"/>
      <c r="C14" s="61" t="s">
        <v>207</v>
      </c>
      <c r="D14" s="62">
        <f t="shared" ca="1" si="0"/>
        <v>0</v>
      </c>
      <c r="E14" s="63">
        <f t="shared" ref="E14:E21" ca="1" si="1">COUNTIFS(INDIRECT($N$3&amp;"!"&amp;$N$4&amp;":"&amp;$N$4),$A$3,INDIRECT($N$3&amp;"!"&amp;$N$5&amp;":"&amp;$N$5),$B$13,INDIRECT($N$3&amp;"!"&amp;N6&amp;":"&amp;N6),"&lt;&gt;NA")</f>
        <v>1</v>
      </c>
      <c r="F14" s="63">
        <f t="shared" ref="F14:F21" ca="1" si="2">COUNTIFS(INDIRECT($N$3&amp;"!"&amp;$N$4&amp;":"&amp;$N$4),$A$3,INDIRECT($N$3&amp;"!"&amp;$N$5&amp;":"&amp;$N$5),$B$13,INDIRECT($N$3&amp;"!"&amp;N6&amp;":"&amp;N6),"Y")</f>
        <v>0</v>
      </c>
    </row>
    <row r="15" spans="1:16" outlineLevel="2">
      <c r="A15" s="124"/>
      <c r="B15" s="121"/>
      <c r="C15" s="61" t="s">
        <v>201</v>
      </c>
      <c r="D15" s="62">
        <f t="shared" ca="1" si="0"/>
        <v>0</v>
      </c>
      <c r="E15" s="63">
        <f t="shared" ca="1" si="1"/>
        <v>1</v>
      </c>
      <c r="F15" s="63">
        <f t="shared" ca="1" si="2"/>
        <v>0</v>
      </c>
    </row>
    <row r="16" spans="1:16" outlineLevel="2">
      <c r="A16" s="124"/>
      <c r="B16" s="121"/>
      <c r="C16" s="61" t="s">
        <v>202</v>
      </c>
      <c r="D16" s="62">
        <f t="shared" ca="1" si="0"/>
        <v>0</v>
      </c>
      <c r="E16" s="63">
        <f t="shared" ca="1" si="1"/>
        <v>1</v>
      </c>
      <c r="F16" s="63">
        <f t="shared" ca="1" si="2"/>
        <v>0</v>
      </c>
    </row>
    <row r="17" spans="1:6" outlineLevel="2">
      <c r="A17" s="124"/>
      <c r="B17" s="121"/>
      <c r="C17" s="61" t="s">
        <v>203</v>
      </c>
      <c r="D17" s="62">
        <f t="shared" ca="1" si="0"/>
        <v>0</v>
      </c>
      <c r="E17" s="63">
        <f t="shared" ca="1" si="1"/>
        <v>1</v>
      </c>
      <c r="F17" s="63">
        <f t="shared" ca="1" si="2"/>
        <v>0</v>
      </c>
    </row>
    <row r="18" spans="1:6" outlineLevel="2">
      <c r="A18" s="124"/>
      <c r="B18" s="121"/>
      <c r="C18" s="61" t="s">
        <v>206</v>
      </c>
      <c r="D18" s="62">
        <f t="shared" ca="1" si="0"/>
        <v>0</v>
      </c>
      <c r="E18" s="63">
        <f t="shared" ca="1" si="1"/>
        <v>1</v>
      </c>
      <c r="F18" s="63">
        <f t="shared" ca="1" si="2"/>
        <v>0</v>
      </c>
    </row>
    <row r="19" spans="1:6" outlineLevel="2">
      <c r="A19" s="124"/>
      <c r="B19" s="121"/>
      <c r="C19" s="61" t="s">
        <v>25</v>
      </c>
      <c r="D19" s="62">
        <f t="shared" ca="1" si="0"/>
        <v>0</v>
      </c>
      <c r="E19" s="63">
        <f t="shared" ca="1" si="1"/>
        <v>1</v>
      </c>
      <c r="F19" s="63">
        <f t="shared" ca="1" si="2"/>
        <v>0</v>
      </c>
    </row>
    <row r="20" spans="1:6" outlineLevel="2">
      <c r="A20" s="124"/>
      <c r="B20" s="121"/>
      <c r="C20" s="61" t="s">
        <v>26</v>
      </c>
      <c r="D20" s="64">
        <f t="shared" ca="1" si="0"/>
        <v>0</v>
      </c>
      <c r="E20" s="65">
        <f t="shared" ca="1" si="1"/>
        <v>1</v>
      </c>
      <c r="F20" s="65">
        <f t="shared" ca="1" si="2"/>
        <v>0</v>
      </c>
    </row>
    <row r="21" spans="1:6" outlineLevel="2">
      <c r="A21" s="124"/>
      <c r="B21" s="122"/>
      <c r="C21" s="61" t="s">
        <v>149</v>
      </c>
      <c r="D21" s="64">
        <f t="shared" ca="1" si="0"/>
        <v>0</v>
      </c>
      <c r="E21" s="65">
        <f t="shared" ca="1" si="1"/>
        <v>1</v>
      </c>
      <c r="F21" s="65">
        <f t="shared" ca="1" si="2"/>
        <v>0</v>
      </c>
    </row>
    <row r="22" spans="1:6" outlineLevel="1">
      <c r="A22" s="124"/>
      <c r="B22" s="120" t="s">
        <v>169</v>
      </c>
      <c r="C22" s="73" t="s">
        <v>221</v>
      </c>
      <c r="D22" s="67">
        <f t="shared" ca="1" si="0"/>
        <v>0</v>
      </c>
      <c r="E22" s="68">
        <f ca="1">SUM(E23:E30)</f>
        <v>8</v>
      </c>
      <c r="F22" s="68">
        <f ca="1">SUM(F23:F30)</f>
        <v>0</v>
      </c>
    </row>
    <row r="23" spans="1:6" outlineLevel="2">
      <c r="A23" s="124"/>
      <c r="B23" s="121"/>
      <c r="C23" s="61" t="s">
        <v>207</v>
      </c>
      <c r="D23" s="64">
        <f t="shared" ca="1" si="0"/>
        <v>0</v>
      </c>
      <c r="E23" s="65">
        <f t="shared" ref="E23:E30" ca="1" si="3">COUNTIFS(INDIRECT($N$3&amp;"!"&amp;$N$4&amp;":"&amp;$N$4),$A$3,INDIRECT($N$3&amp;"!"&amp;$N$5&amp;":"&amp;$N$5),$B$22,INDIRECT($N$3&amp;"!"&amp;N6&amp;":"&amp;N6),"&lt;&gt;NA")</f>
        <v>1</v>
      </c>
      <c r="F23" s="65">
        <f t="shared" ref="F23:F30" ca="1" si="4">COUNTIFS(INDIRECT($N$3&amp;"!"&amp;$N$4&amp;":"&amp;$N$4),$A$3,INDIRECT($N$3&amp;"!"&amp;$N$5&amp;":"&amp;$N$5),$B$22,INDIRECT($N$3&amp;"!"&amp;N6&amp;":"&amp;N6),"Y")</f>
        <v>0</v>
      </c>
    </row>
    <row r="24" spans="1:6" outlineLevel="2">
      <c r="A24" s="124"/>
      <c r="B24" s="121"/>
      <c r="C24" s="61" t="s">
        <v>201</v>
      </c>
      <c r="D24" s="64">
        <f t="shared" ca="1" si="0"/>
        <v>0</v>
      </c>
      <c r="E24" s="65">
        <f t="shared" ca="1" si="3"/>
        <v>1</v>
      </c>
      <c r="F24" s="65">
        <f t="shared" ca="1" si="4"/>
        <v>0</v>
      </c>
    </row>
    <row r="25" spans="1:6" outlineLevel="2">
      <c r="A25" s="124"/>
      <c r="B25" s="121"/>
      <c r="C25" s="61" t="s">
        <v>202</v>
      </c>
      <c r="D25" s="64">
        <f t="shared" ca="1" si="0"/>
        <v>0</v>
      </c>
      <c r="E25" s="65">
        <f t="shared" ca="1" si="3"/>
        <v>1</v>
      </c>
      <c r="F25" s="65">
        <f t="shared" ca="1" si="4"/>
        <v>0</v>
      </c>
    </row>
    <row r="26" spans="1:6" outlineLevel="2">
      <c r="A26" s="124"/>
      <c r="B26" s="121"/>
      <c r="C26" s="61" t="s">
        <v>203</v>
      </c>
      <c r="D26" s="64">
        <f t="shared" ca="1" si="0"/>
        <v>0</v>
      </c>
      <c r="E26" s="65">
        <f t="shared" ca="1" si="3"/>
        <v>1</v>
      </c>
      <c r="F26" s="65">
        <f t="shared" ca="1" si="4"/>
        <v>0</v>
      </c>
    </row>
    <row r="27" spans="1:6" outlineLevel="2">
      <c r="A27" s="124"/>
      <c r="B27" s="121"/>
      <c r="C27" s="61" t="s">
        <v>206</v>
      </c>
      <c r="D27" s="64">
        <f t="shared" ca="1" si="0"/>
        <v>0</v>
      </c>
      <c r="E27" s="65">
        <f t="shared" ca="1" si="3"/>
        <v>1</v>
      </c>
      <c r="F27" s="65">
        <f t="shared" ca="1" si="4"/>
        <v>0</v>
      </c>
    </row>
    <row r="28" spans="1:6" outlineLevel="2">
      <c r="A28" s="124"/>
      <c r="B28" s="121"/>
      <c r="C28" s="61" t="s">
        <v>25</v>
      </c>
      <c r="D28" s="64">
        <f t="shared" ca="1" si="0"/>
        <v>0</v>
      </c>
      <c r="E28" s="65">
        <f t="shared" ca="1" si="3"/>
        <v>1</v>
      </c>
      <c r="F28" s="65">
        <f t="shared" ca="1" si="4"/>
        <v>0</v>
      </c>
    </row>
    <row r="29" spans="1:6" outlineLevel="2">
      <c r="A29" s="124"/>
      <c r="B29" s="121"/>
      <c r="C29" s="61" t="s">
        <v>26</v>
      </c>
      <c r="D29" s="64">
        <f t="shared" ca="1" si="0"/>
        <v>0</v>
      </c>
      <c r="E29" s="65">
        <f t="shared" ca="1" si="3"/>
        <v>1</v>
      </c>
      <c r="F29" s="65">
        <f t="shared" ca="1" si="4"/>
        <v>0</v>
      </c>
    </row>
    <row r="30" spans="1:6" outlineLevel="2">
      <c r="A30" s="124"/>
      <c r="B30" s="122"/>
      <c r="C30" s="61" t="s">
        <v>149</v>
      </c>
      <c r="D30" s="64">
        <f t="shared" ca="1" si="0"/>
        <v>0</v>
      </c>
      <c r="E30" s="65">
        <f t="shared" ca="1" si="3"/>
        <v>1</v>
      </c>
      <c r="F30" s="65">
        <f t="shared" ca="1" si="4"/>
        <v>0</v>
      </c>
    </row>
    <row r="31" spans="1:6" outlineLevel="1">
      <c r="A31" s="124"/>
      <c r="B31" s="120" t="s">
        <v>180</v>
      </c>
      <c r="C31" s="73" t="s">
        <v>221</v>
      </c>
      <c r="D31" s="67">
        <f t="shared" ca="1" si="0"/>
        <v>0</v>
      </c>
      <c r="E31" s="68">
        <f ca="1">SUM(E32:E39)</f>
        <v>8</v>
      </c>
      <c r="F31" s="68">
        <f ca="1">SUM(F32:F39)</f>
        <v>0</v>
      </c>
    </row>
    <row r="32" spans="1:6" outlineLevel="2">
      <c r="A32" s="124"/>
      <c r="B32" s="121"/>
      <c r="C32" s="61" t="s">
        <v>207</v>
      </c>
      <c r="D32" s="64">
        <f t="shared" ca="1" si="0"/>
        <v>0</v>
      </c>
      <c r="E32" s="65">
        <f t="shared" ref="E32:E39" ca="1" si="5">COUNTIFS(INDIRECT($N$3&amp;"!"&amp;$N$4&amp;":"&amp;$N$4),$A$3,INDIRECT($N$3&amp;"!"&amp;$N$5&amp;":"&amp;$N$5),$B$31,INDIRECT($N$3&amp;"!"&amp;N6&amp;":"&amp;N6),"&lt;&gt;NA")</f>
        <v>1</v>
      </c>
      <c r="F32" s="65">
        <f t="shared" ref="F32:F39" ca="1" si="6">COUNTIFS(INDIRECT($N$3&amp;"!"&amp;$N$4&amp;":"&amp;$N$4),$A$3,INDIRECT($N$3&amp;"!"&amp;$N$5&amp;":"&amp;$N$5),$B$31,INDIRECT($N$3&amp;"!"&amp;N6&amp;":"&amp;N6),"Y")</f>
        <v>0</v>
      </c>
    </row>
    <row r="33" spans="1:6" outlineLevel="2">
      <c r="A33" s="124"/>
      <c r="B33" s="121"/>
      <c r="C33" s="61" t="s">
        <v>201</v>
      </c>
      <c r="D33" s="64">
        <f t="shared" ca="1" si="0"/>
        <v>0</v>
      </c>
      <c r="E33" s="65">
        <f t="shared" ca="1" si="5"/>
        <v>1</v>
      </c>
      <c r="F33" s="65">
        <f t="shared" ca="1" si="6"/>
        <v>0</v>
      </c>
    </row>
    <row r="34" spans="1:6" outlineLevel="2">
      <c r="A34" s="124"/>
      <c r="B34" s="121"/>
      <c r="C34" s="61" t="s">
        <v>202</v>
      </c>
      <c r="D34" s="64">
        <f t="shared" ca="1" si="0"/>
        <v>0</v>
      </c>
      <c r="E34" s="65">
        <f t="shared" ca="1" si="5"/>
        <v>1</v>
      </c>
      <c r="F34" s="65">
        <f t="shared" ca="1" si="6"/>
        <v>0</v>
      </c>
    </row>
    <row r="35" spans="1:6" outlineLevel="2">
      <c r="A35" s="124"/>
      <c r="B35" s="121"/>
      <c r="C35" s="61" t="s">
        <v>203</v>
      </c>
      <c r="D35" s="64">
        <f t="shared" ca="1" si="0"/>
        <v>0</v>
      </c>
      <c r="E35" s="65">
        <f t="shared" ca="1" si="5"/>
        <v>1</v>
      </c>
      <c r="F35" s="65">
        <f t="shared" ca="1" si="6"/>
        <v>0</v>
      </c>
    </row>
    <row r="36" spans="1:6" outlineLevel="2">
      <c r="A36" s="124"/>
      <c r="B36" s="121"/>
      <c r="C36" s="61" t="s">
        <v>206</v>
      </c>
      <c r="D36" s="64">
        <f t="shared" ca="1" si="0"/>
        <v>0</v>
      </c>
      <c r="E36" s="65">
        <f t="shared" ca="1" si="5"/>
        <v>1</v>
      </c>
      <c r="F36" s="65">
        <f t="shared" ca="1" si="6"/>
        <v>0</v>
      </c>
    </row>
    <row r="37" spans="1:6" outlineLevel="2">
      <c r="A37" s="124"/>
      <c r="B37" s="121"/>
      <c r="C37" s="61" t="s">
        <v>25</v>
      </c>
      <c r="D37" s="64">
        <f t="shared" ca="1" si="0"/>
        <v>0</v>
      </c>
      <c r="E37" s="65">
        <f t="shared" ca="1" si="5"/>
        <v>1</v>
      </c>
      <c r="F37" s="65">
        <f t="shared" ca="1" si="6"/>
        <v>0</v>
      </c>
    </row>
    <row r="38" spans="1:6" outlineLevel="2">
      <c r="A38" s="124"/>
      <c r="B38" s="121"/>
      <c r="C38" s="61" t="s">
        <v>26</v>
      </c>
      <c r="D38" s="64">
        <f t="shared" ca="1" si="0"/>
        <v>0</v>
      </c>
      <c r="E38" s="65">
        <f t="shared" ca="1" si="5"/>
        <v>1</v>
      </c>
      <c r="F38" s="65">
        <f t="shared" ca="1" si="6"/>
        <v>0</v>
      </c>
    </row>
    <row r="39" spans="1:6" outlineLevel="2">
      <c r="A39" s="124"/>
      <c r="B39" s="122"/>
      <c r="C39" s="61" t="s">
        <v>149</v>
      </c>
      <c r="D39" s="64">
        <f t="shared" ca="1" si="0"/>
        <v>0</v>
      </c>
      <c r="E39" s="65">
        <f t="shared" ca="1" si="5"/>
        <v>1</v>
      </c>
      <c r="F39" s="65">
        <f t="shared" ca="1" si="6"/>
        <v>0</v>
      </c>
    </row>
    <row r="40" spans="1:6" outlineLevel="1">
      <c r="A40" s="124"/>
      <c r="B40" s="120" t="s">
        <v>183</v>
      </c>
      <c r="C40" s="73" t="s">
        <v>221</v>
      </c>
      <c r="D40" s="67">
        <f t="shared" ca="1" si="0"/>
        <v>0</v>
      </c>
      <c r="E40" s="68">
        <f ca="1">SUM(E41:E48)</f>
        <v>8</v>
      </c>
      <c r="F40" s="68">
        <f ca="1">SUM(F41:F48)</f>
        <v>0</v>
      </c>
    </row>
    <row r="41" spans="1:6" outlineLevel="2">
      <c r="A41" s="124"/>
      <c r="B41" s="121"/>
      <c r="C41" s="61" t="s">
        <v>207</v>
      </c>
      <c r="D41" s="64">
        <f t="shared" ca="1" si="0"/>
        <v>0</v>
      </c>
      <c r="E41" s="65">
        <f t="shared" ref="E41:E48" ca="1" si="7">COUNTIFS(INDIRECT($N$3&amp;"!"&amp;$N$4&amp;":"&amp;$N$4),$A$3,INDIRECT($N$3&amp;"!"&amp;$N$5&amp;":"&amp;$N$5),$B$40,INDIRECT($N$3&amp;"!"&amp;N6&amp;":"&amp;N6),"&lt;&gt;NA")</f>
        <v>1</v>
      </c>
      <c r="F41" s="65">
        <f t="shared" ref="F41:F48" ca="1" si="8">COUNTIFS(INDIRECT($N$3&amp;"!"&amp;$N$4&amp;":"&amp;$N$4),$A$3,INDIRECT($N$3&amp;"!"&amp;$N$5&amp;":"&amp;$N$5),$B$40,INDIRECT($N$3&amp;"!"&amp;N6&amp;":"&amp;N6),"Y")</f>
        <v>0</v>
      </c>
    </row>
    <row r="42" spans="1:6" outlineLevel="2">
      <c r="A42" s="124"/>
      <c r="B42" s="121"/>
      <c r="C42" s="61" t="s">
        <v>201</v>
      </c>
      <c r="D42" s="64">
        <f t="shared" ca="1" si="0"/>
        <v>0</v>
      </c>
      <c r="E42" s="65">
        <f t="shared" ca="1" si="7"/>
        <v>1</v>
      </c>
      <c r="F42" s="65">
        <f t="shared" ca="1" si="8"/>
        <v>0</v>
      </c>
    </row>
    <row r="43" spans="1:6" outlineLevel="2">
      <c r="A43" s="124"/>
      <c r="B43" s="121"/>
      <c r="C43" s="61" t="s">
        <v>202</v>
      </c>
      <c r="D43" s="64">
        <f t="shared" ca="1" si="0"/>
        <v>0</v>
      </c>
      <c r="E43" s="65">
        <f t="shared" ca="1" si="7"/>
        <v>1</v>
      </c>
      <c r="F43" s="65">
        <f t="shared" ca="1" si="8"/>
        <v>0</v>
      </c>
    </row>
    <row r="44" spans="1:6" outlineLevel="2">
      <c r="A44" s="124"/>
      <c r="B44" s="121"/>
      <c r="C44" s="61" t="s">
        <v>203</v>
      </c>
      <c r="D44" s="64">
        <f t="shared" ca="1" si="0"/>
        <v>0</v>
      </c>
      <c r="E44" s="65">
        <f t="shared" ca="1" si="7"/>
        <v>1</v>
      </c>
      <c r="F44" s="65">
        <f t="shared" ca="1" si="8"/>
        <v>0</v>
      </c>
    </row>
    <row r="45" spans="1:6" outlineLevel="2">
      <c r="A45" s="124"/>
      <c r="B45" s="121"/>
      <c r="C45" s="61" t="s">
        <v>206</v>
      </c>
      <c r="D45" s="64">
        <f t="shared" ca="1" si="0"/>
        <v>0</v>
      </c>
      <c r="E45" s="65">
        <f t="shared" ca="1" si="7"/>
        <v>1</v>
      </c>
      <c r="F45" s="65">
        <f t="shared" ca="1" si="8"/>
        <v>0</v>
      </c>
    </row>
    <row r="46" spans="1:6" outlineLevel="2">
      <c r="A46" s="124"/>
      <c r="B46" s="121"/>
      <c r="C46" s="61" t="s">
        <v>25</v>
      </c>
      <c r="D46" s="64">
        <f t="shared" ca="1" si="0"/>
        <v>0</v>
      </c>
      <c r="E46" s="65">
        <f t="shared" ca="1" si="7"/>
        <v>1</v>
      </c>
      <c r="F46" s="65">
        <f t="shared" ca="1" si="8"/>
        <v>0</v>
      </c>
    </row>
    <row r="47" spans="1:6" outlineLevel="2">
      <c r="A47" s="124"/>
      <c r="B47" s="121"/>
      <c r="C47" s="61" t="s">
        <v>26</v>
      </c>
      <c r="D47" s="64">
        <f t="shared" ca="1" si="0"/>
        <v>0</v>
      </c>
      <c r="E47" s="65">
        <f t="shared" ca="1" si="7"/>
        <v>1</v>
      </c>
      <c r="F47" s="65">
        <f t="shared" ca="1" si="8"/>
        <v>0</v>
      </c>
    </row>
    <row r="48" spans="1:6" outlineLevel="2">
      <c r="A48" s="124"/>
      <c r="B48" s="122"/>
      <c r="C48" s="61" t="s">
        <v>149</v>
      </c>
      <c r="D48" s="64">
        <f t="shared" ca="1" si="0"/>
        <v>0</v>
      </c>
      <c r="E48" s="65">
        <f t="shared" ca="1" si="7"/>
        <v>1</v>
      </c>
      <c r="F48" s="65">
        <f t="shared" ca="1" si="8"/>
        <v>0</v>
      </c>
    </row>
    <row r="49" spans="1:6" outlineLevel="1">
      <c r="A49" s="124"/>
      <c r="B49" s="120" t="s">
        <v>195</v>
      </c>
      <c r="C49" s="73" t="s">
        <v>221</v>
      </c>
      <c r="D49" s="67" t="e">
        <f t="shared" ca="1" si="0"/>
        <v>#DIV/0!</v>
      </c>
      <c r="E49" s="68">
        <f ca="1">SUM(E50:E57)</f>
        <v>0</v>
      </c>
      <c r="F49" s="68">
        <f ca="1">SUM(F50:F57)</f>
        <v>0</v>
      </c>
    </row>
    <row r="50" spans="1:6" outlineLevel="2">
      <c r="A50" s="124"/>
      <c r="B50" s="121"/>
      <c r="C50" s="61" t="s">
        <v>207</v>
      </c>
      <c r="D50" s="64" t="e">
        <f t="shared" ca="1" si="0"/>
        <v>#DIV/0!</v>
      </c>
      <c r="E50" s="65">
        <f t="shared" ref="E50:E57" ca="1" si="9">COUNTIFS(INDIRECT($N$3&amp;"!"&amp;$N$4&amp;":"&amp;$N$4),$A$3,INDIRECT($N$3&amp;"!"&amp;$N$5&amp;":"&amp;$N$5),$B$49,INDIRECT($N$3&amp;"!"&amp;N6&amp;":"&amp;N6),"&lt;&gt;NA")</f>
        <v>0</v>
      </c>
      <c r="F50" s="65">
        <f t="shared" ref="F50:F57" ca="1" si="10">COUNTIFS(INDIRECT($N$3&amp;"!"&amp;$N$4&amp;":"&amp;$N$4),$A$3,INDIRECT($N$3&amp;"!"&amp;$N$5&amp;":"&amp;$N$5),$B$49,INDIRECT($N$3&amp;"!"&amp;N6&amp;":"&amp;N6),"Y")</f>
        <v>0</v>
      </c>
    </row>
    <row r="51" spans="1:6" outlineLevel="2">
      <c r="A51" s="124"/>
      <c r="B51" s="121"/>
      <c r="C51" s="61" t="s">
        <v>201</v>
      </c>
      <c r="D51" s="64" t="e">
        <f t="shared" ca="1" si="0"/>
        <v>#DIV/0!</v>
      </c>
      <c r="E51" s="65">
        <f t="shared" ca="1" si="9"/>
        <v>0</v>
      </c>
      <c r="F51" s="65">
        <f t="shared" ca="1" si="10"/>
        <v>0</v>
      </c>
    </row>
    <row r="52" spans="1:6" outlineLevel="2">
      <c r="A52" s="124"/>
      <c r="B52" s="121"/>
      <c r="C52" s="61" t="s">
        <v>202</v>
      </c>
      <c r="D52" s="64" t="e">
        <f t="shared" ca="1" si="0"/>
        <v>#DIV/0!</v>
      </c>
      <c r="E52" s="65">
        <f t="shared" ca="1" si="9"/>
        <v>0</v>
      </c>
      <c r="F52" s="65">
        <f t="shared" ca="1" si="10"/>
        <v>0</v>
      </c>
    </row>
    <row r="53" spans="1:6" outlineLevel="2">
      <c r="A53" s="124"/>
      <c r="B53" s="121"/>
      <c r="C53" s="61" t="s">
        <v>203</v>
      </c>
      <c r="D53" s="64" t="e">
        <f t="shared" ca="1" si="0"/>
        <v>#DIV/0!</v>
      </c>
      <c r="E53" s="65">
        <f t="shared" ca="1" si="9"/>
        <v>0</v>
      </c>
      <c r="F53" s="65">
        <f t="shared" ca="1" si="10"/>
        <v>0</v>
      </c>
    </row>
    <row r="54" spans="1:6" outlineLevel="2">
      <c r="A54" s="124"/>
      <c r="B54" s="121"/>
      <c r="C54" s="61" t="s">
        <v>206</v>
      </c>
      <c r="D54" s="64" t="e">
        <f t="shared" ca="1" si="0"/>
        <v>#DIV/0!</v>
      </c>
      <c r="E54" s="65">
        <f t="shared" ca="1" si="9"/>
        <v>0</v>
      </c>
      <c r="F54" s="65">
        <f t="shared" ca="1" si="10"/>
        <v>0</v>
      </c>
    </row>
    <row r="55" spans="1:6" outlineLevel="2">
      <c r="A55" s="124"/>
      <c r="B55" s="121"/>
      <c r="C55" s="61" t="s">
        <v>25</v>
      </c>
      <c r="D55" s="64" t="e">
        <f t="shared" ca="1" si="0"/>
        <v>#DIV/0!</v>
      </c>
      <c r="E55" s="65">
        <f t="shared" ca="1" si="9"/>
        <v>0</v>
      </c>
      <c r="F55" s="65">
        <f t="shared" ca="1" si="10"/>
        <v>0</v>
      </c>
    </row>
    <row r="56" spans="1:6" outlineLevel="2">
      <c r="A56" s="124"/>
      <c r="B56" s="121"/>
      <c r="C56" s="61" t="s">
        <v>26</v>
      </c>
      <c r="D56" s="64" t="e">
        <f t="shared" ca="1" si="0"/>
        <v>#DIV/0!</v>
      </c>
      <c r="E56" s="65">
        <f t="shared" ca="1" si="9"/>
        <v>0</v>
      </c>
      <c r="F56" s="65">
        <f t="shared" ca="1" si="10"/>
        <v>0</v>
      </c>
    </row>
    <row r="57" spans="1:6" outlineLevel="2">
      <c r="A57" s="125"/>
      <c r="B57" s="122"/>
      <c r="C57" s="61" t="s">
        <v>149</v>
      </c>
      <c r="D57" s="64" t="e">
        <f t="shared" ca="1" si="0"/>
        <v>#DIV/0!</v>
      </c>
      <c r="E57" s="65">
        <f t="shared" ca="1" si="9"/>
        <v>0</v>
      </c>
      <c r="F57" s="65">
        <f t="shared" ca="1" si="10"/>
        <v>0</v>
      </c>
    </row>
    <row r="58" spans="1:6">
      <c r="A58" s="126" t="s">
        <v>209</v>
      </c>
      <c r="B58" s="129" t="s">
        <v>220</v>
      </c>
      <c r="C58" s="130"/>
      <c r="D58" s="66">
        <f t="shared" ca="1" si="0"/>
        <v>0</v>
      </c>
      <c r="E58" s="25">
        <f ca="1">SUMIF($C$59:$C$67,"소계", $E$59:$E$67)</f>
        <v>8</v>
      </c>
      <c r="F58" s="25">
        <f ca="1">SUMIF($C$59:$C$67,"소계", $F$59:$F$67)</f>
        <v>0</v>
      </c>
    </row>
    <row r="59" spans="1:6" outlineLevel="1">
      <c r="A59" s="127"/>
      <c r="B59" s="120" t="s">
        <v>198</v>
      </c>
      <c r="C59" s="73" t="s">
        <v>221</v>
      </c>
      <c r="D59" s="67">
        <f t="shared" ca="1" si="0"/>
        <v>0</v>
      </c>
      <c r="E59" s="68">
        <f ca="1">SUM(E60:E67)</f>
        <v>8</v>
      </c>
      <c r="F59" s="68">
        <f ca="1">SUM(F60:F67)</f>
        <v>0</v>
      </c>
    </row>
    <row r="60" spans="1:6" outlineLevel="2">
      <c r="A60" s="127"/>
      <c r="B60" s="121"/>
      <c r="C60" s="61" t="s">
        <v>207</v>
      </c>
      <c r="D60" s="64">
        <f t="shared" ca="1" si="0"/>
        <v>0</v>
      </c>
      <c r="E60" s="65">
        <f t="shared" ref="E60:E67" ca="1" si="11">COUNTIFS(INDIRECT($N$3&amp;"!"&amp;$N$4&amp;":"&amp;$N$4),$A$58,INDIRECT($N$3&amp;"!"&amp;$N$5&amp;":"&amp;$N$5),$B$59,INDIRECT($N$3&amp;"!"&amp;N6&amp;":"&amp;N6),"&lt;&gt;NA")</f>
        <v>1</v>
      </c>
      <c r="F60" s="65">
        <f t="shared" ref="F60:F67" ca="1" si="12">COUNTIFS(INDIRECT($N$3&amp;"!"&amp;$N$4&amp;":"&amp;$N$4),$A$58,INDIRECT($N$3&amp;"!"&amp;$N$5&amp;":"&amp;$N$5),$B$59,INDIRECT($N$3&amp;"!"&amp;N6&amp;":"&amp;N6),"Y")</f>
        <v>0</v>
      </c>
    </row>
    <row r="61" spans="1:6" outlineLevel="2">
      <c r="A61" s="127"/>
      <c r="B61" s="121"/>
      <c r="C61" s="61" t="s">
        <v>201</v>
      </c>
      <c r="D61" s="64">
        <f t="shared" ca="1" si="0"/>
        <v>0</v>
      </c>
      <c r="E61" s="65">
        <f t="shared" ca="1" si="11"/>
        <v>1</v>
      </c>
      <c r="F61" s="65">
        <f t="shared" ca="1" si="12"/>
        <v>0</v>
      </c>
    </row>
    <row r="62" spans="1:6" outlineLevel="2">
      <c r="A62" s="127"/>
      <c r="B62" s="121"/>
      <c r="C62" s="61" t="s">
        <v>202</v>
      </c>
      <c r="D62" s="64">
        <f t="shared" ca="1" si="0"/>
        <v>0</v>
      </c>
      <c r="E62" s="65">
        <f t="shared" ca="1" si="11"/>
        <v>1</v>
      </c>
      <c r="F62" s="65">
        <f t="shared" ca="1" si="12"/>
        <v>0</v>
      </c>
    </row>
    <row r="63" spans="1:6" outlineLevel="2">
      <c r="A63" s="127"/>
      <c r="B63" s="121"/>
      <c r="C63" s="61" t="s">
        <v>203</v>
      </c>
      <c r="D63" s="64">
        <f t="shared" ca="1" si="0"/>
        <v>0</v>
      </c>
      <c r="E63" s="65">
        <f t="shared" ca="1" si="11"/>
        <v>1</v>
      </c>
      <c r="F63" s="65">
        <f t="shared" ca="1" si="12"/>
        <v>0</v>
      </c>
    </row>
    <row r="64" spans="1:6" outlineLevel="2">
      <c r="A64" s="127"/>
      <c r="B64" s="121"/>
      <c r="C64" s="61" t="s">
        <v>206</v>
      </c>
      <c r="D64" s="64">
        <f t="shared" ca="1" si="0"/>
        <v>0</v>
      </c>
      <c r="E64" s="65">
        <f t="shared" ca="1" si="11"/>
        <v>1</v>
      </c>
      <c r="F64" s="65">
        <f t="shared" ca="1" si="12"/>
        <v>0</v>
      </c>
    </row>
    <row r="65" spans="1:6" outlineLevel="2">
      <c r="A65" s="127"/>
      <c r="B65" s="121"/>
      <c r="C65" s="61" t="s">
        <v>25</v>
      </c>
      <c r="D65" s="64">
        <f t="shared" ca="1" si="0"/>
        <v>0</v>
      </c>
      <c r="E65" s="65">
        <f t="shared" ca="1" si="11"/>
        <v>1</v>
      </c>
      <c r="F65" s="65">
        <f t="shared" ca="1" si="12"/>
        <v>0</v>
      </c>
    </row>
    <row r="66" spans="1:6" outlineLevel="2">
      <c r="A66" s="127"/>
      <c r="B66" s="121"/>
      <c r="C66" s="61" t="s">
        <v>26</v>
      </c>
      <c r="D66" s="64">
        <f t="shared" ca="1" si="0"/>
        <v>0</v>
      </c>
      <c r="E66" s="65">
        <f t="shared" ca="1" si="11"/>
        <v>1</v>
      </c>
      <c r="F66" s="65">
        <f t="shared" ca="1" si="12"/>
        <v>0</v>
      </c>
    </row>
    <row r="67" spans="1:6" outlineLevel="2">
      <c r="A67" s="128"/>
      <c r="B67" s="122"/>
      <c r="C67" s="61" t="s">
        <v>149</v>
      </c>
      <c r="D67" s="64">
        <f t="shared" ca="1" si="0"/>
        <v>0</v>
      </c>
      <c r="E67" s="65">
        <f t="shared" ca="1" si="11"/>
        <v>1</v>
      </c>
      <c r="F67" s="65">
        <f t="shared" ca="1" si="12"/>
        <v>0</v>
      </c>
    </row>
    <row r="68" spans="1:6">
      <c r="A68" s="116" t="s">
        <v>34</v>
      </c>
      <c r="B68" s="118" t="s">
        <v>220</v>
      </c>
      <c r="C68" s="119"/>
      <c r="D68" s="71">
        <f t="shared" ref="D68:D77" ca="1" si="13">F68/E68</f>
        <v>0</v>
      </c>
      <c r="E68" s="72">
        <f ca="1">SUMIF($C$69:$C$203,"소계", $E$69:$E$203)</f>
        <v>648</v>
      </c>
      <c r="F68" s="72">
        <f ca="1">SUMIF($C$69:$C$203,"소계", $F$69:$F$203)</f>
        <v>0</v>
      </c>
    </row>
    <row r="69" spans="1:6" outlineLevel="1">
      <c r="A69" s="116"/>
      <c r="B69" s="117" t="s">
        <v>237</v>
      </c>
      <c r="C69" s="73" t="s">
        <v>221</v>
      </c>
      <c r="D69" s="67">
        <f t="shared" ca="1" si="13"/>
        <v>0</v>
      </c>
      <c r="E69" s="68">
        <f ca="1">SUM(E70:E77)</f>
        <v>8</v>
      </c>
      <c r="F69" s="68">
        <f ca="1">SUM(F70:F77)</f>
        <v>0</v>
      </c>
    </row>
    <row r="70" spans="1:6" outlineLevel="2">
      <c r="A70" s="116"/>
      <c r="B70" s="117"/>
      <c r="C70" s="61" t="s">
        <v>207</v>
      </c>
      <c r="D70" s="64">
        <f t="shared" ca="1" si="13"/>
        <v>0</v>
      </c>
      <c r="E70" s="65">
        <f ca="1">COUNTIFS(INDIRECT($O$3&amp;"!"&amp;$O$4&amp;":"&amp;$O$4),$A$68,INDIRECT($O$3&amp;"!"&amp;$O$5&amp;":"&amp;$O$5),$B$69,INDIRECT($O$3&amp;"!"&amp;O6&amp;":"&amp;O6),"&lt;&gt;NA")</f>
        <v>1</v>
      </c>
      <c r="F70" s="65">
        <f ca="1">COUNTIFS(INDIRECT($O$3&amp;"!"&amp;$O$4&amp;":"&amp;$O$4),$A$68,INDIRECT($O$3&amp;"!"&amp;$O$5&amp;":"&amp;$O$5),$B$69,INDIRECT($O$3&amp;"!"&amp;O6&amp;":"&amp;O6),"Y")</f>
        <v>0</v>
      </c>
    </row>
    <row r="71" spans="1:6" outlineLevel="2">
      <c r="A71" s="116"/>
      <c r="B71" s="117"/>
      <c r="C71" s="61" t="s">
        <v>201</v>
      </c>
      <c r="D71" s="64">
        <f t="shared" ca="1" si="13"/>
        <v>0</v>
      </c>
      <c r="E71" s="65">
        <f t="shared" ref="E71:E77" ca="1" si="14">COUNTIFS(INDIRECT($O$3&amp;"!"&amp;$O$4&amp;":"&amp;$O$4),$A$68,INDIRECT($O$3&amp;"!"&amp;$O$5&amp;":"&amp;$O$5),$B$69,INDIRECT($O$3&amp;"!"&amp;O7&amp;":"&amp;O7),"&lt;&gt;NA")</f>
        <v>1</v>
      </c>
      <c r="F71" s="65">
        <f t="shared" ref="F71:F77" ca="1" si="15">COUNTIFS(INDIRECT($O$3&amp;"!"&amp;$O$4&amp;":"&amp;$O$4),$A$68,INDIRECT($O$3&amp;"!"&amp;$O$5&amp;":"&amp;$O$5),$B$69,INDIRECT($O$3&amp;"!"&amp;O7&amp;":"&amp;O7),"Y")</f>
        <v>0</v>
      </c>
    </row>
    <row r="72" spans="1:6" outlineLevel="2">
      <c r="A72" s="116"/>
      <c r="B72" s="117"/>
      <c r="C72" s="61" t="s">
        <v>202</v>
      </c>
      <c r="D72" s="64">
        <f t="shared" ca="1" si="13"/>
        <v>0</v>
      </c>
      <c r="E72" s="65">
        <f t="shared" ca="1" si="14"/>
        <v>1</v>
      </c>
      <c r="F72" s="65">
        <f t="shared" ca="1" si="15"/>
        <v>0</v>
      </c>
    </row>
    <row r="73" spans="1:6" outlineLevel="2">
      <c r="A73" s="116"/>
      <c r="B73" s="117"/>
      <c r="C73" s="61" t="s">
        <v>203</v>
      </c>
      <c r="D73" s="64">
        <f t="shared" ca="1" si="13"/>
        <v>0</v>
      </c>
      <c r="E73" s="65">
        <f t="shared" ca="1" si="14"/>
        <v>1</v>
      </c>
      <c r="F73" s="65">
        <f t="shared" ca="1" si="15"/>
        <v>0</v>
      </c>
    </row>
    <row r="74" spans="1:6" outlineLevel="2">
      <c r="A74" s="116"/>
      <c r="B74" s="117"/>
      <c r="C74" s="61" t="s">
        <v>206</v>
      </c>
      <c r="D74" s="64">
        <f t="shared" ca="1" si="13"/>
        <v>0</v>
      </c>
      <c r="E74" s="65">
        <f t="shared" ca="1" si="14"/>
        <v>1</v>
      </c>
      <c r="F74" s="65">
        <f t="shared" ca="1" si="15"/>
        <v>0</v>
      </c>
    </row>
    <row r="75" spans="1:6" outlineLevel="2">
      <c r="A75" s="116"/>
      <c r="B75" s="117"/>
      <c r="C75" s="61" t="s">
        <v>25</v>
      </c>
      <c r="D75" s="64">
        <f t="shared" ca="1" si="13"/>
        <v>0</v>
      </c>
      <c r="E75" s="65">
        <f t="shared" ca="1" si="14"/>
        <v>1</v>
      </c>
      <c r="F75" s="65">
        <f t="shared" ca="1" si="15"/>
        <v>0</v>
      </c>
    </row>
    <row r="76" spans="1:6" outlineLevel="2">
      <c r="A76" s="116"/>
      <c r="B76" s="117"/>
      <c r="C76" s="61" t="s">
        <v>26</v>
      </c>
      <c r="D76" s="64">
        <f t="shared" ca="1" si="13"/>
        <v>0</v>
      </c>
      <c r="E76" s="65">
        <f t="shared" ca="1" si="14"/>
        <v>1</v>
      </c>
      <c r="F76" s="65">
        <f t="shared" ca="1" si="15"/>
        <v>0</v>
      </c>
    </row>
    <row r="77" spans="1:6" outlineLevel="2">
      <c r="A77" s="116"/>
      <c r="B77" s="117"/>
      <c r="C77" s="61" t="s">
        <v>149</v>
      </c>
      <c r="D77" s="64">
        <f t="shared" ca="1" si="13"/>
        <v>0</v>
      </c>
      <c r="E77" s="65">
        <f t="shared" ca="1" si="14"/>
        <v>1</v>
      </c>
      <c r="F77" s="65">
        <f t="shared" ca="1" si="15"/>
        <v>0</v>
      </c>
    </row>
    <row r="78" spans="1:6" outlineLevel="1">
      <c r="A78" s="116"/>
      <c r="B78" s="117" t="s">
        <v>238</v>
      </c>
      <c r="C78" s="73" t="s">
        <v>221</v>
      </c>
      <c r="D78" s="67">
        <f t="shared" ref="D78:D79" ca="1" si="16">F78/E78</f>
        <v>0</v>
      </c>
      <c r="E78" s="68">
        <f ca="1">SUM(E79:E86)</f>
        <v>8</v>
      </c>
      <c r="F78" s="68">
        <f ca="1">SUM(F79:F86)</f>
        <v>0</v>
      </c>
    </row>
    <row r="79" spans="1:6" outlineLevel="2">
      <c r="A79" s="116"/>
      <c r="B79" s="117"/>
      <c r="C79" s="61" t="s">
        <v>207</v>
      </c>
      <c r="D79" s="64">
        <f t="shared" ca="1" si="16"/>
        <v>0</v>
      </c>
      <c r="E79" s="65">
        <f ca="1">COUNTIFS(INDIRECT($O$3&amp;"!"&amp;$O$4&amp;":"&amp;$O$4),$A$68,INDIRECT($O$3&amp;"!"&amp;$O$5&amp;":"&amp;$O$5),$B$78,INDIRECT($O$3&amp;"!"&amp;O6&amp;":"&amp;O6),"&lt;&gt;NA")</f>
        <v>1</v>
      </c>
      <c r="F79" s="65">
        <f ca="1">COUNTIFS(INDIRECT($O$3&amp;"!"&amp;$O$4&amp;":"&amp;$O$4),$A$68,INDIRECT($O$3&amp;"!"&amp;$O$5&amp;":"&amp;$O$5),$B$78,INDIRECT($O$3&amp;"!"&amp;O6&amp;":"&amp;O6),"Y")</f>
        <v>0</v>
      </c>
    </row>
    <row r="80" spans="1:6" outlineLevel="2">
      <c r="A80" s="116"/>
      <c r="B80" s="117"/>
      <c r="C80" s="61" t="s">
        <v>201</v>
      </c>
      <c r="D80" s="64">
        <f t="shared" ref="D80:D88" ca="1" si="17">F80/E80</f>
        <v>0</v>
      </c>
      <c r="E80" s="65">
        <f t="shared" ref="E80:E86" ca="1" si="18">COUNTIFS(INDIRECT($O$3&amp;"!"&amp;$O$4&amp;":"&amp;$O$4),$A$68,INDIRECT($O$3&amp;"!"&amp;$O$5&amp;":"&amp;$O$5),$B$78,INDIRECT($O$3&amp;"!"&amp;O7&amp;":"&amp;O7),"&lt;&gt;NA")</f>
        <v>1</v>
      </c>
      <c r="F80" s="65">
        <f t="shared" ref="F80:F86" ca="1" si="19">COUNTIFS(INDIRECT($O$3&amp;"!"&amp;$O$4&amp;":"&amp;$O$4),$A$68,INDIRECT($O$3&amp;"!"&amp;$O$5&amp;":"&amp;$O$5),$B$78,INDIRECT($O$3&amp;"!"&amp;O7&amp;":"&amp;O7),"Y")</f>
        <v>0</v>
      </c>
    </row>
    <row r="81" spans="1:6" outlineLevel="2">
      <c r="A81" s="116"/>
      <c r="B81" s="117"/>
      <c r="C81" s="61" t="s">
        <v>202</v>
      </c>
      <c r="D81" s="64">
        <f t="shared" ca="1" si="17"/>
        <v>0</v>
      </c>
      <c r="E81" s="65">
        <f t="shared" ca="1" si="18"/>
        <v>1</v>
      </c>
      <c r="F81" s="65">
        <f t="shared" ca="1" si="19"/>
        <v>0</v>
      </c>
    </row>
    <row r="82" spans="1:6" outlineLevel="2">
      <c r="A82" s="116"/>
      <c r="B82" s="117"/>
      <c r="C82" s="61" t="s">
        <v>203</v>
      </c>
      <c r="D82" s="64">
        <f t="shared" ca="1" si="17"/>
        <v>0</v>
      </c>
      <c r="E82" s="65">
        <f t="shared" ca="1" si="18"/>
        <v>1</v>
      </c>
      <c r="F82" s="65">
        <f t="shared" ca="1" si="19"/>
        <v>0</v>
      </c>
    </row>
    <row r="83" spans="1:6" outlineLevel="2">
      <c r="A83" s="116"/>
      <c r="B83" s="117"/>
      <c r="C83" s="61" t="s">
        <v>206</v>
      </c>
      <c r="D83" s="64">
        <f t="shared" ca="1" si="17"/>
        <v>0</v>
      </c>
      <c r="E83" s="65">
        <f t="shared" ca="1" si="18"/>
        <v>1</v>
      </c>
      <c r="F83" s="65">
        <f t="shared" ca="1" si="19"/>
        <v>0</v>
      </c>
    </row>
    <row r="84" spans="1:6" outlineLevel="2">
      <c r="A84" s="116"/>
      <c r="B84" s="117"/>
      <c r="C84" s="61" t="s">
        <v>25</v>
      </c>
      <c r="D84" s="64">
        <f t="shared" ca="1" si="17"/>
        <v>0</v>
      </c>
      <c r="E84" s="65">
        <f t="shared" ca="1" si="18"/>
        <v>1</v>
      </c>
      <c r="F84" s="65">
        <f t="shared" ca="1" si="19"/>
        <v>0</v>
      </c>
    </row>
    <row r="85" spans="1:6" outlineLevel="2">
      <c r="A85" s="116"/>
      <c r="B85" s="117"/>
      <c r="C85" s="61" t="s">
        <v>26</v>
      </c>
      <c r="D85" s="64">
        <f t="shared" ca="1" si="17"/>
        <v>0</v>
      </c>
      <c r="E85" s="65">
        <f t="shared" ca="1" si="18"/>
        <v>1</v>
      </c>
      <c r="F85" s="65">
        <f t="shared" ca="1" si="19"/>
        <v>0</v>
      </c>
    </row>
    <row r="86" spans="1:6" outlineLevel="2">
      <c r="A86" s="116"/>
      <c r="B86" s="117"/>
      <c r="C86" s="61" t="s">
        <v>149</v>
      </c>
      <c r="D86" s="64">
        <f t="shared" ca="1" si="17"/>
        <v>0</v>
      </c>
      <c r="E86" s="65">
        <f t="shared" ca="1" si="18"/>
        <v>1</v>
      </c>
      <c r="F86" s="65">
        <f t="shared" ca="1" si="19"/>
        <v>0</v>
      </c>
    </row>
    <row r="87" spans="1:6" outlineLevel="1">
      <c r="A87" s="116"/>
      <c r="B87" s="117" t="s">
        <v>239</v>
      </c>
      <c r="C87" s="73" t="s">
        <v>221</v>
      </c>
      <c r="D87" s="67">
        <f t="shared" ca="1" si="17"/>
        <v>0</v>
      </c>
      <c r="E87" s="68">
        <f ca="1">SUM(E88:E95)</f>
        <v>48</v>
      </c>
      <c r="F87" s="68">
        <f ca="1">SUM(F88:F95)</f>
        <v>0</v>
      </c>
    </row>
    <row r="88" spans="1:6" outlineLevel="2">
      <c r="A88" s="116"/>
      <c r="B88" s="117"/>
      <c r="C88" s="61" t="s">
        <v>207</v>
      </c>
      <c r="D88" s="64">
        <f t="shared" ca="1" si="17"/>
        <v>0</v>
      </c>
      <c r="E88" s="65">
        <f ca="1">COUNTIFS(INDIRECT($O$3&amp;"!"&amp;$O$4&amp;":"&amp;$O$4),$A$68,INDIRECT($O$3&amp;"!"&amp;$O$5&amp;":"&amp;$O$5),$B$87,INDIRECT($O$3&amp;"!"&amp;O6&amp;":"&amp;O6),"&lt;&gt;NA")</f>
        <v>6</v>
      </c>
      <c r="F88" s="65">
        <f ca="1">COUNTIFS(INDIRECT($O$3&amp;"!"&amp;$O$4&amp;":"&amp;$O$4),$A$68,INDIRECT($O$3&amp;"!"&amp;$O$5&amp;":"&amp;$O$5),$B$87,INDIRECT($O$3&amp;"!"&amp;O6&amp;":"&amp;O6),"Y")</f>
        <v>0</v>
      </c>
    </row>
    <row r="89" spans="1:6" outlineLevel="2">
      <c r="A89" s="116"/>
      <c r="B89" s="117"/>
      <c r="C89" s="61" t="s">
        <v>201</v>
      </c>
      <c r="D89" s="64">
        <f t="shared" ref="D89:D97" ca="1" si="20">F89/E89</f>
        <v>0</v>
      </c>
      <c r="E89" s="65">
        <f t="shared" ref="E89:E95" ca="1" si="21">COUNTIFS(INDIRECT($O$3&amp;"!"&amp;$O$4&amp;":"&amp;$O$4),$A$68,INDIRECT($O$3&amp;"!"&amp;$O$5&amp;":"&amp;$O$5),$B$87,INDIRECT($O$3&amp;"!"&amp;O7&amp;":"&amp;O7),"&lt;&gt;NA")</f>
        <v>6</v>
      </c>
      <c r="F89" s="65">
        <f t="shared" ref="F89:F95" ca="1" si="22">COUNTIFS(INDIRECT($O$3&amp;"!"&amp;$O$4&amp;":"&amp;$O$4),$A$68,INDIRECT($O$3&amp;"!"&amp;$O$5&amp;":"&amp;$O$5),$B$87,INDIRECT($O$3&amp;"!"&amp;O7&amp;":"&amp;O7),"Y")</f>
        <v>0</v>
      </c>
    </row>
    <row r="90" spans="1:6" outlineLevel="2">
      <c r="A90" s="116"/>
      <c r="B90" s="117"/>
      <c r="C90" s="61" t="s">
        <v>202</v>
      </c>
      <c r="D90" s="64">
        <f t="shared" ca="1" si="20"/>
        <v>0</v>
      </c>
      <c r="E90" s="65">
        <f t="shared" ca="1" si="21"/>
        <v>6</v>
      </c>
      <c r="F90" s="65">
        <f t="shared" ca="1" si="22"/>
        <v>0</v>
      </c>
    </row>
    <row r="91" spans="1:6" outlineLevel="2">
      <c r="A91" s="116"/>
      <c r="B91" s="117"/>
      <c r="C91" s="61" t="s">
        <v>203</v>
      </c>
      <c r="D91" s="64">
        <f t="shared" ca="1" si="20"/>
        <v>0</v>
      </c>
      <c r="E91" s="65">
        <f t="shared" ca="1" si="21"/>
        <v>6</v>
      </c>
      <c r="F91" s="65">
        <f t="shared" ca="1" si="22"/>
        <v>0</v>
      </c>
    </row>
    <row r="92" spans="1:6" outlineLevel="2">
      <c r="A92" s="116"/>
      <c r="B92" s="117"/>
      <c r="C92" s="61" t="s">
        <v>206</v>
      </c>
      <c r="D92" s="64">
        <f t="shared" ca="1" si="20"/>
        <v>0</v>
      </c>
      <c r="E92" s="65">
        <f t="shared" ca="1" si="21"/>
        <v>6</v>
      </c>
      <c r="F92" s="65">
        <f t="shared" ca="1" si="22"/>
        <v>0</v>
      </c>
    </row>
    <row r="93" spans="1:6" outlineLevel="2">
      <c r="A93" s="116"/>
      <c r="B93" s="117"/>
      <c r="C93" s="61" t="s">
        <v>25</v>
      </c>
      <c r="D93" s="64">
        <f t="shared" ca="1" si="20"/>
        <v>0</v>
      </c>
      <c r="E93" s="65">
        <f t="shared" ca="1" si="21"/>
        <v>6</v>
      </c>
      <c r="F93" s="65">
        <f t="shared" ca="1" si="22"/>
        <v>0</v>
      </c>
    </row>
    <row r="94" spans="1:6" outlineLevel="2">
      <c r="A94" s="116"/>
      <c r="B94" s="117"/>
      <c r="C94" s="61" t="s">
        <v>26</v>
      </c>
      <c r="D94" s="64">
        <f t="shared" ca="1" si="20"/>
        <v>0</v>
      </c>
      <c r="E94" s="65">
        <f t="shared" ca="1" si="21"/>
        <v>6</v>
      </c>
      <c r="F94" s="65">
        <f t="shared" ca="1" si="22"/>
        <v>0</v>
      </c>
    </row>
    <row r="95" spans="1:6" outlineLevel="2">
      <c r="A95" s="116"/>
      <c r="B95" s="117"/>
      <c r="C95" s="61" t="s">
        <v>149</v>
      </c>
      <c r="D95" s="64">
        <f t="shared" ca="1" si="20"/>
        <v>0</v>
      </c>
      <c r="E95" s="65">
        <f t="shared" ca="1" si="21"/>
        <v>6</v>
      </c>
      <c r="F95" s="65">
        <f t="shared" ca="1" si="22"/>
        <v>0</v>
      </c>
    </row>
    <row r="96" spans="1:6" outlineLevel="1">
      <c r="A96" s="116"/>
      <c r="B96" s="117" t="s">
        <v>240</v>
      </c>
      <c r="C96" s="73" t="s">
        <v>221</v>
      </c>
      <c r="D96" s="67">
        <f t="shared" ca="1" si="20"/>
        <v>0</v>
      </c>
      <c r="E96" s="68">
        <f ca="1">SUM(E97:E104)</f>
        <v>56</v>
      </c>
      <c r="F96" s="68">
        <f ca="1">SUM(F97:F104)</f>
        <v>0</v>
      </c>
    </row>
    <row r="97" spans="1:6" outlineLevel="2">
      <c r="A97" s="116"/>
      <c r="B97" s="117"/>
      <c r="C97" s="61" t="s">
        <v>207</v>
      </c>
      <c r="D97" s="64">
        <f t="shared" ca="1" si="20"/>
        <v>0</v>
      </c>
      <c r="E97" s="65">
        <f ca="1">COUNTIFS(INDIRECT($O$3&amp;"!"&amp;$O$4&amp;":"&amp;$O$4),$A$68,INDIRECT($O$3&amp;"!"&amp;$O$5&amp;":"&amp;$O$5),$B$96,INDIRECT($O$3&amp;"!"&amp;O6&amp;":"&amp;O6),"&lt;&gt;NA")</f>
        <v>7</v>
      </c>
      <c r="F97" s="65">
        <f ca="1">COUNTIFS(INDIRECT($O$3&amp;"!"&amp;$O$4&amp;":"&amp;$O$4),$A$68,INDIRECT($O$3&amp;"!"&amp;$O$5&amp;":"&amp;$O$5),$B$96,INDIRECT($O$3&amp;"!"&amp;O6&amp;":"&amp;O6),"Y")</f>
        <v>0</v>
      </c>
    </row>
    <row r="98" spans="1:6" outlineLevel="2">
      <c r="A98" s="116"/>
      <c r="B98" s="117"/>
      <c r="C98" s="61" t="s">
        <v>201</v>
      </c>
      <c r="D98" s="64">
        <f t="shared" ref="D98:D104" ca="1" si="23">F98/E98</f>
        <v>0</v>
      </c>
      <c r="E98" s="65">
        <f t="shared" ref="E98:E104" ca="1" si="24">COUNTIFS(INDIRECT($O$3&amp;"!"&amp;$O$4&amp;":"&amp;$O$4),$A$68,INDIRECT($O$3&amp;"!"&amp;$O$5&amp;":"&amp;$O$5),$B$96,INDIRECT($O$3&amp;"!"&amp;O7&amp;":"&amp;O7),"&lt;&gt;NA")</f>
        <v>7</v>
      </c>
      <c r="F98" s="65">
        <f t="shared" ref="F98:F104" ca="1" si="25">COUNTIFS(INDIRECT($O$3&amp;"!"&amp;$O$4&amp;":"&amp;$O$4),$A$68,INDIRECT($O$3&amp;"!"&amp;$O$5&amp;":"&amp;$O$5),$B$96,INDIRECT($O$3&amp;"!"&amp;O7&amp;":"&amp;O7),"Y")</f>
        <v>0</v>
      </c>
    </row>
    <row r="99" spans="1:6" outlineLevel="2">
      <c r="A99" s="116"/>
      <c r="B99" s="117"/>
      <c r="C99" s="61" t="s">
        <v>202</v>
      </c>
      <c r="D99" s="64">
        <f t="shared" ca="1" si="23"/>
        <v>0</v>
      </c>
      <c r="E99" s="65">
        <f t="shared" ca="1" si="24"/>
        <v>7</v>
      </c>
      <c r="F99" s="65">
        <f t="shared" ca="1" si="25"/>
        <v>0</v>
      </c>
    </row>
    <row r="100" spans="1:6" outlineLevel="2">
      <c r="A100" s="116"/>
      <c r="B100" s="117"/>
      <c r="C100" s="61" t="s">
        <v>203</v>
      </c>
      <c r="D100" s="64">
        <f t="shared" ca="1" si="23"/>
        <v>0</v>
      </c>
      <c r="E100" s="65">
        <f t="shared" ca="1" si="24"/>
        <v>7</v>
      </c>
      <c r="F100" s="65">
        <f t="shared" ca="1" si="25"/>
        <v>0</v>
      </c>
    </row>
    <row r="101" spans="1:6" outlineLevel="2">
      <c r="A101" s="116"/>
      <c r="B101" s="117"/>
      <c r="C101" s="61" t="s">
        <v>206</v>
      </c>
      <c r="D101" s="64">
        <f t="shared" ca="1" si="23"/>
        <v>0</v>
      </c>
      <c r="E101" s="65">
        <f t="shared" ca="1" si="24"/>
        <v>7</v>
      </c>
      <c r="F101" s="65">
        <f t="shared" ca="1" si="25"/>
        <v>0</v>
      </c>
    </row>
    <row r="102" spans="1:6" outlineLevel="2">
      <c r="A102" s="116"/>
      <c r="B102" s="117"/>
      <c r="C102" s="61" t="s">
        <v>25</v>
      </c>
      <c r="D102" s="64">
        <f t="shared" ca="1" si="23"/>
        <v>0</v>
      </c>
      <c r="E102" s="65">
        <f t="shared" ca="1" si="24"/>
        <v>7</v>
      </c>
      <c r="F102" s="65">
        <f t="shared" ca="1" si="25"/>
        <v>0</v>
      </c>
    </row>
    <row r="103" spans="1:6" outlineLevel="2">
      <c r="A103" s="116"/>
      <c r="B103" s="117"/>
      <c r="C103" s="61" t="s">
        <v>26</v>
      </c>
      <c r="D103" s="64">
        <f t="shared" ca="1" si="23"/>
        <v>0</v>
      </c>
      <c r="E103" s="65">
        <f t="shared" ca="1" si="24"/>
        <v>7</v>
      </c>
      <c r="F103" s="65">
        <f t="shared" ca="1" si="25"/>
        <v>0</v>
      </c>
    </row>
    <row r="104" spans="1:6" outlineLevel="2">
      <c r="A104" s="116"/>
      <c r="B104" s="117"/>
      <c r="C104" s="61" t="s">
        <v>149</v>
      </c>
      <c r="D104" s="64">
        <f t="shared" ca="1" si="23"/>
        <v>0</v>
      </c>
      <c r="E104" s="65">
        <f t="shared" ca="1" si="24"/>
        <v>7</v>
      </c>
      <c r="F104" s="65">
        <f t="shared" ca="1" si="25"/>
        <v>0</v>
      </c>
    </row>
    <row r="105" spans="1:6" outlineLevel="1">
      <c r="A105" s="116"/>
      <c r="B105" s="117" t="s">
        <v>241</v>
      </c>
      <c r="C105" s="73" t="s">
        <v>221</v>
      </c>
      <c r="D105" s="67">
        <f t="shared" ref="D105:D106" ca="1" si="26">F105/E105</f>
        <v>0</v>
      </c>
      <c r="E105" s="68">
        <f ca="1">SUM(E106:E113)</f>
        <v>8</v>
      </c>
      <c r="F105" s="68">
        <f ca="1">SUM(F106:F113)</f>
        <v>0</v>
      </c>
    </row>
    <row r="106" spans="1:6" outlineLevel="2">
      <c r="A106" s="116"/>
      <c r="B106" s="117"/>
      <c r="C106" s="61" t="s">
        <v>207</v>
      </c>
      <c r="D106" s="64">
        <f t="shared" ca="1" si="26"/>
        <v>0</v>
      </c>
      <c r="E106" s="65">
        <f ca="1">COUNTIFS(INDIRECT($O$3&amp;"!"&amp;$O$4&amp;":"&amp;$O$4),$A$68,INDIRECT($O$3&amp;"!"&amp;$O$5&amp;":"&amp;$O$5),$B$105,INDIRECT($O$3&amp;"!"&amp;O6&amp;":"&amp;O6),"&lt;&gt;NA")</f>
        <v>1</v>
      </c>
      <c r="F106" s="65">
        <f ca="1">COUNTIFS(INDIRECT($O$3&amp;"!"&amp;$O$4&amp;":"&amp;$O$4),$A$68,INDIRECT($O$3&amp;"!"&amp;$O$5&amp;":"&amp;$O$5),$B$105,INDIRECT($O$3&amp;"!"&amp;O6&amp;":"&amp;O6),"Y")</f>
        <v>0</v>
      </c>
    </row>
    <row r="107" spans="1:6" outlineLevel="2">
      <c r="A107" s="116"/>
      <c r="B107" s="117"/>
      <c r="C107" s="61" t="s">
        <v>201</v>
      </c>
      <c r="D107" s="64">
        <f t="shared" ref="D107:D113" ca="1" si="27">F107/E107</f>
        <v>0</v>
      </c>
      <c r="E107" s="65">
        <f t="shared" ref="E107:E113" ca="1" si="28">COUNTIFS(INDIRECT($O$3&amp;"!"&amp;$O$4&amp;":"&amp;$O$4),$A$68,INDIRECT($O$3&amp;"!"&amp;$O$5&amp;":"&amp;$O$5),$B$105,INDIRECT($O$3&amp;"!"&amp;O7&amp;":"&amp;O7),"&lt;&gt;NA")</f>
        <v>1</v>
      </c>
      <c r="F107" s="65">
        <f t="shared" ref="F107:F113" ca="1" si="29">COUNTIFS(INDIRECT($O$3&amp;"!"&amp;$O$4&amp;":"&amp;$O$4),$A$68,INDIRECT($O$3&amp;"!"&amp;$O$5&amp;":"&amp;$O$5),$B$105,INDIRECT($O$3&amp;"!"&amp;O7&amp;":"&amp;O7),"Y")</f>
        <v>0</v>
      </c>
    </row>
    <row r="108" spans="1:6" outlineLevel="2">
      <c r="A108" s="116"/>
      <c r="B108" s="117"/>
      <c r="C108" s="61" t="s">
        <v>202</v>
      </c>
      <c r="D108" s="64">
        <f t="shared" ca="1" si="27"/>
        <v>0</v>
      </c>
      <c r="E108" s="65">
        <f t="shared" ca="1" si="28"/>
        <v>1</v>
      </c>
      <c r="F108" s="65">
        <f t="shared" ca="1" si="29"/>
        <v>0</v>
      </c>
    </row>
    <row r="109" spans="1:6" outlineLevel="2">
      <c r="A109" s="116"/>
      <c r="B109" s="117"/>
      <c r="C109" s="61" t="s">
        <v>203</v>
      </c>
      <c r="D109" s="64">
        <f t="shared" ca="1" si="27"/>
        <v>0</v>
      </c>
      <c r="E109" s="65">
        <f t="shared" ca="1" si="28"/>
        <v>1</v>
      </c>
      <c r="F109" s="65">
        <f t="shared" ca="1" si="29"/>
        <v>0</v>
      </c>
    </row>
    <row r="110" spans="1:6" outlineLevel="2">
      <c r="A110" s="116"/>
      <c r="B110" s="117"/>
      <c r="C110" s="61" t="s">
        <v>206</v>
      </c>
      <c r="D110" s="64">
        <f t="shared" ca="1" si="27"/>
        <v>0</v>
      </c>
      <c r="E110" s="65">
        <f t="shared" ca="1" si="28"/>
        <v>1</v>
      </c>
      <c r="F110" s="65">
        <f t="shared" ca="1" si="29"/>
        <v>0</v>
      </c>
    </row>
    <row r="111" spans="1:6" outlineLevel="2">
      <c r="A111" s="116"/>
      <c r="B111" s="117"/>
      <c r="C111" s="61" t="s">
        <v>25</v>
      </c>
      <c r="D111" s="64">
        <f t="shared" ca="1" si="27"/>
        <v>0</v>
      </c>
      <c r="E111" s="65">
        <f t="shared" ca="1" si="28"/>
        <v>1</v>
      </c>
      <c r="F111" s="65">
        <f t="shared" ca="1" si="29"/>
        <v>0</v>
      </c>
    </row>
    <row r="112" spans="1:6" outlineLevel="2">
      <c r="A112" s="116"/>
      <c r="B112" s="117"/>
      <c r="C112" s="61" t="s">
        <v>26</v>
      </c>
      <c r="D112" s="64">
        <f t="shared" ca="1" si="27"/>
        <v>0</v>
      </c>
      <c r="E112" s="65">
        <f t="shared" ca="1" si="28"/>
        <v>1</v>
      </c>
      <c r="F112" s="65">
        <f t="shared" ca="1" si="29"/>
        <v>0</v>
      </c>
    </row>
    <row r="113" spans="1:6" outlineLevel="2">
      <c r="A113" s="116"/>
      <c r="B113" s="117"/>
      <c r="C113" s="61" t="s">
        <v>149</v>
      </c>
      <c r="D113" s="64">
        <f t="shared" ca="1" si="27"/>
        <v>0</v>
      </c>
      <c r="E113" s="65">
        <f t="shared" ca="1" si="28"/>
        <v>1</v>
      </c>
      <c r="F113" s="65">
        <f t="shared" ca="1" si="29"/>
        <v>0</v>
      </c>
    </row>
    <row r="114" spans="1:6" outlineLevel="1">
      <c r="A114" s="116"/>
      <c r="B114" s="117" t="s">
        <v>242</v>
      </c>
      <c r="C114" s="73" t="s">
        <v>221</v>
      </c>
      <c r="D114" s="67">
        <f t="shared" ref="D114:D115" ca="1" si="30">F114/E114</f>
        <v>0</v>
      </c>
      <c r="E114" s="68">
        <f ca="1">SUM(E115:E122)</f>
        <v>144</v>
      </c>
      <c r="F114" s="68">
        <f ca="1">SUM(F115:F122)</f>
        <v>0</v>
      </c>
    </row>
    <row r="115" spans="1:6" outlineLevel="2">
      <c r="A115" s="116"/>
      <c r="B115" s="117"/>
      <c r="C115" s="61" t="s">
        <v>207</v>
      </c>
      <c r="D115" s="64">
        <f t="shared" ca="1" si="30"/>
        <v>0</v>
      </c>
      <c r="E115" s="65">
        <f ca="1">COUNTIFS(INDIRECT($O$3&amp;"!"&amp;$O$4&amp;":"&amp;$O$4),$A$68,INDIRECT($O$3&amp;"!"&amp;$O$5&amp;":"&amp;$O$5),$B$114,INDIRECT($O$3&amp;"!"&amp;O6&amp;":"&amp;O6),"&lt;&gt;NA")</f>
        <v>18</v>
      </c>
      <c r="F115" s="65">
        <f ca="1">COUNTIFS(INDIRECT($O$3&amp;"!"&amp;$O$4&amp;":"&amp;$O$4),$A$68,INDIRECT($O$3&amp;"!"&amp;$O$5&amp;":"&amp;$O$5),$B$114,INDIRECT($O$3&amp;"!"&amp;O6&amp;":"&amp;O6),"Y")</f>
        <v>0</v>
      </c>
    </row>
    <row r="116" spans="1:6" outlineLevel="2">
      <c r="A116" s="116"/>
      <c r="B116" s="117"/>
      <c r="C116" s="61" t="s">
        <v>201</v>
      </c>
      <c r="D116" s="64">
        <f t="shared" ref="D116:D122" ca="1" si="31">F116/E116</f>
        <v>0</v>
      </c>
      <c r="E116" s="65">
        <f t="shared" ref="E116:E122" ca="1" si="32">COUNTIFS(INDIRECT($O$3&amp;"!"&amp;$O$4&amp;":"&amp;$O$4),$A$68,INDIRECT($O$3&amp;"!"&amp;$O$5&amp;":"&amp;$O$5),$B$114,INDIRECT($O$3&amp;"!"&amp;O7&amp;":"&amp;O7),"&lt;&gt;NA")</f>
        <v>18</v>
      </c>
      <c r="F116" s="65">
        <f t="shared" ref="F116:F122" ca="1" si="33">COUNTIFS(INDIRECT($O$3&amp;"!"&amp;$O$4&amp;":"&amp;$O$4),$A$68,INDIRECT($O$3&amp;"!"&amp;$O$5&amp;":"&amp;$O$5),$B$114,INDIRECT($O$3&amp;"!"&amp;O7&amp;":"&amp;O7),"Y")</f>
        <v>0</v>
      </c>
    </row>
    <row r="117" spans="1:6" outlineLevel="2">
      <c r="A117" s="116"/>
      <c r="B117" s="117"/>
      <c r="C117" s="61" t="s">
        <v>202</v>
      </c>
      <c r="D117" s="64">
        <f t="shared" ca="1" si="31"/>
        <v>0</v>
      </c>
      <c r="E117" s="65">
        <f t="shared" ca="1" si="32"/>
        <v>18</v>
      </c>
      <c r="F117" s="65">
        <f t="shared" ca="1" si="33"/>
        <v>0</v>
      </c>
    </row>
    <row r="118" spans="1:6" outlineLevel="2">
      <c r="A118" s="116"/>
      <c r="B118" s="117"/>
      <c r="C118" s="61" t="s">
        <v>203</v>
      </c>
      <c r="D118" s="64">
        <f t="shared" ca="1" si="31"/>
        <v>0</v>
      </c>
      <c r="E118" s="65">
        <f t="shared" ca="1" si="32"/>
        <v>18</v>
      </c>
      <c r="F118" s="65">
        <f t="shared" ca="1" si="33"/>
        <v>0</v>
      </c>
    </row>
    <row r="119" spans="1:6" outlineLevel="2">
      <c r="A119" s="116"/>
      <c r="B119" s="117"/>
      <c r="C119" s="61" t="s">
        <v>206</v>
      </c>
      <c r="D119" s="64">
        <f t="shared" ca="1" si="31"/>
        <v>0</v>
      </c>
      <c r="E119" s="65">
        <f t="shared" ca="1" si="32"/>
        <v>18</v>
      </c>
      <c r="F119" s="65">
        <f t="shared" ca="1" si="33"/>
        <v>0</v>
      </c>
    </row>
    <row r="120" spans="1:6" outlineLevel="2">
      <c r="A120" s="116"/>
      <c r="B120" s="117"/>
      <c r="C120" s="61" t="s">
        <v>25</v>
      </c>
      <c r="D120" s="64">
        <f t="shared" ca="1" si="31"/>
        <v>0</v>
      </c>
      <c r="E120" s="65">
        <f t="shared" ca="1" si="32"/>
        <v>18</v>
      </c>
      <c r="F120" s="65">
        <f t="shared" ca="1" si="33"/>
        <v>0</v>
      </c>
    </row>
    <row r="121" spans="1:6" outlineLevel="2">
      <c r="A121" s="116"/>
      <c r="B121" s="117"/>
      <c r="C121" s="61" t="s">
        <v>26</v>
      </c>
      <c r="D121" s="64">
        <f t="shared" ca="1" si="31"/>
        <v>0</v>
      </c>
      <c r="E121" s="65">
        <f t="shared" ca="1" si="32"/>
        <v>18</v>
      </c>
      <c r="F121" s="65">
        <f t="shared" ca="1" si="33"/>
        <v>0</v>
      </c>
    </row>
    <row r="122" spans="1:6" outlineLevel="2">
      <c r="A122" s="116"/>
      <c r="B122" s="117"/>
      <c r="C122" s="61" t="s">
        <v>149</v>
      </c>
      <c r="D122" s="64">
        <f t="shared" ca="1" si="31"/>
        <v>0</v>
      </c>
      <c r="E122" s="65">
        <f t="shared" ca="1" si="32"/>
        <v>18</v>
      </c>
      <c r="F122" s="65">
        <f t="shared" ca="1" si="33"/>
        <v>0</v>
      </c>
    </row>
    <row r="123" spans="1:6" outlineLevel="1">
      <c r="A123" s="116"/>
      <c r="B123" s="117" t="s">
        <v>243</v>
      </c>
      <c r="C123" s="73" t="s">
        <v>221</v>
      </c>
      <c r="D123" s="67">
        <f t="shared" ref="D123:D124" ca="1" si="34">F123/E123</f>
        <v>0</v>
      </c>
      <c r="E123" s="68">
        <f ca="1">SUM(E124:E131)</f>
        <v>40</v>
      </c>
      <c r="F123" s="68">
        <f ca="1">SUM(F124:F131)</f>
        <v>0</v>
      </c>
    </row>
    <row r="124" spans="1:6" outlineLevel="2">
      <c r="A124" s="116"/>
      <c r="B124" s="117"/>
      <c r="C124" s="61" t="s">
        <v>207</v>
      </c>
      <c r="D124" s="64">
        <f t="shared" ca="1" si="34"/>
        <v>0</v>
      </c>
      <c r="E124" s="65">
        <f ca="1">COUNTIFS(INDIRECT($O$3&amp;"!"&amp;$O$4&amp;":"&amp;$O$4),$A$68,INDIRECT($O$3&amp;"!"&amp;$O$5&amp;":"&amp;$O$5),$B$123,INDIRECT($O$3&amp;"!"&amp;O6&amp;":"&amp;O6),"&lt;&gt;NA")</f>
        <v>5</v>
      </c>
      <c r="F124" s="65">
        <f ca="1">COUNTIFS(INDIRECT($O$3&amp;"!"&amp;$O$4&amp;":"&amp;$O$4),$A$68,INDIRECT($O$3&amp;"!"&amp;$O$5&amp;":"&amp;$O$5),$B$123,INDIRECT($O$3&amp;"!"&amp;O6&amp;":"&amp;O6),"Y")</f>
        <v>0</v>
      </c>
    </row>
    <row r="125" spans="1:6" outlineLevel="2">
      <c r="A125" s="116"/>
      <c r="B125" s="117"/>
      <c r="C125" s="61" t="s">
        <v>201</v>
      </c>
      <c r="D125" s="64">
        <f t="shared" ref="D125:D131" ca="1" si="35">F125/E125</f>
        <v>0</v>
      </c>
      <c r="E125" s="65">
        <f t="shared" ref="E125:E131" ca="1" si="36">COUNTIFS(INDIRECT($O$3&amp;"!"&amp;$O$4&amp;":"&amp;$O$4),$A$68,INDIRECT($O$3&amp;"!"&amp;$O$5&amp;":"&amp;$O$5),$B$123,INDIRECT($O$3&amp;"!"&amp;O7&amp;":"&amp;O7),"&lt;&gt;NA")</f>
        <v>5</v>
      </c>
      <c r="F125" s="65">
        <f t="shared" ref="F125:F131" ca="1" si="37">COUNTIFS(INDIRECT($O$3&amp;"!"&amp;$O$4&amp;":"&amp;$O$4),$A$68,INDIRECT($O$3&amp;"!"&amp;$O$5&amp;":"&amp;$O$5),$B$123,INDIRECT($O$3&amp;"!"&amp;O7&amp;":"&amp;O7),"Y")</f>
        <v>0</v>
      </c>
    </row>
    <row r="126" spans="1:6" outlineLevel="2">
      <c r="A126" s="116"/>
      <c r="B126" s="117"/>
      <c r="C126" s="61" t="s">
        <v>202</v>
      </c>
      <c r="D126" s="64">
        <f t="shared" ca="1" si="35"/>
        <v>0</v>
      </c>
      <c r="E126" s="65">
        <f t="shared" ca="1" si="36"/>
        <v>5</v>
      </c>
      <c r="F126" s="65">
        <f t="shared" ca="1" si="37"/>
        <v>0</v>
      </c>
    </row>
    <row r="127" spans="1:6" outlineLevel="2">
      <c r="A127" s="116"/>
      <c r="B127" s="117"/>
      <c r="C127" s="61" t="s">
        <v>203</v>
      </c>
      <c r="D127" s="64">
        <f t="shared" ca="1" si="35"/>
        <v>0</v>
      </c>
      <c r="E127" s="65">
        <f t="shared" ca="1" si="36"/>
        <v>5</v>
      </c>
      <c r="F127" s="65">
        <f t="shared" ca="1" si="37"/>
        <v>0</v>
      </c>
    </row>
    <row r="128" spans="1:6" outlineLevel="2">
      <c r="A128" s="116"/>
      <c r="B128" s="117"/>
      <c r="C128" s="61" t="s">
        <v>206</v>
      </c>
      <c r="D128" s="64">
        <f t="shared" ca="1" si="35"/>
        <v>0</v>
      </c>
      <c r="E128" s="65">
        <f t="shared" ca="1" si="36"/>
        <v>5</v>
      </c>
      <c r="F128" s="65">
        <f t="shared" ca="1" si="37"/>
        <v>0</v>
      </c>
    </row>
    <row r="129" spans="1:6" outlineLevel="2">
      <c r="A129" s="116"/>
      <c r="B129" s="117"/>
      <c r="C129" s="61" t="s">
        <v>25</v>
      </c>
      <c r="D129" s="64">
        <f t="shared" ca="1" si="35"/>
        <v>0</v>
      </c>
      <c r="E129" s="65">
        <f t="shared" ca="1" si="36"/>
        <v>5</v>
      </c>
      <c r="F129" s="65">
        <f t="shared" ca="1" si="37"/>
        <v>0</v>
      </c>
    </row>
    <row r="130" spans="1:6" outlineLevel="2">
      <c r="A130" s="116"/>
      <c r="B130" s="117"/>
      <c r="C130" s="61" t="s">
        <v>26</v>
      </c>
      <c r="D130" s="64">
        <f t="shared" ca="1" si="35"/>
        <v>0</v>
      </c>
      <c r="E130" s="65">
        <f t="shared" ca="1" si="36"/>
        <v>5</v>
      </c>
      <c r="F130" s="65">
        <f t="shared" ca="1" si="37"/>
        <v>0</v>
      </c>
    </row>
    <row r="131" spans="1:6" outlineLevel="2">
      <c r="A131" s="116"/>
      <c r="B131" s="117"/>
      <c r="C131" s="61" t="s">
        <v>149</v>
      </c>
      <c r="D131" s="64">
        <f t="shared" ca="1" si="35"/>
        <v>0</v>
      </c>
      <c r="E131" s="65">
        <f t="shared" ca="1" si="36"/>
        <v>5</v>
      </c>
      <c r="F131" s="65">
        <f t="shared" ca="1" si="37"/>
        <v>0</v>
      </c>
    </row>
    <row r="132" spans="1:6" outlineLevel="1">
      <c r="A132" s="116"/>
      <c r="B132" s="117" t="s">
        <v>244</v>
      </c>
      <c r="C132" s="73" t="s">
        <v>221</v>
      </c>
      <c r="D132" s="67">
        <f t="shared" ref="D132:D133" ca="1" si="38">F132/E132</f>
        <v>0</v>
      </c>
      <c r="E132" s="68">
        <f ca="1">SUM(E133:E140)</f>
        <v>24</v>
      </c>
      <c r="F132" s="68">
        <f ca="1">SUM(F133:F140)</f>
        <v>0</v>
      </c>
    </row>
    <row r="133" spans="1:6" outlineLevel="2">
      <c r="A133" s="116"/>
      <c r="B133" s="117"/>
      <c r="C133" s="61" t="s">
        <v>207</v>
      </c>
      <c r="D133" s="64">
        <f t="shared" ca="1" si="38"/>
        <v>0</v>
      </c>
      <c r="E133" s="65">
        <f ca="1">COUNTIFS(INDIRECT($O$3&amp;"!"&amp;$O$4&amp;":"&amp;$O$4),$A$68,INDIRECT($O$3&amp;"!"&amp;$O$5&amp;":"&amp;$O$5),$B$132,INDIRECT($O$3&amp;"!"&amp;O6&amp;":"&amp;O6),"&lt;&gt;NA")</f>
        <v>3</v>
      </c>
      <c r="F133" s="65">
        <f ca="1">COUNTIFS(INDIRECT($O$3&amp;"!"&amp;$O$4&amp;":"&amp;$O$4),$A$68,INDIRECT($O$3&amp;"!"&amp;$O$5&amp;":"&amp;$O$5),$B$132,INDIRECT($O$3&amp;"!"&amp;O6&amp;":"&amp;O6),"Y")</f>
        <v>0</v>
      </c>
    </row>
    <row r="134" spans="1:6" outlineLevel="2">
      <c r="A134" s="116"/>
      <c r="B134" s="117"/>
      <c r="C134" s="61" t="s">
        <v>201</v>
      </c>
      <c r="D134" s="64">
        <f t="shared" ref="D134:D140" ca="1" si="39">F134/E134</f>
        <v>0</v>
      </c>
      <c r="E134" s="65">
        <f t="shared" ref="E134:E140" ca="1" si="40">COUNTIFS(INDIRECT($O$3&amp;"!"&amp;$O$4&amp;":"&amp;$O$4),$A$68,INDIRECT($O$3&amp;"!"&amp;$O$5&amp;":"&amp;$O$5),$B$132,INDIRECT($O$3&amp;"!"&amp;O7&amp;":"&amp;O7),"&lt;&gt;NA")</f>
        <v>3</v>
      </c>
      <c r="F134" s="65">
        <f t="shared" ref="F134:F140" ca="1" si="41">COUNTIFS(INDIRECT($O$3&amp;"!"&amp;$O$4&amp;":"&amp;$O$4),$A$68,INDIRECT($O$3&amp;"!"&amp;$O$5&amp;":"&amp;$O$5),$B$132,INDIRECT($O$3&amp;"!"&amp;O7&amp;":"&amp;O7),"Y")</f>
        <v>0</v>
      </c>
    </row>
    <row r="135" spans="1:6" outlineLevel="2">
      <c r="A135" s="116"/>
      <c r="B135" s="117"/>
      <c r="C135" s="61" t="s">
        <v>202</v>
      </c>
      <c r="D135" s="64">
        <f t="shared" ca="1" si="39"/>
        <v>0</v>
      </c>
      <c r="E135" s="65">
        <f t="shared" ca="1" si="40"/>
        <v>3</v>
      </c>
      <c r="F135" s="65">
        <f t="shared" ca="1" si="41"/>
        <v>0</v>
      </c>
    </row>
    <row r="136" spans="1:6" outlineLevel="2">
      <c r="A136" s="116"/>
      <c r="B136" s="117"/>
      <c r="C136" s="61" t="s">
        <v>203</v>
      </c>
      <c r="D136" s="64">
        <f t="shared" ca="1" si="39"/>
        <v>0</v>
      </c>
      <c r="E136" s="65">
        <f t="shared" ca="1" si="40"/>
        <v>3</v>
      </c>
      <c r="F136" s="65">
        <f t="shared" ca="1" si="41"/>
        <v>0</v>
      </c>
    </row>
    <row r="137" spans="1:6" outlineLevel="2">
      <c r="A137" s="116"/>
      <c r="B137" s="117"/>
      <c r="C137" s="61" t="s">
        <v>206</v>
      </c>
      <c r="D137" s="64">
        <f t="shared" ca="1" si="39"/>
        <v>0</v>
      </c>
      <c r="E137" s="65">
        <f t="shared" ca="1" si="40"/>
        <v>3</v>
      </c>
      <c r="F137" s="65">
        <f t="shared" ca="1" si="41"/>
        <v>0</v>
      </c>
    </row>
    <row r="138" spans="1:6" outlineLevel="2">
      <c r="A138" s="116"/>
      <c r="B138" s="117"/>
      <c r="C138" s="61" t="s">
        <v>25</v>
      </c>
      <c r="D138" s="64">
        <f t="shared" ca="1" si="39"/>
        <v>0</v>
      </c>
      <c r="E138" s="65">
        <f t="shared" ca="1" si="40"/>
        <v>3</v>
      </c>
      <c r="F138" s="65">
        <f t="shared" ca="1" si="41"/>
        <v>0</v>
      </c>
    </row>
    <row r="139" spans="1:6" outlineLevel="2">
      <c r="A139" s="116"/>
      <c r="B139" s="117"/>
      <c r="C139" s="61" t="s">
        <v>26</v>
      </c>
      <c r="D139" s="64">
        <f t="shared" ca="1" si="39"/>
        <v>0</v>
      </c>
      <c r="E139" s="65">
        <f t="shared" ca="1" si="40"/>
        <v>3</v>
      </c>
      <c r="F139" s="65">
        <f t="shared" ca="1" si="41"/>
        <v>0</v>
      </c>
    </row>
    <row r="140" spans="1:6" outlineLevel="2">
      <c r="A140" s="116"/>
      <c r="B140" s="117"/>
      <c r="C140" s="61" t="s">
        <v>149</v>
      </c>
      <c r="D140" s="64">
        <f t="shared" ca="1" si="39"/>
        <v>0</v>
      </c>
      <c r="E140" s="65">
        <f t="shared" ca="1" si="40"/>
        <v>3</v>
      </c>
      <c r="F140" s="65">
        <f t="shared" ca="1" si="41"/>
        <v>0</v>
      </c>
    </row>
    <row r="141" spans="1:6" outlineLevel="1">
      <c r="A141" s="116"/>
      <c r="B141" s="117" t="s">
        <v>245</v>
      </c>
      <c r="C141" s="73" t="s">
        <v>221</v>
      </c>
      <c r="D141" s="67">
        <f t="shared" ref="D141:D142" ca="1" si="42">F141/E141</f>
        <v>0</v>
      </c>
      <c r="E141" s="68">
        <f ca="1">SUM(E142:E149)</f>
        <v>104</v>
      </c>
      <c r="F141" s="68">
        <f ca="1">SUM(F142:F149)</f>
        <v>0</v>
      </c>
    </row>
    <row r="142" spans="1:6" outlineLevel="2">
      <c r="A142" s="116"/>
      <c r="B142" s="117"/>
      <c r="C142" s="61" t="s">
        <v>207</v>
      </c>
      <c r="D142" s="64">
        <f t="shared" ca="1" si="42"/>
        <v>0</v>
      </c>
      <c r="E142" s="65">
        <f ca="1">COUNTIFS(INDIRECT($O$3&amp;"!"&amp;$O$4&amp;":"&amp;$O$4),$A$68,INDIRECT($O$3&amp;"!"&amp;$O$5&amp;":"&amp;$O$5),$B$141,INDIRECT($O$3&amp;"!"&amp;O6&amp;":"&amp;O6),"&lt;&gt;NA")</f>
        <v>13</v>
      </c>
      <c r="F142" s="65">
        <f ca="1">COUNTIFS(INDIRECT($O$3&amp;"!"&amp;$O$4&amp;":"&amp;$O$4),$A$68,INDIRECT($O$3&amp;"!"&amp;$O$5&amp;":"&amp;$O$5),$B$141,INDIRECT($O$3&amp;"!"&amp;O6&amp;":"&amp;O6),"Y")</f>
        <v>0</v>
      </c>
    </row>
    <row r="143" spans="1:6" outlineLevel="2">
      <c r="A143" s="116"/>
      <c r="B143" s="117"/>
      <c r="C143" s="61" t="s">
        <v>201</v>
      </c>
      <c r="D143" s="64">
        <f t="shared" ref="D143:D149" ca="1" si="43">F143/E143</f>
        <v>0</v>
      </c>
      <c r="E143" s="65">
        <f t="shared" ref="E143:E149" ca="1" si="44">COUNTIFS(INDIRECT($O$3&amp;"!"&amp;$O$4&amp;":"&amp;$O$4),$A$68,INDIRECT($O$3&amp;"!"&amp;$O$5&amp;":"&amp;$O$5),$B$141,INDIRECT($O$3&amp;"!"&amp;O7&amp;":"&amp;O7),"&lt;&gt;NA")</f>
        <v>13</v>
      </c>
      <c r="F143" s="65">
        <f t="shared" ref="F143:F149" ca="1" si="45">COUNTIFS(INDIRECT($O$3&amp;"!"&amp;$O$4&amp;":"&amp;$O$4),$A$68,INDIRECT($O$3&amp;"!"&amp;$O$5&amp;":"&amp;$O$5),$B$141,INDIRECT($O$3&amp;"!"&amp;O7&amp;":"&amp;O7),"Y")</f>
        <v>0</v>
      </c>
    </row>
    <row r="144" spans="1:6" outlineLevel="2">
      <c r="A144" s="116"/>
      <c r="B144" s="117"/>
      <c r="C144" s="61" t="s">
        <v>202</v>
      </c>
      <c r="D144" s="64">
        <f t="shared" ca="1" si="43"/>
        <v>0</v>
      </c>
      <c r="E144" s="65">
        <f t="shared" ca="1" si="44"/>
        <v>13</v>
      </c>
      <c r="F144" s="65">
        <f t="shared" ca="1" si="45"/>
        <v>0</v>
      </c>
    </row>
    <row r="145" spans="1:6" outlineLevel="2">
      <c r="A145" s="116"/>
      <c r="B145" s="117"/>
      <c r="C145" s="61" t="s">
        <v>203</v>
      </c>
      <c r="D145" s="64">
        <f t="shared" ca="1" si="43"/>
        <v>0</v>
      </c>
      <c r="E145" s="65">
        <f t="shared" ca="1" si="44"/>
        <v>13</v>
      </c>
      <c r="F145" s="65">
        <f t="shared" ca="1" si="45"/>
        <v>0</v>
      </c>
    </row>
    <row r="146" spans="1:6" outlineLevel="2">
      <c r="A146" s="116"/>
      <c r="B146" s="117"/>
      <c r="C146" s="61" t="s">
        <v>206</v>
      </c>
      <c r="D146" s="64">
        <f t="shared" ca="1" si="43"/>
        <v>0</v>
      </c>
      <c r="E146" s="65">
        <f t="shared" ca="1" si="44"/>
        <v>13</v>
      </c>
      <c r="F146" s="65">
        <f t="shared" ca="1" si="45"/>
        <v>0</v>
      </c>
    </row>
    <row r="147" spans="1:6" outlineLevel="2">
      <c r="A147" s="116"/>
      <c r="B147" s="117"/>
      <c r="C147" s="61" t="s">
        <v>25</v>
      </c>
      <c r="D147" s="64">
        <f t="shared" ca="1" si="43"/>
        <v>0</v>
      </c>
      <c r="E147" s="65">
        <f t="shared" ca="1" si="44"/>
        <v>13</v>
      </c>
      <c r="F147" s="65">
        <f t="shared" ca="1" si="45"/>
        <v>0</v>
      </c>
    </row>
    <row r="148" spans="1:6" outlineLevel="2">
      <c r="A148" s="116"/>
      <c r="B148" s="117"/>
      <c r="C148" s="61" t="s">
        <v>26</v>
      </c>
      <c r="D148" s="64">
        <f t="shared" ca="1" si="43"/>
        <v>0</v>
      </c>
      <c r="E148" s="65">
        <f t="shared" ca="1" si="44"/>
        <v>13</v>
      </c>
      <c r="F148" s="65">
        <f t="shared" ca="1" si="45"/>
        <v>0</v>
      </c>
    </row>
    <row r="149" spans="1:6" outlineLevel="2">
      <c r="A149" s="116"/>
      <c r="B149" s="117"/>
      <c r="C149" s="61" t="s">
        <v>149</v>
      </c>
      <c r="D149" s="64">
        <f t="shared" ca="1" si="43"/>
        <v>0</v>
      </c>
      <c r="E149" s="65">
        <f t="shared" ca="1" si="44"/>
        <v>13</v>
      </c>
      <c r="F149" s="65">
        <f t="shared" ca="1" si="45"/>
        <v>0</v>
      </c>
    </row>
    <row r="150" spans="1:6" outlineLevel="1">
      <c r="A150" s="116"/>
      <c r="B150" s="117" t="s">
        <v>246</v>
      </c>
      <c r="C150" s="73" t="s">
        <v>221</v>
      </c>
      <c r="D150" s="67">
        <f t="shared" ref="D150:D151" ca="1" si="46">F150/E150</f>
        <v>0</v>
      </c>
      <c r="E150" s="68">
        <f ca="1">SUM(E151:E158)</f>
        <v>40</v>
      </c>
      <c r="F150" s="68">
        <f ca="1">SUM(F151:F158)</f>
        <v>0</v>
      </c>
    </row>
    <row r="151" spans="1:6" outlineLevel="2">
      <c r="A151" s="116"/>
      <c r="B151" s="117"/>
      <c r="C151" s="61" t="s">
        <v>207</v>
      </c>
      <c r="D151" s="64">
        <f t="shared" ca="1" si="46"/>
        <v>0</v>
      </c>
      <c r="E151" s="65">
        <f ca="1">COUNTIFS(INDIRECT($O$3&amp;"!"&amp;$O$4&amp;":"&amp;$O$4),$A$68,INDIRECT($O$3&amp;"!"&amp;$O$5&amp;":"&amp;$O$5),$B$150,INDIRECT($O$3&amp;"!"&amp;O6&amp;":"&amp;O6),"&lt;&gt;NA")</f>
        <v>5</v>
      </c>
      <c r="F151" s="65">
        <f ca="1">COUNTIFS(INDIRECT($O$3&amp;"!"&amp;$O$4&amp;":"&amp;$O$4),$A$68,INDIRECT($O$3&amp;"!"&amp;$O$5&amp;":"&amp;$O$5),$B$150,INDIRECT($O$3&amp;"!"&amp;O6&amp;":"&amp;O6),"Y")</f>
        <v>0</v>
      </c>
    </row>
    <row r="152" spans="1:6" outlineLevel="2">
      <c r="A152" s="116"/>
      <c r="B152" s="117"/>
      <c r="C152" s="61" t="s">
        <v>201</v>
      </c>
      <c r="D152" s="64">
        <f t="shared" ref="D152:D158" ca="1" si="47">F152/E152</f>
        <v>0</v>
      </c>
      <c r="E152" s="65">
        <f t="shared" ref="E152:E158" ca="1" si="48">COUNTIFS(INDIRECT($O$3&amp;"!"&amp;$O$4&amp;":"&amp;$O$4),$A$68,INDIRECT($O$3&amp;"!"&amp;$O$5&amp;":"&amp;$O$5),$B$150,INDIRECT($O$3&amp;"!"&amp;O7&amp;":"&amp;O7),"&lt;&gt;NA")</f>
        <v>5</v>
      </c>
      <c r="F152" s="65">
        <f t="shared" ref="F152:F158" ca="1" si="49">COUNTIFS(INDIRECT($O$3&amp;"!"&amp;$O$4&amp;":"&amp;$O$4),$A$68,INDIRECT($O$3&amp;"!"&amp;$O$5&amp;":"&amp;$O$5),$B$150,INDIRECT($O$3&amp;"!"&amp;O7&amp;":"&amp;O7),"Y")</f>
        <v>0</v>
      </c>
    </row>
    <row r="153" spans="1:6" outlineLevel="2">
      <c r="A153" s="116"/>
      <c r="B153" s="117"/>
      <c r="C153" s="61" t="s">
        <v>202</v>
      </c>
      <c r="D153" s="64">
        <f t="shared" ca="1" si="47"/>
        <v>0</v>
      </c>
      <c r="E153" s="65">
        <f t="shared" ca="1" si="48"/>
        <v>5</v>
      </c>
      <c r="F153" s="65">
        <f t="shared" ca="1" si="49"/>
        <v>0</v>
      </c>
    </row>
    <row r="154" spans="1:6" outlineLevel="2">
      <c r="A154" s="116"/>
      <c r="B154" s="117"/>
      <c r="C154" s="61" t="s">
        <v>203</v>
      </c>
      <c r="D154" s="64">
        <f t="shared" ca="1" si="47"/>
        <v>0</v>
      </c>
      <c r="E154" s="65">
        <f t="shared" ca="1" si="48"/>
        <v>5</v>
      </c>
      <c r="F154" s="65">
        <f t="shared" ca="1" si="49"/>
        <v>0</v>
      </c>
    </row>
    <row r="155" spans="1:6" outlineLevel="2">
      <c r="A155" s="116"/>
      <c r="B155" s="117"/>
      <c r="C155" s="61" t="s">
        <v>206</v>
      </c>
      <c r="D155" s="64">
        <f t="shared" ca="1" si="47"/>
        <v>0</v>
      </c>
      <c r="E155" s="65">
        <f t="shared" ca="1" si="48"/>
        <v>5</v>
      </c>
      <c r="F155" s="65">
        <f t="shared" ca="1" si="49"/>
        <v>0</v>
      </c>
    </row>
    <row r="156" spans="1:6" outlineLevel="2">
      <c r="A156" s="116"/>
      <c r="B156" s="117"/>
      <c r="C156" s="61" t="s">
        <v>25</v>
      </c>
      <c r="D156" s="64">
        <f t="shared" ca="1" si="47"/>
        <v>0</v>
      </c>
      <c r="E156" s="65">
        <f t="shared" ca="1" si="48"/>
        <v>5</v>
      </c>
      <c r="F156" s="65">
        <f t="shared" ca="1" si="49"/>
        <v>0</v>
      </c>
    </row>
    <row r="157" spans="1:6" outlineLevel="2">
      <c r="A157" s="116"/>
      <c r="B157" s="117"/>
      <c r="C157" s="61" t="s">
        <v>26</v>
      </c>
      <c r="D157" s="64">
        <f t="shared" ca="1" si="47"/>
        <v>0</v>
      </c>
      <c r="E157" s="65">
        <f t="shared" ca="1" si="48"/>
        <v>5</v>
      </c>
      <c r="F157" s="65">
        <f t="shared" ca="1" si="49"/>
        <v>0</v>
      </c>
    </row>
    <row r="158" spans="1:6" outlineLevel="2">
      <c r="A158" s="116"/>
      <c r="B158" s="117"/>
      <c r="C158" s="61" t="s">
        <v>149</v>
      </c>
      <c r="D158" s="64">
        <f t="shared" ca="1" si="47"/>
        <v>0</v>
      </c>
      <c r="E158" s="65">
        <f t="shared" ca="1" si="48"/>
        <v>5</v>
      </c>
      <c r="F158" s="65">
        <f t="shared" ca="1" si="49"/>
        <v>0</v>
      </c>
    </row>
    <row r="159" spans="1:6" outlineLevel="1">
      <c r="A159" s="116"/>
      <c r="B159" s="117" t="s">
        <v>247</v>
      </c>
      <c r="C159" s="73" t="s">
        <v>221</v>
      </c>
      <c r="D159" s="67">
        <f t="shared" ref="D159:D160" ca="1" si="50">F159/E159</f>
        <v>0</v>
      </c>
      <c r="E159" s="68">
        <f ca="1">SUM(E160:E167)</f>
        <v>24</v>
      </c>
      <c r="F159" s="68">
        <f ca="1">SUM(F160:F167)</f>
        <v>0</v>
      </c>
    </row>
    <row r="160" spans="1:6" outlineLevel="2">
      <c r="A160" s="116"/>
      <c r="B160" s="117"/>
      <c r="C160" s="61" t="s">
        <v>207</v>
      </c>
      <c r="D160" s="64">
        <f t="shared" ca="1" si="50"/>
        <v>0</v>
      </c>
      <c r="E160" s="65">
        <f ca="1">COUNTIFS(INDIRECT($O$3&amp;"!"&amp;$O$4&amp;":"&amp;$O$4),$A$68,INDIRECT($O$3&amp;"!"&amp;$O$5&amp;":"&amp;$O$5),$B$159,INDIRECT($O$3&amp;"!"&amp;O6&amp;":"&amp;O6),"&lt;&gt;NA")</f>
        <v>3</v>
      </c>
      <c r="F160" s="65">
        <f ca="1">COUNTIFS(INDIRECT($O$3&amp;"!"&amp;$O$4&amp;":"&amp;$O$4),$A$68,INDIRECT($O$3&amp;"!"&amp;$O$5&amp;":"&amp;$O$5),$B$159,INDIRECT($O$3&amp;"!"&amp;O6&amp;":"&amp;O6),"Y")</f>
        <v>0</v>
      </c>
    </row>
    <row r="161" spans="1:6" outlineLevel="2">
      <c r="A161" s="116"/>
      <c r="B161" s="117"/>
      <c r="C161" s="61" t="s">
        <v>201</v>
      </c>
      <c r="D161" s="64">
        <f t="shared" ref="D161:D167" ca="1" si="51">F161/E161</f>
        <v>0</v>
      </c>
      <c r="E161" s="65">
        <f t="shared" ref="E161:E167" ca="1" si="52">COUNTIFS(INDIRECT($O$3&amp;"!"&amp;$O$4&amp;":"&amp;$O$4),$A$68,INDIRECT($O$3&amp;"!"&amp;$O$5&amp;":"&amp;$O$5),$B$159,INDIRECT($O$3&amp;"!"&amp;O7&amp;":"&amp;O7),"&lt;&gt;NA")</f>
        <v>3</v>
      </c>
      <c r="F161" s="65">
        <f t="shared" ref="F161:F167" ca="1" si="53">COUNTIFS(INDIRECT($O$3&amp;"!"&amp;$O$4&amp;":"&amp;$O$4),$A$68,INDIRECT($O$3&amp;"!"&amp;$O$5&amp;":"&amp;$O$5),$B$159,INDIRECT($O$3&amp;"!"&amp;O7&amp;":"&amp;O7),"Y")</f>
        <v>0</v>
      </c>
    </row>
    <row r="162" spans="1:6" outlineLevel="2">
      <c r="A162" s="116"/>
      <c r="B162" s="117"/>
      <c r="C162" s="61" t="s">
        <v>202</v>
      </c>
      <c r="D162" s="64">
        <f t="shared" ca="1" si="51"/>
        <v>0</v>
      </c>
      <c r="E162" s="65">
        <f t="shared" ca="1" si="52"/>
        <v>3</v>
      </c>
      <c r="F162" s="65">
        <f t="shared" ca="1" si="53"/>
        <v>0</v>
      </c>
    </row>
    <row r="163" spans="1:6" outlineLevel="2">
      <c r="A163" s="116"/>
      <c r="B163" s="117"/>
      <c r="C163" s="61" t="s">
        <v>203</v>
      </c>
      <c r="D163" s="64">
        <f t="shared" ca="1" si="51"/>
        <v>0</v>
      </c>
      <c r="E163" s="65">
        <f t="shared" ca="1" si="52"/>
        <v>3</v>
      </c>
      <c r="F163" s="65">
        <f t="shared" ca="1" si="53"/>
        <v>0</v>
      </c>
    </row>
    <row r="164" spans="1:6" outlineLevel="2">
      <c r="A164" s="116"/>
      <c r="B164" s="117"/>
      <c r="C164" s="61" t="s">
        <v>206</v>
      </c>
      <c r="D164" s="64">
        <f t="shared" ca="1" si="51"/>
        <v>0</v>
      </c>
      <c r="E164" s="65">
        <f t="shared" ca="1" si="52"/>
        <v>3</v>
      </c>
      <c r="F164" s="65">
        <f t="shared" ca="1" si="53"/>
        <v>0</v>
      </c>
    </row>
    <row r="165" spans="1:6" outlineLevel="2">
      <c r="A165" s="116"/>
      <c r="B165" s="117"/>
      <c r="C165" s="61" t="s">
        <v>25</v>
      </c>
      <c r="D165" s="64">
        <f t="shared" ca="1" si="51"/>
        <v>0</v>
      </c>
      <c r="E165" s="65">
        <f t="shared" ca="1" si="52"/>
        <v>3</v>
      </c>
      <c r="F165" s="65">
        <f t="shared" ca="1" si="53"/>
        <v>0</v>
      </c>
    </row>
    <row r="166" spans="1:6" outlineLevel="2">
      <c r="A166" s="116"/>
      <c r="B166" s="117"/>
      <c r="C166" s="61" t="s">
        <v>26</v>
      </c>
      <c r="D166" s="64">
        <f t="shared" ca="1" si="51"/>
        <v>0</v>
      </c>
      <c r="E166" s="65">
        <f t="shared" ca="1" si="52"/>
        <v>3</v>
      </c>
      <c r="F166" s="65">
        <f t="shared" ca="1" si="53"/>
        <v>0</v>
      </c>
    </row>
    <row r="167" spans="1:6" outlineLevel="2">
      <c r="A167" s="116"/>
      <c r="B167" s="117"/>
      <c r="C167" s="61" t="s">
        <v>149</v>
      </c>
      <c r="D167" s="64">
        <f t="shared" ca="1" si="51"/>
        <v>0</v>
      </c>
      <c r="E167" s="65">
        <f t="shared" ca="1" si="52"/>
        <v>3</v>
      </c>
      <c r="F167" s="65">
        <f t="shared" ca="1" si="53"/>
        <v>0</v>
      </c>
    </row>
    <row r="168" spans="1:6" outlineLevel="1">
      <c r="A168" s="116"/>
      <c r="B168" s="117" t="s">
        <v>248</v>
      </c>
      <c r="C168" s="73" t="s">
        <v>221</v>
      </c>
      <c r="D168" s="67">
        <f t="shared" ref="D168:D169" ca="1" si="54">F168/E168</f>
        <v>0</v>
      </c>
      <c r="E168" s="68">
        <f ca="1">SUM(E169:E176)</f>
        <v>8</v>
      </c>
      <c r="F168" s="68">
        <f ca="1">SUM(F169:F176)</f>
        <v>0</v>
      </c>
    </row>
    <row r="169" spans="1:6" outlineLevel="2">
      <c r="A169" s="116"/>
      <c r="B169" s="117"/>
      <c r="C169" s="61" t="s">
        <v>207</v>
      </c>
      <c r="D169" s="64">
        <f t="shared" ca="1" si="54"/>
        <v>0</v>
      </c>
      <c r="E169" s="65">
        <f ca="1">COUNTIFS(INDIRECT($O$3&amp;"!"&amp;$O$4&amp;":"&amp;$O$4),$A$68,INDIRECT($O$3&amp;"!"&amp;$O$5&amp;":"&amp;$O$5),$B$168,INDIRECT($O$3&amp;"!"&amp;O6&amp;":"&amp;O6),"&lt;&gt;NA")</f>
        <v>1</v>
      </c>
      <c r="F169" s="65">
        <f ca="1">COUNTIFS(INDIRECT($O$3&amp;"!"&amp;$O$4&amp;":"&amp;$O$4),$A$68,INDIRECT($O$3&amp;"!"&amp;$O$5&amp;":"&amp;$O$5),$B$168,INDIRECT($O$3&amp;"!"&amp;O6&amp;":"&amp;O6),"Y")</f>
        <v>0</v>
      </c>
    </row>
    <row r="170" spans="1:6" outlineLevel="2">
      <c r="A170" s="116"/>
      <c r="B170" s="117"/>
      <c r="C170" s="61" t="s">
        <v>201</v>
      </c>
      <c r="D170" s="64">
        <f t="shared" ref="D170:D176" ca="1" si="55">F170/E170</f>
        <v>0</v>
      </c>
      <c r="E170" s="65">
        <f t="shared" ref="E170:E176" ca="1" si="56">COUNTIFS(INDIRECT($O$3&amp;"!"&amp;$O$4&amp;":"&amp;$O$4),$A$68,INDIRECT($O$3&amp;"!"&amp;$O$5&amp;":"&amp;$O$5),$B$168,INDIRECT($O$3&amp;"!"&amp;O7&amp;":"&amp;O7),"&lt;&gt;NA")</f>
        <v>1</v>
      </c>
      <c r="F170" s="65">
        <f t="shared" ref="F170:F176" ca="1" si="57">COUNTIFS(INDIRECT($O$3&amp;"!"&amp;$O$4&amp;":"&amp;$O$4),$A$68,INDIRECT($O$3&amp;"!"&amp;$O$5&amp;":"&amp;$O$5),$B$168,INDIRECT($O$3&amp;"!"&amp;O7&amp;":"&amp;O7),"Y")</f>
        <v>0</v>
      </c>
    </row>
    <row r="171" spans="1:6" outlineLevel="2">
      <c r="A171" s="116"/>
      <c r="B171" s="117"/>
      <c r="C171" s="61" t="s">
        <v>202</v>
      </c>
      <c r="D171" s="64">
        <f t="shared" ca="1" si="55"/>
        <v>0</v>
      </c>
      <c r="E171" s="65">
        <f t="shared" ca="1" si="56"/>
        <v>1</v>
      </c>
      <c r="F171" s="65">
        <f t="shared" ca="1" si="57"/>
        <v>0</v>
      </c>
    </row>
    <row r="172" spans="1:6" outlineLevel="2">
      <c r="A172" s="116"/>
      <c r="B172" s="117"/>
      <c r="C172" s="61" t="s">
        <v>203</v>
      </c>
      <c r="D172" s="64">
        <f t="shared" ca="1" si="55"/>
        <v>0</v>
      </c>
      <c r="E172" s="65">
        <f t="shared" ca="1" si="56"/>
        <v>1</v>
      </c>
      <c r="F172" s="65">
        <f t="shared" ca="1" si="57"/>
        <v>0</v>
      </c>
    </row>
    <row r="173" spans="1:6" outlineLevel="2">
      <c r="A173" s="116"/>
      <c r="B173" s="117"/>
      <c r="C173" s="61" t="s">
        <v>206</v>
      </c>
      <c r="D173" s="64">
        <f t="shared" ca="1" si="55"/>
        <v>0</v>
      </c>
      <c r="E173" s="65">
        <f t="shared" ca="1" si="56"/>
        <v>1</v>
      </c>
      <c r="F173" s="65">
        <f t="shared" ca="1" si="57"/>
        <v>0</v>
      </c>
    </row>
    <row r="174" spans="1:6" outlineLevel="2">
      <c r="A174" s="116"/>
      <c r="B174" s="117"/>
      <c r="C174" s="61" t="s">
        <v>25</v>
      </c>
      <c r="D174" s="64">
        <f t="shared" ca="1" si="55"/>
        <v>0</v>
      </c>
      <c r="E174" s="65">
        <f t="shared" ca="1" si="56"/>
        <v>1</v>
      </c>
      <c r="F174" s="65">
        <f t="shared" ca="1" si="57"/>
        <v>0</v>
      </c>
    </row>
    <row r="175" spans="1:6" outlineLevel="2">
      <c r="A175" s="116"/>
      <c r="B175" s="117"/>
      <c r="C175" s="61" t="s">
        <v>26</v>
      </c>
      <c r="D175" s="64">
        <f t="shared" ca="1" si="55"/>
        <v>0</v>
      </c>
      <c r="E175" s="65">
        <f t="shared" ca="1" si="56"/>
        <v>1</v>
      </c>
      <c r="F175" s="65">
        <f t="shared" ca="1" si="57"/>
        <v>0</v>
      </c>
    </row>
    <row r="176" spans="1:6" outlineLevel="2">
      <c r="A176" s="116"/>
      <c r="B176" s="117"/>
      <c r="C176" s="61" t="s">
        <v>149</v>
      </c>
      <c r="D176" s="64">
        <f t="shared" ca="1" si="55"/>
        <v>0</v>
      </c>
      <c r="E176" s="65">
        <f t="shared" ca="1" si="56"/>
        <v>1</v>
      </c>
      <c r="F176" s="65">
        <f t="shared" ca="1" si="57"/>
        <v>0</v>
      </c>
    </row>
    <row r="177" spans="1:6" outlineLevel="1">
      <c r="A177" s="116"/>
      <c r="B177" s="117" t="s">
        <v>249</v>
      </c>
      <c r="C177" s="73" t="s">
        <v>221</v>
      </c>
      <c r="D177" s="67">
        <f t="shared" ref="D177:D178" ca="1" si="58">F177/E177</f>
        <v>0</v>
      </c>
      <c r="E177" s="68">
        <f ca="1">SUM(E178:E185)</f>
        <v>64</v>
      </c>
      <c r="F177" s="68">
        <f ca="1">SUM(F178:F185)</f>
        <v>0</v>
      </c>
    </row>
    <row r="178" spans="1:6" outlineLevel="2">
      <c r="A178" s="116"/>
      <c r="B178" s="117"/>
      <c r="C178" s="61" t="s">
        <v>207</v>
      </c>
      <c r="D178" s="64">
        <f t="shared" ca="1" si="58"/>
        <v>0</v>
      </c>
      <c r="E178" s="65">
        <f ca="1">COUNTIFS(INDIRECT($O$3&amp;"!"&amp;$O$4&amp;":"&amp;$O$4),$A$68,INDIRECT($O$3&amp;"!"&amp;$O$5&amp;":"&amp;$O$5),$B$177,INDIRECT($O$3&amp;"!"&amp;O6&amp;":"&amp;O6),"&lt;&gt;NA")</f>
        <v>8</v>
      </c>
      <c r="F178" s="65">
        <f ca="1">COUNTIFS(INDIRECT($O$3&amp;"!"&amp;$O$4&amp;":"&amp;$O$4),$A$68,INDIRECT($O$3&amp;"!"&amp;$O$5&amp;":"&amp;$O$5),$B$177,INDIRECT($O$3&amp;"!"&amp;O6&amp;":"&amp;O6),"Y")</f>
        <v>0</v>
      </c>
    </row>
    <row r="179" spans="1:6" outlineLevel="2">
      <c r="A179" s="116"/>
      <c r="B179" s="117"/>
      <c r="C179" s="61" t="s">
        <v>201</v>
      </c>
      <c r="D179" s="64">
        <f t="shared" ref="D179:D185" ca="1" si="59">F179/E179</f>
        <v>0</v>
      </c>
      <c r="E179" s="65">
        <f t="shared" ref="E179:E185" ca="1" si="60">COUNTIFS(INDIRECT($O$3&amp;"!"&amp;$O$4&amp;":"&amp;$O$4),$A$68,INDIRECT($O$3&amp;"!"&amp;$O$5&amp;":"&amp;$O$5),$B$177,INDIRECT($O$3&amp;"!"&amp;O7&amp;":"&amp;O7),"&lt;&gt;NA")</f>
        <v>8</v>
      </c>
      <c r="F179" s="65">
        <f t="shared" ref="F179:F185" ca="1" si="61">COUNTIFS(INDIRECT($O$3&amp;"!"&amp;$O$4&amp;":"&amp;$O$4),$A$68,INDIRECT($O$3&amp;"!"&amp;$O$5&amp;":"&amp;$O$5),$B$177,INDIRECT($O$3&amp;"!"&amp;O7&amp;":"&amp;O7),"Y")</f>
        <v>0</v>
      </c>
    </row>
    <row r="180" spans="1:6" outlineLevel="2">
      <c r="A180" s="116"/>
      <c r="B180" s="117"/>
      <c r="C180" s="61" t="s">
        <v>202</v>
      </c>
      <c r="D180" s="64">
        <f t="shared" ca="1" si="59"/>
        <v>0</v>
      </c>
      <c r="E180" s="65">
        <f t="shared" ca="1" si="60"/>
        <v>8</v>
      </c>
      <c r="F180" s="65">
        <f t="shared" ca="1" si="61"/>
        <v>0</v>
      </c>
    </row>
    <row r="181" spans="1:6" outlineLevel="2">
      <c r="A181" s="116"/>
      <c r="B181" s="117"/>
      <c r="C181" s="61" t="s">
        <v>203</v>
      </c>
      <c r="D181" s="64">
        <f t="shared" ca="1" si="59"/>
        <v>0</v>
      </c>
      <c r="E181" s="65">
        <f t="shared" ca="1" si="60"/>
        <v>8</v>
      </c>
      <c r="F181" s="65">
        <f t="shared" ca="1" si="61"/>
        <v>0</v>
      </c>
    </row>
    <row r="182" spans="1:6" outlineLevel="2">
      <c r="A182" s="116"/>
      <c r="B182" s="117"/>
      <c r="C182" s="61" t="s">
        <v>206</v>
      </c>
      <c r="D182" s="64">
        <f t="shared" ca="1" si="59"/>
        <v>0</v>
      </c>
      <c r="E182" s="65">
        <f t="shared" ca="1" si="60"/>
        <v>8</v>
      </c>
      <c r="F182" s="65">
        <f t="shared" ca="1" si="61"/>
        <v>0</v>
      </c>
    </row>
    <row r="183" spans="1:6" outlineLevel="2">
      <c r="A183" s="116"/>
      <c r="B183" s="117"/>
      <c r="C183" s="61" t="s">
        <v>25</v>
      </c>
      <c r="D183" s="64">
        <f t="shared" ca="1" si="59"/>
        <v>0</v>
      </c>
      <c r="E183" s="65">
        <f t="shared" ca="1" si="60"/>
        <v>8</v>
      </c>
      <c r="F183" s="65">
        <f t="shared" ca="1" si="61"/>
        <v>0</v>
      </c>
    </row>
    <row r="184" spans="1:6" outlineLevel="2">
      <c r="A184" s="116"/>
      <c r="B184" s="117"/>
      <c r="C184" s="61" t="s">
        <v>26</v>
      </c>
      <c r="D184" s="64">
        <f t="shared" ca="1" si="59"/>
        <v>0</v>
      </c>
      <c r="E184" s="65">
        <f t="shared" ca="1" si="60"/>
        <v>8</v>
      </c>
      <c r="F184" s="65">
        <f t="shared" ca="1" si="61"/>
        <v>0</v>
      </c>
    </row>
    <row r="185" spans="1:6" outlineLevel="2">
      <c r="A185" s="116"/>
      <c r="B185" s="117"/>
      <c r="C185" s="61" t="s">
        <v>149</v>
      </c>
      <c r="D185" s="64">
        <f t="shared" ca="1" si="59"/>
        <v>0</v>
      </c>
      <c r="E185" s="65">
        <f t="shared" ca="1" si="60"/>
        <v>8</v>
      </c>
      <c r="F185" s="65">
        <f t="shared" ca="1" si="61"/>
        <v>0</v>
      </c>
    </row>
    <row r="186" spans="1:6" outlineLevel="1">
      <c r="A186" s="116"/>
      <c r="B186" s="117" t="s">
        <v>250</v>
      </c>
      <c r="C186" s="73" t="s">
        <v>221</v>
      </c>
      <c r="D186" s="67">
        <f t="shared" ref="D186:D187" ca="1" si="62">F186/E186</f>
        <v>0</v>
      </c>
      <c r="E186" s="68">
        <f ca="1">SUM(E187:E194)</f>
        <v>40</v>
      </c>
      <c r="F186" s="68">
        <f ca="1">SUM(F187:F194)</f>
        <v>0</v>
      </c>
    </row>
    <row r="187" spans="1:6" outlineLevel="2">
      <c r="A187" s="116"/>
      <c r="B187" s="117"/>
      <c r="C187" s="61" t="s">
        <v>207</v>
      </c>
      <c r="D187" s="64">
        <f t="shared" ca="1" si="62"/>
        <v>0</v>
      </c>
      <c r="E187" s="65">
        <f ca="1">COUNTIFS(INDIRECT($O$3&amp;"!"&amp;$O$4&amp;":"&amp;$O$4),$A$68,INDIRECT($O$3&amp;"!"&amp;$O$5&amp;":"&amp;$O$5),$B$186,INDIRECT($O$3&amp;"!"&amp;O6&amp;":"&amp;O6),"&lt;&gt;NA")</f>
        <v>5</v>
      </c>
      <c r="F187" s="65">
        <f ca="1">COUNTIFS(INDIRECT($O$3&amp;"!"&amp;$O$4&amp;":"&amp;$O$4),$A$68,INDIRECT($O$3&amp;"!"&amp;$O$5&amp;":"&amp;$O$5),$B$186,INDIRECT($O$3&amp;"!"&amp;O6&amp;":"&amp;O6),"Y")</f>
        <v>0</v>
      </c>
    </row>
    <row r="188" spans="1:6" outlineLevel="2">
      <c r="A188" s="116"/>
      <c r="B188" s="117"/>
      <c r="C188" s="61" t="s">
        <v>201</v>
      </c>
      <c r="D188" s="64">
        <f t="shared" ref="D188:D194" ca="1" si="63">F188/E188</f>
        <v>0</v>
      </c>
      <c r="E188" s="65">
        <f t="shared" ref="E188:E194" ca="1" si="64">COUNTIFS(INDIRECT($O$3&amp;"!"&amp;$O$4&amp;":"&amp;$O$4),$A$68,INDIRECT($O$3&amp;"!"&amp;$O$5&amp;":"&amp;$O$5),$B$186,INDIRECT($O$3&amp;"!"&amp;O7&amp;":"&amp;O7),"&lt;&gt;NA")</f>
        <v>5</v>
      </c>
      <c r="F188" s="65">
        <f t="shared" ref="F188:F194" ca="1" si="65">COUNTIFS(INDIRECT($O$3&amp;"!"&amp;$O$4&amp;":"&amp;$O$4),$A$68,INDIRECT($O$3&amp;"!"&amp;$O$5&amp;":"&amp;$O$5),$B$186,INDIRECT($O$3&amp;"!"&amp;O7&amp;":"&amp;O7),"Y")</f>
        <v>0</v>
      </c>
    </row>
    <row r="189" spans="1:6" outlineLevel="2">
      <c r="A189" s="116"/>
      <c r="B189" s="117"/>
      <c r="C189" s="61" t="s">
        <v>202</v>
      </c>
      <c r="D189" s="64">
        <f t="shared" ca="1" si="63"/>
        <v>0</v>
      </c>
      <c r="E189" s="65">
        <f t="shared" ca="1" si="64"/>
        <v>5</v>
      </c>
      <c r="F189" s="65">
        <f t="shared" ca="1" si="65"/>
        <v>0</v>
      </c>
    </row>
    <row r="190" spans="1:6" outlineLevel="2">
      <c r="A190" s="116"/>
      <c r="B190" s="117"/>
      <c r="C190" s="61" t="s">
        <v>203</v>
      </c>
      <c r="D190" s="64">
        <f t="shared" ca="1" si="63"/>
        <v>0</v>
      </c>
      <c r="E190" s="65">
        <f t="shared" ca="1" si="64"/>
        <v>5</v>
      </c>
      <c r="F190" s="65">
        <f t="shared" ca="1" si="65"/>
        <v>0</v>
      </c>
    </row>
    <row r="191" spans="1:6" outlineLevel="2">
      <c r="A191" s="116"/>
      <c r="B191" s="117"/>
      <c r="C191" s="61" t="s">
        <v>206</v>
      </c>
      <c r="D191" s="64">
        <f t="shared" ca="1" si="63"/>
        <v>0</v>
      </c>
      <c r="E191" s="65">
        <f t="shared" ca="1" si="64"/>
        <v>5</v>
      </c>
      <c r="F191" s="65">
        <f t="shared" ca="1" si="65"/>
        <v>0</v>
      </c>
    </row>
    <row r="192" spans="1:6" outlineLevel="2">
      <c r="A192" s="116"/>
      <c r="B192" s="117"/>
      <c r="C192" s="61" t="s">
        <v>25</v>
      </c>
      <c r="D192" s="64">
        <f t="shared" ca="1" si="63"/>
        <v>0</v>
      </c>
      <c r="E192" s="65">
        <f t="shared" ca="1" si="64"/>
        <v>5</v>
      </c>
      <c r="F192" s="65">
        <f t="shared" ca="1" si="65"/>
        <v>0</v>
      </c>
    </row>
    <row r="193" spans="1:6" outlineLevel="2">
      <c r="A193" s="116"/>
      <c r="B193" s="117"/>
      <c r="C193" s="61" t="s">
        <v>26</v>
      </c>
      <c r="D193" s="64">
        <f t="shared" ca="1" si="63"/>
        <v>0</v>
      </c>
      <c r="E193" s="65">
        <f t="shared" ca="1" si="64"/>
        <v>5</v>
      </c>
      <c r="F193" s="65">
        <f t="shared" ca="1" si="65"/>
        <v>0</v>
      </c>
    </row>
    <row r="194" spans="1:6" outlineLevel="2">
      <c r="A194" s="116"/>
      <c r="B194" s="117"/>
      <c r="C194" s="61" t="s">
        <v>149</v>
      </c>
      <c r="D194" s="64">
        <f t="shared" ca="1" si="63"/>
        <v>0</v>
      </c>
      <c r="E194" s="65">
        <f t="shared" ca="1" si="64"/>
        <v>5</v>
      </c>
      <c r="F194" s="65">
        <f t="shared" ca="1" si="65"/>
        <v>0</v>
      </c>
    </row>
    <row r="195" spans="1:6" outlineLevel="1">
      <c r="A195" s="116"/>
      <c r="B195" s="117" t="s">
        <v>251</v>
      </c>
      <c r="C195" s="73" t="s">
        <v>221</v>
      </c>
      <c r="D195" s="67">
        <f t="shared" ref="D195:D196" ca="1" si="66">F195/E195</f>
        <v>0</v>
      </c>
      <c r="E195" s="68">
        <f ca="1">SUM(E196:E203)</f>
        <v>32</v>
      </c>
      <c r="F195" s="68">
        <f ca="1">SUM(F196:F203)</f>
        <v>0</v>
      </c>
    </row>
    <row r="196" spans="1:6" outlineLevel="2">
      <c r="A196" s="116"/>
      <c r="B196" s="117"/>
      <c r="C196" s="61" t="s">
        <v>207</v>
      </c>
      <c r="D196" s="64">
        <f t="shared" ca="1" si="66"/>
        <v>0</v>
      </c>
      <c r="E196" s="65">
        <f ca="1">COUNTIFS(INDIRECT($O$3&amp;"!"&amp;$O$4&amp;":"&amp;$O$4),$A$68,INDIRECT($O$3&amp;"!"&amp;$O$5&amp;":"&amp;$O$5),$B$195,INDIRECT($O$3&amp;"!"&amp;O6&amp;":"&amp;O6),"&lt;&gt;NA")</f>
        <v>4</v>
      </c>
      <c r="F196" s="65">
        <f ca="1">COUNTIFS(INDIRECT($O$3&amp;"!"&amp;$O$4&amp;":"&amp;$O$4),$A$68,INDIRECT($O$3&amp;"!"&amp;$O$5&amp;":"&amp;$O$5),$B$195,INDIRECT($O$3&amp;"!"&amp;O6&amp;":"&amp;O6),"Y")</f>
        <v>0</v>
      </c>
    </row>
    <row r="197" spans="1:6" outlineLevel="2">
      <c r="A197" s="116"/>
      <c r="B197" s="117"/>
      <c r="C197" s="61" t="s">
        <v>201</v>
      </c>
      <c r="D197" s="64">
        <f t="shared" ref="D197:D203" ca="1" si="67">F197/E197</f>
        <v>0</v>
      </c>
      <c r="E197" s="65">
        <f t="shared" ref="E197:E203" ca="1" si="68">COUNTIFS(INDIRECT($O$3&amp;"!"&amp;$O$4&amp;":"&amp;$O$4),$A$68,INDIRECT($O$3&amp;"!"&amp;$O$5&amp;":"&amp;$O$5),$B$195,INDIRECT($O$3&amp;"!"&amp;O7&amp;":"&amp;O7),"&lt;&gt;NA")</f>
        <v>4</v>
      </c>
      <c r="F197" s="65">
        <f t="shared" ref="F197:F203" ca="1" si="69">COUNTIFS(INDIRECT($O$3&amp;"!"&amp;$O$4&amp;":"&amp;$O$4),$A$68,INDIRECT($O$3&amp;"!"&amp;$O$5&amp;":"&amp;$O$5),$B$195,INDIRECT($O$3&amp;"!"&amp;O7&amp;":"&amp;O7),"Y")</f>
        <v>0</v>
      </c>
    </row>
    <row r="198" spans="1:6" outlineLevel="2">
      <c r="A198" s="116"/>
      <c r="B198" s="117"/>
      <c r="C198" s="61" t="s">
        <v>202</v>
      </c>
      <c r="D198" s="64">
        <f t="shared" ca="1" si="67"/>
        <v>0</v>
      </c>
      <c r="E198" s="65">
        <f t="shared" ca="1" si="68"/>
        <v>4</v>
      </c>
      <c r="F198" s="65">
        <f t="shared" ca="1" si="69"/>
        <v>0</v>
      </c>
    </row>
    <row r="199" spans="1:6" outlineLevel="2">
      <c r="A199" s="116"/>
      <c r="B199" s="117"/>
      <c r="C199" s="61" t="s">
        <v>203</v>
      </c>
      <c r="D199" s="64">
        <f t="shared" ca="1" si="67"/>
        <v>0</v>
      </c>
      <c r="E199" s="65">
        <f t="shared" ca="1" si="68"/>
        <v>4</v>
      </c>
      <c r="F199" s="65">
        <f t="shared" ca="1" si="69"/>
        <v>0</v>
      </c>
    </row>
    <row r="200" spans="1:6" outlineLevel="2">
      <c r="A200" s="116"/>
      <c r="B200" s="117"/>
      <c r="C200" s="61" t="s">
        <v>206</v>
      </c>
      <c r="D200" s="64">
        <f t="shared" ca="1" si="67"/>
        <v>0</v>
      </c>
      <c r="E200" s="65">
        <f t="shared" ca="1" si="68"/>
        <v>4</v>
      </c>
      <c r="F200" s="65">
        <f t="shared" ca="1" si="69"/>
        <v>0</v>
      </c>
    </row>
    <row r="201" spans="1:6" outlineLevel="2">
      <c r="A201" s="116"/>
      <c r="B201" s="117"/>
      <c r="C201" s="61" t="s">
        <v>25</v>
      </c>
      <c r="D201" s="64">
        <f t="shared" ca="1" si="67"/>
        <v>0</v>
      </c>
      <c r="E201" s="65">
        <f t="shared" ca="1" si="68"/>
        <v>4</v>
      </c>
      <c r="F201" s="65">
        <f t="shared" ca="1" si="69"/>
        <v>0</v>
      </c>
    </row>
    <row r="202" spans="1:6" outlineLevel="2">
      <c r="A202" s="116"/>
      <c r="B202" s="117"/>
      <c r="C202" s="61" t="s">
        <v>26</v>
      </c>
      <c r="D202" s="64">
        <f t="shared" ca="1" si="67"/>
        <v>0</v>
      </c>
      <c r="E202" s="65">
        <f t="shared" ca="1" si="68"/>
        <v>4</v>
      </c>
      <c r="F202" s="65">
        <f t="shared" ca="1" si="69"/>
        <v>0</v>
      </c>
    </row>
    <row r="203" spans="1:6" outlineLevel="2">
      <c r="A203" s="116"/>
      <c r="B203" s="117"/>
      <c r="C203" s="61" t="s">
        <v>149</v>
      </c>
      <c r="D203" s="64">
        <f t="shared" ca="1" si="67"/>
        <v>0</v>
      </c>
      <c r="E203" s="65">
        <f t="shared" ca="1" si="68"/>
        <v>4</v>
      </c>
      <c r="F203" s="65">
        <f t="shared" ca="1" si="69"/>
        <v>0</v>
      </c>
    </row>
    <row r="204" spans="1:6" ht="17.399999999999999">
      <c r="B204"/>
    </row>
    <row r="205" spans="1:6" ht="17.399999999999999">
      <c r="B205"/>
    </row>
    <row r="206" spans="1:6" ht="17.399999999999999">
      <c r="B206"/>
    </row>
    <row r="207" spans="1:6" ht="17.399999999999999">
      <c r="B207"/>
    </row>
    <row r="208" spans="1:6" ht="17.399999999999999">
      <c r="B208"/>
    </row>
    <row r="209" spans="2:2" ht="17.399999999999999">
      <c r="B209"/>
    </row>
    <row r="210" spans="2:2" ht="17.399999999999999">
      <c r="B210"/>
    </row>
    <row r="211" spans="2:2" ht="17.399999999999999">
      <c r="B211"/>
    </row>
    <row r="212" spans="2:2" ht="17.399999999999999">
      <c r="B212"/>
    </row>
    <row r="213" spans="2:2" ht="17.399999999999999">
      <c r="B213"/>
    </row>
    <row r="214" spans="2:2" ht="17.399999999999999">
      <c r="B214"/>
    </row>
    <row r="215" spans="2:2" ht="17.399999999999999">
      <c r="B215"/>
    </row>
    <row r="216" spans="2:2" ht="17.399999999999999">
      <c r="B216"/>
    </row>
    <row r="217" spans="2:2" ht="17.399999999999999">
      <c r="B217"/>
    </row>
    <row r="218" spans="2:2" ht="17.399999999999999">
      <c r="B218"/>
    </row>
    <row r="219" spans="2:2" ht="17.399999999999999">
      <c r="B219"/>
    </row>
    <row r="220" spans="2:2" ht="17.399999999999999">
      <c r="B220"/>
    </row>
    <row r="221" spans="2:2" ht="17.399999999999999">
      <c r="B221"/>
    </row>
    <row r="222" spans="2:2" ht="17.399999999999999">
      <c r="B222"/>
    </row>
    <row r="223" spans="2:2" ht="17.399999999999999">
      <c r="B223"/>
    </row>
    <row r="224" spans="2:2" ht="17.399999999999999">
      <c r="B224"/>
    </row>
    <row r="225" spans="2:2" ht="17.399999999999999">
      <c r="B225"/>
    </row>
    <row r="226" spans="2:2" ht="17.399999999999999">
      <c r="B226"/>
    </row>
    <row r="227" spans="2:2" ht="17.399999999999999">
      <c r="B227"/>
    </row>
    <row r="228" spans="2:2" ht="17.399999999999999">
      <c r="B228"/>
    </row>
    <row r="229" spans="2:2" ht="17.399999999999999">
      <c r="B229"/>
    </row>
    <row r="230" spans="2:2" ht="17.399999999999999">
      <c r="B230"/>
    </row>
    <row r="231" spans="2:2" ht="17.399999999999999">
      <c r="B231"/>
    </row>
    <row r="232" spans="2:2" ht="17.399999999999999">
      <c r="B232"/>
    </row>
    <row r="233" spans="2:2" ht="17.399999999999999">
      <c r="B233"/>
    </row>
    <row r="234" spans="2:2" ht="17.399999999999999">
      <c r="B234"/>
    </row>
    <row r="235" spans="2:2" ht="17.399999999999999">
      <c r="B235"/>
    </row>
    <row r="236" spans="2:2" ht="17.399999999999999">
      <c r="B236"/>
    </row>
    <row r="237" spans="2:2" ht="17.399999999999999">
      <c r="B237"/>
    </row>
    <row r="238" spans="2:2" ht="17.399999999999999">
      <c r="B238"/>
    </row>
    <row r="239" spans="2:2" ht="17.399999999999999">
      <c r="B239"/>
    </row>
    <row r="240" spans="2:2" ht="17.399999999999999">
      <c r="B240"/>
    </row>
    <row r="241" spans="2:2" ht="17.399999999999999">
      <c r="B241"/>
    </row>
    <row r="242" spans="2:2" ht="17.399999999999999">
      <c r="B242"/>
    </row>
    <row r="243" spans="2:2" ht="17.399999999999999">
      <c r="B243"/>
    </row>
    <row r="244" spans="2:2" ht="17.399999999999999">
      <c r="B244"/>
    </row>
    <row r="245" spans="2:2" ht="17.399999999999999">
      <c r="B245"/>
    </row>
    <row r="246" spans="2:2" ht="17.399999999999999">
      <c r="B246"/>
    </row>
    <row r="247" spans="2:2" ht="17.399999999999999">
      <c r="B247"/>
    </row>
    <row r="248" spans="2:2" ht="17.399999999999999">
      <c r="B248"/>
    </row>
    <row r="249" spans="2:2" ht="17.399999999999999">
      <c r="B249"/>
    </row>
    <row r="250" spans="2:2" ht="17.399999999999999">
      <c r="B250"/>
    </row>
    <row r="251" spans="2:2" ht="17.399999999999999">
      <c r="B251"/>
    </row>
    <row r="252" spans="2:2" ht="17.399999999999999">
      <c r="B252"/>
    </row>
    <row r="253" spans="2:2" ht="17.399999999999999">
      <c r="B253"/>
    </row>
    <row r="254" spans="2:2" ht="17.399999999999999">
      <c r="B254"/>
    </row>
    <row r="255" spans="2:2" ht="17.399999999999999">
      <c r="B255"/>
    </row>
    <row r="256" spans="2:2" ht="17.399999999999999">
      <c r="B256"/>
    </row>
    <row r="257" spans="2:2" ht="17.399999999999999">
      <c r="B257"/>
    </row>
    <row r="258" spans="2:2" ht="17.399999999999999">
      <c r="B258"/>
    </row>
    <row r="259" spans="2:2" ht="17.399999999999999">
      <c r="B259"/>
    </row>
    <row r="260" spans="2:2" ht="17.399999999999999">
      <c r="B260"/>
    </row>
    <row r="261" spans="2:2" ht="17.399999999999999">
      <c r="B261"/>
    </row>
    <row r="262" spans="2:2" ht="17.399999999999999">
      <c r="B262"/>
    </row>
    <row r="263" spans="2:2" ht="17.399999999999999">
      <c r="B263"/>
    </row>
    <row r="264" spans="2:2" ht="17.399999999999999">
      <c r="B264"/>
    </row>
    <row r="265" spans="2:2" ht="17.399999999999999">
      <c r="B265"/>
    </row>
    <row r="266" spans="2:2" ht="17.399999999999999">
      <c r="B266"/>
    </row>
    <row r="267" spans="2:2" ht="17.399999999999999">
      <c r="B267"/>
    </row>
    <row r="268" spans="2:2" ht="17.399999999999999">
      <c r="B268"/>
    </row>
    <row r="269" spans="2:2" ht="17.399999999999999">
      <c r="B269"/>
    </row>
  </sheetData>
  <mergeCells count="27">
    <mergeCell ref="B141:B149"/>
    <mergeCell ref="B4:B12"/>
    <mergeCell ref="A3:A57"/>
    <mergeCell ref="A58:A67"/>
    <mergeCell ref="B13:B21"/>
    <mergeCell ref="B22:B30"/>
    <mergeCell ref="B31:B39"/>
    <mergeCell ref="B40:B48"/>
    <mergeCell ref="B49:B57"/>
    <mergeCell ref="B59:B67"/>
    <mergeCell ref="B58:C58"/>
    <mergeCell ref="A68:A203"/>
    <mergeCell ref="B159:B167"/>
    <mergeCell ref="B168:B176"/>
    <mergeCell ref="B177:B185"/>
    <mergeCell ref="B186:B194"/>
    <mergeCell ref="B195:B203"/>
    <mergeCell ref="B150:B158"/>
    <mergeCell ref="B68:C68"/>
    <mergeCell ref="B69:B77"/>
    <mergeCell ref="B78:B86"/>
    <mergeCell ref="B87:B95"/>
    <mergeCell ref="B96:B104"/>
    <mergeCell ref="B105:B113"/>
    <mergeCell ref="B114:B122"/>
    <mergeCell ref="B123:B131"/>
    <mergeCell ref="B132:B140"/>
  </mergeCells>
  <phoneticPr fontId="4" type="noConversion"/>
  <conditionalFormatting sqref="B4:C4 C5 C7:C8 C10:C14 B13:C13 C16:C17">
    <cfRule type="expression" dxfId="100" priority="120">
      <formula>($B4="G")</formula>
    </cfRule>
  </conditionalFormatting>
  <conditionalFormatting sqref="C6">
    <cfRule type="expression" dxfId="99" priority="122">
      <formula>($B9="G")</formula>
    </cfRule>
  </conditionalFormatting>
  <conditionalFormatting sqref="C7:C8 C12">
    <cfRule type="expression" dxfId="98" priority="130">
      <formula>(#REF!="G")</formula>
    </cfRule>
  </conditionalFormatting>
  <conditionalFormatting sqref="C15">
    <cfRule type="expression" dxfId="97" priority="118">
      <formula>($B18="G")</formula>
    </cfRule>
  </conditionalFormatting>
  <conditionalFormatting sqref="C16:C17 C21">
    <cfRule type="expression" dxfId="96" priority="119">
      <formula>(#REF!="G")</formula>
    </cfRule>
  </conditionalFormatting>
  <conditionalFormatting sqref="C19:C23">
    <cfRule type="expression" dxfId="95" priority="102">
      <formula>($B19="G")</formula>
    </cfRule>
  </conditionalFormatting>
  <conditionalFormatting sqref="C24">
    <cfRule type="expression" dxfId="94" priority="115">
      <formula>($B27="G")</formula>
    </cfRule>
  </conditionalFormatting>
  <conditionalFormatting sqref="C25:C26 C30">
    <cfRule type="expression" dxfId="93" priority="116">
      <formula>(#REF!="G")</formula>
    </cfRule>
  </conditionalFormatting>
  <conditionalFormatting sqref="C25:C26">
    <cfRule type="expression" dxfId="92" priority="117">
      <formula>($B25="G")</formula>
    </cfRule>
  </conditionalFormatting>
  <conditionalFormatting sqref="C28:C32">
    <cfRule type="expression" dxfId="91" priority="101">
      <formula>($B28="G")</formula>
    </cfRule>
  </conditionalFormatting>
  <conditionalFormatting sqref="C33">
    <cfRule type="expression" dxfId="90" priority="112">
      <formula>($B36="G")</formula>
    </cfRule>
  </conditionalFormatting>
  <conditionalFormatting sqref="C34:C35 C39">
    <cfRule type="expression" dxfId="89" priority="113">
      <formula>(#REF!="G")</formula>
    </cfRule>
  </conditionalFormatting>
  <conditionalFormatting sqref="C34:C35">
    <cfRule type="expression" dxfId="88" priority="114">
      <formula>($B34="G")</formula>
    </cfRule>
  </conditionalFormatting>
  <conditionalFormatting sqref="C37:C41">
    <cfRule type="expression" dxfId="87" priority="100">
      <formula>($B37="G")</formula>
    </cfRule>
  </conditionalFormatting>
  <conditionalFormatting sqref="C42">
    <cfRule type="expression" dxfId="86" priority="109">
      <formula>($B45="G")</formula>
    </cfRule>
  </conditionalFormatting>
  <conditionalFormatting sqref="C43:C44 C48">
    <cfRule type="expression" dxfId="85" priority="110">
      <formula>(#REF!="G")</formula>
    </cfRule>
  </conditionalFormatting>
  <conditionalFormatting sqref="C43:C44">
    <cfRule type="expression" dxfId="84" priority="111">
      <formula>($B43="G")</formula>
    </cfRule>
  </conditionalFormatting>
  <conditionalFormatting sqref="C46:C50">
    <cfRule type="expression" dxfId="83" priority="99">
      <formula>($B46="G")</formula>
    </cfRule>
  </conditionalFormatting>
  <conditionalFormatting sqref="C51">
    <cfRule type="expression" dxfId="82" priority="106">
      <formula>($B54="G")</formula>
    </cfRule>
  </conditionalFormatting>
  <conditionalFormatting sqref="C52:C53 C55:C57">
    <cfRule type="expression" dxfId="81" priority="108">
      <formula>($B52="G")</formula>
    </cfRule>
  </conditionalFormatting>
  <conditionalFormatting sqref="C52:C53 C57">
    <cfRule type="expression" dxfId="80" priority="107">
      <formula>(#REF!="G")</formula>
    </cfRule>
  </conditionalFormatting>
  <conditionalFormatting sqref="C59:C60">
    <cfRule type="expression" dxfId="79" priority="98">
      <formula>($B59="G")</formula>
    </cfRule>
  </conditionalFormatting>
  <conditionalFormatting sqref="C61">
    <cfRule type="expression" dxfId="78" priority="103">
      <formula>($B64="G")</formula>
    </cfRule>
  </conditionalFormatting>
  <conditionalFormatting sqref="C62:C63 C65:C67">
    <cfRule type="expression" dxfId="77" priority="105">
      <formula>($B62="G")</formula>
    </cfRule>
  </conditionalFormatting>
  <conditionalFormatting sqref="C62:C63 C67">
    <cfRule type="expression" dxfId="76" priority="104">
      <formula>(#REF!="G")</formula>
    </cfRule>
  </conditionalFormatting>
  <conditionalFormatting sqref="C69:C70">
    <cfRule type="expression" dxfId="75" priority="84">
      <formula>($B69="G")</formula>
    </cfRule>
  </conditionalFormatting>
  <conditionalFormatting sqref="C71">
    <cfRule type="expression" dxfId="74" priority="85">
      <formula>($B74="G")</formula>
    </cfRule>
  </conditionalFormatting>
  <conditionalFormatting sqref="C72:C73 C77">
    <cfRule type="expression" dxfId="73" priority="86">
      <formula>(#REF!="G")</formula>
    </cfRule>
  </conditionalFormatting>
  <conditionalFormatting sqref="C72:C73">
    <cfRule type="expression" dxfId="72" priority="87">
      <formula>($B72="G")</formula>
    </cfRule>
  </conditionalFormatting>
  <conditionalFormatting sqref="C75:C79">
    <cfRule type="expression" dxfId="71" priority="79">
      <formula>($B75="G")</formula>
    </cfRule>
  </conditionalFormatting>
  <conditionalFormatting sqref="C80">
    <cfRule type="expression" dxfId="70" priority="80">
      <formula>($B83="G")</formula>
    </cfRule>
  </conditionalFormatting>
  <conditionalFormatting sqref="C81:C82 C86">
    <cfRule type="expression" dxfId="69" priority="81">
      <formula>(#REF!="G")</formula>
    </cfRule>
  </conditionalFormatting>
  <conditionalFormatting sqref="C81:C82">
    <cfRule type="expression" dxfId="68" priority="82">
      <formula>($B81="G")</formula>
    </cfRule>
  </conditionalFormatting>
  <conditionalFormatting sqref="C84:C88">
    <cfRule type="expression" dxfId="67" priority="74">
      <formula>($B84="G")</formula>
    </cfRule>
  </conditionalFormatting>
  <conditionalFormatting sqref="C89">
    <cfRule type="expression" dxfId="66" priority="75">
      <formula>($B92="G")</formula>
    </cfRule>
  </conditionalFormatting>
  <conditionalFormatting sqref="C90:C91 C95">
    <cfRule type="expression" dxfId="65" priority="76">
      <formula>(#REF!="G")</formula>
    </cfRule>
  </conditionalFormatting>
  <conditionalFormatting sqref="C90:C91">
    <cfRule type="expression" dxfId="64" priority="77">
      <formula>($B90="G")</formula>
    </cfRule>
  </conditionalFormatting>
  <conditionalFormatting sqref="C93:C97">
    <cfRule type="expression" dxfId="63" priority="69">
      <formula>($B93="G")</formula>
    </cfRule>
  </conditionalFormatting>
  <conditionalFormatting sqref="C98">
    <cfRule type="expression" dxfId="62" priority="70">
      <formula>($B101="G")</formula>
    </cfRule>
  </conditionalFormatting>
  <conditionalFormatting sqref="C99:C100 C104">
    <cfRule type="expression" dxfId="61" priority="71">
      <formula>(#REF!="G")</formula>
    </cfRule>
  </conditionalFormatting>
  <conditionalFormatting sqref="C99:C100">
    <cfRule type="expression" dxfId="60" priority="72">
      <formula>($B99="G")</formula>
    </cfRule>
  </conditionalFormatting>
  <conditionalFormatting sqref="C102:C106">
    <cfRule type="expression" dxfId="59" priority="64">
      <formula>($B102="G")</formula>
    </cfRule>
  </conditionalFormatting>
  <conditionalFormatting sqref="C107">
    <cfRule type="expression" dxfId="58" priority="65">
      <formula>($B110="G")</formula>
    </cfRule>
  </conditionalFormatting>
  <conditionalFormatting sqref="C108:C109 C111:C113">
    <cfRule type="expression" dxfId="57" priority="67">
      <formula>($B108="G")</formula>
    </cfRule>
  </conditionalFormatting>
  <conditionalFormatting sqref="C108:C109 C113">
    <cfRule type="expression" dxfId="56" priority="66">
      <formula>(#REF!="G")</formula>
    </cfRule>
  </conditionalFormatting>
  <conditionalFormatting sqref="C114:C115">
    <cfRule type="expression" dxfId="55" priority="59">
      <formula>($B114="G")</formula>
    </cfRule>
  </conditionalFormatting>
  <conditionalFormatting sqref="C116">
    <cfRule type="expression" dxfId="54" priority="60">
      <formula>($B119="G")</formula>
    </cfRule>
  </conditionalFormatting>
  <conditionalFormatting sqref="C117:C118 C122">
    <cfRule type="expression" dxfId="53" priority="61">
      <formula>(#REF!="G")</formula>
    </cfRule>
  </conditionalFormatting>
  <conditionalFormatting sqref="C117:C118">
    <cfRule type="expression" dxfId="52" priority="62">
      <formula>($B117="G")</formula>
    </cfRule>
  </conditionalFormatting>
  <conditionalFormatting sqref="C120:C124">
    <cfRule type="expression" dxfId="51" priority="54">
      <formula>($B120="G")</formula>
    </cfRule>
  </conditionalFormatting>
  <conditionalFormatting sqref="C125">
    <cfRule type="expression" dxfId="50" priority="55">
      <formula>($B128="G")</formula>
    </cfRule>
  </conditionalFormatting>
  <conditionalFormatting sqref="C126:C127 C131">
    <cfRule type="expression" dxfId="49" priority="56">
      <formula>(#REF!="G")</formula>
    </cfRule>
  </conditionalFormatting>
  <conditionalFormatting sqref="C126:C127">
    <cfRule type="expression" dxfId="48" priority="57">
      <formula>($B126="G")</formula>
    </cfRule>
  </conditionalFormatting>
  <conditionalFormatting sqref="C129:C133">
    <cfRule type="expression" dxfId="47" priority="49">
      <formula>($B129="G")</formula>
    </cfRule>
  </conditionalFormatting>
  <conditionalFormatting sqref="C134">
    <cfRule type="expression" dxfId="46" priority="50">
      <formula>($B137="G")</formula>
    </cfRule>
  </conditionalFormatting>
  <conditionalFormatting sqref="C135:C136 C140">
    <cfRule type="expression" dxfId="45" priority="51">
      <formula>(#REF!="G")</formula>
    </cfRule>
  </conditionalFormatting>
  <conditionalFormatting sqref="C135:C136">
    <cfRule type="expression" dxfId="44" priority="52">
      <formula>($B135="G")</formula>
    </cfRule>
  </conditionalFormatting>
  <conditionalFormatting sqref="C138:C142">
    <cfRule type="expression" dxfId="43" priority="44">
      <formula>($B138="G")</formula>
    </cfRule>
  </conditionalFormatting>
  <conditionalFormatting sqref="C143">
    <cfRule type="expression" dxfId="42" priority="45">
      <formula>($B146="G")</formula>
    </cfRule>
  </conditionalFormatting>
  <conditionalFormatting sqref="C144:C145 C149">
    <cfRule type="expression" dxfId="41" priority="46">
      <formula>(#REF!="G")</formula>
    </cfRule>
  </conditionalFormatting>
  <conditionalFormatting sqref="C144:C145">
    <cfRule type="expression" dxfId="40" priority="47">
      <formula>($B144="G")</formula>
    </cfRule>
  </conditionalFormatting>
  <conditionalFormatting sqref="C147:C151">
    <cfRule type="expression" dxfId="39" priority="39">
      <formula>($B147="G")</formula>
    </cfRule>
  </conditionalFormatting>
  <conditionalFormatting sqref="C152">
    <cfRule type="expression" dxfId="38" priority="40">
      <formula>($B155="G")</formula>
    </cfRule>
  </conditionalFormatting>
  <conditionalFormatting sqref="C153:C154 C158">
    <cfRule type="expression" dxfId="37" priority="41">
      <formula>(#REF!="G")</formula>
    </cfRule>
  </conditionalFormatting>
  <conditionalFormatting sqref="C153:C154">
    <cfRule type="expression" dxfId="36" priority="42">
      <formula>($B153="G")</formula>
    </cfRule>
  </conditionalFormatting>
  <conditionalFormatting sqref="C156:C160">
    <cfRule type="expression" dxfId="35" priority="34">
      <formula>($B156="G")</formula>
    </cfRule>
  </conditionalFormatting>
  <conditionalFormatting sqref="C161">
    <cfRule type="expression" dxfId="34" priority="35">
      <formula>($B164="G")</formula>
    </cfRule>
  </conditionalFormatting>
  <conditionalFormatting sqref="C162:C163 C167">
    <cfRule type="expression" dxfId="33" priority="36">
      <formula>(#REF!="G")</formula>
    </cfRule>
  </conditionalFormatting>
  <conditionalFormatting sqref="C162:C163">
    <cfRule type="expression" dxfId="32" priority="37">
      <formula>($B162="G")</formula>
    </cfRule>
  </conditionalFormatting>
  <conditionalFormatting sqref="C165:C169">
    <cfRule type="expression" dxfId="31" priority="29">
      <formula>($B165="G")</formula>
    </cfRule>
  </conditionalFormatting>
  <conditionalFormatting sqref="C170">
    <cfRule type="expression" dxfId="30" priority="30">
      <formula>($B173="G")</formula>
    </cfRule>
  </conditionalFormatting>
  <conditionalFormatting sqref="C171:C172 C176">
    <cfRule type="expression" dxfId="29" priority="31">
      <formula>(#REF!="G")</formula>
    </cfRule>
  </conditionalFormatting>
  <conditionalFormatting sqref="C171:C172">
    <cfRule type="expression" dxfId="28" priority="32">
      <formula>($B171="G")</formula>
    </cfRule>
  </conditionalFormatting>
  <conditionalFormatting sqref="C174:C178">
    <cfRule type="expression" dxfId="27" priority="24">
      <formula>($B174="G")</formula>
    </cfRule>
  </conditionalFormatting>
  <conditionalFormatting sqref="C179">
    <cfRule type="expression" dxfId="26" priority="25">
      <formula>($B182="G")</formula>
    </cfRule>
  </conditionalFormatting>
  <conditionalFormatting sqref="C180:C181 C185">
    <cfRule type="expression" dxfId="25" priority="26">
      <formula>(#REF!="G")</formula>
    </cfRule>
  </conditionalFormatting>
  <conditionalFormatting sqref="C180:C181">
    <cfRule type="expression" dxfId="24" priority="27">
      <formula>($B180="G")</formula>
    </cfRule>
  </conditionalFormatting>
  <conditionalFormatting sqref="C183:C187">
    <cfRule type="expression" dxfId="23" priority="19">
      <formula>($B183="G")</formula>
    </cfRule>
  </conditionalFormatting>
  <conditionalFormatting sqref="C188">
    <cfRule type="expression" dxfId="22" priority="20">
      <formula>($B191="G")</formula>
    </cfRule>
  </conditionalFormatting>
  <conditionalFormatting sqref="C189:C190 C194">
    <cfRule type="expression" dxfId="21" priority="21">
      <formula>(#REF!="G")</formula>
    </cfRule>
  </conditionalFormatting>
  <conditionalFormatting sqref="C189:C190">
    <cfRule type="expression" dxfId="20" priority="22">
      <formula>($B189="G")</formula>
    </cfRule>
  </conditionalFormatting>
  <conditionalFormatting sqref="C192:C196">
    <cfRule type="expression" dxfId="19" priority="14">
      <formula>($B192="G")</formula>
    </cfRule>
  </conditionalFormatting>
  <conditionalFormatting sqref="C197">
    <cfRule type="expression" dxfId="18" priority="15">
      <formula>($B200="G")</formula>
    </cfRule>
  </conditionalFormatting>
  <conditionalFormatting sqref="C198:C199 C201:C203">
    <cfRule type="expression" dxfId="17" priority="17">
      <formula>($B198="G")</formula>
    </cfRule>
  </conditionalFormatting>
  <conditionalFormatting sqref="C198:C199 C203">
    <cfRule type="expression" dxfId="16" priority="16">
      <formula>(#REF!="G")</formula>
    </cfRule>
  </conditionalFormatting>
  <conditionalFormatting sqref="D3:D122">
    <cfRule type="expression" dxfId="15" priority="68">
      <formula>($B3="G")</formula>
    </cfRule>
  </conditionalFormatting>
  <conditionalFormatting sqref="M4:M13">
    <cfRule type="expression" dxfId="14" priority="92">
      <formula>($B7="G")</formula>
    </cfRule>
  </conditionalFormatting>
  <conditionalFormatting sqref="M7">
    <cfRule type="expression" dxfId="13" priority="93">
      <formula>($B13="G")</formula>
    </cfRule>
  </conditionalFormatting>
  <conditionalFormatting sqref="M8:M9 M13">
    <cfRule type="expression" dxfId="12" priority="94">
      <formula>(#REF!="G")</formula>
    </cfRule>
  </conditionalFormatting>
  <conditionalFormatting sqref="D123:D131">
    <cfRule type="expression" dxfId="11" priority="13">
      <formula>($B123="G")</formula>
    </cfRule>
  </conditionalFormatting>
  <conditionalFormatting sqref="D132">
    <cfRule type="expression" dxfId="10" priority="12">
      <formula>($B132="G")</formula>
    </cfRule>
  </conditionalFormatting>
  <conditionalFormatting sqref="D141">
    <cfRule type="expression" dxfId="9" priority="11">
      <formula>($B141="G")</formula>
    </cfRule>
  </conditionalFormatting>
  <conditionalFormatting sqref="D150">
    <cfRule type="expression" dxfId="8" priority="10">
      <formula>($B150="G")</formula>
    </cfRule>
  </conditionalFormatting>
  <conditionalFormatting sqref="D159:D167">
    <cfRule type="expression" dxfId="7" priority="9">
      <formula>($B159="G")</formula>
    </cfRule>
  </conditionalFormatting>
  <conditionalFormatting sqref="D168:D176">
    <cfRule type="expression" dxfId="6" priority="8">
      <formula>($B168="G")</formula>
    </cfRule>
  </conditionalFormatting>
  <conditionalFormatting sqref="D177:D185">
    <cfRule type="expression" dxfId="5" priority="7">
      <formula>($B177="G")</formula>
    </cfRule>
  </conditionalFormatting>
  <conditionalFormatting sqref="D186:D194">
    <cfRule type="expression" dxfId="4" priority="6">
      <formula>($B186="G")</formula>
    </cfRule>
  </conditionalFormatting>
  <conditionalFormatting sqref="D195:D203">
    <cfRule type="expression" dxfId="3" priority="5">
      <formula>($B195="G")</formula>
    </cfRule>
  </conditionalFormatting>
  <conditionalFormatting sqref="D133:D140">
    <cfRule type="expression" dxfId="2" priority="4">
      <formula>($B133="G")</formula>
    </cfRule>
  </conditionalFormatting>
  <conditionalFormatting sqref="D142:D149">
    <cfRule type="expression" dxfId="1" priority="3">
      <formula>($B142="G")</formula>
    </cfRule>
  </conditionalFormatting>
  <conditionalFormatting sqref="D151:D158">
    <cfRule type="expression" dxfId="0" priority="1">
      <formula>($B151="G")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R85"/>
  <sheetViews>
    <sheetView showGridLines="0" zoomScale="85" zoomScaleNormal="85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I80" sqref="I80"/>
    </sheetView>
  </sheetViews>
  <sheetFormatPr defaultColWidth="5.59765625" defaultRowHeight="17.399999999999999" outlineLevelCol="1"/>
  <cols>
    <col min="1" max="1" width="2" style="24" customWidth="1"/>
    <col min="2" max="2" width="5.59765625" style="77" customWidth="1"/>
    <col min="3" max="3" width="14.8984375" style="82" customWidth="1"/>
    <col min="4" max="4" width="21.3984375" style="83" customWidth="1"/>
    <col min="5" max="5" width="24.5" style="82" bestFit="1" customWidth="1"/>
    <col min="6" max="6" width="25.59765625" style="26" customWidth="1"/>
    <col min="7" max="7" width="12.3984375" style="27" customWidth="1" outlineLevel="1"/>
    <col min="8" max="11" width="18.59765625" style="24" customWidth="1" outlineLevel="1"/>
    <col min="12" max="12" width="8.09765625" style="27" customWidth="1"/>
    <col min="13" max="15" width="8.09765625" style="27" customWidth="1" outlineLevel="1"/>
    <col min="16" max="27" width="8.69921875" style="27" customWidth="1" outlineLevel="1"/>
    <col min="28" max="28" width="8.69921875" style="27" customWidth="1"/>
    <col min="29" max="41" width="8.69921875" style="27" customWidth="1" outlineLevel="1"/>
    <col min="42" max="43" width="11.8984375" style="24" customWidth="1"/>
    <col min="44" max="16384" width="5.59765625" style="24"/>
  </cols>
  <sheetData>
    <row r="1" spans="1:44" ht="24">
      <c r="A1" s="29" t="s">
        <v>35</v>
      </c>
      <c r="B1" s="79" t="s">
        <v>270</v>
      </c>
      <c r="C1" s="79"/>
      <c r="D1" s="80"/>
      <c r="E1" s="81"/>
      <c r="F1" s="30"/>
      <c r="G1" s="37"/>
      <c r="H1" s="30"/>
      <c r="I1" s="30"/>
      <c r="J1" s="30"/>
      <c r="K1" s="30"/>
      <c r="L1" s="37" t="s">
        <v>35</v>
      </c>
      <c r="M1" s="37" t="s">
        <v>35</v>
      </c>
      <c r="N1" s="37" t="s">
        <v>35</v>
      </c>
      <c r="O1" s="37" t="s">
        <v>35</v>
      </c>
      <c r="P1" s="37" t="s">
        <v>35</v>
      </c>
      <c r="Q1" s="37" t="s">
        <v>35</v>
      </c>
      <c r="R1" s="37" t="s">
        <v>35</v>
      </c>
      <c r="S1" s="37" t="s">
        <v>35</v>
      </c>
      <c r="T1" s="37" t="s">
        <v>35</v>
      </c>
      <c r="U1" s="37" t="s">
        <v>35</v>
      </c>
      <c r="V1" s="37" t="s">
        <v>35</v>
      </c>
      <c r="W1" s="37" t="s">
        <v>35</v>
      </c>
      <c r="X1" s="37" t="s">
        <v>35</v>
      </c>
      <c r="Y1" s="37" t="s">
        <v>35</v>
      </c>
      <c r="Z1" s="37" t="s">
        <v>35</v>
      </c>
      <c r="AA1" s="37" t="s">
        <v>35</v>
      </c>
      <c r="AB1" s="37" t="s">
        <v>35</v>
      </c>
      <c r="AC1" s="37" t="s">
        <v>35</v>
      </c>
      <c r="AD1" s="37" t="s">
        <v>35</v>
      </c>
      <c r="AE1" s="37" t="s">
        <v>35</v>
      </c>
      <c r="AF1" s="37" t="s">
        <v>35</v>
      </c>
      <c r="AG1" s="37" t="s">
        <v>35</v>
      </c>
      <c r="AH1" s="37" t="s">
        <v>35</v>
      </c>
      <c r="AI1" s="37" t="s">
        <v>35</v>
      </c>
      <c r="AJ1" s="37" t="s">
        <v>35</v>
      </c>
      <c r="AK1" s="37" t="s">
        <v>35</v>
      </c>
      <c r="AL1" s="37" t="s">
        <v>35</v>
      </c>
      <c r="AM1" s="37" t="s">
        <v>35</v>
      </c>
      <c r="AN1" s="37" t="s">
        <v>35</v>
      </c>
      <c r="AO1" s="37" t="s">
        <v>35</v>
      </c>
      <c r="AP1" s="37" t="s">
        <v>35</v>
      </c>
      <c r="AQ1" s="37" t="s">
        <v>35</v>
      </c>
      <c r="AR1" s="37" t="s">
        <v>35</v>
      </c>
    </row>
    <row r="2" spans="1:44" s="27" customFormat="1">
      <c r="A2" s="35" t="s">
        <v>35</v>
      </c>
      <c r="B2" s="135" t="s">
        <v>20</v>
      </c>
      <c r="C2" s="136" t="s">
        <v>19</v>
      </c>
      <c r="D2" s="137" t="s">
        <v>21</v>
      </c>
      <c r="E2" s="136" t="s">
        <v>22</v>
      </c>
      <c r="F2" s="138" t="s">
        <v>23</v>
      </c>
      <c r="G2" s="131" t="s">
        <v>145</v>
      </c>
      <c r="H2" s="131" t="s">
        <v>24</v>
      </c>
      <c r="I2" s="131" t="s">
        <v>146</v>
      </c>
      <c r="J2" s="131" t="s">
        <v>147</v>
      </c>
      <c r="K2" s="131" t="s">
        <v>148</v>
      </c>
      <c r="L2" s="133" t="s">
        <v>207</v>
      </c>
      <c r="M2" s="133"/>
      <c r="N2" s="133"/>
      <c r="O2" s="134"/>
      <c r="P2" s="133" t="s">
        <v>201</v>
      </c>
      <c r="Q2" s="133"/>
      <c r="R2" s="133"/>
      <c r="S2" s="134"/>
      <c r="T2" s="133" t="s">
        <v>202</v>
      </c>
      <c r="U2" s="133"/>
      <c r="V2" s="133"/>
      <c r="W2" s="134"/>
      <c r="X2" s="133" t="s">
        <v>203</v>
      </c>
      <c r="Y2" s="133"/>
      <c r="Z2" s="133"/>
      <c r="AA2" s="134"/>
      <c r="AB2" s="133" t="s">
        <v>206</v>
      </c>
      <c r="AC2" s="133"/>
      <c r="AD2" s="133"/>
      <c r="AE2" s="134"/>
      <c r="AF2" s="133" t="s">
        <v>25</v>
      </c>
      <c r="AG2" s="133"/>
      <c r="AH2" s="133"/>
      <c r="AI2" s="134"/>
      <c r="AJ2" s="133" t="s">
        <v>26</v>
      </c>
      <c r="AK2" s="133"/>
      <c r="AL2" s="134"/>
      <c r="AM2" s="133" t="s">
        <v>149</v>
      </c>
      <c r="AN2" s="133"/>
      <c r="AO2" s="134"/>
      <c r="AP2" s="131" t="s">
        <v>150</v>
      </c>
      <c r="AQ2" s="131" t="s">
        <v>151</v>
      </c>
      <c r="AR2" s="36" t="s">
        <v>35</v>
      </c>
    </row>
    <row r="3" spans="1:44" s="27" customFormat="1">
      <c r="A3" s="35" t="s">
        <v>35</v>
      </c>
      <c r="B3" s="135"/>
      <c r="C3" s="136"/>
      <c r="D3" s="137"/>
      <c r="E3" s="136"/>
      <c r="F3" s="139"/>
      <c r="G3" s="132"/>
      <c r="H3" s="132"/>
      <c r="I3" s="132"/>
      <c r="J3" s="132"/>
      <c r="K3" s="132"/>
      <c r="L3" s="39" t="s">
        <v>28</v>
      </c>
      <c r="M3" s="40" t="s">
        <v>29</v>
      </c>
      <c r="N3" s="40" t="s">
        <v>30</v>
      </c>
      <c r="O3" s="41" t="s">
        <v>31</v>
      </c>
      <c r="P3" s="39" t="s">
        <v>28</v>
      </c>
      <c r="Q3" s="40" t="s">
        <v>29</v>
      </c>
      <c r="R3" s="40" t="s">
        <v>30</v>
      </c>
      <c r="S3" s="41" t="s">
        <v>31</v>
      </c>
      <c r="T3" s="39" t="s">
        <v>28</v>
      </c>
      <c r="U3" s="40" t="s">
        <v>29</v>
      </c>
      <c r="V3" s="40" t="s">
        <v>30</v>
      </c>
      <c r="W3" s="41" t="s">
        <v>31</v>
      </c>
      <c r="X3" s="39" t="s">
        <v>28</v>
      </c>
      <c r="Y3" s="40" t="s">
        <v>29</v>
      </c>
      <c r="Z3" s="40" t="s">
        <v>30</v>
      </c>
      <c r="AA3" s="41" t="s">
        <v>31</v>
      </c>
      <c r="AB3" s="39" t="s">
        <v>28</v>
      </c>
      <c r="AC3" s="40" t="s">
        <v>29</v>
      </c>
      <c r="AD3" s="40" t="s">
        <v>30</v>
      </c>
      <c r="AE3" s="41" t="s">
        <v>31</v>
      </c>
      <c r="AF3" s="39" t="s">
        <v>28</v>
      </c>
      <c r="AG3" s="40" t="s">
        <v>29</v>
      </c>
      <c r="AH3" s="40" t="s">
        <v>30</v>
      </c>
      <c r="AI3" s="41" t="s">
        <v>31</v>
      </c>
      <c r="AJ3" s="39" t="s">
        <v>28</v>
      </c>
      <c r="AK3" s="40" t="s">
        <v>32</v>
      </c>
      <c r="AL3" s="41" t="s">
        <v>33</v>
      </c>
      <c r="AM3" s="39" t="s">
        <v>28</v>
      </c>
      <c r="AN3" s="40" t="s">
        <v>32</v>
      </c>
      <c r="AO3" s="41" t="s">
        <v>33</v>
      </c>
      <c r="AP3" s="132"/>
      <c r="AQ3" s="132"/>
      <c r="AR3" s="36" t="s">
        <v>35</v>
      </c>
    </row>
    <row r="4" spans="1:44" ht="18" customHeight="1">
      <c r="A4" s="31" t="s">
        <v>35</v>
      </c>
      <c r="B4" s="75">
        <v>1</v>
      </c>
      <c r="C4" s="51" t="s">
        <v>34</v>
      </c>
      <c r="D4" s="49" t="s">
        <v>37</v>
      </c>
      <c r="E4" s="50" t="s">
        <v>37</v>
      </c>
      <c r="F4" s="78" t="s">
        <v>37</v>
      </c>
      <c r="G4" s="38" t="s">
        <v>166</v>
      </c>
      <c r="H4" s="33" t="s">
        <v>35</v>
      </c>
      <c r="I4" s="33" t="s">
        <v>35</v>
      </c>
      <c r="J4" s="33" t="s">
        <v>35</v>
      </c>
      <c r="K4" s="33" t="s">
        <v>35</v>
      </c>
      <c r="L4" s="59" t="s">
        <v>35</v>
      </c>
      <c r="M4" s="60" t="s">
        <v>35</v>
      </c>
      <c r="N4" s="60" t="s">
        <v>35</v>
      </c>
      <c r="O4" s="58" t="s">
        <v>35</v>
      </c>
      <c r="P4" s="59" t="s">
        <v>35</v>
      </c>
      <c r="Q4" s="60" t="s">
        <v>35</v>
      </c>
      <c r="R4" s="60" t="s">
        <v>35</v>
      </c>
      <c r="S4" s="58" t="s">
        <v>35</v>
      </c>
      <c r="T4" s="59" t="s">
        <v>35</v>
      </c>
      <c r="U4" s="60" t="s">
        <v>35</v>
      </c>
      <c r="V4" s="60" t="s">
        <v>35</v>
      </c>
      <c r="W4" s="58" t="s">
        <v>35</v>
      </c>
      <c r="X4" s="59" t="s">
        <v>35</v>
      </c>
      <c r="Y4" s="60" t="s">
        <v>35</v>
      </c>
      <c r="Z4" s="60" t="s">
        <v>35</v>
      </c>
      <c r="AA4" s="58" t="s">
        <v>35</v>
      </c>
      <c r="AB4" s="59" t="s">
        <v>35</v>
      </c>
      <c r="AC4" s="60" t="s">
        <v>35</v>
      </c>
      <c r="AD4" s="60" t="s">
        <v>35</v>
      </c>
      <c r="AE4" s="58" t="s">
        <v>35</v>
      </c>
      <c r="AF4" s="59" t="s">
        <v>35</v>
      </c>
      <c r="AG4" s="60" t="s">
        <v>35</v>
      </c>
      <c r="AH4" s="60" t="s">
        <v>35</v>
      </c>
      <c r="AI4" s="58" t="s">
        <v>35</v>
      </c>
      <c r="AJ4" s="59" t="s">
        <v>35</v>
      </c>
      <c r="AK4" s="60" t="s">
        <v>35</v>
      </c>
      <c r="AL4" s="58" t="s">
        <v>35</v>
      </c>
      <c r="AM4" s="59" t="s">
        <v>35</v>
      </c>
      <c r="AN4" s="60" t="s">
        <v>35</v>
      </c>
      <c r="AO4" s="58" t="s">
        <v>35</v>
      </c>
      <c r="AP4" s="33" t="s">
        <v>35</v>
      </c>
      <c r="AQ4" s="33" t="s">
        <v>35</v>
      </c>
      <c r="AR4" s="32" t="s">
        <v>35</v>
      </c>
    </row>
    <row r="5" spans="1:44" ht="18" customHeight="1">
      <c r="A5" s="31" t="s">
        <v>35</v>
      </c>
      <c r="B5" s="75">
        <v>2</v>
      </c>
      <c r="C5" s="47" t="s">
        <v>34</v>
      </c>
      <c r="D5" s="49" t="s">
        <v>38</v>
      </c>
      <c r="E5" s="54" t="s">
        <v>39</v>
      </c>
      <c r="F5" s="78" t="s">
        <v>40</v>
      </c>
      <c r="G5" s="103" t="s">
        <v>166</v>
      </c>
      <c r="H5" s="33" t="s">
        <v>35</v>
      </c>
      <c r="I5" s="33" t="s">
        <v>35</v>
      </c>
      <c r="J5" s="33" t="s">
        <v>35</v>
      </c>
      <c r="K5" s="33" t="s">
        <v>35</v>
      </c>
      <c r="L5" s="59" t="s">
        <v>35</v>
      </c>
      <c r="M5" s="60" t="s">
        <v>35</v>
      </c>
      <c r="N5" s="60" t="s">
        <v>35</v>
      </c>
      <c r="O5" s="58"/>
      <c r="P5" s="59" t="s">
        <v>35</v>
      </c>
      <c r="Q5" s="60" t="s">
        <v>35</v>
      </c>
      <c r="R5" s="60" t="s">
        <v>35</v>
      </c>
      <c r="S5" s="58" t="s">
        <v>35</v>
      </c>
      <c r="T5" s="59" t="s">
        <v>35</v>
      </c>
      <c r="U5" s="60" t="s">
        <v>35</v>
      </c>
      <c r="V5" s="60" t="s">
        <v>35</v>
      </c>
      <c r="W5" s="58" t="s">
        <v>35</v>
      </c>
      <c r="X5" s="59" t="s">
        <v>35</v>
      </c>
      <c r="Y5" s="60" t="s">
        <v>35</v>
      </c>
      <c r="Z5" s="60" t="s">
        <v>35</v>
      </c>
      <c r="AA5" s="58" t="s">
        <v>35</v>
      </c>
      <c r="AB5" s="59" t="s">
        <v>35</v>
      </c>
      <c r="AC5" s="60" t="s">
        <v>35</v>
      </c>
      <c r="AD5" s="60" t="s">
        <v>35</v>
      </c>
      <c r="AE5" s="58" t="s">
        <v>35</v>
      </c>
      <c r="AF5" s="59" t="s">
        <v>35</v>
      </c>
      <c r="AG5" s="60" t="s">
        <v>35</v>
      </c>
      <c r="AH5" s="60" t="s">
        <v>35</v>
      </c>
      <c r="AI5" s="58" t="s">
        <v>35</v>
      </c>
      <c r="AJ5" s="59" t="s">
        <v>35</v>
      </c>
      <c r="AK5" s="60" t="s">
        <v>35</v>
      </c>
      <c r="AL5" s="58" t="s">
        <v>35</v>
      </c>
      <c r="AM5" s="59" t="s">
        <v>35</v>
      </c>
      <c r="AN5" s="60" t="s">
        <v>35</v>
      </c>
      <c r="AO5" s="58" t="s">
        <v>35</v>
      </c>
      <c r="AP5" s="33" t="s">
        <v>35</v>
      </c>
      <c r="AQ5" s="33" t="s">
        <v>35</v>
      </c>
      <c r="AR5" s="32" t="s">
        <v>35</v>
      </c>
    </row>
    <row r="6" spans="1:44" ht="18" customHeight="1">
      <c r="A6" s="31" t="s">
        <v>35</v>
      </c>
      <c r="B6" s="75">
        <v>3</v>
      </c>
      <c r="C6" s="47" t="s">
        <v>34</v>
      </c>
      <c r="D6" s="51" t="s">
        <v>41</v>
      </c>
      <c r="E6" s="107" t="s">
        <v>41</v>
      </c>
      <c r="F6" s="78" t="s">
        <v>42</v>
      </c>
      <c r="G6" s="38" t="s">
        <v>272</v>
      </c>
      <c r="H6" s="33" t="s">
        <v>35</v>
      </c>
      <c r="I6" s="33" t="s">
        <v>35</v>
      </c>
      <c r="J6" s="33" t="s">
        <v>35</v>
      </c>
      <c r="K6" s="33" t="s">
        <v>35</v>
      </c>
      <c r="L6" s="59" t="s">
        <v>35</v>
      </c>
      <c r="M6" s="60" t="s">
        <v>35</v>
      </c>
      <c r="N6" s="60" t="s">
        <v>35</v>
      </c>
      <c r="O6" s="58"/>
      <c r="P6" s="59" t="s">
        <v>35</v>
      </c>
      <c r="Q6" s="60" t="s">
        <v>35</v>
      </c>
      <c r="R6" s="60" t="s">
        <v>35</v>
      </c>
      <c r="S6" s="58" t="s">
        <v>35</v>
      </c>
      <c r="T6" s="59" t="s">
        <v>35</v>
      </c>
      <c r="U6" s="60" t="s">
        <v>35</v>
      </c>
      <c r="V6" s="60" t="s">
        <v>35</v>
      </c>
      <c r="W6" s="58"/>
      <c r="X6" s="59"/>
      <c r="Y6" s="60"/>
      <c r="Z6" s="60"/>
      <c r="AA6" s="58"/>
      <c r="AB6" s="59"/>
      <c r="AC6" s="60" t="s">
        <v>35</v>
      </c>
      <c r="AD6" s="60" t="s">
        <v>35</v>
      </c>
      <c r="AE6" s="58" t="s">
        <v>35</v>
      </c>
      <c r="AF6" s="59" t="s">
        <v>35</v>
      </c>
      <c r="AG6" s="60" t="s">
        <v>35</v>
      </c>
      <c r="AH6" s="60" t="s">
        <v>35</v>
      </c>
      <c r="AI6" s="58" t="s">
        <v>35</v>
      </c>
      <c r="AJ6" s="59" t="s">
        <v>35</v>
      </c>
      <c r="AK6" s="60" t="s">
        <v>35</v>
      </c>
      <c r="AL6" s="58" t="s">
        <v>35</v>
      </c>
      <c r="AM6" s="59" t="s">
        <v>35</v>
      </c>
      <c r="AN6" s="60" t="s">
        <v>35</v>
      </c>
      <c r="AO6" s="58" t="s">
        <v>35</v>
      </c>
      <c r="AP6" s="33" t="s">
        <v>35</v>
      </c>
      <c r="AQ6" s="33" t="s">
        <v>35</v>
      </c>
      <c r="AR6" s="32" t="s">
        <v>35</v>
      </c>
    </row>
    <row r="7" spans="1:44" ht="18" customHeight="1">
      <c r="A7" s="31" t="s">
        <v>35</v>
      </c>
      <c r="B7" s="75">
        <v>4</v>
      </c>
      <c r="C7" s="47" t="s">
        <v>34</v>
      </c>
      <c r="D7" s="47" t="s">
        <v>41</v>
      </c>
      <c r="E7" s="45" t="s">
        <v>39</v>
      </c>
      <c r="F7" s="78" t="s">
        <v>43</v>
      </c>
      <c r="G7" s="103" t="s">
        <v>272</v>
      </c>
      <c r="H7" s="33" t="s">
        <v>35</v>
      </c>
      <c r="I7" s="33" t="s">
        <v>35</v>
      </c>
      <c r="J7" s="33" t="s">
        <v>35</v>
      </c>
      <c r="K7" s="33" t="s">
        <v>35</v>
      </c>
      <c r="L7" s="59" t="s">
        <v>35</v>
      </c>
      <c r="M7" s="60" t="s">
        <v>35</v>
      </c>
      <c r="N7" s="60" t="s">
        <v>35</v>
      </c>
      <c r="O7" s="58"/>
      <c r="P7" s="59" t="s">
        <v>35</v>
      </c>
      <c r="Q7" s="60" t="s">
        <v>35</v>
      </c>
      <c r="R7" s="60" t="s">
        <v>35</v>
      </c>
      <c r="S7" s="58" t="s">
        <v>35</v>
      </c>
      <c r="T7" s="59" t="s">
        <v>35</v>
      </c>
      <c r="U7" s="60" t="s">
        <v>35</v>
      </c>
      <c r="V7" s="60" t="s">
        <v>35</v>
      </c>
      <c r="W7" s="58"/>
      <c r="X7" s="59"/>
      <c r="Y7" s="60"/>
      <c r="Z7" s="60"/>
      <c r="AA7" s="58"/>
      <c r="AB7" s="59"/>
      <c r="AC7" s="60" t="s">
        <v>35</v>
      </c>
      <c r="AD7" s="60" t="s">
        <v>35</v>
      </c>
      <c r="AE7" s="58" t="s">
        <v>35</v>
      </c>
      <c r="AF7" s="59" t="s">
        <v>35</v>
      </c>
      <c r="AG7" s="60" t="s">
        <v>35</v>
      </c>
      <c r="AH7" s="60" t="s">
        <v>35</v>
      </c>
      <c r="AI7" s="58" t="s">
        <v>35</v>
      </c>
      <c r="AJ7" s="59" t="s">
        <v>35</v>
      </c>
      <c r="AK7" s="60" t="s">
        <v>35</v>
      </c>
      <c r="AL7" s="58" t="s">
        <v>35</v>
      </c>
      <c r="AM7" s="59" t="s">
        <v>35</v>
      </c>
      <c r="AN7" s="60" t="s">
        <v>35</v>
      </c>
      <c r="AO7" s="58" t="s">
        <v>35</v>
      </c>
      <c r="AP7" s="33" t="s">
        <v>35</v>
      </c>
      <c r="AQ7" s="33" t="s">
        <v>35</v>
      </c>
      <c r="AR7" s="32" t="s">
        <v>35</v>
      </c>
    </row>
    <row r="8" spans="1:44" ht="18" customHeight="1">
      <c r="A8" s="31" t="s">
        <v>35</v>
      </c>
      <c r="B8" s="75">
        <v>5</v>
      </c>
      <c r="C8" s="47" t="s">
        <v>34</v>
      </c>
      <c r="D8" s="47" t="s">
        <v>41</v>
      </c>
      <c r="E8" s="45" t="s">
        <v>39</v>
      </c>
      <c r="F8" s="78" t="s">
        <v>44</v>
      </c>
      <c r="G8" s="103" t="s">
        <v>272</v>
      </c>
      <c r="H8" s="33" t="s">
        <v>35</v>
      </c>
      <c r="I8" s="33" t="s">
        <v>35</v>
      </c>
      <c r="J8" s="33" t="s">
        <v>35</v>
      </c>
      <c r="K8" s="33" t="s">
        <v>35</v>
      </c>
      <c r="L8" s="59" t="s">
        <v>35</v>
      </c>
      <c r="M8" s="60" t="s">
        <v>35</v>
      </c>
      <c r="N8" s="60" t="s">
        <v>35</v>
      </c>
      <c r="O8" s="58"/>
      <c r="P8" s="59" t="s">
        <v>35</v>
      </c>
      <c r="Q8" s="60" t="s">
        <v>35</v>
      </c>
      <c r="R8" s="60" t="s">
        <v>35</v>
      </c>
      <c r="S8" s="58"/>
      <c r="T8" s="59" t="s">
        <v>35</v>
      </c>
      <c r="U8" s="60" t="s">
        <v>35</v>
      </c>
      <c r="V8" s="60" t="s">
        <v>35</v>
      </c>
      <c r="W8" s="58"/>
      <c r="X8" s="59"/>
      <c r="Y8" s="60"/>
      <c r="Z8" s="60"/>
      <c r="AA8" s="58"/>
      <c r="AB8" s="59"/>
      <c r="AC8" s="60" t="s">
        <v>35</v>
      </c>
      <c r="AD8" s="60" t="s">
        <v>35</v>
      </c>
      <c r="AE8" s="58" t="s">
        <v>35</v>
      </c>
      <c r="AF8" s="59" t="s">
        <v>35</v>
      </c>
      <c r="AG8" s="60" t="s">
        <v>35</v>
      </c>
      <c r="AH8" s="60" t="s">
        <v>35</v>
      </c>
      <c r="AI8" s="58" t="s">
        <v>35</v>
      </c>
      <c r="AJ8" s="59" t="s">
        <v>35</v>
      </c>
      <c r="AK8" s="60" t="s">
        <v>35</v>
      </c>
      <c r="AL8" s="58" t="s">
        <v>35</v>
      </c>
      <c r="AM8" s="59" t="s">
        <v>35</v>
      </c>
      <c r="AN8" s="60" t="s">
        <v>35</v>
      </c>
      <c r="AO8" s="58" t="s">
        <v>35</v>
      </c>
      <c r="AP8" s="33" t="s">
        <v>35</v>
      </c>
      <c r="AQ8" s="33" t="s">
        <v>35</v>
      </c>
      <c r="AR8" s="32" t="s">
        <v>35</v>
      </c>
    </row>
    <row r="9" spans="1:44" ht="18" customHeight="1">
      <c r="A9" s="31" t="s">
        <v>35</v>
      </c>
      <c r="B9" s="75">
        <v>6</v>
      </c>
      <c r="C9" s="47" t="s">
        <v>34</v>
      </c>
      <c r="D9" s="47" t="s">
        <v>41</v>
      </c>
      <c r="E9" s="45" t="s">
        <v>39</v>
      </c>
      <c r="F9" s="78" t="s">
        <v>45</v>
      </c>
      <c r="G9" s="103" t="s">
        <v>272</v>
      </c>
      <c r="H9" s="33" t="s">
        <v>35</v>
      </c>
      <c r="I9" s="33" t="s">
        <v>35</v>
      </c>
      <c r="J9" s="33" t="s">
        <v>35</v>
      </c>
      <c r="K9" s="33" t="s">
        <v>35</v>
      </c>
      <c r="L9" s="59" t="s">
        <v>35</v>
      </c>
      <c r="M9" s="60" t="s">
        <v>35</v>
      </c>
      <c r="N9" s="60" t="s">
        <v>35</v>
      </c>
      <c r="O9" s="58"/>
      <c r="P9" s="59" t="s">
        <v>35</v>
      </c>
      <c r="Q9" s="60" t="s">
        <v>35</v>
      </c>
      <c r="R9" s="60" t="s">
        <v>35</v>
      </c>
      <c r="S9" s="58"/>
      <c r="T9" s="59" t="s">
        <v>35</v>
      </c>
      <c r="U9" s="60" t="s">
        <v>35</v>
      </c>
      <c r="V9" s="60" t="s">
        <v>35</v>
      </c>
      <c r="W9" s="58"/>
      <c r="X9" s="59"/>
      <c r="Y9" s="60"/>
      <c r="Z9" s="60"/>
      <c r="AA9" s="58"/>
      <c r="AB9" s="59"/>
      <c r="AC9" s="60" t="s">
        <v>35</v>
      </c>
      <c r="AD9" s="60" t="s">
        <v>35</v>
      </c>
      <c r="AE9" s="58" t="s">
        <v>35</v>
      </c>
      <c r="AF9" s="59" t="s">
        <v>35</v>
      </c>
      <c r="AG9" s="60" t="s">
        <v>35</v>
      </c>
      <c r="AH9" s="60" t="s">
        <v>35</v>
      </c>
      <c r="AI9" s="58" t="s">
        <v>35</v>
      </c>
      <c r="AJ9" s="59" t="s">
        <v>35</v>
      </c>
      <c r="AK9" s="60" t="s">
        <v>35</v>
      </c>
      <c r="AL9" s="58" t="s">
        <v>35</v>
      </c>
      <c r="AM9" s="59" t="s">
        <v>35</v>
      </c>
      <c r="AN9" s="60" t="s">
        <v>35</v>
      </c>
      <c r="AO9" s="58" t="s">
        <v>35</v>
      </c>
      <c r="AP9" s="33" t="s">
        <v>35</v>
      </c>
      <c r="AQ9" s="33" t="s">
        <v>35</v>
      </c>
      <c r="AR9" s="32" t="s">
        <v>35</v>
      </c>
    </row>
    <row r="10" spans="1:44" ht="18" customHeight="1">
      <c r="A10" s="31" t="s">
        <v>35</v>
      </c>
      <c r="B10" s="75">
        <v>7</v>
      </c>
      <c r="C10" s="47" t="s">
        <v>34</v>
      </c>
      <c r="D10" s="47" t="s">
        <v>41</v>
      </c>
      <c r="E10" s="45" t="s">
        <v>39</v>
      </c>
      <c r="F10" s="78" t="s">
        <v>46</v>
      </c>
      <c r="G10" s="103" t="s">
        <v>272</v>
      </c>
      <c r="H10" s="33" t="s">
        <v>35</v>
      </c>
      <c r="I10" s="33" t="s">
        <v>35</v>
      </c>
      <c r="J10" s="33" t="s">
        <v>35</v>
      </c>
      <c r="K10" s="33" t="s">
        <v>35</v>
      </c>
      <c r="L10" s="59" t="s">
        <v>35</v>
      </c>
      <c r="M10" s="60" t="s">
        <v>35</v>
      </c>
      <c r="N10" s="60" t="s">
        <v>35</v>
      </c>
      <c r="O10" s="58"/>
      <c r="P10" s="59" t="s">
        <v>35</v>
      </c>
      <c r="Q10" s="60" t="s">
        <v>35</v>
      </c>
      <c r="R10" s="60" t="s">
        <v>35</v>
      </c>
      <c r="S10" s="58"/>
      <c r="T10" s="59" t="s">
        <v>35</v>
      </c>
      <c r="U10" s="60" t="s">
        <v>35</v>
      </c>
      <c r="V10" s="60" t="s">
        <v>35</v>
      </c>
      <c r="W10" s="58"/>
      <c r="X10" s="59"/>
      <c r="Y10" s="60"/>
      <c r="Z10" s="60"/>
      <c r="AA10" s="58"/>
      <c r="AB10" s="59"/>
      <c r="AC10" s="60" t="s">
        <v>35</v>
      </c>
      <c r="AD10" s="60" t="s">
        <v>35</v>
      </c>
      <c r="AE10" s="58" t="s">
        <v>35</v>
      </c>
      <c r="AF10" s="59" t="s">
        <v>35</v>
      </c>
      <c r="AG10" s="60" t="s">
        <v>35</v>
      </c>
      <c r="AH10" s="60" t="s">
        <v>35</v>
      </c>
      <c r="AI10" s="58" t="s">
        <v>35</v>
      </c>
      <c r="AJ10" s="59" t="s">
        <v>35</v>
      </c>
      <c r="AK10" s="60" t="s">
        <v>35</v>
      </c>
      <c r="AL10" s="58" t="s">
        <v>35</v>
      </c>
      <c r="AM10" s="59" t="s">
        <v>35</v>
      </c>
      <c r="AN10" s="60" t="s">
        <v>35</v>
      </c>
      <c r="AO10" s="58" t="s">
        <v>35</v>
      </c>
      <c r="AP10" s="33" t="s">
        <v>35</v>
      </c>
      <c r="AQ10" s="33" t="s">
        <v>35</v>
      </c>
      <c r="AR10" s="32" t="s">
        <v>35</v>
      </c>
    </row>
    <row r="11" spans="1:44" ht="18" customHeight="1">
      <c r="A11" s="31" t="s">
        <v>35</v>
      </c>
      <c r="B11" s="75">
        <v>8</v>
      </c>
      <c r="C11" s="47" t="s">
        <v>34</v>
      </c>
      <c r="D11" s="53" t="s">
        <v>41</v>
      </c>
      <c r="E11" s="52" t="s">
        <v>39</v>
      </c>
      <c r="F11" s="78" t="s">
        <v>47</v>
      </c>
      <c r="G11" s="103" t="s">
        <v>272</v>
      </c>
      <c r="H11" s="33" t="s">
        <v>35</v>
      </c>
      <c r="I11" s="33" t="s">
        <v>35</v>
      </c>
      <c r="J11" s="33" t="s">
        <v>35</v>
      </c>
      <c r="K11" s="33" t="s">
        <v>35</v>
      </c>
      <c r="L11" s="59" t="s">
        <v>35</v>
      </c>
      <c r="M11" s="60" t="s">
        <v>35</v>
      </c>
      <c r="N11" s="60" t="s">
        <v>35</v>
      </c>
      <c r="O11" s="58"/>
      <c r="P11" s="59" t="s">
        <v>35</v>
      </c>
      <c r="Q11" s="60" t="s">
        <v>35</v>
      </c>
      <c r="R11" s="60" t="s">
        <v>35</v>
      </c>
      <c r="S11" s="58"/>
      <c r="T11" s="59" t="s">
        <v>35</v>
      </c>
      <c r="U11" s="60" t="s">
        <v>35</v>
      </c>
      <c r="V11" s="60" t="s">
        <v>35</v>
      </c>
      <c r="W11" s="58"/>
      <c r="X11" s="59"/>
      <c r="Y11" s="60"/>
      <c r="Z11" s="60"/>
      <c r="AA11" s="58"/>
      <c r="AB11" s="59"/>
      <c r="AC11" s="60" t="s">
        <v>35</v>
      </c>
      <c r="AD11" s="60" t="s">
        <v>35</v>
      </c>
      <c r="AE11" s="58" t="s">
        <v>35</v>
      </c>
      <c r="AF11" s="59" t="s">
        <v>35</v>
      </c>
      <c r="AG11" s="60" t="s">
        <v>35</v>
      </c>
      <c r="AH11" s="60" t="s">
        <v>35</v>
      </c>
      <c r="AI11" s="58" t="s">
        <v>35</v>
      </c>
      <c r="AJ11" s="59" t="s">
        <v>35</v>
      </c>
      <c r="AK11" s="60" t="s">
        <v>35</v>
      </c>
      <c r="AL11" s="58" t="s">
        <v>35</v>
      </c>
      <c r="AM11" s="59" t="s">
        <v>35</v>
      </c>
      <c r="AN11" s="60" t="s">
        <v>35</v>
      </c>
      <c r="AO11" s="58" t="s">
        <v>35</v>
      </c>
      <c r="AP11" s="33" t="s">
        <v>35</v>
      </c>
      <c r="AQ11" s="33" t="s">
        <v>35</v>
      </c>
      <c r="AR11" s="32" t="s">
        <v>35</v>
      </c>
    </row>
    <row r="12" spans="1:44" ht="18" customHeight="1">
      <c r="A12" s="31" t="s">
        <v>35</v>
      </c>
      <c r="B12" s="75">
        <v>9</v>
      </c>
      <c r="C12" s="47" t="s">
        <v>34</v>
      </c>
      <c r="D12" s="51" t="s">
        <v>48</v>
      </c>
      <c r="E12" s="107" t="s">
        <v>48</v>
      </c>
      <c r="F12" s="78" t="s">
        <v>49</v>
      </c>
      <c r="G12" s="103" t="s">
        <v>272</v>
      </c>
      <c r="H12" s="33" t="s">
        <v>35</v>
      </c>
      <c r="I12" s="33" t="s">
        <v>35</v>
      </c>
      <c r="J12" s="33" t="s">
        <v>35</v>
      </c>
      <c r="K12" s="33" t="s">
        <v>35</v>
      </c>
      <c r="L12" s="59" t="s">
        <v>35</v>
      </c>
      <c r="M12" s="60" t="s">
        <v>35</v>
      </c>
      <c r="N12" s="60" t="s">
        <v>35</v>
      </c>
      <c r="O12" s="58"/>
      <c r="P12" s="59" t="s">
        <v>35</v>
      </c>
      <c r="Q12" s="60" t="s">
        <v>35</v>
      </c>
      <c r="R12" s="60" t="s">
        <v>35</v>
      </c>
      <c r="S12" s="58" t="s">
        <v>35</v>
      </c>
      <c r="T12" s="59" t="s">
        <v>35</v>
      </c>
      <c r="U12" s="60" t="s">
        <v>35</v>
      </c>
      <c r="V12" s="60" t="s">
        <v>35</v>
      </c>
      <c r="W12" s="58"/>
      <c r="X12" s="59"/>
      <c r="Y12" s="60"/>
      <c r="Z12" s="60"/>
      <c r="AA12" s="58"/>
      <c r="AB12" s="59"/>
      <c r="AC12" s="60" t="s">
        <v>35</v>
      </c>
      <c r="AD12" s="60" t="s">
        <v>35</v>
      </c>
      <c r="AE12" s="58" t="s">
        <v>35</v>
      </c>
      <c r="AF12" s="59" t="s">
        <v>35</v>
      </c>
      <c r="AG12" s="60" t="s">
        <v>35</v>
      </c>
      <c r="AH12" s="60" t="s">
        <v>35</v>
      </c>
      <c r="AI12" s="58" t="s">
        <v>35</v>
      </c>
      <c r="AJ12" s="59" t="s">
        <v>35</v>
      </c>
      <c r="AK12" s="60" t="s">
        <v>35</v>
      </c>
      <c r="AL12" s="58" t="s">
        <v>35</v>
      </c>
      <c r="AM12" s="59" t="s">
        <v>35</v>
      </c>
      <c r="AN12" s="60" t="s">
        <v>35</v>
      </c>
      <c r="AO12" s="58" t="s">
        <v>35</v>
      </c>
      <c r="AP12" s="33" t="s">
        <v>35</v>
      </c>
      <c r="AQ12" s="33" t="s">
        <v>35</v>
      </c>
      <c r="AR12" s="32" t="s">
        <v>35</v>
      </c>
    </row>
    <row r="13" spans="1:44" ht="18" customHeight="1">
      <c r="A13" s="31" t="s">
        <v>35</v>
      </c>
      <c r="B13" s="75">
        <v>10</v>
      </c>
      <c r="C13" s="47" t="s">
        <v>34</v>
      </c>
      <c r="D13" s="47" t="s">
        <v>48</v>
      </c>
      <c r="E13" s="45" t="s">
        <v>39</v>
      </c>
      <c r="F13" s="78" t="s">
        <v>50</v>
      </c>
      <c r="G13" s="103" t="s">
        <v>272</v>
      </c>
      <c r="H13" s="33" t="s">
        <v>35</v>
      </c>
      <c r="I13" s="33" t="s">
        <v>307</v>
      </c>
      <c r="J13" s="33" t="s">
        <v>35</v>
      </c>
      <c r="K13" s="33" t="s">
        <v>35</v>
      </c>
      <c r="L13" s="59" t="s">
        <v>35</v>
      </c>
      <c r="M13" s="60" t="s">
        <v>35</v>
      </c>
      <c r="N13" s="60" t="s">
        <v>35</v>
      </c>
      <c r="O13" s="58"/>
      <c r="P13" s="59" t="s">
        <v>35</v>
      </c>
      <c r="Q13" s="60" t="s">
        <v>35</v>
      </c>
      <c r="R13" s="60" t="s">
        <v>35</v>
      </c>
      <c r="S13" s="58" t="s">
        <v>35</v>
      </c>
      <c r="T13" s="59" t="s">
        <v>35</v>
      </c>
      <c r="U13" s="60" t="s">
        <v>35</v>
      </c>
      <c r="V13" s="60" t="s">
        <v>35</v>
      </c>
      <c r="W13" s="58"/>
      <c r="X13" s="59"/>
      <c r="Y13" s="60"/>
      <c r="Z13" s="60"/>
      <c r="AA13" s="58"/>
      <c r="AB13" s="59"/>
      <c r="AC13" s="60" t="s">
        <v>35</v>
      </c>
      <c r="AD13" s="60" t="s">
        <v>35</v>
      </c>
      <c r="AE13" s="58" t="s">
        <v>35</v>
      </c>
      <c r="AF13" s="59" t="s">
        <v>35</v>
      </c>
      <c r="AG13" s="60" t="s">
        <v>35</v>
      </c>
      <c r="AH13" s="60" t="s">
        <v>35</v>
      </c>
      <c r="AI13" s="58" t="s">
        <v>35</v>
      </c>
      <c r="AJ13" s="59" t="s">
        <v>35</v>
      </c>
      <c r="AK13" s="60" t="s">
        <v>35</v>
      </c>
      <c r="AL13" s="58" t="s">
        <v>35</v>
      </c>
      <c r="AM13" s="59" t="s">
        <v>35</v>
      </c>
      <c r="AN13" s="60" t="s">
        <v>35</v>
      </c>
      <c r="AO13" s="58" t="s">
        <v>35</v>
      </c>
      <c r="AP13" s="33" t="s">
        <v>35</v>
      </c>
      <c r="AQ13" s="33" t="s">
        <v>35</v>
      </c>
      <c r="AR13" s="32" t="s">
        <v>35</v>
      </c>
    </row>
    <row r="14" spans="1:44" ht="18" customHeight="1">
      <c r="A14" s="31" t="s">
        <v>35</v>
      </c>
      <c r="B14" s="75">
        <v>11</v>
      </c>
      <c r="C14" s="47" t="s">
        <v>34</v>
      </c>
      <c r="D14" s="47" t="s">
        <v>48</v>
      </c>
      <c r="E14" s="45" t="s">
        <v>39</v>
      </c>
      <c r="F14" s="78" t="s">
        <v>51</v>
      </c>
      <c r="G14" s="103" t="s">
        <v>272</v>
      </c>
      <c r="H14" s="33" t="s">
        <v>35</v>
      </c>
      <c r="I14" s="33" t="s">
        <v>35</v>
      </c>
      <c r="J14" s="33" t="s">
        <v>35</v>
      </c>
      <c r="K14" s="33" t="s">
        <v>35</v>
      </c>
      <c r="L14" s="59" t="s">
        <v>35</v>
      </c>
      <c r="M14" s="60" t="s">
        <v>35</v>
      </c>
      <c r="N14" s="60" t="s">
        <v>35</v>
      </c>
      <c r="O14" s="58"/>
      <c r="P14" s="59" t="s">
        <v>35</v>
      </c>
      <c r="Q14" s="60" t="s">
        <v>35</v>
      </c>
      <c r="R14" s="60" t="s">
        <v>35</v>
      </c>
      <c r="S14" s="58" t="s">
        <v>35</v>
      </c>
      <c r="T14" s="59" t="s">
        <v>35</v>
      </c>
      <c r="U14" s="60" t="s">
        <v>35</v>
      </c>
      <c r="V14" s="60" t="s">
        <v>35</v>
      </c>
      <c r="W14" s="58"/>
      <c r="X14" s="59"/>
      <c r="Y14" s="60"/>
      <c r="Z14" s="60"/>
      <c r="AA14" s="58"/>
      <c r="AB14" s="59"/>
      <c r="AC14" s="60" t="s">
        <v>35</v>
      </c>
      <c r="AD14" s="60" t="s">
        <v>35</v>
      </c>
      <c r="AE14" s="58" t="s">
        <v>35</v>
      </c>
      <c r="AF14" s="59" t="s">
        <v>35</v>
      </c>
      <c r="AG14" s="60" t="s">
        <v>35</v>
      </c>
      <c r="AH14" s="60" t="s">
        <v>35</v>
      </c>
      <c r="AI14" s="58" t="s">
        <v>35</v>
      </c>
      <c r="AJ14" s="59" t="s">
        <v>35</v>
      </c>
      <c r="AK14" s="60" t="s">
        <v>35</v>
      </c>
      <c r="AL14" s="58" t="s">
        <v>35</v>
      </c>
      <c r="AM14" s="59" t="s">
        <v>35</v>
      </c>
      <c r="AN14" s="60" t="s">
        <v>35</v>
      </c>
      <c r="AO14" s="58" t="s">
        <v>35</v>
      </c>
      <c r="AP14" s="33" t="s">
        <v>35</v>
      </c>
      <c r="AQ14" s="33" t="s">
        <v>35</v>
      </c>
      <c r="AR14" s="32" t="s">
        <v>35</v>
      </c>
    </row>
    <row r="15" spans="1:44" ht="18" customHeight="1">
      <c r="A15" s="31" t="s">
        <v>35</v>
      </c>
      <c r="B15" s="75">
        <v>12</v>
      </c>
      <c r="C15" s="47" t="s">
        <v>34</v>
      </c>
      <c r="D15" s="47" t="s">
        <v>48</v>
      </c>
      <c r="E15" s="45" t="s">
        <v>39</v>
      </c>
      <c r="F15" s="78" t="s">
        <v>52</v>
      </c>
      <c r="G15" s="103" t="s">
        <v>272</v>
      </c>
      <c r="H15" s="33" t="s">
        <v>35</v>
      </c>
      <c r="I15" s="33" t="s">
        <v>35</v>
      </c>
      <c r="J15" s="33" t="s">
        <v>35</v>
      </c>
      <c r="K15" s="33" t="s">
        <v>35</v>
      </c>
      <c r="L15" s="59" t="s">
        <v>35</v>
      </c>
      <c r="M15" s="60" t="s">
        <v>35</v>
      </c>
      <c r="N15" s="60" t="s">
        <v>35</v>
      </c>
      <c r="O15" s="58"/>
      <c r="P15" s="59" t="s">
        <v>35</v>
      </c>
      <c r="Q15" s="60" t="s">
        <v>35</v>
      </c>
      <c r="R15" s="60" t="s">
        <v>35</v>
      </c>
      <c r="S15" s="58" t="s">
        <v>35</v>
      </c>
      <c r="T15" s="59" t="s">
        <v>35</v>
      </c>
      <c r="U15" s="60" t="s">
        <v>35</v>
      </c>
      <c r="V15" s="60" t="s">
        <v>35</v>
      </c>
      <c r="W15" s="58"/>
      <c r="X15" s="59"/>
      <c r="Y15" s="60"/>
      <c r="Z15" s="60"/>
      <c r="AA15" s="58"/>
      <c r="AB15" s="59"/>
      <c r="AC15" s="60" t="s">
        <v>35</v>
      </c>
      <c r="AD15" s="60" t="s">
        <v>35</v>
      </c>
      <c r="AE15" s="58" t="s">
        <v>35</v>
      </c>
      <c r="AF15" s="59" t="s">
        <v>35</v>
      </c>
      <c r="AG15" s="60" t="s">
        <v>35</v>
      </c>
      <c r="AH15" s="60" t="s">
        <v>35</v>
      </c>
      <c r="AI15" s="58" t="s">
        <v>35</v>
      </c>
      <c r="AJ15" s="59" t="s">
        <v>35</v>
      </c>
      <c r="AK15" s="60" t="s">
        <v>35</v>
      </c>
      <c r="AL15" s="58" t="s">
        <v>35</v>
      </c>
      <c r="AM15" s="59" t="s">
        <v>35</v>
      </c>
      <c r="AN15" s="60" t="s">
        <v>35</v>
      </c>
      <c r="AO15" s="58" t="s">
        <v>35</v>
      </c>
      <c r="AP15" s="33" t="s">
        <v>35</v>
      </c>
      <c r="AQ15" s="33" t="s">
        <v>35</v>
      </c>
      <c r="AR15" s="32" t="s">
        <v>35</v>
      </c>
    </row>
    <row r="16" spans="1:44" ht="18" customHeight="1">
      <c r="A16" s="31" t="s">
        <v>35</v>
      </c>
      <c r="B16" s="75">
        <v>13</v>
      </c>
      <c r="C16" s="47" t="s">
        <v>34</v>
      </c>
      <c r="D16" s="47" t="s">
        <v>48</v>
      </c>
      <c r="E16" s="45" t="s">
        <v>39</v>
      </c>
      <c r="F16" s="78" t="s">
        <v>53</v>
      </c>
      <c r="G16" s="103" t="s">
        <v>272</v>
      </c>
      <c r="H16" s="33" t="s">
        <v>35</v>
      </c>
      <c r="I16" s="33" t="s">
        <v>35</v>
      </c>
      <c r="J16" s="33" t="s">
        <v>35</v>
      </c>
      <c r="K16" s="33" t="s">
        <v>35</v>
      </c>
      <c r="L16" s="59" t="s">
        <v>35</v>
      </c>
      <c r="M16" s="60" t="s">
        <v>35</v>
      </c>
      <c r="N16" s="60" t="s">
        <v>35</v>
      </c>
      <c r="O16" s="58"/>
      <c r="P16" s="59" t="s">
        <v>35</v>
      </c>
      <c r="Q16" s="60" t="s">
        <v>35</v>
      </c>
      <c r="R16" s="60" t="s">
        <v>35</v>
      </c>
      <c r="S16" s="58" t="s">
        <v>35</v>
      </c>
      <c r="T16" s="59" t="s">
        <v>35</v>
      </c>
      <c r="U16" s="60" t="s">
        <v>35</v>
      </c>
      <c r="V16" s="60" t="s">
        <v>35</v>
      </c>
      <c r="W16" s="58" t="s">
        <v>35</v>
      </c>
      <c r="X16" s="59" t="s">
        <v>35</v>
      </c>
      <c r="Y16" s="60" t="s">
        <v>35</v>
      </c>
      <c r="Z16" s="60" t="s">
        <v>35</v>
      </c>
      <c r="AA16" s="58" t="s">
        <v>35</v>
      </c>
      <c r="AB16" s="59" t="s">
        <v>35</v>
      </c>
      <c r="AC16" s="60" t="s">
        <v>35</v>
      </c>
      <c r="AD16" s="60" t="s">
        <v>35</v>
      </c>
      <c r="AE16" s="58" t="s">
        <v>35</v>
      </c>
      <c r="AF16" s="59" t="s">
        <v>35</v>
      </c>
      <c r="AG16" s="60" t="s">
        <v>35</v>
      </c>
      <c r="AH16" s="60" t="s">
        <v>35</v>
      </c>
      <c r="AI16" s="58" t="s">
        <v>35</v>
      </c>
      <c r="AJ16" s="59" t="s">
        <v>35</v>
      </c>
      <c r="AK16" s="60" t="s">
        <v>35</v>
      </c>
      <c r="AL16" s="58" t="s">
        <v>35</v>
      </c>
      <c r="AM16" s="59" t="s">
        <v>35</v>
      </c>
      <c r="AN16" s="60" t="s">
        <v>35</v>
      </c>
      <c r="AO16" s="58" t="s">
        <v>35</v>
      </c>
      <c r="AP16" s="33" t="s">
        <v>35</v>
      </c>
      <c r="AQ16" s="33" t="s">
        <v>35</v>
      </c>
      <c r="AR16" s="32" t="s">
        <v>35</v>
      </c>
    </row>
    <row r="17" spans="1:44" ht="18" customHeight="1">
      <c r="A17" s="31" t="s">
        <v>35</v>
      </c>
      <c r="B17" s="75">
        <v>14</v>
      </c>
      <c r="C17" s="47" t="s">
        <v>34</v>
      </c>
      <c r="D17" s="47" t="s">
        <v>48</v>
      </c>
      <c r="E17" s="45" t="s">
        <v>39</v>
      </c>
      <c r="F17" s="78" t="s">
        <v>230</v>
      </c>
      <c r="G17" s="103" t="s">
        <v>272</v>
      </c>
      <c r="H17" s="33" t="s">
        <v>35</v>
      </c>
      <c r="I17" s="33" t="s">
        <v>35</v>
      </c>
      <c r="J17" s="33" t="s">
        <v>35</v>
      </c>
      <c r="K17" s="33" t="s">
        <v>35</v>
      </c>
      <c r="L17" s="59" t="s">
        <v>35</v>
      </c>
      <c r="M17" s="60" t="s">
        <v>35</v>
      </c>
      <c r="N17" s="60" t="s">
        <v>35</v>
      </c>
      <c r="O17" s="58"/>
      <c r="P17" s="59" t="s">
        <v>35</v>
      </c>
      <c r="Q17" s="60" t="s">
        <v>35</v>
      </c>
      <c r="R17" s="60" t="s">
        <v>35</v>
      </c>
      <c r="S17" s="58" t="s">
        <v>35</v>
      </c>
      <c r="T17" s="59" t="s">
        <v>35</v>
      </c>
      <c r="U17" s="60" t="s">
        <v>35</v>
      </c>
      <c r="V17" s="60" t="s">
        <v>35</v>
      </c>
      <c r="W17" s="58" t="s">
        <v>35</v>
      </c>
      <c r="X17" s="59" t="s">
        <v>35</v>
      </c>
      <c r="Y17" s="60" t="s">
        <v>35</v>
      </c>
      <c r="Z17" s="60" t="s">
        <v>35</v>
      </c>
      <c r="AA17" s="58" t="s">
        <v>35</v>
      </c>
      <c r="AB17" s="59" t="s">
        <v>35</v>
      </c>
      <c r="AC17" s="60" t="s">
        <v>35</v>
      </c>
      <c r="AD17" s="60" t="s">
        <v>35</v>
      </c>
      <c r="AE17" s="58" t="s">
        <v>35</v>
      </c>
      <c r="AF17" s="59" t="s">
        <v>35</v>
      </c>
      <c r="AG17" s="60" t="s">
        <v>35</v>
      </c>
      <c r="AH17" s="60" t="s">
        <v>35</v>
      </c>
      <c r="AI17" s="58" t="s">
        <v>35</v>
      </c>
      <c r="AJ17" s="59" t="s">
        <v>35</v>
      </c>
      <c r="AK17" s="60" t="s">
        <v>35</v>
      </c>
      <c r="AL17" s="58" t="s">
        <v>35</v>
      </c>
      <c r="AM17" s="59" t="s">
        <v>35</v>
      </c>
      <c r="AN17" s="60" t="s">
        <v>35</v>
      </c>
      <c r="AO17" s="58" t="s">
        <v>35</v>
      </c>
      <c r="AP17" s="33" t="s">
        <v>35</v>
      </c>
      <c r="AQ17" s="33" t="s">
        <v>35</v>
      </c>
      <c r="AR17" s="32" t="s">
        <v>35</v>
      </c>
    </row>
    <row r="18" spans="1:44" ht="18" customHeight="1">
      <c r="A18" s="31" t="s">
        <v>35</v>
      </c>
      <c r="B18" s="75">
        <v>15</v>
      </c>
      <c r="C18" s="47" t="s">
        <v>34</v>
      </c>
      <c r="D18" s="53" t="s">
        <v>48</v>
      </c>
      <c r="E18" s="52" t="s">
        <v>39</v>
      </c>
      <c r="F18" s="78" t="s">
        <v>54</v>
      </c>
      <c r="G18" s="103" t="s">
        <v>272</v>
      </c>
      <c r="H18" s="33" t="s">
        <v>35</v>
      </c>
      <c r="I18" s="33" t="s">
        <v>35</v>
      </c>
      <c r="J18" s="33" t="s">
        <v>35</v>
      </c>
      <c r="K18" s="33" t="s">
        <v>35</v>
      </c>
      <c r="L18" s="59" t="s">
        <v>35</v>
      </c>
      <c r="M18" s="60" t="s">
        <v>35</v>
      </c>
      <c r="N18" s="60" t="s">
        <v>35</v>
      </c>
      <c r="O18" s="58"/>
      <c r="P18" s="59" t="s">
        <v>35</v>
      </c>
      <c r="Q18" s="60" t="s">
        <v>35</v>
      </c>
      <c r="R18" s="60" t="s">
        <v>35</v>
      </c>
      <c r="S18" s="58" t="s">
        <v>35</v>
      </c>
      <c r="T18" s="59" t="s">
        <v>35</v>
      </c>
      <c r="U18" s="60" t="s">
        <v>35</v>
      </c>
      <c r="V18" s="60" t="s">
        <v>35</v>
      </c>
      <c r="W18" s="58" t="s">
        <v>35</v>
      </c>
      <c r="X18" s="59" t="s">
        <v>35</v>
      </c>
      <c r="Y18" s="60" t="s">
        <v>35</v>
      </c>
      <c r="Z18" s="60" t="s">
        <v>35</v>
      </c>
      <c r="AA18" s="58" t="s">
        <v>35</v>
      </c>
      <c r="AB18" s="59" t="s">
        <v>35</v>
      </c>
      <c r="AC18" s="60" t="s">
        <v>35</v>
      </c>
      <c r="AD18" s="60" t="s">
        <v>35</v>
      </c>
      <c r="AE18" s="58" t="s">
        <v>35</v>
      </c>
      <c r="AF18" s="59" t="s">
        <v>35</v>
      </c>
      <c r="AG18" s="60" t="s">
        <v>35</v>
      </c>
      <c r="AH18" s="60" t="s">
        <v>35</v>
      </c>
      <c r="AI18" s="58" t="s">
        <v>35</v>
      </c>
      <c r="AJ18" s="59" t="s">
        <v>35</v>
      </c>
      <c r="AK18" s="60" t="s">
        <v>35</v>
      </c>
      <c r="AL18" s="58" t="s">
        <v>35</v>
      </c>
      <c r="AM18" s="59" t="s">
        <v>35</v>
      </c>
      <c r="AN18" s="60" t="s">
        <v>35</v>
      </c>
      <c r="AO18" s="58" t="s">
        <v>35</v>
      </c>
      <c r="AP18" s="33" t="s">
        <v>35</v>
      </c>
      <c r="AQ18" s="33" t="s">
        <v>35</v>
      </c>
      <c r="AR18" s="32" t="s">
        <v>35</v>
      </c>
    </row>
    <row r="19" spans="1:44" ht="18" customHeight="1">
      <c r="A19" s="31" t="s">
        <v>35</v>
      </c>
      <c r="B19" s="75">
        <v>16</v>
      </c>
      <c r="C19" s="47" t="s">
        <v>34</v>
      </c>
      <c r="D19" s="49" t="s">
        <v>55</v>
      </c>
      <c r="E19" s="50" t="s">
        <v>56</v>
      </c>
      <c r="F19" s="106" t="s">
        <v>56</v>
      </c>
      <c r="G19" s="38" t="s">
        <v>166</v>
      </c>
      <c r="H19" s="33" t="s">
        <v>35</v>
      </c>
      <c r="I19" s="33" t="s">
        <v>35</v>
      </c>
      <c r="J19" s="33" t="s">
        <v>35</v>
      </c>
      <c r="K19" s="33" t="s">
        <v>35</v>
      </c>
      <c r="L19" s="59" t="s">
        <v>35</v>
      </c>
      <c r="M19" s="60" t="s">
        <v>35</v>
      </c>
      <c r="N19" s="60" t="s">
        <v>35</v>
      </c>
      <c r="O19" s="58"/>
      <c r="P19" s="59" t="s">
        <v>35</v>
      </c>
      <c r="Q19" s="60" t="s">
        <v>35</v>
      </c>
      <c r="R19" s="60" t="s">
        <v>35</v>
      </c>
      <c r="S19" s="58" t="s">
        <v>35</v>
      </c>
      <c r="T19" s="59" t="s">
        <v>35</v>
      </c>
      <c r="U19" s="60" t="s">
        <v>35</v>
      </c>
      <c r="V19" s="60" t="s">
        <v>35</v>
      </c>
      <c r="W19" s="58" t="s">
        <v>35</v>
      </c>
      <c r="X19" s="59" t="s">
        <v>35</v>
      </c>
      <c r="Y19" s="60" t="s">
        <v>35</v>
      </c>
      <c r="Z19" s="60" t="s">
        <v>35</v>
      </c>
      <c r="AA19" s="58" t="s">
        <v>35</v>
      </c>
      <c r="AB19" s="59" t="s">
        <v>35</v>
      </c>
      <c r="AC19" s="60" t="s">
        <v>35</v>
      </c>
      <c r="AD19" s="60" t="s">
        <v>35</v>
      </c>
      <c r="AE19" s="58" t="s">
        <v>35</v>
      </c>
      <c r="AF19" s="59" t="s">
        <v>35</v>
      </c>
      <c r="AG19" s="60" t="s">
        <v>35</v>
      </c>
      <c r="AH19" s="60" t="s">
        <v>35</v>
      </c>
      <c r="AI19" s="58" t="s">
        <v>35</v>
      </c>
      <c r="AJ19" s="59" t="s">
        <v>35</v>
      </c>
      <c r="AK19" s="60" t="s">
        <v>35</v>
      </c>
      <c r="AL19" s="58" t="s">
        <v>35</v>
      </c>
      <c r="AM19" s="59" t="s">
        <v>35</v>
      </c>
      <c r="AN19" s="60" t="s">
        <v>35</v>
      </c>
      <c r="AO19" s="58" t="s">
        <v>35</v>
      </c>
      <c r="AP19" s="33" t="s">
        <v>35</v>
      </c>
      <c r="AQ19" s="33" t="s">
        <v>35</v>
      </c>
      <c r="AR19" s="32" t="s">
        <v>35</v>
      </c>
    </row>
    <row r="20" spans="1:44" ht="18" customHeight="1">
      <c r="A20" s="31" t="s">
        <v>35</v>
      </c>
      <c r="B20" s="75">
        <v>17</v>
      </c>
      <c r="C20" s="47" t="s">
        <v>34</v>
      </c>
      <c r="D20" s="51" t="s">
        <v>57</v>
      </c>
      <c r="E20" s="54" t="s">
        <v>58</v>
      </c>
      <c r="F20" s="78" t="s">
        <v>59</v>
      </c>
      <c r="G20" s="103" t="s">
        <v>166</v>
      </c>
      <c r="H20" s="33" t="s">
        <v>35</v>
      </c>
      <c r="I20" s="33" t="s">
        <v>35</v>
      </c>
      <c r="J20" s="33" t="s">
        <v>35</v>
      </c>
      <c r="K20" s="33" t="s">
        <v>35</v>
      </c>
      <c r="L20" s="59" t="s">
        <v>35</v>
      </c>
      <c r="M20" s="60" t="s">
        <v>35</v>
      </c>
      <c r="N20" s="60" t="s">
        <v>35</v>
      </c>
      <c r="O20" s="58"/>
      <c r="P20" s="59" t="s">
        <v>35</v>
      </c>
      <c r="Q20" s="60" t="s">
        <v>35</v>
      </c>
      <c r="R20" s="60" t="s">
        <v>35</v>
      </c>
      <c r="S20" s="58" t="s">
        <v>35</v>
      </c>
      <c r="T20" s="59" t="s">
        <v>35</v>
      </c>
      <c r="U20" s="60" t="s">
        <v>35</v>
      </c>
      <c r="V20" s="60" t="s">
        <v>35</v>
      </c>
      <c r="W20" s="58" t="s">
        <v>35</v>
      </c>
      <c r="X20" s="59" t="s">
        <v>35</v>
      </c>
      <c r="Y20" s="60" t="s">
        <v>35</v>
      </c>
      <c r="Z20" s="60" t="s">
        <v>35</v>
      </c>
      <c r="AA20" s="58" t="s">
        <v>35</v>
      </c>
      <c r="AB20" s="59" t="s">
        <v>35</v>
      </c>
      <c r="AC20" s="60" t="s">
        <v>35</v>
      </c>
      <c r="AD20" s="60" t="s">
        <v>35</v>
      </c>
      <c r="AE20" s="58" t="s">
        <v>35</v>
      </c>
      <c r="AF20" s="59" t="s">
        <v>35</v>
      </c>
      <c r="AG20" s="60" t="s">
        <v>35</v>
      </c>
      <c r="AH20" s="60" t="s">
        <v>35</v>
      </c>
      <c r="AI20" s="58" t="s">
        <v>35</v>
      </c>
      <c r="AJ20" s="59" t="s">
        <v>35</v>
      </c>
      <c r="AK20" s="60" t="s">
        <v>35</v>
      </c>
      <c r="AL20" s="58" t="s">
        <v>35</v>
      </c>
      <c r="AM20" s="59" t="s">
        <v>35</v>
      </c>
      <c r="AN20" s="60" t="s">
        <v>35</v>
      </c>
      <c r="AO20" s="58" t="s">
        <v>35</v>
      </c>
      <c r="AP20" s="33" t="s">
        <v>35</v>
      </c>
      <c r="AQ20" s="33" t="s">
        <v>35</v>
      </c>
      <c r="AR20" s="32" t="s">
        <v>35</v>
      </c>
    </row>
    <row r="21" spans="1:44" ht="18" customHeight="1">
      <c r="A21" s="31" t="s">
        <v>35</v>
      </c>
      <c r="B21" s="75">
        <v>18</v>
      </c>
      <c r="C21" s="47" t="s">
        <v>34</v>
      </c>
      <c r="D21" s="47" t="s">
        <v>57</v>
      </c>
      <c r="E21" s="47" t="s">
        <v>58</v>
      </c>
      <c r="F21" s="78" t="s">
        <v>60</v>
      </c>
      <c r="G21" s="103" t="s">
        <v>272</v>
      </c>
      <c r="H21" s="33" t="s">
        <v>35</v>
      </c>
      <c r="I21" s="33" t="s">
        <v>35</v>
      </c>
      <c r="J21" s="33" t="s">
        <v>35</v>
      </c>
      <c r="K21" s="33" t="s">
        <v>35</v>
      </c>
      <c r="L21" s="59" t="s">
        <v>35</v>
      </c>
      <c r="M21" s="60" t="s">
        <v>35</v>
      </c>
      <c r="N21" s="60" t="s">
        <v>35</v>
      </c>
      <c r="O21" s="58"/>
      <c r="P21" s="59" t="s">
        <v>35</v>
      </c>
      <c r="Q21" s="60" t="s">
        <v>35</v>
      </c>
      <c r="R21" s="60" t="s">
        <v>35</v>
      </c>
      <c r="S21" s="58" t="s">
        <v>35</v>
      </c>
      <c r="T21" s="59" t="s">
        <v>35</v>
      </c>
      <c r="U21" s="60" t="s">
        <v>35</v>
      </c>
      <c r="V21" s="60" t="s">
        <v>35</v>
      </c>
      <c r="W21" s="58" t="s">
        <v>35</v>
      </c>
      <c r="X21" s="59" t="s">
        <v>35</v>
      </c>
      <c r="Y21" s="60" t="s">
        <v>35</v>
      </c>
      <c r="Z21" s="60" t="s">
        <v>35</v>
      </c>
      <c r="AA21" s="58" t="s">
        <v>35</v>
      </c>
      <c r="AB21" s="59" t="s">
        <v>35</v>
      </c>
      <c r="AC21" s="60" t="s">
        <v>35</v>
      </c>
      <c r="AD21" s="60" t="s">
        <v>35</v>
      </c>
      <c r="AE21" s="58" t="s">
        <v>35</v>
      </c>
      <c r="AF21" s="59" t="s">
        <v>35</v>
      </c>
      <c r="AG21" s="60" t="s">
        <v>35</v>
      </c>
      <c r="AH21" s="60" t="s">
        <v>35</v>
      </c>
      <c r="AI21" s="58" t="s">
        <v>35</v>
      </c>
      <c r="AJ21" s="59" t="s">
        <v>35</v>
      </c>
      <c r="AK21" s="60" t="s">
        <v>35</v>
      </c>
      <c r="AL21" s="58" t="s">
        <v>35</v>
      </c>
      <c r="AM21" s="59" t="s">
        <v>35</v>
      </c>
      <c r="AN21" s="60" t="s">
        <v>35</v>
      </c>
      <c r="AO21" s="58" t="s">
        <v>35</v>
      </c>
      <c r="AP21" s="33" t="s">
        <v>35</v>
      </c>
      <c r="AQ21" s="33" t="s">
        <v>35</v>
      </c>
      <c r="AR21" s="32" t="s">
        <v>35</v>
      </c>
    </row>
    <row r="22" spans="1:44" ht="18" customHeight="1">
      <c r="A22" s="31" t="s">
        <v>35</v>
      </c>
      <c r="B22" s="75">
        <v>19</v>
      </c>
      <c r="C22" s="47" t="s">
        <v>34</v>
      </c>
      <c r="D22" s="47" t="s">
        <v>57</v>
      </c>
      <c r="E22" s="45" t="s">
        <v>58</v>
      </c>
      <c r="F22" s="78" t="s">
        <v>61</v>
      </c>
      <c r="G22" s="103" t="s">
        <v>272</v>
      </c>
      <c r="H22" s="33" t="s">
        <v>35</v>
      </c>
      <c r="I22" s="33" t="s">
        <v>35</v>
      </c>
      <c r="J22" s="33" t="s">
        <v>35</v>
      </c>
      <c r="K22" s="33" t="s">
        <v>35</v>
      </c>
      <c r="L22" s="59" t="s">
        <v>35</v>
      </c>
      <c r="M22" s="60" t="s">
        <v>35</v>
      </c>
      <c r="N22" s="60" t="s">
        <v>35</v>
      </c>
      <c r="O22" s="58"/>
      <c r="P22" s="59" t="s">
        <v>35</v>
      </c>
      <c r="Q22" s="60" t="s">
        <v>35</v>
      </c>
      <c r="R22" s="60" t="s">
        <v>35</v>
      </c>
      <c r="S22" s="58" t="s">
        <v>35</v>
      </c>
      <c r="T22" s="59" t="s">
        <v>35</v>
      </c>
      <c r="U22" s="60" t="s">
        <v>35</v>
      </c>
      <c r="V22" s="60" t="s">
        <v>35</v>
      </c>
      <c r="W22" s="58" t="s">
        <v>35</v>
      </c>
      <c r="X22" s="59" t="s">
        <v>35</v>
      </c>
      <c r="Y22" s="60" t="s">
        <v>35</v>
      </c>
      <c r="Z22" s="60" t="s">
        <v>35</v>
      </c>
      <c r="AA22" s="58" t="s">
        <v>35</v>
      </c>
      <c r="AB22" s="59" t="s">
        <v>35</v>
      </c>
      <c r="AC22" s="60" t="s">
        <v>35</v>
      </c>
      <c r="AD22" s="60" t="s">
        <v>35</v>
      </c>
      <c r="AE22" s="58" t="s">
        <v>35</v>
      </c>
      <c r="AF22" s="59" t="s">
        <v>35</v>
      </c>
      <c r="AG22" s="60" t="s">
        <v>35</v>
      </c>
      <c r="AH22" s="60" t="s">
        <v>35</v>
      </c>
      <c r="AI22" s="58" t="s">
        <v>35</v>
      </c>
      <c r="AJ22" s="59" t="s">
        <v>35</v>
      </c>
      <c r="AK22" s="60" t="s">
        <v>35</v>
      </c>
      <c r="AL22" s="58" t="s">
        <v>35</v>
      </c>
      <c r="AM22" s="59" t="s">
        <v>35</v>
      </c>
      <c r="AN22" s="60" t="s">
        <v>35</v>
      </c>
      <c r="AO22" s="58" t="s">
        <v>35</v>
      </c>
      <c r="AP22" s="33" t="s">
        <v>35</v>
      </c>
      <c r="AQ22" s="33" t="s">
        <v>35</v>
      </c>
      <c r="AR22" s="32" t="s">
        <v>35</v>
      </c>
    </row>
    <row r="23" spans="1:44" ht="18" customHeight="1">
      <c r="A23" s="31" t="s">
        <v>35</v>
      </c>
      <c r="B23" s="75">
        <v>20</v>
      </c>
      <c r="C23" s="47" t="s">
        <v>34</v>
      </c>
      <c r="D23" s="47" t="s">
        <v>57</v>
      </c>
      <c r="E23" s="45" t="s">
        <v>58</v>
      </c>
      <c r="F23" s="78" t="s">
        <v>62</v>
      </c>
      <c r="G23" s="103" t="s">
        <v>272</v>
      </c>
      <c r="H23" s="33" t="s">
        <v>35</v>
      </c>
      <c r="I23" s="33" t="s">
        <v>35</v>
      </c>
      <c r="J23" s="33" t="s">
        <v>35</v>
      </c>
      <c r="K23" s="33" t="s">
        <v>35</v>
      </c>
      <c r="L23" s="59" t="s">
        <v>35</v>
      </c>
      <c r="M23" s="60" t="s">
        <v>35</v>
      </c>
      <c r="N23" s="60" t="s">
        <v>35</v>
      </c>
      <c r="O23" s="58"/>
      <c r="P23" s="59" t="s">
        <v>35</v>
      </c>
      <c r="Q23" s="60" t="s">
        <v>35</v>
      </c>
      <c r="R23" s="60" t="s">
        <v>35</v>
      </c>
      <c r="S23" s="58" t="s">
        <v>35</v>
      </c>
      <c r="T23" s="59" t="s">
        <v>35</v>
      </c>
      <c r="U23" s="60" t="s">
        <v>35</v>
      </c>
      <c r="V23" s="60" t="s">
        <v>35</v>
      </c>
      <c r="W23" s="58" t="s">
        <v>35</v>
      </c>
      <c r="X23" s="59" t="s">
        <v>35</v>
      </c>
      <c r="Y23" s="60" t="s">
        <v>35</v>
      </c>
      <c r="Z23" s="60" t="s">
        <v>35</v>
      </c>
      <c r="AA23" s="58" t="s">
        <v>35</v>
      </c>
      <c r="AB23" s="59" t="s">
        <v>35</v>
      </c>
      <c r="AC23" s="60" t="s">
        <v>35</v>
      </c>
      <c r="AD23" s="60" t="s">
        <v>35</v>
      </c>
      <c r="AE23" s="58" t="s">
        <v>35</v>
      </c>
      <c r="AF23" s="59" t="s">
        <v>35</v>
      </c>
      <c r="AG23" s="60" t="s">
        <v>35</v>
      </c>
      <c r="AH23" s="60" t="s">
        <v>35</v>
      </c>
      <c r="AI23" s="58" t="s">
        <v>35</v>
      </c>
      <c r="AJ23" s="59" t="s">
        <v>35</v>
      </c>
      <c r="AK23" s="60" t="s">
        <v>35</v>
      </c>
      <c r="AL23" s="58" t="s">
        <v>35</v>
      </c>
      <c r="AM23" s="59" t="s">
        <v>35</v>
      </c>
      <c r="AN23" s="60" t="s">
        <v>35</v>
      </c>
      <c r="AO23" s="58" t="s">
        <v>35</v>
      </c>
      <c r="AP23" s="33" t="s">
        <v>35</v>
      </c>
      <c r="AQ23" s="33" t="s">
        <v>35</v>
      </c>
      <c r="AR23" s="32" t="s">
        <v>35</v>
      </c>
    </row>
    <row r="24" spans="1:44" ht="18" customHeight="1">
      <c r="A24" s="31" t="s">
        <v>35</v>
      </c>
      <c r="B24" s="75">
        <v>21</v>
      </c>
      <c r="C24" s="47" t="s">
        <v>34</v>
      </c>
      <c r="D24" s="47" t="s">
        <v>57</v>
      </c>
      <c r="E24" s="47" t="s">
        <v>58</v>
      </c>
      <c r="F24" s="78" t="s">
        <v>63</v>
      </c>
      <c r="G24" s="103" t="s">
        <v>272</v>
      </c>
      <c r="H24" s="33" t="s">
        <v>35</v>
      </c>
      <c r="I24" s="33" t="s">
        <v>35</v>
      </c>
      <c r="J24" s="33" t="s">
        <v>35</v>
      </c>
      <c r="K24" s="33" t="s">
        <v>35</v>
      </c>
      <c r="L24" s="59" t="s">
        <v>35</v>
      </c>
      <c r="M24" s="60" t="s">
        <v>35</v>
      </c>
      <c r="N24" s="60" t="s">
        <v>35</v>
      </c>
      <c r="O24" s="58"/>
      <c r="P24" s="59" t="s">
        <v>35</v>
      </c>
      <c r="Q24" s="60" t="s">
        <v>35</v>
      </c>
      <c r="R24" s="60" t="s">
        <v>35</v>
      </c>
      <c r="S24" s="58" t="s">
        <v>35</v>
      </c>
      <c r="T24" s="59" t="s">
        <v>35</v>
      </c>
      <c r="U24" s="60" t="s">
        <v>35</v>
      </c>
      <c r="V24" s="60" t="s">
        <v>35</v>
      </c>
      <c r="W24" s="58" t="s">
        <v>35</v>
      </c>
      <c r="X24" s="59" t="s">
        <v>35</v>
      </c>
      <c r="Y24" s="60" t="s">
        <v>35</v>
      </c>
      <c r="Z24" s="60" t="s">
        <v>35</v>
      </c>
      <c r="AA24" s="58" t="s">
        <v>35</v>
      </c>
      <c r="AB24" s="59" t="s">
        <v>35</v>
      </c>
      <c r="AC24" s="60" t="s">
        <v>35</v>
      </c>
      <c r="AD24" s="60" t="s">
        <v>35</v>
      </c>
      <c r="AE24" s="58" t="s">
        <v>35</v>
      </c>
      <c r="AF24" s="59" t="s">
        <v>35</v>
      </c>
      <c r="AG24" s="60" t="s">
        <v>35</v>
      </c>
      <c r="AH24" s="60" t="s">
        <v>35</v>
      </c>
      <c r="AI24" s="58" t="s">
        <v>35</v>
      </c>
      <c r="AJ24" s="59" t="s">
        <v>35</v>
      </c>
      <c r="AK24" s="60" t="s">
        <v>35</v>
      </c>
      <c r="AL24" s="58" t="s">
        <v>35</v>
      </c>
      <c r="AM24" s="59" t="s">
        <v>35</v>
      </c>
      <c r="AN24" s="60" t="s">
        <v>35</v>
      </c>
      <c r="AO24" s="58" t="s">
        <v>35</v>
      </c>
      <c r="AP24" s="33" t="s">
        <v>35</v>
      </c>
      <c r="AQ24" s="33" t="s">
        <v>35</v>
      </c>
      <c r="AR24" s="32" t="s">
        <v>35</v>
      </c>
    </row>
    <row r="25" spans="1:44" ht="18" customHeight="1">
      <c r="A25" s="31" t="s">
        <v>35</v>
      </c>
      <c r="B25" s="75">
        <v>22</v>
      </c>
      <c r="C25" s="47" t="s">
        <v>34</v>
      </c>
      <c r="D25" s="47" t="s">
        <v>57</v>
      </c>
      <c r="E25" s="45" t="s">
        <v>58</v>
      </c>
      <c r="F25" s="78" t="s">
        <v>64</v>
      </c>
      <c r="G25" s="103" t="s">
        <v>272</v>
      </c>
      <c r="H25" s="33" t="s">
        <v>35</v>
      </c>
      <c r="I25" s="33" t="s">
        <v>35</v>
      </c>
      <c r="J25" s="33" t="s">
        <v>35</v>
      </c>
      <c r="K25" s="33" t="s">
        <v>35</v>
      </c>
      <c r="L25" s="59" t="s">
        <v>35</v>
      </c>
      <c r="M25" s="60" t="s">
        <v>35</v>
      </c>
      <c r="N25" s="60" t="s">
        <v>35</v>
      </c>
      <c r="O25" s="58"/>
      <c r="P25" s="59" t="s">
        <v>35</v>
      </c>
      <c r="Q25" s="60" t="s">
        <v>35</v>
      </c>
      <c r="R25" s="60" t="s">
        <v>35</v>
      </c>
      <c r="S25" s="58" t="s">
        <v>35</v>
      </c>
      <c r="T25" s="59" t="s">
        <v>35</v>
      </c>
      <c r="U25" s="60" t="s">
        <v>35</v>
      </c>
      <c r="V25" s="60" t="s">
        <v>35</v>
      </c>
      <c r="W25" s="58" t="s">
        <v>35</v>
      </c>
      <c r="X25" s="59" t="s">
        <v>35</v>
      </c>
      <c r="Y25" s="60" t="s">
        <v>35</v>
      </c>
      <c r="Z25" s="60" t="s">
        <v>35</v>
      </c>
      <c r="AA25" s="58" t="s">
        <v>35</v>
      </c>
      <c r="AB25" s="59" t="s">
        <v>35</v>
      </c>
      <c r="AC25" s="60" t="s">
        <v>35</v>
      </c>
      <c r="AD25" s="60" t="s">
        <v>35</v>
      </c>
      <c r="AE25" s="58" t="s">
        <v>35</v>
      </c>
      <c r="AF25" s="59" t="s">
        <v>35</v>
      </c>
      <c r="AG25" s="60" t="s">
        <v>35</v>
      </c>
      <c r="AH25" s="60" t="s">
        <v>35</v>
      </c>
      <c r="AI25" s="58" t="s">
        <v>35</v>
      </c>
      <c r="AJ25" s="59" t="s">
        <v>35</v>
      </c>
      <c r="AK25" s="60" t="s">
        <v>35</v>
      </c>
      <c r="AL25" s="58" t="s">
        <v>35</v>
      </c>
      <c r="AM25" s="59" t="s">
        <v>35</v>
      </c>
      <c r="AN25" s="60" t="s">
        <v>35</v>
      </c>
      <c r="AO25" s="58" t="s">
        <v>35</v>
      </c>
      <c r="AP25" s="33" t="s">
        <v>35</v>
      </c>
      <c r="AQ25" s="33" t="s">
        <v>35</v>
      </c>
      <c r="AR25" s="32" t="s">
        <v>35</v>
      </c>
    </row>
    <row r="26" spans="1:44" ht="18" customHeight="1">
      <c r="A26" s="31" t="s">
        <v>35</v>
      </c>
      <c r="B26" s="75">
        <v>23</v>
      </c>
      <c r="C26" s="47" t="s">
        <v>34</v>
      </c>
      <c r="D26" s="47" t="s">
        <v>57</v>
      </c>
      <c r="E26" s="45" t="s">
        <v>58</v>
      </c>
      <c r="F26" s="78" t="s">
        <v>65</v>
      </c>
      <c r="G26" s="103" t="s">
        <v>272</v>
      </c>
      <c r="H26" s="33" t="s">
        <v>35</v>
      </c>
      <c r="I26" s="33" t="s">
        <v>35</v>
      </c>
      <c r="J26" s="33" t="s">
        <v>35</v>
      </c>
      <c r="K26" s="33" t="s">
        <v>35</v>
      </c>
      <c r="L26" s="59" t="s">
        <v>35</v>
      </c>
      <c r="M26" s="60" t="s">
        <v>35</v>
      </c>
      <c r="N26" s="60" t="s">
        <v>35</v>
      </c>
      <c r="O26" s="58"/>
      <c r="P26" s="59" t="s">
        <v>35</v>
      </c>
      <c r="Q26" s="60" t="s">
        <v>35</v>
      </c>
      <c r="R26" s="60" t="s">
        <v>35</v>
      </c>
      <c r="S26" s="58" t="s">
        <v>35</v>
      </c>
      <c r="T26" s="59" t="s">
        <v>35</v>
      </c>
      <c r="U26" s="60" t="s">
        <v>35</v>
      </c>
      <c r="V26" s="60" t="s">
        <v>35</v>
      </c>
      <c r="W26" s="58" t="s">
        <v>35</v>
      </c>
      <c r="X26" s="59" t="s">
        <v>35</v>
      </c>
      <c r="Y26" s="60" t="s">
        <v>35</v>
      </c>
      <c r="Z26" s="60" t="s">
        <v>35</v>
      </c>
      <c r="AA26" s="58" t="s">
        <v>35</v>
      </c>
      <c r="AB26" s="59" t="s">
        <v>35</v>
      </c>
      <c r="AC26" s="60" t="s">
        <v>35</v>
      </c>
      <c r="AD26" s="60" t="s">
        <v>35</v>
      </c>
      <c r="AE26" s="58" t="s">
        <v>35</v>
      </c>
      <c r="AF26" s="59" t="s">
        <v>35</v>
      </c>
      <c r="AG26" s="60" t="s">
        <v>35</v>
      </c>
      <c r="AH26" s="60" t="s">
        <v>35</v>
      </c>
      <c r="AI26" s="58" t="s">
        <v>35</v>
      </c>
      <c r="AJ26" s="59" t="s">
        <v>35</v>
      </c>
      <c r="AK26" s="60" t="s">
        <v>35</v>
      </c>
      <c r="AL26" s="58" t="s">
        <v>35</v>
      </c>
      <c r="AM26" s="59" t="s">
        <v>35</v>
      </c>
      <c r="AN26" s="60" t="s">
        <v>35</v>
      </c>
      <c r="AO26" s="58" t="s">
        <v>35</v>
      </c>
      <c r="AP26" s="33" t="s">
        <v>35</v>
      </c>
      <c r="AQ26" s="33" t="s">
        <v>35</v>
      </c>
      <c r="AR26" s="32" t="s">
        <v>35</v>
      </c>
    </row>
    <row r="27" spans="1:44" ht="18" customHeight="1">
      <c r="A27" s="31" t="s">
        <v>35</v>
      </c>
      <c r="B27" s="75">
        <v>24</v>
      </c>
      <c r="C27" s="47" t="s">
        <v>34</v>
      </c>
      <c r="D27" s="47" t="s">
        <v>57</v>
      </c>
      <c r="E27" s="45" t="s">
        <v>58</v>
      </c>
      <c r="F27" s="78" t="s">
        <v>66</v>
      </c>
      <c r="G27" s="103" t="s">
        <v>272</v>
      </c>
      <c r="H27" s="33" t="s">
        <v>35</v>
      </c>
      <c r="I27" s="33" t="s">
        <v>35</v>
      </c>
      <c r="J27" s="33" t="s">
        <v>35</v>
      </c>
      <c r="K27" s="33" t="s">
        <v>35</v>
      </c>
      <c r="L27" s="59" t="s">
        <v>35</v>
      </c>
      <c r="M27" s="60" t="s">
        <v>35</v>
      </c>
      <c r="N27" s="60" t="s">
        <v>35</v>
      </c>
      <c r="O27" s="58"/>
      <c r="P27" s="59" t="s">
        <v>35</v>
      </c>
      <c r="Q27" s="60" t="s">
        <v>35</v>
      </c>
      <c r="R27" s="60" t="s">
        <v>35</v>
      </c>
      <c r="S27" s="58" t="s">
        <v>35</v>
      </c>
      <c r="T27" s="59" t="s">
        <v>35</v>
      </c>
      <c r="U27" s="60" t="s">
        <v>35</v>
      </c>
      <c r="V27" s="60" t="s">
        <v>35</v>
      </c>
      <c r="W27" s="58" t="s">
        <v>35</v>
      </c>
      <c r="X27" s="59" t="s">
        <v>35</v>
      </c>
      <c r="Y27" s="60" t="s">
        <v>35</v>
      </c>
      <c r="Z27" s="60" t="s">
        <v>35</v>
      </c>
      <c r="AA27" s="58" t="s">
        <v>35</v>
      </c>
      <c r="AB27" s="59" t="s">
        <v>35</v>
      </c>
      <c r="AC27" s="60" t="s">
        <v>35</v>
      </c>
      <c r="AD27" s="60" t="s">
        <v>35</v>
      </c>
      <c r="AE27" s="58" t="s">
        <v>35</v>
      </c>
      <c r="AF27" s="59" t="s">
        <v>35</v>
      </c>
      <c r="AG27" s="60" t="s">
        <v>35</v>
      </c>
      <c r="AH27" s="60" t="s">
        <v>35</v>
      </c>
      <c r="AI27" s="58" t="s">
        <v>35</v>
      </c>
      <c r="AJ27" s="59" t="s">
        <v>35</v>
      </c>
      <c r="AK27" s="60" t="s">
        <v>35</v>
      </c>
      <c r="AL27" s="58" t="s">
        <v>35</v>
      </c>
      <c r="AM27" s="59" t="s">
        <v>35</v>
      </c>
      <c r="AN27" s="60" t="s">
        <v>35</v>
      </c>
      <c r="AO27" s="58" t="s">
        <v>35</v>
      </c>
      <c r="AP27" s="33" t="s">
        <v>35</v>
      </c>
      <c r="AQ27" s="33" t="s">
        <v>35</v>
      </c>
      <c r="AR27" s="32" t="s">
        <v>35</v>
      </c>
    </row>
    <row r="28" spans="1:44" ht="18" customHeight="1">
      <c r="A28" s="31" t="s">
        <v>35</v>
      </c>
      <c r="B28" s="75">
        <v>25</v>
      </c>
      <c r="C28" s="47" t="s">
        <v>34</v>
      </c>
      <c r="D28" s="47" t="s">
        <v>57</v>
      </c>
      <c r="E28" s="45" t="s">
        <v>58</v>
      </c>
      <c r="F28" s="78" t="s">
        <v>67</v>
      </c>
      <c r="G28" s="103" t="s">
        <v>272</v>
      </c>
      <c r="H28" s="33" t="s">
        <v>35</v>
      </c>
      <c r="I28" s="33" t="s">
        <v>35</v>
      </c>
      <c r="J28" s="33" t="s">
        <v>35</v>
      </c>
      <c r="K28" s="33" t="s">
        <v>35</v>
      </c>
      <c r="L28" s="59" t="s">
        <v>35</v>
      </c>
      <c r="M28" s="60" t="s">
        <v>35</v>
      </c>
      <c r="N28" s="60" t="s">
        <v>35</v>
      </c>
      <c r="O28" s="58"/>
      <c r="P28" s="59" t="s">
        <v>35</v>
      </c>
      <c r="Q28" s="60" t="s">
        <v>35</v>
      </c>
      <c r="R28" s="60" t="s">
        <v>35</v>
      </c>
      <c r="S28" s="58" t="s">
        <v>35</v>
      </c>
      <c r="T28" s="59" t="s">
        <v>35</v>
      </c>
      <c r="U28" s="60" t="s">
        <v>35</v>
      </c>
      <c r="V28" s="60" t="s">
        <v>35</v>
      </c>
      <c r="W28" s="58" t="s">
        <v>35</v>
      </c>
      <c r="X28" s="59" t="s">
        <v>35</v>
      </c>
      <c r="Y28" s="60" t="s">
        <v>35</v>
      </c>
      <c r="Z28" s="60" t="s">
        <v>35</v>
      </c>
      <c r="AA28" s="58" t="s">
        <v>35</v>
      </c>
      <c r="AB28" s="59" t="s">
        <v>35</v>
      </c>
      <c r="AC28" s="60" t="s">
        <v>35</v>
      </c>
      <c r="AD28" s="60" t="s">
        <v>35</v>
      </c>
      <c r="AE28" s="58" t="s">
        <v>35</v>
      </c>
      <c r="AF28" s="59" t="s">
        <v>35</v>
      </c>
      <c r="AG28" s="60" t="s">
        <v>35</v>
      </c>
      <c r="AH28" s="60" t="s">
        <v>35</v>
      </c>
      <c r="AI28" s="58" t="s">
        <v>35</v>
      </c>
      <c r="AJ28" s="59" t="s">
        <v>35</v>
      </c>
      <c r="AK28" s="60" t="s">
        <v>35</v>
      </c>
      <c r="AL28" s="58" t="s">
        <v>35</v>
      </c>
      <c r="AM28" s="59" t="s">
        <v>35</v>
      </c>
      <c r="AN28" s="60" t="s">
        <v>35</v>
      </c>
      <c r="AO28" s="58" t="s">
        <v>35</v>
      </c>
      <c r="AP28" s="33" t="s">
        <v>35</v>
      </c>
      <c r="AQ28" s="33" t="s">
        <v>35</v>
      </c>
      <c r="AR28" s="32" t="s">
        <v>35</v>
      </c>
    </row>
    <row r="29" spans="1:44" ht="18" customHeight="1">
      <c r="A29" s="31" t="s">
        <v>35</v>
      </c>
      <c r="B29" s="75">
        <v>26</v>
      </c>
      <c r="C29" s="47" t="s">
        <v>34</v>
      </c>
      <c r="D29" s="47" t="s">
        <v>57</v>
      </c>
      <c r="E29" s="47" t="s">
        <v>58</v>
      </c>
      <c r="F29" s="78" t="s">
        <v>68</v>
      </c>
      <c r="G29" s="103" t="s">
        <v>272</v>
      </c>
      <c r="H29" s="33" t="s">
        <v>35</v>
      </c>
      <c r="I29" s="33" t="s">
        <v>35</v>
      </c>
      <c r="J29" s="33" t="s">
        <v>35</v>
      </c>
      <c r="K29" s="33" t="s">
        <v>35</v>
      </c>
      <c r="L29" s="59" t="s">
        <v>35</v>
      </c>
      <c r="M29" s="60" t="s">
        <v>35</v>
      </c>
      <c r="N29" s="60" t="s">
        <v>35</v>
      </c>
      <c r="O29" s="58" t="s">
        <v>35</v>
      </c>
      <c r="P29" s="59" t="s">
        <v>35</v>
      </c>
      <c r="Q29" s="60" t="s">
        <v>35</v>
      </c>
      <c r="R29" s="60" t="s">
        <v>35</v>
      </c>
      <c r="S29" s="58" t="s">
        <v>35</v>
      </c>
      <c r="T29" s="59" t="s">
        <v>35</v>
      </c>
      <c r="U29" s="60" t="s">
        <v>35</v>
      </c>
      <c r="V29" s="60" t="s">
        <v>35</v>
      </c>
      <c r="W29" s="58" t="s">
        <v>35</v>
      </c>
      <c r="X29" s="59" t="s">
        <v>35</v>
      </c>
      <c r="Y29" s="60" t="s">
        <v>35</v>
      </c>
      <c r="Z29" s="60" t="s">
        <v>35</v>
      </c>
      <c r="AA29" s="58" t="s">
        <v>35</v>
      </c>
      <c r="AB29" s="59" t="s">
        <v>35</v>
      </c>
      <c r="AC29" s="60" t="s">
        <v>35</v>
      </c>
      <c r="AD29" s="60" t="s">
        <v>35</v>
      </c>
      <c r="AE29" s="58" t="s">
        <v>35</v>
      </c>
      <c r="AF29" s="59" t="s">
        <v>35</v>
      </c>
      <c r="AG29" s="60" t="s">
        <v>35</v>
      </c>
      <c r="AH29" s="60" t="s">
        <v>35</v>
      </c>
      <c r="AI29" s="58" t="s">
        <v>35</v>
      </c>
      <c r="AJ29" s="59" t="s">
        <v>35</v>
      </c>
      <c r="AK29" s="60" t="s">
        <v>35</v>
      </c>
      <c r="AL29" s="58" t="s">
        <v>35</v>
      </c>
      <c r="AM29" s="59" t="s">
        <v>35</v>
      </c>
      <c r="AN29" s="60" t="s">
        <v>35</v>
      </c>
      <c r="AO29" s="58" t="s">
        <v>35</v>
      </c>
      <c r="AP29" s="33" t="s">
        <v>35</v>
      </c>
      <c r="AQ29" s="33" t="s">
        <v>35</v>
      </c>
      <c r="AR29" s="32" t="s">
        <v>35</v>
      </c>
    </row>
    <row r="30" spans="1:44" ht="18" customHeight="1">
      <c r="A30" s="31" t="s">
        <v>35</v>
      </c>
      <c r="B30" s="75">
        <v>27</v>
      </c>
      <c r="C30" s="47" t="s">
        <v>34</v>
      </c>
      <c r="D30" s="47" t="s">
        <v>57</v>
      </c>
      <c r="E30" s="47" t="s">
        <v>58</v>
      </c>
      <c r="F30" s="78" t="s">
        <v>69</v>
      </c>
      <c r="G30" s="103" t="s">
        <v>272</v>
      </c>
      <c r="H30" s="33" t="s">
        <v>35</v>
      </c>
      <c r="I30" s="33" t="s">
        <v>35</v>
      </c>
      <c r="J30" s="33" t="s">
        <v>35</v>
      </c>
      <c r="K30" s="33" t="s">
        <v>35</v>
      </c>
      <c r="L30" s="59" t="s">
        <v>35</v>
      </c>
      <c r="M30" s="60" t="s">
        <v>35</v>
      </c>
      <c r="N30" s="60" t="s">
        <v>35</v>
      </c>
      <c r="O30" s="58" t="s">
        <v>35</v>
      </c>
      <c r="P30" s="59" t="s">
        <v>35</v>
      </c>
      <c r="Q30" s="60" t="s">
        <v>35</v>
      </c>
      <c r="R30" s="60" t="s">
        <v>35</v>
      </c>
      <c r="S30" s="58" t="s">
        <v>35</v>
      </c>
      <c r="T30" s="59" t="s">
        <v>35</v>
      </c>
      <c r="U30" s="60" t="s">
        <v>35</v>
      </c>
      <c r="V30" s="60" t="s">
        <v>35</v>
      </c>
      <c r="W30" s="58" t="s">
        <v>35</v>
      </c>
      <c r="X30" s="59" t="s">
        <v>35</v>
      </c>
      <c r="Y30" s="60" t="s">
        <v>35</v>
      </c>
      <c r="Z30" s="60" t="s">
        <v>35</v>
      </c>
      <c r="AA30" s="58" t="s">
        <v>35</v>
      </c>
      <c r="AB30" s="59" t="s">
        <v>35</v>
      </c>
      <c r="AC30" s="60" t="s">
        <v>35</v>
      </c>
      <c r="AD30" s="60" t="s">
        <v>35</v>
      </c>
      <c r="AE30" s="58" t="s">
        <v>35</v>
      </c>
      <c r="AF30" s="59" t="s">
        <v>35</v>
      </c>
      <c r="AG30" s="60" t="s">
        <v>35</v>
      </c>
      <c r="AH30" s="60" t="s">
        <v>35</v>
      </c>
      <c r="AI30" s="58" t="s">
        <v>35</v>
      </c>
      <c r="AJ30" s="59" t="s">
        <v>35</v>
      </c>
      <c r="AK30" s="60" t="s">
        <v>35</v>
      </c>
      <c r="AL30" s="58" t="s">
        <v>35</v>
      </c>
      <c r="AM30" s="59" t="s">
        <v>35</v>
      </c>
      <c r="AN30" s="60" t="s">
        <v>35</v>
      </c>
      <c r="AO30" s="58" t="s">
        <v>35</v>
      </c>
      <c r="AP30" s="33" t="s">
        <v>35</v>
      </c>
      <c r="AQ30" s="33" t="s">
        <v>35</v>
      </c>
      <c r="AR30" s="32" t="s">
        <v>35</v>
      </c>
    </row>
    <row r="31" spans="1:44" ht="18" customHeight="1">
      <c r="A31" s="31" t="s">
        <v>35</v>
      </c>
      <c r="B31" s="75">
        <v>28</v>
      </c>
      <c r="C31" s="47" t="s">
        <v>34</v>
      </c>
      <c r="D31" s="47" t="s">
        <v>57</v>
      </c>
      <c r="E31" s="45" t="s">
        <v>58</v>
      </c>
      <c r="F31" s="78" t="s">
        <v>70</v>
      </c>
      <c r="G31" s="103" t="s">
        <v>272</v>
      </c>
      <c r="H31" s="33" t="s">
        <v>35</v>
      </c>
      <c r="I31" s="33" t="s">
        <v>35</v>
      </c>
      <c r="J31" s="33" t="s">
        <v>35</v>
      </c>
      <c r="K31" s="33" t="s">
        <v>35</v>
      </c>
      <c r="L31" s="59" t="s">
        <v>35</v>
      </c>
      <c r="M31" s="60" t="s">
        <v>35</v>
      </c>
      <c r="N31" s="60" t="s">
        <v>35</v>
      </c>
      <c r="O31" s="58" t="s">
        <v>35</v>
      </c>
      <c r="P31" s="59" t="s">
        <v>35</v>
      </c>
      <c r="Q31" s="60" t="s">
        <v>35</v>
      </c>
      <c r="R31" s="60" t="s">
        <v>35</v>
      </c>
      <c r="S31" s="58" t="s">
        <v>35</v>
      </c>
      <c r="T31" s="59" t="s">
        <v>35</v>
      </c>
      <c r="U31" s="60" t="s">
        <v>35</v>
      </c>
      <c r="V31" s="60" t="s">
        <v>35</v>
      </c>
      <c r="W31" s="58" t="s">
        <v>35</v>
      </c>
      <c r="X31" s="59" t="s">
        <v>35</v>
      </c>
      <c r="Y31" s="60" t="s">
        <v>35</v>
      </c>
      <c r="Z31" s="60" t="s">
        <v>35</v>
      </c>
      <c r="AA31" s="58" t="s">
        <v>35</v>
      </c>
      <c r="AB31" s="59" t="s">
        <v>35</v>
      </c>
      <c r="AC31" s="60" t="s">
        <v>35</v>
      </c>
      <c r="AD31" s="60" t="s">
        <v>35</v>
      </c>
      <c r="AE31" s="58" t="s">
        <v>35</v>
      </c>
      <c r="AF31" s="59" t="s">
        <v>35</v>
      </c>
      <c r="AG31" s="60" t="s">
        <v>35</v>
      </c>
      <c r="AH31" s="60" t="s">
        <v>35</v>
      </c>
      <c r="AI31" s="58" t="s">
        <v>35</v>
      </c>
      <c r="AJ31" s="59" t="s">
        <v>35</v>
      </c>
      <c r="AK31" s="60" t="s">
        <v>35</v>
      </c>
      <c r="AL31" s="58" t="s">
        <v>35</v>
      </c>
      <c r="AM31" s="59" t="s">
        <v>35</v>
      </c>
      <c r="AN31" s="60" t="s">
        <v>35</v>
      </c>
      <c r="AO31" s="58" t="s">
        <v>35</v>
      </c>
      <c r="AP31" s="33" t="s">
        <v>35</v>
      </c>
      <c r="AQ31" s="33" t="s">
        <v>35</v>
      </c>
      <c r="AR31" s="32" t="s">
        <v>35</v>
      </c>
    </row>
    <row r="32" spans="1:44" ht="18" customHeight="1">
      <c r="A32" s="31" t="s">
        <v>35</v>
      </c>
      <c r="B32" s="75">
        <v>29</v>
      </c>
      <c r="C32" s="47" t="s">
        <v>34</v>
      </c>
      <c r="D32" s="47" t="s">
        <v>57</v>
      </c>
      <c r="E32" s="45" t="s">
        <v>58</v>
      </c>
      <c r="F32" s="78" t="s">
        <v>71</v>
      </c>
      <c r="G32" s="103" t="s">
        <v>272</v>
      </c>
      <c r="H32" s="33" t="s">
        <v>35</v>
      </c>
      <c r="I32" s="33" t="s">
        <v>35</v>
      </c>
      <c r="J32" s="33" t="s">
        <v>35</v>
      </c>
      <c r="K32" s="33" t="s">
        <v>35</v>
      </c>
      <c r="L32" s="59" t="s">
        <v>35</v>
      </c>
      <c r="M32" s="60" t="s">
        <v>35</v>
      </c>
      <c r="N32" s="60" t="s">
        <v>35</v>
      </c>
      <c r="O32" s="58" t="s">
        <v>35</v>
      </c>
      <c r="P32" s="59" t="s">
        <v>35</v>
      </c>
      <c r="Q32" s="60" t="s">
        <v>35</v>
      </c>
      <c r="R32" s="60" t="s">
        <v>35</v>
      </c>
      <c r="S32" s="58" t="s">
        <v>35</v>
      </c>
      <c r="T32" s="59" t="s">
        <v>35</v>
      </c>
      <c r="U32" s="60" t="s">
        <v>35</v>
      </c>
      <c r="V32" s="60" t="s">
        <v>35</v>
      </c>
      <c r="W32" s="58" t="s">
        <v>35</v>
      </c>
      <c r="X32" s="59" t="s">
        <v>35</v>
      </c>
      <c r="Y32" s="60" t="s">
        <v>35</v>
      </c>
      <c r="Z32" s="60" t="s">
        <v>35</v>
      </c>
      <c r="AA32" s="58" t="s">
        <v>35</v>
      </c>
      <c r="AB32" s="59" t="s">
        <v>35</v>
      </c>
      <c r="AC32" s="60" t="s">
        <v>35</v>
      </c>
      <c r="AD32" s="60" t="s">
        <v>35</v>
      </c>
      <c r="AE32" s="58" t="s">
        <v>35</v>
      </c>
      <c r="AF32" s="59" t="s">
        <v>35</v>
      </c>
      <c r="AG32" s="60" t="s">
        <v>35</v>
      </c>
      <c r="AH32" s="60" t="s">
        <v>35</v>
      </c>
      <c r="AI32" s="58" t="s">
        <v>35</v>
      </c>
      <c r="AJ32" s="59" t="s">
        <v>35</v>
      </c>
      <c r="AK32" s="60" t="s">
        <v>35</v>
      </c>
      <c r="AL32" s="58" t="s">
        <v>35</v>
      </c>
      <c r="AM32" s="59" t="s">
        <v>35</v>
      </c>
      <c r="AN32" s="60" t="s">
        <v>35</v>
      </c>
      <c r="AO32" s="58" t="s">
        <v>35</v>
      </c>
      <c r="AP32" s="33" t="s">
        <v>35</v>
      </c>
      <c r="AQ32" s="33" t="s">
        <v>35</v>
      </c>
      <c r="AR32" s="32" t="s">
        <v>35</v>
      </c>
    </row>
    <row r="33" spans="1:44" ht="18" customHeight="1">
      <c r="A33" s="31" t="s">
        <v>35</v>
      </c>
      <c r="B33" s="75">
        <v>30</v>
      </c>
      <c r="C33" s="47" t="s">
        <v>34</v>
      </c>
      <c r="D33" s="47" t="s">
        <v>57</v>
      </c>
      <c r="E33" s="45" t="s">
        <v>58</v>
      </c>
      <c r="F33" s="78" t="s">
        <v>72</v>
      </c>
      <c r="G33" s="103" t="s">
        <v>272</v>
      </c>
      <c r="H33" s="33" t="s">
        <v>35</v>
      </c>
      <c r="I33" s="33" t="s">
        <v>35</v>
      </c>
      <c r="J33" s="33" t="s">
        <v>35</v>
      </c>
      <c r="K33" s="33" t="s">
        <v>35</v>
      </c>
      <c r="L33" s="59" t="s">
        <v>35</v>
      </c>
      <c r="M33" s="60" t="s">
        <v>35</v>
      </c>
      <c r="N33" s="60" t="s">
        <v>35</v>
      </c>
      <c r="O33" s="58" t="s">
        <v>35</v>
      </c>
      <c r="P33" s="59" t="s">
        <v>35</v>
      </c>
      <c r="Q33" s="60" t="s">
        <v>35</v>
      </c>
      <c r="R33" s="60" t="s">
        <v>35</v>
      </c>
      <c r="S33" s="58" t="s">
        <v>35</v>
      </c>
      <c r="T33" s="59" t="s">
        <v>35</v>
      </c>
      <c r="U33" s="60" t="s">
        <v>35</v>
      </c>
      <c r="V33" s="60" t="s">
        <v>35</v>
      </c>
      <c r="W33" s="58" t="s">
        <v>35</v>
      </c>
      <c r="X33" s="59" t="s">
        <v>35</v>
      </c>
      <c r="Y33" s="60" t="s">
        <v>35</v>
      </c>
      <c r="Z33" s="60" t="s">
        <v>35</v>
      </c>
      <c r="AA33" s="58" t="s">
        <v>35</v>
      </c>
      <c r="AB33" s="59" t="s">
        <v>35</v>
      </c>
      <c r="AC33" s="60" t="s">
        <v>35</v>
      </c>
      <c r="AD33" s="60" t="s">
        <v>35</v>
      </c>
      <c r="AE33" s="58" t="s">
        <v>35</v>
      </c>
      <c r="AF33" s="59" t="s">
        <v>35</v>
      </c>
      <c r="AG33" s="60" t="s">
        <v>35</v>
      </c>
      <c r="AH33" s="60" t="s">
        <v>35</v>
      </c>
      <c r="AI33" s="58" t="s">
        <v>35</v>
      </c>
      <c r="AJ33" s="59" t="s">
        <v>35</v>
      </c>
      <c r="AK33" s="60" t="s">
        <v>35</v>
      </c>
      <c r="AL33" s="58" t="s">
        <v>35</v>
      </c>
      <c r="AM33" s="59" t="s">
        <v>35</v>
      </c>
      <c r="AN33" s="60" t="s">
        <v>35</v>
      </c>
      <c r="AO33" s="58" t="s">
        <v>35</v>
      </c>
      <c r="AP33" s="33" t="s">
        <v>35</v>
      </c>
      <c r="AQ33" s="33" t="s">
        <v>35</v>
      </c>
      <c r="AR33" s="32" t="s">
        <v>35</v>
      </c>
    </row>
    <row r="34" spans="1:44" ht="18" customHeight="1">
      <c r="A34" s="31" t="s">
        <v>35</v>
      </c>
      <c r="B34" s="75">
        <v>31</v>
      </c>
      <c r="C34" s="47" t="s">
        <v>34</v>
      </c>
      <c r="D34" s="47" t="s">
        <v>57</v>
      </c>
      <c r="E34" s="45" t="s">
        <v>58</v>
      </c>
      <c r="F34" s="78" t="s">
        <v>73</v>
      </c>
      <c r="G34" s="103" t="s">
        <v>272</v>
      </c>
      <c r="H34" s="33" t="s">
        <v>35</v>
      </c>
      <c r="I34" s="33" t="s">
        <v>35</v>
      </c>
      <c r="J34" s="33" t="s">
        <v>35</v>
      </c>
      <c r="K34" s="33" t="s">
        <v>35</v>
      </c>
      <c r="L34" s="59" t="s">
        <v>35</v>
      </c>
      <c r="M34" s="60" t="s">
        <v>35</v>
      </c>
      <c r="N34" s="60" t="s">
        <v>35</v>
      </c>
      <c r="O34" s="58" t="s">
        <v>35</v>
      </c>
      <c r="P34" s="59" t="s">
        <v>35</v>
      </c>
      <c r="Q34" s="60" t="s">
        <v>35</v>
      </c>
      <c r="R34" s="60" t="s">
        <v>35</v>
      </c>
      <c r="S34" s="58" t="s">
        <v>35</v>
      </c>
      <c r="T34" s="59" t="s">
        <v>35</v>
      </c>
      <c r="U34" s="60" t="s">
        <v>35</v>
      </c>
      <c r="V34" s="60" t="s">
        <v>35</v>
      </c>
      <c r="W34" s="58" t="s">
        <v>35</v>
      </c>
      <c r="X34" s="59" t="s">
        <v>35</v>
      </c>
      <c r="Y34" s="60" t="s">
        <v>35</v>
      </c>
      <c r="Z34" s="60" t="s">
        <v>35</v>
      </c>
      <c r="AA34" s="58" t="s">
        <v>35</v>
      </c>
      <c r="AB34" s="59" t="s">
        <v>35</v>
      </c>
      <c r="AC34" s="60" t="s">
        <v>35</v>
      </c>
      <c r="AD34" s="60" t="s">
        <v>35</v>
      </c>
      <c r="AE34" s="58" t="s">
        <v>35</v>
      </c>
      <c r="AF34" s="59" t="s">
        <v>35</v>
      </c>
      <c r="AG34" s="60" t="s">
        <v>35</v>
      </c>
      <c r="AH34" s="60" t="s">
        <v>35</v>
      </c>
      <c r="AI34" s="58" t="s">
        <v>35</v>
      </c>
      <c r="AJ34" s="59" t="s">
        <v>35</v>
      </c>
      <c r="AK34" s="60" t="s">
        <v>35</v>
      </c>
      <c r="AL34" s="58" t="s">
        <v>35</v>
      </c>
      <c r="AM34" s="59" t="s">
        <v>35</v>
      </c>
      <c r="AN34" s="60" t="s">
        <v>35</v>
      </c>
      <c r="AO34" s="58" t="s">
        <v>35</v>
      </c>
      <c r="AP34" s="33" t="s">
        <v>35</v>
      </c>
      <c r="AQ34" s="33" t="s">
        <v>35</v>
      </c>
      <c r="AR34" s="32" t="s">
        <v>35</v>
      </c>
    </row>
    <row r="35" spans="1:44" ht="18" customHeight="1">
      <c r="A35" s="31" t="s">
        <v>35</v>
      </c>
      <c r="B35" s="75">
        <v>32</v>
      </c>
      <c r="C35" s="47" t="s">
        <v>34</v>
      </c>
      <c r="D35" s="47" t="s">
        <v>57</v>
      </c>
      <c r="E35" s="45" t="s">
        <v>58</v>
      </c>
      <c r="F35" s="78" t="s">
        <v>74</v>
      </c>
      <c r="G35" s="103" t="s">
        <v>272</v>
      </c>
      <c r="H35" s="33" t="s">
        <v>35</v>
      </c>
      <c r="I35" s="33" t="s">
        <v>35</v>
      </c>
      <c r="J35" s="33" t="s">
        <v>35</v>
      </c>
      <c r="K35" s="33" t="s">
        <v>35</v>
      </c>
      <c r="L35" s="59" t="s">
        <v>35</v>
      </c>
      <c r="M35" s="60" t="s">
        <v>35</v>
      </c>
      <c r="N35" s="60" t="s">
        <v>35</v>
      </c>
      <c r="O35" s="58" t="s">
        <v>35</v>
      </c>
      <c r="P35" s="59" t="s">
        <v>35</v>
      </c>
      <c r="Q35" s="60" t="s">
        <v>35</v>
      </c>
      <c r="R35" s="60" t="s">
        <v>35</v>
      </c>
      <c r="S35" s="58" t="s">
        <v>35</v>
      </c>
      <c r="T35" s="59" t="s">
        <v>35</v>
      </c>
      <c r="U35" s="60" t="s">
        <v>35</v>
      </c>
      <c r="V35" s="60" t="s">
        <v>35</v>
      </c>
      <c r="W35" s="58" t="s">
        <v>35</v>
      </c>
      <c r="X35" s="59" t="s">
        <v>35</v>
      </c>
      <c r="Y35" s="60" t="s">
        <v>35</v>
      </c>
      <c r="Z35" s="60" t="s">
        <v>35</v>
      </c>
      <c r="AA35" s="58" t="s">
        <v>35</v>
      </c>
      <c r="AB35" s="59" t="s">
        <v>35</v>
      </c>
      <c r="AC35" s="60" t="s">
        <v>35</v>
      </c>
      <c r="AD35" s="60" t="s">
        <v>35</v>
      </c>
      <c r="AE35" s="58" t="s">
        <v>35</v>
      </c>
      <c r="AF35" s="59" t="s">
        <v>35</v>
      </c>
      <c r="AG35" s="60" t="s">
        <v>35</v>
      </c>
      <c r="AH35" s="60" t="s">
        <v>35</v>
      </c>
      <c r="AI35" s="58" t="s">
        <v>35</v>
      </c>
      <c r="AJ35" s="59" t="s">
        <v>35</v>
      </c>
      <c r="AK35" s="60" t="s">
        <v>35</v>
      </c>
      <c r="AL35" s="58" t="s">
        <v>35</v>
      </c>
      <c r="AM35" s="59" t="s">
        <v>35</v>
      </c>
      <c r="AN35" s="60" t="s">
        <v>35</v>
      </c>
      <c r="AO35" s="58" t="s">
        <v>35</v>
      </c>
      <c r="AP35" s="33" t="s">
        <v>35</v>
      </c>
      <c r="AQ35" s="33" t="s">
        <v>35</v>
      </c>
      <c r="AR35" s="32" t="s">
        <v>35</v>
      </c>
    </row>
    <row r="36" spans="1:44" ht="18" customHeight="1">
      <c r="A36" s="31" t="s">
        <v>35</v>
      </c>
      <c r="B36" s="75">
        <v>33</v>
      </c>
      <c r="C36" s="47" t="s">
        <v>34</v>
      </c>
      <c r="D36" s="47" t="s">
        <v>57</v>
      </c>
      <c r="E36" s="45" t="s">
        <v>58</v>
      </c>
      <c r="F36" s="78" t="s">
        <v>75</v>
      </c>
      <c r="G36" s="103" t="s">
        <v>272</v>
      </c>
      <c r="H36" s="33" t="s">
        <v>35</v>
      </c>
      <c r="I36" s="33" t="s">
        <v>35</v>
      </c>
      <c r="J36" s="33" t="s">
        <v>35</v>
      </c>
      <c r="K36" s="33" t="s">
        <v>35</v>
      </c>
      <c r="L36" s="59" t="s">
        <v>35</v>
      </c>
      <c r="M36" s="60" t="s">
        <v>35</v>
      </c>
      <c r="N36" s="60" t="s">
        <v>35</v>
      </c>
      <c r="O36" s="58" t="s">
        <v>35</v>
      </c>
      <c r="P36" s="59" t="s">
        <v>35</v>
      </c>
      <c r="Q36" s="60" t="s">
        <v>35</v>
      </c>
      <c r="R36" s="60" t="s">
        <v>35</v>
      </c>
      <c r="S36" s="58" t="s">
        <v>35</v>
      </c>
      <c r="T36" s="59" t="s">
        <v>35</v>
      </c>
      <c r="U36" s="60" t="s">
        <v>35</v>
      </c>
      <c r="V36" s="60" t="s">
        <v>35</v>
      </c>
      <c r="W36" s="58" t="s">
        <v>35</v>
      </c>
      <c r="X36" s="59" t="s">
        <v>35</v>
      </c>
      <c r="Y36" s="60" t="s">
        <v>35</v>
      </c>
      <c r="Z36" s="60" t="s">
        <v>35</v>
      </c>
      <c r="AA36" s="58" t="s">
        <v>35</v>
      </c>
      <c r="AB36" s="59" t="s">
        <v>35</v>
      </c>
      <c r="AC36" s="60" t="s">
        <v>35</v>
      </c>
      <c r="AD36" s="60" t="s">
        <v>35</v>
      </c>
      <c r="AE36" s="58" t="s">
        <v>35</v>
      </c>
      <c r="AF36" s="59" t="s">
        <v>35</v>
      </c>
      <c r="AG36" s="60" t="s">
        <v>35</v>
      </c>
      <c r="AH36" s="60" t="s">
        <v>35</v>
      </c>
      <c r="AI36" s="58" t="s">
        <v>35</v>
      </c>
      <c r="AJ36" s="59" t="s">
        <v>35</v>
      </c>
      <c r="AK36" s="60" t="s">
        <v>35</v>
      </c>
      <c r="AL36" s="58" t="s">
        <v>35</v>
      </c>
      <c r="AM36" s="59" t="s">
        <v>35</v>
      </c>
      <c r="AN36" s="60" t="s">
        <v>35</v>
      </c>
      <c r="AO36" s="58" t="s">
        <v>35</v>
      </c>
      <c r="AP36" s="33" t="s">
        <v>35</v>
      </c>
      <c r="AQ36" s="33" t="s">
        <v>35</v>
      </c>
      <c r="AR36" s="32" t="s">
        <v>35</v>
      </c>
    </row>
    <row r="37" spans="1:44" ht="18" customHeight="1">
      <c r="A37" s="31" t="s">
        <v>35</v>
      </c>
      <c r="B37" s="75">
        <v>34</v>
      </c>
      <c r="C37" s="47" t="s">
        <v>34</v>
      </c>
      <c r="D37" s="53" t="s">
        <v>57</v>
      </c>
      <c r="E37" s="52" t="s">
        <v>58</v>
      </c>
      <c r="F37" s="78" t="s">
        <v>76</v>
      </c>
      <c r="G37" s="103" t="s">
        <v>272</v>
      </c>
      <c r="H37" s="33" t="s">
        <v>35</v>
      </c>
      <c r="I37" s="33" t="s">
        <v>35</v>
      </c>
      <c r="J37" s="33" t="s">
        <v>35</v>
      </c>
      <c r="K37" s="33" t="s">
        <v>35</v>
      </c>
      <c r="L37" s="59" t="s">
        <v>35</v>
      </c>
      <c r="M37" s="60" t="s">
        <v>35</v>
      </c>
      <c r="N37" s="60" t="s">
        <v>35</v>
      </c>
      <c r="O37" s="58" t="s">
        <v>35</v>
      </c>
      <c r="P37" s="59" t="s">
        <v>35</v>
      </c>
      <c r="Q37" s="60" t="s">
        <v>35</v>
      </c>
      <c r="R37" s="60" t="s">
        <v>35</v>
      </c>
      <c r="S37" s="58" t="s">
        <v>35</v>
      </c>
      <c r="T37" s="59" t="s">
        <v>35</v>
      </c>
      <c r="U37" s="60" t="s">
        <v>35</v>
      </c>
      <c r="V37" s="60" t="s">
        <v>35</v>
      </c>
      <c r="W37" s="58" t="s">
        <v>35</v>
      </c>
      <c r="X37" s="59" t="s">
        <v>35</v>
      </c>
      <c r="Y37" s="60" t="s">
        <v>35</v>
      </c>
      <c r="Z37" s="60" t="s">
        <v>35</v>
      </c>
      <c r="AA37" s="58" t="s">
        <v>35</v>
      </c>
      <c r="AB37" s="59" t="s">
        <v>35</v>
      </c>
      <c r="AC37" s="60" t="s">
        <v>35</v>
      </c>
      <c r="AD37" s="60" t="s">
        <v>35</v>
      </c>
      <c r="AE37" s="58" t="s">
        <v>35</v>
      </c>
      <c r="AF37" s="59" t="s">
        <v>35</v>
      </c>
      <c r="AG37" s="60" t="s">
        <v>35</v>
      </c>
      <c r="AH37" s="60" t="s">
        <v>35</v>
      </c>
      <c r="AI37" s="58" t="s">
        <v>35</v>
      </c>
      <c r="AJ37" s="59" t="s">
        <v>35</v>
      </c>
      <c r="AK37" s="60" t="s">
        <v>35</v>
      </c>
      <c r="AL37" s="58" t="s">
        <v>35</v>
      </c>
      <c r="AM37" s="59" t="s">
        <v>35</v>
      </c>
      <c r="AN37" s="60" t="s">
        <v>35</v>
      </c>
      <c r="AO37" s="58" t="s">
        <v>35</v>
      </c>
      <c r="AP37" s="33" t="s">
        <v>35</v>
      </c>
      <c r="AQ37" s="33" t="s">
        <v>35</v>
      </c>
      <c r="AR37" s="32" t="s">
        <v>35</v>
      </c>
    </row>
    <row r="38" spans="1:44" ht="18" customHeight="1">
      <c r="A38" s="31" t="s">
        <v>35</v>
      </c>
      <c r="B38" s="75">
        <v>35</v>
      </c>
      <c r="C38" s="47" t="s">
        <v>34</v>
      </c>
      <c r="D38" s="51" t="s">
        <v>77</v>
      </c>
      <c r="E38" s="54" t="s">
        <v>78</v>
      </c>
      <c r="F38" s="78" t="s">
        <v>79</v>
      </c>
      <c r="G38" s="103" t="s">
        <v>166</v>
      </c>
      <c r="H38" s="33" t="s">
        <v>35</v>
      </c>
      <c r="I38" s="33" t="s">
        <v>35</v>
      </c>
      <c r="J38" s="33" t="s">
        <v>35</v>
      </c>
      <c r="K38" s="33" t="s">
        <v>35</v>
      </c>
      <c r="L38" s="59" t="s">
        <v>35</v>
      </c>
      <c r="M38" s="60" t="s">
        <v>35</v>
      </c>
      <c r="N38" s="60" t="s">
        <v>35</v>
      </c>
      <c r="O38" s="58" t="s">
        <v>35</v>
      </c>
      <c r="P38" s="59" t="s">
        <v>35</v>
      </c>
      <c r="Q38" s="60" t="s">
        <v>35</v>
      </c>
      <c r="R38" s="60" t="s">
        <v>35</v>
      </c>
      <c r="S38" s="58" t="s">
        <v>35</v>
      </c>
      <c r="T38" s="59" t="s">
        <v>35</v>
      </c>
      <c r="U38" s="60" t="s">
        <v>35</v>
      </c>
      <c r="V38" s="60" t="s">
        <v>35</v>
      </c>
      <c r="W38" s="58" t="s">
        <v>35</v>
      </c>
      <c r="X38" s="59" t="s">
        <v>35</v>
      </c>
      <c r="Y38" s="60" t="s">
        <v>35</v>
      </c>
      <c r="Z38" s="60" t="s">
        <v>35</v>
      </c>
      <c r="AA38" s="58" t="s">
        <v>35</v>
      </c>
      <c r="AB38" s="59" t="s">
        <v>35</v>
      </c>
      <c r="AC38" s="60" t="s">
        <v>35</v>
      </c>
      <c r="AD38" s="60" t="s">
        <v>35</v>
      </c>
      <c r="AE38" s="58" t="s">
        <v>35</v>
      </c>
      <c r="AF38" s="59" t="s">
        <v>35</v>
      </c>
      <c r="AG38" s="60" t="s">
        <v>35</v>
      </c>
      <c r="AH38" s="60" t="s">
        <v>35</v>
      </c>
      <c r="AI38" s="58" t="s">
        <v>35</v>
      </c>
      <c r="AJ38" s="59" t="s">
        <v>35</v>
      </c>
      <c r="AK38" s="60" t="s">
        <v>35</v>
      </c>
      <c r="AL38" s="58" t="s">
        <v>35</v>
      </c>
      <c r="AM38" s="59" t="s">
        <v>35</v>
      </c>
      <c r="AN38" s="60" t="s">
        <v>35</v>
      </c>
      <c r="AO38" s="58" t="s">
        <v>35</v>
      </c>
      <c r="AP38" s="33" t="s">
        <v>35</v>
      </c>
      <c r="AQ38" s="33" t="s">
        <v>35</v>
      </c>
      <c r="AR38" s="32" t="s">
        <v>35</v>
      </c>
    </row>
    <row r="39" spans="1:44" ht="18" customHeight="1">
      <c r="A39" s="31" t="s">
        <v>35</v>
      </c>
      <c r="B39" s="75">
        <v>36</v>
      </c>
      <c r="C39" s="47" t="s">
        <v>34</v>
      </c>
      <c r="D39" s="47" t="s">
        <v>77</v>
      </c>
      <c r="E39" s="45" t="s">
        <v>78</v>
      </c>
      <c r="F39" s="78" t="s">
        <v>80</v>
      </c>
      <c r="G39" s="103" t="s">
        <v>166</v>
      </c>
      <c r="H39" s="33" t="s">
        <v>35</v>
      </c>
      <c r="I39" s="33" t="s">
        <v>35</v>
      </c>
      <c r="J39" s="33" t="s">
        <v>35</v>
      </c>
      <c r="K39" s="33" t="s">
        <v>35</v>
      </c>
      <c r="L39" s="59" t="s">
        <v>35</v>
      </c>
      <c r="M39" s="60" t="s">
        <v>35</v>
      </c>
      <c r="N39" s="60" t="s">
        <v>35</v>
      </c>
      <c r="O39" s="58" t="s">
        <v>35</v>
      </c>
      <c r="P39" s="59" t="s">
        <v>35</v>
      </c>
      <c r="Q39" s="60" t="s">
        <v>35</v>
      </c>
      <c r="R39" s="60" t="s">
        <v>35</v>
      </c>
      <c r="S39" s="58" t="s">
        <v>35</v>
      </c>
      <c r="T39" s="59" t="s">
        <v>35</v>
      </c>
      <c r="U39" s="60" t="s">
        <v>35</v>
      </c>
      <c r="V39" s="60" t="s">
        <v>35</v>
      </c>
      <c r="W39" s="58" t="s">
        <v>35</v>
      </c>
      <c r="X39" s="59" t="s">
        <v>35</v>
      </c>
      <c r="Y39" s="60" t="s">
        <v>35</v>
      </c>
      <c r="Z39" s="60" t="s">
        <v>35</v>
      </c>
      <c r="AA39" s="58" t="s">
        <v>35</v>
      </c>
      <c r="AB39" s="59" t="s">
        <v>35</v>
      </c>
      <c r="AC39" s="60" t="s">
        <v>35</v>
      </c>
      <c r="AD39" s="60" t="s">
        <v>35</v>
      </c>
      <c r="AE39" s="58" t="s">
        <v>35</v>
      </c>
      <c r="AF39" s="59" t="s">
        <v>35</v>
      </c>
      <c r="AG39" s="60" t="s">
        <v>35</v>
      </c>
      <c r="AH39" s="60" t="s">
        <v>35</v>
      </c>
      <c r="AI39" s="58" t="s">
        <v>35</v>
      </c>
      <c r="AJ39" s="59" t="s">
        <v>35</v>
      </c>
      <c r="AK39" s="60" t="s">
        <v>35</v>
      </c>
      <c r="AL39" s="58" t="s">
        <v>35</v>
      </c>
      <c r="AM39" s="59" t="s">
        <v>35</v>
      </c>
      <c r="AN39" s="60" t="s">
        <v>35</v>
      </c>
      <c r="AO39" s="58" t="s">
        <v>35</v>
      </c>
      <c r="AP39" s="33" t="s">
        <v>35</v>
      </c>
      <c r="AQ39" s="33" t="s">
        <v>35</v>
      </c>
      <c r="AR39" s="32" t="s">
        <v>35</v>
      </c>
    </row>
    <row r="40" spans="1:44" ht="18" customHeight="1">
      <c r="A40" s="31" t="s">
        <v>35</v>
      </c>
      <c r="B40" s="75">
        <v>37</v>
      </c>
      <c r="C40" s="47" t="s">
        <v>34</v>
      </c>
      <c r="D40" s="47" t="s">
        <v>77</v>
      </c>
      <c r="E40" s="45" t="s">
        <v>78</v>
      </c>
      <c r="F40" s="78" t="s">
        <v>81</v>
      </c>
      <c r="G40" s="103" t="s">
        <v>166</v>
      </c>
      <c r="H40" s="33" t="s">
        <v>35</v>
      </c>
      <c r="I40" s="33" t="s">
        <v>35</v>
      </c>
      <c r="J40" s="33" t="s">
        <v>35</v>
      </c>
      <c r="K40" s="33" t="s">
        <v>35</v>
      </c>
      <c r="L40" s="59" t="s">
        <v>35</v>
      </c>
      <c r="M40" s="60" t="s">
        <v>35</v>
      </c>
      <c r="N40" s="60" t="s">
        <v>35</v>
      </c>
      <c r="O40" s="58" t="s">
        <v>35</v>
      </c>
      <c r="P40" s="59" t="s">
        <v>35</v>
      </c>
      <c r="Q40" s="60" t="s">
        <v>35</v>
      </c>
      <c r="R40" s="60" t="s">
        <v>35</v>
      </c>
      <c r="S40" s="58" t="s">
        <v>35</v>
      </c>
      <c r="T40" s="59" t="s">
        <v>35</v>
      </c>
      <c r="U40" s="60" t="s">
        <v>35</v>
      </c>
      <c r="V40" s="60" t="s">
        <v>35</v>
      </c>
      <c r="W40" s="58" t="s">
        <v>35</v>
      </c>
      <c r="X40" s="59" t="s">
        <v>35</v>
      </c>
      <c r="Y40" s="60" t="s">
        <v>35</v>
      </c>
      <c r="Z40" s="60" t="s">
        <v>35</v>
      </c>
      <c r="AA40" s="58" t="s">
        <v>35</v>
      </c>
      <c r="AB40" s="59" t="s">
        <v>35</v>
      </c>
      <c r="AC40" s="60" t="s">
        <v>35</v>
      </c>
      <c r="AD40" s="60" t="s">
        <v>35</v>
      </c>
      <c r="AE40" s="58" t="s">
        <v>35</v>
      </c>
      <c r="AF40" s="59" t="s">
        <v>35</v>
      </c>
      <c r="AG40" s="60" t="s">
        <v>35</v>
      </c>
      <c r="AH40" s="60" t="s">
        <v>35</v>
      </c>
      <c r="AI40" s="58" t="s">
        <v>35</v>
      </c>
      <c r="AJ40" s="59" t="s">
        <v>35</v>
      </c>
      <c r="AK40" s="60" t="s">
        <v>35</v>
      </c>
      <c r="AL40" s="58" t="s">
        <v>35</v>
      </c>
      <c r="AM40" s="59" t="s">
        <v>35</v>
      </c>
      <c r="AN40" s="60" t="s">
        <v>35</v>
      </c>
      <c r="AO40" s="58" t="s">
        <v>35</v>
      </c>
      <c r="AP40" s="33" t="s">
        <v>35</v>
      </c>
      <c r="AQ40" s="33" t="s">
        <v>35</v>
      </c>
      <c r="AR40" s="32" t="s">
        <v>35</v>
      </c>
    </row>
    <row r="41" spans="1:44" ht="18" customHeight="1">
      <c r="A41" s="31" t="s">
        <v>35</v>
      </c>
      <c r="B41" s="75">
        <v>38</v>
      </c>
      <c r="C41" s="47" t="s">
        <v>34</v>
      </c>
      <c r="D41" s="47" t="s">
        <v>77</v>
      </c>
      <c r="E41" s="45" t="s">
        <v>78</v>
      </c>
      <c r="F41" s="78" t="s">
        <v>82</v>
      </c>
      <c r="G41" s="103" t="s">
        <v>166</v>
      </c>
      <c r="H41" s="33" t="s">
        <v>35</v>
      </c>
      <c r="I41" s="33" t="s">
        <v>35</v>
      </c>
      <c r="J41" s="33" t="s">
        <v>35</v>
      </c>
      <c r="K41" s="33" t="s">
        <v>35</v>
      </c>
      <c r="L41" s="59" t="s">
        <v>35</v>
      </c>
      <c r="M41" s="60" t="s">
        <v>35</v>
      </c>
      <c r="N41" s="60" t="s">
        <v>35</v>
      </c>
      <c r="O41" s="58" t="s">
        <v>35</v>
      </c>
      <c r="P41" s="59" t="s">
        <v>35</v>
      </c>
      <c r="Q41" s="60" t="s">
        <v>35</v>
      </c>
      <c r="R41" s="60" t="s">
        <v>35</v>
      </c>
      <c r="S41" s="58" t="s">
        <v>35</v>
      </c>
      <c r="T41" s="59" t="s">
        <v>35</v>
      </c>
      <c r="U41" s="60" t="s">
        <v>35</v>
      </c>
      <c r="V41" s="60" t="s">
        <v>35</v>
      </c>
      <c r="W41" s="58" t="s">
        <v>35</v>
      </c>
      <c r="X41" s="59" t="s">
        <v>35</v>
      </c>
      <c r="Y41" s="60" t="s">
        <v>35</v>
      </c>
      <c r="Z41" s="60" t="s">
        <v>35</v>
      </c>
      <c r="AA41" s="58" t="s">
        <v>35</v>
      </c>
      <c r="AB41" s="59" t="s">
        <v>35</v>
      </c>
      <c r="AC41" s="60" t="s">
        <v>35</v>
      </c>
      <c r="AD41" s="60" t="s">
        <v>35</v>
      </c>
      <c r="AE41" s="58" t="s">
        <v>35</v>
      </c>
      <c r="AF41" s="59" t="s">
        <v>35</v>
      </c>
      <c r="AG41" s="60" t="s">
        <v>35</v>
      </c>
      <c r="AH41" s="60" t="s">
        <v>35</v>
      </c>
      <c r="AI41" s="58" t="s">
        <v>35</v>
      </c>
      <c r="AJ41" s="59" t="s">
        <v>35</v>
      </c>
      <c r="AK41" s="60" t="s">
        <v>35</v>
      </c>
      <c r="AL41" s="58" t="s">
        <v>35</v>
      </c>
      <c r="AM41" s="59" t="s">
        <v>35</v>
      </c>
      <c r="AN41" s="60" t="s">
        <v>35</v>
      </c>
      <c r="AO41" s="58" t="s">
        <v>35</v>
      </c>
      <c r="AP41" s="33" t="s">
        <v>35</v>
      </c>
      <c r="AQ41" s="33" t="s">
        <v>35</v>
      </c>
      <c r="AR41" s="32" t="s">
        <v>35</v>
      </c>
    </row>
    <row r="42" spans="1:44" ht="18" customHeight="1">
      <c r="A42" s="31" t="s">
        <v>35</v>
      </c>
      <c r="B42" s="75">
        <v>39</v>
      </c>
      <c r="C42" s="47" t="s">
        <v>34</v>
      </c>
      <c r="D42" s="53" t="s">
        <v>77</v>
      </c>
      <c r="E42" s="52" t="s">
        <v>78</v>
      </c>
      <c r="F42" s="78" t="s">
        <v>83</v>
      </c>
      <c r="G42" s="103" t="s">
        <v>166</v>
      </c>
      <c r="H42" s="33" t="s">
        <v>35</v>
      </c>
      <c r="I42" s="33" t="s">
        <v>35</v>
      </c>
      <c r="J42" s="33" t="s">
        <v>35</v>
      </c>
      <c r="K42" s="33" t="s">
        <v>35</v>
      </c>
      <c r="L42" s="59" t="s">
        <v>35</v>
      </c>
      <c r="M42" s="60" t="s">
        <v>35</v>
      </c>
      <c r="N42" s="60" t="s">
        <v>35</v>
      </c>
      <c r="O42" s="58" t="s">
        <v>35</v>
      </c>
      <c r="P42" s="59" t="s">
        <v>35</v>
      </c>
      <c r="Q42" s="60" t="s">
        <v>35</v>
      </c>
      <c r="R42" s="60" t="s">
        <v>35</v>
      </c>
      <c r="S42" s="58" t="s">
        <v>35</v>
      </c>
      <c r="T42" s="59" t="s">
        <v>35</v>
      </c>
      <c r="U42" s="60" t="s">
        <v>35</v>
      </c>
      <c r="V42" s="60" t="s">
        <v>35</v>
      </c>
      <c r="W42" s="58" t="s">
        <v>35</v>
      </c>
      <c r="X42" s="59" t="s">
        <v>35</v>
      </c>
      <c r="Y42" s="60" t="s">
        <v>35</v>
      </c>
      <c r="Z42" s="60" t="s">
        <v>35</v>
      </c>
      <c r="AA42" s="58" t="s">
        <v>35</v>
      </c>
      <c r="AB42" s="59" t="s">
        <v>35</v>
      </c>
      <c r="AC42" s="60" t="s">
        <v>35</v>
      </c>
      <c r="AD42" s="60" t="s">
        <v>35</v>
      </c>
      <c r="AE42" s="58" t="s">
        <v>35</v>
      </c>
      <c r="AF42" s="59" t="s">
        <v>35</v>
      </c>
      <c r="AG42" s="60" t="s">
        <v>35</v>
      </c>
      <c r="AH42" s="60" t="s">
        <v>35</v>
      </c>
      <c r="AI42" s="58" t="s">
        <v>35</v>
      </c>
      <c r="AJ42" s="59" t="s">
        <v>35</v>
      </c>
      <c r="AK42" s="60" t="s">
        <v>35</v>
      </c>
      <c r="AL42" s="58" t="s">
        <v>35</v>
      </c>
      <c r="AM42" s="59" t="s">
        <v>35</v>
      </c>
      <c r="AN42" s="60" t="s">
        <v>35</v>
      </c>
      <c r="AO42" s="58" t="s">
        <v>35</v>
      </c>
      <c r="AP42" s="33" t="s">
        <v>35</v>
      </c>
      <c r="AQ42" s="33" t="s">
        <v>35</v>
      </c>
      <c r="AR42" s="32" t="s">
        <v>35</v>
      </c>
    </row>
    <row r="43" spans="1:44" ht="18" customHeight="1">
      <c r="A43" s="31" t="s">
        <v>35</v>
      </c>
      <c r="B43" s="75">
        <v>40</v>
      </c>
      <c r="C43" s="47" t="s">
        <v>34</v>
      </c>
      <c r="D43" s="51" t="s">
        <v>84</v>
      </c>
      <c r="E43" s="54" t="s">
        <v>78</v>
      </c>
      <c r="F43" s="78" t="s">
        <v>85</v>
      </c>
      <c r="G43" s="103" t="s">
        <v>166</v>
      </c>
      <c r="H43" s="33" t="s">
        <v>35</v>
      </c>
      <c r="I43" s="33" t="s">
        <v>35</v>
      </c>
      <c r="J43" s="33" t="s">
        <v>35</v>
      </c>
      <c r="K43" s="33" t="s">
        <v>35</v>
      </c>
      <c r="L43" s="59" t="s">
        <v>35</v>
      </c>
      <c r="M43" s="60" t="s">
        <v>35</v>
      </c>
      <c r="N43" s="60" t="s">
        <v>35</v>
      </c>
      <c r="O43" s="58" t="s">
        <v>35</v>
      </c>
      <c r="P43" s="59" t="s">
        <v>35</v>
      </c>
      <c r="Q43" s="60" t="s">
        <v>35</v>
      </c>
      <c r="R43" s="60" t="s">
        <v>35</v>
      </c>
      <c r="S43" s="58" t="s">
        <v>35</v>
      </c>
      <c r="T43" s="59" t="s">
        <v>35</v>
      </c>
      <c r="U43" s="60" t="s">
        <v>35</v>
      </c>
      <c r="V43" s="60" t="s">
        <v>35</v>
      </c>
      <c r="W43" s="58" t="s">
        <v>35</v>
      </c>
      <c r="X43" s="59" t="s">
        <v>35</v>
      </c>
      <c r="Y43" s="60" t="s">
        <v>35</v>
      </c>
      <c r="Z43" s="60" t="s">
        <v>35</v>
      </c>
      <c r="AA43" s="58" t="s">
        <v>35</v>
      </c>
      <c r="AB43" s="59" t="s">
        <v>35</v>
      </c>
      <c r="AC43" s="60" t="s">
        <v>35</v>
      </c>
      <c r="AD43" s="60" t="s">
        <v>35</v>
      </c>
      <c r="AE43" s="58" t="s">
        <v>35</v>
      </c>
      <c r="AF43" s="59" t="s">
        <v>35</v>
      </c>
      <c r="AG43" s="60" t="s">
        <v>35</v>
      </c>
      <c r="AH43" s="60" t="s">
        <v>35</v>
      </c>
      <c r="AI43" s="58" t="s">
        <v>35</v>
      </c>
      <c r="AJ43" s="59" t="s">
        <v>35</v>
      </c>
      <c r="AK43" s="60" t="s">
        <v>35</v>
      </c>
      <c r="AL43" s="58" t="s">
        <v>35</v>
      </c>
      <c r="AM43" s="59" t="s">
        <v>35</v>
      </c>
      <c r="AN43" s="60" t="s">
        <v>35</v>
      </c>
      <c r="AO43" s="58" t="s">
        <v>35</v>
      </c>
      <c r="AP43" s="33" t="s">
        <v>35</v>
      </c>
      <c r="AQ43" s="33" t="s">
        <v>35</v>
      </c>
      <c r="AR43" s="32" t="s">
        <v>35</v>
      </c>
    </row>
    <row r="44" spans="1:44" ht="18" customHeight="1">
      <c r="A44" s="31" t="s">
        <v>35</v>
      </c>
      <c r="B44" s="75">
        <v>41</v>
      </c>
      <c r="C44" s="47" t="s">
        <v>34</v>
      </c>
      <c r="D44" s="47" t="s">
        <v>84</v>
      </c>
      <c r="E44" s="45" t="s">
        <v>78</v>
      </c>
      <c r="F44" s="78" t="s">
        <v>86</v>
      </c>
      <c r="G44" s="103" t="s">
        <v>166</v>
      </c>
      <c r="H44" s="33" t="s">
        <v>35</v>
      </c>
      <c r="I44" s="33" t="s">
        <v>35</v>
      </c>
      <c r="J44" s="33" t="s">
        <v>35</v>
      </c>
      <c r="K44" s="33" t="s">
        <v>35</v>
      </c>
      <c r="L44" s="59" t="s">
        <v>35</v>
      </c>
      <c r="M44" s="60" t="s">
        <v>35</v>
      </c>
      <c r="N44" s="60" t="s">
        <v>35</v>
      </c>
      <c r="O44" s="58" t="s">
        <v>35</v>
      </c>
      <c r="P44" s="59" t="s">
        <v>35</v>
      </c>
      <c r="Q44" s="60" t="s">
        <v>35</v>
      </c>
      <c r="R44" s="60" t="s">
        <v>35</v>
      </c>
      <c r="S44" s="58" t="s">
        <v>35</v>
      </c>
      <c r="T44" s="59" t="s">
        <v>35</v>
      </c>
      <c r="U44" s="60" t="s">
        <v>35</v>
      </c>
      <c r="V44" s="60" t="s">
        <v>35</v>
      </c>
      <c r="W44" s="58" t="s">
        <v>35</v>
      </c>
      <c r="X44" s="59" t="s">
        <v>35</v>
      </c>
      <c r="Y44" s="60" t="s">
        <v>35</v>
      </c>
      <c r="Z44" s="60" t="s">
        <v>35</v>
      </c>
      <c r="AA44" s="58" t="s">
        <v>35</v>
      </c>
      <c r="AB44" s="59" t="s">
        <v>35</v>
      </c>
      <c r="AC44" s="60" t="s">
        <v>35</v>
      </c>
      <c r="AD44" s="60" t="s">
        <v>35</v>
      </c>
      <c r="AE44" s="58" t="s">
        <v>35</v>
      </c>
      <c r="AF44" s="59" t="s">
        <v>35</v>
      </c>
      <c r="AG44" s="60" t="s">
        <v>35</v>
      </c>
      <c r="AH44" s="60" t="s">
        <v>35</v>
      </c>
      <c r="AI44" s="58" t="s">
        <v>35</v>
      </c>
      <c r="AJ44" s="59" t="s">
        <v>35</v>
      </c>
      <c r="AK44" s="60" t="s">
        <v>35</v>
      </c>
      <c r="AL44" s="58" t="s">
        <v>35</v>
      </c>
      <c r="AM44" s="59" t="s">
        <v>35</v>
      </c>
      <c r="AN44" s="60" t="s">
        <v>35</v>
      </c>
      <c r="AO44" s="58" t="s">
        <v>35</v>
      </c>
      <c r="AP44" s="33" t="s">
        <v>35</v>
      </c>
      <c r="AQ44" s="33" t="s">
        <v>35</v>
      </c>
      <c r="AR44" s="32" t="s">
        <v>35</v>
      </c>
    </row>
    <row r="45" spans="1:44" ht="18" customHeight="1">
      <c r="A45" s="31" t="s">
        <v>35</v>
      </c>
      <c r="B45" s="75">
        <v>42</v>
      </c>
      <c r="C45" s="47" t="s">
        <v>34</v>
      </c>
      <c r="D45" s="53" t="s">
        <v>84</v>
      </c>
      <c r="E45" s="52" t="s">
        <v>78</v>
      </c>
      <c r="F45" s="78" t="s">
        <v>87</v>
      </c>
      <c r="G45" s="103" t="s">
        <v>166</v>
      </c>
      <c r="H45" s="33" t="s">
        <v>35</v>
      </c>
      <c r="I45" s="33" t="s">
        <v>35</v>
      </c>
      <c r="J45" s="33" t="s">
        <v>35</v>
      </c>
      <c r="K45" s="33" t="s">
        <v>35</v>
      </c>
      <c r="L45" s="59" t="s">
        <v>35</v>
      </c>
      <c r="M45" s="60" t="s">
        <v>35</v>
      </c>
      <c r="N45" s="60" t="s">
        <v>35</v>
      </c>
      <c r="O45" s="58" t="s">
        <v>35</v>
      </c>
      <c r="P45" s="59" t="s">
        <v>35</v>
      </c>
      <c r="Q45" s="60" t="s">
        <v>35</v>
      </c>
      <c r="R45" s="60" t="s">
        <v>35</v>
      </c>
      <c r="S45" s="58" t="s">
        <v>35</v>
      </c>
      <c r="T45" s="59" t="s">
        <v>35</v>
      </c>
      <c r="U45" s="60" t="s">
        <v>35</v>
      </c>
      <c r="V45" s="60" t="s">
        <v>35</v>
      </c>
      <c r="W45" s="58" t="s">
        <v>35</v>
      </c>
      <c r="X45" s="59" t="s">
        <v>35</v>
      </c>
      <c r="Y45" s="60" t="s">
        <v>35</v>
      </c>
      <c r="Z45" s="60" t="s">
        <v>35</v>
      </c>
      <c r="AA45" s="58" t="s">
        <v>35</v>
      </c>
      <c r="AB45" s="59" t="s">
        <v>35</v>
      </c>
      <c r="AC45" s="60" t="s">
        <v>35</v>
      </c>
      <c r="AD45" s="60" t="s">
        <v>35</v>
      </c>
      <c r="AE45" s="58" t="s">
        <v>35</v>
      </c>
      <c r="AF45" s="59" t="s">
        <v>35</v>
      </c>
      <c r="AG45" s="60" t="s">
        <v>35</v>
      </c>
      <c r="AH45" s="60" t="s">
        <v>35</v>
      </c>
      <c r="AI45" s="58" t="s">
        <v>35</v>
      </c>
      <c r="AJ45" s="59" t="s">
        <v>35</v>
      </c>
      <c r="AK45" s="60" t="s">
        <v>35</v>
      </c>
      <c r="AL45" s="58" t="s">
        <v>35</v>
      </c>
      <c r="AM45" s="59" t="s">
        <v>35</v>
      </c>
      <c r="AN45" s="60" t="s">
        <v>35</v>
      </c>
      <c r="AO45" s="58" t="s">
        <v>35</v>
      </c>
      <c r="AP45" s="33" t="s">
        <v>35</v>
      </c>
      <c r="AQ45" s="33" t="s">
        <v>35</v>
      </c>
      <c r="AR45" s="32" t="s">
        <v>35</v>
      </c>
    </row>
    <row r="46" spans="1:44" ht="18" customHeight="1">
      <c r="A46" s="31" t="s">
        <v>35</v>
      </c>
      <c r="B46" s="75">
        <v>43</v>
      </c>
      <c r="C46" s="47" t="s">
        <v>34</v>
      </c>
      <c r="D46" s="51" t="s">
        <v>88</v>
      </c>
      <c r="E46" s="54" t="s">
        <v>89</v>
      </c>
      <c r="F46" s="78" t="s">
        <v>90</v>
      </c>
      <c r="G46" s="103" t="s">
        <v>166</v>
      </c>
      <c r="H46" s="33" t="s">
        <v>35</v>
      </c>
      <c r="I46" s="33" t="s">
        <v>35</v>
      </c>
      <c r="J46" s="33" t="s">
        <v>35</v>
      </c>
      <c r="K46" s="33" t="s">
        <v>35</v>
      </c>
      <c r="L46" s="59" t="s">
        <v>35</v>
      </c>
      <c r="M46" s="60" t="s">
        <v>35</v>
      </c>
      <c r="N46" s="60" t="s">
        <v>35</v>
      </c>
      <c r="O46" s="58" t="s">
        <v>35</v>
      </c>
      <c r="P46" s="59" t="s">
        <v>35</v>
      </c>
      <c r="Q46" s="60" t="s">
        <v>35</v>
      </c>
      <c r="R46" s="60" t="s">
        <v>35</v>
      </c>
      <c r="S46" s="58" t="s">
        <v>35</v>
      </c>
      <c r="T46" s="59" t="s">
        <v>35</v>
      </c>
      <c r="U46" s="60" t="s">
        <v>35</v>
      </c>
      <c r="V46" s="60" t="s">
        <v>35</v>
      </c>
      <c r="W46" s="58" t="s">
        <v>35</v>
      </c>
      <c r="X46" s="59" t="s">
        <v>35</v>
      </c>
      <c r="Y46" s="60" t="s">
        <v>35</v>
      </c>
      <c r="Z46" s="60" t="s">
        <v>35</v>
      </c>
      <c r="AA46" s="58" t="s">
        <v>35</v>
      </c>
      <c r="AB46" s="59" t="s">
        <v>35</v>
      </c>
      <c r="AC46" s="60" t="s">
        <v>35</v>
      </c>
      <c r="AD46" s="60" t="s">
        <v>35</v>
      </c>
      <c r="AE46" s="58" t="s">
        <v>35</v>
      </c>
      <c r="AF46" s="59" t="s">
        <v>35</v>
      </c>
      <c r="AG46" s="60" t="s">
        <v>35</v>
      </c>
      <c r="AH46" s="60" t="s">
        <v>35</v>
      </c>
      <c r="AI46" s="58" t="s">
        <v>35</v>
      </c>
      <c r="AJ46" s="59" t="s">
        <v>35</v>
      </c>
      <c r="AK46" s="60" t="s">
        <v>35</v>
      </c>
      <c r="AL46" s="58" t="s">
        <v>35</v>
      </c>
      <c r="AM46" s="59" t="s">
        <v>35</v>
      </c>
      <c r="AN46" s="60" t="s">
        <v>35</v>
      </c>
      <c r="AO46" s="58" t="s">
        <v>35</v>
      </c>
      <c r="AP46" s="33" t="s">
        <v>35</v>
      </c>
      <c r="AQ46" s="33" t="s">
        <v>35</v>
      </c>
      <c r="AR46" s="32" t="s">
        <v>35</v>
      </c>
    </row>
    <row r="47" spans="1:44" ht="18" customHeight="1">
      <c r="A47" s="31" t="s">
        <v>35</v>
      </c>
      <c r="B47" s="75">
        <v>44</v>
      </c>
      <c r="C47" s="47" t="s">
        <v>34</v>
      </c>
      <c r="D47" s="47" t="s">
        <v>88</v>
      </c>
      <c r="E47" s="45" t="s">
        <v>89</v>
      </c>
      <c r="F47" s="78" t="s">
        <v>91</v>
      </c>
      <c r="G47" s="103" t="s">
        <v>166</v>
      </c>
      <c r="H47" s="33" t="s">
        <v>35</v>
      </c>
      <c r="I47" s="33" t="s">
        <v>35</v>
      </c>
      <c r="J47" s="33" t="s">
        <v>35</v>
      </c>
      <c r="K47" s="33" t="s">
        <v>35</v>
      </c>
      <c r="L47" s="59" t="s">
        <v>35</v>
      </c>
      <c r="M47" s="60" t="s">
        <v>35</v>
      </c>
      <c r="N47" s="60" t="s">
        <v>35</v>
      </c>
      <c r="O47" s="58" t="s">
        <v>35</v>
      </c>
      <c r="P47" s="59" t="s">
        <v>35</v>
      </c>
      <c r="Q47" s="60" t="s">
        <v>35</v>
      </c>
      <c r="R47" s="60" t="s">
        <v>35</v>
      </c>
      <c r="S47" s="58" t="s">
        <v>35</v>
      </c>
      <c r="T47" s="59" t="s">
        <v>35</v>
      </c>
      <c r="U47" s="60" t="s">
        <v>35</v>
      </c>
      <c r="V47" s="60" t="s">
        <v>35</v>
      </c>
      <c r="W47" s="58" t="s">
        <v>35</v>
      </c>
      <c r="X47" s="59" t="s">
        <v>35</v>
      </c>
      <c r="Y47" s="60" t="s">
        <v>35</v>
      </c>
      <c r="Z47" s="60" t="s">
        <v>35</v>
      </c>
      <c r="AA47" s="58" t="s">
        <v>35</v>
      </c>
      <c r="AB47" s="59" t="s">
        <v>35</v>
      </c>
      <c r="AC47" s="60" t="s">
        <v>35</v>
      </c>
      <c r="AD47" s="60" t="s">
        <v>35</v>
      </c>
      <c r="AE47" s="58" t="s">
        <v>35</v>
      </c>
      <c r="AF47" s="59" t="s">
        <v>35</v>
      </c>
      <c r="AG47" s="60" t="s">
        <v>35</v>
      </c>
      <c r="AH47" s="60" t="s">
        <v>35</v>
      </c>
      <c r="AI47" s="58" t="s">
        <v>35</v>
      </c>
      <c r="AJ47" s="59" t="s">
        <v>35</v>
      </c>
      <c r="AK47" s="60" t="s">
        <v>35</v>
      </c>
      <c r="AL47" s="58" t="s">
        <v>35</v>
      </c>
      <c r="AM47" s="59" t="s">
        <v>35</v>
      </c>
      <c r="AN47" s="60" t="s">
        <v>35</v>
      </c>
      <c r="AO47" s="58" t="s">
        <v>35</v>
      </c>
      <c r="AP47" s="33" t="s">
        <v>35</v>
      </c>
      <c r="AQ47" s="33" t="s">
        <v>35</v>
      </c>
      <c r="AR47" s="32" t="s">
        <v>35</v>
      </c>
    </row>
    <row r="48" spans="1:44" ht="18" customHeight="1">
      <c r="A48" s="31" t="s">
        <v>35</v>
      </c>
      <c r="B48" s="75">
        <v>45</v>
      </c>
      <c r="C48" s="47" t="s">
        <v>34</v>
      </c>
      <c r="D48" s="47" t="s">
        <v>88</v>
      </c>
      <c r="E48" s="52" t="s">
        <v>89</v>
      </c>
      <c r="F48" s="78" t="s">
        <v>92</v>
      </c>
      <c r="G48" s="103" t="s">
        <v>166</v>
      </c>
      <c r="H48" s="33" t="s">
        <v>35</v>
      </c>
      <c r="I48" s="33" t="s">
        <v>35</v>
      </c>
      <c r="J48" s="33" t="s">
        <v>35</v>
      </c>
      <c r="K48" s="33" t="s">
        <v>35</v>
      </c>
      <c r="L48" s="59" t="s">
        <v>35</v>
      </c>
      <c r="M48" s="60" t="s">
        <v>35</v>
      </c>
      <c r="N48" s="60" t="s">
        <v>35</v>
      </c>
      <c r="O48" s="58" t="s">
        <v>35</v>
      </c>
      <c r="P48" s="59" t="s">
        <v>35</v>
      </c>
      <c r="Q48" s="60" t="s">
        <v>35</v>
      </c>
      <c r="R48" s="60" t="s">
        <v>35</v>
      </c>
      <c r="S48" s="58" t="s">
        <v>35</v>
      </c>
      <c r="T48" s="59" t="s">
        <v>35</v>
      </c>
      <c r="U48" s="60" t="s">
        <v>35</v>
      </c>
      <c r="V48" s="60" t="s">
        <v>35</v>
      </c>
      <c r="W48" s="58" t="s">
        <v>35</v>
      </c>
      <c r="X48" s="59" t="s">
        <v>35</v>
      </c>
      <c r="Y48" s="60" t="s">
        <v>35</v>
      </c>
      <c r="Z48" s="60" t="s">
        <v>35</v>
      </c>
      <c r="AA48" s="58" t="s">
        <v>35</v>
      </c>
      <c r="AB48" s="59" t="s">
        <v>35</v>
      </c>
      <c r="AC48" s="60" t="s">
        <v>35</v>
      </c>
      <c r="AD48" s="60" t="s">
        <v>35</v>
      </c>
      <c r="AE48" s="58" t="s">
        <v>35</v>
      </c>
      <c r="AF48" s="59" t="s">
        <v>35</v>
      </c>
      <c r="AG48" s="60" t="s">
        <v>35</v>
      </c>
      <c r="AH48" s="60" t="s">
        <v>35</v>
      </c>
      <c r="AI48" s="58" t="s">
        <v>35</v>
      </c>
      <c r="AJ48" s="59" t="s">
        <v>35</v>
      </c>
      <c r="AK48" s="60" t="s">
        <v>35</v>
      </c>
      <c r="AL48" s="58" t="s">
        <v>35</v>
      </c>
      <c r="AM48" s="59" t="s">
        <v>35</v>
      </c>
      <c r="AN48" s="60" t="s">
        <v>35</v>
      </c>
      <c r="AO48" s="58" t="s">
        <v>35</v>
      </c>
      <c r="AP48" s="33" t="s">
        <v>35</v>
      </c>
      <c r="AQ48" s="33" t="s">
        <v>35</v>
      </c>
      <c r="AR48" s="32" t="s">
        <v>35</v>
      </c>
    </row>
    <row r="49" spans="1:44" ht="18" customHeight="1">
      <c r="A49" s="31" t="s">
        <v>35</v>
      </c>
      <c r="B49" s="75">
        <v>46</v>
      </c>
      <c r="C49" s="47" t="s">
        <v>34</v>
      </c>
      <c r="D49" s="47" t="s">
        <v>88</v>
      </c>
      <c r="E49" s="54" t="s">
        <v>93</v>
      </c>
      <c r="F49" s="78" t="s">
        <v>94</v>
      </c>
      <c r="G49" s="103" t="s">
        <v>166</v>
      </c>
      <c r="H49" s="33" t="s">
        <v>35</v>
      </c>
      <c r="I49" s="33" t="s">
        <v>35</v>
      </c>
      <c r="J49" s="33" t="s">
        <v>35</v>
      </c>
      <c r="K49" s="33" t="s">
        <v>35</v>
      </c>
      <c r="L49" s="59" t="s">
        <v>35</v>
      </c>
      <c r="M49" s="60" t="s">
        <v>35</v>
      </c>
      <c r="N49" s="60" t="s">
        <v>35</v>
      </c>
      <c r="O49" s="58" t="s">
        <v>35</v>
      </c>
      <c r="P49" s="59" t="s">
        <v>35</v>
      </c>
      <c r="Q49" s="60" t="s">
        <v>35</v>
      </c>
      <c r="R49" s="60" t="s">
        <v>35</v>
      </c>
      <c r="S49" s="58" t="s">
        <v>35</v>
      </c>
      <c r="T49" s="59" t="s">
        <v>35</v>
      </c>
      <c r="U49" s="60" t="s">
        <v>35</v>
      </c>
      <c r="V49" s="60" t="s">
        <v>35</v>
      </c>
      <c r="W49" s="58" t="s">
        <v>35</v>
      </c>
      <c r="X49" s="59" t="s">
        <v>35</v>
      </c>
      <c r="Y49" s="60" t="s">
        <v>35</v>
      </c>
      <c r="Z49" s="60" t="s">
        <v>35</v>
      </c>
      <c r="AA49" s="58" t="s">
        <v>35</v>
      </c>
      <c r="AB49" s="59" t="s">
        <v>35</v>
      </c>
      <c r="AC49" s="60" t="s">
        <v>35</v>
      </c>
      <c r="AD49" s="60" t="s">
        <v>35</v>
      </c>
      <c r="AE49" s="58" t="s">
        <v>35</v>
      </c>
      <c r="AF49" s="59" t="s">
        <v>35</v>
      </c>
      <c r="AG49" s="60" t="s">
        <v>35</v>
      </c>
      <c r="AH49" s="60" t="s">
        <v>35</v>
      </c>
      <c r="AI49" s="58" t="s">
        <v>35</v>
      </c>
      <c r="AJ49" s="59" t="s">
        <v>35</v>
      </c>
      <c r="AK49" s="60" t="s">
        <v>35</v>
      </c>
      <c r="AL49" s="58" t="s">
        <v>35</v>
      </c>
      <c r="AM49" s="59" t="s">
        <v>35</v>
      </c>
      <c r="AN49" s="60" t="s">
        <v>35</v>
      </c>
      <c r="AO49" s="58" t="s">
        <v>35</v>
      </c>
      <c r="AP49" s="33" t="s">
        <v>35</v>
      </c>
      <c r="AQ49" s="33" t="s">
        <v>35</v>
      </c>
      <c r="AR49" s="32" t="s">
        <v>35</v>
      </c>
    </row>
    <row r="50" spans="1:44" ht="18" customHeight="1">
      <c r="A50" s="31" t="s">
        <v>35</v>
      </c>
      <c r="B50" s="75">
        <v>47</v>
      </c>
      <c r="C50" s="47" t="s">
        <v>34</v>
      </c>
      <c r="D50" s="47" t="s">
        <v>88</v>
      </c>
      <c r="E50" s="52" t="s">
        <v>93</v>
      </c>
      <c r="F50" s="78" t="s">
        <v>95</v>
      </c>
      <c r="G50" s="103" t="s">
        <v>166</v>
      </c>
      <c r="H50" s="33" t="s">
        <v>35</v>
      </c>
      <c r="I50" s="33" t="s">
        <v>35</v>
      </c>
      <c r="J50" s="33" t="s">
        <v>35</v>
      </c>
      <c r="K50" s="33" t="s">
        <v>35</v>
      </c>
      <c r="L50" s="59" t="s">
        <v>35</v>
      </c>
      <c r="M50" s="60" t="s">
        <v>35</v>
      </c>
      <c r="N50" s="60"/>
      <c r="O50" s="58"/>
      <c r="P50" s="59" t="s">
        <v>35</v>
      </c>
      <c r="Q50" s="60" t="s">
        <v>35</v>
      </c>
      <c r="R50" s="60" t="s">
        <v>35</v>
      </c>
      <c r="S50" s="58" t="s">
        <v>35</v>
      </c>
      <c r="T50" s="59" t="s">
        <v>35</v>
      </c>
      <c r="U50" s="60" t="s">
        <v>35</v>
      </c>
      <c r="V50" s="60" t="s">
        <v>35</v>
      </c>
      <c r="W50" s="58" t="s">
        <v>35</v>
      </c>
      <c r="X50" s="59" t="s">
        <v>35</v>
      </c>
      <c r="Y50" s="60" t="s">
        <v>35</v>
      </c>
      <c r="Z50" s="60" t="s">
        <v>35</v>
      </c>
      <c r="AA50" s="58" t="s">
        <v>35</v>
      </c>
      <c r="AB50" s="59" t="s">
        <v>35</v>
      </c>
      <c r="AC50" s="60" t="s">
        <v>35</v>
      </c>
      <c r="AD50" s="60" t="s">
        <v>35</v>
      </c>
      <c r="AE50" s="58" t="s">
        <v>35</v>
      </c>
      <c r="AF50" s="59" t="s">
        <v>35</v>
      </c>
      <c r="AG50" s="60" t="s">
        <v>35</v>
      </c>
      <c r="AH50" s="60" t="s">
        <v>35</v>
      </c>
      <c r="AI50" s="58" t="s">
        <v>35</v>
      </c>
      <c r="AJ50" s="59" t="s">
        <v>35</v>
      </c>
      <c r="AK50" s="60" t="s">
        <v>35</v>
      </c>
      <c r="AL50" s="58" t="s">
        <v>35</v>
      </c>
      <c r="AM50" s="59" t="s">
        <v>35</v>
      </c>
      <c r="AN50" s="60" t="s">
        <v>35</v>
      </c>
      <c r="AO50" s="58" t="s">
        <v>35</v>
      </c>
      <c r="AP50" s="33" t="s">
        <v>35</v>
      </c>
      <c r="AQ50" s="33" t="s">
        <v>35</v>
      </c>
      <c r="AR50" s="32" t="s">
        <v>35</v>
      </c>
    </row>
    <row r="51" spans="1:44">
      <c r="A51" s="31" t="s">
        <v>35</v>
      </c>
      <c r="B51" s="75">
        <v>48</v>
      </c>
      <c r="C51" s="47" t="s">
        <v>34</v>
      </c>
      <c r="D51" s="47" t="s">
        <v>88</v>
      </c>
      <c r="E51" s="54" t="s">
        <v>96</v>
      </c>
      <c r="F51" s="78" t="s">
        <v>97</v>
      </c>
      <c r="G51" s="103" t="s">
        <v>166</v>
      </c>
      <c r="H51" s="33" t="s">
        <v>35</v>
      </c>
      <c r="I51" s="33" t="s">
        <v>35</v>
      </c>
      <c r="J51" s="33" t="s">
        <v>35</v>
      </c>
      <c r="K51" s="33" t="s">
        <v>35</v>
      </c>
      <c r="L51" s="59" t="s">
        <v>35</v>
      </c>
      <c r="M51" s="60" t="s">
        <v>35</v>
      </c>
      <c r="N51" s="60"/>
      <c r="O51" s="58"/>
      <c r="P51" s="59" t="s">
        <v>35</v>
      </c>
      <c r="Q51" s="60" t="s">
        <v>35</v>
      </c>
      <c r="R51" s="60" t="s">
        <v>35</v>
      </c>
      <c r="S51" s="58" t="s">
        <v>35</v>
      </c>
      <c r="T51" s="59" t="s">
        <v>35</v>
      </c>
      <c r="U51" s="60" t="s">
        <v>35</v>
      </c>
      <c r="V51" s="60" t="s">
        <v>35</v>
      </c>
      <c r="W51" s="58" t="s">
        <v>35</v>
      </c>
      <c r="X51" s="59" t="s">
        <v>35</v>
      </c>
      <c r="Y51" s="60" t="s">
        <v>35</v>
      </c>
      <c r="Z51" s="60" t="s">
        <v>35</v>
      </c>
      <c r="AA51" s="58" t="s">
        <v>35</v>
      </c>
      <c r="AB51" s="59" t="s">
        <v>35</v>
      </c>
      <c r="AC51" s="60" t="s">
        <v>35</v>
      </c>
      <c r="AD51" s="60" t="s">
        <v>35</v>
      </c>
      <c r="AE51" s="58" t="s">
        <v>35</v>
      </c>
      <c r="AF51" s="59" t="s">
        <v>35</v>
      </c>
      <c r="AG51" s="60" t="s">
        <v>35</v>
      </c>
      <c r="AH51" s="60" t="s">
        <v>35</v>
      </c>
      <c r="AI51" s="58" t="s">
        <v>35</v>
      </c>
      <c r="AJ51" s="59" t="s">
        <v>35</v>
      </c>
      <c r="AK51" s="60" t="s">
        <v>35</v>
      </c>
      <c r="AL51" s="58" t="s">
        <v>35</v>
      </c>
      <c r="AM51" s="59" t="s">
        <v>35</v>
      </c>
      <c r="AN51" s="60" t="s">
        <v>35</v>
      </c>
      <c r="AO51" s="58" t="s">
        <v>35</v>
      </c>
      <c r="AP51" s="33" t="s">
        <v>35</v>
      </c>
      <c r="AQ51" s="33" t="s">
        <v>35</v>
      </c>
      <c r="AR51" s="32" t="s">
        <v>35</v>
      </c>
    </row>
    <row r="52" spans="1:44">
      <c r="A52" s="31" t="s">
        <v>35</v>
      </c>
      <c r="B52" s="75">
        <v>49</v>
      </c>
      <c r="C52" s="47" t="s">
        <v>34</v>
      </c>
      <c r="D52" s="47" t="s">
        <v>88</v>
      </c>
      <c r="E52" s="52" t="s">
        <v>96</v>
      </c>
      <c r="F52" s="78" t="s">
        <v>98</v>
      </c>
      <c r="G52" s="103" t="s">
        <v>166</v>
      </c>
      <c r="H52" s="33" t="s">
        <v>35</v>
      </c>
      <c r="I52" s="33" t="s">
        <v>35</v>
      </c>
      <c r="J52" s="33" t="s">
        <v>35</v>
      </c>
      <c r="K52" s="33" t="s">
        <v>35</v>
      </c>
      <c r="L52" s="59" t="s">
        <v>35</v>
      </c>
      <c r="M52" s="60" t="s">
        <v>35</v>
      </c>
      <c r="N52" s="60"/>
      <c r="O52" s="58"/>
      <c r="P52" s="59" t="s">
        <v>35</v>
      </c>
      <c r="Q52" s="60" t="s">
        <v>35</v>
      </c>
      <c r="R52" s="60" t="s">
        <v>35</v>
      </c>
      <c r="S52" s="58" t="s">
        <v>35</v>
      </c>
      <c r="T52" s="59" t="s">
        <v>35</v>
      </c>
      <c r="U52" s="60" t="s">
        <v>35</v>
      </c>
      <c r="V52" s="60" t="s">
        <v>35</v>
      </c>
      <c r="W52" s="58" t="s">
        <v>35</v>
      </c>
      <c r="X52" s="59" t="s">
        <v>35</v>
      </c>
      <c r="Y52" s="60" t="s">
        <v>35</v>
      </c>
      <c r="Z52" s="60" t="s">
        <v>35</v>
      </c>
      <c r="AA52" s="58" t="s">
        <v>35</v>
      </c>
      <c r="AB52" s="59" t="s">
        <v>35</v>
      </c>
      <c r="AC52" s="60" t="s">
        <v>35</v>
      </c>
      <c r="AD52" s="60" t="s">
        <v>35</v>
      </c>
      <c r="AE52" s="58" t="s">
        <v>35</v>
      </c>
      <c r="AF52" s="59" t="s">
        <v>35</v>
      </c>
      <c r="AG52" s="60" t="s">
        <v>35</v>
      </c>
      <c r="AH52" s="60" t="s">
        <v>35</v>
      </c>
      <c r="AI52" s="58" t="s">
        <v>35</v>
      </c>
      <c r="AJ52" s="59" t="s">
        <v>35</v>
      </c>
      <c r="AK52" s="60" t="s">
        <v>35</v>
      </c>
      <c r="AL52" s="58" t="s">
        <v>35</v>
      </c>
      <c r="AM52" s="59" t="s">
        <v>35</v>
      </c>
      <c r="AN52" s="60" t="s">
        <v>35</v>
      </c>
      <c r="AO52" s="58" t="s">
        <v>35</v>
      </c>
      <c r="AP52" s="33" t="s">
        <v>35</v>
      </c>
      <c r="AQ52" s="33" t="s">
        <v>35</v>
      </c>
      <c r="AR52" s="32" t="s">
        <v>35</v>
      </c>
    </row>
    <row r="53" spans="1:44">
      <c r="A53" s="31" t="s">
        <v>35</v>
      </c>
      <c r="B53" s="75">
        <v>50</v>
      </c>
      <c r="C53" s="47" t="s">
        <v>34</v>
      </c>
      <c r="D53" s="47" t="s">
        <v>88</v>
      </c>
      <c r="E53" s="50" t="s">
        <v>99</v>
      </c>
      <c r="F53" s="78" t="s">
        <v>99</v>
      </c>
      <c r="G53" s="103" t="s">
        <v>166</v>
      </c>
      <c r="H53" s="33" t="s">
        <v>35</v>
      </c>
      <c r="I53" s="33" t="s">
        <v>35</v>
      </c>
      <c r="J53" s="33" t="s">
        <v>35</v>
      </c>
      <c r="K53" s="33" t="s">
        <v>35</v>
      </c>
      <c r="L53" s="59" t="s">
        <v>35</v>
      </c>
      <c r="M53" s="60" t="s">
        <v>35</v>
      </c>
      <c r="N53" s="60"/>
      <c r="O53" s="58"/>
      <c r="P53" s="59" t="s">
        <v>35</v>
      </c>
      <c r="Q53" s="60" t="s">
        <v>35</v>
      </c>
      <c r="R53" s="60" t="s">
        <v>35</v>
      </c>
      <c r="S53" s="58" t="s">
        <v>35</v>
      </c>
      <c r="T53" s="59" t="s">
        <v>35</v>
      </c>
      <c r="U53" s="60" t="s">
        <v>35</v>
      </c>
      <c r="V53" s="60" t="s">
        <v>35</v>
      </c>
      <c r="W53" s="58" t="s">
        <v>35</v>
      </c>
      <c r="X53" s="59" t="s">
        <v>35</v>
      </c>
      <c r="Y53" s="60" t="s">
        <v>35</v>
      </c>
      <c r="Z53" s="60" t="s">
        <v>35</v>
      </c>
      <c r="AA53" s="58" t="s">
        <v>35</v>
      </c>
      <c r="AB53" s="59" t="s">
        <v>35</v>
      </c>
      <c r="AC53" s="60" t="s">
        <v>35</v>
      </c>
      <c r="AD53" s="60" t="s">
        <v>35</v>
      </c>
      <c r="AE53" s="58" t="s">
        <v>35</v>
      </c>
      <c r="AF53" s="59" t="s">
        <v>35</v>
      </c>
      <c r="AG53" s="60" t="s">
        <v>35</v>
      </c>
      <c r="AH53" s="60" t="s">
        <v>35</v>
      </c>
      <c r="AI53" s="58" t="s">
        <v>35</v>
      </c>
      <c r="AJ53" s="59" t="s">
        <v>35</v>
      </c>
      <c r="AK53" s="60" t="s">
        <v>35</v>
      </c>
      <c r="AL53" s="58" t="s">
        <v>35</v>
      </c>
      <c r="AM53" s="59" t="s">
        <v>35</v>
      </c>
      <c r="AN53" s="60" t="s">
        <v>35</v>
      </c>
      <c r="AO53" s="58" t="s">
        <v>35</v>
      </c>
      <c r="AP53" s="33" t="s">
        <v>35</v>
      </c>
      <c r="AQ53" s="33" t="s">
        <v>35</v>
      </c>
      <c r="AR53" s="32" t="s">
        <v>35</v>
      </c>
    </row>
    <row r="54" spans="1:44">
      <c r="A54" s="31" t="s">
        <v>35</v>
      </c>
      <c r="B54" s="75">
        <v>51</v>
      </c>
      <c r="C54" s="47" t="s">
        <v>34</v>
      </c>
      <c r="D54" s="47" t="s">
        <v>88</v>
      </c>
      <c r="E54" s="50" t="s">
        <v>100</v>
      </c>
      <c r="F54" s="78" t="s">
        <v>100</v>
      </c>
      <c r="G54" s="103" t="s">
        <v>166</v>
      </c>
      <c r="H54" s="33" t="s">
        <v>35</v>
      </c>
      <c r="I54" s="33" t="s">
        <v>35</v>
      </c>
      <c r="J54" s="33" t="s">
        <v>35</v>
      </c>
      <c r="K54" s="33" t="s">
        <v>35</v>
      </c>
      <c r="L54" s="59" t="s">
        <v>35</v>
      </c>
      <c r="M54" s="60" t="s">
        <v>35</v>
      </c>
      <c r="N54" s="60"/>
      <c r="O54" s="58"/>
      <c r="P54" s="59" t="s">
        <v>35</v>
      </c>
      <c r="Q54" s="60" t="s">
        <v>35</v>
      </c>
      <c r="R54" s="60" t="s">
        <v>35</v>
      </c>
      <c r="S54" s="58" t="s">
        <v>35</v>
      </c>
      <c r="T54" s="59" t="s">
        <v>35</v>
      </c>
      <c r="U54" s="60" t="s">
        <v>35</v>
      </c>
      <c r="V54" s="60" t="s">
        <v>35</v>
      </c>
      <c r="W54" s="58" t="s">
        <v>35</v>
      </c>
      <c r="X54" s="59" t="s">
        <v>35</v>
      </c>
      <c r="Y54" s="60" t="s">
        <v>35</v>
      </c>
      <c r="Z54" s="60" t="s">
        <v>35</v>
      </c>
      <c r="AA54" s="58" t="s">
        <v>35</v>
      </c>
      <c r="AB54" s="59" t="s">
        <v>35</v>
      </c>
      <c r="AC54" s="60" t="s">
        <v>35</v>
      </c>
      <c r="AD54" s="60" t="s">
        <v>35</v>
      </c>
      <c r="AE54" s="58" t="s">
        <v>35</v>
      </c>
      <c r="AF54" s="59" t="s">
        <v>35</v>
      </c>
      <c r="AG54" s="60" t="s">
        <v>35</v>
      </c>
      <c r="AH54" s="60" t="s">
        <v>35</v>
      </c>
      <c r="AI54" s="58" t="s">
        <v>35</v>
      </c>
      <c r="AJ54" s="59" t="s">
        <v>35</v>
      </c>
      <c r="AK54" s="60" t="s">
        <v>35</v>
      </c>
      <c r="AL54" s="58" t="s">
        <v>35</v>
      </c>
      <c r="AM54" s="59" t="s">
        <v>35</v>
      </c>
      <c r="AN54" s="60" t="s">
        <v>35</v>
      </c>
      <c r="AO54" s="58" t="s">
        <v>35</v>
      </c>
      <c r="AP54" s="33" t="s">
        <v>35</v>
      </c>
      <c r="AQ54" s="33" t="s">
        <v>35</v>
      </c>
      <c r="AR54" s="32" t="s">
        <v>35</v>
      </c>
    </row>
    <row r="55" spans="1:44">
      <c r="A55" s="31" t="s">
        <v>35</v>
      </c>
      <c r="B55" s="75">
        <v>52</v>
      </c>
      <c r="C55" s="47" t="s">
        <v>34</v>
      </c>
      <c r="D55" s="47" t="s">
        <v>88</v>
      </c>
      <c r="E55" s="50" t="s">
        <v>101</v>
      </c>
      <c r="F55" s="78" t="s">
        <v>101</v>
      </c>
      <c r="G55" s="103" t="s">
        <v>166</v>
      </c>
      <c r="H55" s="33" t="s">
        <v>35</v>
      </c>
      <c r="I55" s="33" t="s">
        <v>35</v>
      </c>
      <c r="J55" s="33" t="s">
        <v>35</v>
      </c>
      <c r="K55" s="33" t="s">
        <v>35</v>
      </c>
      <c r="L55" s="59" t="s">
        <v>35</v>
      </c>
      <c r="M55" s="60" t="s">
        <v>35</v>
      </c>
      <c r="N55" s="60"/>
      <c r="O55" s="58"/>
      <c r="P55" s="59" t="s">
        <v>35</v>
      </c>
      <c r="Q55" s="60" t="s">
        <v>35</v>
      </c>
      <c r="R55" s="60" t="s">
        <v>35</v>
      </c>
      <c r="S55" s="58" t="s">
        <v>35</v>
      </c>
      <c r="T55" s="59" t="s">
        <v>35</v>
      </c>
      <c r="U55" s="60" t="s">
        <v>35</v>
      </c>
      <c r="V55" s="60" t="s">
        <v>35</v>
      </c>
      <c r="W55" s="58" t="s">
        <v>35</v>
      </c>
      <c r="X55" s="59" t="s">
        <v>35</v>
      </c>
      <c r="Y55" s="60" t="s">
        <v>35</v>
      </c>
      <c r="Z55" s="60" t="s">
        <v>35</v>
      </c>
      <c r="AA55" s="58" t="s">
        <v>35</v>
      </c>
      <c r="AB55" s="59" t="s">
        <v>35</v>
      </c>
      <c r="AC55" s="60" t="s">
        <v>35</v>
      </c>
      <c r="AD55" s="60" t="s">
        <v>35</v>
      </c>
      <c r="AE55" s="58" t="s">
        <v>35</v>
      </c>
      <c r="AF55" s="59" t="s">
        <v>35</v>
      </c>
      <c r="AG55" s="60" t="s">
        <v>35</v>
      </c>
      <c r="AH55" s="60" t="s">
        <v>35</v>
      </c>
      <c r="AI55" s="58" t="s">
        <v>35</v>
      </c>
      <c r="AJ55" s="59" t="s">
        <v>35</v>
      </c>
      <c r="AK55" s="60" t="s">
        <v>35</v>
      </c>
      <c r="AL55" s="58" t="s">
        <v>35</v>
      </c>
      <c r="AM55" s="59" t="s">
        <v>35</v>
      </c>
      <c r="AN55" s="60" t="s">
        <v>35</v>
      </c>
      <c r="AO55" s="58" t="s">
        <v>35</v>
      </c>
      <c r="AP55" s="33" t="s">
        <v>35</v>
      </c>
      <c r="AQ55" s="33" t="s">
        <v>35</v>
      </c>
      <c r="AR55" s="32" t="s">
        <v>35</v>
      </c>
    </row>
    <row r="56" spans="1:44">
      <c r="A56" s="31" t="s">
        <v>35</v>
      </c>
      <c r="B56" s="75">
        <v>53</v>
      </c>
      <c r="C56" s="47" t="s">
        <v>34</v>
      </c>
      <c r="D56" s="47" t="s">
        <v>88</v>
      </c>
      <c r="E56" s="50" t="s">
        <v>102</v>
      </c>
      <c r="F56" s="78" t="s">
        <v>102</v>
      </c>
      <c r="G56" s="103" t="s">
        <v>166</v>
      </c>
      <c r="H56" s="33" t="s">
        <v>35</v>
      </c>
      <c r="I56" s="33" t="s">
        <v>35</v>
      </c>
      <c r="J56" s="33" t="s">
        <v>35</v>
      </c>
      <c r="K56" s="33" t="s">
        <v>35</v>
      </c>
      <c r="L56" s="59" t="s">
        <v>35</v>
      </c>
      <c r="M56" s="60" t="s">
        <v>35</v>
      </c>
      <c r="N56" s="60"/>
      <c r="O56" s="58"/>
      <c r="P56" s="59" t="s">
        <v>35</v>
      </c>
      <c r="Q56" s="60" t="s">
        <v>35</v>
      </c>
      <c r="R56" s="60" t="s">
        <v>35</v>
      </c>
      <c r="S56" s="58" t="s">
        <v>35</v>
      </c>
      <c r="T56" s="59" t="s">
        <v>35</v>
      </c>
      <c r="U56" s="60" t="s">
        <v>35</v>
      </c>
      <c r="V56" s="60" t="s">
        <v>35</v>
      </c>
      <c r="W56" s="58" t="s">
        <v>35</v>
      </c>
      <c r="X56" s="59" t="s">
        <v>35</v>
      </c>
      <c r="Y56" s="60" t="s">
        <v>35</v>
      </c>
      <c r="Z56" s="60" t="s">
        <v>35</v>
      </c>
      <c r="AA56" s="58" t="s">
        <v>35</v>
      </c>
      <c r="AB56" s="59" t="s">
        <v>35</v>
      </c>
      <c r="AC56" s="60" t="s">
        <v>35</v>
      </c>
      <c r="AD56" s="60" t="s">
        <v>35</v>
      </c>
      <c r="AE56" s="58" t="s">
        <v>35</v>
      </c>
      <c r="AF56" s="59" t="s">
        <v>35</v>
      </c>
      <c r="AG56" s="60" t="s">
        <v>35</v>
      </c>
      <c r="AH56" s="60" t="s">
        <v>35</v>
      </c>
      <c r="AI56" s="58" t="s">
        <v>35</v>
      </c>
      <c r="AJ56" s="59" t="s">
        <v>35</v>
      </c>
      <c r="AK56" s="60" t="s">
        <v>35</v>
      </c>
      <c r="AL56" s="58" t="s">
        <v>35</v>
      </c>
      <c r="AM56" s="59" t="s">
        <v>35</v>
      </c>
      <c r="AN56" s="60" t="s">
        <v>35</v>
      </c>
      <c r="AO56" s="58" t="s">
        <v>35</v>
      </c>
      <c r="AP56" s="33" t="s">
        <v>35</v>
      </c>
      <c r="AQ56" s="33" t="s">
        <v>35</v>
      </c>
      <c r="AR56" s="32" t="s">
        <v>35</v>
      </c>
    </row>
    <row r="57" spans="1:44">
      <c r="A57" s="31" t="s">
        <v>35</v>
      </c>
      <c r="B57" s="75">
        <v>54</v>
      </c>
      <c r="C57" s="47" t="s">
        <v>34</v>
      </c>
      <c r="D57" s="47" t="s">
        <v>88</v>
      </c>
      <c r="E57" s="50" t="s">
        <v>103</v>
      </c>
      <c r="F57" s="78" t="s">
        <v>103</v>
      </c>
      <c r="G57" s="103" t="s">
        <v>166</v>
      </c>
      <c r="H57" s="33" t="s">
        <v>35</v>
      </c>
      <c r="I57" s="33" t="s">
        <v>35</v>
      </c>
      <c r="J57" s="33" t="s">
        <v>35</v>
      </c>
      <c r="K57" s="33" t="s">
        <v>35</v>
      </c>
      <c r="L57" s="59" t="s">
        <v>35</v>
      </c>
      <c r="M57" s="60" t="s">
        <v>35</v>
      </c>
      <c r="N57" s="60"/>
      <c r="O57" s="58"/>
      <c r="P57" s="59" t="s">
        <v>35</v>
      </c>
      <c r="Q57" s="60" t="s">
        <v>35</v>
      </c>
      <c r="R57" s="60" t="s">
        <v>35</v>
      </c>
      <c r="S57" s="58" t="s">
        <v>35</v>
      </c>
      <c r="T57" s="59" t="s">
        <v>35</v>
      </c>
      <c r="U57" s="60" t="s">
        <v>35</v>
      </c>
      <c r="V57" s="60" t="s">
        <v>35</v>
      </c>
      <c r="W57" s="58" t="s">
        <v>35</v>
      </c>
      <c r="X57" s="59" t="s">
        <v>35</v>
      </c>
      <c r="Y57" s="60" t="s">
        <v>35</v>
      </c>
      <c r="Z57" s="60" t="s">
        <v>35</v>
      </c>
      <c r="AA57" s="58" t="s">
        <v>35</v>
      </c>
      <c r="AB57" s="59" t="s">
        <v>35</v>
      </c>
      <c r="AC57" s="60" t="s">
        <v>35</v>
      </c>
      <c r="AD57" s="60" t="s">
        <v>35</v>
      </c>
      <c r="AE57" s="58" t="s">
        <v>35</v>
      </c>
      <c r="AF57" s="59" t="s">
        <v>35</v>
      </c>
      <c r="AG57" s="60" t="s">
        <v>35</v>
      </c>
      <c r="AH57" s="60" t="s">
        <v>35</v>
      </c>
      <c r="AI57" s="58" t="s">
        <v>35</v>
      </c>
      <c r="AJ57" s="59" t="s">
        <v>35</v>
      </c>
      <c r="AK57" s="60" t="s">
        <v>35</v>
      </c>
      <c r="AL57" s="58" t="s">
        <v>35</v>
      </c>
      <c r="AM57" s="59" t="s">
        <v>35</v>
      </c>
      <c r="AN57" s="60" t="s">
        <v>35</v>
      </c>
      <c r="AO57" s="58" t="s">
        <v>35</v>
      </c>
      <c r="AP57" s="33" t="s">
        <v>35</v>
      </c>
      <c r="AQ57" s="33" t="s">
        <v>35</v>
      </c>
      <c r="AR57" s="32" t="s">
        <v>35</v>
      </c>
    </row>
    <row r="58" spans="1:44">
      <c r="A58" s="31" t="s">
        <v>35</v>
      </c>
      <c r="B58" s="75">
        <v>55</v>
      </c>
      <c r="C58" s="47" t="s">
        <v>34</v>
      </c>
      <c r="D58" s="53" t="s">
        <v>88</v>
      </c>
      <c r="E58" s="50" t="s">
        <v>104</v>
      </c>
      <c r="F58" s="33" t="s">
        <v>104</v>
      </c>
      <c r="G58" s="103" t="s">
        <v>166</v>
      </c>
      <c r="H58" s="33" t="s">
        <v>35</v>
      </c>
      <c r="I58" s="33" t="s">
        <v>35</v>
      </c>
      <c r="J58" s="33" t="s">
        <v>35</v>
      </c>
      <c r="K58" s="33" t="s">
        <v>35</v>
      </c>
      <c r="L58" s="59" t="s">
        <v>35</v>
      </c>
      <c r="M58" s="60" t="s">
        <v>35</v>
      </c>
      <c r="N58" s="60"/>
      <c r="O58" s="58"/>
      <c r="P58" s="59" t="s">
        <v>35</v>
      </c>
      <c r="Q58" s="60" t="s">
        <v>35</v>
      </c>
      <c r="R58" s="60" t="s">
        <v>35</v>
      </c>
      <c r="S58" s="58" t="s">
        <v>35</v>
      </c>
      <c r="T58" s="59" t="s">
        <v>35</v>
      </c>
      <c r="U58" s="60" t="s">
        <v>35</v>
      </c>
      <c r="V58" s="60" t="s">
        <v>35</v>
      </c>
      <c r="W58" s="58" t="s">
        <v>35</v>
      </c>
      <c r="X58" s="59" t="s">
        <v>35</v>
      </c>
      <c r="Y58" s="60" t="s">
        <v>35</v>
      </c>
      <c r="Z58" s="60" t="s">
        <v>35</v>
      </c>
      <c r="AA58" s="58" t="s">
        <v>35</v>
      </c>
      <c r="AB58" s="59" t="s">
        <v>35</v>
      </c>
      <c r="AC58" s="60" t="s">
        <v>35</v>
      </c>
      <c r="AD58" s="60" t="s">
        <v>35</v>
      </c>
      <c r="AE58" s="58" t="s">
        <v>35</v>
      </c>
      <c r="AF58" s="59" t="s">
        <v>35</v>
      </c>
      <c r="AG58" s="60" t="s">
        <v>35</v>
      </c>
      <c r="AH58" s="60" t="s">
        <v>35</v>
      </c>
      <c r="AI58" s="58" t="s">
        <v>35</v>
      </c>
      <c r="AJ58" s="59" t="s">
        <v>35</v>
      </c>
      <c r="AK58" s="60" t="s">
        <v>35</v>
      </c>
      <c r="AL58" s="58" t="s">
        <v>35</v>
      </c>
      <c r="AM58" s="59" t="s">
        <v>35</v>
      </c>
      <c r="AN58" s="60" t="s">
        <v>35</v>
      </c>
      <c r="AO58" s="58" t="s">
        <v>35</v>
      </c>
      <c r="AP58" s="33" t="s">
        <v>35</v>
      </c>
      <c r="AQ58" s="33" t="s">
        <v>35</v>
      </c>
      <c r="AR58" s="32" t="s">
        <v>35</v>
      </c>
    </row>
    <row r="59" spans="1:44">
      <c r="A59" s="31" t="s">
        <v>35</v>
      </c>
      <c r="B59" s="75">
        <v>56</v>
      </c>
      <c r="C59" s="47" t="s">
        <v>34</v>
      </c>
      <c r="D59" s="51" t="s">
        <v>105</v>
      </c>
      <c r="E59" s="54" t="s">
        <v>106</v>
      </c>
      <c r="F59" s="33" t="s">
        <v>107</v>
      </c>
      <c r="G59" s="103" t="s">
        <v>166</v>
      </c>
      <c r="H59" s="33" t="s">
        <v>35</v>
      </c>
      <c r="I59" s="33" t="s">
        <v>35</v>
      </c>
      <c r="J59" s="33" t="s">
        <v>35</v>
      </c>
      <c r="K59" s="33" t="s">
        <v>35</v>
      </c>
      <c r="L59" s="59" t="s">
        <v>35</v>
      </c>
      <c r="M59" s="60" t="s">
        <v>35</v>
      </c>
      <c r="N59" s="60" t="s">
        <v>35</v>
      </c>
      <c r="O59" s="58" t="s">
        <v>35</v>
      </c>
      <c r="P59" s="59" t="s">
        <v>35</v>
      </c>
      <c r="Q59" s="60" t="s">
        <v>35</v>
      </c>
      <c r="R59" s="60" t="s">
        <v>35</v>
      </c>
      <c r="S59" s="58" t="s">
        <v>35</v>
      </c>
      <c r="T59" s="59" t="s">
        <v>35</v>
      </c>
      <c r="U59" s="60" t="s">
        <v>35</v>
      </c>
      <c r="V59" s="60" t="s">
        <v>35</v>
      </c>
      <c r="W59" s="58" t="s">
        <v>35</v>
      </c>
      <c r="X59" s="59" t="s">
        <v>35</v>
      </c>
      <c r="Y59" s="60" t="s">
        <v>35</v>
      </c>
      <c r="Z59" s="60" t="s">
        <v>35</v>
      </c>
      <c r="AA59" s="58" t="s">
        <v>35</v>
      </c>
      <c r="AB59" s="59" t="s">
        <v>35</v>
      </c>
      <c r="AC59" s="60" t="s">
        <v>35</v>
      </c>
      <c r="AD59" s="60" t="s">
        <v>35</v>
      </c>
      <c r="AE59" s="58" t="s">
        <v>35</v>
      </c>
      <c r="AF59" s="59" t="s">
        <v>35</v>
      </c>
      <c r="AG59" s="60" t="s">
        <v>35</v>
      </c>
      <c r="AH59" s="60" t="s">
        <v>35</v>
      </c>
      <c r="AI59" s="58" t="s">
        <v>35</v>
      </c>
      <c r="AJ59" s="59" t="s">
        <v>35</v>
      </c>
      <c r="AK59" s="60" t="s">
        <v>35</v>
      </c>
      <c r="AL59" s="58" t="s">
        <v>35</v>
      </c>
      <c r="AM59" s="59" t="s">
        <v>35</v>
      </c>
      <c r="AN59" s="60" t="s">
        <v>35</v>
      </c>
      <c r="AO59" s="58" t="s">
        <v>35</v>
      </c>
      <c r="AP59" s="33" t="s">
        <v>35</v>
      </c>
      <c r="AQ59" s="33" t="s">
        <v>35</v>
      </c>
      <c r="AR59" s="32" t="s">
        <v>35</v>
      </c>
    </row>
    <row r="60" spans="1:44">
      <c r="A60" s="31" t="s">
        <v>35</v>
      </c>
      <c r="B60" s="75">
        <v>57</v>
      </c>
      <c r="C60" s="47" t="s">
        <v>34</v>
      </c>
      <c r="D60" s="47" t="s">
        <v>105</v>
      </c>
      <c r="E60" s="45" t="s">
        <v>106</v>
      </c>
      <c r="F60" s="33" t="s">
        <v>108</v>
      </c>
      <c r="G60" s="103" t="s">
        <v>166</v>
      </c>
      <c r="H60" s="33" t="s">
        <v>35</v>
      </c>
      <c r="I60" s="33" t="s">
        <v>35</v>
      </c>
      <c r="J60" s="33" t="s">
        <v>35</v>
      </c>
      <c r="K60" s="33" t="s">
        <v>35</v>
      </c>
      <c r="L60" s="59" t="s">
        <v>35</v>
      </c>
      <c r="M60" s="60" t="s">
        <v>35</v>
      </c>
      <c r="N60" s="60" t="s">
        <v>35</v>
      </c>
      <c r="O60" s="58" t="s">
        <v>35</v>
      </c>
      <c r="P60" s="59" t="s">
        <v>35</v>
      </c>
      <c r="Q60" s="60" t="s">
        <v>35</v>
      </c>
      <c r="R60" s="60" t="s">
        <v>35</v>
      </c>
      <c r="S60" s="58" t="s">
        <v>35</v>
      </c>
      <c r="T60" s="59" t="s">
        <v>35</v>
      </c>
      <c r="U60" s="60" t="s">
        <v>35</v>
      </c>
      <c r="V60" s="60" t="s">
        <v>35</v>
      </c>
      <c r="W60" s="58" t="s">
        <v>35</v>
      </c>
      <c r="X60" s="59" t="s">
        <v>35</v>
      </c>
      <c r="Y60" s="60" t="s">
        <v>35</v>
      </c>
      <c r="Z60" s="60" t="s">
        <v>35</v>
      </c>
      <c r="AA60" s="58" t="s">
        <v>35</v>
      </c>
      <c r="AB60" s="59" t="s">
        <v>35</v>
      </c>
      <c r="AC60" s="60" t="s">
        <v>35</v>
      </c>
      <c r="AD60" s="60" t="s">
        <v>35</v>
      </c>
      <c r="AE60" s="58" t="s">
        <v>35</v>
      </c>
      <c r="AF60" s="59" t="s">
        <v>35</v>
      </c>
      <c r="AG60" s="60" t="s">
        <v>35</v>
      </c>
      <c r="AH60" s="60" t="s">
        <v>35</v>
      </c>
      <c r="AI60" s="58" t="s">
        <v>35</v>
      </c>
      <c r="AJ60" s="59" t="s">
        <v>35</v>
      </c>
      <c r="AK60" s="60" t="s">
        <v>35</v>
      </c>
      <c r="AL60" s="58" t="s">
        <v>35</v>
      </c>
      <c r="AM60" s="59" t="s">
        <v>35</v>
      </c>
      <c r="AN60" s="60" t="s">
        <v>35</v>
      </c>
      <c r="AO60" s="58" t="s">
        <v>35</v>
      </c>
      <c r="AP60" s="33" t="s">
        <v>35</v>
      </c>
      <c r="AQ60" s="33" t="s">
        <v>35</v>
      </c>
      <c r="AR60" s="32" t="s">
        <v>35</v>
      </c>
    </row>
    <row r="61" spans="1:44">
      <c r="A61" s="31" t="s">
        <v>35</v>
      </c>
      <c r="B61" s="75">
        <v>58</v>
      </c>
      <c r="C61" s="47" t="s">
        <v>34</v>
      </c>
      <c r="D61" s="47" t="s">
        <v>105</v>
      </c>
      <c r="E61" s="45" t="s">
        <v>106</v>
      </c>
      <c r="F61" s="33" t="s">
        <v>109</v>
      </c>
      <c r="G61" s="103" t="s">
        <v>166</v>
      </c>
      <c r="H61" s="33" t="s">
        <v>35</v>
      </c>
      <c r="I61" s="33" t="s">
        <v>35</v>
      </c>
      <c r="J61" s="33" t="s">
        <v>35</v>
      </c>
      <c r="K61" s="33" t="s">
        <v>35</v>
      </c>
      <c r="L61" s="59" t="s">
        <v>35</v>
      </c>
      <c r="M61" s="60" t="s">
        <v>35</v>
      </c>
      <c r="N61" s="60" t="s">
        <v>35</v>
      </c>
      <c r="O61" s="58" t="s">
        <v>35</v>
      </c>
      <c r="P61" s="59" t="s">
        <v>35</v>
      </c>
      <c r="Q61" s="60" t="s">
        <v>35</v>
      </c>
      <c r="R61" s="60" t="s">
        <v>35</v>
      </c>
      <c r="S61" s="58" t="s">
        <v>35</v>
      </c>
      <c r="T61" s="59" t="s">
        <v>35</v>
      </c>
      <c r="U61" s="60" t="s">
        <v>35</v>
      </c>
      <c r="V61" s="60" t="s">
        <v>35</v>
      </c>
      <c r="W61" s="58" t="s">
        <v>35</v>
      </c>
      <c r="X61" s="59" t="s">
        <v>35</v>
      </c>
      <c r="Y61" s="60" t="s">
        <v>35</v>
      </c>
      <c r="Z61" s="60" t="s">
        <v>35</v>
      </c>
      <c r="AA61" s="58" t="s">
        <v>35</v>
      </c>
      <c r="AB61" s="59" t="s">
        <v>35</v>
      </c>
      <c r="AC61" s="60" t="s">
        <v>35</v>
      </c>
      <c r="AD61" s="60" t="s">
        <v>35</v>
      </c>
      <c r="AE61" s="58" t="s">
        <v>35</v>
      </c>
      <c r="AF61" s="59" t="s">
        <v>35</v>
      </c>
      <c r="AG61" s="60" t="s">
        <v>35</v>
      </c>
      <c r="AH61" s="60" t="s">
        <v>35</v>
      </c>
      <c r="AI61" s="58" t="s">
        <v>35</v>
      </c>
      <c r="AJ61" s="59" t="s">
        <v>35</v>
      </c>
      <c r="AK61" s="60" t="s">
        <v>35</v>
      </c>
      <c r="AL61" s="58" t="s">
        <v>35</v>
      </c>
      <c r="AM61" s="59" t="s">
        <v>35</v>
      </c>
      <c r="AN61" s="60" t="s">
        <v>35</v>
      </c>
      <c r="AO61" s="58" t="s">
        <v>35</v>
      </c>
      <c r="AP61" s="33" t="s">
        <v>35</v>
      </c>
      <c r="AQ61" s="33" t="s">
        <v>35</v>
      </c>
      <c r="AR61" s="32" t="s">
        <v>35</v>
      </c>
    </row>
    <row r="62" spans="1:44">
      <c r="A62" s="31" t="s">
        <v>35</v>
      </c>
      <c r="B62" s="75">
        <v>59</v>
      </c>
      <c r="C62" s="47" t="s">
        <v>34</v>
      </c>
      <c r="D62" s="47" t="s">
        <v>105</v>
      </c>
      <c r="E62" s="45" t="s">
        <v>106</v>
      </c>
      <c r="F62" s="33" t="s">
        <v>110</v>
      </c>
      <c r="G62" s="103" t="s">
        <v>166</v>
      </c>
      <c r="H62" s="33" t="s">
        <v>35</v>
      </c>
      <c r="I62" s="33" t="s">
        <v>35</v>
      </c>
      <c r="J62" s="33" t="s">
        <v>35</v>
      </c>
      <c r="K62" s="33" t="s">
        <v>35</v>
      </c>
      <c r="L62" s="59" t="s">
        <v>35</v>
      </c>
      <c r="M62" s="60" t="s">
        <v>35</v>
      </c>
      <c r="N62" s="60" t="s">
        <v>35</v>
      </c>
      <c r="O62" s="58" t="s">
        <v>35</v>
      </c>
      <c r="P62" s="59" t="s">
        <v>35</v>
      </c>
      <c r="Q62" s="60" t="s">
        <v>35</v>
      </c>
      <c r="R62" s="60" t="s">
        <v>35</v>
      </c>
      <c r="S62" s="58" t="s">
        <v>35</v>
      </c>
      <c r="T62" s="59" t="s">
        <v>35</v>
      </c>
      <c r="U62" s="60" t="s">
        <v>35</v>
      </c>
      <c r="V62" s="60" t="s">
        <v>35</v>
      </c>
      <c r="W62" s="58" t="s">
        <v>35</v>
      </c>
      <c r="X62" s="59" t="s">
        <v>35</v>
      </c>
      <c r="Y62" s="60" t="s">
        <v>35</v>
      </c>
      <c r="Z62" s="60" t="s">
        <v>35</v>
      </c>
      <c r="AA62" s="58" t="s">
        <v>35</v>
      </c>
      <c r="AB62" s="59" t="s">
        <v>35</v>
      </c>
      <c r="AC62" s="60" t="s">
        <v>35</v>
      </c>
      <c r="AD62" s="60" t="s">
        <v>35</v>
      </c>
      <c r="AE62" s="58" t="s">
        <v>35</v>
      </c>
      <c r="AF62" s="59" t="s">
        <v>35</v>
      </c>
      <c r="AG62" s="60" t="s">
        <v>35</v>
      </c>
      <c r="AH62" s="60" t="s">
        <v>35</v>
      </c>
      <c r="AI62" s="58" t="s">
        <v>35</v>
      </c>
      <c r="AJ62" s="59" t="s">
        <v>35</v>
      </c>
      <c r="AK62" s="60" t="s">
        <v>35</v>
      </c>
      <c r="AL62" s="58" t="s">
        <v>35</v>
      </c>
      <c r="AM62" s="59" t="s">
        <v>35</v>
      </c>
      <c r="AN62" s="60" t="s">
        <v>35</v>
      </c>
      <c r="AO62" s="58" t="s">
        <v>35</v>
      </c>
      <c r="AP62" s="33" t="s">
        <v>35</v>
      </c>
      <c r="AQ62" s="33" t="s">
        <v>35</v>
      </c>
      <c r="AR62" s="32" t="s">
        <v>35</v>
      </c>
    </row>
    <row r="63" spans="1:44">
      <c r="A63" s="31" t="s">
        <v>35</v>
      </c>
      <c r="B63" s="75">
        <v>60</v>
      </c>
      <c r="C63" s="47" t="s">
        <v>34</v>
      </c>
      <c r="D63" s="53" t="s">
        <v>105</v>
      </c>
      <c r="E63" s="52" t="s">
        <v>106</v>
      </c>
      <c r="F63" s="33" t="s">
        <v>111</v>
      </c>
      <c r="G63" s="103" t="s">
        <v>166</v>
      </c>
      <c r="H63" s="33" t="s">
        <v>35</v>
      </c>
      <c r="I63" s="33" t="s">
        <v>35</v>
      </c>
      <c r="J63" s="33" t="s">
        <v>35</v>
      </c>
      <c r="K63" s="33" t="s">
        <v>35</v>
      </c>
      <c r="L63" s="59" t="s">
        <v>35</v>
      </c>
      <c r="M63" s="60" t="s">
        <v>35</v>
      </c>
      <c r="N63" s="60" t="s">
        <v>35</v>
      </c>
      <c r="O63" s="58" t="s">
        <v>35</v>
      </c>
      <c r="P63" s="59" t="s">
        <v>35</v>
      </c>
      <c r="Q63" s="60" t="s">
        <v>35</v>
      </c>
      <c r="R63" s="60" t="s">
        <v>35</v>
      </c>
      <c r="S63" s="58" t="s">
        <v>35</v>
      </c>
      <c r="T63" s="59" t="s">
        <v>35</v>
      </c>
      <c r="U63" s="60" t="s">
        <v>35</v>
      </c>
      <c r="V63" s="60" t="s">
        <v>35</v>
      </c>
      <c r="W63" s="58" t="s">
        <v>35</v>
      </c>
      <c r="X63" s="59" t="s">
        <v>35</v>
      </c>
      <c r="Y63" s="60" t="s">
        <v>35</v>
      </c>
      <c r="Z63" s="60" t="s">
        <v>35</v>
      </c>
      <c r="AA63" s="58" t="s">
        <v>35</v>
      </c>
      <c r="AB63" s="59" t="s">
        <v>35</v>
      </c>
      <c r="AC63" s="60" t="s">
        <v>35</v>
      </c>
      <c r="AD63" s="60" t="s">
        <v>35</v>
      </c>
      <c r="AE63" s="58" t="s">
        <v>35</v>
      </c>
      <c r="AF63" s="59" t="s">
        <v>35</v>
      </c>
      <c r="AG63" s="60" t="s">
        <v>35</v>
      </c>
      <c r="AH63" s="60" t="s">
        <v>35</v>
      </c>
      <c r="AI63" s="58" t="s">
        <v>35</v>
      </c>
      <c r="AJ63" s="59" t="s">
        <v>35</v>
      </c>
      <c r="AK63" s="60" t="s">
        <v>35</v>
      </c>
      <c r="AL63" s="58" t="s">
        <v>35</v>
      </c>
      <c r="AM63" s="59" t="s">
        <v>35</v>
      </c>
      <c r="AN63" s="60" t="s">
        <v>35</v>
      </c>
      <c r="AO63" s="58" t="s">
        <v>35</v>
      </c>
      <c r="AP63" s="33" t="s">
        <v>35</v>
      </c>
      <c r="AQ63" s="33" t="s">
        <v>35</v>
      </c>
      <c r="AR63" s="32" t="s">
        <v>35</v>
      </c>
    </row>
    <row r="64" spans="1:44">
      <c r="A64" s="31" t="s">
        <v>35</v>
      </c>
      <c r="B64" s="75">
        <v>61</v>
      </c>
      <c r="C64" s="47" t="s">
        <v>34</v>
      </c>
      <c r="D64" s="51" t="s">
        <v>112</v>
      </c>
      <c r="E64" s="50" t="s">
        <v>113</v>
      </c>
      <c r="F64" s="33" t="s">
        <v>114</v>
      </c>
      <c r="G64" s="103" t="s">
        <v>166</v>
      </c>
      <c r="H64" s="33" t="s">
        <v>35</v>
      </c>
      <c r="I64" s="33" t="s">
        <v>35</v>
      </c>
      <c r="J64" s="33" t="s">
        <v>35</v>
      </c>
      <c r="K64" s="33" t="s">
        <v>35</v>
      </c>
      <c r="L64" s="59" t="s">
        <v>35</v>
      </c>
      <c r="M64" s="60" t="s">
        <v>35</v>
      </c>
      <c r="N64" s="60" t="s">
        <v>35</v>
      </c>
      <c r="O64" s="58" t="s">
        <v>35</v>
      </c>
      <c r="P64" s="59" t="s">
        <v>35</v>
      </c>
      <c r="Q64" s="60" t="s">
        <v>35</v>
      </c>
      <c r="R64" s="60" t="s">
        <v>35</v>
      </c>
      <c r="S64" s="58" t="s">
        <v>35</v>
      </c>
      <c r="T64" s="59" t="s">
        <v>35</v>
      </c>
      <c r="U64" s="60" t="s">
        <v>35</v>
      </c>
      <c r="V64" s="60" t="s">
        <v>35</v>
      </c>
      <c r="W64" s="58" t="s">
        <v>35</v>
      </c>
      <c r="X64" s="59" t="s">
        <v>35</v>
      </c>
      <c r="Y64" s="60" t="s">
        <v>35</v>
      </c>
      <c r="Z64" s="60" t="s">
        <v>35</v>
      </c>
      <c r="AA64" s="58" t="s">
        <v>35</v>
      </c>
      <c r="AB64" s="59" t="s">
        <v>35</v>
      </c>
      <c r="AC64" s="60" t="s">
        <v>35</v>
      </c>
      <c r="AD64" s="60" t="s">
        <v>35</v>
      </c>
      <c r="AE64" s="58" t="s">
        <v>35</v>
      </c>
      <c r="AF64" s="59" t="s">
        <v>35</v>
      </c>
      <c r="AG64" s="60" t="s">
        <v>35</v>
      </c>
      <c r="AH64" s="60" t="s">
        <v>35</v>
      </c>
      <c r="AI64" s="58" t="s">
        <v>35</v>
      </c>
      <c r="AJ64" s="59" t="s">
        <v>35</v>
      </c>
      <c r="AK64" s="60" t="s">
        <v>35</v>
      </c>
      <c r="AL64" s="58" t="s">
        <v>35</v>
      </c>
      <c r="AM64" s="59" t="s">
        <v>35</v>
      </c>
      <c r="AN64" s="60" t="s">
        <v>35</v>
      </c>
      <c r="AO64" s="58" t="s">
        <v>35</v>
      </c>
      <c r="AP64" s="33" t="s">
        <v>35</v>
      </c>
      <c r="AQ64" s="33" t="s">
        <v>35</v>
      </c>
      <c r="AR64" s="32" t="s">
        <v>35</v>
      </c>
    </row>
    <row r="65" spans="1:44">
      <c r="A65" s="31" t="s">
        <v>35</v>
      </c>
      <c r="B65" s="75">
        <v>62</v>
      </c>
      <c r="C65" s="47" t="s">
        <v>34</v>
      </c>
      <c r="D65" s="47" t="s">
        <v>112</v>
      </c>
      <c r="E65" s="50" t="s">
        <v>115</v>
      </c>
      <c r="F65" s="33" t="s">
        <v>116</v>
      </c>
      <c r="G65" s="103" t="s">
        <v>166</v>
      </c>
      <c r="H65" s="33" t="s">
        <v>35</v>
      </c>
      <c r="I65" s="33" t="s">
        <v>35</v>
      </c>
      <c r="J65" s="33" t="s">
        <v>35</v>
      </c>
      <c r="K65" s="33" t="s">
        <v>35</v>
      </c>
      <c r="L65" s="59" t="s">
        <v>35</v>
      </c>
      <c r="M65" s="60" t="s">
        <v>35</v>
      </c>
      <c r="N65" s="60" t="s">
        <v>35</v>
      </c>
      <c r="O65" s="58" t="s">
        <v>35</v>
      </c>
      <c r="P65" s="59" t="s">
        <v>35</v>
      </c>
      <c r="Q65" s="60" t="s">
        <v>35</v>
      </c>
      <c r="R65" s="60" t="s">
        <v>35</v>
      </c>
      <c r="S65" s="58" t="s">
        <v>35</v>
      </c>
      <c r="T65" s="59" t="s">
        <v>35</v>
      </c>
      <c r="U65" s="60" t="s">
        <v>35</v>
      </c>
      <c r="V65" s="60" t="s">
        <v>35</v>
      </c>
      <c r="W65" s="58" t="s">
        <v>35</v>
      </c>
      <c r="X65" s="59" t="s">
        <v>35</v>
      </c>
      <c r="Y65" s="60" t="s">
        <v>35</v>
      </c>
      <c r="Z65" s="60" t="s">
        <v>35</v>
      </c>
      <c r="AA65" s="58" t="s">
        <v>35</v>
      </c>
      <c r="AB65" s="59" t="s">
        <v>35</v>
      </c>
      <c r="AC65" s="60" t="s">
        <v>35</v>
      </c>
      <c r="AD65" s="60" t="s">
        <v>35</v>
      </c>
      <c r="AE65" s="58" t="s">
        <v>35</v>
      </c>
      <c r="AF65" s="59" t="s">
        <v>35</v>
      </c>
      <c r="AG65" s="60" t="s">
        <v>35</v>
      </c>
      <c r="AH65" s="60" t="s">
        <v>35</v>
      </c>
      <c r="AI65" s="58" t="s">
        <v>35</v>
      </c>
      <c r="AJ65" s="59" t="s">
        <v>35</v>
      </c>
      <c r="AK65" s="60" t="s">
        <v>35</v>
      </c>
      <c r="AL65" s="58" t="s">
        <v>35</v>
      </c>
      <c r="AM65" s="59" t="s">
        <v>35</v>
      </c>
      <c r="AN65" s="60" t="s">
        <v>35</v>
      </c>
      <c r="AO65" s="58" t="s">
        <v>35</v>
      </c>
      <c r="AP65" s="33" t="s">
        <v>35</v>
      </c>
      <c r="AQ65" s="33" t="s">
        <v>35</v>
      </c>
      <c r="AR65" s="32" t="s">
        <v>35</v>
      </c>
    </row>
    <row r="66" spans="1:44">
      <c r="A66" s="31" t="s">
        <v>35</v>
      </c>
      <c r="B66" s="75">
        <v>63</v>
      </c>
      <c r="C66" s="47" t="s">
        <v>34</v>
      </c>
      <c r="D66" s="53" t="s">
        <v>112</v>
      </c>
      <c r="E66" s="50" t="s">
        <v>117</v>
      </c>
      <c r="F66" s="33" t="s">
        <v>118</v>
      </c>
      <c r="G66" s="103" t="s">
        <v>166</v>
      </c>
      <c r="H66" s="33" t="s">
        <v>35</v>
      </c>
      <c r="I66" s="33" t="s">
        <v>35</v>
      </c>
      <c r="J66" s="33" t="s">
        <v>35</v>
      </c>
      <c r="K66" s="33" t="s">
        <v>35</v>
      </c>
      <c r="L66" s="59" t="s">
        <v>35</v>
      </c>
      <c r="M66" s="60" t="s">
        <v>35</v>
      </c>
      <c r="N66" s="60" t="s">
        <v>35</v>
      </c>
      <c r="O66" s="58" t="s">
        <v>35</v>
      </c>
      <c r="P66" s="59" t="s">
        <v>35</v>
      </c>
      <c r="Q66" s="60" t="s">
        <v>35</v>
      </c>
      <c r="R66" s="60" t="s">
        <v>35</v>
      </c>
      <c r="S66" s="58" t="s">
        <v>35</v>
      </c>
      <c r="T66" s="59" t="s">
        <v>35</v>
      </c>
      <c r="U66" s="60" t="s">
        <v>35</v>
      </c>
      <c r="V66" s="60" t="s">
        <v>35</v>
      </c>
      <c r="W66" s="58" t="s">
        <v>35</v>
      </c>
      <c r="X66" s="59" t="s">
        <v>35</v>
      </c>
      <c r="Y66" s="60" t="s">
        <v>35</v>
      </c>
      <c r="Z66" s="60" t="s">
        <v>35</v>
      </c>
      <c r="AA66" s="58" t="s">
        <v>35</v>
      </c>
      <c r="AB66" s="59" t="s">
        <v>35</v>
      </c>
      <c r="AC66" s="60" t="s">
        <v>35</v>
      </c>
      <c r="AD66" s="60" t="s">
        <v>35</v>
      </c>
      <c r="AE66" s="58" t="s">
        <v>35</v>
      </c>
      <c r="AF66" s="59" t="s">
        <v>35</v>
      </c>
      <c r="AG66" s="60" t="s">
        <v>35</v>
      </c>
      <c r="AH66" s="60" t="s">
        <v>35</v>
      </c>
      <c r="AI66" s="58" t="s">
        <v>35</v>
      </c>
      <c r="AJ66" s="59" t="s">
        <v>35</v>
      </c>
      <c r="AK66" s="60" t="s">
        <v>35</v>
      </c>
      <c r="AL66" s="58" t="s">
        <v>35</v>
      </c>
      <c r="AM66" s="59" t="s">
        <v>35</v>
      </c>
      <c r="AN66" s="60" t="s">
        <v>35</v>
      </c>
      <c r="AO66" s="58" t="s">
        <v>35</v>
      </c>
      <c r="AP66" s="33" t="s">
        <v>35</v>
      </c>
      <c r="AQ66" s="33" t="s">
        <v>35</v>
      </c>
      <c r="AR66" s="32" t="s">
        <v>35</v>
      </c>
    </row>
    <row r="67" spans="1:44">
      <c r="A67" s="31" t="s">
        <v>35</v>
      </c>
      <c r="B67" s="75">
        <v>64</v>
      </c>
      <c r="C67" s="47" t="s">
        <v>34</v>
      </c>
      <c r="D67" s="49" t="s">
        <v>119</v>
      </c>
      <c r="E67" s="50" t="s">
        <v>117</v>
      </c>
      <c r="F67" s="33" t="s">
        <v>120</v>
      </c>
      <c r="G67" s="103" t="s">
        <v>166</v>
      </c>
      <c r="H67" s="33" t="s">
        <v>35</v>
      </c>
      <c r="I67" s="33" t="s">
        <v>35</v>
      </c>
      <c r="J67" s="33" t="s">
        <v>35</v>
      </c>
      <c r="K67" s="33" t="s">
        <v>35</v>
      </c>
      <c r="L67" s="59" t="s">
        <v>35</v>
      </c>
      <c r="M67" s="60" t="s">
        <v>35</v>
      </c>
      <c r="N67" s="60" t="s">
        <v>35</v>
      </c>
      <c r="O67" s="58" t="s">
        <v>35</v>
      </c>
      <c r="P67" s="59" t="s">
        <v>35</v>
      </c>
      <c r="Q67" s="60" t="s">
        <v>35</v>
      </c>
      <c r="R67" s="60" t="s">
        <v>35</v>
      </c>
      <c r="S67" s="58" t="s">
        <v>35</v>
      </c>
      <c r="T67" s="59" t="s">
        <v>35</v>
      </c>
      <c r="U67" s="60" t="s">
        <v>35</v>
      </c>
      <c r="V67" s="60" t="s">
        <v>35</v>
      </c>
      <c r="W67" s="58" t="s">
        <v>35</v>
      </c>
      <c r="X67" s="59" t="s">
        <v>35</v>
      </c>
      <c r="Y67" s="60" t="s">
        <v>35</v>
      </c>
      <c r="Z67" s="60" t="s">
        <v>35</v>
      </c>
      <c r="AA67" s="58" t="s">
        <v>35</v>
      </c>
      <c r="AB67" s="59" t="s">
        <v>35</v>
      </c>
      <c r="AC67" s="60" t="s">
        <v>35</v>
      </c>
      <c r="AD67" s="60" t="s">
        <v>35</v>
      </c>
      <c r="AE67" s="58" t="s">
        <v>35</v>
      </c>
      <c r="AF67" s="59" t="s">
        <v>35</v>
      </c>
      <c r="AG67" s="60" t="s">
        <v>35</v>
      </c>
      <c r="AH67" s="60" t="s">
        <v>35</v>
      </c>
      <c r="AI67" s="58" t="s">
        <v>35</v>
      </c>
      <c r="AJ67" s="59" t="s">
        <v>35</v>
      </c>
      <c r="AK67" s="60" t="s">
        <v>35</v>
      </c>
      <c r="AL67" s="58" t="s">
        <v>35</v>
      </c>
      <c r="AM67" s="59" t="s">
        <v>35</v>
      </c>
      <c r="AN67" s="60" t="s">
        <v>35</v>
      </c>
      <c r="AO67" s="58" t="s">
        <v>35</v>
      </c>
      <c r="AP67" s="33" t="s">
        <v>35</v>
      </c>
      <c r="AQ67" s="33" t="s">
        <v>35</v>
      </c>
      <c r="AR67" s="32" t="s">
        <v>35</v>
      </c>
    </row>
    <row r="68" spans="1:44">
      <c r="A68" s="31" t="s">
        <v>35</v>
      </c>
      <c r="B68" s="75">
        <v>65</v>
      </c>
      <c r="C68" s="47" t="s">
        <v>34</v>
      </c>
      <c r="D68" s="51" t="s">
        <v>121</v>
      </c>
      <c r="E68" s="50" t="s">
        <v>122</v>
      </c>
      <c r="F68" s="33" t="s">
        <v>123</v>
      </c>
      <c r="G68" s="103" t="s">
        <v>166</v>
      </c>
      <c r="H68" s="33" t="s">
        <v>35</v>
      </c>
      <c r="I68" s="33" t="s">
        <v>35</v>
      </c>
      <c r="J68" s="33" t="s">
        <v>35</v>
      </c>
      <c r="K68" s="33" t="s">
        <v>35</v>
      </c>
      <c r="L68" s="59" t="s">
        <v>35</v>
      </c>
      <c r="M68" s="60" t="s">
        <v>35</v>
      </c>
      <c r="N68" s="60" t="s">
        <v>35</v>
      </c>
      <c r="O68" s="58" t="s">
        <v>35</v>
      </c>
      <c r="P68" s="59" t="s">
        <v>35</v>
      </c>
      <c r="Q68" s="60" t="s">
        <v>35</v>
      </c>
      <c r="R68" s="60" t="s">
        <v>35</v>
      </c>
      <c r="S68" s="58" t="s">
        <v>35</v>
      </c>
      <c r="T68" s="59" t="s">
        <v>35</v>
      </c>
      <c r="U68" s="60" t="s">
        <v>35</v>
      </c>
      <c r="V68" s="60" t="s">
        <v>35</v>
      </c>
      <c r="W68" s="58" t="s">
        <v>35</v>
      </c>
      <c r="X68" s="59" t="s">
        <v>35</v>
      </c>
      <c r="Y68" s="60" t="s">
        <v>35</v>
      </c>
      <c r="Z68" s="60" t="s">
        <v>35</v>
      </c>
      <c r="AA68" s="58" t="s">
        <v>35</v>
      </c>
      <c r="AB68" s="59" t="s">
        <v>35</v>
      </c>
      <c r="AC68" s="60" t="s">
        <v>35</v>
      </c>
      <c r="AD68" s="60" t="s">
        <v>35</v>
      </c>
      <c r="AE68" s="58" t="s">
        <v>35</v>
      </c>
      <c r="AF68" s="59" t="s">
        <v>35</v>
      </c>
      <c r="AG68" s="60" t="s">
        <v>35</v>
      </c>
      <c r="AH68" s="60" t="s">
        <v>35</v>
      </c>
      <c r="AI68" s="58" t="s">
        <v>35</v>
      </c>
      <c r="AJ68" s="59" t="s">
        <v>35</v>
      </c>
      <c r="AK68" s="60" t="s">
        <v>35</v>
      </c>
      <c r="AL68" s="58" t="s">
        <v>35</v>
      </c>
      <c r="AM68" s="59" t="s">
        <v>35</v>
      </c>
      <c r="AN68" s="60" t="s">
        <v>35</v>
      </c>
      <c r="AO68" s="58" t="s">
        <v>35</v>
      </c>
      <c r="AP68" s="33" t="s">
        <v>35</v>
      </c>
      <c r="AQ68" s="33" t="s">
        <v>35</v>
      </c>
      <c r="AR68" s="32" t="s">
        <v>35</v>
      </c>
    </row>
    <row r="69" spans="1:44">
      <c r="A69" s="31" t="s">
        <v>35</v>
      </c>
      <c r="B69" s="75">
        <v>66</v>
      </c>
      <c r="C69" s="47" t="s">
        <v>34</v>
      </c>
      <c r="D69" s="47" t="s">
        <v>121</v>
      </c>
      <c r="E69" s="54" t="s">
        <v>124</v>
      </c>
      <c r="F69" s="33" t="s">
        <v>125</v>
      </c>
      <c r="G69" s="103" t="s">
        <v>166</v>
      </c>
      <c r="H69" s="33" t="s">
        <v>35</v>
      </c>
      <c r="I69" s="33" t="s">
        <v>35</v>
      </c>
      <c r="J69" s="33" t="s">
        <v>35</v>
      </c>
      <c r="K69" s="33" t="s">
        <v>35</v>
      </c>
      <c r="L69" s="59" t="s">
        <v>35</v>
      </c>
      <c r="M69" s="60" t="s">
        <v>35</v>
      </c>
      <c r="N69" s="60" t="s">
        <v>35</v>
      </c>
      <c r="O69" s="58" t="s">
        <v>35</v>
      </c>
      <c r="P69" s="59" t="s">
        <v>35</v>
      </c>
      <c r="Q69" s="60" t="s">
        <v>35</v>
      </c>
      <c r="R69" s="60" t="s">
        <v>35</v>
      </c>
      <c r="S69" s="58" t="s">
        <v>35</v>
      </c>
      <c r="T69" s="59" t="s">
        <v>35</v>
      </c>
      <c r="U69" s="60" t="s">
        <v>35</v>
      </c>
      <c r="V69" s="60" t="s">
        <v>35</v>
      </c>
      <c r="W69" s="58" t="s">
        <v>35</v>
      </c>
      <c r="X69" s="59" t="s">
        <v>35</v>
      </c>
      <c r="Y69" s="60" t="s">
        <v>35</v>
      </c>
      <c r="Z69" s="60" t="s">
        <v>35</v>
      </c>
      <c r="AA69" s="58" t="s">
        <v>35</v>
      </c>
      <c r="AB69" s="59" t="s">
        <v>35</v>
      </c>
      <c r="AC69" s="60" t="s">
        <v>35</v>
      </c>
      <c r="AD69" s="60" t="s">
        <v>35</v>
      </c>
      <c r="AE69" s="58" t="s">
        <v>35</v>
      </c>
      <c r="AF69" s="59" t="s">
        <v>35</v>
      </c>
      <c r="AG69" s="60" t="s">
        <v>35</v>
      </c>
      <c r="AH69" s="60" t="s">
        <v>35</v>
      </c>
      <c r="AI69" s="58" t="s">
        <v>35</v>
      </c>
      <c r="AJ69" s="59" t="s">
        <v>35</v>
      </c>
      <c r="AK69" s="60" t="s">
        <v>35</v>
      </c>
      <c r="AL69" s="58" t="s">
        <v>35</v>
      </c>
      <c r="AM69" s="59" t="s">
        <v>35</v>
      </c>
      <c r="AN69" s="60" t="s">
        <v>35</v>
      </c>
      <c r="AO69" s="58" t="s">
        <v>35</v>
      </c>
      <c r="AP69" s="33" t="s">
        <v>35</v>
      </c>
      <c r="AQ69" s="33" t="s">
        <v>35</v>
      </c>
      <c r="AR69" s="32" t="s">
        <v>35</v>
      </c>
    </row>
    <row r="70" spans="1:44">
      <c r="A70" s="31" t="s">
        <v>35</v>
      </c>
      <c r="B70" s="75">
        <v>67</v>
      </c>
      <c r="C70" s="47" t="s">
        <v>34</v>
      </c>
      <c r="D70" s="47" t="s">
        <v>121</v>
      </c>
      <c r="E70" s="52" t="s">
        <v>124</v>
      </c>
      <c r="F70" s="33" t="s">
        <v>126</v>
      </c>
      <c r="G70" s="38" t="s">
        <v>272</v>
      </c>
      <c r="H70" s="33" t="s">
        <v>35</v>
      </c>
      <c r="I70" s="33" t="s">
        <v>35</v>
      </c>
      <c r="J70" s="33" t="s">
        <v>35</v>
      </c>
      <c r="K70" s="33" t="s">
        <v>35</v>
      </c>
      <c r="L70" s="59" t="s">
        <v>35</v>
      </c>
      <c r="M70" s="60" t="s">
        <v>35</v>
      </c>
      <c r="N70" s="60" t="s">
        <v>35</v>
      </c>
      <c r="O70" s="58" t="s">
        <v>35</v>
      </c>
      <c r="P70" s="59" t="s">
        <v>35</v>
      </c>
      <c r="Q70" s="60" t="s">
        <v>35</v>
      </c>
      <c r="R70" s="60" t="s">
        <v>35</v>
      </c>
      <c r="S70" s="58" t="s">
        <v>35</v>
      </c>
      <c r="T70" s="59" t="s">
        <v>35</v>
      </c>
      <c r="U70" s="60" t="s">
        <v>35</v>
      </c>
      <c r="V70" s="60" t="s">
        <v>35</v>
      </c>
      <c r="W70" s="58" t="s">
        <v>35</v>
      </c>
      <c r="X70" s="59" t="s">
        <v>35</v>
      </c>
      <c r="Y70" s="60" t="s">
        <v>35</v>
      </c>
      <c r="Z70" s="60" t="s">
        <v>35</v>
      </c>
      <c r="AA70" s="58" t="s">
        <v>35</v>
      </c>
      <c r="AB70" s="59" t="s">
        <v>35</v>
      </c>
      <c r="AC70" s="60" t="s">
        <v>35</v>
      </c>
      <c r="AD70" s="60" t="s">
        <v>35</v>
      </c>
      <c r="AE70" s="58" t="s">
        <v>35</v>
      </c>
      <c r="AF70" s="59" t="s">
        <v>35</v>
      </c>
      <c r="AG70" s="60" t="s">
        <v>35</v>
      </c>
      <c r="AH70" s="60" t="s">
        <v>35</v>
      </c>
      <c r="AI70" s="58" t="s">
        <v>35</v>
      </c>
      <c r="AJ70" s="59" t="s">
        <v>35</v>
      </c>
      <c r="AK70" s="60" t="s">
        <v>35</v>
      </c>
      <c r="AL70" s="58" t="s">
        <v>35</v>
      </c>
      <c r="AM70" s="59" t="s">
        <v>35</v>
      </c>
      <c r="AN70" s="60" t="s">
        <v>35</v>
      </c>
      <c r="AO70" s="58" t="s">
        <v>35</v>
      </c>
      <c r="AP70" s="33" t="s">
        <v>35</v>
      </c>
      <c r="AQ70" s="33" t="s">
        <v>35</v>
      </c>
      <c r="AR70" s="32" t="s">
        <v>35</v>
      </c>
    </row>
    <row r="71" spans="1:44">
      <c r="A71" s="31" t="s">
        <v>35</v>
      </c>
      <c r="B71" s="75">
        <v>68</v>
      </c>
      <c r="C71" s="47" t="s">
        <v>34</v>
      </c>
      <c r="D71" s="47" t="s">
        <v>121</v>
      </c>
      <c r="E71" s="50" t="s">
        <v>127</v>
      </c>
      <c r="F71" s="33" t="s">
        <v>127</v>
      </c>
      <c r="G71" s="103" t="s">
        <v>166</v>
      </c>
      <c r="H71" s="33" t="s">
        <v>35</v>
      </c>
      <c r="I71" s="33" t="s">
        <v>35</v>
      </c>
      <c r="J71" s="33" t="s">
        <v>35</v>
      </c>
      <c r="K71" s="33" t="s">
        <v>35</v>
      </c>
      <c r="L71" s="59" t="s">
        <v>35</v>
      </c>
      <c r="M71" s="60" t="s">
        <v>35</v>
      </c>
      <c r="N71" s="60" t="s">
        <v>35</v>
      </c>
      <c r="O71" s="58" t="s">
        <v>35</v>
      </c>
      <c r="P71" s="59" t="s">
        <v>35</v>
      </c>
      <c r="Q71" s="60" t="s">
        <v>35</v>
      </c>
      <c r="R71" s="60" t="s">
        <v>35</v>
      </c>
      <c r="S71" s="58" t="s">
        <v>35</v>
      </c>
      <c r="T71" s="59" t="s">
        <v>35</v>
      </c>
      <c r="U71" s="60" t="s">
        <v>35</v>
      </c>
      <c r="V71" s="60" t="s">
        <v>35</v>
      </c>
      <c r="W71" s="58" t="s">
        <v>35</v>
      </c>
      <c r="X71" s="59" t="s">
        <v>35</v>
      </c>
      <c r="Y71" s="60" t="s">
        <v>35</v>
      </c>
      <c r="Z71" s="60" t="s">
        <v>35</v>
      </c>
      <c r="AA71" s="58" t="s">
        <v>35</v>
      </c>
      <c r="AB71" s="59" t="s">
        <v>35</v>
      </c>
      <c r="AC71" s="60" t="s">
        <v>35</v>
      </c>
      <c r="AD71" s="60" t="s">
        <v>35</v>
      </c>
      <c r="AE71" s="58" t="s">
        <v>35</v>
      </c>
      <c r="AF71" s="59" t="s">
        <v>35</v>
      </c>
      <c r="AG71" s="60" t="s">
        <v>35</v>
      </c>
      <c r="AH71" s="60" t="s">
        <v>35</v>
      </c>
      <c r="AI71" s="58" t="s">
        <v>35</v>
      </c>
      <c r="AJ71" s="59" t="s">
        <v>35</v>
      </c>
      <c r="AK71" s="60" t="s">
        <v>35</v>
      </c>
      <c r="AL71" s="58" t="s">
        <v>35</v>
      </c>
      <c r="AM71" s="59" t="s">
        <v>35</v>
      </c>
      <c r="AN71" s="60" t="s">
        <v>35</v>
      </c>
      <c r="AO71" s="58" t="s">
        <v>35</v>
      </c>
      <c r="AP71" s="33" t="s">
        <v>35</v>
      </c>
      <c r="AQ71" s="33" t="s">
        <v>35</v>
      </c>
      <c r="AR71" s="32" t="s">
        <v>35</v>
      </c>
    </row>
    <row r="72" spans="1:44">
      <c r="A72" s="31" t="s">
        <v>35</v>
      </c>
      <c r="B72" s="75">
        <v>69</v>
      </c>
      <c r="C72" s="47" t="s">
        <v>34</v>
      </c>
      <c r="D72" s="47" t="s">
        <v>121</v>
      </c>
      <c r="E72" s="50" t="s">
        <v>128</v>
      </c>
      <c r="F72" s="33" t="s">
        <v>128</v>
      </c>
      <c r="G72" s="103" t="s">
        <v>166</v>
      </c>
      <c r="H72" s="33" t="s">
        <v>35</v>
      </c>
      <c r="I72" s="33" t="s">
        <v>35</v>
      </c>
      <c r="J72" s="33" t="s">
        <v>35</v>
      </c>
      <c r="K72" s="33" t="s">
        <v>35</v>
      </c>
      <c r="L72" s="59" t="s">
        <v>35</v>
      </c>
      <c r="M72" s="60" t="s">
        <v>35</v>
      </c>
      <c r="N72" s="60" t="s">
        <v>35</v>
      </c>
      <c r="O72" s="58" t="s">
        <v>35</v>
      </c>
      <c r="P72" s="59" t="s">
        <v>35</v>
      </c>
      <c r="Q72" s="60" t="s">
        <v>35</v>
      </c>
      <c r="R72" s="60" t="s">
        <v>35</v>
      </c>
      <c r="S72" s="58" t="s">
        <v>35</v>
      </c>
      <c r="T72" s="59" t="s">
        <v>35</v>
      </c>
      <c r="U72" s="60" t="s">
        <v>35</v>
      </c>
      <c r="V72" s="60" t="s">
        <v>35</v>
      </c>
      <c r="W72" s="58" t="s">
        <v>35</v>
      </c>
      <c r="X72" s="59" t="s">
        <v>35</v>
      </c>
      <c r="Y72" s="60" t="s">
        <v>35</v>
      </c>
      <c r="Z72" s="60" t="s">
        <v>35</v>
      </c>
      <c r="AA72" s="58" t="s">
        <v>35</v>
      </c>
      <c r="AB72" s="59" t="s">
        <v>35</v>
      </c>
      <c r="AC72" s="60" t="s">
        <v>35</v>
      </c>
      <c r="AD72" s="60" t="s">
        <v>35</v>
      </c>
      <c r="AE72" s="58" t="s">
        <v>35</v>
      </c>
      <c r="AF72" s="59" t="s">
        <v>35</v>
      </c>
      <c r="AG72" s="60" t="s">
        <v>35</v>
      </c>
      <c r="AH72" s="60" t="s">
        <v>35</v>
      </c>
      <c r="AI72" s="58" t="s">
        <v>35</v>
      </c>
      <c r="AJ72" s="59" t="s">
        <v>35</v>
      </c>
      <c r="AK72" s="60" t="s">
        <v>35</v>
      </c>
      <c r="AL72" s="58" t="s">
        <v>35</v>
      </c>
      <c r="AM72" s="59" t="s">
        <v>35</v>
      </c>
      <c r="AN72" s="60" t="s">
        <v>35</v>
      </c>
      <c r="AO72" s="58" t="s">
        <v>35</v>
      </c>
      <c r="AP72" s="33" t="s">
        <v>35</v>
      </c>
      <c r="AQ72" s="33" t="s">
        <v>35</v>
      </c>
      <c r="AR72" s="32" t="s">
        <v>35</v>
      </c>
    </row>
    <row r="73" spans="1:44">
      <c r="A73" s="31" t="s">
        <v>35</v>
      </c>
      <c r="B73" s="75">
        <v>70</v>
      </c>
      <c r="C73" s="47" t="s">
        <v>34</v>
      </c>
      <c r="D73" s="47" t="s">
        <v>121</v>
      </c>
      <c r="E73" s="50" t="s">
        <v>129</v>
      </c>
      <c r="F73" s="33" t="s">
        <v>130</v>
      </c>
      <c r="G73" s="103" t="s">
        <v>166</v>
      </c>
      <c r="H73" s="33" t="s">
        <v>35</v>
      </c>
      <c r="I73" s="33" t="s">
        <v>35</v>
      </c>
      <c r="J73" s="33" t="s">
        <v>35</v>
      </c>
      <c r="K73" s="33" t="s">
        <v>35</v>
      </c>
      <c r="L73" s="59" t="s">
        <v>35</v>
      </c>
      <c r="M73" s="60" t="s">
        <v>35</v>
      </c>
      <c r="N73" s="60" t="s">
        <v>35</v>
      </c>
      <c r="O73" s="58" t="s">
        <v>35</v>
      </c>
      <c r="P73" s="59" t="s">
        <v>35</v>
      </c>
      <c r="Q73" s="60" t="s">
        <v>35</v>
      </c>
      <c r="R73" s="60" t="s">
        <v>35</v>
      </c>
      <c r="S73" s="58" t="s">
        <v>35</v>
      </c>
      <c r="T73" s="59" t="s">
        <v>35</v>
      </c>
      <c r="U73" s="60" t="s">
        <v>35</v>
      </c>
      <c r="V73" s="60" t="s">
        <v>35</v>
      </c>
      <c r="W73" s="58" t="s">
        <v>35</v>
      </c>
      <c r="X73" s="59" t="s">
        <v>35</v>
      </c>
      <c r="Y73" s="60" t="s">
        <v>35</v>
      </c>
      <c r="Z73" s="60" t="s">
        <v>35</v>
      </c>
      <c r="AA73" s="58" t="s">
        <v>35</v>
      </c>
      <c r="AB73" s="59" t="s">
        <v>35</v>
      </c>
      <c r="AC73" s="60" t="s">
        <v>35</v>
      </c>
      <c r="AD73" s="60" t="s">
        <v>35</v>
      </c>
      <c r="AE73" s="58" t="s">
        <v>35</v>
      </c>
      <c r="AF73" s="59" t="s">
        <v>35</v>
      </c>
      <c r="AG73" s="60" t="s">
        <v>35</v>
      </c>
      <c r="AH73" s="60" t="s">
        <v>35</v>
      </c>
      <c r="AI73" s="58" t="s">
        <v>35</v>
      </c>
      <c r="AJ73" s="59" t="s">
        <v>35</v>
      </c>
      <c r="AK73" s="60" t="s">
        <v>35</v>
      </c>
      <c r="AL73" s="58" t="s">
        <v>35</v>
      </c>
      <c r="AM73" s="59" t="s">
        <v>35</v>
      </c>
      <c r="AN73" s="60" t="s">
        <v>35</v>
      </c>
      <c r="AO73" s="58" t="s">
        <v>35</v>
      </c>
      <c r="AP73" s="33" t="s">
        <v>35</v>
      </c>
      <c r="AQ73" s="33" t="s">
        <v>35</v>
      </c>
      <c r="AR73" s="32" t="s">
        <v>35</v>
      </c>
    </row>
    <row r="74" spans="1:44">
      <c r="A74" s="31" t="s">
        <v>35</v>
      </c>
      <c r="B74" s="75">
        <v>71</v>
      </c>
      <c r="C74" s="47" t="s">
        <v>34</v>
      </c>
      <c r="D74" s="47" t="s">
        <v>121</v>
      </c>
      <c r="E74" s="54" t="s">
        <v>131</v>
      </c>
      <c r="F74" s="33" t="s">
        <v>131</v>
      </c>
      <c r="G74" s="103" t="s">
        <v>166</v>
      </c>
      <c r="H74" s="33" t="s">
        <v>35</v>
      </c>
      <c r="I74" s="33" t="s">
        <v>35</v>
      </c>
      <c r="J74" s="33" t="s">
        <v>35</v>
      </c>
      <c r="K74" s="33" t="s">
        <v>35</v>
      </c>
      <c r="L74" s="59" t="s">
        <v>35</v>
      </c>
      <c r="M74" s="60" t="s">
        <v>35</v>
      </c>
      <c r="N74" s="60" t="s">
        <v>35</v>
      </c>
      <c r="O74" s="58" t="s">
        <v>35</v>
      </c>
      <c r="P74" s="59" t="s">
        <v>35</v>
      </c>
      <c r="Q74" s="60" t="s">
        <v>35</v>
      </c>
      <c r="R74" s="60" t="s">
        <v>35</v>
      </c>
      <c r="S74" s="58" t="s">
        <v>35</v>
      </c>
      <c r="T74" s="59" t="s">
        <v>35</v>
      </c>
      <c r="U74" s="60" t="s">
        <v>35</v>
      </c>
      <c r="V74" s="60" t="s">
        <v>35</v>
      </c>
      <c r="W74" s="58" t="s">
        <v>35</v>
      </c>
      <c r="X74" s="59" t="s">
        <v>35</v>
      </c>
      <c r="Y74" s="60" t="s">
        <v>35</v>
      </c>
      <c r="Z74" s="60" t="s">
        <v>35</v>
      </c>
      <c r="AA74" s="58" t="s">
        <v>35</v>
      </c>
      <c r="AB74" s="59" t="s">
        <v>35</v>
      </c>
      <c r="AC74" s="60" t="s">
        <v>35</v>
      </c>
      <c r="AD74" s="60" t="s">
        <v>35</v>
      </c>
      <c r="AE74" s="58" t="s">
        <v>35</v>
      </c>
      <c r="AF74" s="59" t="s">
        <v>35</v>
      </c>
      <c r="AG74" s="60" t="s">
        <v>35</v>
      </c>
      <c r="AH74" s="60" t="s">
        <v>35</v>
      </c>
      <c r="AI74" s="58" t="s">
        <v>35</v>
      </c>
      <c r="AJ74" s="59" t="s">
        <v>35</v>
      </c>
      <c r="AK74" s="60" t="s">
        <v>35</v>
      </c>
      <c r="AL74" s="58" t="s">
        <v>35</v>
      </c>
      <c r="AM74" s="59" t="s">
        <v>35</v>
      </c>
      <c r="AN74" s="60" t="s">
        <v>35</v>
      </c>
      <c r="AO74" s="58" t="s">
        <v>35</v>
      </c>
      <c r="AP74" s="33" t="s">
        <v>35</v>
      </c>
      <c r="AQ74" s="33" t="s">
        <v>35</v>
      </c>
      <c r="AR74" s="32" t="s">
        <v>35</v>
      </c>
    </row>
    <row r="75" spans="1:44">
      <c r="A75" s="31" t="s">
        <v>35</v>
      </c>
      <c r="B75" s="75">
        <v>72</v>
      </c>
      <c r="C75" s="47" t="s">
        <v>34</v>
      </c>
      <c r="D75" s="53" t="s">
        <v>121</v>
      </c>
      <c r="E75" s="52" t="s">
        <v>131</v>
      </c>
      <c r="F75" s="33" t="s">
        <v>132</v>
      </c>
      <c r="G75" s="103" t="s">
        <v>272</v>
      </c>
      <c r="H75" s="33" t="s">
        <v>35</v>
      </c>
      <c r="I75" s="33" t="s">
        <v>35</v>
      </c>
      <c r="J75" s="33" t="s">
        <v>35</v>
      </c>
      <c r="K75" s="33" t="s">
        <v>35</v>
      </c>
      <c r="L75" s="59" t="s">
        <v>35</v>
      </c>
      <c r="M75" s="60" t="s">
        <v>35</v>
      </c>
      <c r="N75" s="60" t="s">
        <v>35</v>
      </c>
      <c r="O75" s="58" t="s">
        <v>35</v>
      </c>
      <c r="P75" s="59" t="s">
        <v>35</v>
      </c>
      <c r="Q75" s="60" t="s">
        <v>35</v>
      </c>
      <c r="R75" s="60" t="s">
        <v>35</v>
      </c>
      <c r="S75" s="58" t="s">
        <v>35</v>
      </c>
      <c r="T75" s="59" t="s">
        <v>35</v>
      </c>
      <c r="U75" s="60" t="s">
        <v>35</v>
      </c>
      <c r="V75" s="60" t="s">
        <v>35</v>
      </c>
      <c r="W75" s="58" t="s">
        <v>35</v>
      </c>
      <c r="X75" s="59" t="s">
        <v>35</v>
      </c>
      <c r="Y75" s="60" t="s">
        <v>35</v>
      </c>
      <c r="Z75" s="60" t="s">
        <v>35</v>
      </c>
      <c r="AA75" s="58" t="s">
        <v>35</v>
      </c>
      <c r="AB75" s="59" t="s">
        <v>35</v>
      </c>
      <c r="AC75" s="60" t="s">
        <v>35</v>
      </c>
      <c r="AD75" s="60" t="s">
        <v>35</v>
      </c>
      <c r="AE75" s="58" t="s">
        <v>35</v>
      </c>
      <c r="AF75" s="59" t="s">
        <v>35</v>
      </c>
      <c r="AG75" s="60" t="s">
        <v>35</v>
      </c>
      <c r="AH75" s="60" t="s">
        <v>35</v>
      </c>
      <c r="AI75" s="58" t="s">
        <v>35</v>
      </c>
      <c r="AJ75" s="59" t="s">
        <v>35</v>
      </c>
      <c r="AK75" s="60" t="s">
        <v>35</v>
      </c>
      <c r="AL75" s="58" t="s">
        <v>35</v>
      </c>
      <c r="AM75" s="59" t="s">
        <v>35</v>
      </c>
      <c r="AN75" s="60" t="s">
        <v>35</v>
      </c>
      <c r="AO75" s="58" t="s">
        <v>35</v>
      </c>
      <c r="AP75" s="33" t="s">
        <v>35</v>
      </c>
      <c r="AQ75" s="33" t="s">
        <v>35</v>
      </c>
      <c r="AR75" s="32" t="s">
        <v>35</v>
      </c>
    </row>
    <row r="76" spans="1:44">
      <c r="A76" s="31" t="s">
        <v>35</v>
      </c>
      <c r="B76" s="75">
        <v>73</v>
      </c>
      <c r="C76" s="47" t="s">
        <v>34</v>
      </c>
      <c r="D76" s="51" t="s">
        <v>133</v>
      </c>
      <c r="E76" s="54" t="s">
        <v>134</v>
      </c>
      <c r="F76" s="33" t="s">
        <v>135</v>
      </c>
      <c r="G76" s="103" t="s">
        <v>166</v>
      </c>
      <c r="H76" s="33" t="s">
        <v>35</v>
      </c>
      <c r="I76" s="33" t="s">
        <v>35</v>
      </c>
      <c r="J76" s="33" t="s">
        <v>35</v>
      </c>
      <c r="K76" s="33" t="s">
        <v>35</v>
      </c>
      <c r="L76" s="59" t="s">
        <v>35</v>
      </c>
      <c r="M76" s="60" t="s">
        <v>35</v>
      </c>
      <c r="N76" s="60" t="s">
        <v>35</v>
      </c>
      <c r="O76" s="58" t="s">
        <v>35</v>
      </c>
      <c r="P76" s="59" t="s">
        <v>35</v>
      </c>
      <c r="Q76" s="60" t="s">
        <v>35</v>
      </c>
      <c r="R76" s="60" t="s">
        <v>35</v>
      </c>
      <c r="S76" s="58" t="s">
        <v>35</v>
      </c>
      <c r="T76" s="59" t="s">
        <v>35</v>
      </c>
      <c r="U76" s="60" t="s">
        <v>35</v>
      </c>
      <c r="V76" s="60" t="s">
        <v>35</v>
      </c>
      <c r="W76" s="58" t="s">
        <v>35</v>
      </c>
      <c r="X76" s="59" t="s">
        <v>35</v>
      </c>
      <c r="Y76" s="60" t="s">
        <v>35</v>
      </c>
      <c r="Z76" s="60" t="s">
        <v>35</v>
      </c>
      <c r="AA76" s="58" t="s">
        <v>35</v>
      </c>
      <c r="AB76" s="59" t="s">
        <v>35</v>
      </c>
      <c r="AC76" s="60" t="s">
        <v>35</v>
      </c>
      <c r="AD76" s="60" t="s">
        <v>35</v>
      </c>
      <c r="AE76" s="58" t="s">
        <v>35</v>
      </c>
      <c r="AF76" s="59" t="s">
        <v>35</v>
      </c>
      <c r="AG76" s="60" t="s">
        <v>35</v>
      </c>
      <c r="AH76" s="60" t="s">
        <v>35</v>
      </c>
      <c r="AI76" s="58" t="s">
        <v>35</v>
      </c>
      <c r="AJ76" s="59" t="s">
        <v>35</v>
      </c>
      <c r="AK76" s="60" t="s">
        <v>35</v>
      </c>
      <c r="AL76" s="58" t="s">
        <v>35</v>
      </c>
      <c r="AM76" s="59" t="s">
        <v>35</v>
      </c>
      <c r="AN76" s="60" t="s">
        <v>35</v>
      </c>
      <c r="AO76" s="58" t="s">
        <v>35</v>
      </c>
      <c r="AP76" s="33" t="s">
        <v>35</v>
      </c>
      <c r="AQ76" s="33" t="s">
        <v>35</v>
      </c>
      <c r="AR76" s="32" t="s">
        <v>35</v>
      </c>
    </row>
    <row r="77" spans="1:44">
      <c r="A77" s="31" t="s">
        <v>35</v>
      </c>
      <c r="B77" s="75">
        <v>74</v>
      </c>
      <c r="C77" s="47" t="s">
        <v>34</v>
      </c>
      <c r="D77" s="47" t="s">
        <v>133</v>
      </c>
      <c r="E77" s="45" t="s">
        <v>134</v>
      </c>
      <c r="F77" s="33" t="s">
        <v>136</v>
      </c>
      <c r="G77" s="103" t="s">
        <v>166</v>
      </c>
      <c r="H77" s="33" t="s">
        <v>35</v>
      </c>
      <c r="I77" s="33" t="s">
        <v>35</v>
      </c>
      <c r="J77" s="33" t="s">
        <v>35</v>
      </c>
      <c r="K77" s="33" t="s">
        <v>35</v>
      </c>
      <c r="L77" s="59" t="s">
        <v>35</v>
      </c>
      <c r="M77" s="60" t="s">
        <v>35</v>
      </c>
      <c r="N77" s="60" t="s">
        <v>35</v>
      </c>
      <c r="O77" s="58" t="s">
        <v>35</v>
      </c>
      <c r="P77" s="59" t="s">
        <v>35</v>
      </c>
      <c r="Q77" s="60" t="s">
        <v>35</v>
      </c>
      <c r="R77" s="60" t="s">
        <v>35</v>
      </c>
      <c r="S77" s="58" t="s">
        <v>35</v>
      </c>
      <c r="T77" s="59" t="s">
        <v>35</v>
      </c>
      <c r="U77" s="60" t="s">
        <v>35</v>
      </c>
      <c r="V77" s="60" t="s">
        <v>35</v>
      </c>
      <c r="W77" s="58" t="s">
        <v>35</v>
      </c>
      <c r="X77" s="59" t="s">
        <v>35</v>
      </c>
      <c r="Y77" s="60" t="s">
        <v>35</v>
      </c>
      <c r="Z77" s="60" t="s">
        <v>35</v>
      </c>
      <c r="AA77" s="58" t="s">
        <v>35</v>
      </c>
      <c r="AB77" s="59" t="s">
        <v>35</v>
      </c>
      <c r="AC77" s="60" t="s">
        <v>35</v>
      </c>
      <c r="AD77" s="60" t="s">
        <v>35</v>
      </c>
      <c r="AE77" s="58" t="s">
        <v>35</v>
      </c>
      <c r="AF77" s="59" t="s">
        <v>35</v>
      </c>
      <c r="AG77" s="60" t="s">
        <v>35</v>
      </c>
      <c r="AH77" s="60" t="s">
        <v>35</v>
      </c>
      <c r="AI77" s="58" t="s">
        <v>35</v>
      </c>
      <c r="AJ77" s="59" t="s">
        <v>35</v>
      </c>
      <c r="AK77" s="60" t="s">
        <v>35</v>
      </c>
      <c r="AL77" s="58" t="s">
        <v>35</v>
      </c>
      <c r="AM77" s="59" t="s">
        <v>35</v>
      </c>
      <c r="AN77" s="60" t="s">
        <v>35</v>
      </c>
      <c r="AO77" s="58" t="s">
        <v>35</v>
      </c>
      <c r="AP77" s="33" t="s">
        <v>35</v>
      </c>
      <c r="AQ77" s="33" t="s">
        <v>35</v>
      </c>
      <c r="AR77" s="32" t="s">
        <v>35</v>
      </c>
    </row>
    <row r="78" spans="1:44">
      <c r="A78" s="31" t="s">
        <v>35</v>
      </c>
      <c r="B78" s="75">
        <v>75</v>
      </c>
      <c r="C78" s="47" t="s">
        <v>34</v>
      </c>
      <c r="D78" s="47" t="s">
        <v>133</v>
      </c>
      <c r="E78" s="45" t="s">
        <v>134</v>
      </c>
      <c r="F78" s="33" t="s">
        <v>137</v>
      </c>
      <c r="G78" s="103" t="s">
        <v>166</v>
      </c>
      <c r="H78" s="33" t="s">
        <v>35</v>
      </c>
      <c r="I78" s="33" t="s">
        <v>35</v>
      </c>
      <c r="J78" s="33" t="s">
        <v>35</v>
      </c>
      <c r="K78" s="33" t="s">
        <v>35</v>
      </c>
      <c r="L78" s="59" t="s">
        <v>35</v>
      </c>
      <c r="M78" s="60" t="s">
        <v>35</v>
      </c>
      <c r="N78" s="60" t="s">
        <v>35</v>
      </c>
      <c r="O78" s="58" t="s">
        <v>35</v>
      </c>
      <c r="P78" s="59" t="s">
        <v>35</v>
      </c>
      <c r="Q78" s="60" t="s">
        <v>35</v>
      </c>
      <c r="R78" s="60" t="s">
        <v>35</v>
      </c>
      <c r="S78" s="58" t="s">
        <v>35</v>
      </c>
      <c r="T78" s="59" t="s">
        <v>35</v>
      </c>
      <c r="U78" s="60" t="s">
        <v>35</v>
      </c>
      <c r="V78" s="60" t="s">
        <v>35</v>
      </c>
      <c r="W78" s="58" t="s">
        <v>35</v>
      </c>
      <c r="X78" s="59" t="s">
        <v>35</v>
      </c>
      <c r="Y78" s="60" t="s">
        <v>35</v>
      </c>
      <c r="Z78" s="60" t="s">
        <v>35</v>
      </c>
      <c r="AA78" s="58" t="s">
        <v>35</v>
      </c>
      <c r="AB78" s="59" t="s">
        <v>35</v>
      </c>
      <c r="AC78" s="60" t="s">
        <v>35</v>
      </c>
      <c r="AD78" s="60" t="s">
        <v>35</v>
      </c>
      <c r="AE78" s="58" t="s">
        <v>35</v>
      </c>
      <c r="AF78" s="59" t="s">
        <v>35</v>
      </c>
      <c r="AG78" s="60" t="s">
        <v>35</v>
      </c>
      <c r="AH78" s="60" t="s">
        <v>35</v>
      </c>
      <c r="AI78" s="58" t="s">
        <v>35</v>
      </c>
      <c r="AJ78" s="59" t="s">
        <v>35</v>
      </c>
      <c r="AK78" s="60" t="s">
        <v>35</v>
      </c>
      <c r="AL78" s="58" t="s">
        <v>35</v>
      </c>
      <c r="AM78" s="59" t="s">
        <v>35</v>
      </c>
      <c r="AN78" s="60" t="s">
        <v>35</v>
      </c>
      <c r="AO78" s="58" t="s">
        <v>35</v>
      </c>
      <c r="AP78" s="33" t="s">
        <v>35</v>
      </c>
      <c r="AQ78" s="33" t="s">
        <v>35</v>
      </c>
      <c r="AR78" s="32" t="s">
        <v>35</v>
      </c>
    </row>
    <row r="79" spans="1:44">
      <c r="A79" s="31" t="s">
        <v>35</v>
      </c>
      <c r="B79" s="75">
        <v>76</v>
      </c>
      <c r="C79" s="47" t="s">
        <v>34</v>
      </c>
      <c r="D79" s="47" t="s">
        <v>133</v>
      </c>
      <c r="E79" s="45" t="s">
        <v>134</v>
      </c>
      <c r="F79" s="33" t="s">
        <v>138</v>
      </c>
      <c r="G79" s="103" t="s">
        <v>166</v>
      </c>
      <c r="H79" s="33" t="s">
        <v>35</v>
      </c>
      <c r="I79" s="33" t="s">
        <v>35</v>
      </c>
      <c r="J79" s="33" t="s">
        <v>35</v>
      </c>
      <c r="K79" s="33" t="s">
        <v>35</v>
      </c>
      <c r="L79" s="59" t="s">
        <v>35</v>
      </c>
      <c r="M79" s="60" t="s">
        <v>35</v>
      </c>
      <c r="N79" s="60" t="s">
        <v>35</v>
      </c>
      <c r="O79" s="58" t="s">
        <v>35</v>
      </c>
      <c r="P79" s="59" t="s">
        <v>35</v>
      </c>
      <c r="Q79" s="60" t="s">
        <v>35</v>
      </c>
      <c r="R79" s="60" t="s">
        <v>35</v>
      </c>
      <c r="S79" s="58" t="s">
        <v>35</v>
      </c>
      <c r="T79" s="59" t="s">
        <v>35</v>
      </c>
      <c r="U79" s="60" t="s">
        <v>35</v>
      </c>
      <c r="V79" s="60" t="s">
        <v>35</v>
      </c>
      <c r="W79" s="58" t="s">
        <v>35</v>
      </c>
      <c r="X79" s="59" t="s">
        <v>35</v>
      </c>
      <c r="Y79" s="60" t="s">
        <v>35</v>
      </c>
      <c r="Z79" s="60" t="s">
        <v>35</v>
      </c>
      <c r="AA79" s="58" t="s">
        <v>35</v>
      </c>
      <c r="AB79" s="59" t="s">
        <v>35</v>
      </c>
      <c r="AC79" s="60" t="s">
        <v>35</v>
      </c>
      <c r="AD79" s="60" t="s">
        <v>35</v>
      </c>
      <c r="AE79" s="58" t="s">
        <v>35</v>
      </c>
      <c r="AF79" s="59" t="s">
        <v>35</v>
      </c>
      <c r="AG79" s="60" t="s">
        <v>35</v>
      </c>
      <c r="AH79" s="60" t="s">
        <v>35</v>
      </c>
      <c r="AI79" s="58" t="s">
        <v>35</v>
      </c>
      <c r="AJ79" s="59" t="s">
        <v>35</v>
      </c>
      <c r="AK79" s="60" t="s">
        <v>35</v>
      </c>
      <c r="AL79" s="58" t="s">
        <v>35</v>
      </c>
      <c r="AM79" s="59" t="s">
        <v>35</v>
      </c>
      <c r="AN79" s="60" t="s">
        <v>35</v>
      </c>
      <c r="AO79" s="58" t="s">
        <v>35</v>
      </c>
      <c r="AP79" s="33" t="s">
        <v>35</v>
      </c>
      <c r="AQ79" s="33" t="s">
        <v>35</v>
      </c>
      <c r="AR79" s="32" t="s">
        <v>35</v>
      </c>
    </row>
    <row r="80" spans="1:44">
      <c r="A80" s="31" t="s">
        <v>35</v>
      </c>
      <c r="B80" s="75">
        <v>77</v>
      </c>
      <c r="C80" s="47" t="s">
        <v>34</v>
      </c>
      <c r="D80" s="53" t="s">
        <v>133</v>
      </c>
      <c r="E80" s="52" t="s">
        <v>134</v>
      </c>
      <c r="F80" s="33" t="s">
        <v>139</v>
      </c>
      <c r="G80" s="103" t="s">
        <v>166</v>
      </c>
      <c r="H80" s="33" t="s">
        <v>35</v>
      </c>
      <c r="I80" s="33" t="s">
        <v>35</v>
      </c>
      <c r="J80" s="33" t="s">
        <v>35</v>
      </c>
      <c r="K80" s="33" t="s">
        <v>35</v>
      </c>
      <c r="L80" s="59" t="s">
        <v>35</v>
      </c>
      <c r="M80" s="60" t="s">
        <v>35</v>
      </c>
      <c r="N80" s="60" t="s">
        <v>35</v>
      </c>
      <c r="O80" s="58" t="s">
        <v>35</v>
      </c>
      <c r="P80" s="59" t="s">
        <v>35</v>
      </c>
      <c r="Q80" s="60" t="s">
        <v>35</v>
      </c>
      <c r="R80" s="60" t="s">
        <v>35</v>
      </c>
      <c r="S80" s="58" t="s">
        <v>35</v>
      </c>
      <c r="T80" s="59" t="s">
        <v>35</v>
      </c>
      <c r="U80" s="60" t="s">
        <v>35</v>
      </c>
      <c r="V80" s="60" t="s">
        <v>35</v>
      </c>
      <c r="W80" s="58" t="s">
        <v>35</v>
      </c>
      <c r="X80" s="59" t="s">
        <v>35</v>
      </c>
      <c r="Y80" s="60" t="s">
        <v>35</v>
      </c>
      <c r="Z80" s="60" t="s">
        <v>35</v>
      </c>
      <c r="AA80" s="58" t="s">
        <v>35</v>
      </c>
      <c r="AB80" s="59" t="s">
        <v>35</v>
      </c>
      <c r="AC80" s="60" t="s">
        <v>35</v>
      </c>
      <c r="AD80" s="60" t="s">
        <v>35</v>
      </c>
      <c r="AE80" s="58" t="s">
        <v>35</v>
      </c>
      <c r="AF80" s="59" t="s">
        <v>35</v>
      </c>
      <c r="AG80" s="60" t="s">
        <v>35</v>
      </c>
      <c r="AH80" s="60" t="s">
        <v>35</v>
      </c>
      <c r="AI80" s="58" t="s">
        <v>35</v>
      </c>
      <c r="AJ80" s="59" t="s">
        <v>35</v>
      </c>
      <c r="AK80" s="60" t="s">
        <v>35</v>
      </c>
      <c r="AL80" s="58" t="s">
        <v>35</v>
      </c>
      <c r="AM80" s="59" t="s">
        <v>35</v>
      </c>
      <c r="AN80" s="60" t="s">
        <v>35</v>
      </c>
      <c r="AO80" s="58" t="s">
        <v>35</v>
      </c>
      <c r="AP80" s="33" t="s">
        <v>35</v>
      </c>
      <c r="AQ80" s="33" t="s">
        <v>35</v>
      </c>
      <c r="AR80" s="32" t="s">
        <v>35</v>
      </c>
    </row>
    <row r="81" spans="1:44">
      <c r="A81" s="31" t="s">
        <v>35</v>
      </c>
      <c r="B81" s="75">
        <v>78</v>
      </c>
      <c r="C81" s="47" t="s">
        <v>34</v>
      </c>
      <c r="D81" s="51" t="s">
        <v>140</v>
      </c>
      <c r="E81" s="50" t="s">
        <v>141</v>
      </c>
      <c r="F81" s="33" t="s">
        <v>141</v>
      </c>
      <c r="G81" s="103" t="s">
        <v>166</v>
      </c>
      <c r="H81" s="33" t="s">
        <v>35</v>
      </c>
      <c r="I81" s="33" t="s">
        <v>35</v>
      </c>
      <c r="J81" s="33" t="s">
        <v>35</v>
      </c>
      <c r="K81" s="33" t="s">
        <v>35</v>
      </c>
      <c r="L81" s="59" t="s">
        <v>35</v>
      </c>
      <c r="M81" s="60" t="s">
        <v>35</v>
      </c>
      <c r="N81" s="60" t="s">
        <v>35</v>
      </c>
      <c r="O81" s="58" t="s">
        <v>35</v>
      </c>
      <c r="P81" s="59" t="s">
        <v>35</v>
      </c>
      <c r="Q81" s="60" t="s">
        <v>35</v>
      </c>
      <c r="R81" s="60" t="s">
        <v>35</v>
      </c>
      <c r="S81" s="58" t="s">
        <v>35</v>
      </c>
      <c r="T81" s="59" t="s">
        <v>35</v>
      </c>
      <c r="U81" s="60" t="s">
        <v>35</v>
      </c>
      <c r="V81" s="60" t="s">
        <v>35</v>
      </c>
      <c r="W81" s="58" t="s">
        <v>35</v>
      </c>
      <c r="X81" s="59" t="s">
        <v>35</v>
      </c>
      <c r="Y81" s="60" t="s">
        <v>35</v>
      </c>
      <c r="Z81" s="60" t="s">
        <v>35</v>
      </c>
      <c r="AA81" s="58" t="s">
        <v>35</v>
      </c>
      <c r="AB81" s="59" t="s">
        <v>35</v>
      </c>
      <c r="AC81" s="60" t="s">
        <v>35</v>
      </c>
      <c r="AD81" s="60" t="s">
        <v>35</v>
      </c>
      <c r="AE81" s="58" t="s">
        <v>35</v>
      </c>
      <c r="AF81" s="59" t="s">
        <v>35</v>
      </c>
      <c r="AG81" s="60" t="s">
        <v>35</v>
      </c>
      <c r="AH81" s="60" t="s">
        <v>35</v>
      </c>
      <c r="AI81" s="58" t="s">
        <v>35</v>
      </c>
      <c r="AJ81" s="59" t="s">
        <v>35</v>
      </c>
      <c r="AK81" s="60" t="s">
        <v>35</v>
      </c>
      <c r="AL81" s="58" t="s">
        <v>35</v>
      </c>
      <c r="AM81" s="59" t="s">
        <v>35</v>
      </c>
      <c r="AN81" s="60" t="s">
        <v>35</v>
      </c>
      <c r="AO81" s="58" t="s">
        <v>35</v>
      </c>
      <c r="AP81" s="33" t="s">
        <v>35</v>
      </c>
      <c r="AQ81" s="33" t="s">
        <v>35</v>
      </c>
      <c r="AR81" s="32" t="s">
        <v>35</v>
      </c>
    </row>
    <row r="82" spans="1:44">
      <c r="A82" s="31" t="s">
        <v>35</v>
      </c>
      <c r="B82" s="75">
        <v>79</v>
      </c>
      <c r="C82" s="47" t="s">
        <v>34</v>
      </c>
      <c r="D82" s="47" t="s">
        <v>140</v>
      </c>
      <c r="E82" s="50" t="s">
        <v>142</v>
      </c>
      <c r="F82" s="33" t="s">
        <v>142</v>
      </c>
      <c r="G82" s="103" t="s">
        <v>166</v>
      </c>
      <c r="H82" s="33" t="s">
        <v>35</v>
      </c>
      <c r="I82" s="33" t="s">
        <v>35</v>
      </c>
      <c r="J82" s="33" t="s">
        <v>35</v>
      </c>
      <c r="K82" s="33" t="s">
        <v>35</v>
      </c>
      <c r="L82" s="59" t="s">
        <v>35</v>
      </c>
      <c r="M82" s="60" t="s">
        <v>35</v>
      </c>
      <c r="N82" s="60" t="s">
        <v>35</v>
      </c>
      <c r="O82" s="58" t="s">
        <v>35</v>
      </c>
      <c r="P82" s="59" t="s">
        <v>35</v>
      </c>
      <c r="Q82" s="60" t="s">
        <v>35</v>
      </c>
      <c r="R82" s="60" t="s">
        <v>35</v>
      </c>
      <c r="S82" s="58" t="s">
        <v>35</v>
      </c>
      <c r="T82" s="59" t="s">
        <v>35</v>
      </c>
      <c r="U82" s="60" t="s">
        <v>35</v>
      </c>
      <c r="V82" s="60" t="s">
        <v>35</v>
      </c>
      <c r="W82" s="58" t="s">
        <v>35</v>
      </c>
      <c r="X82" s="59" t="s">
        <v>35</v>
      </c>
      <c r="Y82" s="60" t="s">
        <v>35</v>
      </c>
      <c r="Z82" s="60" t="s">
        <v>35</v>
      </c>
      <c r="AA82" s="58" t="s">
        <v>35</v>
      </c>
      <c r="AB82" s="59" t="s">
        <v>35</v>
      </c>
      <c r="AC82" s="60" t="s">
        <v>35</v>
      </c>
      <c r="AD82" s="60" t="s">
        <v>35</v>
      </c>
      <c r="AE82" s="58" t="s">
        <v>35</v>
      </c>
      <c r="AF82" s="59" t="s">
        <v>35</v>
      </c>
      <c r="AG82" s="60" t="s">
        <v>35</v>
      </c>
      <c r="AH82" s="60" t="s">
        <v>35</v>
      </c>
      <c r="AI82" s="58" t="s">
        <v>35</v>
      </c>
      <c r="AJ82" s="59" t="s">
        <v>35</v>
      </c>
      <c r="AK82" s="60" t="s">
        <v>35</v>
      </c>
      <c r="AL82" s="58" t="s">
        <v>35</v>
      </c>
      <c r="AM82" s="59" t="s">
        <v>35</v>
      </c>
      <c r="AN82" s="60" t="s">
        <v>35</v>
      </c>
      <c r="AO82" s="58" t="s">
        <v>35</v>
      </c>
      <c r="AP82" s="33" t="s">
        <v>35</v>
      </c>
      <c r="AQ82" s="33" t="s">
        <v>35</v>
      </c>
      <c r="AR82" s="32" t="s">
        <v>35</v>
      </c>
    </row>
    <row r="83" spans="1:44">
      <c r="A83" s="31" t="s">
        <v>35</v>
      </c>
      <c r="B83" s="75">
        <v>80</v>
      </c>
      <c r="C83" s="47" t="s">
        <v>34</v>
      </c>
      <c r="D83" s="47" t="s">
        <v>140</v>
      </c>
      <c r="E83" s="50" t="s">
        <v>143</v>
      </c>
      <c r="F83" s="33" t="s">
        <v>143</v>
      </c>
      <c r="G83" s="103" t="s">
        <v>166</v>
      </c>
      <c r="H83" s="33" t="s">
        <v>35</v>
      </c>
      <c r="I83" s="33" t="s">
        <v>35</v>
      </c>
      <c r="J83" s="33" t="s">
        <v>35</v>
      </c>
      <c r="K83" s="33" t="s">
        <v>35</v>
      </c>
      <c r="L83" s="59" t="s">
        <v>35</v>
      </c>
      <c r="M83" s="60" t="s">
        <v>35</v>
      </c>
      <c r="N83" s="60" t="s">
        <v>35</v>
      </c>
      <c r="O83" s="58" t="s">
        <v>35</v>
      </c>
      <c r="P83" s="59" t="s">
        <v>35</v>
      </c>
      <c r="Q83" s="60" t="s">
        <v>35</v>
      </c>
      <c r="R83" s="60" t="s">
        <v>35</v>
      </c>
      <c r="S83" s="58" t="s">
        <v>35</v>
      </c>
      <c r="T83" s="59" t="s">
        <v>35</v>
      </c>
      <c r="U83" s="60" t="s">
        <v>35</v>
      </c>
      <c r="V83" s="60" t="s">
        <v>35</v>
      </c>
      <c r="W83" s="58" t="s">
        <v>35</v>
      </c>
      <c r="X83" s="59" t="s">
        <v>35</v>
      </c>
      <c r="Y83" s="60" t="s">
        <v>35</v>
      </c>
      <c r="Z83" s="60" t="s">
        <v>35</v>
      </c>
      <c r="AA83" s="58" t="s">
        <v>35</v>
      </c>
      <c r="AB83" s="59" t="s">
        <v>35</v>
      </c>
      <c r="AC83" s="60" t="s">
        <v>35</v>
      </c>
      <c r="AD83" s="60" t="s">
        <v>35</v>
      </c>
      <c r="AE83" s="58" t="s">
        <v>35</v>
      </c>
      <c r="AF83" s="59" t="s">
        <v>35</v>
      </c>
      <c r="AG83" s="60" t="s">
        <v>35</v>
      </c>
      <c r="AH83" s="60" t="s">
        <v>35</v>
      </c>
      <c r="AI83" s="58" t="s">
        <v>35</v>
      </c>
      <c r="AJ83" s="59" t="s">
        <v>35</v>
      </c>
      <c r="AK83" s="60" t="s">
        <v>35</v>
      </c>
      <c r="AL83" s="58" t="s">
        <v>35</v>
      </c>
      <c r="AM83" s="59" t="s">
        <v>35</v>
      </c>
      <c r="AN83" s="60" t="s">
        <v>35</v>
      </c>
      <c r="AO83" s="58" t="s">
        <v>35</v>
      </c>
      <c r="AP83" s="33" t="s">
        <v>35</v>
      </c>
      <c r="AQ83" s="33" t="s">
        <v>35</v>
      </c>
      <c r="AR83" s="32" t="s">
        <v>35</v>
      </c>
    </row>
    <row r="84" spans="1:44">
      <c r="A84" s="31" t="s">
        <v>35</v>
      </c>
      <c r="B84" s="75">
        <v>81</v>
      </c>
      <c r="C84" s="53" t="s">
        <v>34</v>
      </c>
      <c r="D84" s="53" t="s">
        <v>140</v>
      </c>
      <c r="E84" s="50" t="s">
        <v>144</v>
      </c>
      <c r="F84" s="33" t="s">
        <v>144</v>
      </c>
      <c r="G84" s="103" t="s">
        <v>166</v>
      </c>
      <c r="H84" s="33" t="s">
        <v>35</v>
      </c>
      <c r="I84" s="33" t="s">
        <v>35</v>
      </c>
      <c r="J84" s="33" t="s">
        <v>35</v>
      </c>
      <c r="K84" s="33" t="s">
        <v>35</v>
      </c>
      <c r="L84" s="59" t="s">
        <v>35</v>
      </c>
      <c r="M84" s="60" t="s">
        <v>35</v>
      </c>
      <c r="N84" s="60" t="s">
        <v>35</v>
      </c>
      <c r="O84" s="58" t="s">
        <v>35</v>
      </c>
      <c r="P84" s="59" t="s">
        <v>35</v>
      </c>
      <c r="Q84" s="60" t="s">
        <v>35</v>
      </c>
      <c r="R84" s="60" t="s">
        <v>35</v>
      </c>
      <c r="S84" s="58" t="s">
        <v>35</v>
      </c>
      <c r="T84" s="59" t="s">
        <v>35</v>
      </c>
      <c r="U84" s="60" t="s">
        <v>35</v>
      </c>
      <c r="V84" s="60" t="s">
        <v>35</v>
      </c>
      <c r="W84" s="58" t="s">
        <v>35</v>
      </c>
      <c r="X84" s="59" t="s">
        <v>35</v>
      </c>
      <c r="Y84" s="60" t="s">
        <v>35</v>
      </c>
      <c r="Z84" s="60" t="s">
        <v>35</v>
      </c>
      <c r="AA84" s="58" t="s">
        <v>35</v>
      </c>
      <c r="AB84" s="59" t="s">
        <v>35</v>
      </c>
      <c r="AC84" s="60" t="s">
        <v>35</v>
      </c>
      <c r="AD84" s="60" t="s">
        <v>35</v>
      </c>
      <c r="AE84" s="58" t="s">
        <v>35</v>
      </c>
      <c r="AF84" s="59" t="s">
        <v>35</v>
      </c>
      <c r="AG84" s="60" t="s">
        <v>35</v>
      </c>
      <c r="AH84" s="60" t="s">
        <v>35</v>
      </c>
      <c r="AI84" s="58" t="s">
        <v>35</v>
      </c>
      <c r="AJ84" s="59" t="s">
        <v>35</v>
      </c>
      <c r="AK84" s="60" t="s">
        <v>35</v>
      </c>
      <c r="AL84" s="58" t="s">
        <v>35</v>
      </c>
      <c r="AM84" s="59" t="s">
        <v>35</v>
      </c>
      <c r="AN84" s="60" t="s">
        <v>35</v>
      </c>
      <c r="AO84" s="58" t="s">
        <v>35</v>
      </c>
      <c r="AP84" s="33" t="s">
        <v>35</v>
      </c>
      <c r="AQ84" s="33" t="s">
        <v>35</v>
      </c>
      <c r="AR84" s="32" t="s">
        <v>35</v>
      </c>
    </row>
    <row r="85" spans="1:44">
      <c r="A85" s="29" t="s">
        <v>35</v>
      </c>
      <c r="B85" s="76" t="s">
        <v>35</v>
      </c>
      <c r="C85" s="81" t="s">
        <v>35</v>
      </c>
      <c r="D85" s="80" t="s">
        <v>35</v>
      </c>
      <c r="E85" s="81" t="s">
        <v>35</v>
      </c>
      <c r="F85" s="28" t="s">
        <v>35</v>
      </c>
      <c r="G85" s="36" t="s">
        <v>35</v>
      </c>
      <c r="H85" s="32" t="s">
        <v>35</v>
      </c>
      <c r="I85" s="32" t="s">
        <v>35</v>
      </c>
      <c r="J85" s="32" t="s">
        <v>35</v>
      </c>
      <c r="K85" s="32" t="s">
        <v>35</v>
      </c>
      <c r="L85" s="36" t="s">
        <v>35</v>
      </c>
      <c r="M85" s="36" t="s">
        <v>35</v>
      </c>
      <c r="N85" s="36" t="s">
        <v>35</v>
      </c>
      <c r="O85" s="36" t="s">
        <v>35</v>
      </c>
      <c r="P85" s="36" t="s">
        <v>35</v>
      </c>
      <c r="Q85" s="36" t="s">
        <v>35</v>
      </c>
      <c r="R85" s="36" t="s">
        <v>35</v>
      </c>
      <c r="S85" s="36" t="s">
        <v>35</v>
      </c>
      <c r="T85" s="36" t="s">
        <v>35</v>
      </c>
      <c r="U85" s="36" t="s">
        <v>35</v>
      </c>
      <c r="V85" s="36" t="s">
        <v>35</v>
      </c>
      <c r="W85" s="36" t="s">
        <v>35</v>
      </c>
      <c r="X85" s="36" t="s">
        <v>35</v>
      </c>
      <c r="Y85" s="36" t="s">
        <v>35</v>
      </c>
      <c r="Z85" s="36" t="s">
        <v>35</v>
      </c>
      <c r="AA85" s="36" t="s">
        <v>35</v>
      </c>
      <c r="AB85" s="36" t="s">
        <v>35</v>
      </c>
      <c r="AC85" s="36" t="s">
        <v>35</v>
      </c>
      <c r="AD85" s="36" t="s">
        <v>35</v>
      </c>
      <c r="AE85" s="36" t="s">
        <v>35</v>
      </c>
      <c r="AF85" s="36" t="s">
        <v>35</v>
      </c>
      <c r="AG85" s="36" t="s">
        <v>35</v>
      </c>
      <c r="AH85" s="36" t="s">
        <v>35</v>
      </c>
      <c r="AI85" s="36" t="s">
        <v>35</v>
      </c>
      <c r="AJ85" s="36" t="s">
        <v>35</v>
      </c>
      <c r="AK85" s="36" t="s">
        <v>35</v>
      </c>
      <c r="AL85" s="36" t="s">
        <v>35</v>
      </c>
      <c r="AM85" s="36" t="s">
        <v>35</v>
      </c>
      <c r="AN85" s="36" t="s">
        <v>35</v>
      </c>
      <c r="AO85" s="36" t="s">
        <v>35</v>
      </c>
      <c r="AP85" s="32" t="s">
        <v>35</v>
      </c>
      <c r="AQ85" s="32" t="s">
        <v>35</v>
      </c>
      <c r="AR85" s="32" t="s">
        <v>35</v>
      </c>
    </row>
  </sheetData>
  <mergeCells count="20">
    <mergeCell ref="P2:S2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O2"/>
    <mergeCell ref="AP2:AP3"/>
    <mergeCell ref="AQ2:AQ3"/>
    <mergeCell ref="T2:W2"/>
    <mergeCell ref="X2:AA2"/>
    <mergeCell ref="AB2:AE2"/>
    <mergeCell ref="AF2:AI2"/>
    <mergeCell ref="AJ2:AL2"/>
    <mergeCell ref="AM2:AO2"/>
  </mergeCells>
  <phoneticPr fontId="4" type="noConversion"/>
  <dataValidations count="1">
    <dataValidation type="list" allowBlank="1" showInputMessage="1" showErrorMessage="1" sqref="G4:G84">
      <formula1>"Front/Back, Back, Batch, I/F"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4"/>
  <sheetViews>
    <sheetView showGridLines="0" zoomScale="85" zoomScaleNormal="85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E48" sqref="E48"/>
    </sheetView>
  </sheetViews>
  <sheetFormatPr defaultColWidth="5.59765625" defaultRowHeight="17.399999999999999" outlineLevelCol="1"/>
  <cols>
    <col min="1" max="1" width="2" style="24" customWidth="1"/>
    <col min="2" max="2" width="5.59765625" style="77" customWidth="1"/>
    <col min="3" max="3" width="14.8984375" style="82" customWidth="1"/>
    <col min="4" max="4" width="21.3984375" style="83" customWidth="1"/>
    <col min="5" max="5" width="24.5" style="82" bestFit="1" customWidth="1"/>
    <col min="6" max="6" width="25.59765625" style="26" customWidth="1"/>
    <col min="7" max="7" width="12.3984375" style="27" customWidth="1" outlineLevel="1"/>
    <col min="8" max="11" width="18.59765625" style="24" customWidth="1" outlineLevel="1"/>
    <col min="12" max="12" width="8.09765625" style="27" customWidth="1"/>
    <col min="13" max="15" width="8.09765625" style="27" customWidth="1" outlineLevel="1"/>
    <col min="16" max="27" width="8.69921875" style="27" customWidth="1" outlineLevel="1"/>
    <col min="28" max="28" width="8.69921875" style="27" customWidth="1"/>
    <col min="29" max="41" width="8.69921875" style="27" customWidth="1" outlineLevel="1"/>
    <col min="42" max="43" width="11.8984375" style="24" customWidth="1"/>
    <col min="44" max="16384" width="5.59765625" style="24"/>
  </cols>
  <sheetData>
    <row r="1" spans="1:44" ht="24">
      <c r="A1" s="29" t="s">
        <v>35</v>
      </c>
      <c r="B1" s="79" t="s">
        <v>271</v>
      </c>
      <c r="C1" s="79"/>
      <c r="D1" s="80"/>
      <c r="E1" s="81"/>
      <c r="F1" s="30"/>
      <c r="G1" s="37"/>
      <c r="H1" s="30"/>
      <c r="I1" s="30"/>
      <c r="J1" s="30"/>
      <c r="K1" s="30"/>
      <c r="L1" s="37" t="s">
        <v>35</v>
      </c>
      <c r="M1" s="37" t="s">
        <v>35</v>
      </c>
      <c r="N1" s="37" t="s">
        <v>35</v>
      </c>
      <c r="O1" s="37" t="s">
        <v>35</v>
      </c>
      <c r="P1" s="37" t="s">
        <v>35</v>
      </c>
      <c r="Q1" s="37" t="s">
        <v>35</v>
      </c>
      <c r="R1" s="37" t="s">
        <v>35</v>
      </c>
      <c r="S1" s="37" t="s">
        <v>35</v>
      </c>
      <c r="T1" s="37" t="s">
        <v>35</v>
      </c>
      <c r="U1" s="37" t="s">
        <v>35</v>
      </c>
      <c r="V1" s="37" t="s">
        <v>35</v>
      </c>
      <c r="W1" s="37" t="s">
        <v>35</v>
      </c>
      <c r="X1" s="37" t="s">
        <v>35</v>
      </c>
      <c r="Y1" s="37" t="s">
        <v>35</v>
      </c>
      <c r="Z1" s="37" t="s">
        <v>35</v>
      </c>
      <c r="AA1" s="37" t="s">
        <v>35</v>
      </c>
      <c r="AB1" s="37" t="s">
        <v>35</v>
      </c>
      <c r="AC1" s="37" t="s">
        <v>35</v>
      </c>
      <c r="AD1" s="37" t="s">
        <v>35</v>
      </c>
      <c r="AE1" s="37" t="s">
        <v>35</v>
      </c>
      <c r="AF1" s="37" t="s">
        <v>35</v>
      </c>
      <c r="AG1" s="37" t="s">
        <v>35</v>
      </c>
      <c r="AH1" s="37" t="s">
        <v>35</v>
      </c>
      <c r="AI1" s="37" t="s">
        <v>35</v>
      </c>
      <c r="AJ1" s="37" t="s">
        <v>35</v>
      </c>
      <c r="AK1" s="37" t="s">
        <v>35</v>
      </c>
      <c r="AL1" s="37" t="s">
        <v>35</v>
      </c>
      <c r="AM1" s="37" t="s">
        <v>35</v>
      </c>
      <c r="AN1" s="37" t="s">
        <v>35</v>
      </c>
      <c r="AO1" s="37" t="s">
        <v>35</v>
      </c>
      <c r="AP1" s="37" t="s">
        <v>35</v>
      </c>
      <c r="AQ1" s="37" t="s">
        <v>35</v>
      </c>
      <c r="AR1" s="37" t="s">
        <v>35</v>
      </c>
    </row>
    <row r="2" spans="1:44" s="27" customFormat="1">
      <c r="A2" s="35" t="s">
        <v>35</v>
      </c>
      <c r="B2" s="135" t="s">
        <v>20</v>
      </c>
      <c r="C2" s="136" t="s">
        <v>19</v>
      </c>
      <c r="D2" s="137" t="s">
        <v>21</v>
      </c>
      <c r="E2" s="136" t="s">
        <v>22</v>
      </c>
      <c r="F2" s="138" t="s">
        <v>23</v>
      </c>
      <c r="G2" s="131" t="s">
        <v>145</v>
      </c>
      <c r="H2" s="131" t="s">
        <v>24</v>
      </c>
      <c r="I2" s="131" t="s">
        <v>146</v>
      </c>
      <c r="J2" s="131" t="s">
        <v>147</v>
      </c>
      <c r="K2" s="131" t="s">
        <v>148</v>
      </c>
      <c r="L2" s="133" t="s">
        <v>207</v>
      </c>
      <c r="M2" s="133"/>
      <c r="N2" s="133"/>
      <c r="O2" s="134"/>
      <c r="P2" s="133" t="s">
        <v>201</v>
      </c>
      <c r="Q2" s="133"/>
      <c r="R2" s="133"/>
      <c r="S2" s="134"/>
      <c r="T2" s="133" t="s">
        <v>202</v>
      </c>
      <c r="U2" s="133"/>
      <c r="V2" s="133"/>
      <c r="W2" s="134"/>
      <c r="X2" s="133" t="s">
        <v>203</v>
      </c>
      <c r="Y2" s="133"/>
      <c r="Z2" s="133"/>
      <c r="AA2" s="134"/>
      <c r="AB2" s="133" t="s">
        <v>206</v>
      </c>
      <c r="AC2" s="133"/>
      <c r="AD2" s="133"/>
      <c r="AE2" s="134"/>
      <c r="AF2" s="133" t="s">
        <v>25</v>
      </c>
      <c r="AG2" s="133"/>
      <c r="AH2" s="133"/>
      <c r="AI2" s="134"/>
      <c r="AJ2" s="133" t="s">
        <v>26</v>
      </c>
      <c r="AK2" s="133"/>
      <c r="AL2" s="134"/>
      <c r="AM2" s="133" t="s">
        <v>149</v>
      </c>
      <c r="AN2" s="133"/>
      <c r="AO2" s="134"/>
      <c r="AP2" s="131" t="s">
        <v>150</v>
      </c>
      <c r="AQ2" s="131" t="s">
        <v>151</v>
      </c>
      <c r="AR2" s="36" t="s">
        <v>35</v>
      </c>
    </row>
    <row r="3" spans="1:44" s="27" customFormat="1">
      <c r="A3" s="35" t="s">
        <v>35</v>
      </c>
      <c r="B3" s="135"/>
      <c r="C3" s="136"/>
      <c r="D3" s="137"/>
      <c r="E3" s="136"/>
      <c r="F3" s="139"/>
      <c r="G3" s="132"/>
      <c r="H3" s="132"/>
      <c r="I3" s="132"/>
      <c r="J3" s="132"/>
      <c r="K3" s="132"/>
      <c r="L3" s="39" t="s">
        <v>28</v>
      </c>
      <c r="M3" s="40" t="s">
        <v>29</v>
      </c>
      <c r="N3" s="40" t="s">
        <v>30</v>
      </c>
      <c r="O3" s="41" t="s">
        <v>31</v>
      </c>
      <c r="P3" s="39" t="s">
        <v>28</v>
      </c>
      <c r="Q3" s="40" t="s">
        <v>29</v>
      </c>
      <c r="R3" s="40" t="s">
        <v>30</v>
      </c>
      <c r="S3" s="41" t="s">
        <v>31</v>
      </c>
      <c r="T3" s="39" t="s">
        <v>28</v>
      </c>
      <c r="U3" s="40" t="s">
        <v>29</v>
      </c>
      <c r="V3" s="40" t="s">
        <v>30</v>
      </c>
      <c r="W3" s="41" t="s">
        <v>31</v>
      </c>
      <c r="X3" s="39" t="s">
        <v>28</v>
      </c>
      <c r="Y3" s="40" t="s">
        <v>29</v>
      </c>
      <c r="Z3" s="40" t="s">
        <v>30</v>
      </c>
      <c r="AA3" s="41" t="s">
        <v>31</v>
      </c>
      <c r="AB3" s="39" t="s">
        <v>28</v>
      </c>
      <c r="AC3" s="40" t="s">
        <v>29</v>
      </c>
      <c r="AD3" s="40" t="s">
        <v>30</v>
      </c>
      <c r="AE3" s="41" t="s">
        <v>31</v>
      </c>
      <c r="AF3" s="39" t="s">
        <v>28</v>
      </c>
      <c r="AG3" s="40" t="s">
        <v>29</v>
      </c>
      <c r="AH3" s="40" t="s">
        <v>30</v>
      </c>
      <c r="AI3" s="41" t="s">
        <v>31</v>
      </c>
      <c r="AJ3" s="39" t="s">
        <v>28</v>
      </c>
      <c r="AK3" s="40" t="s">
        <v>32</v>
      </c>
      <c r="AL3" s="41" t="s">
        <v>33</v>
      </c>
      <c r="AM3" s="39" t="s">
        <v>28</v>
      </c>
      <c r="AN3" s="40" t="s">
        <v>32</v>
      </c>
      <c r="AO3" s="41" t="s">
        <v>33</v>
      </c>
      <c r="AP3" s="132"/>
      <c r="AQ3" s="132"/>
      <c r="AR3" s="36" t="s">
        <v>35</v>
      </c>
    </row>
    <row r="4" spans="1:44" ht="18" customHeight="1">
      <c r="A4" s="31" t="s">
        <v>35</v>
      </c>
      <c r="B4" s="75">
        <v>1</v>
      </c>
      <c r="C4" s="105" t="s">
        <v>273</v>
      </c>
      <c r="D4" s="105" t="s">
        <v>274</v>
      </c>
      <c r="E4" s="106" t="s">
        <v>36</v>
      </c>
      <c r="F4" s="108" t="s">
        <v>275</v>
      </c>
      <c r="G4" s="103" t="s">
        <v>166</v>
      </c>
      <c r="H4" s="33" t="s">
        <v>35</v>
      </c>
      <c r="I4" s="33" t="s">
        <v>35</v>
      </c>
      <c r="J4" s="33" t="s">
        <v>35</v>
      </c>
      <c r="K4" s="33" t="s">
        <v>35</v>
      </c>
      <c r="L4" s="59" t="s">
        <v>35</v>
      </c>
      <c r="M4" s="60" t="s">
        <v>35</v>
      </c>
      <c r="N4" s="60" t="s">
        <v>35</v>
      </c>
      <c r="O4" s="58" t="s">
        <v>35</v>
      </c>
      <c r="P4" s="59" t="s">
        <v>35</v>
      </c>
      <c r="Q4" s="60" t="s">
        <v>35</v>
      </c>
      <c r="R4" s="60" t="s">
        <v>35</v>
      </c>
      <c r="S4" s="58" t="s">
        <v>35</v>
      </c>
      <c r="T4" s="59" t="s">
        <v>35</v>
      </c>
      <c r="U4" s="60" t="s">
        <v>35</v>
      </c>
      <c r="V4" s="60" t="s">
        <v>35</v>
      </c>
      <c r="W4" s="58" t="s">
        <v>35</v>
      </c>
      <c r="X4" s="59" t="s">
        <v>35</v>
      </c>
      <c r="Y4" s="60" t="s">
        <v>35</v>
      </c>
      <c r="Z4" s="60" t="s">
        <v>35</v>
      </c>
      <c r="AA4" s="58" t="s">
        <v>35</v>
      </c>
      <c r="AB4" s="59" t="s">
        <v>35</v>
      </c>
      <c r="AC4" s="60" t="s">
        <v>35</v>
      </c>
      <c r="AD4" s="60" t="s">
        <v>35</v>
      </c>
      <c r="AE4" s="58" t="s">
        <v>35</v>
      </c>
      <c r="AF4" s="59" t="s">
        <v>35</v>
      </c>
      <c r="AG4" s="60" t="s">
        <v>35</v>
      </c>
      <c r="AH4" s="60" t="s">
        <v>35</v>
      </c>
      <c r="AI4" s="58" t="s">
        <v>35</v>
      </c>
      <c r="AJ4" s="59" t="s">
        <v>35</v>
      </c>
      <c r="AK4" s="60" t="s">
        <v>35</v>
      </c>
      <c r="AL4" s="58" t="s">
        <v>35</v>
      </c>
      <c r="AM4" s="59" t="s">
        <v>35</v>
      </c>
      <c r="AN4" s="60" t="s">
        <v>35</v>
      </c>
      <c r="AO4" s="58" t="s">
        <v>35</v>
      </c>
      <c r="AP4" s="33" t="s">
        <v>35</v>
      </c>
      <c r="AQ4" s="33" t="s">
        <v>35</v>
      </c>
      <c r="AR4" s="32" t="s">
        <v>35</v>
      </c>
    </row>
    <row r="5" spans="1:44" ht="18" customHeight="1">
      <c r="A5" s="31" t="s">
        <v>35</v>
      </c>
      <c r="B5" s="75">
        <v>2</v>
      </c>
      <c r="C5" s="105"/>
      <c r="D5" s="105"/>
      <c r="E5" s="106"/>
      <c r="F5" s="108" t="s">
        <v>276</v>
      </c>
      <c r="G5" s="103" t="s">
        <v>166</v>
      </c>
      <c r="H5" s="33" t="s">
        <v>35</v>
      </c>
      <c r="I5" s="33" t="s">
        <v>35</v>
      </c>
      <c r="J5" s="33" t="s">
        <v>35</v>
      </c>
      <c r="K5" s="33" t="s">
        <v>35</v>
      </c>
      <c r="L5" s="59" t="s">
        <v>35</v>
      </c>
      <c r="M5" s="60" t="s">
        <v>35</v>
      </c>
      <c r="N5" s="60" t="s">
        <v>35</v>
      </c>
      <c r="O5" s="58" t="s">
        <v>208</v>
      </c>
      <c r="P5" s="59" t="s">
        <v>35</v>
      </c>
      <c r="Q5" s="60" t="s">
        <v>35</v>
      </c>
      <c r="R5" s="60" t="s">
        <v>35</v>
      </c>
      <c r="S5" s="58" t="s">
        <v>35</v>
      </c>
      <c r="T5" s="59" t="s">
        <v>35</v>
      </c>
      <c r="U5" s="60" t="s">
        <v>35</v>
      </c>
      <c r="V5" s="60" t="s">
        <v>35</v>
      </c>
      <c r="W5" s="58" t="s">
        <v>35</v>
      </c>
      <c r="X5" s="59" t="s">
        <v>35</v>
      </c>
      <c r="Y5" s="60" t="s">
        <v>35</v>
      </c>
      <c r="Z5" s="60" t="s">
        <v>35</v>
      </c>
      <c r="AA5" s="58" t="s">
        <v>35</v>
      </c>
      <c r="AB5" s="59" t="s">
        <v>35</v>
      </c>
      <c r="AC5" s="60" t="s">
        <v>35</v>
      </c>
      <c r="AD5" s="60" t="s">
        <v>35</v>
      </c>
      <c r="AE5" s="58" t="s">
        <v>35</v>
      </c>
      <c r="AF5" s="59" t="s">
        <v>35</v>
      </c>
      <c r="AG5" s="60" t="s">
        <v>35</v>
      </c>
      <c r="AH5" s="60" t="s">
        <v>35</v>
      </c>
      <c r="AI5" s="58" t="s">
        <v>35</v>
      </c>
      <c r="AJ5" s="59" t="s">
        <v>35</v>
      </c>
      <c r="AK5" s="60" t="s">
        <v>35</v>
      </c>
      <c r="AL5" s="58" t="s">
        <v>35</v>
      </c>
      <c r="AM5" s="59" t="s">
        <v>35</v>
      </c>
      <c r="AN5" s="60" t="s">
        <v>35</v>
      </c>
      <c r="AO5" s="58" t="s">
        <v>35</v>
      </c>
      <c r="AP5" s="33" t="s">
        <v>35</v>
      </c>
      <c r="AQ5" s="33" t="s">
        <v>35</v>
      </c>
      <c r="AR5" s="32" t="s">
        <v>35</v>
      </c>
    </row>
    <row r="6" spans="1:44" ht="18" customHeight="1">
      <c r="A6" s="31" t="s">
        <v>35</v>
      </c>
      <c r="B6" s="75">
        <v>3</v>
      </c>
      <c r="C6" s="104" t="s">
        <v>277</v>
      </c>
      <c r="D6" s="105"/>
      <c r="E6" s="106" t="s">
        <v>278</v>
      </c>
      <c r="F6" s="108" t="s">
        <v>279</v>
      </c>
      <c r="G6" s="103" t="s">
        <v>166</v>
      </c>
      <c r="H6" s="33" t="s">
        <v>35</v>
      </c>
      <c r="I6" s="33" t="s">
        <v>35</v>
      </c>
      <c r="J6" s="33" t="s">
        <v>35</v>
      </c>
      <c r="K6" s="33" t="s">
        <v>35</v>
      </c>
      <c r="L6" s="59" t="s">
        <v>35</v>
      </c>
      <c r="M6" s="60" t="s">
        <v>35</v>
      </c>
      <c r="N6" s="60" t="s">
        <v>35</v>
      </c>
      <c r="O6" s="58" t="s">
        <v>208</v>
      </c>
      <c r="P6" s="59" t="s">
        <v>35</v>
      </c>
      <c r="Q6" s="60" t="s">
        <v>35</v>
      </c>
      <c r="R6" s="60" t="s">
        <v>35</v>
      </c>
      <c r="S6" s="58" t="s">
        <v>35</v>
      </c>
      <c r="T6" s="59" t="s">
        <v>35</v>
      </c>
      <c r="U6" s="60" t="s">
        <v>35</v>
      </c>
      <c r="V6" s="60" t="s">
        <v>35</v>
      </c>
      <c r="W6" s="58" t="s">
        <v>35</v>
      </c>
      <c r="X6" s="59" t="s">
        <v>35</v>
      </c>
      <c r="Y6" s="60" t="s">
        <v>35</v>
      </c>
      <c r="Z6" s="60" t="s">
        <v>35</v>
      </c>
      <c r="AA6" s="58" t="s">
        <v>35</v>
      </c>
      <c r="AB6" s="59" t="s">
        <v>35</v>
      </c>
      <c r="AC6" s="60" t="s">
        <v>35</v>
      </c>
      <c r="AD6" s="60" t="s">
        <v>35</v>
      </c>
      <c r="AE6" s="58" t="s">
        <v>35</v>
      </c>
      <c r="AF6" s="59" t="s">
        <v>35</v>
      </c>
      <c r="AG6" s="60" t="s">
        <v>35</v>
      </c>
      <c r="AH6" s="60" t="s">
        <v>35</v>
      </c>
      <c r="AI6" s="58" t="s">
        <v>35</v>
      </c>
      <c r="AJ6" s="59" t="s">
        <v>35</v>
      </c>
      <c r="AK6" s="60" t="s">
        <v>35</v>
      </c>
      <c r="AL6" s="58" t="s">
        <v>35</v>
      </c>
      <c r="AM6" s="59" t="s">
        <v>35</v>
      </c>
      <c r="AN6" s="60" t="s">
        <v>35</v>
      </c>
      <c r="AO6" s="58" t="s">
        <v>35</v>
      </c>
      <c r="AP6" s="33" t="s">
        <v>35</v>
      </c>
      <c r="AQ6" s="33" t="s">
        <v>35</v>
      </c>
      <c r="AR6" s="32" t="s">
        <v>35</v>
      </c>
    </row>
    <row r="7" spans="1:44" ht="18" customHeight="1">
      <c r="A7" s="31" t="s">
        <v>35</v>
      </c>
      <c r="B7" s="75">
        <v>4</v>
      </c>
      <c r="C7" s="104" t="s">
        <v>277</v>
      </c>
      <c r="D7" s="105"/>
      <c r="E7" s="106" t="s">
        <v>280</v>
      </c>
      <c r="F7" s="108" t="s">
        <v>281</v>
      </c>
      <c r="G7" s="103" t="s">
        <v>166</v>
      </c>
      <c r="H7" s="33" t="s">
        <v>35</v>
      </c>
      <c r="I7" s="33" t="s">
        <v>35</v>
      </c>
      <c r="J7" s="33" t="s">
        <v>35</v>
      </c>
      <c r="K7" s="33" t="s">
        <v>35</v>
      </c>
      <c r="L7" s="59" t="s">
        <v>35</v>
      </c>
      <c r="M7" s="60" t="s">
        <v>35</v>
      </c>
      <c r="N7" s="60" t="s">
        <v>35</v>
      </c>
      <c r="O7" s="58" t="s">
        <v>35</v>
      </c>
      <c r="P7" s="59" t="s">
        <v>35</v>
      </c>
      <c r="Q7" s="60" t="s">
        <v>35</v>
      </c>
      <c r="R7" s="60" t="s">
        <v>35</v>
      </c>
      <c r="S7" s="58" t="s">
        <v>35</v>
      </c>
      <c r="T7" s="59" t="s">
        <v>35</v>
      </c>
      <c r="U7" s="60" t="s">
        <v>35</v>
      </c>
      <c r="V7" s="60" t="s">
        <v>35</v>
      </c>
      <c r="W7" s="58" t="s">
        <v>208</v>
      </c>
      <c r="X7" s="59" t="s">
        <v>35</v>
      </c>
      <c r="Y7" s="60" t="s">
        <v>35</v>
      </c>
      <c r="Z7" s="60" t="s">
        <v>35</v>
      </c>
      <c r="AA7" s="58" t="s">
        <v>35</v>
      </c>
      <c r="AB7" s="59" t="s">
        <v>35</v>
      </c>
      <c r="AC7" s="60" t="s">
        <v>35</v>
      </c>
      <c r="AD7" s="60" t="s">
        <v>35</v>
      </c>
      <c r="AE7" s="58" t="s">
        <v>35</v>
      </c>
      <c r="AF7" s="59" t="s">
        <v>35</v>
      </c>
      <c r="AG7" s="60" t="s">
        <v>35</v>
      </c>
      <c r="AH7" s="60" t="s">
        <v>35</v>
      </c>
      <c r="AI7" s="58" t="s">
        <v>35</v>
      </c>
      <c r="AJ7" s="59" t="s">
        <v>35</v>
      </c>
      <c r="AK7" s="60" t="s">
        <v>35</v>
      </c>
      <c r="AL7" s="58" t="s">
        <v>35</v>
      </c>
      <c r="AM7" s="59" t="s">
        <v>35</v>
      </c>
      <c r="AN7" s="60" t="s">
        <v>35</v>
      </c>
      <c r="AO7" s="58" t="s">
        <v>35</v>
      </c>
      <c r="AP7" s="33" t="s">
        <v>35</v>
      </c>
      <c r="AQ7" s="33" t="s">
        <v>35</v>
      </c>
      <c r="AR7" s="32" t="s">
        <v>35</v>
      </c>
    </row>
    <row r="8" spans="1:44" ht="18" customHeight="1">
      <c r="A8" s="31" t="s">
        <v>35</v>
      </c>
      <c r="B8" s="75">
        <v>5</v>
      </c>
      <c r="C8" s="104" t="s">
        <v>277</v>
      </c>
      <c r="D8" s="105"/>
      <c r="E8" s="106"/>
      <c r="F8" s="108" t="s">
        <v>282</v>
      </c>
      <c r="G8" s="103" t="s">
        <v>166</v>
      </c>
      <c r="H8" s="33" t="s">
        <v>35</v>
      </c>
      <c r="I8" s="33" t="s">
        <v>35</v>
      </c>
      <c r="J8" s="33" t="s">
        <v>35</v>
      </c>
      <c r="K8" s="33" t="s">
        <v>35</v>
      </c>
      <c r="L8" s="59" t="s">
        <v>35</v>
      </c>
      <c r="M8" s="60" t="s">
        <v>35</v>
      </c>
      <c r="N8" s="60" t="s">
        <v>35</v>
      </c>
      <c r="O8" s="58" t="s">
        <v>210</v>
      </c>
      <c r="P8" s="59" t="s">
        <v>35</v>
      </c>
      <c r="Q8" s="60" t="s">
        <v>35</v>
      </c>
      <c r="R8" s="60" t="s">
        <v>35</v>
      </c>
      <c r="S8" s="58" t="s">
        <v>208</v>
      </c>
      <c r="T8" s="59" t="s">
        <v>35</v>
      </c>
      <c r="U8" s="60" t="s">
        <v>35</v>
      </c>
      <c r="V8" s="60" t="s">
        <v>35</v>
      </c>
      <c r="W8" s="58" t="s">
        <v>210</v>
      </c>
      <c r="X8" s="59" t="s">
        <v>35</v>
      </c>
      <c r="Y8" s="60" t="s">
        <v>35</v>
      </c>
      <c r="Z8" s="60" t="s">
        <v>35</v>
      </c>
      <c r="AA8" s="58" t="s">
        <v>35</v>
      </c>
      <c r="AB8" s="59" t="s">
        <v>35</v>
      </c>
      <c r="AC8" s="60" t="s">
        <v>35</v>
      </c>
      <c r="AD8" s="60" t="s">
        <v>35</v>
      </c>
      <c r="AE8" s="58" t="s">
        <v>35</v>
      </c>
      <c r="AF8" s="59" t="s">
        <v>35</v>
      </c>
      <c r="AG8" s="60" t="s">
        <v>35</v>
      </c>
      <c r="AH8" s="60" t="s">
        <v>35</v>
      </c>
      <c r="AI8" s="58" t="s">
        <v>35</v>
      </c>
      <c r="AJ8" s="59" t="s">
        <v>35</v>
      </c>
      <c r="AK8" s="60" t="s">
        <v>35</v>
      </c>
      <c r="AL8" s="58" t="s">
        <v>35</v>
      </c>
      <c r="AM8" s="59" t="s">
        <v>35</v>
      </c>
      <c r="AN8" s="60" t="s">
        <v>35</v>
      </c>
      <c r="AO8" s="58" t="s">
        <v>35</v>
      </c>
      <c r="AP8" s="33" t="s">
        <v>35</v>
      </c>
      <c r="AQ8" s="33" t="s">
        <v>35</v>
      </c>
      <c r="AR8" s="32" t="s">
        <v>35</v>
      </c>
    </row>
    <row r="9" spans="1:44" ht="18" customHeight="1">
      <c r="A9" s="31" t="s">
        <v>35</v>
      </c>
      <c r="B9" s="75">
        <v>6</v>
      </c>
      <c r="C9" s="104" t="s">
        <v>277</v>
      </c>
      <c r="D9" s="105"/>
      <c r="E9" s="106" t="s">
        <v>88</v>
      </c>
      <c r="F9" s="108" t="s">
        <v>283</v>
      </c>
      <c r="G9" s="103" t="s">
        <v>166</v>
      </c>
      <c r="H9" s="33" t="s">
        <v>35</v>
      </c>
      <c r="I9" s="33" t="s">
        <v>35</v>
      </c>
      <c r="J9" s="33" t="s">
        <v>35</v>
      </c>
      <c r="K9" s="33" t="s">
        <v>35</v>
      </c>
      <c r="L9" s="59" t="s">
        <v>35</v>
      </c>
      <c r="M9" s="60" t="s">
        <v>35</v>
      </c>
      <c r="N9" s="60" t="s">
        <v>35</v>
      </c>
      <c r="O9" s="58" t="s">
        <v>35</v>
      </c>
      <c r="P9" s="59" t="s">
        <v>35</v>
      </c>
      <c r="Q9" s="60" t="s">
        <v>35</v>
      </c>
      <c r="R9" s="60" t="s">
        <v>35</v>
      </c>
      <c r="S9" s="58"/>
      <c r="T9" s="59" t="s">
        <v>35</v>
      </c>
      <c r="U9" s="60" t="s">
        <v>35</v>
      </c>
      <c r="V9" s="60" t="s">
        <v>35</v>
      </c>
      <c r="W9" s="58" t="s">
        <v>35</v>
      </c>
      <c r="X9" s="59" t="s">
        <v>35</v>
      </c>
      <c r="Y9" s="60" t="s">
        <v>35</v>
      </c>
      <c r="Z9" s="60" t="s">
        <v>35</v>
      </c>
      <c r="AA9" s="58" t="s">
        <v>35</v>
      </c>
      <c r="AB9" s="59" t="s">
        <v>35</v>
      </c>
      <c r="AC9" s="60" t="s">
        <v>35</v>
      </c>
      <c r="AD9" s="60" t="s">
        <v>35</v>
      </c>
      <c r="AE9" s="58" t="s">
        <v>35</v>
      </c>
      <c r="AF9" s="59" t="s">
        <v>35</v>
      </c>
      <c r="AG9" s="60" t="s">
        <v>35</v>
      </c>
      <c r="AH9" s="60" t="s">
        <v>35</v>
      </c>
      <c r="AI9" s="58" t="s">
        <v>35</v>
      </c>
      <c r="AJ9" s="59" t="s">
        <v>35</v>
      </c>
      <c r="AK9" s="60" t="s">
        <v>35</v>
      </c>
      <c r="AL9" s="58" t="s">
        <v>35</v>
      </c>
      <c r="AM9" s="59" t="s">
        <v>35</v>
      </c>
      <c r="AN9" s="60" t="s">
        <v>35</v>
      </c>
      <c r="AO9" s="58" t="s">
        <v>35</v>
      </c>
      <c r="AP9" s="33" t="s">
        <v>35</v>
      </c>
      <c r="AQ9" s="33" t="s">
        <v>35</v>
      </c>
      <c r="AR9" s="32" t="s">
        <v>35</v>
      </c>
    </row>
    <row r="10" spans="1:44" ht="18" customHeight="1">
      <c r="A10" s="31" t="s">
        <v>35</v>
      </c>
      <c r="B10" s="75">
        <v>7</v>
      </c>
      <c r="C10" s="104" t="s">
        <v>277</v>
      </c>
      <c r="D10" s="105"/>
      <c r="E10" s="106"/>
      <c r="F10" s="108" t="s">
        <v>284</v>
      </c>
      <c r="G10" s="103" t="s">
        <v>166</v>
      </c>
      <c r="H10" s="33" t="s">
        <v>35</v>
      </c>
      <c r="I10" s="33" t="s">
        <v>35</v>
      </c>
      <c r="J10" s="33" t="s">
        <v>35</v>
      </c>
      <c r="K10" s="33" t="s">
        <v>35</v>
      </c>
      <c r="L10" s="59" t="s">
        <v>35</v>
      </c>
      <c r="M10" s="60" t="s">
        <v>35</v>
      </c>
      <c r="N10" s="60" t="s">
        <v>35</v>
      </c>
      <c r="O10" s="58" t="s">
        <v>35</v>
      </c>
      <c r="P10" s="59" t="s">
        <v>35</v>
      </c>
      <c r="Q10" s="60" t="s">
        <v>35</v>
      </c>
      <c r="R10" s="60" t="s">
        <v>35</v>
      </c>
      <c r="S10" s="58" t="s">
        <v>35</v>
      </c>
      <c r="T10" s="59" t="s">
        <v>35</v>
      </c>
      <c r="U10" s="60" t="s">
        <v>35</v>
      </c>
      <c r="V10" s="60" t="s">
        <v>35</v>
      </c>
      <c r="W10" s="58" t="s">
        <v>35</v>
      </c>
      <c r="X10" s="59" t="s">
        <v>35</v>
      </c>
      <c r="Y10" s="60" t="s">
        <v>35</v>
      </c>
      <c r="Z10" s="60" t="s">
        <v>35</v>
      </c>
      <c r="AA10" s="58" t="s">
        <v>208</v>
      </c>
      <c r="AB10" s="59" t="s">
        <v>35</v>
      </c>
      <c r="AC10" s="60" t="s">
        <v>35</v>
      </c>
      <c r="AD10" s="60" t="s">
        <v>35</v>
      </c>
      <c r="AE10" s="58" t="s">
        <v>35</v>
      </c>
      <c r="AF10" s="59" t="s">
        <v>35</v>
      </c>
      <c r="AG10" s="60" t="s">
        <v>35</v>
      </c>
      <c r="AH10" s="60" t="s">
        <v>35</v>
      </c>
      <c r="AI10" s="58" t="s">
        <v>35</v>
      </c>
      <c r="AJ10" s="59" t="s">
        <v>35</v>
      </c>
      <c r="AK10" s="60" t="s">
        <v>35</v>
      </c>
      <c r="AL10" s="58" t="s">
        <v>35</v>
      </c>
      <c r="AM10" s="59" t="s">
        <v>35</v>
      </c>
      <c r="AN10" s="60" t="s">
        <v>35</v>
      </c>
      <c r="AO10" s="58" t="s">
        <v>35</v>
      </c>
      <c r="AP10" s="33" t="s">
        <v>35</v>
      </c>
      <c r="AQ10" s="33" t="s">
        <v>35</v>
      </c>
      <c r="AR10" s="32" t="s">
        <v>35</v>
      </c>
    </row>
    <row r="11" spans="1:44" ht="18" customHeight="1">
      <c r="A11" s="31" t="s">
        <v>35</v>
      </c>
      <c r="B11" s="75">
        <v>8</v>
      </c>
      <c r="C11" s="104" t="s">
        <v>277</v>
      </c>
      <c r="D11" s="105"/>
      <c r="E11" s="106"/>
      <c r="F11" s="108" t="s">
        <v>109</v>
      </c>
      <c r="G11" s="103" t="s">
        <v>166</v>
      </c>
      <c r="H11" s="33" t="s">
        <v>35</v>
      </c>
      <c r="I11" s="33" t="s">
        <v>35</v>
      </c>
      <c r="J11" s="33" t="s">
        <v>35</v>
      </c>
      <c r="K11" s="33" t="s">
        <v>35</v>
      </c>
      <c r="L11" s="59" t="s">
        <v>35</v>
      </c>
      <c r="M11" s="60" t="s">
        <v>35</v>
      </c>
      <c r="N11" s="60" t="s">
        <v>35</v>
      </c>
      <c r="O11" s="58" t="s">
        <v>35</v>
      </c>
      <c r="P11" s="59" t="s">
        <v>35</v>
      </c>
      <c r="Q11" s="60" t="s">
        <v>35</v>
      </c>
      <c r="R11" s="60" t="s">
        <v>35</v>
      </c>
      <c r="S11" s="58"/>
      <c r="T11" s="59" t="s">
        <v>35</v>
      </c>
      <c r="U11" s="60" t="s">
        <v>35</v>
      </c>
      <c r="V11" s="60" t="s">
        <v>35</v>
      </c>
      <c r="W11" s="58" t="s">
        <v>35</v>
      </c>
      <c r="X11" s="59" t="s">
        <v>35</v>
      </c>
      <c r="Y11" s="60" t="s">
        <v>35</v>
      </c>
      <c r="Z11" s="60" t="s">
        <v>35</v>
      </c>
      <c r="AA11" s="58" t="s">
        <v>35</v>
      </c>
      <c r="AB11" s="59" t="s">
        <v>35</v>
      </c>
      <c r="AC11" s="60" t="s">
        <v>35</v>
      </c>
      <c r="AD11" s="60" t="s">
        <v>35</v>
      </c>
      <c r="AE11" s="58" t="s">
        <v>35</v>
      </c>
      <c r="AF11" s="59" t="s">
        <v>35</v>
      </c>
      <c r="AG11" s="60" t="s">
        <v>35</v>
      </c>
      <c r="AH11" s="60" t="s">
        <v>35</v>
      </c>
      <c r="AI11" s="58" t="s">
        <v>35</v>
      </c>
      <c r="AJ11" s="59" t="s">
        <v>35</v>
      </c>
      <c r="AK11" s="60" t="s">
        <v>35</v>
      </c>
      <c r="AL11" s="58" t="s">
        <v>35</v>
      </c>
      <c r="AM11" s="59" t="s">
        <v>35</v>
      </c>
      <c r="AN11" s="60" t="s">
        <v>35</v>
      </c>
      <c r="AO11" s="58" t="s">
        <v>35</v>
      </c>
      <c r="AP11" s="33" t="s">
        <v>35</v>
      </c>
      <c r="AQ11" s="33" t="s">
        <v>35</v>
      </c>
      <c r="AR11" s="32" t="s">
        <v>35</v>
      </c>
    </row>
    <row r="12" spans="1:44" ht="18" customHeight="1">
      <c r="A12" s="31" t="s">
        <v>35</v>
      </c>
      <c r="B12" s="75">
        <v>9</v>
      </c>
      <c r="C12" s="104" t="s">
        <v>277</v>
      </c>
      <c r="D12" s="105"/>
      <c r="E12" s="106" t="s">
        <v>285</v>
      </c>
      <c r="F12" s="108" t="s">
        <v>108</v>
      </c>
      <c r="G12" s="103" t="s">
        <v>166</v>
      </c>
      <c r="H12" s="33" t="s">
        <v>35</v>
      </c>
      <c r="I12" s="33" t="s">
        <v>35</v>
      </c>
      <c r="J12" s="33" t="s">
        <v>35</v>
      </c>
      <c r="K12" s="33" t="s">
        <v>35</v>
      </c>
      <c r="L12" s="59" t="s">
        <v>35</v>
      </c>
      <c r="M12" s="60" t="s">
        <v>35</v>
      </c>
      <c r="N12" s="60" t="s">
        <v>35</v>
      </c>
      <c r="O12" s="58" t="s">
        <v>35</v>
      </c>
      <c r="P12" s="59" t="s">
        <v>35</v>
      </c>
      <c r="Q12" s="60" t="s">
        <v>35</v>
      </c>
      <c r="R12" s="60" t="s">
        <v>35</v>
      </c>
      <c r="S12" s="58" t="s">
        <v>35</v>
      </c>
      <c r="T12" s="59" t="s">
        <v>35</v>
      </c>
      <c r="U12" s="60" t="s">
        <v>35</v>
      </c>
      <c r="V12" s="60" t="s">
        <v>35</v>
      </c>
      <c r="W12" s="58" t="s">
        <v>35</v>
      </c>
      <c r="X12" s="59" t="s">
        <v>35</v>
      </c>
      <c r="Y12" s="60" t="s">
        <v>35</v>
      </c>
      <c r="Z12" s="60" t="s">
        <v>35</v>
      </c>
      <c r="AA12" s="58" t="s">
        <v>208</v>
      </c>
      <c r="AB12" s="59" t="s">
        <v>35</v>
      </c>
      <c r="AC12" s="60" t="s">
        <v>35</v>
      </c>
      <c r="AD12" s="60" t="s">
        <v>35</v>
      </c>
      <c r="AE12" s="58" t="s">
        <v>35</v>
      </c>
      <c r="AF12" s="59" t="s">
        <v>35</v>
      </c>
      <c r="AG12" s="60" t="s">
        <v>35</v>
      </c>
      <c r="AH12" s="60" t="s">
        <v>35</v>
      </c>
      <c r="AI12" s="58" t="s">
        <v>35</v>
      </c>
      <c r="AJ12" s="59" t="s">
        <v>35</v>
      </c>
      <c r="AK12" s="60" t="s">
        <v>35</v>
      </c>
      <c r="AL12" s="58" t="s">
        <v>35</v>
      </c>
      <c r="AM12" s="59" t="s">
        <v>35</v>
      </c>
      <c r="AN12" s="60" t="s">
        <v>35</v>
      </c>
      <c r="AO12" s="58" t="s">
        <v>35</v>
      </c>
      <c r="AP12" s="33" t="s">
        <v>35</v>
      </c>
      <c r="AQ12" s="33" t="s">
        <v>35</v>
      </c>
      <c r="AR12" s="32" t="s">
        <v>35</v>
      </c>
    </row>
    <row r="13" spans="1:44" ht="18" customHeight="1">
      <c r="A13" s="31" t="s">
        <v>35</v>
      </c>
      <c r="B13" s="75">
        <v>10</v>
      </c>
      <c r="C13" s="104" t="s">
        <v>277</v>
      </c>
      <c r="D13" s="105"/>
      <c r="E13" s="106" t="s">
        <v>286</v>
      </c>
      <c r="F13" s="108" t="s">
        <v>287</v>
      </c>
      <c r="G13" s="103" t="s">
        <v>166</v>
      </c>
      <c r="H13" s="33" t="s">
        <v>35</v>
      </c>
      <c r="I13" s="33" t="s">
        <v>35</v>
      </c>
      <c r="J13" s="33" t="s">
        <v>35</v>
      </c>
      <c r="K13" s="33" t="s">
        <v>35</v>
      </c>
      <c r="L13" s="59" t="s">
        <v>35</v>
      </c>
      <c r="M13" s="60" t="s">
        <v>35</v>
      </c>
      <c r="N13" s="60" t="s">
        <v>35</v>
      </c>
      <c r="O13" s="58"/>
      <c r="P13" s="59" t="s">
        <v>35</v>
      </c>
      <c r="Q13" s="60" t="s">
        <v>35</v>
      </c>
      <c r="R13" s="60" t="s">
        <v>35</v>
      </c>
      <c r="S13" s="58" t="s">
        <v>35</v>
      </c>
      <c r="T13" s="59" t="s">
        <v>35</v>
      </c>
      <c r="U13" s="60" t="s">
        <v>35</v>
      </c>
      <c r="V13" s="60" t="s">
        <v>35</v>
      </c>
      <c r="W13" s="58" t="s">
        <v>35</v>
      </c>
      <c r="X13" s="59" t="s">
        <v>35</v>
      </c>
      <c r="Y13" s="60" t="s">
        <v>35</v>
      </c>
      <c r="Z13" s="60" t="s">
        <v>35</v>
      </c>
      <c r="AA13" s="58" t="s">
        <v>35</v>
      </c>
      <c r="AB13" s="59" t="s">
        <v>35</v>
      </c>
      <c r="AC13" s="60" t="s">
        <v>35</v>
      </c>
      <c r="AD13" s="60" t="s">
        <v>35</v>
      </c>
      <c r="AE13" s="58" t="s">
        <v>35</v>
      </c>
      <c r="AF13" s="59" t="s">
        <v>35</v>
      </c>
      <c r="AG13" s="60" t="s">
        <v>35</v>
      </c>
      <c r="AH13" s="60" t="s">
        <v>35</v>
      </c>
      <c r="AI13" s="58" t="s">
        <v>35</v>
      </c>
      <c r="AJ13" s="59" t="s">
        <v>35</v>
      </c>
      <c r="AK13" s="60" t="s">
        <v>35</v>
      </c>
      <c r="AL13" s="58" t="s">
        <v>35</v>
      </c>
      <c r="AM13" s="59" t="s">
        <v>35</v>
      </c>
      <c r="AN13" s="60" t="s">
        <v>35</v>
      </c>
      <c r="AO13" s="58" t="s">
        <v>35</v>
      </c>
      <c r="AP13" s="33" t="s">
        <v>35</v>
      </c>
      <c r="AQ13" s="33" t="s">
        <v>35</v>
      </c>
      <c r="AR13" s="32" t="s">
        <v>35</v>
      </c>
    </row>
    <row r="14" spans="1:44" ht="18" customHeight="1">
      <c r="A14" s="31" t="s">
        <v>35</v>
      </c>
      <c r="B14" s="75">
        <v>11</v>
      </c>
      <c r="C14" s="104" t="s">
        <v>277</v>
      </c>
      <c r="D14" s="105"/>
      <c r="E14" s="106" t="s">
        <v>288</v>
      </c>
      <c r="F14" s="108" t="s">
        <v>289</v>
      </c>
      <c r="G14" s="103" t="s">
        <v>166</v>
      </c>
      <c r="H14" s="33" t="s">
        <v>35</v>
      </c>
      <c r="I14" s="33" t="s">
        <v>35</v>
      </c>
      <c r="J14" s="33" t="s">
        <v>35</v>
      </c>
      <c r="K14" s="33" t="s">
        <v>35</v>
      </c>
      <c r="L14" s="59" t="s">
        <v>35</v>
      </c>
      <c r="M14" s="60" t="s">
        <v>35</v>
      </c>
      <c r="N14" s="60" t="s">
        <v>35</v>
      </c>
      <c r="O14" s="58"/>
      <c r="P14" s="59" t="s">
        <v>35</v>
      </c>
      <c r="Q14" s="60" t="s">
        <v>35</v>
      </c>
      <c r="R14" s="60" t="s">
        <v>35</v>
      </c>
      <c r="S14" s="58" t="s">
        <v>35</v>
      </c>
      <c r="T14" s="59" t="s">
        <v>35</v>
      </c>
      <c r="U14" s="60" t="s">
        <v>35</v>
      </c>
      <c r="V14" s="60" t="s">
        <v>35</v>
      </c>
      <c r="W14" s="58" t="s">
        <v>35</v>
      </c>
      <c r="X14" s="59" t="s">
        <v>35</v>
      </c>
      <c r="Y14" s="60" t="s">
        <v>35</v>
      </c>
      <c r="Z14" s="60" t="s">
        <v>35</v>
      </c>
      <c r="AA14" s="58" t="s">
        <v>35</v>
      </c>
      <c r="AB14" s="59" t="s">
        <v>35</v>
      </c>
      <c r="AC14" s="60" t="s">
        <v>35</v>
      </c>
      <c r="AD14" s="60" t="s">
        <v>35</v>
      </c>
      <c r="AE14" s="58" t="s">
        <v>35</v>
      </c>
      <c r="AF14" s="59" t="s">
        <v>35</v>
      </c>
      <c r="AG14" s="60" t="s">
        <v>35</v>
      </c>
      <c r="AH14" s="60" t="s">
        <v>35</v>
      </c>
      <c r="AI14" s="58" t="s">
        <v>35</v>
      </c>
      <c r="AJ14" s="59" t="s">
        <v>35</v>
      </c>
      <c r="AK14" s="60" t="s">
        <v>35</v>
      </c>
      <c r="AL14" s="58" t="s">
        <v>35</v>
      </c>
      <c r="AM14" s="59" t="s">
        <v>35</v>
      </c>
      <c r="AN14" s="60" t="s">
        <v>35</v>
      </c>
      <c r="AO14" s="58" t="s">
        <v>35</v>
      </c>
      <c r="AP14" s="33" t="s">
        <v>35</v>
      </c>
      <c r="AQ14" s="33" t="s">
        <v>35</v>
      </c>
      <c r="AR14" s="32" t="s">
        <v>35</v>
      </c>
    </row>
    <row r="15" spans="1:44" ht="18" customHeight="1">
      <c r="A15" s="31" t="s">
        <v>35</v>
      </c>
      <c r="B15" s="75">
        <v>12</v>
      </c>
      <c r="C15" s="104" t="s">
        <v>277</v>
      </c>
      <c r="D15" s="105" t="s">
        <v>290</v>
      </c>
      <c r="E15" s="106" t="s">
        <v>291</v>
      </c>
      <c r="F15" s="108" t="s">
        <v>292</v>
      </c>
      <c r="G15" s="103" t="s">
        <v>166</v>
      </c>
      <c r="H15" s="33" t="s">
        <v>35</v>
      </c>
      <c r="I15" s="33" t="s">
        <v>35</v>
      </c>
      <c r="J15" s="33" t="s">
        <v>35</v>
      </c>
      <c r="K15" s="33" t="s">
        <v>35</v>
      </c>
      <c r="L15" s="59" t="s">
        <v>35</v>
      </c>
      <c r="M15" s="60" t="s">
        <v>35</v>
      </c>
      <c r="N15" s="60" t="s">
        <v>35</v>
      </c>
      <c r="O15" s="58" t="s">
        <v>35</v>
      </c>
      <c r="P15" s="59" t="s">
        <v>35</v>
      </c>
      <c r="Q15" s="60" t="s">
        <v>35</v>
      </c>
      <c r="R15" s="60" t="s">
        <v>35</v>
      </c>
      <c r="S15" s="58" t="s">
        <v>35</v>
      </c>
      <c r="T15" s="59" t="s">
        <v>35</v>
      </c>
      <c r="U15" s="60" t="s">
        <v>35</v>
      </c>
      <c r="V15" s="60" t="s">
        <v>35</v>
      </c>
      <c r="W15" s="58" t="s">
        <v>35</v>
      </c>
      <c r="X15" s="59" t="s">
        <v>35</v>
      </c>
      <c r="Y15" s="60" t="s">
        <v>35</v>
      </c>
      <c r="Z15" s="60" t="s">
        <v>35</v>
      </c>
      <c r="AA15" s="58" t="s">
        <v>35</v>
      </c>
      <c r="AB15" s="59" t="s">
        <v>35</v>
      </c>
      <c r="AC15" s="60" t="s">
        <v>35</v>
      </c>
      <c r="AD15" s="60" t="s">
        <v>35</v>
      </c>
      <c r="AE15" s="58" t="s">
        <v>35</v>
      </c>
      <c r="AF15" s="59" t="s">
        <v>35</v>
      </c>
      <c r="AG15" s="60" t="s">
        <v>35</v>
      </c>
      <c r="AH15" s="60" t="s">
        <v>35</v>
      </c>
      <c r="AI15" s="58" t="s">
        <v>35</v>
      </c>
      <c r="AJ15" s="59" t="s">
        <v>35</v>
      </c>
      <c r="AK15" s="60" t="s">
        <v>35</v>
      </c>
      <c r="AL15" s="58" t="s">
        <v>35</v>
      </c>
      <c r="AM15" s="59" t="s">
        <v>35</v>
      </c>
      <c r="AN15" s="60" t="s">
        <v>35</v>
      </c>
      <c r="AO15" s="58" t="s">
        <v>35</v>
      </c>
      <c r="AP15" s="33" t="s">
        <v>35</v>
      </c>
      <c r="AQ15" s="33" t="s">
        <v>35</v>
      </c>
      <c r="AR15" s="32" t="s">
        <v>35</v>
      </c>
    </row>
    <row r="16" spans="1:44" ht="18" customHeight="1">
      <c r="A16" s="31" t="s">
        <v>35</v>
      </c>
      <c r="B16" s="75">
        <v>13</v>
      </c>
      <c r="C16" s="104" t="s">
        <v>277</v>
      </c>
      <c r="D16" s="105"/>
      <c r="E16" s="106"/>
      <c r="F16" s="108" t="s">
        <v>293</v>
      </c>
      <c r="G16" s="103" t="s">
        <v>166</v>
      </c>
      <c r="H16" s="33" t="s">
        <v>35</v>
      </c>
      <c r="I16" s="33" t="s">
        <v>35</v>
      </c>
      <c r="J16" s="33" t="s">
        <v>35</v>
      </c>
      <c r="K16" s="33" t="s">
        <v>35</v>
      </c>
      <c r="L16" s="59" t="s">
        <v>35</v>
      </c>
      <c r="M16" s="60" t="s">
        <v>35</v>
      </c>
      <c r="N16" s="60" t="s">
        <v>35</v>
      </c>
      <c r="O16" s="58" t="s">
        <v>35</v>
      </c>
      <c r="P16" s="59" t="s">
        <v>35</v>
      </c>
      <c r="Q16" s="60" t="s">
        <v>35</v>
      </c>
      <c r="R16" s="60" t="s">
        <v>35</v>
      </c>
      <c r="S16" s="58" t="s">
        <v>35</v>
      </c>
      <c r="T16" s="59" t="s">
        <v>35</v>
      </c>
      <c r="U16" s="60" t="s">
        <v>35</v>
      </c>
      <c r="V16" s="60" t="s">
        <v>35</v>
      </c>
      <c r="W16" s="58" t="s">
        <v>35</v>
      </c>
      <c r="X16" s="59" t="s">
        <v>35</v>
      </c>
      <c r="Y16" s="60" t="s">
        <v>35</v>
      </c>
      <c r="Z16" s="60" t="s">
        <v>35</v>
      </c>
      <c r="AA16" s="58" t="s">
        <v>35</v>
      </c>
      <c r="AB16" s="59" t="s">
        <v>35</v>
      </c>
      <c r="AC16" s="60" t="s">
        <v>35</v>
      </c>
      <c r="AD16" s="60" t="s">
        <v>35</v>
      </c>
      <c r="AE16" s="58" t="s">
        <v>35</v>
      </c>
      <c r="AF16" s="59" t="s">
        <v>35</v>
      </c>
      <c r="AG16" s="60" t="s">
        <v>35</v>
      </c>
      <c r="AH16" s="60" t="s">
        <v>35</v>
      </c>
      <c r="AI16" s="58" t="s">
        <v>35</v>
      </c>
      <c r="AJ16" s="59" t="s">
        <v>35</v>
      </c>
      <c r="AK16" s="60" t="s">
        <v>35</v>
      </c>
      <c r="AL16" s="58" t="s">
        <v>35</v>
      </c>
      <c r="AM16" s="59" t="s">
        <v>35</v>
      </c>
      <c r="AN16" s="60" t="s">
        <v>35</v>
      </c>
      <c r="AO16" s="58" t="s">
        <v>35</v>
      </c>
      <c r="AP16" s="33" t="s">
        <v>35</v>
      </c>
      <c r="AQ16" s="33" t="s">
        <v>35</v>
      </c>
      <c r="AR16" s="32" t="s">
        <v>35</v>
      </c>
    </row>
    <row r="17" spans="1:44" ht="18" customHeight="1">
      <c r="A17" s="31" t="s">
        <v>35</v>
      </c>
      <c r="B17" s="75">
        <v>14</v>
      </c>
      <c r="C17" s="104" t="s">
        <v>277</v>
      </c>
      <c r="D17" s="105"/>
      <c r="E17" s="106" t="s">
        <v>116</v>
      </c>
      <c r="F17" s="108" t="s">
        <v>294</v>
      </c>
      <c r="G17" s="100" t="s">
        <v>166</v>
      </c>
      <c r="H17" s="33" t="s">
        <v>35</v>
      </c>
      <c r="I17" s="33" t="s">
        <v>35</v>
      </c>
      <c r="J17" s="33" t="s">
        <v>35</v>
      </c>
      <c r="K17" s="33" t="s">
        <v>35</v>
      </c>
      <c r="L17" s="59" t="s">
        <v>35</v>
      </c>
      <c r="M17" s="60" t="s">
        <v>35</v>
      </c>
      <c r="N17" s="60" t="s">
        <v>35</v>
      </c>
      <c r="O17" s="58" t="s">
        <v>35</v>
      </c>
      <c r="P17" s="59" t="s">
        <v>35</v>
      </c>
      <c r="Q17" s="60" t="s">
        <v>35</v>
      </c>
      <c r="R17" s="60" t="s">
        <v>35</v>
      </c>
      <c r="S17" s="58" t="s">
        <v>35</v>
      </c>
      <c r="T17" s="59" t="s">
        <v>35</v>
      </c>
      <c r="U17" s="60" t="s">
        <v>35</v>
      </c>
      <c r="V17" s="60" t="s">
        <v>35</v>
      </c>
      <c r="W17" s="58" t="s">
        <v>35</v>
      </c>
      <c r="X17" s="59" t="s">
        <v>35</v>
      </c>
      <c r="Y17" s="60" t="s">
        <v>35</v>
      </c>
      <c r="Z17" s="60" t="s">
        <v>35</v>
      </c>
      <c r="AA17" s="58" t="s">
        <v>35</v>
      </c>
      <c r="AB17" s="59" t="s">
        <v>35</v>
      </c>
      <c r="AC17" s="60" t="s">
        <v>35</v>
      </c>
      <c r="AD17" s="60" t="s">
        <v>35</v>
      </c>
      <c r="AE17" s="58" t="s">
        <v>35</v>
      </c>
      <c r="AF17" s="59" t="s">
        <v>35</v>
      </c>
      <c r="AG17" s="60" t="s">
        <v>35</v>
      </c>
      <c r="AH17" s="60" t="s">
        <v>35</v>
      </c>
      <c r="AI17" s="58" t="s">
        <v>35</v>
      </c>
      <c r="AJ17" s="59" t="s">
        <v>35</v>
      </c>
      <c r="AK17" s="60" t="s">
        <v>35</v>
      </c>
      <c r="AL17" s="58" t="s">
        <v>35</v>
      </c>
      <c r="AM17" s="59" t="s">
        <v>35</v>
      </c>
      <c r="AN17" s="60" t="s">
        <v>35</v>
      </c>
      <c r="AO17" s="58" t="s">
        <v>35</v>
      </c>
      <c r="AP17" s="33" t="s">
        <v>35</v>
      </c>
      <c r="AQ17" s="33" t="s">
        <v>35</v>
      </c>
      <c r="AR17" s="32" t="s">
        <v>35</v>
      </c>
    </row>
    <row r="18" spans="1:44" ht="18" customHeight="1">
      <c r="A18" s="31" t="s">
        <v>35</v>
      </c>
      <c r="B18" s="75">
        <v>15</v>
      </c>
      <c r="C18" s="104" t="s">
        <v>277</v>
      </c>
      <c r="D18" s="105"/>
      <c r="E18" s="106" t="s">
        <v>295</v>
      </c>
      <c r="F18" s="108" t="s">
        <v>296</v>
      </c>
      <c r="G18" s="100" t="s">
        <v>166</v>
      </c>
      <c r="H18" s="33" t="s">
        <v>35</v>
      </c>
      <c r="I18" s="33" t="s">
        <v>35</v>
      </c>
      <c r="J18" s="33" t="s">
        <v>35</v>
      </c>
      <c r="K18" s="33" t="s">
        <v>35</v>
      </c>
      <c r="L18" s="59" t="s">
        <v>35</v>
      </c>
      <c r="M18" s="60" t="s">
        <v>35</v>
      </c>
      <c r="N18" s="60" t="s">
        <v>35</v>
      </c>
      <c r="O18" s="58" t="s">
        <v>35</v>
      </c>
      <c r="P18" s="59" t="s">
        <v>35</v>
      </c>
      <c r="Q18" s="60" t="s">
        <v>35</v>
      </c>
      <c r="R18" s="60" t="s">
        <v>35</v>
      </c>
      <c r="S18" s="58" t="s">
        <v>35</v>
      </c>
      <c r="T18" s="59" t="s">
        <v>35</v>
      </c>
      <c r="U18" s="60" t="s">
        <v>35</v>
      </c>
      <c r="V18" s="60" t="s">
        <v>35</v>
      </c>
      <c r="W18" s="58" t="s">
        <v>35</v>
      </c>
      <c r="X18" s="59" t="s">
        <v>35</v>
      </c>
      <c r="Y18" s="60" t="s">
        <v>35</v>
      </c>
      <c r="Z18" s="60" t="s">
        <v>35</v>
      </c>
      <c r="AA18" s="58" t="s">
        <v>35</v>
      </c>
      <c r="AB18" s="59" t="s">
        <v>35</v>
      </c>
      <c r="AC18" s="60" t="s">
        <v>35</v>
      </c>
      <c r="AD18" s="60" t="s">
        <v>35</v>
      </c>
      <c r="AE18" s="58" t="s">
        <v>35</v>
      </c>
      <c r="AF18" s="59" t="s">
        <v>35</v>
      </c>
      <c r="AG18" s="60" t="s">
        <v>35</v>
      </c>
      <c r="AH18" s="60" t="s">
        <v>35</v>
      </c>
      <c r="AI18" s="58" t="s">
        <v>35</v>
      </c>
      <c r="AJ18" s="59" t="s">
        <v>35</v>
      </c>
      <c r="AK18" s="60" t="s">
        <v>35</v>
      </c>
      <c r="AL18" s="58" t="s">
        <v>35</v>
      </c>
      <c r="AM18" s="59" t="s">
        <v>35</v>
      </c>
      <c r="AN18" s="60" t="s">
        <v>35</v>
      </c>
      <c r="AO18" s="58" t="s">
        <v>35</v>
      </c>
      <c r="AP18" s="33" t="s">
        <v>35</v>
      </c>
      <c r="AQ18" s="33" t="s">
        <v>35</v>
      </c>
      <c r="AR18" s="32" t="s">
        <v>35</v>
      </c>
    </row>
    <row r="19" spans="1:44" ht="18" customHeight="1">
      <c r="A19" s="31" t="s">
        <v>35</v>
      </c>
      <c r="B19" s="75">
        <v>16</v>
      </c>
      <c r="C19" s="104" t="s">
        <v>277</v>
      </c>
      <c r="D19" s="105"/>
      <c r="E19" s="106" t="s">
        <v>297</v>
      </c>
      <c r="F19" s="108" t="s">
        <v>298</v>
      </c>
      <c r="G19" s="100" t="s">
        <v>166</v>
      </c>
      <c r="H19" s="33" t="s">
        <v>35</v>
      </c>
      <c r="I19" s="33" t="s">
        <v>35</v>
      </c>
      <c r="J19" s="33" t="s">
        <v>35</v>
      </c>
      <c r="K19" s="33" t="s">
        <v>35</v>
      </c>
      <c r="L19" s="59" t="s">
        <v>35</v>
      </c>
      <c r="M19" s="60" t="s">
        <v>35</v>
      </c>
      <c r="N19" s="60" t="s">
        <v>35</v>
      </c>
      <c r="O19" s="58" t="s">
        <v>35</v>
      </c>
      <c r="P19" s="59" t="s">
        <v>35</v>
      </c>
      <c r="Q19" s="60" t="s">
        <v>35</v>
      </c>
      <c r="R19" s="60" t="s">
        <v>35</v>
      </c>
      <c r="S19" s="58" t="s">
        <v>35</v>
      </c>
      <c r="T19" s="59" t="s">
        <v>35</v>
      </c>
      <c r="U19" s="60" t="s">
        <v>35</v>
      </c>
      <c r="V19" s="60" t="s">
        <v>35</v>
      </c>
      <c r="W19" s="58" t="s">
        <v>35</v>
      </c>
      <c r="X19" s="59" t="s">
        <v>35</v>
      </c>
      <c r="Y19" s="60" t="s">
        <v>35</v>
      </c>
      <c r="Z19" s="60" t="s">
        <v>35</v>
      </c>
      <c r="AA19" s="58" t="s">
        <v>35</v>
      </c>
      <c r="AB19" s="59" t="s">
        <v>35</v>
      </c>
      <c r="AC19" s="60" t="s">
        <v>35</v>
      </c>
      <c r="AD19" s="60" t="s">
        <v>35</v>
      </c>
      <c r="AE19" s="58" t="s">
        <v>35</v>
      </c>
      <c r="AF19" s="59" t="s">
        <v>35</v>
      </c>
      <c r="AG19" s="60" t="s">
        <v>35</v>
      </c>
      <c r="AH19" s="60" t="s">
        <v>35</v>
      </c>
      <c r="AI19" s="58" t="s">
        <v>35</v>
      </c>
      <c r="AJ19" s="59" t="s">
        <v>35</v>
      </c>
      <c r="AK19" s="60" t="s">
        <v>35</v>
      </c>
      <c r="AL19" s="58" t="s">
        <v>35</v>
      </c>
      <c r="AM19" s="59" t="s">
        <v>35</v>
      </c>
      <c r="AN19" s="60" t="s">
        <v>35</v>
      </c>
      <c r="AO19" s="58" t="s">
        <v>35</v>
      </c>
      <c r="AP19" s="33" t="s">
        <v>35</v>
      </c>
      <c r="AQ19" s="33" t="s">
        <v>35</v>
      </c>
      <c r="AR19" s="32" t="s">
        <v>35</v>
      </c>
    </row>
    <row r="20" spans="1:44" ht="18" customHeight="1">
      <c r="A20" s="31" t="s">
        <v>35</v>
      </c>
      <c r="B20" s="75">
        <v>17</v>
      </c>
      <c r="C20" s="104" t="s">
        <v>277</v>
      </c>
      <c r="D20" s="105" t="s">
        <v>299</v>
      </c>
      <c r="E20" s="106" t="s">
        <v>300</v>
      </c>
      <c r="F20" s="108" t="s">
        <v>301</v>
      </c>
      <c r="G20" s="100" t="s">
        <v>166</v>
      </c>
      <c r="H20" s="33" t="s">
        <v>35</v>
      </c>
      <c r="I20" s="33" t="s">
        <v>35</v>
      </c>
      <c r="J20" s="33" t="s">
        <v>35</v>
      </c>
      <c r="K20" s="33" t="s">
        <v>35</v>
      </c>
      <c r="L20" s="59" t="s">
        <v>35</v>
      </c>
      <c r="M20" s="60" t="s">
        <v>35</v>
      </c>
      <c r="N20" s="60" t="s">
        <v>35</v>
      </c>
      <c r="O20" s="58" t="s">
        <v>35</v>
      </c>
      <c r="P20" s="59" t="s">
        <v>35</v>
      </c>
      <c r="Q20" s="60" t="s">
        <v>35</v>
      </c>
      <c r="R20" s="60" t="s">
        <v>35</v>
      </c>
      <c r="S20" s="58" t="s">
        <v>35</v>
      </c>
      <c r="T20" s="59" t="s">
        <v>35</v>
      </c>
      <c r="U20" s="60" t="s">
        <v>35</v>
      </c>
      <c r="V20" s="60" t="s">
        <v>35</v>
      </c>
      <c r="W20" s="58" t="s">
        <v>35</v>
      </c>
      <c r="X20" s="59" t="s">
        <v>35</v>
      </c>
      <c r="Y20" s="60" t="s">
        <v>35</v>
      </c>
      <c r="Z20" s="60" t="s">
        <v>35</v>
      </c>
      <c r="AA20" s="58" t="s">
        <v>35</v>
      </c>
      <c r="AB20" s="59" t="s">
        <v>35</v>
      </c>
      <c r="AC20" s="60" t="s">
        <v>35</v>
      </c>
      <c r="AD20" s="60" t="s">
        <v>35</v>
      </c>
      <c r="AE20" s="58" t="s">
        <v>35</v>
      </c>
      <c r="AF20" s="59" t="s">
        <v>35</v>
      </c>
      <c r="AG20" s="60" t="s">
        <v>35</v>
      </c>
      <c r="AH20" s="60" t="s">
        <v>35</v>
      </c>
      <c r="AI20" s="58" t="s">
        <v>35</v>
      </c>
      <c r="AJ20" s="59" t="s">
        <v>35</v>
      </c>
      <c r="AK20" s="60" t="s">
        <v>35</v>
      </c>
      <c r="AL20" s="58" t="s">
        <v>35</v>
      </c>
      <c r="AM20" s="59" t="s">
        <v>35</v>
      </c>
      <c r="AN20" s="60" t="s">
        <v>35</v>
      </c>
      <c r="AO20" s="58" t="s">
        <v>35</v>
      </c>
      <c r="AP20" s="33" t="s">
        <v>35</v>
      </c>
      <c r="AQ20" s="33" t="s">
        <v>35</v>
      </c>
      <c r="AR20" s="32" t="s">
        <v>35</v>
      </c>
    </row>
    <row r="21" spans="1:44" ht="18" customHeight="1">
      <c r="A21" s="31" t="s">
        <v>35</v>
      </c>
      <c r="B21" s="75">
        <v>18</v>
      </c>
      <c r="C21" s="104" t="s">
        <v>277</v>
      </c>
      <c r="D21" s="105"/>
      <c r="E21" s="106"/>
      <c r="F21" s="108" t="s">
        <v>302</v>
      </c>
      <c r="G21" s="100" t="s">
        <v>166</v>
      </c>
      <c r="H21" s="33" t="s">
        <v>35</v>
      </c>
      <c r="I21" s="33" t="s">
        <v>35</v>
      </c>
      <c r="J21" s="33" t="s">
        <v>35</v>
      </c>
      <c r="K21" s="33" t="s">
        <v>35</v>
      </c>
      <c r="L21" s="59" t="s">
        <v>35</v>
      </c>
      <c r="M21" s="60" t="s">
        <v>35</v>
      </c>
      <c r="N21" s="60" t="s">
        <v>35</v>
      </c>
      <c r="O21" s="58" t="s">
        <v>35</v>
      </c>
      <c r="P21" s="59" t="s">
        <v>35</v>
      </c>
      <c r="Q21" s="60" t="s">
        <v>35</v>
      </c>
      <c r="R21" s="60" t="s">
        <v>35</v>
      </c>
      <c r="S21" s="58" t="s">
        <v>35</v>
      </c>
      <c r="T21" s="59" t="s">
        <v>35</v>
      </c>
      <c r="U21" s="60" t="s">
        <v>35</v>
      </c>
      <c r="V21" s="60" t="s">
        <v>35</v>
      </c>
      <c r="W21" s="58" t="s">
        <v>35</v>
      </c>
      <c r="X21" s="59" t="s">
        <v>35</v>
      </c>
      <c r="Y21" s="60" t="s">
        <v>35</v>
      </c>
      <c r="Z21" s="60" t="s">
        <v>35</v>
      </c>
      <c r="AA21" s="58" t="s">
        <v>35</v>
      </c>
      <c r="AB21" s="59" t="s">
        <v>35</v>
      </c>
      <c r="AC21" s="60" t="s">
        <v>35</v>
      </c>
      <c r="AD21" s="60" t="s">
        <v>35</v>
      </c>
      <c r="AE21" s="58" t="s">
        <v>35</v>
      </c>
      <c r="AF21" s="59" t="s">
        <v>35</v>
      </c>
      <c r="AG21" s="60" t="s">
        <v>35</v>
      </c>
      <c r="AH21" s="60" t="s">
        <v>35</v>
      </c>
      <c r="AI21" s="58" t="s">
        <v>35</v>
      </c>
      <c r="AJ21" s="59" t="s">
        <v>35</v>
      </c>
      <c r="AK21" s="60" t="s">
        <v>35</v>
      </c>
      <c r="AL21" s="58" t="s">
        <v>35</v>
      </c>
      <c r="AM21" s="59" t="s">
        <v>35</v>
      </c>
      <c r="AN21" s="60" t="s">
        <v>35</v>
      </c>
      <c r="AO21" s="58" t="s">
        <v>35</v>
      </c>
      <c r="AP21" s="33" t="s">
        <v>35</v>
      </c>
      <c r="AQ21" s="33" t="s">
        <v>35</v>
      </c>
      <c r="AR21" s="32" t="s">
        <v>35</v>
      </c>
    </row>
    <row r="22" spans="1:44" ht="18" customHeight="1">
      <c r="A22" s="31" t="s">
        <v>35</v>
      </c>
      <c r="B22" s="75">
        <v>19</v>
      </c>
      <c r="C22" s="104" t="s">
        <v>277</v>
      </c>
      <c r="D22" s="105"/>
      <c r="E22" s="105"/>
      <c r="F22" s="108" t="s">
        <v>303</v>
      </c>
      <c r="G22" s="100" t="s">
        <v>166</v>
      </c>
      <c r="H22" s="33" t="s">
        <v>35</v>
      </c>
      <c r="I22" s="33" t="s">
        <v>35</v>
      </c>
      <c r="J22" s="33" t="s">
        <v>35</v>
      </c>
      <c r="K22" s="33" t="s">
        <v>35</v>
      </c>
      <c r="L22" s="59" t="s">
        <v>35</v>
      </c>
      <c r="M22" s="60" t="s">
        <v>35</v>
      </c>
      <c r="N22" s="60" t="s">
        <v>35</v>
      </c>
      <c r="O22" s="58" t="s">
        <v>35</v>
      </c>
      <c r="P22" s="59" t="s">
        <v>35</v>
      </c>
      <c r="Q22" s="60" t="s">
        <v>35</v>
      </c>
      <c r="R22" s="60" t="s">
        <v>35</v>
      </c>
      <c r="S22" s="58" t="s">
        <v>35</v>
      </c>
      <c r="T22" s="59" t="s">
        <v>35</v>
      </c>
      <c r="U22" s="60" t="s">
        <v>35</v>
      </c>
      <c r="V22" s="60" t="s">
        <v>35</v>
      </c>
      <c r="W22" s="58" t="s">
        <v>35</v>
      </c>
      <c r="X22" s="59" t="s">
        <v>35</v>
      </c>
      <c r="Y22" s="60" t="s">
        <v>35</v>
      </c>
      <c r="Z22" s="60" t="s">
        <v>35</v>
      </c>
      <c r="AA22" s="58" t="s">
        <v>35</v>
      </c>
      <c r="AB22" s="59" t="s">
        <v>35</v>
      </c>
      <c r="AC22" s="60" t="s">
        <v>35</v>
      </c>
      <c r="AD22" s="60" t="s">
        <v>35</v>
      </c>
      <c r="AE22" s="58" t="s">
        <v>35</v>
      </c>
      <c r="AF22" s="59" t="s">
        <v>35</v>
      </c>
      <c r="AG22" s="60" t="s">
        <v>35</v>
      </c>
      <c r="AH22" s="60" t="s">
        <v>35</v>
      </c>
      <c r="AI22" s="58" t="s">
        <v>35</v>
      </c>
      <c r="AJ22" s="59" t="s">
        <v>35</v>
      </c>
      <c r="AK22" s="60" t="s">
        <v>35</v>
      </c>
      <c r="AL22" s="58" t="s">
        <v>35</v>
      </c>
      <c r="AM22" s="59" t="s">
        <v>35</v>
      </c>
      <c r="AN22" s="60" t="s">
        <v>35</v>
      </c>
      <c r="AO22" s="58" t="s">
        <v>35</v>
      </c>
      <c r="AP22" s="33" t="s">
        <v>35</v>
      </c>
      <c r="AQ22" s="33" t="s">
        <v>35</v>
      </c>
      <c r="AR22" s="32" t="s">
        <v>35</v>
      </c>
    </row>
    <row r="23" spans="1:44" ht="18" customHeight="1">
      <c r="A23" s="31" t="s">
        <v>35</v>
      </c>
      <c r="B23" s="75">
        <v>20</v>
      </c>
      <c r="C23" s="104" t="s">
        <v>277</v>
      </c>
      <c r="D23" s="105"/>
      <c r="E23" s="106"/>
      <c r="F23" s="108" t="s">
        <v>304</v>
      </c>
      <c r="G23" s="100" t="s">
        <v>166</v>
      </c>
      <c r="H23" s="33" t="s">
        <v>35</v>
      </c>
      <c r="I23" s="33" t="s">
        <v>35</v>
      </c>
      <c r="J23" s="33" t="s">
        <v>35</v>
      </c>
      <c r="K23" s="33" t="s">
        <v>35</v>
      </c>
      <c r="L23" s="59" t="s">
        <v>35</v>
      </c>
      <c r="M23" s="60" t="s">
        <v>35</v>
      </c>
      <c r="N23" s="60" t="s">
        <v>35</v>
      </c>
      <c r="O23" s="58" t="s">
        <v>35</v>
      </c>
      <c r="P23" s="59" t="s">
        <v>35</v>
      </c>
      <c r="Q23" s="60" t="s">
        <v>35</v>
      </c>
      <c r="R23" s="60" t="s">
        <v>35</v>
      </c>
      <c r="S23" s="58" t="s">
        <v>35</v>
      </c>
      <c r="T23" s="59" t="s">
        <v>35</v>
      </c>
      <c r="U23" s="60" t="s">
        <v>35</v>
      </c>
      <c r="V23" s="60" t="s">
        <v>35</v>
      </c>
      <c r="W23" s="58" t="s">
        <v>35</v>
      </c>
      <c r="X23" s="59" t="s">
        <v>35</v>
      </c>
      <c r="Y23" s="60" t="s">
        <v>35</v>
      </c>
      <c r="Z23" s="60" t="s">
        <v>35</v>
      </c>
      <c r="AA23" s="58" t="s">
        <v>35</v>
      </c>
      <c r="AB23" s="59" t="s">
        <v>35</v>
      </c>
      <c r="AC23" s="60" t="s">
        <v>35</v>
      </c>
      <c r="AD23" s="60" t="s">
        <v>35</v>
      </c>
      <c r="AE23" s="58" t="s">
        <v>35</v>
      </c>
      <c r="AF23" s="59" t="s">
        <v>35</v>
      </c>
      <c r="AG23" s="60" t="s">
        <v>35</v>
      </c>
      <c r="AH23" s="60" t="s">
        <v>35</v>
      </c>
      <c r="AI23" s="58" t="s">
        <v>35</v>
      </c>
      <c r="AJ23" s="59" t="s">
        <v>35</v>
      </c>
      <c r="AK23" s="60" t="s">
        <v>35</v>
      </c>
      <c r="AL23" s="58" t="s">
        <v>35</v>
      </c>
      <c r="AM23" s="59" t="s">
        <v>35</v>
      </c>
      <c r="AN23" s="60" t="s">
        <v>35</v>
      </c>
      <c r="AO23" s="58" t="s">
        <v>35</v>
      </c>
      <c r="AP23" s="33" t="s">
        <v>35</v>
      </c>
      <c r="AQ23" s="33" t="s">
        <v>35</v>
      </c>
      <c r="AR23" s="32" t="s">
        <v>35</v>
      </c>
    </row>
    <row r="24" spans="1:44" ht="18" customHeight="1">
      <c r="A24" s="31" t="s">
        <v>35</v>
      </c>
      <c r="B24" s="75">
        <v>21</v>
      </c>
      <c r="C24" s="104" t="s">
        <v>277</v>
      </c>
      <c r="D24" s="105"/>
      <c r="E24" s="106"/>
      <c r="F24" s="108" t="s">
        <v>305</v>
      </c>
      <c r="G24" s="100" t="s">
        <v>166</v>
      </c>
      <c r="H24" s="33" t="s">
        <v>35</v>
      </c>
      <c r="I24" s="33" t="s">
        <v>35</v>
      </c>
      <c r="J24" s="33" t="s">
        <v>35</v>
      </c>
      <c r="K24" s="33" t="s">
        <v>35</v>
      </c>
      <c r="L24" s="59" t="s">
        <v>35</v>
      </c>
      <c r="M24" s="60" t="s">
        <v>35</v>
      </c>
      <c r="N24" s="60" t="s">
        <v>35</v>
      </c>
      <c r="O24" s="58" t="s">
        <v>35</v>
      </c>
      <c r="P24" s="59" t="s">
        <v>35</v>
      </c>
      <c r="Q24" s="60" t="s">
        <v>35</v>
      </c>
      <c r="R24" s="60" t="s">
        <v>35</v>
      </c>
      <c r="S24" s="58" t="s">
        <v>35</v>
      </c>
      <c r="T24" s="59" t="s">
        <v>35</v>
      </c>
      <c r="U24" s="60" t="s">
        <v>35</v>
      </c>
      <c r="V24" s="60" t="s">
        <v>35</v>
      </c>
      <c r="W24" s="58" t="s">
        <v>35</v>
      </c>
      <c r="X24" s="59" t="s">
        <v>35</v>
      </c>
      <c r="Y24" s="60" t="s">
        <v>35</v>
      </c>
      <c r="Z24" s="60" t="s">
        <v>35</v>
      </c>
      <c r="AA24" s="58" t="s">
        <v>35</v>
      </c>
      <c r="AB24" s="59" t="s">
        <v>35</v>
      </c>
      <c r="AC24" s="60" t="s">
        <v>35</v>
      </c>
      <c r="AD24" s="60" t="s">
        <v>35</v>
      </c>
      <c r="AE24" s="58" t="s">
        <v>35</v>
      </c>
      <c r="AF24" s="59" t="s">
        <v>35</v>
      </c>
      <c r="AG24" s="60" t="s">
        <v>35</v>
      </c>
      <c r="AH24" s="60" t="s">
        <v>35</v>
      </c>
      <c r="AI24" s="58" t="s">
        <v>35</v>
      </c>
      <c r="AJ24" s="59" t="s">
        <v>35</v>
      </c>
      <c r="AK24" s="60" t="s">
        <v>35</v>
      </c>
      <c r="AL24" s="58" t="s">
        <v>35</v>
      </c>
      <c r="AM24" s="59" t="s">
        <v>35</v>
      </c>
      <c r="AN24" s="60" t="s">
        <v>35</v>
      </c>
      <c r="AO24" s="58" t="s">
        <v>35</v>
      </c>
      <c r="AP24" s="33" t="s">
        <v>35</v>
      </c>
      <c r="AQ24" s="33" t="s">
        <v>35</v>
      </c>
      <c r="AR24" s="32" t="s">
        <v>35</v>
      </c>
    </row>
    <row r="25" spans="1:44" ht="18" customHeight="1">
      <c r="A25" s="31" t="s">
        <v>35</v>
      </c>
      <c r="B25" s="75">
        <v>22</v>
      </c>
      <c r="C25" s="104" t="s">
        <v>277</v>
      </c>
      <c r="D25" s="105"/>
      <c r="E25" s="105"/>
      <c r="F25" s="108" t="s">
        <v>306</v>
      </c>
      <c r="G25" s="100" t="s">
        <v>166</v>
      </c>
      <c r="H25" s="33" t="s">
        <v>35</v>
      </c>
      <c r="I25" s="33" t="s">
        <v>35</v>
      </c>
      <c r="J25" s="33" t="s">
        <v>35</v>
      </c>
      <c r="K25" s="33" t="s">
        <v>35</v>
      </c>
      <c r="L25" s="59" t="s">
        <v>35</v>
      </c>
      <c r="M25" s="60" t="s">
        <v>35</v>
      </c>
      <c r="N25" s="60" t="s">
        <v>35</v>
      </c>
      <c r="O25" s="58" t="s">
        <v>35</v>
      </c>
      <c r="P25" s="59" t="s">
        <v>35</v>
      </c>
      <c r="Q25" s="60" t="s">
        <v>35</v>
      </c>
      <c r="R25" s="60" t="s">
        <v>35</v>
      </c>
      <c r="S25" s="58" t="s">
        <v>35</v>
      </c>
      <c r="T25" s="59" t="s">
        <v>35</v>
      </c>
      <c r="U25" s="60" t="s">
        <v>35</v>
      </c>
      <c r="V25" s="60" t="s">
        <v>35</v>
      </c>
      <c r="W25" s="58" t="s">
        <v>35</v>
      </c>
      <c r="X25" s="59" t="s">
        <v>35</v>
      </c>
      <c r="Y25" s="60" t="s">
        <v>35</v>
      </c>
      <c r="Z25" s="60" t="s">
        <v>35</v>
      </c>
      <c r="AA25" s="58" t="s">
        <v>35</v>
      </c>
      <c r="AB25" s="59" t="s">
        <v>35</v>
      </c>
      <c r="AC25" s="60" t="s">
        <v>35</v>
      </c>
      <c r="AD25" s="60" t="s">
        <v>35</v>
      </c>
      <c r="AE25" s="58" t="s">
        <v>35</v>
      </c>
      <c r="AF25" s="59" t="s">
        <v>35</v>
      </c>
      <c r="AG25" s="60" t="s">
        <v>35</v>
      </c>
      <c r="AH25" s="60" t="s">
        <v>35</v>
      </c>
      <c r="AI25" s="58" t="s">
        <v>35</v>
      </c>
      <c r="AJ25" s="59" t="s">
        <v>35</v>
      </c>
      <c r="AK25" s="60" t="s">
        <v>35</v>
      </c>
      <c r="AL25" s="58" t="s">
        <v>35</v>
      </c>
      <c r="AM25" s="59" t="s">
        <v>35</v>
      </c>
      <c r="AN25" s="60" t="s">
        <v>35</v>
      </c>
      <c r="AO25" s="58" t="s">
        <v>35</v>
      </c>
      <c r="AP25" s="33" t="s">
        <v>35</v>
      </c>
      <c r="AQ25" s="33" t="s">
        <v>35</v>
      </c>
      <c r="AR25" s="32" t="s">
        <v>35</v>
      </c>
    </row>
    <row r="26" spans="1:44" ht="18" customHeight="1">
      <c r="A26" s="31" t="s">
        <v>35</v>
      </c>
      <c r="B26" s="75">
        <v>23</v>
      </c>
      <c r="C26" s="101"/>
      <c r="D26" s="101"/>
      <c r="E26" s="48"/>
      <c r="F26" s="102"/>
      <c r="G26" s="38"/>
      <c r="H26" s="33" t="s">
        <v>35</v>
      </c>
      <c r="I26" s="33" t="s">
        <v>35</v>
      </c>
      <c r="J26" s="33" t="s">
        <v>35</v>
      </c>
      <c r="K26" s="33" t="s">
        <v>35</v>
      </c>
      <c r="L26" s="59" t="s">
        <v>35</v>
      </c>
      <c r="M26" s="60" t="s">
        <v>35</v>
      </c>
      <c r="N26" s="60" t="s">
        <v>35</v>
      </c>
      <c r="O26" s="58" t="s">
        <v>210</v>
      </c>
      <c r="P26" s="59" t="s">
        <v>35</v>
      </c>
      <c r="Q26" s="60" t="s">
        <v>35</v>
      </c>
      <c r="R26" s="60" t="s">
        <v>35</v>
      </c>
      <c r="S26" s="58" t="s">
        <v>35</v>
      </c>
      <c r="T26" s="59" t="s">
        <v>35</v>
      </c>
      <c r="U26" s="60" t="s">
        <v>35</v>
      </c>
      <c r="V26" s="60" t="s">
        <v>35</v>
      </c>
      <c r="W26" s="58" t="s">
        <v>35</v>
      </c>
      <c r="X26" s="59" t="s">
        <v>35</v>
      </c>
      <c r="Y26" s="60" t="s">
        <v>35</v>
      </c>
      <c r="Z26" s="60" t="s">
        <v>35</v>
      </c>
      <c r="AA26" s="58" t="s">
        <v>35</v>
      </c>
      <c r="AB26" s="59" t="s">
        <v>35</v>
      </c>
      <c r="AC26" s="60" t="s">
        <v>35</v>
      </c>
      <c r="AD26" s="60" t="s">
        <v>35</v>
      </c>
      <c r="AE26" s="58" t="s">
        <v>35</v>
      </c>
      <c r="AF26" s="59" t="s">
        <v>35</v>
      </c>
      <c r="AG26" s="60" t="s">
        <v>35</v>
      </c>
      <c r="AH26" s="60" t="s">
        <v>35</v>
      </c>
      <c r="AI26" s="58" t="s">
        <v>35</v>
      </c>
      <c r="AJ26" s="59" t="s">
        <v>35</v>
      </c>
      <c r="AK26" s="60" t="s">
        <v>35</v>
      </c>
      <c r="AL26" s="58" t="s">
        <v>35</v>
      </c>
      <c r="AM26" s="59" t="s">
        <v>35</v>
      </c>
      <c r="AN26" s="60" t="s">
        <v>35</v>
      </c>
      <c r="AO26" s="58" t="s">
        <v>35</v>
      </c>
      <c r="AP26" s="33" t="s">
        <v>35</v>
      </c>
      <c r="AQ26" s="33" t="s">
        <v>35</v>
      </c>
      <c r="AR26" s="32" t="s">
        <v>35</v>
      </c>
    </row>
    <row r="27" spans="1:44" ht="18" customHeight="1">
      <c r="A27" s="31" t="s">
        <v>35</v>
      </c>
      <c r="B27" s="75">
        <v>24</v>
      </c>
      <c r="C27" s="101"/>
      <c r="D27" s="101"/>
      <c r="E27" s="48"/>
      <c r="F27" s="102"/>
      <c r="G27" s="38"/>
      <c r="H27" s="33" t="s">
        <v>35</v>
      </c>
      <c r="I27" s="33" t="s">
        <v>35</v>
      </c>
      <c r="J27" s="33" t="s">
        <v>35</v>
      </c>
      <c r="K27" s="33" t="s">
        <v>35</v>
      </c>
      <c r="L27" s="59" t="s">
        <v>35</v>
      </c>
      <c r="M27" s="60" t="s">
        <v>35</v>
      </c>
      <c r="N27" s="60" t="s">
        <v>35</v>
      </c>
      <c r="O27" s="58" t="s">
        <v>35</v>
      </c>
      <c r="P27" s="59" t="s">
        <v>35</v>
      </c>
      <c r="Q27" s="60" t="s">
        <v>35</v>
      </c>
      <c r="R27" s="60" t="s">
        <v>35</v>
      </c>
      <c r="S27" s="58" t="s">
        <v>35</v>
      </c>
      <c r="T27" s="59" t="s">
        <v>35</v>
      </c>
      <c r="U27" s="60" t="s">
        <v>35</v>
      </c>
      <c r="V27" s="60" t="s">
        <v>35</v>
      </c>
      <c r="W27" s="58" t="s">
        <v>35</v>
      </c>
      <c r="X27" s="59" t="s">
        <v>35</v>
      </c>
      <c r="Y27" s="60" t="s">
        <v>35</v>
      </c>
      <c r="Z27" s="60" t="s">
        <v>35</v>
      </c>
      <c r="AA27" s="58" t="s">
        <v>35</v>
      </c>
      <c r="AB27" s="59" t="s">
        <v>35</v>
      </c>
      <c r="AC27" s="60" t="s">
        <v>35</v>
      </c>
      <c r="AD27" s="60" t="s">
        <v>35</v>
      </c>
      <c r="AE27" s="58" t="s">
        <v>35</v>
      </c>
      <c r="AF27" s="59" t="s">
        <v>35</v>
      </c>
      <c r="AG27" s="60" t="s">
        <v>35</v>
      </c>
      <c r="AH27" s="60" t="s">
        <v>35</v>
      </c>
      <c r="AI27" s="58" t="s">
        <v>35</v>
      </c>
      <c r="AJ27" s="59" t="s">
        <v>35</v>
      </c>
      <c r="AK27" s="60" t="s">
        <v>35</v>
      </c>
      <c r="AL27" s="58" t="s">
        <v>35</v>
      </c>
      <c r="AM27" s="59" t="s">
        <v>35</v>
      </c>
      <c r="AN27" s="60" t="s">
        <v>35</v>
      </c>
      <c r="AO27" s="58" t="s">
        <v>35</v>
      </c>
      <c r="AP27" s="33" t="s">
        <v>35</v>
      </c>
      <c r="AQ27" s="33" t="s">
        <v>35</v>
      </c>
      <c r="AR27" s="32" t="s">
        <v>35</v>
      </c>
    </row>
    <row r="28" spans="1:44" ht="18" customHeight="1">
      <c r="A28" s="31" t="s">
        <v>35</v>
      </c>
      <c r="B28" s="75">
        <v>25</v>
      </c>
      <c r="C28" s="101"/>
      <c r="D28" s="101"/>
      <c r="E28" s="48"/>
      <c r="F28" s="102"/>
      <c r="G28" s="38"/>
      <c r="H28" s="33" t="s">
        <v>35</v>
      </c>
      <c r="I28" s="33" t="s">
        <v>35</v>
      </c>
      <c r="J28" s="33" t="s">
        <v>35</v>
      </c>
      <c r="K28" s="33" t="s">
        <v>35</v>
      </c>
      <c r="L28" s="59" t="s">
        <v>35</v>
      </c>
      <c r="M28" s="60" t="s">
        <v>35</v>
      </c>
      <c r="N28" s="60" t="s">
        <v>35</v>
      </c>
      <c r="O28" s="58" t="s">
        <v>35</v>
      </c>
      <c r="P28" s="59" t="s">
        <v>35</v>
      </c>
      <c r="Q28" s="60" t="s">
        <v>35</v>
      </c>
      <c r="R28" s="60" t="s">
        <v>35</v>
      </c>
      <c r="S28" s="58" t="s">
        <v>35</v>
      </c>
      <c r="T28" s="59" t="s">
        <v>35</v>
      </c>
      <c r="U28" s="60" t="s">
        <v>35</v>
      </c>
      <c r="V28" s="60" t="s">
        <v>35</v>
      </c>
      <c r="W28" s="58" t="s">
        <v>35</v>
      </c>
      <c r="X28" s="59" t="s">
        <v>35</v>
      </c>
      <c r="Y28" s="60" t="s">
        <v>35</v>
      </c>
      <c r="Z28" s="60" t="s">
        <v>35</v>
      </c>
      <c r="AA28" s="58" t="s">
        <v>35</v>
      </c>
      <c r="AB28" s="59" t="s">
        <v>35</v>
      </c>
      <c r="AC28" s="60" t="s">
        <v>35</v>
      </c>
      <c r="AD28" s="60" t="s">
        <v>35</v>
      </c>
      <c r="AE28" s="58" t="s">
        <v>35</v>
      </c>
      <c r="AF28" s="59" t="s">
        <v>35</v>
      </c>
      <c r="AG28" s="60" t="s">
        <v>35</v>
      </c>
      <c r="AH28" s="60" t="s">
        <v>35</v>
      </c>
      <c r="AI28" s="58" t="s">
        <v>35</v>
      </c>
      <c r="AJ28" s="59" t="s">
        <v>35</v>
      </c>
      <c r="AK28" s="60" t="s">
        <v>35</v>
      </c>
      <c r="AL28" s="58" t="s">
        <v>35</v>
      </c>
      <c r="AM28" s="59" t="s">
        <v>35</v>
      </c>
      <c r="AN28" s="60" t="s">
        <v>35</v>
      </c>
      <c r="AO28" s="58" t="s">
        <v>35</v>
      </c>
      <c r="AP28" s="33" t="s">
        <v>35</v>
      </c>
      <c r="AQ28" s="33" t="s">
        <v>35</v>
      </c>
      <c r="AR28" s="32" t="s">
        <v>35</v>
      </c>
    </row>
    <row r="29" spans="1:44" ht="18" customHeight="1">
      <c r="A29" s="31" t="s">
        <v>35</v>
      </c>
      <c r="B29" s="75">
        <v>26</v>
      </c>
      <c r="C29" s="46"/>
      <c r="D29" s="46"/>
      <c r="E29" s="46"/>
      <c r="F29" s="78"/>
      <c r="G29" s="38"/>
      <c r="H29" s="33" t="s">
        <v>35</v>
      </c>
      <c r="I29" s="33" t="s">
        <v>35</v>
      </c>
      <c r="J29" s="33" t="s">
        <v>35</v>
      </c>
      <c r="K29" s="33" t="s">
        <v>35</v>
      </c>
      <c r="L29" s="59" t="s">
        <v>35</v>
      </c>
      <c r="M29" s="60" t="s">
        <v>35</v>
      </c>
      <c r="N29" s="60" t="s">
        <v>35</v>
      </c>
      <c r="O29" s="58" t="s">
        <v>35</v>
      </c>
      <c r="P29" s="59" t="s">
        <v>35</v>
      </c>
      <c r="Q29" s="60" t="s">
        <v>35</v>
      </c>
      <c r="R29" s="60" t="s">
        <v>35</v>
      </c>
      <c r="S29" s="58" t="s">
        <v>35</v>
      </c>
      <c r="T29" s="59" t="s">
        <v>35</v>
      </c>
      <c r="U29" s="60" t="s">
        <v>35</v>
      </c>
      <c r="V29" s="60" t="s">
        <v>35</v>
      </c>
      <c r="W29" s="58" t="s">
        <v>35</v>
      </c>
      <c r="X29" s="59" t="s">
        <v>35</v>
      </c>
      <c r="Y29" s="60" t="s">
        <v>35</v>
      </c>
      <c r="Z29" s="60" t="s">
        <v>35</v>
      </c>
      <c r="AA29" s="58" t="s">
        <v>35</v>
      </c>
      <c r="AB29" s="59" t="s">
        <v>35</v>
      </c>
      <c r="AC29" s="60" t="s">
        <v>35</v>
      </c>
      <c r="AD29" s="60" t="s">
        <v>35</v>
      </c>
      <c r="AE29" s="58" t="s">
        <v>35</v>
      </c>
      <c r="AF29" s="59" t="s">
        <v>35</v>
      </c>
      <c r="AG29" s="60" t="s">
        <v>35</v>
      </c>
      <c r="AH29" s="60" t="s">
        <v>35</v>
      </c>
      <c r="AI29" s="58" t="s">
        <v>35</v>
      </c>
      <c r="AJ29" s="59" t="s">
        <v>35</v>
      </c>
      <c r="AK29" s="60" t="s">
        <v>35</v>
      </c>
      <c r="AL29" s="58" t="s">
        <v>35</v>
      </c>
      <c r="AM29" s="59" t="s">
        <v>35</v>
      </c>
      <c r="AN29" s="60" t="s">
        <v>35</v>
      </c>
      <c r="AO29" s="58" t="s">
        <v>35</v>
      </c>
      <c r="AP29" s="33" t="s">
        <v>35</v>
      </c>
      <c r="AQ29" s="33" t="s">
        <v>35</v>
      </c>
      <c r="AR29" s="32" t="s">
        <v>35</v>
      </c>
    </row>
    <row r="30" spans="1:44" ht="18" customHeight="1">
      <c r="A30" s="31" t="s">
        <v>35</v>
      </c>
      <c r="B30" s="75">
        <v>27</v>
      </c>
      <c r="C30" s="46"/>
      <c r="D30" s="46"/>
      <c r="E30" s="46"/>
      <c r="F30" s="78"/>
      <c r="G30" s="38"/>
      <c r="H30" s="33" t="s">
        <v>35</v>
      </c>
      <c r="I30" s="33" t="s">
        <v>35</v>
      </c>
      <c r="J30" s="33" t="s">
        <v>35</v>
      </c>
      <c r="K30" s="33" t="s">
        <v>35</v>
      </c>
      <c r="L30" s="59" t="s">
        <v>35</v>
      </c>
      <c r="M30" s="60" t="s">
        <v>35</v>
      </c>
      <c r="N30" s="60" t="s">
        <v>35</v>
      </c>
      <c r="O30" s="58" t="s">
        <v>35</v>
      </c>
      <c r="P30" s="59" t="s">
        <v>35</v>
      </c>
      <c r="Q30" s="60" t="s">
        <v>35</v>
      </c>
      <c r="R30" s="60" t="s">
        <v>35</v>
      </c>
      <c r="S30" s="58" t="s">
        <v>35</v>
      </c>
      <c r="T30" s="59" t="s">
        <v>35</v>
      </c>
      <c r="U30" s="60" t="s">
        <v>35</v>
      </c>
      <c r="V30" s="60" t="s">
        <v>35</v>
      </c>
      <c r="W30" s="58" t="s">
        <v>35</v>
      </c>
      <c r="X30" s="59" t="s">
        <v>35</v>
      </c>
      <c r="Y30" s="60" t="s">
        <v>35</v>
      </c>
      <c r="Z30" s="60" t="s">
        <v>35</v>
      </c>
      <c r="AA30" s="58" t="s">
        <v>35</v>
      </c>
      <c r="AB30" s="59" t="s">
        <v>35</v>
      </c>
      <c r="AC30" s="60" t="s">
        <v>35</v>
      </c>
      <c r="AD30" s="60" t="s">
        <v>35</v>
      </c>
      <c r="AE30" s="58" t="s">
        <v>35</v>
      </c>
      <c r="AF30" s="59" t="s">
        <v>35</v>
      </c>
      <c r="AG30" s="60" t="s">
        <v>35</v>
      </c>
      <c r="AH30" s="60" t="s">
        <v>35</v>
      </c>
      <c r="AI30" s="58" t="s">
        <v>35</v>
      </c>
      <c r="AJ30" s="59" t="s">
        <v>35</v>
      </c>
      <c r="AK30" s="60" t="s">
        <v>35</v>
      </c>
      <c r="AL30" s="58" t="s">
        <v>35</v>
      </c>
      <c r="AM30" s="59" t="s">
        <v>35</v>
      </c>
      <c r="AN30" s="60" t="s">
        <v>35</v>
      </c>
      <c r="AO30" s="58" t="s">
        <v>35</v>
      </c>
      <c r="AP30" s="33" t="s">
        <v>35</v>
      </c>
      <c r="AQ30" s="33" t="s">
        <v>35</v>
      </c>
      <c r="AR30" s="32" t="s">
        <v>35</v>
      </c>
    </row>
    <row r="31" spans="1:44" ht="18" customHeight="1">
      <c r="A31" s="31" t="s">
        <v>35</v>
      </c>
      <c r="B31" s="75">
        <v>28</v>
      </c>
      <c r="C31" s="46"/>
      <c r="D31" s="46"/>
      <c r="E31" s="48"/>
      <c r="F31" s="78"/>
      <c r="G31" s="38"/>
      <c r="H31" s="33" t="s">
        <v>35</v>
      </c>
      <c r="I31" s="33" t="s">
        <v>35</v>
      </c>
      <c r="J31" s="33" t="s">
        <v>35</v>
      </c>
      <c r="K31" s="33" t="s">
        <v>35</v>
      </c>
      <c r="L31" s="59" t="s">
        <v>35</v>
      </c>
      <c r="M31" s="60" t="s">
        <v>35</v>
      </c>
      <c r="N31" s="60" t="s">
        <v>35</v>
      </c>
      <c r="O31" s="58" t="s">
        <v>35</v>
      </c>
      <c r="P31" s="59" t="s">
        <v>35</v>
      </c>
      <c r="Q31" s="60" t="s">
        <v>35</v>
      </c>
      <c r="R31" s="60" t="s">
        <v>35</v>
      </c>
      <c r="S31" s="58" t="s">
        <v>35</v>
      </c>
      <c r="T31" s="59" t="s">
        <v>35</v>
      </c>
      <c r="U31" s="60" t="s">
        <v>35</v>
      </c>
      <c r="V31" s="60" t="s">
        <v>35</v>
      </c>
      <c r="W31" s="58" t="s">
        <v>35</v>
      </c>
      <c r="X31" s="59" t="s">
        <v>35</v>
      </c>
      <c r="Y31" s="60" t="s">
        <v>35</v>
      </c>
      <c r="Z31" s="60" t="s">
        <v>35</v>
      </c>
      <c r="AA31" s="58" t="s">
        <v>35</v>
      </c>
      <c r="AB31" s="59" t="s">
        <v>35</v>
      </c>
      <c r="AC31" s="60" t="s">
        <v>35</v>
      </c>
      <c r="AD31" s="60" t="s">
        <v>35</v>
      </c>
      <c r="AE31" s="58" t="s">
        <v>35</v>
      </c>
      <c r="AF31" s="59" t="s">
        <v>35</v>
      </c>
      <c r="AG31" s="60" t="s">
        <v>35</v>
      </c>
      <c r="AH31" s="60" t="s">
        <v>35</v>
      </c>
      <c r="AI31" s="58" t="s">
        <v>35</v>
      </c>
      <c r="AJ31" s="59" t="s">
        <v>35</v>
      </c>
      <c r="AK31" s="60" t="s">
        <v>35</v>
      </c>
      <c r="AL31" s="58" t="s">
        <v>35</v>
      </c>
      <c r="AM31" s="59" t="s">
        <v>35</v>
      </c>
      <c r="AN31" s="60" t="s">
        <v>35</v>
      </c>
      <c r="AO31" s="58" t="s">
        <v>35</v>
      </c>
      <c r="AP31" s="33" t="s">
        <v>35</v>
      </c>
      <c r="AQ31" s="33" t="s">
        <v>35</v>
      </c>
      <c r="AR31" s="32" t="s">
        <v>35</v>
      </c>
    </row>
    <row r="32" spans="1:44" ht="18" customHeight="1">
      <c r="A32" s="31" t="s">
        <v>35</v>
      </c>
      <c r="B32" s="75">
        <v>29</v>
      </c>
      <c r="C32" s="46"/>
      <c r="D32" s="46"/>
      <c r="E32" s="48"/>
      <c r="F32" s="78"/>
      <c r="G32" s="38"/>
      <c r="H32" s="33" t="s">
        <v>35</v>
      </c>
      <c r="I32" s="33" t="s">
        <v>35</v>
      </c>
      <c r="J32" s="33" t="s">
        <v>35</v>
      </c>
      <c r="K32" s="33" t="s">
        <v>35</v>
      </c>
      <c r="L32" s="59" t="s">
        <v>35</v>
      </c>
      <c r="M32" s="60" t="s">
        <v>35</v>
      </c>
      <c r="N32" s="60" t="s">
        <v>35</v>
      </c>
      <c r="O32" s="58" t="s">
        <v>35</v>
      </c>
      <c r="P32" s="59" t="s">
        <v>35</v>
      </c>
      <c r="Q32" s="60" t="s">
        <v>35</v>
      </c>
      <c r="R32" s="60" t="s">
        <v>35</v>
      </c>
      <c r="S32" s="58" t="s">
        <v>35</v>
      </c>
      <c r="T32" s="59" t="s">
        <v>35</v>
      </c>
      <c r="U32" s="60" t="s">
        <v>35</v>
      </c>
      <c r="V32" s="60" t="s">
        <v>35</v>
      </c>
      <c r="W32" s="58" t="s">
        <v>35</v>
      </c>
      <c r="X32" s="59" t="s">
        <v>35</v>
      </c>
      <c r="Y32" s="60" t="s">
        <v>35</v>
      </c>
      <c r="Z32" s="60" t="s">
        <v>35</v>
      </c>
      <c r="AA32" s="58" t="s">
        <v>35</v>
      </c>
      <c r="AB32" s="59" t="s">
        <v>35</v>
      </c>
      <c r="AC32" s="60" t="s">
        <v>35</v>
      </c>
      <c r="AD32" s="60" t="s">
        <v>35</v>
      </c>
      <c r="AE32" s="58" t="s">
        <v>35</v>
      </c>
      <c r="AF32" s="59" t="s">
        <v>35</v>
      </c>
      <c r="AG32" s="60" t="s">
        <v>35</v>
      </c>
      <c r="AH32" s="60" t="s">
        <v>35</v>
      </c>
      <c r="AI32" s="58" t="s">
        <v>35</v>
      </c>
      <c r="AJ32" s="59" t="s">
        <v>35</v>
      </c>
      <c r="AK32" s="60" t="s">
        <v>35</v>
      </c>
      <c r="AL32" s="58" t="s">
        <v>35</v>
      </c>
      <c r="AM32" s="59" t="s">
        <v>35</v>
      </c>
      <c r="AN32" s="60" t="s">
        <v>35</v>
      </c>
      <c r="AO32" s="58" t="s">
        <v>35</v>
      </c>
      <c r="AP32" s="33" t="s">
        <v>35</v>
      </c>
      <c r="AQ32" s="33" t="s">
        <v>35</v>
      </c>
      <c r="AR32" s="32" t="s">
        <v>35</v>
      </c>
    </row>
    <row r="33" spans="1:44" ht="18" customHeight="1">
      <c r="A33" s="31" t="s">
        <v>35</v>
      </c>
      <c r="B33" s="75">
        <v>30</v>
      </c>
      <c r="C33" s="46"/>
      <c r="D33" s="46"/>
      <c r="E33" s="48"/>
      <c r="F33" s="78"/>
      <c r="G33" s="38"/>
      <c r="H33" s="33" t="s">
        <v>35</v>
      </c>
      <c r="I33" s="33" t="s">
        <v>35</v>
      </c>
      <c r="J33" s="33" t="s">
        <v>35</v>
      </c>
      <c r="K33" s="33" t="s">
        <v>35</v>
      </c>
      <c r="L33" s="59" t="s">
        <v>35</v>
      </c>
      <c r="M33" s="60" t="s">
        <v>35</v>
      </c>
      <c r="N33" s="60" t="s">
        <v>35</v>
      </c>
      <c r="O33" s="58" t="s">
        <v>35</v>
      </c>
      <c r="P33" s="59" t="s">
        <v>35</v>
      </c>
      <c r="Q33" s="60" t="s">
        <v>35</v>
      </c>
      <c r="R33" s="60" t="s">
        <v>35</v>
      </c>
      <c r="S33" s="58" t="s">
        <v>35</v>
      </c>
      <c r="T33" s="59" t="s">
        <v>35</v>
      </c>
      <c r="U33" s="60" t="s">
        <v>35</v>
      </c>
      <c r="V33" s="60" t="s">
        <v>35</v>
      </c>
      <c r="W33" s="58" t="s">
        <v>35</v>
      </c>
      <c r="X33" s="59" t="s">
        <v>35</v>
      </c>
      <c r="Y33" s="60" t="s">
        <v>35</v>
      </c>
      <c r="Z33" s="60" t="s">
        <v>35</v>
      </c>
      <c r="AA33" s="58" t="s">
        <v>35</v>
      </c>
      <c r="AB33" s="59" t="s">
        <v>35</v>
      </c>
      <c r="AC33" s="60" t="s">
        <v>35</v>
      </c>
      <c r="AD33" s="60" t="s">
        <v>35</v>
      </c>
      <c r="AE33" s="58" t="s">
        <v>35</v>
      </c>
      <c r="AF33" s="59" t="s">
        <v>35</v>
      </c>
      <c r="AG33" s="60" t="s">
        <v>35</v>
      </c>
      <c r="AH33" s="60" t="s">
        <v>35</v>
      </c>
      <c r="AI33" s="58" t="s">
        <v>35</v>
      </c>
      <c r="AJ33" s="59" t="s">
        <v>35</v>
      </c>
      <c r="AK33" s="60" t="s">
        <v>35</v>
      </c>
      <c r="AL33" s="58" t="s">
        <v>35</v>
      </c>
      <c r="AM33" s="59" t="s">
        <v>35</v>
      </c>
      <c r="AN33" s="60" t="s">
        <v>35</v>
      </c>
      <c r="AO33" s="58" t="s">
        <v>35</v>
      </c>
      <c r="AP33" s="33" t="s">
        <v>35</v>
      </c>
      <c r="AQ33" s="33" t="s">
        <v>35</v>
      </c>
      <c r="AR33" s="32" t="s">
        <v>35</v>
      </c>
    </row>
    <row r="34" spans="1:44">
      <c r="A34" s="29" t="s">
        <v>35</v>
      </c>
      <c r="B34" s="76" t="s">
        <v>35</v>
      </c>
      <c r="C34" s="81" t="s">
        <v>35</v>
      </c>
      <c r="D34" s="80" t="s">
        <v>35</v>
      </c>
      <c r="E34" s="81" t="s">
        <v>35</v>
      </c>
      <c r="F34" s="28" t="s">
        <v>35</v>
      </c>
      <c r="G34" s="36" t="s">
        <v>35</v>
      </c>
      <c r="H34" s="32" t="s">
        <v>35</v>
      </c>
      <c r="I34" s="32" t="s">
        <v>35</v>
      </c>
      <c r="J34" s="32" t="s">
        <v>35</v>
      </c>
      <c r="K34" s="32" t="s">
        <v>35</v>
      </c>
      <c r="L34" s="36" t="s">
        <v>35</v>
      </c>
      <c r="M34" s="36" t="s">
        <v>35</v>
      </c>
      <c r="N34" s="36" t="s">
        <v>35</v>
      </c>
      <c r="O34" s="36" t="s">
        <v>35</v>
      </c>
      <c r="P34" s="36" t="s">
        <v>35</v>
      </c>
      <c r="Q34" s="36" t="s">
        <v>35</v>
      </c>
      <c r="R34" s="36" t="s">
        <v>35</v>
      </c>
      <c r="S34" s="36" t="s">
        <v>35</v>
      </c>
      <c r="T34" s="36" t="s">
        <v>35</v>
      </c>
      <c r="U34" s="36" t="s">
        <v>35</v>
      </c>
      <c r="V34" s="36" t="s">
        <v>35</v>
      </c>
      <c r="W34" s="36" t="s">
        <v>35</v>
      </c>
      <c r="X34" s="36" t="s">
        <v>35</v>
      </c>
      <c r="Y34" s="36" t="s">
        <v>35</v>
      </c>
      <c r="Z34" s="36" t="s">
        <v>35</v>
      </c>
      <c r="AA34" s="36" t="s">
        <v>35</v>
      </c>
      <c r="AB34" s="36" t="s">
        <v>35</v>
      </c>
      <c r="AC34" s="36" t="s">
        <v>35</v>
      </c>
      <c r="AD34" s="36" t="s">
        <v>35</v>
      </c>
      <c r="AE34" s="36" t="s">
        <v>35</v>
      </c>
      <c r="AF34" s="36" t="s">
        <v>35</v>
      </c>
      <c r="AG34" s="36" t="s">
        <v>35</v>
      </c>
      <c r="AH34" s="36" t="s">
        <v>35</v>
      </c>
      <c r="AI34" s="36" t="s">
        <v>35</v>
      </c>
      <c r="AJ34" s="36" t="s">
        <v>35</v>
      </c>
      <c r="AK34" s="36" t="s">
        <v>35</v>
      </c>
      <c r="AL34" s="36" t="s">
        <v>35</v>
      </c>
      <c r="AM34" s="36" t="s">
        <v>35</v>
      </c>
      <c r="AN34" s="36" t="s">
        <v>35</v>
      </c>
      <c r="AO34" s="36" t="s">
        <v>35</v>
      </c>
      <c r="AP34" s="32" t="s">
        <v>35</v>
      </c>
      <c r="AQ34" s="32" t="s">
        <v>35</v>
      </c>
      <c r="AR34" s="32" t="s">
        <v>35</v>
      </c>
    </row>
  </sheetData>
  <mergeCells count="20">
    <mergeCell ref="AP2:AP3"/>
    <mergeCell ref="AQ2:AQ3"/>
    <mergeCell ref="T2:W2"/>
    <mergeCell ref="X2:AA2"/>
    <mergeCell ref="AB2:AE2"/>
    <mergeCell ref="AF2:AI2"/>
    <mergeCell ref="AJ2:AL2"/>
    <mergeCell ref="AM2:AO2"/>
    <mergeCell ref="P2:S2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O2"/>
  </mergeCells>
  <phoneticPr fontId="4" type="noConversion"/>
  <dataValidations count="1">
    <dataValidation type="list" allowBlank="1" showInputMessage="1" showErrorMessage="1" sqref="G4:G33">
      <formula1>"Front/Back, Back, Batch, I/F"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R135"/>
  <sheetViews>
    <sheetView showGridLines="0" zoomScale="85" zoomScaleNormal="85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I39" sqref="I39"/>
    </sheetView>
  </sheetViews>
  <sheetFormatPr defaultColWidth="5.59765625" defaultRowHeight="17.399999999999999" outlineLevelCol="1"/>
  <cols>
    <col min="1" max="1" width="2" style="24" customWidth="1"/>
    <col min="2" max="2" width="5.59765625" style="27" customWidth="1"/>
    <col min="3" max="3" width="14.8984375" style="24" customWidth="1"/>
    <col min="4" max="4" width="21.3984375" style="44" customWidth="1"/>
    <col min="5" max="5" width="34.5" style="24" customWidth="1"/>
    <col min="6" max="6" width="25.59765625" style="24" customWidth="1"/>
    <col min="7" max="7" width="12.3984375" style="27" customWidth="1" outlineLevel="1"/>
    <col min="8" max="11" width="18.59765625" style="24" customWidth="1" outlineLevel="1"/>
    <col min="12" max="12" width="8.09765625" style="27" customWidth="1"/>
    <col min="13" max="15" width="8.09765625" style="27" customWidth="1" outlineLevel="1"/>
    <col min="16" max="27" width="8.69921875" style="27" customWidth="1" outlineLevel="1"/>
    <col min="28" max="28" width="8.69921875" style="27" customWidth="1"/>
    <col min="29" max="41" width="8.69921875" style="27" customWidth="1" outlineLevel="1"/>
    <col min="42" max="43" width="11.8984375" style="24" customWidth="1"/>
    <col min="44" max="16384" width="5.59765625" style="24"/>
  </cols>
  <sheetData>
    <row r="1" spans="1:44" ht="24">
      <c r="A1" s="29" t="s">
        <v>35</v>
      </c>
      <c r="B1" s="34" t="s">
        <v>269</v>
      </c>
      <c r="C1" s="34"/>
      <c r="D1" s="43"/>
      <c r="E1" s="30"/>
      <c r="F1" s="30"/>
      <c r="G1" s="37"/>
      <c r="H1" s="30"/>
      <c r="I1" s="30"/>
      <c r="J1" s="30"/>
      <c r="K1" s="30"/>
      <c r="L1" s="37" t="s">
        <v>35</v>
      </c>
      <c r="M1" s="37" t="s">
        <v>35</v>
      </c>
      <c r="N1" s="37" t="s">
        <v>35</v>
      </c>
      <c r="O1" s="37" t="s">
        <v>35</v>
      </c>
      <c r="P1" s="37" t="s">
        <v>35</v>
      </c>
      <c r="Q1" s="37" t="s">
        <v>35</v>
      </c>
      <c r="R1" s="37" t="s">
        <v>35</v>
      </c>
      <c r="S1" s="37" t="s">
        <v>35</v>
      </c>
      <c r="T1" s="37" t="s">
        <v>35</v>
      </c>
      <c r="U1" s="37" t="s">
        <v>35</v>
      </c>
      <c r="V1" s="37" t="s">
        <v>35</v>
      </c>
      <c r="W1" s="37" t="s">
        <v>35</v>
      </c>
      <c r="X1" s="37" t="s">
        <v>35</v>
      </c>
      <c r="Y1" s="37" t="s">
        <v>35</v>
      </c>
      <c r="Z1" s="37" t="s">
        <v>35</v>
      </c>
      <c r="AA1" s="37" t="s">
        <v>35</v>
      </c>
      <c r="AB1" s="37" t="s">
        <v>35</v>
      </c>
      <c r="AC1" s="37" t="s">
        <v>35</v>
      </c>
      <c r="AD1" s="37" t="s">
        <v>35</v>
      </c>
      <c r="AE1" s="37" t="s">
        <v>35</v>
      </c>
      <c r="AF1" s="37" t="s">
        <v>35</v>
      </c>
      <c r="AG1" s="37" t="s">
        <v>35</v>
      </c>
      <c r="AH1" s="37" t="s">
        <v>35</v>
      </c>
      <c r="AI1" s="37" t="s">
        <v>35</v>
      </c>
      <c r="AJ1" s="37" t="s">
        <v>35</v>
      </c>
      <c r="AK1" s="37" t="s">
        <v>35</v>
      </c>
      <c r="AL1" s="37" t="s">
        <v>35</v>
      </c>
      <c r="AM1" s="37" t="s">
        <v>35</v>
      </c>
      <c r="AN1" s="37" t="s">
        <v>35</v>
      </c>
      <c r="AO1" s="37" t="s">
        <v>35</v>
      </c>
      <c r="AP1" s="37" t="s">
        <v>35</v>
      </c>
      <c r="AQ1" s="37" t="s">
        <v>35</v>
      </c>
      <c r="AR1" s="37" t="s">
        <v>35</v>
      </c>
    </row>
    <row r="2" spans="1:44" s="27" customFormat="1">
      <c r="A2" s="35" t="s">
        <v>35</v>
      </c>
      <c r="B2" s="140" t="s">
        <v>20</v>
      </c>
      <c r="C2" s="140" t="s">
        <v>19</v>
      </c>
      <c r="D2" s="141" t="s">
        <v>21</v>
      </c>
      <c r="E2" s="131" t="s">
        <v>22</v>
      </c>
      <c r="F2" s="131" t="s">
        <v>23</v>
      </c>
      <c r="G2" s="131" t="s">
        <v>145</v>
      </c>
      <c r="H2" s="131" t="s">
        <v>24</v>
      </c>
      <c r="I2" s="131" t="s">
        <v>146</v>
      </c>
      <c r="J2" s="131" t="s">
        <v>147</v>
      </c>
      <c r="K2" s="131" t="s">
        <v>148</v>
      </c>
      <c r="L2" s="133" t="s">
        <v>207</v>
      </c>
      <c r="M2" s="133"/>
      <c r="N2" s="133"/>
      <c r="O2" s="134"/>
      <c r="P2" s="133" t="s">
        <v>201</v>
      </c>
      <c r="Q2" s="133"/>
      <c r="R2" s="133"/>
      <c r="S2" s="134"/>
      <c r="T2" s="133" t="s">
        <v>202</v>
      </c>
      <c r="U2" s="133"/>
      <c r="V2" s="133"/>
      <c r="W2" s="134"/>
      <c r="X2" s="133" t="s">
        <v>203</v>
      </c>
      <c r="Y2" s="133"/>
      <c r="Z2" s="133"/>
      <c r="AA2" s="134"/>
      <c r="AB2" s="133" t="s">
        <v>206</v>
      </c>
      <c r="AC2" s="133"/>
      <c r="AD2" s="133"/>
      <c r="AE2" s="134"/>
      <c r="AF2" s="133" t="s">
        <v>25</v>
      </c>
      <c r="AG2" s="133"/>
      <c r="AH2" s="133"/>
      <c r="AI2" s="134"/>
      <c r="AJ2" s="133" t="s">
        <v>26</v>
      </c>
      <c r="AK2" s="133"/>
      <c r="AL2" s="134"/>
      <c r="AM2" s="133" t="s">
        <v>149</v>
      </c>
      <c r="AN2" s="133"/>
      <c r="AO2" s="134"/>
      <c r="AP2" s="131" t="s">
        <v>150</v>
      </c>
      <c r="AQ2" s="131" t="s">
        <v>151</v>
      </c>
      <c r="AR2" s="36" t="s">
        <v>35</v>
      </c>
    </row>
    <row r="3" spans="1:44" s="27" customFormat="1">
      <c r="A3" s="35" t="s">
        <v>35</v>
      </c>
      <c r="B3" s="140"/>
      <c r="C3" s="140"/>
      <c r="D3" s="142"/>
      <c r="E3" s="132"/>
      <c r="F3" s="132"/>
      <c r="G3" s="132"/>
      <c r="H3" s="132"/>
      <c r="I3" s="132"/>
      <c r="J3" s="132"/>
      <c r="K3" s="132"/>
      <c r="L3" s="39" t="s">
        <v>28</v>
      </c>
      <c r="M3" s="40" t="s">
        <v>29</v>
      </c>
      <c r="N3" s="40" t="s">
        <v>30</v>
      </c>
      <c r="O3" s="41" t="s">
        <v>31</v>
      </c>
      <c r="P3" s="39" t="s">
        <v>28</v>
      </c>
      <c r="Q3" s="40" t="s">
        <v>29</v>
      </c>
      <c r="R3" s="40" t="s">
        <v>30</v>
      </c>
      <c r="S3" s="41" t="s">
        <v>31</v>
      </c>
      <c r="T3" s="39" t="s">
        <v>28</v>
      </c>
      <c r="U3" s="40" t="s">
        <v>29</v>
      </c>
      <c r="V3" s="40" t="s">
        <v>30</v>
      </c>
      <c r="W3" s="41" t="s">
        <v>31</v>
      </c>
      <c r="X3" s="39" t="s">
        <v>28</v>
      </c>
      <c r="Y3" s="40" t="s">
        <v>29</v>
      </c>
      <c r="Z3" s="40" t="s">
        <v>30</v>
      </c>
      <c r="AA3" s="41" t="s">
        <v>31</v>
      </c>
      <c r="AB3" s="39" t="s">
        <v>28</v>
      </c>
      <c r="AC3" s="40" t="s">
        <v>29</v>
      </c>
      <c r="AD3" s="40" t="s">
        <v>30</v>
      </c>
      <c r="AE3" s="41" t="s">
        <v>31</v>
      </c>
      <c r="AF3" s="39" t="s">
        <v>28</v>
      </c>
      <c r="AG3" s="40" t="s">
        <v>29</v>
      </c>
      <c r="AH3" s="40" t="s">
        <v>30</v>
      </c>
      <c r="AI3" s="41" t="s">
        <v>31</v>
      </c>
      <c r="AJ3" s="39" t="s">
        <v>28</v>
      </c>
      <c r="AK3" s="40" t="s">
        <v>32</v>
      </c>
      <c r="AL3" s="41" t="s">
        <v>33</v>
      </c>
      <c r="AM3" s="39" t="s">
        <v>28</v>
      </c>
      <c r="AN3" s="40" t="s">
        <v>32</v>
      </c>
      <c r="AO3" s="41" t="s">
        <v>33</v>
      </c>
      <c r="AP3" s="132"/>
      <c r="AQ3" s="132"/>
      <c r="AR3" s="36" t="s">
        <v>35</v>
      </c>
    </row>
    <row r="4" spans="1:44" ht="18" customHeight="1">
      <c r="A4" s="31" t="s">
        <v>35</v>
      </c>
      <c r="B4" s="42">
        <v>1</v>
      </c>
      <c r="C4" s="92" t="s">
        <v>205</v>
      </c>
      <c r="D4" s="92" t="s">
        <v>267</v>
      </c>
      <c r="E4" s="92" t="s">
        <v>268</v>
      </c>
      <c r="F4" s="99" t="s">
        <v>152</v>
      </c>
      <c r="G4" s="99" t="s">
        <v>272</v>
      </c>
      <c r="H4" s="33" t="s">
        <v>35</v>
      </c>
      <c r="I4" s="33" t="s">
        <v>35</v>
      </c>
      <c r="J4" s="33" t="s">
        <v>35</v>
      </c>
      <c r="K4" s="33" t="s">
        <v>35</v>
      </c>
      <c r="L4" s="59" t="s">
        <v>35</v>
      </c>
      <c r="M4" s="60" t="s">
        <v>35</v>
      </c>
      <c r="N4" s="60" t="s">
        <v>35</v>
      </c>
      <c r="O4" s="58"/>
      <c r="P4" s="59" t="s">
        <v>35</v>
      </c>
      <c r="Q4" s="60" t="s">
        <v>35</v>
      </c>
      <c r="R4" s="60" t="s">
        <v>35</v>
      </c>
      <c r="S4" s="58" t="s">
        <v>35</v>
      </c>
      <c r="T4" s="59" t="s">
        <v>35</v>
      </c>
      <c r="U4" s="60" t="s">
        <v>35</v>
      </c>
      <c r="V4" s="60" t="s">
        <v>35</v>
      </c>
      <c r="W4" s="58" t="s">
        <v>35</v>
      </c>
      <c r="X4" s="59" t="s">
        <v>35</v>
      </c>
      <c r="Y4" s="60" t="s">
        <v>35</v>
      </c>
      <c r="Z4" s="60" t="s">
        <v>35</v>
      </c>
      <c r="AA4" s="58" t="s">
        <v>35</v>
      </c>
      <c r="AB4" s="59" t="s">
        <v>35</v>
      </c>
      <c r="AC4" s="60" t="s">
        <v>35</v>
      </c>
      <c r="AD4" s="60" t="s">
        <v>35</v>
      </c>
      <c r="AE4" s="58" t="s">
        <v>35</v>
      </c>
      <c r="AF4" s="59" t="s">
        <v>35</v>
      </c>
      <c r="AG4" s="60" t="s">
        <v>35</v>
      </c>
      <c r="AH4" s="60" t="s">
        <v>35</v>
      </c>
      <c r="AI4" s="58" t="s">
        <v>35</v>
      </c>
      <c r="AJ4" s="59" t="s">
        <v>35</v>
      </c>
      <c r="AK4" s="60" t="s">
        <v>35</v>
      </c>
      <c r="AL4" s="58" t="s">
        <v>35</v>
      </c>
      <c r="AM4" s="59" t="s">
        <v>35</v>
      </c>
      <c r="AN4" s="60" t="s">
        <v>35</v>
      </c>
      <c r="AO4" s="58" t="s">
        <v>35</v>
      </c>
      <c r="AP4" s="33" t="s">
        <v>35</v>
      </c>
      <c r="AQ4" s="33" t="s">
        <v>35</v>
      </c>
      <c r="AR4" s="32" t="s">
        <v>35</v>
      </c>
    </row>
    <row r="5" spans="1:44" ht="18" customHeight="1">
      <c r="A5" s="31" t="s">
        <v>35</v>
      </c>
      <c r="B5" s="42">
        <v>2</v>
      </c>
      <c r="C5" s="88" t="s">
        <v>204</v>
      </c>
      <c r="D5" s="88"/>
      <c r="E5" s="88"/>
      <c r="F5" s="99" t="s">
        <v>153</v>
      </c>
      <c r="G5" s="99" t="s">
        <v>272</v>
      </c>
      <c r="H5" s="33" t="s">
        <v>35</v>
      </c>
      <c r="I5" s="33" t="s">
        <v>35</v>
      </c>
      <c r="J5" s="33" t="s">
        <v>35</v>
      </c>
      <c r="K5" s="33" t="s">
        <v>35</v>
      </c>
      <c r="L5" s="59" t="s">
        <v>35</v>
      </c>
      <c r="M5" s="60" t="s">
        <v>35</v>
      </c>
      <c r="N5" s="60" t="s">
        <v>35</v>
      </c>
      <c r="O5" s="58"/>
      <c r="P5" s="59" t="s">
        <v>35</v>
      </c>
      <c r="Q5" s="60" t="s">
        <v>35</v>
      </c>
      <c r="R5" s="60" t="s">
        <v>35</v>
      </c>
      <c r="S5" s="58" t="s">
        <v>35</v>
      </c>
      <c r="T5" s="59" t="s">
        <v>35</v>
      </c>
      <c r="U5" s="60" t="s">
        <v>35</v>
      </c>
      <c r="V5" s="60" t="s">
        <v>35</v>
      </c>
      <c r="W5" s="58" t="s">
        <v>35</v>
      </c>
      <c r="X5" s="59" t="s">
        <v>35</v>
      </c>
      <c r="Y5" s="60" t="s">
        <v>35</v>
      </c>
      <c r="Z5" s="60" t="s">
        <v>35</v>
      </c>
      <c r="AA5" s="58" t="s">
        <v>35</v>
      </c>
      <c r="AB5" s="59" t="s">
        <v>35</v>
      </c>
      <c r="AC5" s="60" t="s">
        <v>35</v>
      </c>
      <c r="AD5" s="60" t="s">
        <v>35</v>
      </c>
      <c r="AE5" s="58" t="s">
        <v>35</v>
      </c>
      <c r="AF5" s="59" t="s">
        <v>35</v>
      </c>
      <c r="AG5" s="60" t="s">
        <v>35</v>
      </c>
      <c r="AH5" s="60" t="s">
        <v>35</v>
      </c>
      <c r="AI5" s="58" t="s">
        <v>35</v>
      </c>
      <c r="AJ5" s="59" t="s">
        <v>35</v>
      </c>
      <c r="AK5" s="60" t="s">
        <v>35</v>
      </c>
      <c r="AL5" s="58" t="s">
        <v>35</v>
      </c>
      <c r="AM5" s="59" t="s">
        <v>35</v>
      </c>
      <c r="AN5" s="60" t="s">
        <v>35</v>
      </c>
      <c r="AO5" s="58" t="s">
        <v>35</v>
      </c>
      <c r="AP5" s="33" t="s">
        <v>35</v>
      </c>
      <c r="AQ5" s="33" t="s">
        <v>35</v>
      </c>
      <c r="AR5" s="32" t="s">
        <v>35</v>
      </c>
    </row>
    <row r="6" spans="1:44" ht="18" customHeight="1">
      <c r="A6" s="31" t="s">
        <v>35</v>
      </c>
      <c r="B6" s="42">
        <v>3</v>
      </c>
      <c r="C6" s="88" t="s">
        <v>204</v>
      </c>
      <c r="D6" s="88"/>
      <c r="E6" s="88"/>
      <c r="F6" s="99" t="s">
        <v>154</v>
      </c>
      <c r="G6" s="99" t="s">
        <v>272</v>
      </c>
      <c r="H6" s="33" t="s">
        <v>35</v>
      </c>
      <c r="I6" s="33" t="s">
        <v>35</v>
      </c>
      <c r="J6" s="33" t="s">
        <v>35</v>
      </c>
      <c r="K6" s="33" t="s">
        <v>35</v>
      </c>
      <c r="L6" s="59" t="s">
        <v>35</v>
      </c>
      <c r="M6" s="60" t="s">
        <v>35</v>
      </c>
      <c r="N6" s="60" t="s">
        <v>35</v>
      </c>
      <c r="O6" s="58" t="s">
        <v>210</v>
      </c>
      <c r="P6" s="59" t="s">
        <v>35</v>
      </c>
      <c r="Q6" s="60" t="s">
        <v>35</v>
      </c>
      <c r="R6" s="60" t="s">
        <v>35</v>
      </c>
      <c r="S6" s="58" t="s">
        <v>35</v>
      </c>
      <c r="T6" s="59" t="s">
        <v>35</v>
      </c>
      <c r="U6" s="60" t="s">
        <v>35</v>
      </c>
      <c r="V6" s="60" t="s">
        <v>35</v>
      </c>
      <c r="W6" s="58" t="s">
        <v>35</v>
      </c>
      <c r="X6" s="59" t="s">
        <v>35</v>
      </c>
      <c r="Y6" s="60" t="s">
        <v>35</v>
      </c>
      <c r="Z6" s="60" t="s">
        <v>35</v>
      </c>
      <c r="AA6" s="58" t="s">
        <v>35</v>
      </c>
      <c r="AB6" s="59" t="s">
        <v>35</v>
      </c>
      <c r="AC6" s="60" t="s">
        <v>35</v>
      </c>
      <c r="AD6" s="60" t="s">
        <v>35</v>
      </c>
      <c r="AE6" s="58" t="s">
        <v>35</v>
      </c>
      <c r="AF6" s="59" t="s">
        <v>35</v>
      </c>
      <c r="AG6" s="60" t="s">
        <v>35</v>
      </c>
      <c r="AH6" s="60" t="s">
        <v>35</v>
      </c>
      <c r="AI6" s="58" t="s">
        <v>35</v>
      </c>
      <c r="AJ6" s="59" t="s">
        <v>35</v>
      </c>
      <c r="AK6" s="60" t="s">
        <v>35</v>
      </c>
      <c r="AL6" s="58" t="s">
        <v>35</v>
      </c>
      <c r="AM6" s="59" t="s">
        <v>35</v>
      </c>
      <c r="AN6" s="60" t="s">
        <v>35</v>
      </c>
      <c r="AO6" s="58" t="s">
        <v>35</v>
      </c>
      <c r="AP6" s="33" t="s">
        <v>35</v>
      </c>
      <c r="AQ6" s="33" t="s">
        <v>35</v>
      </c>
      <c r="AR6" s="32" t="s">
        <v>35</v>
      </c>
    </row>
    <row r="7" spans="1:44" ht="18" customHeight="1">
      <c r="A7" s="31" t="s">
        <v>35</v>
      </c>
      <c r="B7" s="42">
        <v>4</v>
      </c>
      <c r="C7" s="88" t="s">
        <v>204</v>
      </c>
      <c r="D7" s="88"/>
      <c r="E7" s="88"/>
      <c r="F7" s="99" t="s">
        <v>155</v>
      </c>
      <c r="G7" s="99" t="s">
        <v>272</v>
      </c>
      <c r="H7" s="33" t="s">
        <v>35</v>
      </c>
      <c r="I7" s="33" t="s">
        <v>35</v>
      </c>
      <c r="J7" s="33" t="s">
        <v>35</v>
      </c>
      <c r="K7" s="33" t="s">
        <v>35</v>
      </c>
      <c r="L7" s="59" t="s">
        <v>35</v>
      </c>
      <c r="M7" s="60" t="s">
        <v>35</v>
      </c>
      <c r="N7" s="60" t="s">
        <v>35</v>
      </c>
      <c r="O7" s="58" t="s">
        <v>208</v>
      </c>
      <c r="P7" s="59" t="s">
        <v>35</v>
      </c>
      <c r="Q7" s="60" t="s">
        <v>35</v>
      </c>
      <c r="R7" s="60" t="s">
        <v>35</v>
      </c>
      <c r="S7" s="58" t="s">
        <v>35</v>
      </c>
      <c r="T7" s="59" t="s">
        <v>35</v>
      </c>
      <c r="U7" s="60" t="s">
        <v>35</v>
      </c>
      <c r="V7" s="60" t="s">
        <v>35</v>
      </c>
      <c r="W7" s="58" t="s">
        <v>208</v>
      </c>
      <c r="X7" s="59" t="s">
        <v>35</v>
      </c>
      <c r="Y7" s="60" t="s">
        <v>35</v>
      </c>
      <c r="Z7" s="60" t="s">
        <v>35</v>
      </c>
      <c r="AA7" s="58" t="s">
        <v>35</v>
      </c>
      <c r="AB7" s="59" t="s">
        <v>35</v>
      </c>
      <c r="AC7" s="60" t="s">
        <v>35</v>
      </c>
      <c r="AD7" s="60" t="s">
        <v>35</v>
      </c>
      <c r="AE7" s="58" t="s">
        <v>35</v>
      </c>
      <c r="AF7" s="59" t="s">
        <v>35</v>
      </c>
      <c r="AG7" s="60" t="s">
        <v>35</v>
      </c>
      <c r="AH7" s="60" t="s">
        <v>35</v>
      </c>
      <c r="AI7" s="58" t="s">
        <v>35</v>
      </c>
      <c r="AJ7" s="59" t="s">
        <v>35</v>
      </c>
      <c r="AK7" s="60" t="s">
        <v>35</v>
      </c>
      <c r="AL7" s="58" t="s">
        <v>35</v>
      </c>
      <c r="AM7" s="59" t="s">
        <v>35</v>
      </c>
      <c r="AN7" s="60" t="s">
        <v>35</v>
      </c>
      <c r="AO7" s="58" t="s">
        <v>35</v>
      </c>
      <c r="AP7" s="33" t="s">
        <v>35</v>
      </c>
      <c r="AQ7" s="33" t="s">
        <v>35</v>
      </c>
      <c r="AR7" s="32" t="s">
        <v>35</v>
      </c>
    </row>
    <row r="8" spans="1:44" ht="18" customHeight="1">
      <c r="A8" s="31" t="s">
        <v>35</v>
      </c>
      <c r="B8" s="42">
        <v>5</v>
      </c>
      <c r="C8" s="88" t="s">
        <v>204</v>
      </c>
      <c r="D8" s="88"/>
      <c r="E8" s="88"/>
      <c r="F8" s="99" t="s">
        <v>156</v>
      </c>
      <c r="G8" s="99" t="s">
        <v>272</v>
      </c>
      <c r="H8" s="33" t="s">
        <v>35</v>
      </c>
      <c r="I8" s="33" t="s">
        <v>35</v>
      </c>
      <c r="J8" s="33" t="s">
        <v>35</v>
      </c>
      <c r="K8" s="33" t="s">
        <v>35</v>
      </c>
      <c r="L8" s="59" t="s">
        <v>35</v>
      </c>
      <c r="M8" s="60" t="s">
        <v>35</v>
      </c>
      <c r="N8" s="60" t="s">
        <v>35</v>
      </c>
      <c r="O8" s="58"/>
      <c r="P8" s="59" t="s">
        <v>35</v>
      </c>
      <c r="Q8" s="60" t="s">
        <v>35</v>
      </c>
      <c r="R8" s="60" t="s">
        <v>35</v>
      </c>
      <c r="S8" s="58" t="s">
        <v>208</v>
      </c>
      <c r="T8" s="59" t="s">
        <v>35</v>
      </c>
      <c r="U8" s="60" t="s">
        <v>35</v>
      </c>
      <c r="V8" s="60" t="s">
        <v>35</v>
      </c>
      <c r="W8" s="58" t="s">
        <v>210</v>
      </c>
      <c r="X8" s="59" t="s">
        <v>35</v>
      </c>
      <c r="Y8" s="60" t="s">
        <v>35</v>
      </c>
      <c r="Z8" s="60" t="s">
        <v>35</v>
      </c>
      <c r="AA8" s="58" t="s">
        <v>35</v>
      </c>
      <c r="AB8" s="59" t="s">
        <v>35</v>
      </c>
      <c r="AC8" s="60" t="s">
        <v>35</v>
      </c>
      <c r="AD8" s="60" t="s">
        <v>35</v>
      </c>
      <c r="AE8" s="58" t="s">
        <v>35</v>
      </c>
      <c r="AF8" s="59" t="s">
        <v>35</v>
      </c>
      <c r="AG8" s="60" t="s">
        <v>35</v>
      </c>
      <c r="AH8" s="60" t="s">
        <v>35</v>
      </c>
      <c r="AI8" s="58" t="s">
        <v>35</v>
      </c>
      <c r="AJ8" s="59" t="s">
        <v>35</v>
      </c>
      <c r="AK8" s="60" t="s">
        <v>35</v>
      </c>
      <c r="AL8" s="58" t="s">
        <v>35</v>
      </c>
      <c r="AM8" s="59" t="s">
        <v>35</v>
      </c>
      <c r="AN8" s="60" t="s">
        <v>35</v>
      </c>
      <c r="AO8" s="58" t="s">
        <v>35</v>
      </c>
      <c r="AP8" s="33" t="s">
        <v>35</v>
      </c>
      <c r="AQ8" s="33" t="s">
        <v>35</v>
      </c>
      <c r="AR8" s="32" t="s">
        <v>35</v>
      </c>
    </row>
    <row r="9" spans="1:44" ht="18" customHeight="1">
      <c r="A9" s="31" t="s">
        <v>35</v>
      </c>
      <c r="B9" s="42">
        <v>6</v>
      </c>
      <c r="C9" s="88" t="s">
        <v>204</v>
      </c>
      <c r="D9" s="88"/>
      <c r="E9" s="88"/>
      <c r="F9" s="99" t="s">
        <v>157</v>
      </c>
      <c r="G9" s="99" t="s">
        <v>272</v>
      </c>
      <c r="H9" s="33" t="s">
        <v>35</v>
      </c>
      <c r="I9" s="33" t="s">
        <v>35</v>
      </c>
      <c r="J9" s="33" t="s">
        <v>35</v>
      </c>
      <c r="K9" s="33" t="s">
        <v>35</v>
      </c>
      <c r="L9" s="59" t="s">
        <v>35</v>
      </c>
      <c r="M9" s="60" t="s">
        <v>35</v>
      </c>
      <c r="N9" s="60" t="s">
        <v>35</v>
      </c>
      <c r="O9" s="58" t="s">
        <v>210</v>
      </c>
      <c r="P9" s="59" t="s">
        <v>35</v>
      </c>
      <c r="Q9" s="60" t="s">
        <v>35</v>
      </c>
      <c r="R9" s="60" t="s">
        <v>35</v>
      </c>
      <c r="S9" s="58"/>
      <c r="T9" s="59" t="s">
        <v>35</v>
      </c>
      <c r="U9" s="60" t="s">
        <v>35</v>
      </c>
      <c r="V9" s="60" t="s">
        <v>35</v>
      </c>
      <c r="W9" s="58" t="s">
        <v>35</v>
      </c>
      <c r="X9" s="59" t="s">
        <v>35</v>
      </c>
      <c r="Y9" s="60" t="s">
        <v>35</v>
      </c>
      <c r="Z9" s="60" t="s">
        <v>35</v>
      </c>
      <c r="AA9" s="58" t="s">
        <v>35</v>
      </c>
      <c r="AB9" s="59" t="s">
        <v>35</v>
      </c>
      <c r="AC9" s="60" t="s">
        <v>35</v>
      </c>
      <c r="AD9" s="60" t="s">
        <v>35</v>
      </c>
      <c r="AE9" s="58" t="s">
        <v>35</v>
      </c>
      <c r="AF9" s="59" t="s">
        <v>35</v>
      </c>
      <c r="AG9" s="60" t="s">
        <v>35</v>
      </c>
      <c r="AH9" s="60" t="s">
        <v>35</v>
      </c>
      <c r="AI9" s="58" t="s">
        <v>35</v>
      </c>
      <c r="AJ9" s="59" t="s">
        <v>35</v>
      </c>
      <c r="AK9" s="60" t="s">
        <v>35</v>
      </c>
      <c r="AL9" s="58" t="s">
        <v>35</v>
      </c>
      <c r="AM9" s="59" t="s">
        <v>35</v>
      </c>
      <c r="AN9" s="60" t="s">
        <v>35</v>
      </c>
      <c r="AO9" s="58" t="s">
        <v>35</v>
      </c>
      <c r="AP9" s="33" t="s">
        <v>35</v>
      </c>
      <c r="AQ9" s="33" t="s">
        <v>35</v>
      </c>
      <c r="AR9" s="32" t="s">
        <v>35</v>
      </c>
    </row>
    <row r="10" spans="1:44" ht="18" customHeight="1">
      <c r="A10" s="31" t="s">
        <v>35</v>
      </c>
      <c r="B10" s="42">
        <v>7</v>
      </c>
      <c r="C10" s="88" t="s">
        <v>204</v>
      </c>
      <c r="D10" s="88"/>
      <c r="E10" s="88"/>
      <c r="F10" s="99" t="s">
        <v>158</v>
      </c>
      <c r="G10" s="99" t="s">
        <v>272</v>
      </c>
      <c r="H10" s="33" t="s">
        <v>35</v>
      </c>
      <c r="I10" s="33" t="s">
        <v>35</v>
      </c>
      <c r="J10" s="33" t="s">
        <v>35</v>
      </c>
      <c r="K10" s="33" t="s">
        <v>35</v>
      </c>
      <c r="L10" s="59" t="s">
        <v>35</v>
      </c>
      <c r="M10" s="60" t="s">
        <v>35</v>
      </c>
      <c r="N10" s="60" t="s">
        <v>35</v>
      </c>
      <c r="O10" s="58" t="s">
        <v>35</v>
      </c>
      <c r="P10" s="59" t="s">
        <v>35</v>
      </c>
      <c r="Q10" s="60" t="s">
        <v>35</v>
      </c>
      <c r="R10" s="60" t="s">
        <v>35</v>
      </c>
      <c r="S10" s="58" t="s">
        <v>35</v>
      </c>
      <c r="T10" s="59" t="s">
        <v>35</v>
      </c>
      <c r="U10" s="60" t="s">
        <v>35</v>
      </c>
      <c r="V10" s="60" t="s">
        <v>35</v>
      </c>
      <c r="W10" s="58" t="s">
        <v>35</v>
      </c>
      <c r="X10" s="59" t="s">
        <v>35</v>
      </c>
      <c r="Y10" s="60" t="s">
        <v>35</v>
      </c>
      <c r="Z10" s="60" t="s">
        <v>35</v>
      </c>
      <c r="AA10" s="58" t="s">
        <v>208</v>
      </c>
      <c r="AB10" s="59" t="s">
        <v>35</v>
      </c>
      <c r="AC10" s="60" t="s">
        <v>35</v>
      </c>
      <c r="AD10" s="60" t="s">
        <v>35</v>
      </c>
      <c r="AE10" s="58" t="s">
        <v>35</v>
      </c>
      <c r="AF10" s="59" t="s">
        <v>35</v>
      </c>
      <c r="AG10" s="60" t="s">
        <v>35</v>
      </c>
      <c r="AH10" s="60" t="s">
        <v>35</v>
      </c>
      <c r="AI10" s="58" t="s">
        <v>35</v>
      </c>
      <c r="AJ10" s="59" t="s">
        <v>35</v>
      </c>
      <c r="AK10" s="60" t="s">
        <v>35</v>
      </c>
      <c r="AL10" s="58" t="s">
        <v>35</v>
      </c>
      <c r="AM10" s="59" t="s">
        <v>35</v>
      </c>
      <c r="AN10" s="60" t="s">
        <v>35</v>
      </c>
      <c r="AO10" s="58" t="s">
        <v>35</v>
      </c>
      <c r="AP10" s="33" t="s">
        <v>35</v>
      </c>
      <c r="AQ10" s="33" t="s">
        <v>35</v>
      </c>
      <c r="AR10" s="32" t="s">
        <v>35</v>
      </c>
    </row>
    <row r="11" spans="1:44" ht="18" customHeight="1">
      <c r="A11" s="31" t="s">
        <v>35</v>
      </c>
      <c r="B11" s="42">
        <v>8</v>
      </c>
      <c r="C11" s="88" t="s">
        <v>204</v>
      </c>
      <c r="D11" s="88"/>
      <c r="E11" s="88"/>
      <c r="F11" s="99" t="s">
        <v>159</v>
      </c>
      <c r="G11" s="99" t="s">
        <v>272</v>
      </c>
      <c r="H11" s="33" t="s">
        <v>35</v>
      </c>
      <c r="I11" s="33" t="s">
        <v>35</v>
      </c>
      <c r="J11" s="33" t="s">
        <v>35</v>
      </c>
      <c r="K11" s="33" t="s">
        <v>35</v>
      </c>
      <c r="L11" s="59" t="s">
        <v>35</v>
      </c>
      <c r="M11" s="60" t="s">
        <v>35</v>
      </c>
      <c r="N11" s="60" t="s">
        <v>35</v>
      </c>
      <c r="O11" s="58" t="s">
        <v>35</v>
      </c>
      <c r="P11" s="59" t="s">
        <v>35</v>
      </c>
      <c r="Q11" s="60" t="s">
        <v>35</v>
      </c>
      <c r="R11" s="60" t="s">
        <v>35</v>
      </c>
      <c r="S11" s="58"/>
      <c r="T11" s="59" t="s">
        <v>35</v>
      </c>
      <c r="U11" s="60" t="s">
        <v>35</v>
      </c>
      <c r="V11" s="60" t="s">
        <v>35</v>
      </c>
      <c r="W11" s="58" t="s">
        <v>35</v>
      </c>
      <c r="X11" s="59" t="s">
        <v>35</v>
      </c>
      <c r="Y11" s="60" t="s">
        <v>35</v>
      </c>
      <c r="Z11" s="60" t="s">
        <v>35</v>
      </c>
      <c r="AA11" s="58" t="s">
        <v>35</v>
      </c>
      <c r="AB11" s="59" t="s">
        <v>35</v>
      </c>
      <c r="AC11" s="60" t="s">
        <v>35</v>
      </c>
      <c r="AD11" s="60" t="s">
        <v>35</v>
      </c>
      <c r="AE11" s="58" t="s">
        <v>35</v>
      </c>
      <c r="AF11" s="59" t="s">
        <v>35</v>
      </c>
      <c r="AG11" s="60" t="s">
        <v>35</v>
      </c>
      <c r="AH11" s="60" t="s">
        <v>35</v>
      </c>
      <c r="AI11" s="58" t="s">
        <v>35</v>
      </c>
      <c r="AJ11" s="59" t="s">
        <v>35</v>
      </c>
      <c r="AK11" s="60" t="s">
        <v>35</v>
      </c>
      <c r="AL11" s="58" t="s">
        <v>35</v>
      </c>
      <c r="AM11" s="59" t="s">
        <v>35</v>
      </c>
      <c r="AN11" s="60" t="s">
        <v>35</v>
      </c>
      <c r="AO11" s="58" t="s">
        <v>35</v>
      </c>
      <c r="AP11" s="33" t="s">
        <v>35</v>
      </c>
      <c r="AQ11" s="33" t="s">
        <v>35</v>
      </c>
      <c r="AR11" s="32" t="s">
        <v>35</v>
      </c>
    </row>
    <row r="12" spans="1:44" ht="18" customHeight="1">
      <c r="A12" s="31" t="s">
        <v>35</v>
      </c>
      <c r="B12" s="42">
        <v>9</v>
      </c>
      <c r="C12" s="88" t="s">
        <v>204</v>
      </c>
      <c r="D12" s="88"/>
      <c r="E12" s="88"/>
      <c r="F12" s="99" t="s">
        <v>160</v>
      </c>
      <c r="G12" s="99" t="s">
        <v>166</v>
      </c>
      <c r="H12" s="33" t="s">
        <v>35</v>
      </c>
      <c r="I12" s="33" t="s">
        <v>35</v>
      </c>
      <c r="J12" s="33" t="s">
        <v>35</v>
      </c>
      <c r="K12" s="33" t="s">
        <v>35</v>
      </c>
      <c r="L12" s="59" t="s">
        <v>35</v>
      </c>
      <c r="M12" s="60" t="s">
        <v>35</v>
      </c>
      <c r="N12" s="60" t="s">
        <v>35</v>
      </c>
      <c r="O12" s="58" t="s">
        <v>35</v>
      </c>
      <c r="P12" s="59" t="s">
        <v>35</v>
      </c>
      <c r="Q12" s="60" t="s">
        <v>35</v>
      </c>
      <c r="R12" s="60" t="s">
        <v>35</v>
      </c>
      <c r="S12" s="58" t="s">
        <v>35</v>
      </c>
      <c r="T12" s="59" t="s">
        <v>35</v>
      </c>
      <c r="U12" s="60" t="s">
        <v>35</v>
      </c>
      <c r="V12" s="60" t="s">
        <v>35</v>
      </c>
      <c r="W12" s="58" t="s">
        <v>35</v>
      </c>
      <c r="X12" s="59" t="s">
        <v>35</v>
      </c>
      <c r="Y12" s="60" t="s">
        <v>35</v>
      </c>
      <c r="Z12" s="60" t="s">
        <v>35</v>
      </c>
      <c r="AA12" s="58" t="s">
        <v>208</v>
      </c>
      <c r="AB12" s="59" t="s">
        <v>35</v>
      </c>
      <c r="AC12" s="60" t="s">
        <v>35</v>
      </c>
      <c r="AD12" s="60" t="s">
        <v>35</v>
      </c>
      <c r="AE12" s="58" t="s">
        <v>35</v>
      </c>
      <c r="AF12" s="59" t="s">
        <v>35</v>
      </c>
      <c r="AG12" s="60" t="s">
        <v>35</v>
      </c>
      <c r="AH12" s="60" t="s">
        <v>35</v>
      </c>
      <c r="AI12" s="58" t="s">
        <v>35</v>
      </c>
      <c r="AJ12" s="59" t="s">
        <v>35</v>
      </c>
      <c r="AK12" s="60" t="s">
        <v>35</v>
      </c>
      <c r="AL12" s="58" t="s">
        <v>35</v>
      </c>
      <c r="AM12" s="59" t="s">
        <v>35</v>
      </c>
      <c r="AN12" s="60" t="s">
        <v>35</v>
      </c>
      <c r="AO12" s="58" t="s">
        <v>35</v>
      </c>
      <c r="AP12" s="33" t="s">
        <v>35</v>
      </c>
      <c r="AQ12" s="33" t="s">
        <v>35</v>
      </c>
      <c r="AR12" s="32" t="s">
        <v>35</v>
      </c>
    </row>
    <row r="13" spans="1:44" ht="18" customHeight="1">
      <c r="A13" s="31" t="s">
        <v>35</v>
      </c>
      <c r="B13" s="42">
        <v>10</v>
      </c>
      <c r="C13" s="88" t="s">
        <v>204</v>
      </c>
      <c r="D13" s="88"/>
      <c r="E13" s="88"/>
      <c r="F13" s="99" t="s">
        <v>161</v>
      </c>
      <c r="G13" s="99" t="s">
        <v>272</v>
      </c>
      <c r="H13" s="33" t="s">
        <v>35</v>
      </c>
      <c r="I13" s="33" t="s">
        <v>35</v>
      </c>
      <c r="J13" s="33" t="s">
        <v>35</v>
      </c>
      <c r="K13" s="33" t="s">
        <v>35</v>
      </c>
      <c r="L13" s="59" t="s">
        <v>35</v>
      </c>
      <c r="M13" s="60" t="s">
        <v>35</v>
      </c>
      <c r="N13" s="60" t="s">
        <v>35</v>
      </c>
      <c r="O13" s="58"/>
      <c r="P13" s="59" t="s">
        <v>35</v>
      </c>
      <c r="Q13" s="60" t="s">
        <v>35</v>
      </c>
      <c r="R13" s="60" t="s">
        <v>35</v>
      </c>
      <c r="S13" s="58" t="s">
        <v>35</v>
      </c>
      <c r="T13" s="59" t="s">
        <v>35</v>
      </c>
      <c r="U13" s="60" t="s">
        <v>35</v>
      </c>
      <c r="V13" s="60" t="s">
        <v>35</v>
      </c>
      <c r="W13" s="58" t="s">
        <v>35</v>
      </c>
      <c r="X13" s="59" t="s">
        <v>35</v>
      </c>
      <c r="Y13" s="60" t="s">
        <v>35</v>
      </c>
      <c r="Z13" s="60" t="s">
        <v>35</v>
      </c>
      <c r="AA13" s="58" t="s">
        <v>35</v>
      </c>
      <c r="AB13" s="59" t="s">
        <v>35</v>
      </c>
      <c r="AC13" s="60" t="s">
        <v>35</v>
      </c>
      <c r="AD13" s="60" t="s">
        <v>35</v>
      </c>
      <c r="AE13" s="58" t="s">
        <v>35</v>
      </c>
      <c r="AF13" s="59" t="s">
        <v>35</v>
      </c>
      <c r="AG13" s="60" t="s">
        <v>35</v>
      </c>
      <c r="AH13" s="60" t="s">
        <v>35</v>
      </c>
      <c r="AI13" s="58" t="s">
        <v>35</v>
      </c>
      <c r="AJ13" s="59" t="s">
        <v>35</v>
      </c>
      <c r="AK13" s="60" t="s">
        <v>35</v>
      </c>
      <c r="AL13" s="58" t="s">
        <v>35</v>
      </c>
      <c r="AM13" s="59" t="s">
        <v>35</v>
      </c>
      <c r="AN13" s="60" t="s">
        <v>35</v>
      </c>
      <c r="AO13" s="58" t="s">
        <v>35</v>
      </c>
      <c r="AP13" s="33" t="s">
        <v>35</v>
      </c>
      <c r="AQ13" s="33" t="s">
        <v>35</v>
      </c>
      <c r="AR13" s="32" t="s">
        <v>35</v>
      </c>
    </row>
    <row r="14" spans="1:44" ht="18" customHeight="1">
      <c r="A14" s="31" t="s">
        <v>35</v>
      </c>
      <c r="B14" s="42">
        <v>11</v>
      </c>
      <c r="C14" s="88" t="s">
        <v>204</v>
      </c>
      <c r="D14" s="88"/>
      <c r="E14" s="88"/>
      <c r="F14" s="99" t="s">
        <v>162</v>
      </c>
      <c r="G14" s="99" t="s">
        <v>166</v>
      </c>
      <c r="H14" s="33" t="s">
        <v>35</v>
      </c>
      <c r="I14" s="33" t="s">
        <v>35</v>
      </c>
      <c r="J14" s="33" t="s">
        <v>35</v>
      </c>
      <c r="K14" s="33" t="s">
        <v>35</v>
      </c>
      <c r="L14" s="59" t="s">
        <v>35</v>
      </c>
      <c r="M14" s="60" t="s">
        <v>35</v>
      </c>
      <c r="N14" s="60" t="s">
        <v>35</v>
      </c>
      <c r="O14" s="58"/>
      <c r="P14" s="59" t="s">
        <v>35</v>
      </c>
      <c r="Q14" s="60" t="s">
        <v>35</v>
      </c>
      <c r="R14" s="60" t="s">
        <v>35</v>
      </c>
      <c r="S14" s="58" t="s">
        <v>35</v>
      </c>
      <c r="T14" s="59" t="s">
        <v>35</v>
      </c>
      <c r="U14" s="60" t="s">
        <v>35</v>
      </c>
      <c r="V14" s="60" t="s">
        <v>35</v>
      </c>
      <c r="W14" s="58" t="s">
        <v>35</v>
      </c>
      <c r="X14" s="59" t="s">
        <v>35</v>
      </c>
      <c r="Y14" s="60" t="s">
        <v>35</v>
      </c>
      <c r="Z14" s="60" t="s">
        <v>35</v>
      </c>
      <c r="AA14" s="58" t="s">
        <v>35</v>
      </c>
      <c r="AB14" s="59" t="s">
        <v>35</v>
      </c>
      <c r="AC14" s="60" t="s">
        <v>35</v>
      </c>
      <c r="AD14" s="60" t="s">
        <v>35</v>
      </c>
      <c r="AE14" s="58" t="s">
        <v>35</v>
      </c>
      <c r="AF14" s="59" t="s">
        <v>35</v>
      </c>
      <c r="AG14" s="60" t="s">
        <v>35</v>
      </c>
      <c r="AH14" s="60" t="s">
        <v>35</v>
      </c>
      <c r="AI14" s="58" t="s">
        <v>35</v>
      </c>
      <c r="AJ14" s="59" t="s">
        <v>35</v>
      </c>
      <c r="AK14" s="60" t="s">
        <v>35</v>
      </c>
      <c r="AL14" s="58" t="s">
        <v>35</v>
      </c>
      <c r="AM14" s="59" t="s">
        <v>35</v>
      </c>
      <c r="AN14" s="60" t="s">
        <v>35</v>
      </c>
      <c r="AO14" s="58" t="s">
        <v>35</v>
      </c>
      <c r="AP14" s="33" t="s">
        <v>35</v>
      </c>
      <c r="AQ14" s="33" t="s">
        <v>35</v>
      </c>
      <c r="AR14" s="32" t="s">
        <v>35</v>
      </c>
    </row>
    <row r="15" spans="1:44" ht="18" customHeight="1">
      <c r="A15" s="31" t="s">
        <v>35</v>
      </c>
      <c r="B15" s="42">
        <v>12</v>
      </c>
      <c r="C15" s="88" t="s">
        <v>205</v>
      </c>
      <c r="D15" s="88"/>
      <c r="E15" s="88"/>
      <c r="F15" s="99" t="s">
        <v>163</v>
      </c>
      <c r="G15" s="99" t="s">
        <v>166</v>
      </c>
      <c r="H15" s="33" t="s">
        <v>35</v>
      </c>
      <c r="I15" s="33" t="s">
        <v>35</v>
      </c>
      <c r="J15" s="33" t="s">
        <v>35</v>
      </c>
      <c r="K15" s="33" t="s">
        <v>35</v>
      </c>
      <c r="L15" s="59" t="s">
        <v>35</v>
      </c>
      <c r="M15" s="60" t="s">
        <v>35</v>
      </c>
      <c r="N15" s="60" t="s">
        <v>35</v>
      </c>
      <c r="O15" s="58" t="s">
        <v>35</v>
      </c>
      <c r="P15" s="59" t="s">
        <v>35</v>
      </c>
      <c r="Q15" s="60" t="s">
        <v>35</v>
      </c>
      <c r="R15" s="60" t="s">
        <v>35</v>
      </c>
      <c r="S15" s="58" t="s">
        <v>35</v>
      </c>
      <c r="T15" s="59" t="s">
        <v>35</v>
      </c>
      <c r="U15" s="60" t="s">
        <v>35</v>
      </c>
      <c r="V15" s="60" t="s">
        <v>35</v>
      </c>
      <c r="W15" s="58" t="s">
        <v>35</v>
      </c>
      <c r="X15" s="59" t="s">
        <v>35</v>
      </c>
      <c r="Y15" s="60" t="s">
        <v>35</v>
      </c>
      <c r="Z15" s="60" t="s">
        <v>35</v>
      </c>
      <c r="AA15" s="58" t="s">
        <v>35</v>
      </c>
      <c r="AB15" s="59" t="s">
        <v>35</v>
      </c>
      <c r="AC15" s="60" t="s">
        <v>35</v>
      </c>
      <c r="AD15" s="60" t="s">
        <v>35</v>
      </c>
      <c r="AE15" s="58" t="s">
        <v>35</v>
      </c>
      <c r="AF15" s="59" t="s">
        <v>35</v>
      </c>
      <c r="AG15" s="60" t="s">
        <v>35</v>
      </c>
      <c r="AH15" s="60" t="s">
        <v>35</v>
      </c>
      <c r="AI15" s="58" t="s">
        <v>35</v>
      </c>
      <c r="AJ15" s="59" t="s">
        <v>35</v>
      </c>
      <c r="AK15" s="60" t="s">
        <v>35</v>
      </c>
      <c r="AL15" s="58" t="s">
        <v>35</v>
      </c>
      <c r="AM15" s="59" t="s">
        <v>35</v>
      </c>
      <c r="AN15" s="60" t="s">
        <v>35</v>
      </c>
      <c r="AO15" s="58" t="s">
        <v>35</v>
      </c>
      <c r="AP15" s="33" t="s">
        <v>35</v>
      </c>
      <c r="AQ15" s="33" t="s">
        <v>35</v>
      </c>
      <c r="AR15" s="32" t="s">
        <v>35</v>
      </c>
    </row>
    <row r="16" spans="1:44" ht="18" customHeight="1">
      <c r="A16" s="31" t="s">
        <v>35</v>
      </c>
      <c r="B16" s="42">
        <v>13</v>
      </c>
      <c r="C16" s="88" t="s">
        <v>204</v>
      </c>
      <c r="D16" s="88"/>
      <c r="E16" s="88"/>
      <c r="F16" s="99" t="s">
        <v>164</v>
      </c>
      <c r="G16" s="99" t="s">
        <v>166</v>
      </c>
      <c r="H16" s="33" t="s">
        <v>35</v>
      </c>
      <c r="I16" s="33" t="s">
        <v>35</v>
      </c>
      <c r="J16" s="33" t="s">
        <v>35</v>
      </c>
      <c r="K16" s="33" t="s">
        <v>35</v>
      </c>
      <c r="L16" s="59" t="s">
        <v>35</v>
      </c>
      <c r="M16" s="60" t="s">
        <v>35</v>
      </c>
      <c r="N16" s="60" t="s">
        <v>35</v>
      </c>
      <c r="O16" s="58" t="s">
        <v>35</v>
      </c>
      <c r="P16" s="59" t="s">
        <v>35</v>
      </c>
      <c r="Q16" s="60" t="s">
        <v>35</v>
      </c>
      <c r="R16" s="60" t="s">
        <v>35</v>
      </c>
      <c r="S16" s="58" t="s">
        <v>35</v>
      </c>
      <c r="T16" s="59" t="s">
        <v>35</v>
      </c>
      <c r="U16" s="60" t="s">
        <v>35</v>
      </c>
      <c r="V16" s="60" t="s">
        <v>35</v>
      </c>
      <c r="W16" s="58" t="s">
        <v>35</v>
      </c>
      <c r="X16" s="59" t="s">
        <v>35</v>
      </c>
      <c r="Y16" s="60" t="s">
        <v>35</v>
      </c>
      <c r="Z16" s="60" t="s">
        <v>35</v>
      </c>
      <c r="AA16" s="58" t="s">
        <v>35</v>
      </c>
      <c r="AB16" s="59" t="s">
        <v>35</v>
      </c>
      <c r="AC16" s="60" t="s">
        <v>35</v>
      </c>
      <c r="AD16" s="60" t="s">
        <v>35</v>
      </c>
      <c r="AE16" s="58" t="s">
        <v>35</v>
      </c>
      <c r="AF16" s="59" t="s">
        <v>35</v>
      </c>
      <c r="AG16" s="60" t="s">
        <v>35</v>
      </c>
      <c r="AH16" s="60" t="s">
        <v>35</v>
      </c>
      <c r="AI16" s="58" t="s">
        <v>35</v>
      </c>
      <c r="AJ16" s="59" t="s">
        <v>35</v>
      </c>
      <c r="AK16" s="60" t="s">
        <v>35</v>
      </c>
      <c r="AL16" s="58" t="s">
        <v>35</v>
      </c>
      <c r="AM16" s="59" t="s">
        <v>35</v>
      </c>
      <c r="AN16" s="60" t="s">
        <v>35</v>
      </c>
      <c r="AO16" s="58" t="s">
        <v>35</v>
      </c>
      <c r="AP16" s="33" t="s">
        <v>35</v>
      </c>
      <c r="AQ16" s="33" t="s">
        <v>35</v>
      </c>
      <c r="AR16" s="32" t="s">
        <v>35</v>
      </c>
    </row>
    <row r="17" spans="1:44" ht="18" customHeight="1">
      <c r="A17" s="31" t="s">
        <v>35</v>
      </c>
      <c r="B17" s="42">
        <v>14</v>
      </c>
      <c r="C17" s="88" t="s">
        <v>204</v>
      </c>
      <c r="D17" s="88"/>
      <c r="E17" s="99" t="s">
        <v>165</v>
      </c>
      <c r="F17" s="99" t="s">
        <v>165</v>
      </c>
      <c r="G17" s="99" t="s">
        <v>166</v>
      </c>
      <c r="H17" s="33" t="s">
        <v>35</v>
      </c>
      <c r="I17" s="33" t="s">
        <v>35</v>
      </c>
      <c r="J17" s="33" t="s">
        <v>35</v>
      </c>
      <c r="K17" s="33" t="s">
        <v>35</v>
      </c>
      <c r="L17" s="59" t="s">
        <v>35</v>
      </c>
      <c r="M17" s="60" t="s">
        <v>35</v>
      </c>
      <c r="N17" s="60" t="s">
        <v>35</v>
      </c>
      <c r="O17" s="58" t="s">
        <v>35</v>
      </c>
      <c r="P17" s="59" t="s">
        <v>35</v>
      </c>
      <c r="Q17" s="60" t="s">
        <v>35</v>
      </c>
      <c r="R17" s="60" t="s">
        <v>35</v>
      </c>
      <c r="S17" s="58" t="s">
        <v>35</v>
      </c>
      <c r="T17" s="59" t="s">
        <v>35</v>
      </c>
      <c r="U17" s="60" t="s">
        <v>35</v>
      </c>
      <c r="V17" s="60" t="s">
        <v>35</v>
      </c>
      <c r="W17" s="58" t="s">
        <v>35</v>
      </c>
      <c r="X17" s="59" t="s">
        <v>35</v>
      </c>
      <c r="Y17" s="60" t="s">
        <v>35</v>
      </c>
      <c r="Z17" s="60" t="s">
        <v>35</v>
      </c>
      <c r="AA17" s="58" t="s">
        <v>35</v>
      </c>
      <c r="AB17" s="59" t="s">
        <v>35</v>
      </c>
      <c r="AC17" s="60" t="s">
        <v>35</v>
      </c>
      <c r="AD17" s="60" t="s">
        <v>35</v>
      </c>
      <c r="AE17" s="58" t="s">
        <v>35</v>
      </c>
      <c r="AF17" s="59" t="s">
        <v>35</v>
      </c>
      <c r="AG17" s="60" t="s">
        <v>35</v>
      </c>
      <c r="AH17" s="60" t="s">
        <v>35</v>
      </c>
      <c r="AI17" s="58" t="s">
        <v>35</v>
      </c>
      <c r="AJ17" s="59" t="s">
        <v>35</v>
      </c>
      <c r="AK17" s="60" t="s">
        <v>35</v>
      </c>
      <c r="AL17" s="58" t="s">
        <v>35</v>
      </c>
      <c r="AM17" s="59" t="s">
        <v>35</v>
      </c>
      <c r="AN17" s="60" t="s">
        <v>35</v>
      </c>
      <c r="AO17" s="58" t="s">
        <v>35</v>
      </c>
      <c r="AP17" s="33" t="s">
        <v>35</v>
      </c>
      <c r="AQ17" s="33" t="s">
        <v>35</v>
      </c>
      <c r="AR17" s="32" t="s">
        <v>35</v>
      </c>
    </row>
    <row r="18" spans="1:44" ht="18" customHeight="1">
      <c r="A18" s="31" t="s">
        <v>35</v>
      </c>
      <c r="B18" s="42">
        <v>15</v>
      </c>
      <c r="C18" s="88" t="s">
        <v>204</v>
      </c>
      <c r="D18" s="88"/>
      <c r="E18" s="99" t="s">
        <v>37</v>
      </c>
      <c r="F18" s="99" t="s">
        <v>37</v>
      </c>
      <c r="G18" s="99" t="s">
        <v>166</v>
      </c>
      <c r="H18" s="38" t="s">
        <v>35</v>
      </c>
      <c r="I18" s="33" t="s">
        <v>35</v>
      </c>
      <c r="J18" s="33" t="s">
        <v>35</v>
      </c>
      <c r="K18" s="33" t="s">
        <v>35</v>
      </c>
      <c r="L18" s="59" t="s">
        <v>35</v>
      </c>
      <c r="M18" s="60" t="s">
        <v>35</v>
      </c>
      <c r="N18" s="60" t="s">
        <v>35</v>
      </c>
      <c r="O18" s="58" t="s">
        <v>35</v>
      </c>
      <c r="P18" s="59" t="s">
        <v>35</v>
      </c>
      <c r="Q18" s="60" t="s">
        <v>35</v>
      </c>
      <c r="R18" s="60" t="s">
        <v>35</v>
      </c>
      <c r="S18" s="58" t="s">
        <v>35</v>
      </c>
      <c r="T18" s="59" t="s">
        <v>35</v>
      </c>
      <c r="U18" s="60" t="s">
        <v>35</v>
      </c>
      <c r="V18" s="60" t="s">
        <v>35</v>
      </c>
      <c r="W18" s="58" t="s">
        <v>35</v>
      </c>
      <c r="X18" s="59" t="s">
        <v>35</v>
      </c>
      <c r="Y18" s="60" t="s">
        <v>35</v>
      </c>
      <c r="Z18" s="60" t="s">
        <v>35</v>
      </c>
      <c r="AA18" s="58" t="s">
        <v>35</v>
      </c>
      <c r="AB18" s="59" t="s">
        <v>35</v>
      </c>
      <c r="AC18" s="60" t="s">
        <v>35</v>
      </c>
      <c r="AD18" s="60" t="s">
        <v>35</v>
      </c>
      <c r="AE18" s="58" t="s">
        <v>35</v>
      </c>
      <c r="AF18" s="59" t="s">
        <v>35</v>
      </c>
      <c r="AG18" s="60" t="s">
        <v>35</v>
      </c>
      <c r="AH18" s="60" t="s">
        <v>35</v>
      </c>
      <c r="AI18" s="58" t="s">
        <v>35</v>
      </c>
      <c r="AJ18" s="59" t="s">
        <v>35</v>
      </c>
      <c r="AK18" s="60" t="s">
        <v>35</v>
      </c>
      <c r="AL18" s="58" t="s">
        <v>35</v>
      </c>
      <c r="AM18" s="59" t="s">
        <v>35</v>
      </c>
      <c r="AN18" s="60" t="s">
        <v>35</v>
      </c>
      <c r="AO18" s="58" t="s">
        <v>35</v>
      </c>
      <c r="AP18" s="33" t="s">
        <v>35</v>
      </c>
      <c r="AQ18" s="33" t="s">
        <v>35</v>
      </c>
      <c r="AR18" s="32" t="s">
        <v>35</v>
      </c>
    </row>
    <row r="19" spans="1:44" ht="18" customHeight="1">
      <c r="A19" s="31" t="s">
        <v>35</v>
      </c>
      <c r="B19" s="42">
        <v>16</v>
      </c>
      <c r="C19" s="88" t="s">
        <v>204</v>
      </c>
      <c r="D19" s="94" t="s">
        <v>167</v>
      </c>
      <c r="E19" s="99" t="s">
        <v>168</v>
      </c>
      <c r="F19" s="99" t="s">
        <v>168</v>
      </c>
      <c r="G19" s="99" t="s">
        <v>166</v>
      </c>
      <c r="H19" s="33" t="s">
        <v>35</v>
      </c>
      <c r="I19" s="33" t="s">
        <v>35</v>
      </c>
      <c r="J19" s="33" t="s">
        <v>35</v>
      </c>
      <c r="K19" s="33" t="s">
        <v>35</v>
      </c>
      <c r="L19" s="59" t="s">
        <v>35</v>
      </c>
      <c r="M19" s="60" t="s">
        <v>35</v>
      </c>
      <c r="N19" s="60" t="s">
        <v>35</v>
      </c>
      <c r="O19" s="58" t="s">
        <v>35</v>
      </c>
      <c r="P19" s="59" t="s">
        <v>35</v>
      </c>
      <c r="Q19" s="60" t="s">
        <v>35</v>
      </c>
      <c r="R19" s="60" t="s">
        <v>35</v>
      </c>
      <c r="S19" s="58" t="s">
        <v>35</v>
      </c>
      <c r="T19" s="59" t="s">
        <v>35</v>
      </c>
      <c r="U19" s="60" t="s">
        <v>35</v>
      </c>
      <c r="V19" s="60" t="s">
        <v>35</v>
      </c>
      <c r="W19" s="58" t="s">
        <v>35</v>
      </c>
      <c r="X19" s="59" t="s">
        <v>35</v>
      </c>
      <c r="Y19" s="60" t="s">
        <v>35</v>
      </c>
      <c r="Z19" s="60" t="s">
        <v>35</v>
      </c>
      <c r="AA19" s="58" t="s">
        <v>35</v>
      </c>
      <c r="AB19" s="59" t="s">
        <v>35</v>
      </c>
      <c r="AC19" s="60" t="s">
        <v>35</v>
      </c>
      <c r="AD19" s="60" t="s">
        <v>35</v>
      </c>
      <c r="AE19" s="58" t="s">
        <v>35</v>
      </c>
      <c r="AF19" s="59" t="s">
        <v>35</v>
      </c>
      <c r="AG19" s="60" t="s">
        <v>35</v>
      </c>
      <c r="AH19" s="60" t="s">
        <v>35</v>
      </c>
      <c r="AI19" s="58" t="s">
        <v>35</v>
      </c>
      <c r="AJ19" s="59" t="s">
        <v>35</v>
      </c>
      <c r="AK19" s="60" t="s">
        <v>35</v>
      </c>
      <c r="AL19" s="58" t="s">
        <v>35</v>
      </c>
      <c r="AM19" s="59" t="s">
        <v>35</v>
      </c>
      <c r="AN19" s="60" t="s">
        <v>35</v>
      </c>
      <c r="AO19" s="58" t="s">
        <v>35</v>
      </c>
      <c r="AP19" s="33" t="s">
        <v>35</v>
      </c>
      <c r="AQ19" s="33" t="s">
        <v>35</v>
      </c>
      <c r="AR19" s="32" t="s">
        <v>35</v>
      </c>
    </row>
    <row r="20" spans="1:44" ht="18" customHeight="1">
      <c r="A20" s="31" t="s">
        <v>35</v>
      </c>
      <c r="B20" s="42">
        <v>17</v>
      </c>
      <c r="C20" s="88" t="s">
        <v>204</v>
      </c>
      <c r="D20" s="90"/>
      <c r="E20" s="99" t="s">
        <v>252</v>
      </c>
      <c r="F20" s="99" t="s">
        <v>252</v>
      </c>
      <c r="G20" s="99" t="s">
        <v>166</v>
      </c>
      <c r="H20" s="33" t="s">
        <v>35</v>
      </c>
      <c r="I20" s="33" t="s">
        <v>35</v>
      </c>
      <c r="J20" s="33" t="s">
        <v>35</v>
      </c>
      <c r="K20" s="33" t="s">
        <v>35</v>
      </c>
      <c r="L20" s="59" t="s">
        <v>35</v>
      </c>
      <c r="M20" s="60" t="s">
        <v>35</v>
      </c>
      <c r="N20" s="60" t="s">
        <v>35</v>
      </c>
      <c r="O20" s="58" t="s">
        <v>35</v>
      </c>
      <c r="P20" s="59" t="s">
        <v>35</v>
      </c>
      <c r="Q20" s="60" t="s">
        <v>35</v>
      </c>
      <c r="R20" s="60" t="s">
        <v>35</v>
      </c>
      <c r="S20" s="58" t="s">
        <v>35</v>
      </c>
      <c r="T20" s="59" t="s">
        <v>35</v>
      </c>
      <c r="U20" s="60" t="s">
        <v>35</v>
      </c>
      <c r="V20" s="60" t="s">
        <v>35</v>
      </c>
      <c r="W20" s="58" t="s">
        <v>35</v>
      </c>
      <c r="X20" s="59" t="s">
        <v>35</v>
      </c>
      <c r="Y20" s="60" t="s">
        <v>35</v>
      </c>
      <c r="Z20" s="60" t="s">
        <v>35</v>
      </c>
      <c r="AA20" s="58" t="s">
        <v>35</v>
      </c>
      <c r="AB20" s="59" t="s">
        <v>35</v>
      </c>
      <c r="AC20" s="60" t="s">
        <v>35</v>
      </c>
      <c r="AD20" s="60" t="s">
        <v>35</v>
      </c>
      <c r="AE20" s="58" t="s">
        <v>35</v>
      </c>
      <c r="AF20" s="59" t="s">
        <v>35</v>
      </c>
      <c r="AG20" s="60" t="s">
        <v>35</v>
      </c>
      <c r="AH20" s="60" t="s">
        <v>35</v>
      </c>
      <c r="AI20" s="58" t="s">
        <v>35</v>
      </c>
      <c r="AJ20" s="59" t="s">
        <v>35</v>
      </c>
      <c r="AK20" s="60" t="s">
        <v>35</v>
      </c>
      <c r="AL20" s="58" t="s">
        <v>35</v>
      </c>
      <c r="AM20" s="59" t="s">
        <v>35</v>
      </c>
      <c r="AN20" s="60" t="s">
        <v>35</v>
      </c>
      <c r="AO20" s="58" t="s">
        <v>35</v>
      </c>
      <c r="AP20" s="33" t="s">
        <v>35</v>
      </c>
      <c r="AQ20" s="33" t="s">
        <v>35</v>
      </c>
      <c r="AR20" s="32" t="s">
        <v>35</v>
      </c>
    </row>
    <row r="21" spans="1:44" ht="18" customHeight="1">
      <c r="A21" s="31" t="s">
        <v>35</v>
      </c>
      <c r="B21" s="42">
        <v>18</v>
      </c>
      <c r="C21" s="88" t="s">
        <v>204</v>
      </c>
      <c r="D21" s="94" t="s">
        <v>169</v>
      </c>
      <c r="E21" s="98" t="s">
        <v>170</v>
      </c>
      <c r="F21" s="98" t="s">
        <v>170</v>
      </c>
      <c r="G21" s="99" t="s">
        <v>166</v>
      </c>
      <c r="H21" s="33" t="s">
        <v>35</v>
      </c>
      <c r="I21" s="33" t="s">
        <v>35</v>
      </c>
      <c r="J21" s="33" t="s">
        <v>35</v>
      </c>
      <c r="K21" s="33" t="s">
        <v>35</v>
      </c>
      <c r="L21" s="59" t="s">
        <v>35</v>
      </c>
      <c r="M21" s="60" t="s">
        <v>35</v>
      </c>
      <c r="N21" s="60" t="s">
        <v>35</v>
      </c>
      <c r="O21" s="58" t="s">
        <v>35</v>
      </c>
      <c r="P21" s="59" t="s">
        <v>35</v>
      </c>
      <c r="Q21" s="60" t="s">
        <v>35</v>
      </c>
      <c r="R21" s="60" t="s">
        <v>35</v>
      </c>
      <c r="S21" s="58" t="s">
        <v>35</v>
      </c>
      <c r="T21" s="59" t="s">
        <v>35</v>
      </c>
      <c r="U21" s="60" t="s">
        <v>35</v>
      </c>
      <c r="V21" s="60" t="s">
        <v>35</v>
      </c>
      <c r="W21" s="58" t="s">
        <v>35</v>
      </c>
      <c r="X21" s="59" t="s">
        <v>35</v>
      </c>
      <c r="Y21" s="60" t="s">
        <v>35</v>
      </c>
      <c r="Z21" s="60" t="s">
        <v>35</v>
      </c>
      <c r="AA21" s="58" t="s">
        <v>35</v>
      </c>
      <c r="AB21" s="59" t="s">
        <v>35</v>
      </c>
      <c r="AC21" s="60" t="s">
        <v>35</v>
      </c>
      <c r="AD21" s="60" t="s">
        <v>35</v>
      </c>
      <c r="AE21" s="58" t="s">
        <v>35</v>
      </c>
      <c r="AF21" s="59" t="s">
        <v>35</v>
      </c>
      <c r="AG21" s="60" t="s">
        <v>35</v>
      </c>
      <c r="AH21" s="60" t="s">
        <v>35</v>
      </c>
      <c r="AI21" s="58" t="s">
        <v>35</v>
      </c>
      <c r="AJ21" s="59" t="s">
        <v>35</v>
      </c>
      <c r="AK21" s="60" t="s">
        <v>35</v>
      </c>
      <c r="AL21" s="58" t="s">
        <v>35</v>
      </c>
      <c r="AM21" s="59" t="s">
        <v>35</v>
      </c>
      <c r="AN21" s="60" t="s">
        <v>35</v>
      </c>
      <c r="AO21" s="58" t="s">
        <v>35</v>
      </c>
      <c r="AP21" s="33" t="s">
        <v>35</v>
      </c>
      <c r="AQ21" s="33" t="s">
        <v>35</v>
      </c>
      <c r="AR21" s="32" t="s">
        <v>35</v>
      </c>
    </row>
    <row r="22" spans="1:44" ht="18" customHeight="1">
      <c r="A22" s="31" t="s">
        <v>35</v>
      </c>
      <c r="B22" s="42">
        <v>19</v>
      </c>
      <c r="C22" s="88" t="s">
        <v>204</v>
      </c>
      <c r="D22" s="88"/>
      <c r="E22" s="99" t="s">
        <v>171</v>
      </c>
      <c r="F22" s="99" t="s">
        <v>171</v>
      </c>
      <c r="G22" s="99" t="s">
        <v>166</v>
      </c>
      <c r="H22" s="33" t="s">
        <v>35</v>
      </c>
      <c r="I22" s="33" t="s">
        <v>35</v>
      </c>
      <c r="J22" s="33" t="s">
        <v>35</v>
      </c>
      <c r="K22" s="33" t="s">
        <v>35</v>
      </c>
      <c r="L22" s="59" t="s">
        <v>35</v>
      </c>
      <c r="M22" s="60" t="s">
        <v>35</v>
      </c>
      <c r="N22" s="60" t="s">
        <v>35</v>
      </c>
      <c r="O22" s="58" t="s">
        <v>35</v>
      </c>
      <c r="P22" s="59" t="s">
        <v>35</v>
      </c>
      <c r="Q22" s="60" t="s">
        <v>35</v>
      </c>
      <c r="R22" s="60" t="s">
        <v>35</v>
      </c>
      <c r="S22" s="58" t="s">
        <v>35</v>
      </c>
      <c r="T22" s="59" t="s">
        <v>35</v>
      </c>
      <c r="U22" s="60" t="s">
        <v>35</v>
      </c>
      <c r="V22" s="60" t="s">
        <v>35</v>
      </c>
      <c r="W22" s="58" t="s">
        <v>35</v>
      </c>
      <c r="X22" s="59" t="s">
        <v>35</v>
      </c>
      <c r="Y22" s="60" t="s">
        <v>35</v>
      </c>
      <c r="Z22" s="60" t="s">
        <v>35</v>
      </c>
      <c r="AA22" s="58" t="s">
        <v>35</v>
      </c>
      <c r="AB22" s="59" t="s">
        <v>35</v>
      </c>
      <c r="AC22" s="60" t="s">
        <v>35</v>
      </c>
      <c r="AD22" s="60" t="s">
        <v>35</v>
      </c>
      <c r="AE22" s="58" t="s">
        <v>35</v>
      </c>
      <c r="AF22" s="59" t="s">
        <v>35</v>
      </c>
      <c r="AG22" s="60" t="s">
        <v>35</v>
      </c>
      <c r="AH22" s="60" t="s">
        <v>35</v>
      </c>
      <c r="AI22" s="58" t="s">
        <v>35</v>
      </c>
      <c r="AJ22" s="59" t="s">
        <v>35</v>
      </c>
      <c r="AK22" s="60" t="s">
        <v>35</v>
      </c>
      <c r="AL22" s="58" t="s">
        <v>35</v>
      </c>
      <c r="AM22" s="59" t="s">
        <v>35</v>
      </c>
      <c r="AN22" s="60" t="s">
        <v>35</v>
      </c>
      <c r="AO22" s="58" t="s">
        <v>35</v>
      </c>
      <c r="AP22" s="33" t="s">
        <v>35</v>
      </c>
      <c r="AQ22" s="33" t="s">
        <v>35</v>
      </c>
      <c r="AR22" s="32" t="s">
        <v>35</v>
      </c>
    </row>
    <row r="23" spans="1:44" ht="18" customHeight="1">
      <c r="A23" s="31" t="s">
        <v>35</v>
      </c>
      <c r="B23" s="42">
        <v>20</v>
      </c>
      <c r="C23" s="88" t="s">
        <v>204</v>
      </c>
      <c r="D23" s="88"/>
      <c r="E23" s="99" t="s">
        <v>172</v>
      </c>
      <c r="F23" s="99" t="s">
        <v>172</v>
      </c>
      <c r="G23" s="99" t="s">
        <v>166</v>
      </c>
      <c r="H23" s="33" t="s">
        <v>35</v>
      </c>
      <c r="I23" s="33" t="s">
        <v>35</v>
      </c>
      <c r="J23" s="33" t="s">
        <v>35</v>
      </c>
      <c r="K23" s="33" t="s">
        <v>35</v>
      </c>
      <c r="L23" s="59" t="s">
        <v>35</v>
      </c>
      <c r="M23" s="60" t="s">
        <v>35</v>
      </c>
      <c r="N23" s="60" t="s">
        <v>35</v>
      </c>
      <c r="O23" s="58" t="s">
        <v>35</v>
      </c>
      <c r="P23" s="59" t="s">
        <v>35</v>
      </c>
      <c r="Q23" s="60" t="s">
        <v>35</v>
      </c>
      <c r="R23" s="60" t="s">
        <v>35</v>
      </c>
      <c r="S23" s="58" t="s">
        <v>35</v>
      </c>
      <c r="T23" s="59" t="s">
        <v>35</v>
      </c>
      <c r="U23" s="60" t="s">
        <v>35</v>
      </c>
      <c r="V23" s="60" t="s">
        <v>35</v>
      </c>
      <c r="W23" s="58" t="s">
        <v>35</v>
      </c>
      <c r="X23" s="59" t="s">
        <v>35</v>
      </c>
      <c r="Y23" s="60" t="s">
        <v>35</v>
      </c>
      <c r="Z23" s="60" t="s">
        <v>35</v>
      </c>
      <c r="AA23" s="58" t="s">
        <v>35</v>
      </c>
      <c r="AB23" s="59" t="s">
        <v>35</v>
      </c>
      <c r="AC23" s="60" t="s">
        <v>35</v>
      </c>
      <c r="AD23" s="60" t="s">
        <v>35</v>
      </c>
      <c r="AE23" s="58" t="s">
        <v>35</v>
      </c>
      <c r="AF23" s="59" t="s">
        <v>35</v>
      </c>
      <c r="AG23" s="60" t="s">
        <v>35</v>
      </c>
      <c r="AH23" s="60" t="s">
        <v>35</v>
      </c>
      <c r="AI23" s="58" t="s">
        <v>35</v>
      </c>
      <c r="AJ23" s="59" t="s">
        <v>35</v>
      </c>
      <c r="AK23" s="60" t="s">
        <v>35</v>
      </c>
      <c r="AL23" s="58" t="s">
        <v>35</v>
      </c>
      <c r="AM23" s="59" t="s">
        <v>35</v>
      </c>
      <c r="AN23" s="60" t="s">
        <v>35</v>
      </c>
      <c r="AO23" s="58" t="s">
        <v>35</v>
      </c>
      <c r="AP23" s="33" t="s">
        <v>35</v>
      </c>
      <c r="AQ23" s="33" t="s">
        <v>35</v>
      </c>
      <c r="AR23" s="32" t="s">
        <v>35</v>
      </c>
    </row>
    <row r="24" spans="1:44" ht="18" customHeight="1">
      <c r="A24" s="31" t="s">
        <v>35</v>
      </c>
      <c r="B24" s="42">
        <v>21</v>
      </c>
      <c r="C24" s="88" t="s">
        <v>204</v>
      </c>
      <c r="D24" s="88"/>
      <c r="E24" s="98" t="s">
        <v>173</v>
      </c>
      <c r="F24" s="98" t="s">
        <v>173</v>
      </c>
      <c r="G24" s="99" t="s">
        <v>166</v>
      </c>
      <c r="H24" s="33" t="s">
        <v>35</v>
      </c>
      <c r="I24" s="33" t="s">
        <v>35</v>
      </c>
      <c r="J24" s="33" t="s">
        <v>35</v>
      </c>
      <c r="K24" s="33" t="s">
        <v>35</v>
      </c>
      <c r="L24" s="59" t="s">
        <v>35</v>
      </c>
      <c r="M24" s="60" t="s">
        <v>35</v>
      </c>
      <c r="N24" s="60" t="s">
        <v>35</v>
      </c>
      <c r="O24" s="58" t="s">
        <v>35</v>
      </c>
      <c r="P24" s="59" t="s">
        <v>35</v>
      </c>
      <c r="Q24" s="60" t="s">
        <v>35</v>
      </c>
      <c r="R24" s="60" t="s">
        <v>35</v>
      </c>
      <c r="S24" s="58" t="s">
        <v>35</v>
      </c>
      <c r="T24" s="59" t="s">
        <v>35</v>
      </c>
      <c r="U24" s="60" t="s">
        <v>35</v>
      </c>
      <c r="V24" s="60" t="s">
        <v>35</v>
      </c>
      <c r="W24" s="58" t="s">
        <v>35</v>
      </c>
      <c r="X24" s="59" t="s">
        <v>35</v>
      </c>
      <c r="Y24" s="60" t="s">
        <v>35</v>
      </c>
      <c r="Z24" s="60" t="s">
        <v>35</v>
      </c>
      <c r="AA24" s="58" t="s">
        <v>35</v>
      </c>
      <c r="AB24" s="59" t="s">
        <v>35</v>
      </c>
      <c r="AC24" s="60" t="s">
        <v>35</v>
      </c>
      <c r="AD24" s="60" t="s">
        <v>35</v>
      </c>
      <c r="AE24" s="58" t="s">
        <v>35</v>
      </c>
      <c r="AF24" s="59" t="s">
        <v>35</v>
      </c>
      <c r="AG24" s="60" t="s">
        <v>35</v>
      </c>
      <c r="AH24" s="60" t="s">
        <v>35</v>
      </c>
      <c r="AI24" s="58" t="s">
        <v>35</v>
      </c>
      <c r="AJ24" s="59" t="s">
        <v>35</v>
      </c>
      <c r="AK24" s="60" t="s">
        <v>35</v>
      </c>
      <c r="AL24" s="58" t="s">
        <v>35</v>
      </c>
      <c r="AM24" s="59" t="s">
        <v>35</v>
      </c>
      <c r="AN24" s="60" t="s">
        <v>35</v>
      </c>
      <c r="AO24" s="58" t="s">
        <v>35</v>
      </c>
      <c r="AP24" s="33" t="s">
        <v>35</v>
      </c>
      <c r="AQ24" s="33" t="s">
        <v>35</v>
      </c>
      <c r="AR24" s="32" t="s">
        <v>35</v>
      </c>
    </row>
    <row r="25" spans="1:44" ht="18" customHeight="1">
      <c r="A25" s="31" t="s">
        <v>35</v>
      </c>
      <c r="B25" s="42">
        <v>22</v>
      </c>
      <c r="C25" s="88" t="s">
        <v>204</v>
      </c>
      <c r="D25" s="88"/>
      <c r="E25" s="99" t="s">
        <v>174</v>
      </c>
      <c r="F25" s="99" t="s">
        <v>174</v>
      </c>
      <c r="G25" s="99" t="s">
        <v>166</v>
      </c>
      <c r="H25" s="33" t="s">
        <v>35</v>
      </c>
      <c r="I25" s="33" t="s">
        <v>35</v>
      </c>
      <c r="J25" s="33" t="s">
        <v>35</v>
      </c>
      <c r="K25" s="33" t="s">
        <v>35</v>
      </c>
      <c r="L25" s="59" t="s">
        <v>35</v>
      </c>
      <c r="M25" s="60" t="s">
        <v>35</v>
      </c>
      <c r="N25" s="60" t="s">
        <v>35</v>
      </c>
      <c r="O25" s="58" t="s">
        <v>35</v>
      </c>
      <c r="P25" s="59" t="s">
        <v>35</v>
      </c>
      <c r="Q25" s="60" t="s">
        <v>35</v>
      </c>
      <c r="R25" s="60" t="s">
        <v>35</v>
      </c>
      <c r="S25" s="58" t="s">
        <v>35</v>
      </c>
      <c r="T25" s="59" t="s">
        <v>35</v>
      </c>
      <c r="U25" s="60" t="s">
        <v>35</v>
      </c>
      <c r="V25" s="60" t="s">
        <v>35</v>
      </c>
      <c r="W25" s="58" t="s">
        <v>35</v>
      </c>
      <c r="X25" s="59" t="s">
        <v>35</v>
      </c>
      <c r="Y25" s="60" t="s">
        <v>35</v>
      </c>
      <c r="Z25" s="60" t="s">
        <v>35</v>
      </c>
      <c r="AA25" s="58" t="s">
        <v>35</v>
      </c>
      <c r="AB25" s="59" t="s">
        <v>35</v>
      </c>
      <c r="AC25" s="60" t="s">
        <v>35</v>
      </c>
      <c r="AD25" s="60" t="s">
        <v>35</v>
      </c>
      <c r="AE25" s="58" t="s">
        <v>35</v>
      </c>
      <c r="AF25" s="59" t="s">
        <v>35</v>
      </c>
      <c r="AG25" s="60" t="s">
        <v>35</v>
      </c>
      <c r="AH25" s="60" t="s">
        <v>35</v>
      </c>
      <c r="AI25" s="58" t="s">
        <v>35</v>
      </c>
      <c r="AJ25" s="59" t="s">
        <v>35</v>
      </c>
      <c r="AK25" s="60" t="s">
        <v>35</v>
      </c>
      <c r="AL25" s="58" t="s">
        <v>35</v>
      </c>
      <c r="AM25" s="59" t="s">
        <v>35</v>
      </c>
      <c r="AN25" s="60" t="s">
        <v>35</v>
      </c>
      <c r="AO25" s="58" t="s">
        <v>35</v>
      </c>
      <c r="AP25" s="33" t="s">
        <v>35</v>
      </c>
      <c r="AQ25" s="33" t="s">
        <v>35</v>
      </c>
      <c r="AR25" s="32" t="s">
        <v>35</v>
      </c>
    </row>
    <row r="26" spans="1:44" ht="18" customHeight="1">
      <c r="A26" s="31" t="s">
        <v>35</v>
      </c>
      <c r="B26" s="42">
        <v>23</v>
      </c>
      <c r="C26" s="88" t="s">
        <v>204</v>
      </c>
      <c r="D26" s="88"/>
      <c r="E26" s="99" t="s">
        <v>175</v>
      </c>
      <c r="F26" s="99" t="s">
        <v>175</v>
      </c>
      <c r="G26" s="99" t="s">
        <v>166</v>
      </c>
      <c r="H26" s="33" t="s">
        <v>35</v>
      </c>
      <c r="I26" s="33" t="s">
        <v>35</v>
      </c>
      <c r="J26" s="33" t="s">
        <v>35</v>
      </c>
      <c r="K26" s="33" t="s">
        <v>35</v>
      </c>
      <c r="L26" s="59" t="s">
        <v>35</v>
      </c>
      <c r="M26" s="60" t="s">
        <v>35</v>
      </c>
      <c r="N26" s="60" t="s">
        <v>35</v>
      </c>
      <c r="O26" s="58" t="s">
        <v>210</v>
      </c>
      <c r="P26" s="59" t="s">
        <v>35</v>
      </c>
      <c r="Q26" s="60" t="s">
        <v>35</v>
      </c>
      <c r="R26" s="60" t="s">
        <v>35</v>
      </c>
      <c r="S26" s="58" t="s">
        <v>35</v>
      </c>
      <c r="T26" s="59" t="s">
        <v>35</v>
      </c>
      <c r="U26" s="60" t="s">
        <v>35</v>
      </c>
      <c r="V26" s="60" t="s">
        <v>35</v>
      </c>
      <c r="W26" s="58" t="s">
        <v>35</v>
      </c>
      <c r="X26" s="59" t="s">
        <v>35</v>
      </c>
      <c r="Y26" s="60" t="s">
        <v>35</v>
      </c>
      <c r="Z26" s="60" t="s">
        <v>35</v>
      </c>
      <c r="AA26" s="58" t="s">
        <v>35</v>
      </c>
      <c r="AB26" s="59" t="s">
        <v>35</v>
      </c>
      <c r="AC26" s="60" t="s">
        <v>35</v>
      </c>
      <c r="AD26" s="60" t="s">
        <v>35</v>
      </c>
      <c r="AE26" s="58" t="s">
        <v>35</v>
      </c>
      <c r="AF26" s="59" t="s">
        <v>35</v>
      </c>
      <c r="AG26" s="60" t="s">
        <v>35</v>
      </c>
      <c r="AH26" s="60" t="s">
        <v>35</v>
      </c>
      <c r="AI26" s="58" t="s">
        <v>35</v>
      </c>
      <c r="AJ26" s="59" t="s">
        <v>35</v>
      </c>
      <c r="AK26" s="60" t="s">
        <v>35</v>
      </c>
      <c r="AL26" s="58" t="s">
        <v>35</v>
      </c>
      <c r="AM26" s="59" t="s">
        <v>35</v>
      </c>
      <c r="AN26" s="60" t="s">
        <v>35</v>
      </c>
      <c r="AO26" s="58" t="s">
        <v>35</v>
      </c>
      <c r="AP26" s="33" t="s">
        <v>35</v>
      </c>
      <c r="AQ26" s="33" t="s">
        <v>35</v>
      </c>
      <c r="AR26" s="32" t="s">
        <v>35</v>
      </c>
    </row>
    <row r="27" spans="1:44" ht="18" customHeight="1">
      <c r="A27" s="31" t="s">
        <v>35</v>
      </c>
      <c r="B27" s="42">
        <v>24</v>
      </c>
      <c r="C27" s="88" t="s">
        <v>204</v>
      </c>
      <c r="D27" s="88"/>
      <c r="E27" s="99" t="s">
        <v>176</v>
      </c>
      <c r="F27" s="99" t="s">
        <v>176</v>
      </c>
      <c r="G27" s="99" t="s">
        <v>166</v>
      </c>
      <c r="H27" s="33" t="s">
        <v>35</v>
      </c>
      <c r="I27" s="33" t="s">
        <v>35</v>
      </c>
      <c r="J27" s="33" t="s">
        <v>35</v>
      </c>
      <c r="K27" s="33" t="s">
        <v>35</v>
      </c>
      <c r="L27" s="59" t="s">
        <v>35</v>
      </c>
      <c r="M27" s="60" t="s">
        <v>35</v>
      </c>
      <c r="N27" s="60" t="s">
        <v>35</v>
      </c>
      <c r="O27" s="58" t="s">
        <v>35</v>
      </c>
      <c r="P27" s="59" t="s">
        <v>35</v>
      </c>
      <c r="Q27" s="60" t="s">
        <v>35</v>
      </c>
      <c r="R27" s="60" t="s">
        <v>35</v>
      </c>
      <c r="S27" s="58" t="s">
        <v>35</v>
      </c>
      <c r="T27" s="59" t="s">
        <v>35</v>
      </c>
      <c r="U27" s="60" t="s">
        <v>35</v>
      </c>
      <c r="V27" s="60" t="s">
        <v>35</v>
      </c>
      <c r="W27" s="58" t="s">
        <v>35</v>
      </c>
      <c r="X27" s="59" t="s">
        <v>35</v>
      </c>
      <c r="Y27" s="60" t="s">
        <v>35</v>
      </c>
      <c r="Z27" s="60" t="s">
        <v>35</v>
      </c>
      <c r="AA27" s="58" t="s">
        <v>35</v>
      </c>
      <c r="AB27" s="59" t="s">
        <v>35</v>
      </c>
      <c r="AC27" s="60" t="s">
        <v>35</v>
      </c>
      <c r="AD27" s="60" t="s">
        <v>35</v>
      </c>
      <c r="AE27" s="58" t="s">
        <v>35</v>
      </c>
      <c r="AF27" s="59" t="s">
        <v>35</v>
      </c>
      <c r="AG27" s="60" t="s">
        <v>35</v>
      </c>
      <c r="AH27" s="60" t="s">
        <v>35</v>
      </c>
      <c r="AI27" s="58" t="s">
        <v>35</v>
      </c>
      <c r="AJ27" s="59" t="s">
        <v>35</v>
      </c>
      <c r="AK27" s="60" t="s">
        <v>35</v>
      </c>
      <c r="AL27" s="58" t="s">
        <v>35</v>
      </c>
      <c r="AM27" s="59" t="s">
        <v>35</v>
      </c>
      <c r="AN27" s="60" t="s">
        <v>35</v>
      </c>
      <c r="AO27" s="58" t="s">
        <v>35</v>
      </c>
      <c r="AP27" s="33" t="s">
        <v>35</v>
      </c>
      <c r="AQ27" s="33" t="s">
        <v>35</v>
      </c>
      <c r="AR27" s="32" t="s">
        <v>35</v>
      </c>
    </row>
    <row r="28" spans="1:44" ht="18" customHeight="1">
      <c r="A28" s="31" t="s">
        <v>35</v>
      </c>
      <c r="B28" s="42">
        <v>25</v>
      </c>
      <c r="C28" s="88" t="s">
        <v>204</v>
      </c>
      <c r="D28" s="88"/>
      <c r="E28" s="99" t="s">
        <v>177</v>
      </c>
      <c r="F28" s="99" t="s">
        <v>177</v>
      </c>
      <c r="G28" s="99" t="s">
        <v>166</v>
      </c>
      <c r="H28" s="33" t="s">
        <v>35</v>
      </c>
      <c r="I28" s="33" t="s">
        <v>35</v>
      </c>
      <c r="J28" s="33" t="s">
        <v>35</v>
      </c>
      <c r="K28" s="33" t="s">
        <v>35</v>
      </c>
      <c r="L28" s="59" t="s">
        <v>35</v>
      </c>
      <c r="M28" s="60" t="s">
        <v>35</v>
      </c>
      <c r="N28" s="60" t="s">
        <v>35</v>
      </c>
      <c r="O28" s="58" t="s">
        <v>35</v>
      </c>
      <c r="P28" s="59" t="s">
        <v>35</v>
      </c>
      <c r="Q28" s="60" t="s">
        <v>35</v>
      </c>
      <c r="R28" s="60" t="s">
        <v>35</v>
      </c>
      <c r="S28" s="58" t="s">
        <v>35</v>
      </c>
      <c r="T28" s="59" t="s">
        <v>35</v>
      </c>
      <c r="U28" s="60" t="s">
        <v>35</v>
      </c>
      <c r="V28" s="60" t="s">
        <v>35</v>
      </c>
      <c r="W28" s="58" t="s">
        <v>35</v>
      </c>
      <c r="X28" s="59" t="s">
        <v>35</v>
      </c>
      <c r="Y28" s="60" t="s">
        <v>35</v>
      </c>
      <c r="Z28" s="60" t="s">
        <v>35</v>
      </c>
      <c r="AA28" s="58" t="s">
        <v>35</v>
      </c>
      <c r="AB28" s="59" t="s">
        <v>35</v>
      </c>
      <c r="AC28" s="60" t="s">
        <v>35</v>
      </c>
      <c r="AD28" s="60" t="s">
        <v>35</v>
      </c>
      <c r="AE28" s="58" t="s">
        <v>35</v>
      </c>
      <c r="AF28" s="59" t="s">
        <v>35</v>
      </c>
      <c r="AG28" s="60" t="s">
        <v>35</v>
      </c>
      <c r="AH28" s="60" t="s">
        <v>35</v>
      </c>
      <c r="AI28" s="58" t="s">
        <v>35</v>
      </c>
      <c r="AJ28" s="59" t="s">
        <v>35</v>
      </c>
      <c r="AK28" s="60" t="s">
        <v>35</v>
      </c>
      <c r="AL28" s="58" t="s">
        <v>35</v>
      </c>
      <c r="AM28" s="59" t="s">
        <v>35</v>
      </c>
      <c r="AN28" s="60" t="s">
        <v>35</v>
      </c>
      <c r="AO28" s="58" t="s">
        <v>35</v>
      </c>
      <c r="AP28" s="33" t="s">
        <v>35</v>
      </c>
      <c r="AQ28" s="33" t="s">
        <v>35</v>
      </c>
      <c r="AR28" s="32" t="s">
        <v>35</v>
      </c>
    </row>
    <row r="29" spans="1:44" ht="18" customHeight="1">
      <c r="A29" s="31" t="s">
        <v>35</v>
      </c>
      <c r="B29" s="42">
        <v>26</v>
      </c>
      <c r="C29" s="88" t="s">
        <v>204</v>
      </c>
      <c r="D29" s="88"/>
      <c r="E29" s="98" t="s">
        <v>178</v>
      </c>
      <c r="F29" s="98" t="s">
        <v>178</v>
      </c>
      <c r="G29" s="99" t="s">
        <v>166</v>
      </c>
      <c r="H29" s="33" t="s">
        <v>35</v>
      </c>
      <c r="I29" s="33" t="s">
        <v>35</v>
      </c>
      <c r="J29" s="33" t="s">
        <v>35</v>
      </c>
      <c r="K29" s="33" t="s">
        <v>35</v>
      </c>
      <c r="L29" s="59" t="s">
        <v>35</v>
      </c>
      <c r="M29" s="60" t="s">
        <v>35</v>
      </c>
      <c r="N29" s="60" t="s">
        <v>35</v>
      </c>
      <c r="O29" s="58" t="s">
        <v>35</v>
      </c>
      <c r="P29" s="59" t="s">
        <v>35</v>
      </c>
      <c r="Q29" s="60" t="s">
        <v>35</v>
      </c>
      <c r="R29" s="60" t="s">
        <v>35</v>
      </c>
      <c r="S29" s="58" t="s">
        <v>35</v>
      </c>
      <c r="T29" s="59" t="s">
        <v>35</v>
      </c>
      <c r="U29" s="60" t="s">
        <v>35</v>
      </c>
      <c r="V29" s="60" t="s">
        <v>35</v>
      </c>
      <c r="W29" s="58" t="s">
        <v>35</v>
      </c>
      <c r="X29" s="59" t="s">
        <v>35</v>
      </c>
      <c r="Y29" s="60" t="s">
        <v>35</v>
      </c>
      <c r="Z29" s="60" t="s">
        <v>35</v>
      </c>
      <c r="AA29" s="58" t="s">
        <v>35</v>
      </c>
      <c r="AB29" s="59" t="s">
        <v>35</v>
      </c>
      <c r="AC29" s="60" t="s">
        <v>35</v>
      </c>
      <c r="AD29" s="60" t="s">
        <v>35</v>
      </c>
      <c r="AE29" s="58" t="s">
        <v>35</v>
      </c>
      <c r="AF29" s="59" t="s">
        <v>35</v>
      </c>
      <c r="AG29" s="60" t="s">
        <v>35</v>
      </c>
      <c r="AH29" s="60" t="s">
        <v>35</v>
      </c>
      <c r="AI29" s="58" t="s">
        <v>35</v>
      </c>
      <c r="AJ29" s="59" t="s">
        <v>35</v>
      </c>
      <c r="AK29" s="60" t="s">
        <v>35</v>
      </c>
      <c r="AL29" s="58" t="s">
        <v>35</v>
      </c>
      <c r="AM29" s="59" t="s">
        <v>35</v>
      </c>
      <c r="AN29" s="60" t="s">
        <v>35</v>
      </c>
      <c r="AO29" s="58" t="s">
        <v>35</v>
      </c>
      <c r="AP29" s="33" t="s">
        <v>35</v>
      </c>
      <c r="AQ29" s="33" t="s">
        <v>35</v>
      </c>
      <c r="AR29" s="32" t="s">
        <v>35</v>
      </c>
    </row>
    <row r="30" spans="1:44" ht="18" customHeight="1">
      <c r="A30" s="31" t="s">
        <v>35</v>
      </c>
      <c r="B30" s="42">
        <v>27</v>
      </c>
      <c r="C30" s="88" t="s">
        <v>204</v>
      </c>
      <c r="D30" s="88"/>
      <c r="E30" s="98" t="s">
        <v>179</v>
      </c>
      <c r="F30" s="98" t="s">
        <v>179</v>
      </c>
      <c r="G30" s="99" t="s">
        <v>166</v>
      </c>
      <c r="H30" s="33" t="s">
        <v>35</v>
      </c>
      <c r="I30" s="33" t="s">
        <v>35</v>
      </c>
      <c r="J30" s="33" t="s">
        <v>35</v>
      </c>
      <c r="K30" s="33" t="s">
        <v>35</v>
      </c>
      <c r="L30" s="59" t="s">
        <v>35</v>
      </c>
      <c r="M30" s="60" t="s">
        <v>35</v>
      </c>
      <c r="N30" s="60" t="s">
        <v>35</v>
      </c>
      <c r="O30" s="58" t="s">
        <v>35</v>
      </c>
      <c r="P30" s="59" t="s">
        <v>35</v>
      </c>
      <c r="Q30" s="60" t="s">
        <v>35</v>
      </c>
      <c r="R30" s="60" t="s">
        <v>35</v>
      </c>
      <c r="S30" s="58" t="s">
        <v>35</v>
      </c>
      <c r="T30" s="59" t="s">
        <v>35</v>
      </c>
      <c r="U30" s="60" t="s">
        <v>35</v>
      </c>
      <c r="V30" s="60" t="s">
        <v>35</v>
      </c>
      <c r="W30" s="58" t="s">
        <v>35</v>
      </c>
      <c r="X30" s="59" t="s">
        <v>35</v>
      </c>
      <c r="Y30" s="60" t="s">
        <v>35</v>
      </c>
      <c r="Z30" s="60" t="s">
        <v>35</v>
      </c>
      <c r="AA30" s="58" t="s">
        <v>35</v>
      </c>
      <c r="AB30" s="59" t="s">
        <v>35</v>
      </c>
      <c r="AC30" s="60" t="s">
        <v>35</v>
      </c>
      <c r="AD30" s="60" t="s">
        <v>35</v>
      </c>
      <c r="AE30" s="58" t="s">
        <v>35</v>
      </c>
      <c r="AF30" s="59" t="s">
        <v>35</v>
      </c>
      <c r="AG30" s="60" t="s">
        <v>35</v>
      </c>
      <c r="AH30" s="60" t="s">
        <v>35</v>
      </c>
      <c r="AI30" s="58" t="s">
        <v>35</v>
      </c>
      <c r="AJ30" s="59" t="s">
        <v>35</v>
      </c>
      <c r="AK30" s="60" t="s">
        <v>35</v>
      </c>
      <c r="AL30" s="58" t="s">
        <v>35</v>
      </c>
      <c r="AM30" s="59" t="s">
        <v>35</v>
      </c>
      <c r="AN30" s="60" t="s">
        <v>35</v>
      </c>
      <c r="AO30" s="58" t="s">
        <v>35</v>
      </c>
      <c r="AP30" s="33" t="s">
        <v>35</v>
      </c>
      <c r="AQ30" s="33" t="s">
        <v>35</v>
      </c>
      <c r="AR30" s="32" t="s">
        <v>35</v>
      </c>
    </row>
    <row r="31" spans="1:44" ht="18" customHeight="1">
      <c r="A31" s="31" t="s">
        <v>35</v>
      </c>
      <c r="B31" s="42">
        <v>28</v>
      </c>
      <c r="C31" s="88" t="s">
        <v>204</v>
      </c>
      <c r="D31" s="94" t="s">
        <v>180</v>
      </c>
      <c r="E31" s="99" t="s">
        <v>180</v>
      </c>
      <c r="F31" s="99" t="s">
        <v>180</v>
      </c>
      <c r="G31" s="99" t="s">
        <v>166</v>
      </c>
      <c r="H31" s="33" t="s">
        <v>35</v>
      </c>
      <c r="I31" s="33" t="s">
        <v>35</v>
      </c>
      <c r="J31" s="33" t="s">
        <v>35</v>
      </c>
      <c r="K31" s="33" t="s">
        <v>35</v>
      </c>
      <c r="L31" s="59" t="s">
        <v>35</v>
      </c>
      <c r="M31" s="60" t="s">
        <v>35</v>
      </c>
      <c r="N31" s="60" t="s">
        <v>35</v>
      </c>
      <c r="O31" s="58" t="s">
        <v>35</v>
      </c>
      <c r="P31" s="59" t="s">
        <v>35</v>
      </c>
      <c r="Q31" s="60" t="s">
        <v>35</v>
      </c>
      <c r="R31" s="60" t="s">
        <v>35</v>
      </c>
      <c r="S31" s="58" t="s">
        <v>35</v>
      </c>
      <c r="T31" s="59" t="s">
        <v>35</v>
      </c>
      <c r="U31" s="60" t="s">
        <v>35</v>
      </c>
      <c r="V31" s="60" t="s">
        <v>35</v>
      </c>
      <c r="W31" s="58" t="s">
        <v>35</v>
      </c>
      <c r="X31" s="59" t="s">
        <v>35</v>
      </c>
      <c r="Y31" s="60" t="s">
        <v>35</v>
      </c>
      <c r="Z31" s="60" t="s">
        <v>35</v>
      </c>
      <c r="AA31" s="58" t="s">
        <v>35</v>
      </c>
      <c r="AB31" s="59" t="s">
        <v>35</v>
      </c>
      <c r="AC31" s="60" t="s">
        <v>35</v>
      </c>
      <c r="AD31" s="60" t="s">
        <v>35</v>
      </c>
      <c r="AE31" s="58" t="s">
        <v>35</v>
      </c>
      <c r="AF31" s="59" t="s">
        <v>35</v>
      </c>
      <c r="AG31" s="60" t="s">
        <v>35</v>
      </c>
      <c r="AH31" s="60" t="s">
        <v>35</v>
      </c>
      <c r="AI31" s="58" t="s">
        <v>35</v>
      </c>
      <c r="AJ31" s="59" t="s">
        <v>35</v>
      </c>
      <c r="AK31" s="60" t="s">
        <v>35</v>
      </c>
      <c r="AL31" s="58" t="s">
        <v>35</v>
      </c>
      <c r="AM31" s="59" t="s">
        <v>35</v>
      </c>
      <c r="AN31" s="60" t="s">
        <v>35</v>
      </c>
      <c r="AO31" s="58" t="s">
        <v>35</v>
      </c>
      <c r="AP31" s="33" t="s">
        <v>35</v>
      </c>
      <c r="AQ31" s="33" t="s">
        <v>35</v>
      </c>
      <c r="AR31" s="32" t="s">
        <v>35</v>
      </c>
    </row>
    <row r="32" spans="1:44" ht="18" customHeight="1">
      <c r="A32" s="31" t="s">
        <v>35</v>
      </c>
      <c r="B32" s="42">
        <v>29</v>
      </c>
      <c r="C32" s="88" t="s">
        <v>204</v>
      </c>
      <c r="D32" s="88"/>
      <c r="E32" s="99" t="s">
        <v>181</v>
      </c>
      <c r="F32" s="99" t="s">
        <v>181</v>
      </c>
      <c r="G32" s="99" t="s">
        <v>166</v>
      </c>
      <c r="H32" s="33" t="s">
        <v>35</v>
      </c>
      <c r="I32" s="33" t="s">
        <v>35</v>
      </c>
      <c r="J32" s="33" t="s">
        <v>35</v>
      </c>
      <c r="K32" s="33" t="s">
        <v>35</v>
      </c>
      <c r="L32" s="59" t="s">
        <v>35</v>
      </c>
      <c r="M32" s="60" t="s">
        <v>35</v>
      </c>
      <c r="N32" s="60" t="s">
        <v>35</v>
      </c>
      <c r="O32" s="58" t="s">
        <v>35</v>
      </c>
      <c r="P32" s="59" t="s">
        <v>35</v>
      </c>
      <c r="Q32" s="60" t="s">
        <v>35</v>
      </c>
      <c r="R32" s="60" t="s">
        <v>35</v>
      </c>
      <c r="S32" s="58" t="s">
        <v>35</v>
      </c>
      <c r="T32" s="59" t="s">
        <v>35</v>
      </c>
      <c r="U32" s="60" t="s">
        <v>35</v>
      </c>
      <c r="V32" s="60" t="s">
        <v>35</v>
      </c>
      <c r="W32" s="58" t="s">
        <v>35</v>
      </c>
      <c r="X32" s="59" t="s">
        <v>35</v>
      </c>
      <c r="Y32" s="60" t="s">
        <v>35</v>
      </c>
      <c r="Z32" s="60" t="s">
        <v>35</v>
      </c>
      <c r="AA32" s="58" t="s">
        <v>35</v>
      </c>
      <c r="AB32" s="59" t="s">
        <v>35</v>
      </c>
      <c r="AC32" s="60" t="s">
        <v>35</v>
      </c>
      <c r="AD32" s="60" t="s">
        <v>35</v>
      </c>
      <c r="AE32" s="58" t="s">
        <v>35</v>
      </c>
      <c r="AF32" s="59" t="s">
        <v>35</v>
      </c>
      <c r="AG32" s="60" t="s">
        <v>35</v>
      </c>
      <c r="AH32" s="60" t="s">
        <v>35</v>
      </c>
      <c r="AI32" s="58" t="s">
        <v>35</v>
      </c>
      <c r="AJ32" s="59" t="s">
        <v>35</v>
      </c>
      <c r="AK32" s="60" t="s">
        <v>35</v>
      </c>
      <c r="AL32" s="58" t="s">
        <v>35</v>
      </c>
      <c r="AM32" s="59" t="s">
        <v>35</v>
      </c>
      <c r="AN32" s="60" t="s">
        <v>35</v>
      </c>
      <c r="AO32" s="58" t="s">
        <v>35</v>
      </c>
      <c r="AP32" s="33" t="s">
        <v>35</v>
      </c>
      <c r="AQ32" s="33" t="s">
        <v>35</v>
      </c>
      <c r="AR32" s="32" t="s">
        <v>35</v>
      </c>
    </row>
    <row r="33" spans="1:44" ht="18" customHeight="1">
      <c r="A33" s="31" t="s">
        <v>35</v>
      </c>
      <c r="B33" s="42">
        <v>30</v>
      </c>
      <c r="C33" s="88" t="s">
        <v>204</v>
      </c>
      <c r="D33" s="88"/>
      <c r="E33" s="99" t="s">
        <v>182</v>
      </c>
      <c r="F33" s="99" t="s">
        <v>182</v>
      </c>
      <c r="G33" s="99" t="s">
        <v>166</v>
      </c>
      <c r="H33" s="33" t="s">
        <v>35</v>
      </c>
      <c r="I33" s="33" t="s">
        <v>35</v>
      </c>
      <c r="J33" s="33" t="s">
        <v>35</v>
      </c>
      <c r="K33" s="33" t="s">
        <v>35</v>
      </c>
      <c r="L33" s="59" t="s">
        <v>35</v>
      </c>
      <c r="M33" s="60" t="s">
        <v>35</v>
      </c>
      <c r="N33" s="60" t="s">
        <v>35</v>
      </c>
      <c r="O33" s="58" t="s">
        <v>35</v>
      </c>
      <c r="P33" s="59" t="s">
        <v>35</v>
      </c>
      <c r="Q33" s="60" t="s">
        <v>35</v>
      </c>
      <c r="R33" s="60" t="s">
        <v>35</v>
      </c>
      <c r="S33" s="58" t="s">
        <v>35</v>
      </c>
      <c r="T33" s="59" t="s">
        <v>35</v>
      </c>
      <c r="U33" s="60" t="s">
        <v>35</v>
      </c>
      <c r="V33" s="60" t="s">
        <v>35</v>
      </c>
      <c r="W33" s="58" t="s">
        <v>35</v>
      </c>
      <c r="X33" s="59" t="s">
        <v>35</v>
      </c>
      <c r="Y33" s="60" t="s">
        <v>35</v>
      </c>
      <c r="Z33" s="60" t="s">
        <v>35</v>
      </c>
      <c r="AA33" s="58" t="s">
        <v>35</v>
      </c>
      <c r="AB33" s="59" t="s">
        <v>35</v>
      </c>
      <c r="AC33" s="60" t="s">
        <v>35</v>
      </c>
      <c r="AD33" s="60" t="s">
        <v>35</v>
      </c>
      <c r="AE33" s="58" t="s">
        <v>35</v>
      </c>
      <c r="AF33" s="59" t="s">
        <v>35</v>
      </c>
      <c r="AG33" s="60" t="s">
        <v>35</v>
      </c>
      <c r="AH33" s="60" t="s">
        <v>35</v>
      </c>
      <c r="AI33" s="58" t="s">
        <v>35</v>
      </c>
      <c r="AJ33" s="59" t="s">
        <v>35</v>
      </c>
      <c r="AK33" s="60" t="s">
        <v>35</v>
      </c>
      <c r="AL33" s="58" t="s">
        <v>35</v>
      </c>
      <c r="AM33" s="59" t="s">
        <v>35</v>
      </c>
      <c r="AN33" s="60" t="s">
        <v>35</v>
      </c>
      <c r="AO33" s="58" t="s">
        <v>35</v>
      </c>
      <c r="AP33" s="33" t="s">
        <v>35</v>
      </c>
      <c r="AQ33" s="33" t="s">
        <v>35</v>
      </c>
      <c r="AR33" s="32" t="s">
        <v>35</v>
      </c>
    </row>
    <row r="34" spans="1:44" ht="18" customHeight="1">
      <c r="A34" s="31" t="s">
        <v>35</v>
      </c>
      <c r="B34" s="42">
        <v>31</v>
      </c>
      <c r="C34" s="88" t="s">
        <v>204</v>
      </c>
      <c r="D34" s="94" t="s">
        <v>183</v>
      </c>
      <c r="E34" s="99" t="s">
        <v>184</v>
      </c>
      <c r="F34" s="99" t="s">
        <v>184</v>
      </c>
      <c r="G34" s="99" t="s">
        <v>166</v>
      </c>
      <c r="H34" s="33" t="s">
        <v>35</v>
      </c>
      <c r="I34" s="33" t="s">
        <v>35</v>
      </c>
      <c r="J34" s="33" t="s">
        <v>35</v>
      </c>
      <c r="K34" s="33" t="s">
        <v>35</v>
      </c>
      <c r="L34" s="59" t="s">
        <v>35</v>
      </c>
      <c r="M34" s="60" t="s">
        <v>35</v>
      </c>
      <c r="N34" s="60" t="s">
        <v>35</v>
      </c>
      <c r="O34" s="58" t="s">
        <v>35</v>
      </c>
      <c r="P34" s="59" t="s">
        <v>35</v>
      </c>
      <c r="Q34" s="60" t="s">
        <v>35</v>
      </c>
      <c r="R34" s="60" t="s">
        <v>35</v>
      </c>
      <c r="S34" s="58" t="s">
        <v>35</v>
      </c>
      <c r="T34" s="59" t="s">
        <v>35</v>
      </c>
      <c r="U34" s="60" t="s">
        <v>35</v>
      </c>
      <c r="V34" s="60" t="s">
        <v>35</v>
      </c>
      <c r="W34" s="58" t="s">
        <v>35</v>
      </c>
      <c r="X34" s="59" t="s">
        <v>35</v>
      </c>
      <c r="Y34" s="60" t="s">
        <v>35</v>
      </c>
      <c r="Z34" s="60" t="s">
        <v>35</v>
      </c>
      <c r="AA34" s="58" t="s">
        <v>35</v>
      </c>
      <c r="AB34" s="59" t="s">
        <v>35</v>
      </c>
      <c r="AC34" s="60" t="s">
        <v>35</v>
      </c>
      <c r="AD34" s="60" t="s">
        <v>35</v>
      </c>
      <c r="AE34" s="58" t="s">
        <v>35</v>
      </c>
      <c r="AF34" s="59" t="s">
        <v>35</v>
      </c>
      <c r="AG34" s="60" t="s">
        <v>35</v>
      </c>
      <c r="AH34" s="60" t="s">
        <v>35</v>
      </c>
      <c r="AI34" s="58" t="s">
        <v>35</v>
      </c>
      <c r="AJ34" s="59" t="s">
        <v>35</v>
      </c>
      <c r="AK34" s="60" t="s">
        <v>35</v>
      </c>
      <c r="AL34" s="58" t="s">
        <v>35</v>
      </c>
      <c r="AM34" s="59" t="s">
        <v>35</v>
      </c>
      <c r="AN34" s="60" t="s">
        <v>35</v>
      </c>
      <c r="AO34" s="58" t="s">
        <v>35</v>
      </c>
      <c r="AP34" s="33" t="s">
        <v>35</v>
      </c>
      <c r="AQ34" s="33" t="s">
        <v>35</v>
      </c>
      <c r="AR34" s="32" t="s">
        <v>35</v>
      </c>
    </row>
    <row r="35" spans="1:44" ht="18" customHeight="1">
      <c r="A35" s="31" t="s">
        <v>35</v>
      </c>
      <c r="B35" s="42">
        <v>32</v>
      </c>
      <c r="C35" s="88" t="s">
        <v>204</v>
      </c>
      <c r="D35" s="88"/>
      <c r="E35" s="99" t="s">
        <v>185</v>
      </c>
      <c r="F35" s="99" t="s">
        <v>185</v>
      </c>
      <c r="G35" s="99" t="s">
        <v>166</v>
      </c>
      <c r="H35" s="33" t="s">
        <v>35</v>
      </c>
      <c r="I35" s="33" t="s">
        <v>35</v>
      </c>
      <c r="J35" s="33" t="s">
        <v>35</v>
      </c>
      <c r="K35" s="33" t="s">
        <v>35</v>
      </c>
      <c r="L35" s="59" t="s">
        <v>35</v>
      </c>
      <c r="M35" s="60" t="s">
        <v>35</v>
      </c>
      <c r="N35" s="60" t="s">
        <v>35</v>
      </c>
      <c r="O35" s="58" t="s">
        <v>35</v>
      </c>
      <c r="P35" s="59" t="s">
        <v>35</v>
      </c>
      <c r="Q35" s="60" t="s">
        <v>35</v>
      </c>
      <c r="R35" s="60" t="s">
        <v>35</v>
      </c>
      <c r="S35" s="58" t="s">
        <v>35</v>
      </c>
      <c r="T35" s="59" t="s">
        <v>35</v>
      </c>
      <c r="U35" s="60" t="s">
        <v>35</v>
      </c>
      <c r="V35" s="60" t="s">
        <v>35</v>
      </c>
      <c r="W35" s="58" t="s">
        <v>35</v>
      </c>
      <c r="X35" s="59" t="s">
        <v>35</v>
      </c>
      <c r="Y35" s="60" t="s">
        <v>35</v>
      </c>
      <c r="Z35" s="60" t="s">
        <v>35</v>
      </c>
      <c r="AA35" s="58" t="s">
        <v>35</v>
      </c>
      <c r="AB35" s="59" t="s">
        <v>35</v>
      </c>
      <c r="AC35" s="60" t="s">
        <v>35</v>
      </c>
      <c r="AD35" s="60" t="s">
        <v>35</v>
      </c>
      <c r="AE35" s="58" t="s">
        <v>35</v>
      </c>
      <c r="AF35" s="59" t="s">
        <v>35</v>
      </c>
      <c r="AG35" s="60" t="s">
        <v>35</v>
      </c>
      <c r="AH35" s="60" t="s">
        <v>35</v>
      </c>
      <c r="AI35" s="58" t="s">
        <v>35</v>
      </c>
      <c r="AJ35" s="59" t="s">
        <v>35</v>
      </c>
      <c r="AK35" s="60" t="s">
        <v>35</v>
      </c>
      <c r="AL35" s="58" t="s">
        <v>35</v>
      </c>
      <c r="AM35" s="59" t="s">
        <v>35</v>
      </c>
      <c r="AN35" s="60" t="s">
        <v>35</v>
      </c>
      <c r="AO35" s="58" t="s">
        <v>35</v>
      </c>
      <c r="AP35" s="33" t="s">
        <v>35</v>
      </c>
      <c r="AQ35" s="33" t="s">
        <v>35</v>
      </c>
      <c r="AR35" s="32" t="s">
        <v>35</v>
      </c>
    </row>
    <row r="36" spans="1:44" ht="18" customHeight="1">
      <c r="A36" s="31" t="s">
        <v>35</v>
      </c>
      <c r="B36" s="42">
        <v>33</v>
      </c>
      <c r="C36" s="88" t="s">
        <v>204</v>
      </c>
      <c r="D36" s="88"/>
      <c r="E36" s="99" t="s">
        <v>186</v>
      </c>
      <c r="F36" s="99" t="s">
        <v>186</v>
      </c>
      <c r="G36" s="99" t="s">
        <v>166</v>
      </c>
      <c r="H36" s="33" t="s">
        <v>35</v>
      </c>
      <c r="I36" s="33" t="s">
        <v>35</v>
      </c>
      <c r="J36" s="33" t="s">
        <v>35</v>
      </c>
      <c r="K36" s="33" t="s">
        <v>35</v>
      </c>
      <c r="L36" s="59" t="s">
        <v>35</v>
      </c>
      <c r="M36" s="60" t="s">
        <v>35</v>
      </c>
      <c r="N36" s="60" t="s">
        <v>35</v>
      </c>
      <c r="O36" s="58" t="s">
        <v>35</v>
      </c>
      <c r="P36" s="59" t="s">
        <v>35</v>
      </c>
      <c r="Q36" s="60" t="s">
        <v>35</v>
      </c>
      <c r="R36" s="60" t="s">
        <v>35</v>
      </c>
      <c r="S36" s="58" t="s">
        <v>35</v>
      </c>
      <c r="T36" s="59" t="s">
        <v>35</v>
      </c>
      <c r="U36" s="60" t="s">
        <v>35</v>
      </c>
      <c r="V36" s="60" t="s">
        <v>35</v>
      </c>
      <c r="W36" s="58" t="s">
        <v>35</v>
      </c>
      <c r="X36" s="59" t="s">
        <v>35</v>
      </c>
      <c r="Y36" s="60" t="s">
        <v>35</v>
      </c>
      <c r="Z36" s="60" t="s">
        <v>35</v>
      </c>
      <c r="AA36" s="58" t="s">
        <v>35</v>
      </c>
      <c r="AB36" s="59" t="s">
        <v>35</v>
      </c>
      <c r="AC36" s="60" t="s">
        <v>35</v>
      </c>
      <c r="AD36" s="60" t="s">
        <v>35</v>
      </c>
      <c r="AE36" s="58" t="s">
        <v>35</v>
      </c>
      <c r="AF36" s="59" t="s">
        <v>35</v>
      </c>
      <c r="AG36" s="60" t="s">
        <v>35</v>
      </c>
      <c r="AH36" s="60" t="s">
        <v>35</v>
      </c>
      <c r="AI36" s="58" t="s">
        <v>35</v>
      </c>
      <c r="AJ36" s="59" t="s">
        <v>35</v>
      </c>
      <c r="AK36" s="60" t="s">
        <v>35</v>
      </c>
      <c r="AL36" s="58" t="s">
        <v>35</v>
      </c>
      <c r="AM36" s="59" t="s">
        <v>35</v>
      </c>
      <c r="AN36" s="60" t="s">
        <v>35</v>
      </c>
      <c r="AO36" s="58" t="s">
        <v>35</v>
      </c>
      <c r="AP36" s="33" t="s">
        <v>35</v>
      </c>
      <c r="AQ36" s="33" t="s">
        <v>35</v>
      </c>
      <c r="AR36" s="32" t="s">
        <v>35</v>
      </c>
    </row>
    <row r="37" spans="1:44" ht="18" customHeight="1">
      <c r="A37" s="31" t="s">
        <v>35</v>
      </c>
      <c r="B37" s="42">
        <v>34</v>
      </c>
      <c r="C37" s="88" t="s">
        <v>204</v>
      </c>
      <c r="D37" s="88"/>
      <c r="E37" s="99" t="s">
        <v>187</v>
      </c>
      <c r="F37" s="99" t="s">
        <v>187</v>
      </c>
      <c r="G37" s="99" t="s">
        <v>166</v>
      </c>
      <c r="H37" s="33" t="s">
        <v>35</v>
      </c>
      <c r="I37" s="33" t="s">
        <v>35</v>
      </c>
      <c r="J37" s="33" t="s">
        <v>35</v>
      </c>
      <c r="K37" s="33" t="s">
        <v>35</v>
      </c>
      <c r="L37" s="59" t="s">
        <v>35</v>
      </c>
      <c r="M37" s="60" t="s">
        <v>35</v>
      </c>
      <c r="N37" s="60" t="s">
        <v>35</v>
      </c>
      <c r="O37" s="58" t="s">
        <v>35</v>
      </c>
      <c r="P37" s="59" t="s">
        <v>35</v>
      </c>
      <c r="Q37" s="60" t="s">
        <v>35</v>
      </c>
      <c r="R37" s="60" t="s">
        <v>35</v>
      </c>
      <c r="S37" s="58" t="s">
        <v>35</v>
      </c>
      <c r="T37" s="59" t="s">
        <v>35</v>
      </c>
      <c r="U37" s="60" t="s">
        <v>35</v>
      </c>
      <c r="V37" s="60" t="s">
        <v>35</v>
      </c>
      <c r="W37" s="58" t="s">
        <v>35</v>
      </c>
      <c r="X37" s="59" t="s">
        <v>35</v>
      </c>
      <c r="Y37" s="60" t="s">
        <v>35</v>
      </c>
      <c r="Z37" s="60" t="s">
        <v>35</v>
      </c>
      <c r="AA37" s="58" t="s">
        <v>35</v>
      </c>
      <c r="AB37" s="59" t="s">
        <v>35</v>
      </c>
      <c r="AC37" s="60" t="s">
        <v>35</v>
      </c>
      <c r="AD37" s="60" t="s">
        <v>35</v>
      </c>
      <c r="AE37" s="58" t="s">
        <v>35</v>
      </c>
      <c r="AF37" s="59" t="s">
        <v>35</v>
      </c>
      <c r="AG37" s="60" t="s">
        <v>35</v>
      </c>
      <c r="AH37" s="60" t="s">
        <v>35</v>
      </c>
      <c r="AI37" s="58" t="s">
        <v>35</v>
      </c>
      <c r="AJ37" s="59" t="s">
        <v>35</v>
      </c>
      <c r="AK37" s="60" t="s">
        <v>35</v>
      </c>
      <c r="AL37" s="58" t="s">
        <v>35</v>
      </c>
      <c r="AM37" s="59" t="s">
        <v>35</v>
      </c>
      <c r="AN37" s="60" t="s">
        <v>35</v>
      </c>
      <c r="AO37" s="58" t="s">
        <v>35</v>
      </c>
      <c r="AP37" s="33" t="s">
        <v>35</v>
      </c>
      <c r="AQ37" s="33" t="s">
        <v>35</v>
      </c>
      <c r="AR37" s="32" t="s">
        <v>35</v>
      </c>
    </row>
    <row r="38" spans="1:44" ht="18" customHeight="1">
      <c r="A38" s="31" t="s">
        <v>35</v>
      </c>
      <c r="B38" s="42">
        <v>35</v>
      </c>
      <c r="C38" s="88" t="s">
        <v>204</v>
      </c>
      <c r="D38" s="88"/>
      <c r="E38" s="99" t="s">
        <v>188</v>
      </c>
      <c r="F38" s="99" t="s">
        <v>188</v>
      </c>
      <c r="G38" s="99" t="s">
        <v>166</v>
      </c>
      <c r="H38" s="33" t="s">
        <v>35</v>
      </c>
      <c r="I38" s="33" t="s">
        <v>35</v>
      </c>
      <c r="J38" s="33" t="s">
        <v>35</v>
      </c>
      <c r="K38" s="33" t="s">
        <v>35</v>
      </c>
      <c r="L38" s="59" t="s">
        <v>35</v>
      </c>
      <c r="M38" s="60" t="s">
        <v>35</v>
      </c>
      <c r="N38" s="60" t="s">
        <v>35</v>
      </c>
      <c r="O38" s="58" t="s">
        <v>35</v>
      </c>
      <c r="P38" s="59" t="s">
        <v>35</v>
      </c>
      <c r="Q38" s="60" t="s">
        <v>35</v>
      </c>
      <c r="R38" s="60" t="s">
        <v>35</v>
      </c>
      <c r="S38" s="58" t="s">
        <v>35</v>
      </c>
      <c r="T38" s="59" t="s">
        <v>35</v>
      </c>
      <c r="U38" s="60" t="s">
        <v>35</v>
      </c>
      <c r="V38" s="60" t="s">
        <v>35</v>
      </c>
      <c r="W38" s="58" t="s">
        <v>35</v>
      </c>
      <c r="X38" s="59" t="s">
        <v>35</v>
      </c>
      <c r="Y38" s="60" t="s">
        <v>35</v>
      </c>
      <c r="Z38" s="60" t="s">
        <v>35</v>
      </c>
      <c r="AA38" s="58" t="s">
        <v>35</v>
      </c>
      <c r="AB38" s="59" t="s">
        <v>35</v>
      </c>
      <c r="AC38" s="60" t="s">
        <v>35</v>
      </c>
      <c r="AD38" s="60" t="s">
        <v>35</v>
      </c>
      <c r="AE38" s="58" t="s">
        <v>35</v>
      </c>
      <c r="AF38" s="59" t="s">
        <v>35</v>
      </c>
      <c r="AG38" s="60" t="s">
        <v>35</v>
      </c>
      <c r="AH38" s="60" t="s">
        <v>35</v>
      </c>
      <c r="AI38" s="58" t="s">
        <v>35</v>
      </c>
      <c r="AJ38" s="59" t="s">
        <v>35</v>
      </c>
      <c r="AK38" s="60" t="s">
        <v>35</v>
      </c>
      <c r="AL38" s="58" t="s">
        <v>35</v>
      </c>
      <c r="AM38" s="59" t="s">
        <v>35</v>
      </c>
      <c r="AN38" s="60" t="s">
        <v>35</v>
      </c>
      <c r="AO38" s="58" t="s">
        <v>35</v>
      </c>
      <c r="AP38" s="33" t="s">
        <v>35</v>
      </c>
      <c r="AQ38" s="33" t="s">
        <v>35</v>
      </c>
      <c r="AR38" s="32" t="s">
        <v>35</v>
      </c>
    </row>
    <row r="39" spans="1:44" ht="18" customHeight="1">
      <c r="A39" s="31" t="s">
        <v>35</v>
      </c>
      <c r="B39" s="42">
        <v>36</v>
      </c>
      <c r="C39" s="88" t="s">
        <v>204</v>
      </c>
      <c r="D39" s="88"/>
      <c r="E39" s="99" t="s">
        <v>189</v>
      </c>
      <c r="F39" s="99" t="s">
        <v>189</v>
      </c>
      <c r="G39" s="99" t="s">
        <v>166</v>
      </c>
      <c r="H39" s="33" t="s">
        <v>35</v>
      </c>
      <c r="I39" s="33" t="s">
        <v>35</v>
      </c>
      <c r="J39" s="33" t="s">
        <v>35</v>
      </c>
      <c r="K39" s="33" t="s">
        <v>35</v>
      </c>
      <c r="L39" s="59" t="s">
        <v>35</v>
      </c>
      <c r="M39" s="60" t="s">
        <v>35</v>
      </c>
      <c r="N39" s="60" t="s">
        <v>35</v>
      </c>
      <c r="O39" s="58" t="s">
        <v>35</v>
      </c>
      <c r="P39" s="59" t="s">
        <v>35</v>
      </c>
      <c r="Q39" s="60" t="s">
        <v>35</v>
      </c>
      <c r="R39" s="60" t="s">
        <v>35</v>
      </c>
      <c r="S39" s="58" t="s">
        <v>35</v>
      </c>
      <c r="T39" s="59" t="s">
        <v>35</v>
      </c>
      <c r="U39" s="60" t="s">
        <v>35</v>
      </c>
      <c r="V39" s="60" t="s">
        <v>35</v>
      </c>
      <c r="W39" s="58" t="s">
        <v>35</v>
      </c>
      <c r="X39" s="59" t="s">
        <v>35</v>
      </c>
      <c r="Y39" s="60" t="s">
        <v>35</v>
      </c>
      <c r="Z39" s="60" t="s">
        <v>35</v>
      </c>
      <c r="AA39" s="58" t="s">
        <v>35</v>
      </c>
      <c r="AB39" s="59" t="s">
        <v>35</v>
      </c>
      <c r="AC39" s="60" t="s">
        <v>35</v>
      </c>
      <c r="AD39" s="60" t="s">
        <v>35</v>
      </c>
      <c r="AE39" s="58" t="s">
        <v>35</v>
      </c>
      <c r="AF39" s="59" t="s">
        <v>35</v>
      </c>
      <c r="AG39" s="60" t="s">
        <v>35</v>
      </c>
      <c r="AH39" s="60" t="s">
        <v>35</v>
      </c>
      <c r="AI39" s="58" t="s">
        <v>35</v>
      </c>
      <c r="AJ39" s="59" t="s">
        <v>35</v>
      </c>
      <c r="AK39" s="60" t="s">
        <v>35</v>
      </c>
      <c r="AL39" s="58" t="s">
        <v>35</v>
      </c>
      <c r="AM39" s="59" t="s">
        <v>35</v>
      </c>
      <c r="AN39" s="60" t="s">
        <v>35</v>
      </c>
      <c r="AO39" s="58" t="s">
        <v>35</v>
      </c>
      <c r="AP39" s="33" t="s">
        <v>35</v>
      </c>
      <c r="AQ39" s="33" t="s">
        <v>35</v>
      </c>
      <c r="AR39" s="32" t="s">
        <v>35</v>
      </c>
    </row>
    <row r="40" spans="1:44" ht="18" customHeight="1">
      <c r="A40" s="31" t="s">
        <v>35</v>
      </c>
      <c r="B40" s="42">
        <v>37</v>
      </c>
      <c r="C40" s="88" t="s">
        <v>204</v>
      </c>
      <c r="D40" s="88"/>
      <c r="E40" s="99" t="s">
        <v>190</v>
      </c>
      <c r="F40" s="99" t="s">
        <v>190</v>
      </c>
      <c r="G40" s="99" t="s">
        <v>166</v>
      </c>
      <c r="H40" s="33" t="s">
        <v>35</v>
      </c>
      <c r="I40" s="33" t="s">
        <v>35</v>
      </c>
      <c r="J40" s="33" t="s">
        <v>35</v>
      </c>
      <c r="K40" s="33" t="s">
        <v>35</v>
      </c>
      <c r="L40" s="59" t="s">
        <v>35</v>
      </c>
      <c r="M40" s="60" t="s">
        <v>35</v>
      </c>
      <c r="N40" s="60" t="s">
        <v>35</v>
      </c>
      <c r="O40" s="58" t="s">
        <v>35</v>
      </c>
      <c r="P40" s="59" t="s">
        <v>35</v>
      </c>
      <c r="Q40" s="60" t="s">
        <v>35</v>
      </c>
      <c r="R40" s="60" t="s">
        <v>35</v>
      </c>
      <c r="S40" s="58" t="s">
        <v>35</v>
      </c>
      <c r="T40" s="59" t="s">
        <v>35</v>
      </c>
      <c r="U40" s="60" t="s">
        <v>35</v>
      </c>
      <c r="V40" s="60" t="s">
        <v>35</v>
      </c>
      <c r="W40" s="58" t="s">
        <v>35</v>
      </c>
      <c r="X40" s="59" t="s">
        <v>35</v>
      </c>
      <c r="Y40" s="60" t="s">
        <v>35</v>
      </c>
      <c r="Z40" s="60" t="s">
        <v>35</v>
      </c>
      <c r="AA40" s="58" t="s">
        <v>35</v>
      </c>
      <c r="AB40" s="59" t="s">
        <v>35</v>
      </c>
      <c r="AC40" s="60" t="s">
        <v>35</v>
      </c>
      <c r="AD40" s="60" t="s">
        <v>35</v>
      </c>
      <c r="AE40" s="58" t="s">
        <v>35</v>
      </c>
      <c r="AF40" s="59" t="s">
        <v>35</v>
      </c>
      <c r="AG40" s="60" t="s">
        <v>35</v>
      </c>
      <c r="AH40" s="60" t="s">
        <v>35</v>
      </c>
      <c r="AI40" s="58" t="s">
        <v>35</v>
      </c>
      <c r="AJ40" s="59" t="s">
        <v>35</v>
      </c>
      <c r="AK40" s="60" t="s">
        <v>35</v>
      </c>
      <c r="AL40" s="58" t="s">
        <v>35</v>
      </c>
      <c r="AM40" s="59" t="s">
        <v>35</v>
      </c>
      <c r="AN40" s="60" t="s">
        <v>35</v>
      </c>
      <c r="AO40" s="58" t="s">
        <v>35</v>
      </c>
      <c r="AP40" s="33" t="s">
        <v>35</v>
      </c>
      <c r="AQ40" s="33" t="s">
        <v>35</v>
      </c>
      <c r="AR40" s="32" t="s">
        <v>35</v>
      </c>
    </row>
    <row r="41" spans="1:44" ht="18" customHeight="1">
      <c r="A41" s="31" t="s">
        <v>35</v>
      </c>
      <c r="B41" s="42">
        <v>38</v>
      </c>
      <c r="C41" s="88" t="s">
        <v>204</v>
      </c>
      <c r="D41" s="88"/>
      <c r="E41" s="99" t="s">
        <v>191</v>
      </c>
      <c r="F41" s="99" t="s">
        <v>191</v>
      </c>
      <c r="G41" s="99" t="s">
        <v>166</v>
      </c>
      <c r="H41" s="33" t="s">
        <v>35</v>
      </c>
      <c r="I41" s="33" t="s">
        <v>35</v>
      </c>
      <c r="J41" s="33" t="s">
        <v>35</v>
      </c>
      <c r="K41" s="33" t="s">
        <v>35</v>
      </c>
      <c r="L41" s="59" t="s">
        <v>35</v>
      </c>
      <c r="M41" s="60" t="s">
        <v>35</v>
      </c>
      <c r="N41" s="60" t="s">
        <v>35</v>
      </c>
      <c r="O41" s="58" t="s">
        <v>35</v>
      </c>
      <c r="P41" s="59" t="s">
        <v>35</v>
      </c>
      <c r="Q41" s="60" t="s">
        <v>35</v>
      </c>
      <c r="R41" s="60" t="s">
        <v>35</v>
      </c>
      <c r="S41" s="58" t="s">
        <v>35</v>
      </c>
      <c r="T41" s="59" t="s">
        <v>35</v>
      </c>
      <c r="U41" s="60" t="s">
        <v>35</v>
      </c>
      <c r="V41" s="60" t="s">
        <v>35</v>
      </c>
      <c r="W41" s="58" t="s">
        <v>35</v>
      </c>
      <c r="X41" s="59" t="s">
        <v>35</v>
      </c>
      <c r="Y41" s="60" t="s">
        <v>35</v>
      </c>
      <c r="Z41" s="60" t="s">
        <v>35</v>
      </c>
      <c r="AA41" s="58" t="s">
        <v>35</v>
      </c>
      <c r="AB41" s="59" t="s">
        <v>35</v>
      </c>
      <c r="AC41" s="60" t="s">
        <v>35</v>
      </c>
      <c r="AD41" s="60" t="s">
        <v>35</v>
      </c>
      <c r="AE41" s="58" t="s">
        <v>35</v>
      </c>
      <c r="AF41" s="59" t="s">
        <v>35</v>
      </c>
      <c r="AG41" s="60" t="s">
        <v>35</v>
      </c>
      <c r="AH41" s="60" t="s">
        <v>35</v>
      </c>
      <c r="AI41" s="58" t="s">
        <v>35</v>
      </c>
      <c r="AJ41" s="59" t="s">
        <v>35</v>
      </c>
      <c r="AK41" s="60" t="s">
        <v>35</v>
      </c>
      <c r="AL41" s="58" t="s">
        <v>35</v>
      </c>
      <c r="AM41" s="59" t="s">
        <v>35</v>
      </c>
      <c r="AN41" s="60" t="s">
        <v>35</v>
      </c>
      <c r="AO41" s="58" t="s">
        <v>35</v>
      </c>
      <c r="AP41" s="33" t="s">
        <v>35</v>
      </c>
      <c r="AQ41" s="33" t="s">
        <v>35</v>
      </c>
      <c r="AR41" s="32" t="s">
        <v>35</v>
      </c>
    </row>
    <row r="42" spans="1:44" ht="18" customHeight="1">
      <c r="A42" s="31" t="s">
        <v>35</v>
      </c>
      <c r="B42" s="42">
        <v>39</v>
      </c>
      <c r="C42" s="88" t="s">
        <v>204</v>
      </c>
      <c r="D42" s="88"/>
      <c r="E42" s="99" t="s">
        <v>192</v>
      </c>
      <c r="F42" s="99" t="s">
        <v>192</v>
      </c>
      <c r="G42" s="99" t="s">
        <v>166</v>
      </c>
      <c r="H42" s="33" t="s">
        <v>35</v>
      </c>
      <c r="I42" s="33" t="s">
        <v>35</v>
      </c>
      <c r="J42" s="33" t="s">
        <v>35</v>
      </c>
      <c r="K42" s="33" t="s">
        <v>35</v>
      </c>
      <c r="L42" s="59" t="s">
        <v>35</v>
      </c>
      <c r="M42" s="60" t="s">
        <v>35</v>
      </c>
      <c r="N42" s="60" t="s">
        <v>35</v>
      </c>
      <c r="O42" s="58" t="s">
        <v>35</v>
      </c>
      <c r="P42" s="59" t="s">
        <v>35</v>
      </c>
      <c r="Q42" s="60" t="s">
        <v>35</v>
      </c>
      <c r="R42" s="60" t="s">
        <v>35</v>
      </c>
      <c r="S42" s="58" t="s">
        <v>35</v>
      </c>
      <c r="T42" s="59" t="s">
        <v>35</v>
      </c>
      <c r="U42" s="60" t="s">
        <v>35</v>
      </c>
      <c r="V42" s="60" t="s">
        <v>35</v>
      </c>
      <c r="W42" s="58" t="s">
        <v>35</v>
      </c>
      <c r="X42" s="59" t="s">
        <v>35</v>
      </c>
      <c r="Y42" s="60" t="s">
        <v>35</v>
      </c>
      <c r="Z42" s="60" t="s">
        <v>35</v>
      </c>
      <c r="AA42" s="58" t="s">
        <v>35</v>
      </c>
      <c r="AB42" s="59" t="s">
        <v>35</v>
      </c>
      <c r="AC42" s="60" t="s">
        <v>35</v>
      </c>
      <c r="AD42" s="60" t="s">
        <v>35</v>
      </c>
      <c r="AE42" s="58" t="s">
        <v>35</v>
      </c>
      <c r="AF42" s="59" t="s">
        <v>35</v>
      </c>
      <c r="AG42" s="60" t="s">
        <v>35</v>
      </c>
      <c r="AH42" s="60" t="s">
        <v>35</v>
      </c>
      <c r="AI42" s="58" t="s">
        <v>35</v>
      </c>
      <c r="AJ42" s="59" t="s">
        <v>35</v>
      </c>
      <c r="AK42" s="60" t="s">
        <v>35</v>
      </c>
      <c r="AL42" s="58" t="s">
        <v>35</v>
      </c>
      <c r="AM42" s="59" t="s">
        <v>35</v>
      </c>
      <c r="AN42" s="60" t="s">
        <v>35</v>
      </c>
      <c r="AO42" s="58" t="s">
        <v>35</v>
      </c>
      <c r="AP42" s="33" t="s">
        <v>35</v>
      </c>
      <c r="AQ42" s="33" t="s">
        <v>35</v>
      </c>
      <c r="AR42" s="32" t="s">
        <v>35</v>
      </c>
    </row>
    <row r="43" spans="1:44" ht="18" customHeight="1">
      <c r="A43" s="31" t="s">
        <v>35</v>
      </c>
      <c r="B43" s="42">
        <v>40</v>
      </c>
      <c r="C43" s="88" t="s">
        <v>204</v>
      </c>
      <c r="D43" s="87"/>
      <c r="E43" s="99" t="s">
        <v>193</v>
      </c>
      <c r="F43" s="99" t="s">
        <v>193</v>
      </c>
      <c r="G43" s="99" t="s">
        <v>166</v>
      </c>
      <c r="H43" s="33" t="s">
        <v>35</v>
      </c>
      <c r="I43" s="33" t="s">
        <v>35</v>
      </c>
      <c r="J43" s="33" t="s">
        <v>35</v>
      </c>
      <c r="K43" s="33" t="s">
        <v>35</v>
      </c>
      <c r="L43" s="59" t="s">
        <v>35</v>
      </c>
      <c r="M43" s="60" t="s">
        <v>35</v>
      </c>
      <c r="N43" s="60" t="s">
        <v>35</v>
      </c>
      <c r="O43" s="58" t="s">
        <v>35</v>
      </c>
      <c r="P43" s="59" t="s">
        <v>35</v>
      </c>
      <c r="Q43" s="60" t="s">
        <v>35</v>
      </c>
      <c r="R43" s="60" t="s">
        <v>35</v>
      </c>
      <c r="S43" s="58" t="s">
        <v>35</v>
      </c>
      <c r="T43" s="59" t="s">
        <v>35</v>
      </c>
      <c r="U43" s="60" t="s">
        <v>35</v>
      </c>
      <c r="V43" s="60" t="s">
        <v>35</v>
      </c>
      <c r="W43" s="58" t="s">
        <v>35</v>
      </c>
      <c r="X43" s="59" t="s">
        <v>35</v>
      </c>
      <c r="Y43" s="60" t="s">
        <v>35</v>
      </c>
      <c r="Z43" s="60" t="s">
        <v>35</v>
      </c>
      <c r="AA43" s="58" t="s">
        <v>35</v>
      </c>
      <c r="AB43" s="59" t="s">
        <v>35</v>
      </c>
      <c r="AC43" s="60" t="s">
        <v>35</v>
      </c>
      <c r="AD43" s="60" t="s">
        <v>35</v>
      </c>
      <c r="AE43" s="58" t="s">
        <v>35</v>
      </c>
      <c r="AF43" s="59" t="s">
        <v>35</v>
      </c>
      <c r="AG43" s="60" t="s">
        <v>35</v>
      </c>
      <c r="AH43" s="60" t="s">
        <v>35</v>
      </c>
      <c r="AI43" s="58" t="s">
        <v>35</v>
      </c>
      <c r="AJ43" s="59" t="s">
        <v>35</v>
      </c>
      <c r="AK43" s="60" t="s">
        <v>35</v>
      </c>
      <c r="AL43" s="58" t="s">
        <v>35</v>
      </c>
      <c r="AM43" s="59" t="s">
        <v>35</v>
      </c>
      <c r="AN43" s="60" t="s">
        <v>35</v>
      </c>
      <c r="AO43" s="58" t="s">
        <v>35</v>
      </c>
      <c r="AP43" s="33" t="s">
        <v>35</v>
      </c>
      <c r="AQ43" s="33" t="s">
        <v>35</v>
      </c>
      <c r="AR43" s="32" t="s">
        <v>35</v>
      </c>
    </row>
    <row r="44" spans="1:44" ht="18" customHeight="1">
      <c r="A44" s="31" t="s">
        <v>35</v>
      </c>
      <c r="B44" s="42">
        <v>41</v>
      </c>
      <c r="C44" s="88" t="s">
        <v>204</v>
      </c>
      <c r="D44" s="91"/>
      <c r="E44" s="99" t="s">
        <v>194</v>
      </c>
      <c r="F44" s="99" t="s">
        <v>194</v>
      </c>
      <c r="G44" s="99" t="s">
        <v>166</v>
      </c>
      <c r="H44" s="33" t="s">
        <v>35</v>
      </c>
      <c r="I44" s="33" t="s">
        <v>35</v>
      </c>
      <c r="J44" s="33" t="s">
        <v>35</v>
      </c>
      <c r="K44" s="33" t="s">
        <v>35</v>
      </c>
      <c r="L44" s="59" t="s">
        <v>35</v>
      </c>
      <c r="M44" s="60" t="s">
        <v>35</v>
      </c>
      <c r="N44" s="60" t="s">
        <v>35</v>
      </c>
      <c r="O44" s="58" t="s">
        <v>35</v>
      </c>
      <c r="P44" s="59" t="s">
        <v>35</v>
      </c>
      <c r="Q44" s="60" t="s">
        <v>35</v>
      </c>
      <c r="R44" s="60" t="s">
        <v>35</v>
      </c>
      <c r="S44" s="58" t="s">
        <v>35</v>
      </c>
      <c r="T44" s="59" t="s">
        <v>35</v>
      </c>
      <c r="U44" s="60" t="s">
        <v>35</v>
      </c>
      <c r="V44" s="60" t="s">
        <v>35</v>
      </c>
      <c r="W44" s="58" t="s">
        <v>35</v>
      </c>
      <c r="X44" s="59" t="s">
        <v>35</v>
      </c>
      <c r="Y44" s="60" t="s">
        <v>35</v>
      </c>
      <c r="Z44" s="60" t="s">
        <v>35</v>
      </c>
      <c r="AA44" s="58" t="s">
        <v>35</v>
      </c>
      <c r="AB44" s="59" t="s">
        <v>35</v>
      </c>
      <c r="AC44" s="60" t="s">
        <v>35</v>
      </c>
      <c r="AD44" s="60" t="s">
        <v>35</v>
      </c>
      <c r="AE44" s="58" t="s">
        <v>35</v>
      </c>
      <c r="AF44" s="59" t="s">
        <v>35</v>
      </c>
      <c r="AG44" s="60" t="s">
        <v>35</v>
      </c>
      <c r="AH44" s="60" t="s">
        <v>35</v>
      </c>
      <c r="AI44" s="58" t="s">
        <v>35</v>
      </c>
      <c r="AJ44" s="59" t="s">
        <v>35</v>
      </c>
      <c r="AK44" s="60" t="s">
        <v>35</v>
      </c>
      <c r="AL44" s="58" t="s">
        <v>35</v>
      </c>
      <c r="AM44" s="59" t="s">
        <v>35</v>
      </c>
      <c r="AN44" s="60" t="s">
        <v>35</v>
      </c>
      <c r="AO44" s="58" t="s">
        <v>35</v>
      </c>
      <c r="AP44" s="33" t="s">
        <v>35</v>
      </c>
      <c r="AQ44" s="33" t="s">
        <v>35</v>
      </c>
      <c r="AR44" s="32" t="s">
        <v>35</v>
      </c>
    </row>
    <row r="45" spans="1:44" ht="18" customHeight="1">
      <c r="A45" s="31" t="s">
        <v>35</v>
      </c>
      <c r="B45" s="42">
        <v>42</v>
      </c>
      <c r="C45" s="89" t="s">
        <v>204</v>
      </c>
      <c r="D45" s="90"/>
      <c r="E45" s="99" t="s">
        <v>195</v>
      </c>
      <c r="F45" s="99" t="s">
        <v>195</v>
      </c>
      <c r="G45" s="99" t="s">
        <v>166</v>
      </c>
      <c r="H45" s="33" t="s">
        <v>35</v>
      </c>
      <c r="I45" s="33" t="s">
        <v>35</v>
      </c>
      <c r="J45" s="33" t="s">
        <v>35</v>
      </c>
      <c r="K45" s="33" t="s">
        <v>35</v>
      </c>
      <c r="L45" s="59" t="s">
        <v>35</v>
      </c>
      <c r="M45" s="60" t="s">
        <v>35</v>
      </c>
      <c r="N45" s="60" t="s">
        <v>35</v>
      </c>
      <c r="O45" s="58" t="s">
        <v>35</v>
      </c>
      <c r="P45" s="59" t="s">
        <v>35</v>
      </c>
      <c r="Q45" s="60" t="s">
        <v>35</v>
      </c>
      <c r="R45" s="60" t="s">
        <v>35</v>
      </c>
      <c r="S45" s="58" t="s">
        <v>35</v>
      </c>
      <c r="T45" s="59" t="s">
        <v>35</v>
      </c>
      <c r="U45" s="60" t="s">
        <v>35</v>
      </c>
      <c r="V45" s="60" t="s">
        <v>35</v>
      </c>
      <c r="W45" s="58" t="s">
        <v>35</v>
      </c>
      <c r="X45" s="59" t="s">
        <v>35</v>
      </c>
      <c r="Y45" s="60" t="s">
        <v>35</v>
      </c>
      <c r="Z45" s="60" t="s">
        <v>35</v>
      </c>
      <c r="AA45" s="58" t="s">
        <v>35</v>
      </c>
      <c r="AB45" s="59" t="s">
        <v>35</v>
      </c>
      <c r="AC45" s="60" t="s">
        <v>35</v>
      </c>
      <c r="AD45" s="60" t="s">
        <v>35</v>
      </c>
      <c r="AE45" s="58" t="s">
        <v>35</v>
      </c>
      <c r="AF45" s="59" t="s">
        <v>35</v>
      </c>
      <c r="AG45" s="60" t="s">
        <v>35</v>
      </c>
      <c r="AH45" s="60" t="s">
        <v>35</v>
      </c>
      <c r="AI45" s="58" t="s">
        <v>35</v>
      </c>
      <c r="AJ45" s="59" t="s">
        <v>35</v>
      </c>
      <c r="AK45" s="60" t="s">
        <v>35</v>
      </c>
      <c r="AL45" s="58" t="s">
        <v>35</v>
      </c>
      <c r="AM45" s="59" t="s">
        <v>35</v>
      </c>
      <c r="AN45" s="60" t="s">
        <v>35</v>
      </c>
      <c r="AO45" s="58" t="s">
        <v>35</v>
      </c>
      <c r="AP45" s="33" t="s">
        <v>35</v>
      </c>
      <c r="AQ45" s="33" t="s">
        <v>35</v>
      </c>
      <c r="AR45" s="32" t="s">
        <v>35</v>
      </c>
    </row>
    <row r="46" spans="1:44" ht="18" customHeight="1">
      <c r="A46" s="31" t="s">
        <v>35</v>
      </c>
      <c r="B46" s="42">
        <v>43</v>
      </c>
      <c r="C46" s="91" t="s">
        <v>253</v>
      </c>
      <c r="D46" s="91" t="s">
        <v>253</v>
      </c>
      <c r="E46" s="99" t="s">
        <v>42</v>
      </c>
      <c r="F46" s="99" t="s">
        <v>42</v>
      </c>
      <c r="G46" s="99" t="s">
        <v>196</v>
      </c>
      <c r="H46" s="33" t="s">
        <v>35</v>
      </c>
      <c r="I46" s="33" t="s">
        <v>35</v>
      </c>
      <c r="J46" s="33" t="s">
        <v>35</v>
      </c>
      <c r="K46" s="33" t="s">
        <v>35</v>
      </c>
      <c r="L46" s="59" t="s">
        <v>35</v>
      </c>
      <c r="M46" s="60" t="s">
        <v>35</v>
      </c>
      <c r="N46" s="60" t="s">
        <v>35</v>
      </c>
      <c r="O46" s="58" t="s">
        <v>35</v>
      </c>
      <c r="P46" s="59" t="s">
        <v>35</v>
      </c>
      <c r="Q46" s="60" t="s">
        <v>35</v>
      </c>
      <c r="R46" s="60" t="s">
        <v>35</v>
      </c>
      <c r="S46" s="58" t="s">
        <v>35</v>
      </c>
      <c r="T46" s="59" t="s">
        <v>35</v>
      </c>
      <c r="U46" s="60" t="s">
        <v>35</v>
      </c>
      <c r="V46" s="60" t="s">
        <v>35</v>
      </c>
      <c r="W46" s="58" t="s">
        <v>35</v>
      </c>
      <c r="X46" s="59" t="s">
        <v>35</v>
      </c>
      <c r="Y46" s="60" t="s">
        <v>35</v>
      </c>
      <c r="Z46" s="60" t="s">
        <v>35</v>
      </c>
      <c r="AA46" s="58" t="s">
        <v>35</v>
      </c>
      <c r="AB46" s="59" t="s">
        <v>35</v>
      </c>
      <c r="AC46" s="60" t="s">
        <v>35</v>
      </c>
      <c r="AD46" s="60" t="s">
        <v>35</v>
      </c>
      <c r="AE46" s="58" t="s">
        <v>35</v>
      </c>
      <c r="AF46" s="59" t="s">
        <v>35</v>
      </c>
      <c r="AG46" s="60" t="s">
        <v>35</v>
      </c>
      <c r="AH46" s="60" t="s">
        <v>35</v>
      </c>
      <c r="AI46" s="58" t="s">
        <v>35</v>
      </c>
      <c r="AJ46" s="59" t="s">
        <v>35</v>
      </c>
      <c r="AK46" s="60" t="s">
        <v>35</v>
      </c>
      <c r="AL46" s="58" t="s">
        <v>35</v>
      </c>
      <c r="AM46" s="59" t="s">
        <v>35</v>
      </c>
      <c r="AN46" s="60" t="s">
        <v>35</v>
      </c>
      <c r="AO46" s="58" t="s">
        <v>35</v>
      </c>
      <c r="AP46" s="33" t="s">
        <v>35</v>
      </c>
      <c r="AQ46" s="33" t="s">
        <v>35</v>
      </c>
      <c r="AR46" s="32" t="s">
        <v>35</v>
      </c>
    </row>
    <row r="47" spans="1:44" ht="18" customHeight="1">
      <c r="A47" s="31" t="s">
        <v>35</v>
      </c>
      <c r="B47" s="42">
        <v>44</v>
      </c>
      <c r="C47" s="86" t="s">
        <v>253</v>
      </c>
      <c r="D47" s="86"/>
      <c r="E47" s="99" t="s">
        <v>43</v>
      </c>
      <c r="F47" s="99" t="s">
        <v>43</v>
      </c>
      <c r="G47" s="99" t="s">
        <v>196</v>
      </c>
      <c r="H47" s="33" t="s">
        <v>35</v>
      </c>
      <c r="I47" s="33" t="s">
        <v>35</v>
      </c>
      <c r="J47" s="33" t="s">
        <v>35</v>
      </c>
      <c r="K47" s="33" t="s">
        <v>35</v>
      </c>
      <c r="L47" s="59" t="s">
        <v>35</v>
      </c>
      <c r="M47" s="60" t="s">
        <v>35</v>
      </c>
      <c r="N47" s="60" t="s">
        <v>35</v>
      </c>
      <c r="O47" s="58" t="s">
        <v>35</v>
      </c>
      <c r="P47" s="59" t="s">
        <v>35</v>
      </c>
      <c r="Q47" s="60" t="s">
        <v>35</v>
      </c>
      <c r="R47" s="60" t="s">
        <v>35</v>
      </c>
      <c r="S47" s="58" t="s">
        <v>35</v>
      </c>
      <c r="T47" s="59" t="s">
        <v>35</v>
      </c>
      <c r="U47" s="60" t="s">
        <v>35</v>
      </c>
      <c r="V47" s="60" t="s">
        <v>35</v>
      </c>
      <c r="W47" s="58" t="s">
        <v>35</v>
      </c>
      <c r="X47" s="59" t="s">
        <v>35</v>
      </c>
      <c r="Y47" s="60" t="s">
        <v>35</v>
      </c>
      <c r="Z47" s="60" t="s">
        <v>35</v>
      </c>
      <c r="AA47" s="58" t="s">
        <v>35</v>
      </c>
      <c r="AB47" s="59" t="s">
        <v>35</v>
      </c>
      <c r="AC47" s="60" t="s">
        <v>35</v>
      </c>
      <c r="AD47" s="60" t="s">
        <v>35</v>
      </c>
      <c r="AE47" s="58" t="s">
        <v>35</v>
      </c>
      <c r="AF47" s="59" t="s">
        <v>35</v>
      </c>
      <c r="AG47" s="60" t="s">
        <v>35</v>
      </c>
      <c r="AH47" s="60" t="s">
        <v>35</v>
      </c>
      <c r="AI47" s="58" t="s">
        <v>35</v>
      </c>
      <c r="AJ47" s="59" t="s">
        <v>35</v>
      </c>
      <c r="AK47" s="60" t="s">
        <v>35</v>
      </c>
      <c r="AL47" s="58" t="s">
        <v>35</v>
      </c>
      <c r="AM47" s="59" t="s">
        <v>35</v>
      </c>
      <c r="AN47" s="60" t="s">
        <v>35</v>
      </c>
      <c r="AO47" s="58" t="s">
        <v>35</v>
      </c>
      <c r="AP47" s="33" t="s">
        <v>35</v>
      </c>
      <c r="AQ47" s="33" t="s">
        <v>35</v>
      </c>
      <c r="AR47" s="32" t="s">
        <v>35</v>
      </c>
    </row>
    <row r="48" spans="1:44" ht="18" customHeight="1">
      <c r="A48" s="31" t="s">
        <v>35</v>
      </c>
      <c r="B48" s="42">
        <v>45</v>
      </c>
      <c r="C48" s="86" t="s">
        <v>253</v>
      </c>
      <c r="D48" s="86"/>
      <c r="E48" s="99" t="s">
        <v>44</v>
      </c>
      <c r="F48" s="99" t="s">
        <v>44</v>
      </c>
      <c r="G48" s="99" t="s">
        <v>196</v>
      </c>
      <c r="H48" s="33" t="s">
        <v>35</v>
      </c>
      <c r="I48" s="33" t="s">
        <v>35</v>
      </c>
      <c r="J48" s="33" t="s">
        <v>35</v>
      </c>
      <c r="K48" s="33" t="s">
        <v>35</v>
      </c>
      <c r="L48" s="59" t="s">
        <v>35</v>
      </c>
      <c r="M48" s="60" t="s">
        <v>35</v>
      </c>
      <c r="N48" s="60" t="s">
        <v>35</v>
      </c>
      <c r="O48" s="58" t="s">
        <v>35</v>
      </c>
      <c r="P48" s="59" t="s">
        <v>35</v>
      </c>
      <c r="Q48" s="60" t="s">
        <v>35</v>
      </c>
      <c r="R48" s="60" t="s">
        <v>35</v>
      </c>
      <c r="S48" s="58" t="s">
        <v>35</v>
      </c>
      <c r="T48" s="59" t="s">
        <v>35</v>
      </c>
      <c r="U48" s="60" t="s">
        <v>35</v>
      </c>
      <c r="V48" s="60" t="s">
        <v>35</v>
      </c>
      <c r="W48" s="58" t="s">
        <v>35</v>
      </c>
      <c r="X48" s="59" t="s">
        <v>35</v>
      </c>
      <c r="Y48" s="60" t="s">
        <v>35</v>
      </c>
      <c r="Z48" s="60" t="s">
        <v>35</v>
      </c>
      <c r="AA48" s="58" t="s">
        <v>35</v>
      </c>
      <c r="AB48" s="59" t="s">
        <v>35</v>
      </c>
      <c r="AC48" s="60" t="s">
        <v>35</v>
      </c>
      <c r="AD48" s="60" t="s">
        <v>35</v>
      </c>
      <c r="AE48" s="58" t="s">
        <v>35</v>
      </c>
      <c r="AF48" s="59" t="s">
        <v>35</v>
      </c>
      <c r="AG48" s="60" t="s">
        <v>35</v>
      </c>
      <c r="AH48" s="60" t="s">
        <v>35</v>
      </c>
      <c r="AI48" s="58" t="s">
        <v>35</v>
      </c>
      <c r="AJ48" s="59" t="s">
        <v>35</v>
      </c>
      <c r="AK48" s="60" t="s">
        <v>35</v>
      </c>
      <c r="AL48" s="58" t="s">
        <v>35</v>
      </c>
      <c r="AM48" s="59" t="s">
        <v>35</v>
      </c>
      <c r="AN48" s="60" t="s">
        <v>35</v>
      </c>
      <c r="AO48" s="58" t="s">
        <v>35</v>
      </c>
      <c r="AP48" s="33" t="s">
        <v>35</v>
      </c>
      <c r="AQ48" s="33" t="s">
        <v>35</v>
      </c>
      <c r="AR48" s="32" t="s">
        <v>35</v>
      </c>
    </row>
    <row r="49" spans="1:44" ht="18" customHeight="1">
      <c r="A49" s="31" t="s">
        <v>35</v>
      </c>
      <c r="B49" s="42">
        <v>46</v>
      </c>
      <c r="C49" s="86" t="s">
        <v>253</v>
      </c>
      <c r="D49" s="86"/>
      <c r="E49" s="99" t="s">
        <v>45</v>
      </c>
      <c r="F49" s="99" t="s">
        <v>45</v>
      </c>
      <c r="G49" s="99" t="s">
        <v>196</v>
      </c>
      <c r="H49" s="33" t="s">
        <v>35</v>
      </c>
      <c r="I49" s="33" t="s">
        <v>35</v>
      </c>
      <c r="J49" s="33" t="s">
        <v>35</v>
      </c>
      <c r="K49" s="33" t="s">
        <v>35</v>
      </c>
      <c r="L49" s="59" t="s">
        <v>35</v>
      </c>
      <c r="M49" s="60" t="s">
        <v>35</v>
      </c>
      <c r="N49" s="60" t="s">
        <v>35</v>
      </c>
      <c r="O49" s="58" t="s">
        <v>35</v>
      </c>
      <c r="P49" s="59" t="s">
        <v>35</v>
      </c>
      <c r="Q49" s="60" t="s">
        <v>35</v>
      </c>
      <c r="R49" s="60" t="s">
        <v>35</v>
      </c>
      <c r="S49" s="58" t="s">
        <v>35</v>
      </c>
      <c r="T49" s="59" t="s">
        <v>35</v>
      </c>
      <c r="U49" s="60" t="s">
        <v>35</v>
      </c>
      <c r="V49" s="60" t="s">
        <v>35</v>
      </c>
      <c r="W49" s="58" t="s">
        <v>35</v>
      </c>
      <c r="X49" s="59" t="s">
        <v>35</v>
      </c>
      <c r="Y49" s="60" t="s">
        <v>35</v>
      </c>
      <c r="Z49" s="60" t="s">
        <v>35</v>
      </c>
      <c r="AA49" s="58" t="s">
        <v>35</v>
      </c>
      <c r="AB49" s="59" t="s">
        <v>35</v>
      </c>
      <c r="AC49" s="60" t="s">
        <v>35</v>
      </c>
      <c r="AD49" s="60" t="s">
        <v>35</v>
      </c>
      <c r="AE49" s="58" t="s">
        <v>35</v>
      </c>
      <c r="AF49" s="59" t="s">
        <v>35</v>
      </c>
      <c r="AG49" s="60" t="s">
        <v>35</v>
      </c>
      <c r="AH49" s="60" t="s">
        <v>35</v>
      </c>
      <c r="AI49" s="58" t="s">
        <v>35</v>
      </c>
      <c r="AJ49" s="59" t="s">
        <v>35</v>
      </c>
      <c r="AK49" s="60" t="s">
        <v>35</v>
      </c>
      <c r="AL49" s="58" t="s">
        <v>35</v>
      </c>
      <c r="AM49" s="59" t="s">
        <v>35</v>
      </c>
      <c r="AN49" s="60" t="s">
        <v>35</v>
      </c>
      <c r="AO49" s="58" t="s">
        <v>35</v>
      </c>
      <c r="AP49" s="33" t="s">
        <v>35</v>
      </c>
      <c r="AQ49" s="33" t="s">
        <v>35</v>
      </c>
      <c r="AR49" s="32" t="s">
        <v>35</v>
      </c>
    </row>
    <row r="50" spans="1:44" ht="18" customHeight="1">
      <c r="A50" s="31" t="s">
        <v>35</v>
      </c>
      <c r="B50" s="42">
        <v>47</v>
      </c>
      <c r="C50" s="96" t="s">
        <v>253</v>
      </c>
      <c r="D50" s="96"/>
      <c r="E50" s="99" t="s">
        <v>197</v>
      </c>
      <c r="F50" s="99" t="s">
        <v>197</v>
      </c>
      <c r="G50" s="99" t="s">
        <v>196</v>
      </c>
      <c r="H50" s="33" t="s">
        <v>35</v>
      </c>
      <c r="I50" s="33" t="s">
        <v>35</v>
      </c>
      <c r="J50" s="33" t="s">
        <v>35</v>
      </c>
      <c r="K50" s="33" t="s">
        <v>35</v>
      </c>
      <c r="L50" s="59" t="s">
        <v>35</v>
      </c>
      <c r="M50" s="60" t="s">
        <v>35</v>
      </c>
      <c r="N50" s="60" t="s">
        <v>35</v>
      </c>
      <c r="O50" s="58" t="s">
        <v>35</v>
      </c>
      <c r="P50" s="59" t="s">
        <v>35</v>
      </c>
      <c r="Q50" s="60" t="s">
        <v>35</v>
      </c>
      <c r="R50" s="60" t="s">
        <v>35</v>
      </c>
      <c r="S50" s="58" t="s">
        <v>35</v>
      </c>
      <c r="T50" s="59" t="s">
        <v>35</v>
      </c>
      <c r="U50" s="60" t="s">
        <v>35</v>
      </c>
      <c r="V50" s="60" t="s">
        <v>35</v>
      </c>
      <c r="W50" s="58" t="s">
        <v>35</v>
      </c>
      <c r="X50" s="59" t="s">
        <v>35</v>
      </c>
      <c r="Y50" s="60" t="s">
        <v>35</v>
      </c>
      <c r="Z50" s="60" t="s">
        <v>35</v>
      </c>
      <c r="AA50" s="58" t="s">
        <v>35</v>
      </c>
      <c r="AB50" s="59" t="s">
        <v>35</v>
      </c>
      <c r="AC50" s="60" t="s">
        <v>35</v>
      </c>
      <c r="AD50" s="60" t="s">
        <v>35</v>
      </c>
      <c r="AE50" s="58" t="s">
        <v>35</v>
      </c>
      <c r="AF50" s="59" t="s">
        <v>35</v>
      </c>
      <c r="AG50" s="60" t="s">
        <v>35</v>
      </c>
      <c r="AH50" s="60" t="s">
        <v>35</v>
      </c>
      <c r="AI50" s="58" t="s">
        <v>35</v>
      </c>
      <c r="AJ50" s="59" t="s">
        <v>35</v>
      </c>
      <c r="AK50" s="60" t="s">
        <v>35</v>
      </c>
      <c r="AL50" s="58" t="s">
        <v>35</v>
      </c>
      <c r="AM50" s="59" t="s">
        <v>35</v>
      </c>
      <c r="AN50" s="60" t="s">
        <v>35</v>
      </c>
      <c r="AO50" s="58" t="s">
        <v>35</v>
      </c>
      <c r="AP50" s="33" t="s">
        <v>35</v>
      </c>
      <c r="AQ50" s="33" t="s">
        <v>35</v>
      </c>
      <c r="AR50" s="32" t="s">
        <v>35</v>
      </c>
    </row>
    <row r="51" spans="1:44">
      <c r="A51" s="31" t="s">
        <v>35</v>
      </c>
      <c r="B51" s="42">
        <v>48</v>
      </c>
      <c r="C51" s="85" t="s">
        <v>209</v>
      </c>
      <c r="D51" s="94" t="s">
        <v>198</v>
      </c>
      <c r="E51" s="99" t="s">
        <v>37</v>
      </c>
      <c r="F51" s="99" t="s">
        <v>37</v>
      </c>
      <c r="G51" s="99" t="s">
        <v>200</v>
      </c>
      <c r="H51" s="33" t="s">
        <v>35</v>
      </c>
      <c r="I51" s="33" t="s">
        <v>35</v>
      </c>
      <c r="J51" s="33" t="s">
        <v>35</v>
      </c>
      <c r="K51" s="33" t="s">
        <v>35</v>
      </c>
      <c r="L51" s="59" t="s">
        <v>35</v>
      </c>
      <c r="M51" s="60" t="s">
        <v>35</v>
      </c>
      <c r="N51" s="60" t="s">
        <v>35</v>
      </c>
      <c r="O51" s="58" t="s">
        <v>35</v>
      </c>
      <c r="P51" s="59" t="s">
        <v>35</v>
      </c>
      <c r="Q51" s="60" t="s">
        <v>35</v>
      </c>
      <c r="R51" s="60" t="s">
        <v>35</v>
      </c>
      <c r="S51" s="58" t="s">
        <v>35</v>
      </c>
      <c r="T51" s="59" t="s">
        <v>35</v>
      </c>
      <c r="U51" s="60" t="s">
        <v>35</v>
      </c>
      <c r="V51" s="60" t="s">
        <v>35</v>
      </c>
      <c r="W51" s="58" t="s">
        <v>35</v>
      </c>
      <c r="X51" s="59" t="s">
        <v>35</v>
      </c>
      <c r="Y51" s="60" t="s">
        <v>35</v>
      </c>
      <c r="Z51" s="60" t="s">
        <v>35</v>
      </c>
      <c r="AA51" s="58" t="s">
        <v>35</v>
      </c>
      <c r="AB51" s="59" t="s">
        <v>35</v>
      </c>
      <c r="AC51" s="60" t="s">
        <v>35</v>
      </c>
      <c r="AD51" s="60" t="s">
        <v>35</v>
      </c>
      <c r="AE51" s="58" t="s">
        <v>35</v>
      </c>
      <c r="AF51" s="59" t="s">
        <v>35</v>
      </c>
      <c r="AG51" s="60" t="s">
        <v>35</v>
      </c>
      <c r="AH51" s="60" t="s">
        <v>35</v>
      </c>
      <c r="AI51" s="58" t="s">
        <v>35</v>
      </c>
      <c r="AJ51" s="59" t="s">
        <v>35</v>
      </c>
      <c r="AK51" s="60" t="s">
        <v>35</v>
      </c>
      <c r="AL51" s="58" t="s">
        <v>35</v>
      </c>
      <c r="AM51" s="59" t="s">
        <v>35</v>
      </c>
      <c r="AN51" s="60" t="s">
        <v>35</v>
      </c>
      <c r="AO51" s="58" t="s">
        <v>35</v>
      </c>
      <c r="AP51" s="33" t="s">
        <v>35</v>
      </c>
      <c r="AQ51" s="33" t="s">
        <v>35</v>
      </c>
      <c r="AR51" s="32" t="s">
        <v>35</v>
      </c>
    </row>
    <row r="52" spans="1:44">
      <c r="A52" s="31" t="s">
        <v>35</v>
      </c>
      <c r="B52" s="42">
        <v>49</v>
      </c>
      <c r="C52" s="86" t="s">
        <v>264</v>
      </c>
      <c r="D52" s="86"/>
      <c r="E52" s="99" t="s">
        <v>199</v>
      </c>
      <c r="F52" s="99" t="s">
        <v>199</v>
      </c>
      <c r="G52" s="99" t="s">
        <v>200</v>
      </c>
      <c r="H52" s="33" t="s">
        <v>35</v>
      </c>
      <c r="I52" s="33" t="s">
        <v>35</v>
      </c>
      <c r="J52" s="33" t="s">
        <v>35</v>
      </c>
      <c r="K52" s="33" t="s">
        <v>35</v>
      </c>
      <c r="L52" s="59" t="s">
        <v>35</v>
      </c>
      <c r="M52" s="60" t="s">
        <v>35</v>
      </c>
      <c r="N52" s="60" t="s">
        <v>35</v>
      </c>
      <c r="O52" s="58" t="s">
        <v>35</v>
      </c>
      <c r="P52" s="59" t="s">
        <v>35</v>
      </c>
      <c r="Q52" s="60" t="s">
        <v>35</v>
      </c>
      <c r="R52" s="60" t="s">
        <v>35</v>
      </c>
      <c r="S52" s="58" t="s">
        <v>35</v>
      </c>
      <c r="T52" s="59" t="s">
        <v>35</v>
      </c>
      <c r="U52" s="60" t="s">
        <v>35</v>
      </c>
      <c r="V52" s="60" t="s">
        <v>35</v>
      </c>
      <c r="W52" s="58" t="s">
        <v>35</v>
      </c>
      <c r="X52" s="59" t="s">
        <v>35</v>
      </c>
      <c r="Y52" s="60" t="s">
        <v>35</v>
      </c>
      <c r="Z52" s="60" t="s">
        <v>35</v>
      </c>
      <c r="AA52" s="58" t="s">
        <v>35</v>
      </c>
      <c r="AB52" s="59" t="s">
        <v>35</v>
      </c>
      <c r="AC52" s="60" t="s">
        <v>35</v>
      </c>
      <c r="AD52" s="60" t="s">
        <v>35</v>
      </c>
      <c r="AE52" s="58" t="s">
        <v>35</v>
      </c>
      <c r="AF52" s="59" t="s">
        <v>35</v>
      </c>
      <c r="AG52" s="60" t="s">
        <v>35</v>
      </c>
      <c r="AH52" s="60" t="s">
        <v>35</v>
      </c>
      <c r="AI52" s="58" t="s">
        <v>35</v>
      </c>
      <c r="AJ52" s="59" t="s">
        <v>35</v>
      </c>
      <c r="AK52" s="60" t="s">
        <v>35</v>
      </c>
      <c r="AL52" s="58" t="s">
        <v>35</v>
      </c>
      <c r="AM52" s="59" t="s">
        <v>35</v>
      </c>
      <c r="AN52" s="60" t="s">
        <v>35</v>
      </c>
      <c r="AO52" s="58" t="s">
        <v>35</v>
      </c>
      <c r="AP52" s="33" t="s">
        <v>35</v>
      </c>
      <c r="AQ52" s="33" t="s">
        <v>35</v>
      </c>
      <c r="AR52" s="32" t="s">
        <v>35</v>
      </c>
    </row>
    <row r="53" spans="1:44">
      <c r="A53" s="31" t="s">
        <v>35</v>
      </c>
      <c r="B53" s="42">
        <v>50</v>
      </c>
      <c r="C53" s="86" t="s">
        <v>264</v>
      </c>
      <c r="D53" s="86"/>
      <c r="E53" s="99" t="s">
        <v>254</v>
      </c>
      <c r="F53" s="99" t="s">
        <v>254</v>
      </c>
      <c r="G53" s="99" t="s">
        <v>200</v>
      </c>
      <c r="H53" s="33" t="s">
        <v>35</v>
      </c>
      <c r="I53" s="33" t="s">
        <v>35</v>
      </c>
      <c r="J53" s="33" t="s">
        <v>35</v>
      </c>
      <c r="K53" s="33" t="s">
        <v>35</v>
      </c>
      <c r="L53" s="59" t="s">
        <v>35</v>
      </c>
      <c r="M53" s="60" t="s">
        <v>35</v>
      </c>
      <c r="N53" s="60" t="s">
        <v>35</v>
      </c>
      <c r="O53" s="58" t="s">
        <v>35</v>
      </c>
      <c r="P53" s="59" t="s">
        <v>35</v>
      </c>
      <c r="Q53" s="60" t="s">
        <v>35</v>
      </c>
      <c r="R53" s="60" t="s">
        <v>35</v>
      </c>
      <c r="S53" s="58" t="s">
        <v>35</v>
      </c>
      <c r="T53" s="59" t="s">
        <v>35</v>
      </c>
      <c r="U53" s="60" t="s">
        <v>35</v>
      </c>
      <c r="V53" s="60" t="s">
        <v>35</v>
      </c>
      <c r="W53" s="58" t="s">
        <v>35</v>
      </c>
      <c r="X53" s="59" t="s">
        <v>35</v>
      </c>
      <c r="Y53" s="60" t="s">
        <v>35</v>
      </c>
      <c r="Z53" s="60" t="s">
        <v>35</v>
      </c>
      <c r="AA53" s="58" t="s">
        <v>35</v>
      </c>
      <c r="AB53" s="59" t="s">
        <v>35</v>
      </c>
      <c r="AC53" s="60" t="s">
        <v>35</v>
      </c>
      <c r="AD53" s="60" t="s">
        <v>35</v>
      </c>
      <c r="AE53" s="58" t="s">
        <v>35</v>
      </c>
      <c r="AF53" s="59" t="s">
        <v>35</v>
      </c>
      <c r="AG53" s="60" t="s">
        <v>35</v>
      </c>
      <c r="AH53" s="60" t="s">
        <v>35</v>
      </c>
      <c r="AI53" s="58" t="s">
        <v>35</v>
      </c>
      <c r="AJ53" s="59" t="s">
        <v>35</v>
      </c>
      <c r="AK53" s="60" t="s">
        <v>35</v>
      </c>
      <c r="AL53" s="58" t="s">
        <v>35</v>
      </c>
      <c r="AM53" s="59" t="s">
        <v>35</v>
      </c>
      <c r="AN53" s="60" t="s">
        <v>35</v>
      </c>
      <c r="AO53" s="58" t="s">
        <v>35</v>
      </c>
      <c r="AP53" s="33" t="s">
        <v>35</v>
      </c>
      <c r="AQ53" s="33" t="s">
        <v>35</v>
      </c>
      <c r="AR53" s="32" t="s">
        <v>35</v>
      </c>
    </row>
    <row r="54" spans="1:44">
      <c r="A54" s="31" t="s">
        <v>35</v>
      </c>
      <c r="B54" s="42">
        <v>51</v>
      </c>
      <c r="C54" s="86" t="s">
        <v>264</v>
      </c>
      <c r="D54" s="86"/>
      <c r="E54" s="99" t="s">
        <v>255</v>
      </c>
      <c r="F54" s="99" t="s">
        <v>255</v>
      </c>
      <c r="G54" s="99" t="s">
        <v>200</v>
      </c>
      <c r="H54" s="33" t="s">
        <v>35</v>
      </c>
      <c r="I54" s="33" t="s">
        <v>35</v>
      </c>
      <c r="J54" s="33" t="s">
        <v>35</v>
      </c>
      <c r="K54" s="33" t="s">
        <v>35</v>
      </c>
      <c r="L54" s="59" t="s">
        <v>35</v>
      </c>
      <c r="M54" s="60" t="s">
        <v>35</v>
      </c>
      <c r="N54" s="60" t="s">
        <v>35</v>
      </c>
      <c r="O54" s="58" t="s">
        <v>208</v>
      </c>
      <c r="P54" s="59" t="s">
        <v>35</v>
      </c>
      <c r="Q54" s="60" t="s">
        <v>35</v>
      </c>
      <c r="R54" s="60" t="s">
        <v>35</v>
      </c>
      <c r="S54" s="58" t="s">
        <v>35</v>
      </c>
      <c r="T54" s="59" t="s">
        <v>35</v>
      </c>
      <c r="U54" s="60" t="s">
        <v>35</v>
      </c>
      <c r="V54" s="60" t="s">
        <v>35</v>
      </c>
      <c r="W54" s="58" t="s">
        <v>35</v>
      </c>
      <c r="X54" s="59" t="s">
        <v>35</v>
      </c>
      <c r="Y54" s="60" t="s">
        <v>35</v>
      </c>
      <c r="Z54" s="60" t="s">
        <v>35</v>
      </c>
      <c r="AA54" s="58" t="s">
        <v>35</v>
      </c>
      <c r="AB54" s="59" t="s">
        <v>35</v>
      </c>
      <c r="AC54" s="60" t="s">
        <v>35</v>
      </c>
      <c r="AD54" s="60" t="s">
        <v>35</v>
      </c>
      <c r="AE54" s="58" t="s">
        <v>35</v>
      </c>
      <c r="AF54" s="59" t="s">
        <v>35</v>
      </c>
      <c r="AG54" s="60" t="s">
        <v>35</v>
      </c>
      <c r="AH54" s="60" t="s">
        <v>35</v>
      </c>
      <c r="AI54" s="58" t="s">
        <v>35</v>
      </c>
      <c r="AJ54" s="59" t="s">
        <v>35</v>
      </c>
      <c r="AK54" s="60" t="s">
        <v>35</v>
      </c>
      <c r="AL54" s="58" t="s">
        <v>35</v>
      </c>
      <c r="AM54" s="59" t="s">
        <v>35</v>
      </c>
      <c r="AN54" s="60" t="s">
        <v>35</v>
      </c>
      <c r="AO54" s="58" t="s">
        <v>35</v>
      </c>
      <c r="AP54" s="33" t="s">
        <v>35</v>
      </c>
      <c r="AQ54" s="33" t="s">
        <v>35</v>
      </c>
      <c r="AR54" s="32" t="s">
        <v>35</v>
      </c>
    </row>
    <row r="55" spans="1:44">
      <c r="A55" s="31" t="s">
        <v>35</v>
      </c>
      <c r="B55" s="42">
        <v>52</v>
      </c>
      <c r="C55" s="86" t="s">
        <v>264</v>
      </c>
      <c r="D55" s="86"/>
      <c r="E55" s="99" t="s">
        <v>43</v>
      </c>
      <c r="F55" s="99" t="s">
        <v>43</v>
      </c>
      <c r="G55" s="99" t="s">
        <v>200</v>
      </c>
      <c r="H55" s="33" t="s">
        <v>35</v>
      </c>
      <c r="I55" s="33" t="s">
        <v>35</v>
      </c>
      <c r="J55" s="33" t="s">
        <v>35</v>
      </c>
      <c r="K55" s="33" t="s">
        <v>35</v>
      </c>
      <c r="L55" s="59" t="s">
        <v>35</v>
      </c>
      <c r="M55" s="60" t="s">
        <v>35</v>
      </c>
      <c r="N55" s="60" t="s">
        <v>35</v>
      </c>
      <c r="O55" s="58" t="s">
        <v>35</v>
      </c>
      <c r="P55" s="59" t="s">
        <v>35</v>
      </c>
      <c r="Q55" s="60" t="s">
        <v>35</v>
      </c>
      <c r="R55" s="60" t="s">
        <v>35</v>
      </c>
      <c r="S55" s="58" t="s">
        <v>35</v>
      </c>
      <c r="T55" s="59" t="s">
        <v>35</v>
      </c>
      <c r="U55" s="60" t="s">
        <v>35</v>
      </c>
      <c r="V55" s="60" t="s">
        <v>35</v>
      </c>
      <c r="W55" s="58" t="s">
        <v>35</v>
      </c>
      <c r="X55" s="59" t="s">
        <v>35</v>
      </c>
      <c r="Y55" s="60" t="s">
        <v>35</v>
      </c>
      <c r="Z55" s="60" t="s">
        <v>35</v>
      </c>
      <c r="AA55" s="58" t="s">
        <v>35</v>
      </c>
      <c r="AB55" s="59" t="s">
        <v>35</v>
      </c>
      <c r="AC55" s="60" t="s">
        <v>35</v>
      </c>
      <c r="AD55" s="60" t="s">
        <v>35</v>
      </c>
      <c r="AE55" s="58" t="s">
        <v>35</v>
      </c>
      <c r="AF55" s="59" t="s">
        <v>35</v>
      </c>
      <c r="AG55" s="60" t="s">
        <v>35</v>
      </c>
      <c r="AH55" s="60" t="s">
        <v>35</v>
      </c>
      <c r="AI55" s="58" t="s">
        <v>35</v>
      </c>
      <c r="AJ55" s="59" t="s">
        <v>35</v>
      </c>
      <c r="AK55" s="60" t="s">
        <v>35</v>
      </c>
      <c r="AL55" s="58" t="s">
        <v>35</v>
      </c>
      <c r="AM55" s="59" t="s">
        <v>35</v>
      </c>
      <c r="AN55" s="60" t="s">
        <v>35</v>
      </c>
      <c r="AO55" s="58" t="s">
        <v>35</v>
      </c>
      <c r="AP55" s="33" t="s">
        <v>35</v>
      </c>
      <c r="AQ55" s="33" t="s">
        <v>35</v>
      </c>
      <c r="AR55" s="32" t="s">
        <v>35</v>
      </c>
    </row>
    <row r="56" spans="1:44">
      <c r="A56" s="31" t="s">
        <v>35</v>
      </c>
      <c r="B56" s="42">
        <v>53</v>
      </c>
      <c r="C56" s="86" t="s">
        <v>264</v>
      </c>
      <c r="D56" s="86"/>
      <c r="E56" s="99" t="s">
        <v>44</v>
      </c>
      <c r="F56" s="99" t="s">
        <v>44</v>
      </c>
      <c r="G56" s="99" t="s">
        <v>200</v>
      </c>
      <c r="H56" s="33" t="s">
        <v>35</v>
      </c>
      <c r="I56" s="33" t="s">
        <v>35</v>
      </c>
      <c r="J56" s="33" t="s">
        <v>35</v>
      </c>
      <c r="K56" s="33" t="s">
        <v>35</v>
      </c>
      <c r="L56" s="59" t="s">
        <v>35</v>
      </c>
      <c r="M56" s="60" t="s">
        <v>35</v>
      </c>
      <c r="N56" s="60" t="s">
        <v>35</v>
      </c>
      <c r="O56" s="58" t="s">
        <v>35</v>
      </c>
      <c r="P56" s="59" t="s">
        <v>35</v>
      </c>
      <c r="Q56" s="60" t="s">
        <v>35</v>
      </c>
      <c r="R56" s="60" t="s">
        <v>35</v>
      </c>
      <c r="S56" s="58" t="s">
        <v>35</v>
      </c>
      <c r="T56" s="59" t="s">
        <v>35</v>
      </c>
      <c r="U56" s="60" t="s">
        <v>35</v>
      </c>
      <c r="V56" s="60" t="s">
        <v>35</v>
      </c>
      <c r="W56" s="58" t="s">
        <v>35</v>
      </c>
      <c r="X56" s="59" t="s">
        <v>35</v>
      </c>
      <c r="Y56" s="60" t="s">
        <v>35</v>
      </c>
      <c r="Z56" s="60" t="s">
        <v>35</v>
      </c>
      <c r="AA56" s="58" t="s">
        <v>35</v>
      </c>
      <c r="AB56" s="59" t="s">
        <v>35</v>
      </c>
      <c r="AC56" s="60" t="s">
        <v>35</v>
      </c>
      <c r="AD56" s="60" t="s">
        <v>35</v>
      </c>
      <c r="AE56" s="58" t="s">
        <v>35</v>
      </c>
      <c r="AF56" s="59" t="s">
        <v>35</v>
      </c>
      <c r="AG56" s="60" t="s">
        <v>35</v>
      </c>
      <c r="AH56" s="60" t="s">
        <v>35</v>
      </c>
      <c r="AI56" s="58" t="s">
        <v>35</v>
      </c>
      <c r="AJ56" s="59" t="s">
        <v>35</v>
      </c>
      <c r="AK56" s="60" t="s">
        <v>35</v>
      </c>
      <c r="AL56" s="58" t="s">
        <v>35</v>
      </c>
      <c r="AM56" s="59" t="s">
        <v>35</v>
      </c>
      <c r="AN56" s="60" t="s">
        <v>35</v>
      </c>
      <c r="AO56" s="58" t="s">
        <v>35</v>
      </c>
      <c r="AP56" s="33" t="s">
        <v>35</v>
      </c>
      <c r="AQ56" s="33" t="s">
        <v>35</v>
      </c>
      <c r="AR56" s="32" t="s">
        <v>35</v>
      </c>
    </row>
    <row r="57" spans="1:44">
      <c r="A57" s="31" t="s">
        <v>35</v>
      </c>
      <c r="B57" s="42">
        <v>54</v>
      </c>
      <c r="C57" s="86" t="s">
        <v>264</v>
      </c>
      <c r="D57" s="86"/>
      <c r="E57" s="99" t="s">
        <v>45</v>
      </c>
      <c r="F57" s="99" t="s">
        <v>45</v>
      </c>
      <c r="G57" s="99" t="s">
        <v>200</v>
      </c>
      <c r="H57" s="33" t="s">
        <v>35</v>
      </c>
      <c r="I57" s="33" t="s">
        <v>35</v>
      </c>
      <c r="J57" s="33" t="s">
        <v>35</v>
      </c>
      <c r="K57" s="33" t="s">
        <v>35</v>
      </c>
      <c r="L57" s="59" t="s">
        <v>35</v>
      </c>
      <c r="M57" s="60" t="s">
        <v>35</v>
      </c>
      <c r="N57" s="60" t="s">
        <v>35</v>
      </c>
      <c r="O57" s="58" t="s">
        <v>35</v>
      </c>
      <c r="P57" s="59" t="s">
        <v>35</v>
      </c>
      <c r="Q57" s="60" t="s">
        <v>35</v>
      </c>
      <c r="R57" s="60" t="s">
        <v>35</v>
      </c>
      <c r="S57" s="58" t="s">
        <v>35</v>
      </c>
      <c r="T57" s="59" t="s">
        <v>35</v>
      </c>
      <c r="U57" s="60" t="s">
        <v>35</v>
      </c>
      <c r="V57" s="60" t="s">
        <v>35</v>
      </c>
      <c r="W57" s="58" t="s">
        <v>35</v>
      </c>
      <c r="X57" s="59" t="s">
        <v>35</v>
      </c>
      <c r="Y57" s="60" t="s">
        <v>35</v>
      </c>
      <c r="Z57" s="60" t="s">
        <v>35</v>
      </c>
      <c r="AA57" s="58" t="s">
        <v>35</v>
      </c>
      <c r="AB57" s="59" t="s">
        <v>35</v>
      </c>
      <c r="AC57" s="60" t="s">
        <v>35</v>
      </c>
      <c r="AD57" s="60" t="s">
        <v>35</v>
      </c>
      <c r="AE57" s="58" t="s">
        <v>35</v>
      </c>
      <c r="AF57" s="59" t="s">
        <v>35</v>
      </c>
      <c r="AG57" s="60" t="s">
        <v>35</v>
      </c>
      <c r="AH57" s="60" t="s">
        <v>35</v>
      </c>
      <c r="AI57" s="58" t="s">
        <v>35</v>
      </c>
      <c r="AJ57" s="59" t="s">
        <v>35</v>
      </c>
      <c r="AK57" s="60" t="s">
        <v>35</v>
      </c>
      <c r="AL57" s="58" t="s">
        <v>35</v>
      </c>
      <c r="AM57" s="59" t="s">
        <v>35</v>
      </c>
      <c r="AN57" s="60" t="s">
        <v>35</v>
      </c>
      <c r="AO57" s="58" t="s">
        <v>35</v>
      </c>
      <c r="AP57" s="33" t="s">
        <v>35</v>
      </c>
      <c r="AQ57" s="33" t="s">
        <v>35</v>
      </c>
      <c r="AR57" s="32" t="s">
        <v>35</v>
      </c>
    </row>
    <row r="58" spans="1:44">
      <c r="A58" s="31" t="s">
        <v>35</v>
      </c>
      <c r="B58" s="42">
        <v>55</v>
      </c>
      <c r="C58" s="86" t="s">
        <v>264</v>
      </c>
      <c r="D58" s="86"/>
      <c r="E58" s="99" t="s">
        <v>46</v>
      </c>
      <c r="F58" s="99" t="s">
        <v>46</v>
      </c>
      <c r="G58" s="99" t="s">
        <v>200</v>
      </c>
      <c r="H58" s="33" t="s">
        <v>35</v>
      </c>
      <c r="I58" s="33" t="s">
        <v>35</v>
      </c>
      <c r="J58" s="33" t="s">
        <v>35</v>
      </c>
      <c r="K58" s="33" t="s">
        <v>35</v>
      </c>
      <c r="L58" s="59" t="s">
        <v>35</v>
      </c>
      <c r="M58" s="60" t="s">
        <v>35</v>
      </c>
      <c r="N58" s="60" t="s">
        <v>35</v>
      </c>
      <c r="O58" s="58" t="s">
        <v>35</v>
      </c>
      <c r="P58" s="59" t="s">
        <v>35</v>
      </c>
      <c r="Q58" s="60" t="s">
        <v>35</v>
      </c>
      <c r="R58" s="60" t="s">
        <v>35</v>
      </c>
      <c r="S58" s="58" t="s">
        <v>35</v>
      </c>
      <c r="T58" s="59" t="s">
        <v>35</v>
      </c>
      <c r="U58" s="60" t="s">
        <v>35</v>
      </c>
      <c r="V58" s="60" t="s">
        <v>35</v>
      </c>
      <c r="W58" s="58" t="s">
        <v>35</v>
      </c>
      <c r="X58" s="59" t="s">
        <v>35</v>
      </c>
      <c r="Y58" s="60" t="s">
        <v>35</v>
      </c>
      <c r="Z58" s="60" t="s">
        <v>35</v>
      </c>
      <c r="AA58" s="58" t="s">
        <v>35</v>
      </c>
      <c r="AB58" s="59" t="s">
        <v>35</v>
      </c>
      <c r="AC58" s="60" t="s">
        <v>35</v>
      </c>
      <c r="AD58" s="60" t="s">
        <v>35</v>
      </c>
      <c r="AE58" s="58" t="s">
        <v>35</v>
      </c>
      <c r="AF58" s="59" t="s">
        <v>35</v>
      </c>
      <c r="AG58" s="60" t="s">
        <v>35</v>
      </c>
      <c r="AH58" s="60" t="s">
        <v>35</v>
      </c>
      <c r="AI58" s="58" t="s">
        <v>35</v>
      </c>
      <c r="AJ58" s="59" t="s">
        <v>35</v>
      </c>
      <c r="AK58" s="60" t="s">
        <v>35</v>
      </c>
      <c r="AL58" s="58" t="s">
        <v>35</v>
      </c>
      <c r="AM58" s="59" t="s">
        <v>35</v>
      </c>
      <c r="AN58" s="60" t="s">
        <v>35</v>
      </c>
      <c r="AO58" s="58" t="s">
        <v>35</v>
      </c>
      <c r="AP58" s="33" t="s">
        <v>35</v>
      </c>
      <c r="AQ58" s="33" t="s">
        <v>35</v>
      </c>
      <c r="AR58" s="32" t="s">
        <v>35</v>
      </c>
    </row>
    <row r="59" spans="1:44">
      <c r="A59" s="31" t="s">
        <v>35</v>
      </c>
      <c r="B59" s="42">
        <v>56</v>
      </c>
      <c r="C59" s="86" t="s">
        <v>264</v>
      </c>
      <c r="D59" s="86"/>
      <c r="E59" s="99" t="s">
        <v>47</v>
      </c>
      <c r="F59" s="99" t="s">
        <v>47</v>
      </c>
      <c r="G59" s="99" t="s">
        <v>200</v>
      </c>
      <c r="H59" s="33" t="s">
        <v>35</v>
      </c>
      <c r="I59" s="33" t="s">
        <v>35</v>
      </c>
      <c r="J59" s="33" t="s">
        <v>35</v>
      </c>
      <c r="K59" s="33" t="s">
        <v>35</v>
      </c>
      <c r="L59" s="59" t="s">
        <v>35</v>
      </c>
      <c r="M59" s="60" t="s">
        <v>35</v>
      </c>
      <c r="N59" s="60" t="s">
        <v>35</v>
      </c>
      <c r="O59" s="58" t="s">
        <v>35</v>
      </c>
      <c r="P59" s="59" t="s">
        <v>35</v>
      </c>
      <c r="Q59" s="60" t="s">
        <v>35</v>
      </c>
      <c r="R59" s="60" t="s">
        <v>35</v>
      </c>
      <c r="S59" s="58" t="s">
        <v>35</v>
      </c>
      <c r="T59" s="59" t="s">
        <v>35</v>
      </c>
      <c r="U59" s="60" t="s">
        <v>35</v>
      </c>
      <c r="V59" s="60" t="s">
        <v>35</v>
      </c>
      <c r="W59" s="58" t="s">
        <v>35</v>
      </c>
      <c r="X59" s="59" t="s">
        <v>35</v>
      </c>
      <c r="Y59" s="60" t="s">
        <v>35</v>
      </c>
      <c r="Z59" s="60" t="s">
        <v>35</v>
      </c>
      <c r="AA59" s="58" t="s">
        <v>35</v>
      </c>
      <c r="AB59" s="59" t="s">
        <v>35</v>
      </c>
      <c r="AC59" s="60" t="s">
        <v>35</v>
      </c>
      <c r="AD59" s="60" t="s">
        <v>35</v>
      </c>
      <c r="AE59" s="58" t="s">
        <v>35</v>
      </c>
      <c r="AF59" s="59" t="s">
        <v>35</v>
      </c>
      <c r="AG59" s="60" t="s">
        <v>35</v>
      </c>
      <c r="AH59" s="60" t="s">
        <v>35</v>
      </c>
      <c r="AI59" s="58" t="s">
        <v>35</v>
      </c>
      <c r="AJ59" s="59" t="s">
        <v>35</v>
      </c>
      <c r="AK59" s="60" t="s">
        <v>35</v>
      </c>
      <c r="AL59" s="58" t="s">
        <v>35</v>
      </c>
      <c r="AM59" s="59" t="s">
        <v>35</v>
      </c>
      <c r="AN59" s="60" t="s">
        <v>35</v>
      </c>
      <c r="AO59" s="58" t="s">
        <v>35</v>
      </c>
      <c r="AP59" s="33" t="s">
        <v>35</v>
      </c>
      <c r="AQ59" s="33" t="s">
        <v>35</v>
      </c>
      <c r="AR59" s="32" t="s">
        <v>35</v>
      </c>
    </row>
    <row r="60" spans="1:44">
      <c r="A60" s="31" t="s">
        <v>35</v>
      </c>
      <c r="B60" s="42">
        <v>57</v>
      </c>
      <c r="C60" s="86" t="s">
        <v>264</v>
      </c>
      <c r="D60" s="86"/>
      <c r="E60" s="99" t="s">
        <v>107</v>
      </c>
      <c r="F60" s="99" t="s">
        <v>107</v>
      </c>
      <c r="G60" s="99" t="s">
        <v>200</v>
      </c>
      <c r="H60" s="33" t="s">
        <v>35</v>
      </c>
      <c r="I60" s="33" t="s">
        <v>35</v>
      </c>
      <c r="J60" s="33" t="s">
        <v>35</v>
      </c>
      <c r="K60" s="33" t="s">
        <v>35</v>
      </c>
      <c r="L60" s="59" t="s">
        <v>35</v>
      </c>
      <c r="M60" s="60" t="s">
        <v>35</v>
      </c>
      <c r="N60" s="60" t="s">
        <v>35</v>
      </c>
      <c r="O60" s="58" t="s">
        <v>35</v>
      </c>
      <c r="P60" s="59" t="s">
        <v>35</v>
      </c>
      <c r="Q60" s="60" t="s">
        <v>35</v>
      </c>
      <c r="R60" s="60" t="s">
        <v>35</v>
      </c>
      <c r="S60" s="58" t="s">
        <v>35</v>
      </c>
      <c r="T60" s="59" t="s">
        <v>35</v>
      </c>
      <c r="U60" s="60" t="s">
        <v>35</v>
      </c>
      <c r="V60" s="60" t="s">
        <v>35</v>
      </c>
      <c r="W60" s="58" t="s">
        <v>35</v>
      </c>
      <c r="X60" s="59" t="s">
        <v>35</v>
      </c>
      <c r="Y60" s="60" t="s">
        <v>35</v>
      </c>
      <c r="Z60" s="60" t="s">
        <v>35</v>
      </c>
      <c r="AA60" s="58" t="s">
        <v>35</v>
      </c>
      <c r="AB60" s="59" t="s">
        <v>35</v>
      </c>
      <c r="AC60" s="60" t="s">
        <v>35</v>
      </c>
      <c r="AD60" s="60" t="s">
        <v>35</v>
      </c>
      <c r="AE60" s="58" t="s">
        <v>35</v>
      </c>
      <c r="AF60" s="59" t="s">
        <v>35</v>
      </c>
      <c r="AG60" s="60" t="s">
        <v>35</v>
      </c>
      <c r="AH60" s="60" t="s">
        <v>35</v>
      </c>
      <c r="AI60" s="58" t="s">
        <v>35</v>
      </c>
      <c r="AJ60" s="59" t="s">
        <v>35</v>
      </c>
      <c r="AK60" s="60" t="s">
        <v>35</v>
      </c>
      <c r="AL60" s="58" t="s">
        <v>35</v>
      </c>
      <c r="AM60" s="59" t="s">
        <v>35</v>
      </c>
      <c r="AN60" s="60" t="s">
        <v>35</v>
      </c>
      <c r="AO60" s="58" t="s">
        <v>35</v>
      </c>
      <c r="AP60" s="33" t="s">
        <v>35</v>
      </c>
      <c r="AQ60" s="33" t="s">
        <v>35</v>
      </c>
      <c r="AR60" s="32" t="s">
        <v>35</v>
      </c>
    </row>
    <row r="61" spans="1:44">
      <c r="A61" s="31" t="s">
        <v>35</v>
      </c>
      <c r="B61" s="42">
        <v>58</v>
      </c>
      <c r="C61" s="86" t="s">
        <v>264</v>
      </c>
      <c r="D61" s="86"/>
      <c r="E61" s="99" t="s">
        <v>108</v>
      </c>
      <c r="F61" s="99" t="s">
        <v>108</v>
      </c>
      <c r="G61" s="99" t="s">
        <v>200</v>
      </c>
      <c r="H61" s="33" t="s">
        <v>35</v>
      </c>
      <c r="I61" s="33" t="s">
        <v>35</v>
      </c>
      <c r="J61" s="33" t="s">
        <v>35</v>
      </c>
      <c r="K61" s="33" t="s">
        <v>35</v>
      </c>
      <c r="L61" s="59" t="s">
        <v>35</v>
      </c>
      <c r="M61" s="60" t="s">
        <v>35</v>
      </c>
      <c r="N61" s="60" t="s">
        <v>35</v>
      </c>
      <c r="O61" s="58" t="s">
        <v>35</v>
      </c>
      <c r="P61" s="59" t="s">
        <v>35</v>
      </c>
      <c r="Q61" s="60" t="s">
        <v>35</v>
      </c>
      <c r="R61" s="60" t="s">
        <v>35</v>
      </c>
      <c r="S61" s="58" t="s">
        <v>35</v>
      </c>
      <c r="T61" s="59" t="s">
        <v>35</v>
      </c>
      <c r="U61" s="60" t="s">
        <v>35</v>
      </c>
      <c r="V61" s="60" t="s">
        <v>35</v>
      </c>
      <c r="W61" s="58" t="s">
        <v>35</v>
      </c>
      <c r="X61" s="59" t="s">
        <v>35</v>
      </c>
      <c r="Y61" s="60" t="s">
        <v>35</v>
      </c>
      <c r="Z61" s="60" t="s">
        <v>35</v>
      </c>
      <c r="AA61" s="58" t="s">
        <v>35</v>
      </c>
      <c r="AB61" s="59" t="s">
        <v>35</v>
      </c>
      <c r="AC61" s="60" t="s">
        <v>35</v>
      </c>
      <c r="AD61" s="60" t="s">
        <v>35</v>
      </c>
      <c r="AE61" s="58" t="s">
        <v>35</v>
      </c>
      <c r="AF61" s="59" t="s">
        <v>35</v>
      </c>
      <c r="AG61" s="60" t="s">
        <v>35</v>
      </c>
      <c r="AH61" s="60" t="s">
        <v>35</v>
      </c>
      <c r="AI61" s="58" t="s">
        <v>35</v>
      </c>
      <c r="AJ61" s="59" t="s">
        <v>35</v>
      </c>
      <c r="AK61" s="60" t="s">
        <v>35</v>
      </c>
      <c r="AL61" s="58" t="s">
        <v>35</v>
      </c>
      <c r="AM61" s="59" t="s">
        <v>35</v>
      </c>
      <c r="AN61" s="60" t="s">
        <v>35</v>
      </c>
      <c r="AO61" s="58" t="s">
        <v>35</v>
      </c>
      <c r="AP61" s="33" t="s">
        <v>35</v>
      </c>
      <c r="AQ61" s="33" t="s">
        <v>35</v>
      </c>
      <c r="AR61" s="32" t="s">
        <v>35</v>
      </c>
    </row>
    <row r="62" spans="1:44">
      <c r="A62" s="31" t="s">
        <v>35</v>
      </c>
      <c r="B62" s="42">
        <v>59</v>
      </c>
      <c r="C62" s="86" t="s">
        <v>264</v>
      </c>
      <c r="D62" s="86"/>
      <c r="E62" s="99" t="s">
        <v>109</v>
      </c>
      <c r="F62" s="99" t="s">
        <v>109</v>
      </c>
      <c r="G62" s="99" t="s">
        <v>200</v>
      </c>
      <c r="H62" s="33" t="s">
        <v>35</v>
      </c>
      <c r="I62" s="33" t="s">
        <v>35</v>
      </c>
      <c r="J62" s="33" t="s">
        <v>35</v>
      </c>
      <c r="K62" s="33" t="s">
        <v>35</v>
      </c>
      <c r="L62" s="59" t="s">
        <v>35</v>
      </c>
      <c r="M62" s="60" t="s">
        <v>35</v>
      </c>
      <c r="N62" s="60" t="s">
        <v>35</v>
      </c>
      <c r="O62" s="58" t="s">
        <v>35</v>
      </c>
      <c r="P62" s="59" t="s">
        <v>35</v>
      </c>
      <c r="Q62" s="60" t="s">
        <v>35</v>
      </c>
      <c r="R62" s="60" t="s">
        <v>35</v>
      </c>
      <c r="S62" s="58" t="s">
        <v>35</v>
      </c>
      <c r="T62" s="59" t="s">
        <v>35</v>
      </c>
      <c r="U62" s="60" t="s">
        <v>35</v>
      </c>
      <c r="V62" s="60" t="s">
        <v>35</v>
      </c>
      <c r="W62" s="58" t="s">
        <v>35</v>
      </c>
      <c r="X62" s="59" t="s">
        <v>35</v>
      </c>
      <c r="Y62" s="60" t="s">
        <v>35</v>
      </c>
      <c r="Z62" s="60" t="s">
        <v>35</v>
      </c>
      <c r="AA62" s="58" t="s">
        <v>35</v>
      </c>
      <c r="AB62" s="59" t="s">
        <v>35</v>
      </c>
      <c r="AC62" s="60" t="s">
        <v>35</v>
      </c>
      <c r="AD62" s="60" t="s">
        <v>35</v>
      </c>
      <c r="AE62" s="58" t="s">
        <v>35</v>
      </c>
      <c r="AF62" s="59" t="s">
        <v>35</v>
      </c>
      <c r="AG62" s="60" t="s">
        <v>35</v>
      </c>
      <c r="AH62" s="60" t="s">
        <v>35</v>
      </c>
      <c r="AI62" s="58" t="s">
        <v>35</v>
      </c>
      <c r="AJ62" s="59" t="s">
        <v>35</v>
      </c>
      <c r="AK62" s="60" t="s">
        <v>35</v>
      </c>
      <c r="AL62" s="58" t="s">
        <v>35</v>
      </c>
      <c r="AM62" s="59" t="s">
        <v>35</v>
      </c>
      <c r="AN62" s="60" t="s">
        <v>35</v>
      </c>
      <c r="AO62" s="58" t="s">
        <v>35</v>
      </c>
      <c r="AP62" s="33" t="s">
        <v>35</v>
      </c>
      <c r="AQ62" s="33" t="s">
        <v>35</v>
      </c>
      <c r="AR62" s="32" t="s">
        <v>35</v>
      </c>
    </row>
    <row r="63" spans="1:44">
      <c r="A63" s="31" t="s">
        <v>35</v>
      </c>
      <c r="B63" s="42">
        <v>60</v>
      </c>
      <c r="C63" s="86" t="s">
        <v>264</v>
      </c>
      <c r="D63" s="86"/>
      <c r="E63" s="99" t="s">
        <v>110</v>
      </c>
      <c r="F63" s="99" t="s">
        <v>110</v>
      </c>
      <c r="G63" s="99" t="s">
        <v>200</v>
      </c>
      <c r="H63" s="33" t="s">
        <v>35</v>
      </c>
      <c r="I63" s="33" t="s">
        <v>35</v>
      </c>
      <c r="J63" s="33" t="s">
        <v>35</v>
      </c>
      <c r="K63" s="33" t="s">
        <v>35</v>
      </c>
      <c r="L63" s="59" t="s">
        <v>35</v>
      </c>
      <c r="M63" s="60" t="s">
        <v>35</v>
      </c>
      <c r="N63" s="60" t="s">
        <v>35</v>
      </c>
      <c r="O63" s="58" t="s">
        <v>35</v>
      </c>
      <c r="P63" s="59" t="s">
        <v>35</v>
      </c>
      <c r="Q63" s="60" t="s">
        <v>35</v>
      </c>
      <c r="R63" s="60" t="s">
        <v>35</v>
      </c>
      <c r="S63" s="58" t="s">
        <v>35</v>
      </c>
      <c r="T63" s="59" t="s">
        <v>35</v>
      </c>
      <c r="U63" s="60" t="s">
        <v>35</v>
      </c>
      <c r="V63" s="60" t="s">
        <v>35</v>
      </c>
      <c r="W63" s="58" t="s">
        <v>35</v>
      </c>
      <c r="X63" s="59" t="s">
        <v>35</v>
      </c>
      <c r="Y63" s="60" t="s">
        <v>35</v>
      </c>
      <c r="Z63" s="60" t="s">
        <v>35</v>
      </c>
      <c r="AA63" s="58" t="s">
        <v>35</v>
      </c>
      <c r="AB63" s="59" t="s">
        <v>35</v>
      </c>
      <c r="AC63" s="60" t="s">
        <v>35</v>
      </c>
      <c r="AD63" s="60" t="s">
        <v>35</v>
      </c>
      <c r="AE63" s="58" t="s">
        <v>35</v>
      </c>
      <c r="AF63" s="59" t="s">
        <v>35</v>
      </c>
      <c r="AG63" s="60" t="s">
        <v>35</v>
      </c>
      <c r="AH63" s="60" t="s">
        <v>35</v>
      </c>
      <c r="AI63" s="58" t="s">
        <v>35</v>
      </c>
      <c r="AJ63" s="59" t="s">
        <v>35</v>
      </c>
      <c r="AK63" s="60" t="s">
        <v>35</v>
      </c>
      <c r="AL63" s="58" t="s">
        <v>35</v>
      </c>
      <c r="AM63" s="59" t="s">
        <v>35</v>
      </c>
      <c r="AN63" s="60" t="s">
        <v>35</v>
      </c>
      <c r="AO63" s="58" t="s">
        <v>35</v>
      </c>
      <c r="AP63" s="33" t="s">
        <v>35</v>
      </c>
      <c r="AQ63" s="33" t="s">
        <v>35</v>
      </c>
      <c r="AR63" s="32" t="s">
        <v>35</v>
      </c>
    </row>
    <row r="64" spans="1:44">
      <c r="A64" s="31" t="s">
        <v>35</v>
      </c>
      <c r="B64" s="42">
        <v>61</v>
      </c>
      <c r="C64" s="86" t="s">
        <v>264</v>
      </c>
      <c r="D64" s="86"/>
      <c r="E64" s="99" t="s">
        <v>111</v>
      </c>
      <c r="F64" s="99" t="s">
        <v>111</v>
      </c>
      <c r="G64" s="99" t="s">
        <v>200</v>
      </c>
      <c r="H64" s="33" t="s">
        <v>35</v>
      </c>
      <c r="I64" s="33" t="s">
        <v>35</v>
      </c>
      <c r="J64" s="33" t="s">
        <v>35</v>
      </c>
      <c r="K64" s="33" t="s">
        <v>35</v>
      </c>
      <c r="L64" s="59" t="s">
        <v>35</v>
      </c>
      <c r="M64" s="60" t="s">
        <v>35</v>
      </c>
      <c r="N64" s="60" t="s">
        <v>35</v>
      </c>
      <c r="O64" s="58" t="s">
        <v>35</v>
      </c>
      <c r="P64" s="59" t="s">
        <v>35</v>
      </c>
      <c r="Q64" s="60" t="s">
        <v>35</v>
      </c>
      <c r="R64" s="60" t="s">
        <v>35</v>
      </c>
      <c r="S64" s="58" t="s">
        <v>35</v>
      </c>
      <c r="T64" s="59" t="s">
        <v>35</v>
      </c>
      <c r="U64" s="60" t="s">
        <v>35</v>
      </c>
      <c r="V64" s="60" t="s">
        <v>35</v>
      </c>
      <c r="W64" s="58" t="s">
        <v>35</v>
      </c>
      <c r="X64" s="59" t="s">
        <v>35</v>
      </c>
      <c r="Y64" s="60" t="s">
        <v>35</v>
      </c>
      <c r="Z64" s="60" t="s">
        <v>35</v>
      </c>
      <c r="AA64" s="58" t="s">
        <v>35</v>
      </c>
      <c r="AB64" s="59" t="s">
        <v>35</v>
      </c>
      <c r="AC64" s="60" t="s">
        <v>35</v>
      </c>
      <c r="AD64" s="60" t="s">
        <v>35</v>
      </c>
      <c r="AE64" s="58" t="s">
        <v>35</v>
      </c>
      <c r="AF64" s="59" t="s">
        <v>35</v>
      </c>
      <c r="AG64" s="60" t="s">
        <v>35</v>
      </c>
      <c r="AH64" s="60" t="s">
        <v>35</v>
      </c>
      <c r="AI64" s="58" t="s">
        <v>35</v>
      </c>
      <c r="AJ64" s="59" t="s">
        <v>35</v>
      </c>
      <c r="AK64" s="60" t="s">
        <v>35</v>
      </c>
      <c r="AL64" s="58" t="s">
        <v>35</v>
      </c>
      <c r="AM64" s="59" t="s">
        <v>35</v>
      </c>
      <c r="AN64" s="60" t="s">
        <v>35</v>
      </c>
      <c r="AO64" s="58" t="s">
        <v>35</v>
      </c>
      <c r="AP64" s="33" t="s">
        <v>35</v>
      </c>
      <c r="AQ64" s="33" t="s">
        <v>35</v>
      </c>
      <c r="AR64" s="32" t="s">
        <v>35</v>
      </c>
    </row>
    <row r="65" spans="1:44">
      <c r="A65" s="31" t="s">
        <v>35</v>
      </c>
      <c r="B65" s="42">
        <v>62</v>
      </c>
      <c r="C65" s="86" t="s">
        <v>264</v>
      </c>
      <c r="D65" s="86"/>
      <c r="E65" s="99" t="s">
        <v>256</v>
      </c>
      <c r="F65" s="99" t="s">
        <v>256</v>
      </c>
      <c r="G65" s="99" t="s">
        <v>200</v>
      </c>
      <c r="H65" s="33" t="s">
        <v>35</v>
      </c>
      <c r="I65" s="33" t="s">
        <v>35</v>
      </c>
      <c r="J65" s="33" t="s">
        <v>35</v>
      </c>
      <c r="K65" s="33" t="s">
        <v>35</v>
      </c>
      <c r="L65" s="59" t="s">
        <v>35</v>
      </c>
      <c r="M65" s="60" t="s">
        <v>35</v>
      </c>
      <c r="N65" s="60" t="s">
        <v>35</v>
      </c>
      <c r="O65" s="58" t="s">
        <v>35</v>
      </c>
      <c r="P65" s="59" t="s">
        <v>35</v>
      </c>
      <c r="Q65" s="60" t="s">
        <v>35</v>
      </c>
      <c r="R65" s="60" t="s">
        <v>35</v>
      </c>
      <c r="S65" s="58" t="s">
        <v>35</v>
      </c>
      <c r="T65" s="59" t="s">
        <v>35</v>
      </c>
      <c r="U65" s="60" t="s">
        <v>35</v>
      </c>
      <c r="V65" s="60" t="s">
        <v>35</v>
      </c>
      <c r="W65" s="58" t="s">
        <v>35</v>
      </c>
      <c r="X65" s="59" t="s">
        <v>35</v>
      </c>
      <c r="Y65" s="60" t="s">
        <v>35</v>
      </c>
      <c r="Z65" s="60" t="s">
        <v>35</v>
      </c>
      <c r="AA65" s="58" t="s">
        <v>35</v>
      </c>
      <c r="AB65" s="59" t="s">
        <v>35</v>
      </c>
      <c r="AC65" s="60" t="s">
        <v>35</v>
      </c>
      <c r="AD65" s="60" t="s">
        <v>35</v>
      </c>
      <c r="AE65" s="58" t="s">
        <v>35</v>
      </c>
      <c r="AF65" s="59" t="s">
        <v>35</v>
      </c>
      <c r="AG65" s="60" t="s">
        <v>35</v>
      </c>
      <c r="AH65" s="60" t="s">
        <v>35</v>
      </c>
      <c r="AI65" s="58" t="s">
        <v>35</v>
      </c>
      <c r="AJ65" s="59" t="s">
        <v>35</v>
      </c>
      <c r="AK65" s="60" t="s">
        <v>35</v>
      </c>
      <c r="AL65" s="58" t="s">
        <v>35</v>
      </c>
      <c r="AM65" s="59" t="s">
        <v>35</v>
      </c>
      <c r="AN65" s="60" t="s">
        <v>35</v>
      </c>
      <c r="AO65" s="58" t="s">
        <v>35</v>
      </c>
      <c r="AP65" s="33" t="s">
        <v>35</v>
      </c>
      <c r="AQ65" s="33" t="s">
        <v>35</v>
      </c>
      <c r="AR65" s="32" t="s">
        <v>35</v>
      </c>
    </row>
    <row r="66" spans="1:44">
      <c r="A66" s="31" t="s">
        <v>35</v>
      </c>
      <c r="B66" s="42">
        <v>63</v>
      </c>
      <c r="C66" s="86" t="s">
        <v>264</v>
      </c>
      <c r="D66" s="86"/>
      <c r="E66" s="99" t="s">
        <v>257</v>
      </c>
      <c r="F66" s="99" t="s">
        <v>257</v>
      </c>
      <c r="G66" s="99" t="s">
        <v>200</v>
      </c>
      <c r="H66" s="33" t="s">
        <v>35</v>
      </c>
      <c r="I66" s="33" t="s">
        <v>35</v>
      </c>
      <c r="J66" s="33" t="s">
        <v>35</v>
      </c>
      <c r="K66" s="33" t="s">
        <v>35</v>
      </c>
      <c r="L66" s="59" t="s">
        <v>35</v>
      </c>
      <c r="M66" s="60" t="s">
        <v>35</v>
      </c>
      <c r="N66" s="60" t="s">
        <v>35</v>
      </c>
      <c r="O66" s="58" t="s">
        <v>35</v>
      </c>
      <c r="P66" s="59" t="s">
        <v>35</v>
      </c>
      <c r="Q66" s="60" t="s">
        <v>35</v>
      </c>
      <c r="R66" s="60" t="s">
        <v>35</v>
      </c>
      <c r="S66" s="58" t="s">
        <v>35</v>
      </c>
      <c r="T66" s="59" t="s">
        <v>35</v>
      </c>
      <c r="U66" s="60" t="s">
        <v>35</v>
      </c>
      <c r="V66" s="60" t="s">
        <v>35</v>
      </c>
      <c r="W66" s="58" t="s">
        <v>35</v>
      </c>
      <c r="X66" s="59" t="s">
        <v>35</v>
      </c>
      <c r="Y66" s="60" t="s">
        <v>35</v>
      </c>
      <c r="Z66" s="60" t="s">
        <v>35</v>
      </c>
      <c r="AA66" s="58" t="s">
        <v>35</v>
      </c>
      <c r="AB66" s="59" t="s">
        <v>35</v>
      </c>
      <c r="AC66" s="60" t="s">
        <v>35</v>
      </c>
      <c r="AD66" s="60" t="s">
        <v>35</v>
      </c>
      <c r="AE66" s="58" t="s">
        <v>35</v>
      </c>
      <c r="AF66" s="59" t="s">
        <v>35</v>
      </c>
      <c r="AG66" s="60" t="s">
        <v>35</v>
      </c>
      <c r="AH66" s="60" t="s">
        <v>35</v>
      </c>
      <c r="AI66" s="58" t="s">
        <v>35</v>
      </c>
      <c r="AJ66" s="59" t="s">
        <v>35</v>
      </c>
      <c r="AK66" s="60" t="s">
        <v>35</v>
      </c>
      <c r="AL66" s="58" t="s">
        <v>35</v>
      </c>
      <c r="AM66" s="59" t="s">
        <v>35</v>
      </c>
      <c r="AN66" s="60" t="s">
        <v>35</v>
      </c>
      <c r="AO66" s="58" t="s">
        <v>35</v>
      </c>
      <c r="AP66" s="33" t="s">
        <v>35</v>
      </c>
      <c r="AQ66" s="33" t="s">
        <v>35</v>
      </c>
      <c r="AR66" s="32" t="s">
        <v>35</v>
      </c>
    </row>
    <row r="67" spans="1:44">
      <c r="A67" s="31" t="s">
        <v>35</v>
      </c>
      <c r="B67" s="42">
        <v>64</v>
      </c>
      <c r="C67" s="86" t="s">
        <v>264</v>
      </c>
      <c r="D67" s="86"/>
      <c r="E67" s="99" t="s">
        <v>258</v>
      </c>
      <c r="F67" s="99" t="s">
        <v>258</v>
      </c>
      <c r="G67" s="99" t="s">
        <v>200</v>
      </c>
      <c r="H67" s="33" t="s">
        <v>35</v>
      </c>
      <c r="I67" s="33" t="s">
        <v>35</v>
      </c>
      <c r="J67" s="33" t="s">
        <v>35</v>
      </c>
      <c r="K67" s="33" t="s">
        <v>35</v>
      </c>
      <c r="L67" s="59" t="s">
        <v>35</v>
      </c>
      <c r="M67" s="60" t="s">
        <v>35</v>
      </c>
      <c r="N67" s="60" t="s">
        <v>35</v>
      </c>
      <c r="O67" s="58" t="s">
        <v>35</v>
      </c>
      <c r="P67" s="59" t="s">
        <v>35</v>
      </c>
      <c r="Q67" s="60" t="s">
        <v>35</v>
      </c>
      <c r="R67" s="60" t="s">
        <v>35</v>
      </c>
      <c r="S67" s="58" t="s">
        <v>35</v>
      </c>
      <c r="T67" s="59" t="s">
        <v>35</v>
      </c>
      <c r="U67" s="60" t="s">
        <v>35</v>
      </c>
      <c r="V67" s="60" t="s">
        <v>35</v>
      </c>
      <c r="W67" s="58" t="s">
        <v>35</v>
      </c>
      <c r="X67" s="59" t="s">
        <v>35</v>
      </c>
      <c r="Y67" s="60" t="s">
        <v>35</v>
      </c>
      <c r="Z67" s="60" t="s">
        <v>35</v>
      </c>
      <c r="AA67" s="58" t="s">
        <v>35</v>
      </c>
      <c r="AB67" s="59" t="s">
        <v>35</v>
      </c>
      <c r="AC67" s="60" t="s">
        <v>35</v>
      </c>
      <c r="AD67" s="60" t="s">
        <v>35</v>
      </c>
      <c r="AE67" s="58" t="s">
        <v>35</v>
      </c>
      <c r="AF67" s="59" t="s">
        <v>35</v>
      </c>
      <c r="AG67" s="60" t="s">
        <v>35</v>
      </c>
      <c r="AH67" s="60" t="s">
        <v>35</v>
      </c>
      <c r="AI67" s="58" t="s">
        <v>35</v>
      </c>
      <c r="AJ67" s="59" t="s">
        <v>35</v>
      </c>
      <c r="AK67" s="60" t="s">
        <v>35</v>
      </c>
      <c r="AL67" s="58" t="s">
        <v>35</v>
      </c>
      <c r="AM67" s="59" t="s">
        <v>35</v>
      </c>
      <c r="AN67" s="60" t="s">
        <v>35</v>
      </c>
      <c r="AO67" s="58" t="s">
        <v>35</v>
      </c>
      <c r="AP67" s="33" t="s">
        <v>35</v>
      </c>
      <c r="AQ67" s="33" t="s">
        <v>35</v>
      </c>
      <c r="AR67" s="32" t="s">
        <v>35</v>
      </c>
    </row>
    <row r="68" spans="1:44">
      <c r="A68" s="31" t="s">
        <v>35</v>
      </c>
      <c r="B68" s="42">
        <v>65</v>
      </c>
      <c r="C68" s="86" t="s">
        <v>264</v>
      </c>
      <c r="D68" s="86"/>
      <c r="E68" s="99" t="s">
        <v>55</v>
      </c>
      <c r="F68" s="99" t="s">
        <v>55</v>
      </c>
      <c r="G68" s="99" t="s">
        <v>200</v>
      </c>
      <c r="H68" s="33" t="s">
        <v>35</v>
      </c>
      <c r="I68" s="33" t="s">
        <v>35</v>
      </c>
      <c r="J68" s="33" t="s">
        <v>35</v>
      </c>
      <c r="K68" s="33" t="s">
        <v>35</v>
      </c>
      <c r="L68" s="59" t="s">
        <v>35</v>
      </c>
      <c r="M68" s="60" t="s">
        <v>35</v>
      </c>
      <c r="N68" s="60" t="s">
        <v>35</v>
      </c>
      <c r="O68" s="58" t="s">
        <v>35</v>
      </c>
      <c r="P68" s="59" t="s">
        <v>35</v>
      </c>
      <c r="Q68" s="60" t="s">
        <v>35</v>
      </c>
      <c r="R68" s="60" t="s">
        <v>35</v>
      </c>
      <c r="S68" s="58" t="s">
        <v>35</v>
      </c>
      <c r="T68" s="59" t="s">
        <v>35</v>
      </c>
      <c r="U68" s="60" t="s">
        <v>35</v>
      </c>
      <c r="V68" s="60" t="s">
        <v>35</v>
      </c>
      <c r="W68" s="58" t="s">
        <v>35</v>
      </c>
      <c r="X68" s="59" t="s">
        <v>35</v>
      </c>
      <c r="Y68" s="60" t="s">
        <v>35</v>
      </c>
      <c r="Z68" s="60" t="s">
        <v>35</v>
      </c>
      <c r="AA68" s="58" t="s">
        <v>35</v>
      </c>
      <c r="AB68" s="59" t="s">
        <v>35</v>
      </c>
      <c r="AC68" s="60" t="s">
        <v>35</v>
      </c>
      <c r="AD68" s="60" t="s">
        <v>35</v>
      </c>
      <c r="AE68" s="58" t="s">
        <v>35</v>
      </c>
      <c r="AF68" s="59" t="s">
        <v>35</v>
      </c>
      <c r="AG68" s="60" t="s">
        <v>35</v>
      </c>
      <c r="AH68" s="60" t="s">
        <v>35</v>
      </c>
      <c r="AI68" s="58" t="s">
        <v>35</v>
      </c>
      <c r="AJ68" s="59" t="s">
        <v>35</v>
      </c>
      <c r="AK68" s="60" t="s">
        <v>35</v>
      </c>
      <c r="AL68" s="58" t="s">
        <v>35</v>
      </c>
      <c r="AM68" s="59" t="s">
        <v>35</v>
      </c>
      <c r="AN68" s="60" t="s">
        <v>35</v>
      </c>
      <c r="AO68" s="58" t="s">
        <v>35</v>
      </c>
      <c r="AP68" s="33" t="s">
        <v>35</v>
      </c>
      <c r="AQ68" s="33" t="s">
        <v>35</v>
      </c>
      <c r="AR68" s="32" t="s">
        <v>35</v>
      </c>
    </row>
    <row r="69" spans="1:44">
      <c r="A69" s="31" t="s">
        <v>35</v>
      </c>
      <c r="B69" s="42">
        <v>66</v>
      </c>
      <c r="C69" s="86" t="s">
        <v>264</v>
      </c>
      <c r="D69" s="94" t="s">
        <v>259</v>
      </c>
      <c r="E69" s="99" t="s">
        <v>42</v>
      </c>
      <c r="F69" s="99" t="s">
        <v>42</v>
      </c>
      <c r="G69" s="99" t="s">
        <v>200</v>
      </c>
      <c r="H69" s="33" t="s">
        <v>35</v>
      </c>
      <c r="I69" s="33" t="s">
        <v>35</v>
      </c>
      <c r="J69" s="33" t="s">
        <v>35</v>
      </c>
      <c r="K69" s="33" t="s">
        <v>35</v>
      </c>
      <c r="L69" s="59" t="s">
        <v>35</v>
      </c>
      <c r="M69" s="60" t="s">
        <v>35</v>
      </c>
      <c r="N69" s="60" t="s">
        <v>35</v>
      </c>
      <c r="O69" s="58" t="s">
        <v>35</v>
      </c>
      <c r="P69" s="59" t="s">
        <v>35</v>
      </c>
      <c r="Q69" s="60" t="s">
        <v>35</v>
      </c>
      <c r="R69" s="60" t="s">
        <v>35</v>
      </c>
      <c r="S69" s="58" t="s">
        <v>35</v>
      </c>
      <c r="T69" s="59" t="s">
        <v>35</v>
      </c>
      <c r="U69" s="60" t="s">
        <v>35</v>
      </c>
      <c r="V69" s="60" t="s">
        <v>35</v>
      </c>
      <c r="W69" s="58" t="s">
        <v>35</v>
      </c>
      <c r="X69" s="59" t="s">
        <v>35</v>
      </c>
      <c r="Y69" s="60" t="s">
        <v>35</v>
      </c>
      <c r="Z69" s="60" t="s">
        <v>35</v>
      </c>
      <c r="AA69" s="58" t="s">
        <v>35</v>
      </c>
      <c r="AB69" s="59" t="s">
        <v>35</v>
      </c>
      <c r="AC69" s="60" t="s">
        <v>35</v>
      </c>
      <c r="AD69" s="60" t="s">
        <v>35</v>
      </c>
      <c r="AE69" s="58" t="s">
        <v>35</v>
      </c>
      <c r="AF69" s="59" t="s">
        <v>35</v>
      </c>
      <c r="AG69" s="60" t="s">
        <v>35</v>
      </c>
      <c r="AH69" s="60" t="s">
        <v>35</v>
      </c>
      <c r="AI69" s="58" t="s">
        <v>35</v>
      </c>
      <c r="AJ69" s="59" t="s">
        <v>35</v>
      </c>
      <c r="AK69" s="60" t="s">
        <v>35</v>
      </c>
      <c r="AL69" s="58" t="s">
        <v>35</v>
      </c>
      <c r="AM69" s="59" t="s">
        <v>35</v>
      </c>
      <c r="AN69" s="60" t="s">
        <v>35</v>
      </c>
      <c r="AO69" s="58" t="s">
        <v>35</v>
      </c>
      <c r="AP69" s="33" t="s">
        <v>35</v>
      </c>
      <c r="AQ69" s="33" t="s">
        <v>35</v>
      </c>
      <c r="AR69" s="32" t="s">
        <v>35</v>
      </c>
    </row>
    <row r="70" spans="1:44">
      <c r="A70" s="31" t="s">
        <v>35</v>
      </c>
      <c r="B70" s="42">
        <v>67</v>
      </c>
      <c r="C70" s="86" t="s">
        <v>264</v>
      </c>
      <c r="D70" s="86"/>
      <c r="E70" s="99" t="s">
        <v>43</v>
      </c>
      <c r="F70" s="99" t="s">
        <v>43</v>
      </c>
      <c r="G70" s="99" t="s">
        <v>200</v>
      </c>
      <c r="H70" s="33" t="s">
        <v>35</v>
      </c>
      <c r="I70" s="33" t="s">
        <v>35</v>
      </c>
      <c r="J70" s="33" t="s">
        <v>35</v>
      </c>
      <c r="K70" s="33" t="s">
        <v>35</v>
      </c>
      <c r="L70" s="59" t="s">
        <v>35</v>
      </c>
      <c r="M70" s="60" t="s">
        <v>35</v>
      </c>
      <c r="N70" s="60" t="s">
        <v>35</v>
      </c>
      <c r="O70" s="58" t="s">
        <v>35</v>
      </c>
      <c r="P70" s="59" t="s">
        <v>35</v>
      </c>
      <c r="Q70" s="60" t="s">
        <v>35</v>
      </c>
      <c r="R70" s="60" t="s">
        <v>35</v>
      </c>
      <c r="S70" s="58" t="s">
        <v>35</v>
      </c>
      <c r="T70" s="59" t="s">
        <v>35</v>
      </c>
      <c r="U70" s="60" t="s">
        <v>35</v>
      </c>
      <c r="V70" s="60" t="s">
        <v>35</v>
      </c>
      <c r="W70" s="58" t="s">
        <v>35</v>
      </c>
      <c r="X70" s="59" t="s">
        <v>35</v>
      </c>
      <c r="Y70" s="60" t="s">
        <v>35</v>
      </c>
      <c r="Z70" s="60" t="s">
        <v>35</v>
      </c>
      <c r="AA70" s="58" t="s">
        <v>35</v>
      </c>
      <c r="AB70" s="59" t="s">
        <v>35</v>
      </c>
      <c r="AC70" s="60" t="s">
        <v>35</v>
      </c>
      <c r="AD70" s="60" t="s">
        <v>35</v>
      </c>
      <c r="AE70" s="58" t="s">
        <v>35</v>
      </c>
      <c r="AF70" s="59" t="s">
        <v>35</v>
      </c>
      <c r="AG70" s="60" t="s">
        <v>35</v>
      </c>
      <c r="AH70" s="60" t="s">
        <v>35</v>
      </c>
      <c r="AI70" s="58" t="s">
        <v>35</v>
      </c>
      <c r="AJ70" s="59" t="s">
        <v>35</v>
      </c>
      <c r="AK70" s="60" t="s">
        <v>35</v>
      </c>
      <c r="AL70" s="58" t="s">
        <v>35</v>
      </c>
      <c r="AM70" s="59" t="s">
        <v>35</v>
      </c>
      <c r="AN70" s="60" t="s">
        <v>35</v>
      </c>
      <c r="AO70" s="58" t="s">
        <v>35</v>
      </c>
      <c r="AP70" s="33" t="s">
        <v>35</v>
      </c>
      <c r="AQ70" s="33" t="s">
        <v>35</v>
      </c>
      <c r="AR70" s="32" t="s">
        <v>35</v>
      </c>
    </row>
    <row r="71" spans="1:44">
      <c r="A71" s="31" t="s">
        <v>35</v>
      </c>
      <c r="B71" s="42">
        <v>68</v>
      </c>
      <c r="C71" s="86" t="s">
        <v>264</v>
      </c>
      <c r="D71" s="86"/>
      <c r="E71" s="99" t="s">
        <v>44</v>
      </c>
      <c r="F71" s="99" t="s">
        <v>44</v>
      </c>
      <c r="G71" s="99" t="s">
        <v>200</v>
      </c>
      <c r="H71" s="33" t="s">
        <v>35</v>
      </c>
      <c r="I71" s="33" t="s">
        <v>35</v>
      </c>
      <c r="J71" s="33" t="s">
        <v>35</v>
      </c>
      <c r="K71" s="33" t="s">
        <v>35</v>
      </c>
      <c r="L71" s="59" t="s">
        <v>35</v>
      </c>
      <c r="M71" s="60" t="s">
        <v>35</v>
      </c>
      <c r="N71" s="60" t="s">
        <v>35</v>
      </c>
      <c r="O71" s="58" t="s">
        <v>35</v>
      </c>
      <c r="P71" s="59" t="s">
        <v>35</v>
      </c>
      <c r="Q71" s="60" t="s">
        <v>35</v>
      </c>
      <c r="R71" s="60" t="s">
        <v>35</v>
      </c>
      <c r="S71" s="58" t="s">
        <v>35</v>
      </c>
      <c r="T71" s="59" t="s">
        <v>35</v>
      </c>
      <c r="U71" s="60" t="s">
        <v>35</v>
      </c>
      <c r="V71" s="60" t="s">
        <v>35</v>
      </c>
      <c r="W71" s="58" t="s">
        <v>35</v>
      </c>
      <c r="X71" s="59" t="s">
        <v>35</v>
      </c>
      <c r="Y71" s="60" t="s">
        <v>35</v>
      </c>
      <c r="Z71" s="60" t="s">
        <v>35</v>
      </c>
      <c r="AA71" s="58" t="s">
        <v>35</v>
      </c>
      <c r="AB71" s="59" t="s">
        <v>35</v>
      </c>
      <c r="AC71" s="60" t="s">
        <v>35</v>
      </c>
      <c r="AD71" s="60" t="s">
        <v>35</v>
      </c>
      <c r="AE71" s="58" t="s">
        <v>35</v>
      </c>
      <c r="AF71" s="59" t="s">
        <v>35</v>
      </c>
      <c r="AG71" s="60" t="s">
        <v>35</v>
      </c>
      <c r="AH71" s="60" t="s">
        <v>35</v>
      </c>
      <c r="AI71" s="58" t="s">
        <v>35</v>
      </c>
      <c r="AJ71" s="59" t="s">
        <v>35</v>
      </c>
      <c r="AK71" s="60" t="s">
        <v>35</v>
      </c>
      <c r="AL71" s="58" t="s">
        <v>35</v>
      </c>
      <c r="AM71" s="59" t="s">
        <v>35</v>
      </c>
      <c r="AN71" s="60" t="s">
        <v>35</v>
      </c>
      <c r="AO71" s="58" t="s">
        <v>35</v>
      </c>
      <c r="AP71" s="33" t="s">
        <v>35</v>
      </c>
      <c r="AQ71" s="33" t="s">
        <v>35</v>
      </c>
      <c r="AR71" s="32" t="s">
        <v>35</v>
      </c>
    </row>
    <row r="72" spans="1:44">
      <c r="A72" s="31" t="s">
        <v>35</v>
      </c>
      <c r="B72" s="42">
        <v>69</v>
      </c>
      <c r="C72" s="86" t="s">
        <v>264</v>
      </c>
      <c r="D72" s="86"/>
      <c r="E72" s="99" t="s">
        <v>45</v>
      </c>
      <c r="F72" s="99" t="s">
        <v>45</v>
      </c>
      <c r="G72" s="99" t="s">
        <v>200</v>
      </c>
      <c r="H72" s="33" t="s">
        <v>35</v>
      </c>
      <c r="I72" s="33" t="s">
        <v>35</v>
      </c>
      <c r="J72" s="33" t="s">
        <v>35</v>
      </c>
      <c r="K72" s="33" t="s">
        <v>35</v>
      </c>
      <c r="L72" s="59" t="s">
        <v>35</v>
      </c>
      <c r="M72" s="60" t="s">
        <v>35</v>
      </c>
      <c r="N72" s="60" t="s">
        <v>35</v>
      </c>
      <c r="O72" s="58" t="s">
        <v>35</v>
      </c>
      <c r="P72" s="59" t="s">
        <v>35</v>
      </c>
      <c r="Q72" s="60" t="s">
        <v>35</v>
      </c>
      <c r="R72" s="60" t="s">
        <v>35</v>
      </c>
      <c r="S72" s="58" t="s">
        <v>35</v>
      </c>
      <c r="T72" s="59" t="s">
        <v>35</v>
      </c>
      <c r="U72" s="60" t="s">
        <v>35</v>
      </c>
      <c r="V72" s="60" t="s">
        <v>35</v>
      </c>
      <c r="W72" s="58" t="s">
        <v>35</v>
      </c>
      <c r="X72" s="59" t="s">
        <v>35</v>
      </c>
      <c r="Y72" s="60" t="s">
        <v>35</v>
      </c>
      <c r="Z72" s="60" t="s">
        <v>35</v>
      </c>
      <c r="AA72" s="58" t="s">
        <v>35</v>
      </c>
      <c r="AB72" s="59" t="s">
        <v>35</v>
      </c>
      <c r="AC72" s="60" t="s">
        <v>35</v>
      </c>
      <c r="AD72" s="60" t="s">
        <v>35</v>
      </c>
      <c r="AE72" s="58" t="s">
        <v>35</v>
      </c>
      <c r="AF72" s="59" t="s">
        <v>35</v>
      </c>
      <c r="AG72" s="60" t="s">
        <v>35</v>
      </c>
      <c r="AH72" s="60" t="s">
        <v>35</v>
      </c>
      <c r="AI72" s="58" t="s">
        <v>35</v>
      </c>
      <c r="AJ72" s="59" t="s">
        <v>35</v>
      </c>
      <c r="AK72" s="60" t="s">
        <v>35</v>
      </c>
      <c r="AL72" s="58" t="s">
        <v>35</v>
      </c>
      <c r="AM72" s="59" t="s">
        <v>35</v>
      </c>
      <c r="AN72" s="60" t="s">
        <v>35</v>
      </c>
      <c r="AO72" s="58" t="s">
        <v>35</v>
      </c>
      <c r="AP72" s="33" t="s">
        <v>35</v>
      </c>
      <c r="AQ72" s="33" t="s">
        <v>35</v>
      </c>
      <c r="AR72" s="32" t="s">
        <v>35</v>
      </c>
    </row>
    <row r="73" spans="1:44">
      <c r="A73" s="31" t="s">
        <v>35</v>
      </c>
      <c r="B73" s="42">
        <v>70</v>
      </c>
      <c r="C73" s="86" t="s">
        <v>264</v>
      </c>
      <c r="D73" s="94" t="s">
        <v>260</v>
      </c>
      <c r="E73" s="99" t="s">
        <v>37</v>
      </c>
      <c r="F73" s="99" t="s">
        <v>37</v>
      </c>
      <c r="G73" s="99" t="s">
        <v>200</v>
      </c>
      <c r="H73" s="33" t="s">
        <v>35</v>
      </c>
      <c r="I73" s="33" t="s">
        <v>35</v>
      </c>
      <c r="J73" s="33" t="s">
        <v>35</v>
      </c>
      <c r="K73" s="33" t="s">
        <v>35</v>
      </c>
      <c r="L73" s="59" t="s">
        <v>35</v>
      </c>
      <c r="M73" s="60" t="s">
        <v>35</v>
      </c>
      <c r="N73" s="60" t="s">
        <v>35</v>
      </c>
      <c r="O73" s="58" t="s">
        <v>35</v>
      </c>
      <c r="P73" s="59" t="s">
        <v>35</v>
      </c>
      <c r="Q73" s="60" t="s">
        <v>35</v>
      </c>
      <c r="R73" s="60" t="s">
        <v>35</v>
      </c>
      <c r="S73" s="58" t="s">
        <v>35</v>
      </c>
      <c r="T73" s="59" t="s">
        <v>35</v>
      </c>
      <c r="U73" s="60" t="s">
        <v>35</v>
      </c>
      <c r="V73" s="60" t="s">
        <v>35</v>
      </c>
      <c r="W73" s="58" t="s">
        <v>35</v>
      </c>
      <c r="X73" s="59" t="s">
        <v>35</v>
      </c>
      <c r="Y73" s="60" t="s">
        <v>35</v>
      </c>
      <c r="Z73" s="60" t="s">
        <v>35</v>
      </c>
      <c r="AA73" s="58" t="s">
        <v>35</v>
      </c>
      <c r="AB73" s="59" t="s">
        <v>35</v>
      </c>
      <c r="AC73" s="60" t="s">
        <v>35</v>
      </c>
      <c r="AD73" s="60" t="s">
        <v>35</v>
      </c>
      <c r="AE73" s="58" t="s">
        <v>35</v>
      </c>
      <c r="AF73" s="59" t="s">
        <v>35</v>
      </c>
      <c r="AG73" s="60" t="s">
        <v>35</v>
      </c>
      <c r="AH73" s="60" t="s">
        <v>35</v>
      </c>
      <c r="AI73" s="58" t="s">
        <v>35</v>
      </c>
      <c r="AJ73" s="59" t="s">
        <v>35</v>
      </c>
      <c r="AK73" s="60" t="s">
        <v>35</v>
      </c>
      <c r="AL73" s="58" t="s">
        <v>35</v>
      </c>
      <c r="AM73" s="59" t="s">
        <v>35</v>
      </c>
      <c r="AN73" s="60" t="s">
        <v>35</v>
      </c>
      <c r="AO73" s="58" t="s">
        <v>35</v>
      </c>
      <c r="AP73" s="33" t="s">
        <v>35</v>
      </c>
      <c r="AQ73" s="33" t="s">
        <v>35</v>
      </c>
      <c r="AR73" s="32" t="s">
        <v>35</v>
      </c>
    </row>
    <row r="74" spans="1:44">
      <c r="A74" s="31" t="s">
        <v>35</v>
      </c>
      <c r="B74" s="42">
        <v>71</v>
      </c>
      <c r="C74" s="86" t="s">
        <v>264</v>
      </c>
      <c r="D74" s="86"/>
      <c r="E74" s="99" t="s">
        <v>107</v>
      </c>
      <c r="F74" s="99" t="s">
        <v>107</v>
      </c>
      <c r="G74" s="99" t="s">
        <v>200</v>
      </c>
      <c r="H74" s="33" t="s">
        <v>35</v>
      </c>
      <c r="I74" s="33" t="s">
        <v>35</v>
      </c>
      <c r="J74" s="33" t="s">
        <v>35</v>
      </c>
      <c r="K74" s="33" t="s">
        <v>35</v>
      </c>
      <c r="L74" s="59" t="s">
        <v>35</v>
      </c>
      <c r="M74" s="60" t="s">
        <v>35</v>
      </c>
      <c r="N74" s="60" t="s">
        <v>35</v>
      </c>
      <c r="O74" s="58" t="s">
        <v>35</v>
      </c>
      <c r="P74" s="59" t="s">
        <v>35</v>
      </c>
      <c r="Q74" s="60" t="s">
        <v>35</v>
      </c>
      <c r="R74" s="60" t="s">
        <v>35</v>
      </c>
      <c r="S74" s="58" t="s">
        <v>35</v>
      </c>
      <c r="T74" s="59" t="s">
        <v>35</v>
      </c>
      <c r="U74" s="60" t="s">
        <v>35</v>
      </c>
      <c r="V74" s="60" t="s">
        <v>35</v>
      </c>
      <c r="W74" s="58" t="s">
        <v>35</v>
      </c>
      <c r="X74" s="59" t="s">
        <v>35</v>
      </c>
      <c r="Y74" s="60" t="s">
        <v>35</v>
      </c>
      <c r="Z74" s="60" t="s">
        <v>35</v>
      </c>
      <c r="AA74" s="58" t="s">
        <v>35</v>
      </c>
      <c r="AB74" s="59" t="s">
        <v>35</v>
      </c>
      <c r="AC74" s="60" t="s">
        <v>35</v>
      </c>
      <c r="AD74" s="60" t="s">
        <v>35</v>
      </c>
      <c r="AE74" s="58" t="s">
        <v>35</v>
      </c>
      <c r="AF74" s="59" t="s">
        <v>35</v>
      </c>
      <c r="AG74" s="60" t="s">
        <v>35</v>
      </c>
      <c r="AH74" s="60" t="s">
        <v>35</v>
      </c>
      <c r="AI74" s="58" t="s">
        <v>35</v>
      </c>
      <c r="AJ74" s="59" t="s">
        <v>35</v>
      </c>
      <c r="AK74" s="60" t="s">
        <v>35</v>
      </c>
      <c r="AL74" s="58" t="s">
        <v>35</v>
      </c>
      <c r="AM74" s="59" t="s">
        <v>35</v>
      </c>
      <c r="AN74" s="60" t="s">
        <v>35</v>
      </c>
      <c r="AO74" s="58" t="s">
        <v>35</v>
      </c>
      <c r="AP74" s="33" t="s">
        <v>35</v>
      </c>
      <c r="AQ74" s="33" t="s">
        <v>35</v>
      </c>
      <c r="AR74" s="32" t="s">
        <v>35</v>
      </c>
    </row>
    <row r="75" spans="1:44">
      <c r="A75" s="31" t="s">
        <v>35</v>
      </c>
      <c r="B75" s="42">
        <v>72</v>
      </c>
      <c r="C75" s="86" t="s">
        <v>264</v>
      </c>
      <c r="D75" s="86"/>
      <c r="E75" s="99" t="s">
        <v>108</v>
      </c>
      <c r="F75" s="99" t="s">
        <v>108</v>
      </c>
      <c r="G75" s="99" t="s">
        <v>200</v>
      </c>
      <c r="H75" s="33" t="s">
        <v>35</v>
      </c>
      <c r="I75" s="33" t="s">
        <v>35</v>
      </c>
      <c r="J75" s="33" t="s">
        <v>35</v>
      </c>
      <c r="K75" s="33" t="s">
        <v>35</v>
      </c>
      <c r="L75" s="59" t="s">
        <v>35</v>
      </c>
      <c r="M75" s="60" t="s">
        <v>35</v>
      </c>
      <c r="N75" s="60" t="s">
        <v>35</v>
      </c>
      <c r="O75" s="58" t="s">
        <v>35</v>
      </c>
      <c r="P75" s="59" t="s">
        <v>35</v>
      </c>
      <c r="Q75" s="60" t="s">
        <v>35</v>
      </c>
      <c r="R75" s="60" t="s">
        <v>35</v>
      </c>
      <c r="S75" s="58" t="s">
        <v>35</v>
      </c>
      <c r="T75" s="59" t="s">
        <v>35</v>
      </c>
      <c r="U75" s="60" t="s">
        <v>35</v>
      </c>
      <c r="V75" s="60" t="s">
        <v>35</v>
      </c>
      <c r="W75" s="58" t="s">
        <v>35</v>
      </c>
      <c r="X75" s="59" t="s">
        <v>35</v>
      </c>
      <c r="Y75" s="60" t="s">
        <v>35</v>
      </c>
      <c r="Z75" s="60" t="s">
        <v>35</v>
      </c>
      <c r="AA75" s="58" t="s">
        <v>35</v>
      </c>
      <c r="AB75" s="59" t="s">
        <v>35</v>
      </c>
      <c r="AC75" s="60" t="s">
        <v>35</v>
      </c>
      <c r="AD75" s="60" t="s">
        <v>35</v>
      </c>
      <c r="AE75" s="58" t="s">
        <v>35</v>
      </c>
      <c r="AF75" s="59" t="s">
        <v>35</v>
      </c>
      <c r="AG75" s="60" t="s">
        <v>35</v>
      </c>
      <c r="AH75" s="60" t="s">
        <v>35</v>
      </c>
      <c r="AI75" s="58" t="s">
        <v>35</v>
      </c>
      <c r="AJ75" s="59" t="s">
        <v>35</v>
      </c>
      <c r="AK75" s="60" t="s">
        <v>35</v>
      </c>
      <c r="AL75" s="58" t="s">
        <v>35</v>
      </c>
      <c r="AM75" s="59" t="s">
        <v>35</v>
      </c>
      <c r="AN75" s="60" t="s">
        <v>35</v>
      </c>
      <c r="AO75" s="58" t="s">
        <v>35</v>
      </c>
      <c r="AP75" s="33" t="s">
        <v>35</v>
      </c>
      <c r="AQ75" s="33" t="s">
        <v>35</v>
      </c>
      <c r="AR75" s="32" t="s">
        <v>35</v>
      </c>
    </row>
    <row r="76" spans="1:44">
      <c r="A76" s="31" t="s">
        <v>35</v>
      </c>
      <c r="B76" s="42">
        <v>73</v>
      </c>
      <c r="C76" s="86" t="s">
        <v>264</v>
      </c>
      <c r="D76" s="86"/>
      <c r="E76" s="99" t="s">
        <v>109</v>
      </c>
      <c r="F76" s="99" t="s">
        <v>109</v>
      </c>
      <c r="G76" s="99" t="s">
        <v>200</v>
      </c>
      <c r="H76" s="33" t="s">
        <v>35</v>
      </c>
      <c r="I76" s="33" t="s">
        <v>35</v>
      </c>
      <c r="J76" s="33" t="s">
        <v>35</v>
      </c>
      <c r="K76" s="33" t="s">
        <v>35</v>
      </c>
      <c r="L76" s="59" t="s">
        <v>35</v>
      </c>
      <c r="M76" s="60" t="s">
        <v>35</v>
      </c>
      <c r="N76" s="60" t="s">
        <v>35</v>
      </c>
      <c r="O76" s="58" t="s">
        <v>35</v>
      </c>
      <c r="P76" s="59" t="s">
        <v>35</v>
      </c>
      <c r="Q76" s="60" t="s">
        <v>35</v>
      </c>
      <c r="R76" s="60" t="s">
        <v>35</v>
      </c>
      <c r="S76" s="58" t="s">
        <v>35</v>
      </c>
      <c r="T76" s="59" t="s">
        <v>35</v>
      </c>
      <c r="U76" s="60" t="s">
        <v>35</v>
      </c>
      <c r="V76" s="60" t="s">
        <v>35</v>
      </c>
      <c r="W76" s="58" t="s">
        <v>35</v>
      </c>
      <c r="X76" s="59" t="s">
        <v>35</v>
      </c>
      <c r="Y76" s="60" t="s">
        <v>35</v>
      </c>
      <c r="Z76" s="60" t="s">
        <v>35</v>
      </c>
      <c r="AA76" s="58" t="s">
        <v>35</v>
      </c>
      <c r="AB76" s="59" t="s">
        <v>35</v>
      </c>
      <c r="AC76" s="60" t="s">
        <v>35</v>
      </c>
      <c r="AD76" s="60" t="s">
        <v>35</v>
      </c>
      <c r="AE76" s="58" t="s">
        <v>35</v>
      </c>
      <c r="AF76" s="59" t="s">
        <v>35</v>
      </c>
      <c r="AG76" s="60" t="s">
        <v>35</v>
      </c>
      <c r="AH76" s="60" t="s">
        <v>35</v>
      </c>
      <c r="AI76" s="58" t="s">
        <v>35</v>
      </c>
      <c r="AJ76" s="59" t="s">
        <v>35</v>
      </c>
      <c r="AK76" s="60" t="s">
        <v>35</v>
      </c>
      <c r="AL76" s="58" t="s">
        <v>35</v>
      </c>
      <c r="AM76" s="59" t="s">
        <v>35</v>
      </c>
      <c r="AN76" s="60" t="s">
        <v>35</v>
      </c>
      <c r="AO76" s="58" t="s">
        <v>35</v>
      </c>
      <c r="AP76" s="33" t="s">
        <v>35</v>
      </c>
      <c r="AQ76" s="33" t="s">
        <v>35</v>
      </c>
      <c r="AR76" s="32" t="s">
        <v>35</v>
      </c>
    </row>
    <row r="77" spans="1:44">
      <c r="A77" s="31" t="s">
        <v>35</v>
      </c>
      <c r="B77" s="42">
        <v>74</v>
      </c>
      <c r="C77" s="86" t="s">
        <v>264</v>
      </c>
      <c r="D77" s="86"/>
      <c r="E77" s="99" t="s">
        <v>110</v>
      </c>
      <c r="F77" s="99" t="s">
        <v>110</v>
      </c>
      <c r="G77" s="99" t="s">
        <v>200</v>
      </c>
      <c r="H77" s="33" t="s">
        <v>35</v>
      </c>
      <c r="I77" s="33" t="s">
        <v>35</v>
      </c>
      <c r="J77" s="33" t="s">
        <v>35</v>
      </c>
      <c r="K77" s="33" t="s">
        <v>35</v>
      </c>
      <c r="L77" s="59" t="s">
        <v>35</v>
      </c>
      <c r="M77" s="60" t="s">
        <v>35</v>
      </c>
      <c r="N77" s="60" t="s">
        <v>35</v>
      </c>
      <c r="O77" s="58" t="s">
        <v>35</v>
      </c>
      <c r="P77" s="59" t="s">
        <v>35</v>
      </c>
      <c r="Q77" s="60" t="s">
        <v>35</v>
      </c>
      <c r="R77" s="60" t="s">
        <v>35</v>
      </c>
      <c r="S77" s="58" t="s">
        <v>35</v>
      </c>
      <c r="T77" s="59" t="s">
        <v>35</v>
      </c>
      <c r="U77" s="60" t="s">
        <v>35</v>
      </c>
      <c r="V77" s="60" t="s">
        <v>35</v>
      </c>
      <c r="W77" s="58" t="s">
        <v>35</v>
      </c>
      <c r="X77" s="59" t="s">
        <v>35</v>
      </c>
      <c r="Y77" s="60" t="s">
        <v>35</v>
      </c>
      <c r="Z77" s="60" t="s">
        <v>35</v>
      </c>
      <c r="AA77" s="58" t="s">
        <v>35</v>
      </c>
      <c r="AB77" s="59" t="s">
        <v>35</v>
      </c>
      <c r="AC77" s="60" t="s">
        <v>35</v>
      </c>
      <c r="AD77" s="60" t="s">
        <v>35</v>
      </c>
      <c r="AE77" s="58" t="s">
        <v>35</v>
      </c>
      <c r="AF77" s="59" t="s">
        <v>35</v>
      </c>
      <c r="AG77" s="60" t="s">
        <v>35</v>
      </c>
      <c r="AH77" s="60" t="s">
        <v>35</v>
      </c>
      <c r="AI77" s="58" t="s">
        <v>35</v>
      </c>
      <c r="AJ77" s="59" t="s">
        <v>35</v>
      </c>
      <c r="AK77" s="60" t="s">
        <v>35</v>
      </c>
      <c r="AL77" s="58" t="s">
        <v>35</v>
      </c>
      <c r="AM77" s="59" t="s">
        <v>35</v>
      </c>
      <c r="AN77" s="60" t="s">
        <v>35</v>
      </c>
      <c r="AO77" s="58" t="s">
        <v>35</v>
      </c>
      <c r="AP77" s="33" t="s">
        <v>35</v>
      </c>
      <c r="AQ77" s="33" t="s">
        <v>35</v>
      </c>
      <c r="AR77" s="32" t="s">
        <v>35</v>
      </c>
    </row>
    <row r="78" spans="1:44">
      <c r="A78" s="31" t="s">
        <v>35</v>
      </c>
      <c r="B78" s="42">
        <v>75</v>
      </c>
      <c r="C78" s="86" t="s">
        <v>264</v>
      </c>
      <c r="D78" s="86"/>
      <c r="E78" s="99" t="s">
        <v>111</v>
      </c>
      <c r="F78" s="99" t="s">
        <v>111</v>
      </c>
      <c r="G78" s="99" t="s">
        <v>200</v>
      </c>
      <c r="H78" s="33" t="s">
        <v>35</v>
      </c>
      <c r="I78" s="33" t="s">
        <v>35</v>
      </c>
      <c r="J78" s="33" t="s">
        <v>35</v>
      </c>
      <c r="K78" s="33" t="s">
        <v>35</v>
      </c>
      <c r="L78" s="59" t="s">
        <v>35</v>
      </c>
      <c r="M78" s="60" t="s">
        <v>35</v>
      </c>
      <c r="N78" s="60" t="s">
        <v>35</v>
      </c>
      <c r="O78" s="58" t="s">
        <v>35</v>
      </c>
      <c r="P78" s="59" t="s">
        <v>35</v>
      </c>
      <c r="Q78" s="60" t="s">
        <v>35</v>
      </c>
      <c r="R78" s="60" t="s">
        <v>35</v>
      </c>
      <c r="S78" s="58" t="s">
        <v>35</v>
      </c>
      <c r="T78" s="59" t="s">
        <v>35</v>
      </c>
      <c r="U78" s="60" t="s">
        <v>35</v>
      </c>
      <c r="V78" s="60" t="s">
        <v>35</v>
      </c>
      <c r="W78" s="58" t="s">
        <v>35</v>
      </c>
      <c r="X78" s="59" t="s">
        <v>35</v>
      </c>
      <c r="Y78" s="60" t="s">
        <v>35</v>
      </c>
      <c r="Z78" s="60" t="s">
        <v>35</v>
      </c>
      <c r="AA78" s="58" t="s">
        <v>35</v>
      </c>
      <c r="AB78" s="59" t="s">
        <v>35</v>
      </c>
      <c r="AC78" s="60" t="s">
        <v>35</v>
      </c>
      <c r="AD78" s="60" t="s">
        <v>35</v>
      </c>
      <c r="AE78" s="58" t="s">
        <v>35</v>
      </c>
      <c r="AF78" s="59" t="s">
        <v>35</v>
      </c>
      <c r="AG78" s="60" t="s">
        <v>35</v>
      </c>
      <c r="AH78" s="60" t="s">
        <v>35</v>
      </c>
      <c r="AI78" s="58" t="s">
        <v>35</v>
      </c>
      <c r="AJ78" s="59" t="s">
        <v>35</v>
      </c>
      <c r="AK78" s="60" t="s">
        <v>35</v>
      </c>
      <c r="AL78" s="58" t="s">
        <v>35</v>
      </c>
      <c r="AM78" s="59" t="s">
        <v>35</v>
      </c>
      <c r="AN78" s="60" t="s">
        <v>35</v>
      </c>
      <c r="AO78" s="58" t="s">
        <v>35</v>
      </c>
      <c r="AP78" s="33" t="s">
        <v>35</v>
      </c>
      <c r="AQ78" s="33" t="s">
        <v>35</v>
      </c>
      <c r="AR78" s="32" t="s">
        <v>35</v>
      </c>
    </row>
    <row r="79" spans="1:44">
      <c r="A79" s="31" t="s">
        <v>35</v>
      </c>
      <c r="B79" s="42">
        <v>76</v>
      </c>
      <c r="C79" s="86" t="s">
        <v>264</v>
      </c>
      <c r="D79" s="94" t="s">
        <v>261</v>
      </c>
      <c r="E79" s="99" t="s">
        <v>59</v>
      </c>
      <c r="F79" s="99" t="s">
        <v>59</v>
      </c>
      <c r="G79" s="99" t="s">
        <v>200</v>
      </c>
      <c r="H79" s="33" t="s">
        <v>35</v>
      </c>
      <c r="I79" s="33" t="s">
        <v>35</v>
      </c>
      <c r="J79" s="33" t="s">
        <v>35</v>
      </c>
      <c r="K79" s="33" t="s">
        <v>35</v>
      </c>
      <c r="L79" s="59" t="s">
        <v>35</v>
      </c>
      <c r="M79" s="60" t="s">
        <v>35</v>
      </c>
      <c r="N79" s="60" t="s">
        <v>35</v>
      </c>
      <c r="O79" s="58" t="s">
        <v>35</v>
      </c>
      <c r="P79" s="59" t="s">
        <v>35</v>
      </c>
      <c r="Q79" s="60" t="s">
        <v>35</v>
      </c>
      <c r="R79" s="60" t="s">
        <v>35</v>
      </c>
      <c r="S79" s="58" t="s">
        <v>35</v>
      </c>
      <c r="T79" s="59" t="s">
        <v>35</v>
      </c>
      <c r="U79" s="60" t="s">
        <v>35</v>
      </c>
      <c r="V79" s="60" t="s">
        <v>35</v>
      </c>
      <c r="W79" s="58" t="s">
        <v>35</v>
      </c>
      <c r="X79" s="59" t="s">
        <v>35</v>
      </c>
      <c r="Y79" s="60" t="s">
        <v>35</v>
      </c>
      <c r="Z79" s="60" t="s">
        <v>35</v>
      </c>
      <c r="AA79" s="58" t="s">
        <v>35</v>
      </c>
      <c r="AB79" s="59" t="s">
        <v>35</v>
      </c>
      <c r="AC79" s="60" t="s">
        <v>35</v>
      </c>
      <c r="AD79" s="60" t="s">
        <v>35</v>
      </c>
      <c r="AE79" s="58" t="s">
        <v>35</v>
      </c>
      <c r="AF79" s="59" t="s">
        <v>35</v>
      </c>
      <c r="AG79" s="60" t="s">
        <v>35</v>
      </c>
      <c r="AH79" s="60" t="s">
        <v>35</v>
      </c>
      <c r="AI79" s="58" t="s">
        <v>35</v>
      </c>
      <c r="AJ79" s="59" t="s">
        <v>35</v>
      </c>
      <c r="AK79" s="60" t="s">
        <v>35</v>
      </c>
      <c r="AL79" s="58" t="s">
        <v>35</v>
      </c>
      <c r="AM79" s="59" t="s">
        <v>35</v>
      </c>
      <c r="AN79" s="60" t="s">
        <v>35</v>
      </c>
      <c r="AO79" s="58" t="s">
        <v>35</v>
      </c>
      <c r="AP79" s="33" t="s">
        <v>35</v>
      </c>
      <c r="AQ79" s="33" t="s">
        <v>35</v>
      </c>
      <c r="AR79" s="32" t="s">
        <v>35</v>
      </c>
    </row>
    <row r="80" spans="1:44">
      <c r="A80" s="31" t="s">
        <v>35</v>
      </c>
      <c r="B80" s="42">
        <v>77</v>
      </c>
      <c r="C80" s="86" t="s">
        <v>264</v>
      </c>
      <c r="D80" s="95"/>
      <c r="E80" s="99" t="s">
        <v>61</v>
      </c>
      <c r="F80" s="99" t="s">
        <v>61</v>
      </c>
      <c r="G80" s="99" t="s">
        <v>200</v>
      </c>
      <c r="H80" s="33" t="s">
        <v>35</v>
      </c>
      <c r="I80" s="33" t="s">
        <v>35</v>
      </c>
      <c r="J80" s="33" t="s">
        <v>35</v>
      </c>
      <c r="K80" s="33" t="s">
        <v>35</v>
      </c>
      <c r="L80" s="59" t="s">
        <v>35</v>
      </c>
      <c r="M80" s="60" t="s">
        <v>35</v>
      </c>
      <c r="N80" s="60" t="s">
        <v>35</v>
      </c>
      <c r="O80" s="58" t="s">
        <v>35</v>
      </c>
      <c r="P80" s="59" t="s">
        <v>35</v>
      </c>
      <c r="Q80" s="60" t="s">
        <v>35</v>
      </c>
      <c r="R80" s="60" t="s">
        <v>35</v>
      </c>
      <c r="S80" s="58" t="s">
        <v>35</v>
      </c>
      <c r="T80" s="59" t="s">
        <v>35</v>
      </c>
      <c r="U80" s="60" t="s">
        <v>35</v>
      </c>
      <c r="V80" s="60" t="s">
        <v>35</v>
      </c>
      <c r="W80" s="58" t="s">
        <v>35</v>
      </c>
      <c r="X80" s="59" t="s">
        <v>35</v>
      </c>
      <c r="Y80" s="60" t="s">
        <v>35</v>
      </c>
      <c r="Z80" s="60" t="s">
        <v>35</v>
      </c>
      <c r="AA80" s="58" t="s">
        <v>35</v>
      </c>
      <c r="AB80" s="59" t="s">
        <v>35</v>
      </c>
      <c r="AC80" s="60" t="s">
        <v>35</v>
      </c>
      <c r="AD80" s="60" t="s">
        <v>35</v>
      </c>
      <c r="AE80" s="58" t="s">
        <v>35</v>
      </c>
      <c r="AF80" s="59" t="s">
        <v>35</v>
      </c>
      <c r="AG80" s="60" t="s">
        <v>35</v>
      </c>
      <c r="AH80" s="60" t="s">
        <v>35</v>
      </c>
      <c r="AI80" s="58" t="s">
        <v>35</v>
      </c>
      <c r="AJ80" s="59" t="s">
        <v>35</v>
      </c>
      <c r="AK80" s="60" t="s">
        <v>35</v>
      </c>
      <c r="AL80" s="58" t="s">
        <v>35</v>
      </c>
      <c r="AM80" s="59" t="s">
        <v>35</v>
      </c>
      <c r="AN80" s="60" t="s">
        <v>35</v>
      </c>
      <c r="AO80" s="58" t="s">
        <v>35</v>
      </c>
      <c r="AP80" s="33" t="s">
        <v>35</v>
      </c>
      <c r="AQ80" s="33" t="s">
        <v>35</v>
      </c>
      <c r="AR80" s="32" t="s">
        <v>35</v>
      </c>
    </row>
    <row r="81" spans="1:44">
      <c r="A81" s="31" t="s">
        <v>35</v>
      </c>
      <c r="B81" s="42">
        <v>78</v>
      </c>
      <c r="C81" s="86" t="s">
        <v>264</v>
      </c>
      <c r="D81" s="86"/>
      <c r="E81" s="99" t="s">
        <v>66</v>
      </c>
      <c r="F81" s="99" t="s">
        <v>66</v>
      </c>
      <c r="G81" s="99" t="s">
        <v>200</v>
      </c>
      <c r="H81" s="33" t="s">
        <v>35</v>
      </c>
      <c r="I81" s="33" t="s">
        <v>35</v>
      </c>
      <c r="J81" s="33" t="s">
        <v>35</v>
      </c>
      <c r="K81" s="33" t="s">
        <v>35</v>
      </c>
      <c r="L81" s="59" t="s">
        <v>35</v>
      </c>
      <c r="M81" s="60" t="s">
        <v>35</v>
      </c>
      <c r="N81" s="60" t="s">
        <v>35</v>
      </c>
      <c r="O81" s="58" t="s">
        <v>35</v>
      </c>
      <c r="P81" s="59" t="s">
        <v>35</v>
      </c>
      <c r="Q81" s="60" t="s">
        <v>35</v>
      </c>
      <c r="R81" s="60" t="s">
        <v>35</v>
      </c>
      <c r="S81" s="58" t="s">
        <v>35</v>
      </c>
      <c r="T81" s="59" t="s">
        <v>35</v>
      </c>
      <c r="U81" s="60" t="s">
        <v>35</v>
      </c>
      <c r="V81" s="60" t="s">
        <v>35</v>
      </c>
      <c r="W81" s="58" t="s">
        <v>35</v>
      </c>
      <c r="X81" s="59" t="s">
        <v>35</v>
      </c>
      <c r="Y81" s="60" t="s">
        <v>35</v>
      </c>
      <c r="Z81" s="60" t="s">
        <v>35</v>
      </c>
      <c r="AA81" s="58" t="s">
        <v>35</v>
      </c>
      <c r="AB81" s="59" t="s">
        <v>35</v>
      </c>
      <c r="AC81" s="60" t="s">
        <v>35</v>
      </c>
      <c r="AD81" s="60" t="s">
        <v>35</v>
      </c>
      <c r="AE81" s="58" t="s">
        <v>35</v>
      </c>
      <c r="AF81" s="59" t="s">
        <v>35</v>
      </c>
      <c r="AG81" s="60" t="s">
        <v>35</v>
      </c>
      <c r="AH81" s="60" t="s">
        <v>35</v>
      </c>
      <c r="AI81" s="58" t="s">
        <v>35</v>
      </c>
      <c r="AJ81" s="59" t="s">
        <v>35</v>
      </c>
      <c r="AK81" s="60" t="s">
        <v>35</v>
      </c>
      <c r="AL81" s="58" t="s">
        <v>35</v>
      </c>
      <c r="AM81" s="59" t="s">
        <v>35</v>
      </c>
      <c r="AN81" s="60" t="s">
        <v>35</v>
      </c>
      <c r="AO81" s="58" t="s">
        <v>35</v>
      </c>
      <c r="AP81" s="33" t="s">
        <v>35</v>
      </c>
      <c r="AQ81" s="33" t="s">
        <v>35</v>
      </c>
      <c r="AR81" s="32" t="s">
        <v>35</v>
      </c>
    </row>
    <row r="82" spans="1:44">
      <c r="A82" s="31" t="s">
        <v>35</v>
      </c>
      <c r="B82" s="42">
        <v>79</v>
      </c>
      <c r="C82" s="86" t="s">
        <v>264</v>
      </c>
      <c r="D82" s="86"/>
      <c r="E82" s="99" t="s">
        <v>67</v>
      </c>
      <c r="F82" s="99" t="s">
        <v>67</v>
      </c>
      <c r="G82" s="99" t="s">
        <v>200</v>
      </c>
      <c r="H82" s="33" t="s">
        <v>35</v>
      </c>
      <c r="I82" s="33" t="s">
        <v>35</v>
      </c>
      <c r="J82" s="33" t="s">
        <v>35</v>
      </c>
      <c r="K82" s="33" t="s">
        <v>35</v>
      </c>
      <c r="L82" s="59" t="s">
        <v>35</v>
      </c>
      <c r="M82" s="60" t="s">
        <v>35</v>
      </c>
      <c r="N82" s="60" t="s">
        <v>35</v>
      </c>
      <c r="O82" s="58" t="s">
        <v>35</v>
      </c>
      <c r="P82" s="59" t="s">
        <v>35</v>
      </c>
      <c r="Q82" s="60" t="s">
        <v>35</v>
      </c>
      <c r="R82" s="60" t="s">
        <v>35</v>
      </c>
      <c r="S82" s="58" t="s">
        <v>35</v>
      </c>
      <c r="T82" s="59" t="s">
        <v>35</v>
      </c>
      <c r="U82" s="60" t="s">
        <v>35</v>
      </c>
      <c r="V82" s="60" t="s">
        <v>35</v>
      </c>
      <c r="W82" s="58" t="s">
        <v>35</v>
      </c>
      <c r="X82" s="59" t="s">
        <v>35</v>
      </c>
      <c r="Y82" s="60" t="s">
        <v>35</v>
      </c>
      <c r="Z82" s="60" t="s">
        <v>35</v>
      </c>
      <c r="AA82" s="58" t="s">
        <v>35</v>
      </c>
      <c r="AB82" s="59" t="s">
        <v>35</v>
      </c>
      <c r="AC82" s="60" t="s">
        <v>35</v>
      </c>
      <c r="AD82" s="60" t="s">
        <v>35</v>
      </c>
      <c r="AE82" s="58" t="s">
        <v>35</v>
      </c>
      <c r="AF82" s="59" t="s">
        <v>35</v>
      </c>
      <c r="AG82" s="60" t="s">
        <v>35</v>
      </c>
      <c r="AH82" s="60" t="s">
        <v>35</v>
      </c>
      <c r="AI82" s="58" t="s">
        <v>35</v>
      </c>
      <c r="AJ82" s="59" t="s">
        <v>35</v>
      </c>
      <c r="AK82" s="60" t="s">
        <v>35</v>
      </c>
      <c r="AL82" s="58" t="s">
        <v>35</v>
      </c>
      <c r="AM82" s="59" t="s">
        <v>35</v>
      </c>
      <c r="AN82" s="60" t="s">
        <v>35</v>
      </c>
      <c r="AO82" s="58" t="s">
        <v>35</v>
      </c>
      <c r="AP82" s="33" t="s">
        <v>35</v>
      </c>
      <c r="AQ82" s="33" t="s">
        <v>35</v>
      </c>
      <c r="AR82" s="32" t="s">
        <v>35</v>
      </c>
    </row>
    <row r="83" spans="1:44">
      <c r="A83" s="31" t="s">
        <v>35</v>
      </c>
      <c r="B83" s="42">
        <v>80</v>
      </c>
      <c r="C83" s="86" t="s">
        <v>264</v>
      </c>
      <c r="D83" s="86"/>
      <c r="E83" s="99" t="s">
        <v>68</v>
      </c>
      <c r="F83" s="99" t="s">
        <v>68</v>
      </c>
      <c r="G83" s="99" t="s">
        <v>200</v>
      </c>
      <c r="H83" s="33" t="s">
        <v>35</v>
      </c>
      <c r="I83" s="33" t="s">
        <v>35</v>
      </c>
      <c r="J83" s="33" t="s">
        <v>35</v>
      </c>
      <c r="K83" s="33" t="s">
        <v>35</v>
      </c>
      <c r="L83" s="59" t="s">
        <v>35</v>
      </c>
      <c r="M83" s="60" t="s">
        <v>35</v>
      </c>
      <c r="N83" s="60" t="s">
        <v>35</v>
      </c>
      <c r="O83" s="58" t="s">
        <v>35</v>
      </c>
      <c r="P83" s="59" t="s">
        <v>35</v>
      </c>
      <c r="Q83" s="60" t="s">
        <v>35</v>
      </c>
      <c r="R83" s="60" t="s">
        <v>35</v>
      </c>
      <c r="S83" s="58" t="s">
        <v>35</v>
      </c>
      <c r="T83" s="59" t="s">
        <v>35</v>
      </c>
      <c r="U83" s="60" t="s">
        <v>35</v>
      </c>
      <c r="V83" s="60" t="s">
        <v>35</v>
      </c>
      <c r="W83" s="58" t="s">
        <v>35</v>
      </c>
      <c r="X83" s="59" t="s">
        <v>35</v>
      </c>
      <c r="Y83" s="60" t="s">
        <v>35</v>
      </c>
      <c r="Z83" s="60" t="s">
        <v>35</v>
      </c>
      <c r="AA83" s="58" t="s">
        <v>35</v>
      </c>
      <c r="AB83" s="59" t="s">
        <v>35</v>
      </c>
      <c r="AC83" s="60" t="s">
        <v>35</v>
      </c>
      <c r="AD83" s="60" t="s">
        <v>35</v>
      </c>
      <c r="AE83" s="58" t="s">
        <v>35</v>
      </c>
      <c r="AF83" s="59" t="s">
        <v>35</v>
      </c>
      <c r="AG83" s="60" t="s">
        <v>35</v>
      </c>
      <c r="AH83" s="60" t="s">
        <v>35</v>
      </c>
      <c r="AI83" s="58" t="s">
        <v>35</v>
      </c>
      <c r="AJ83" s="59" t="s">
        <v>35</v>
      </c>
      <c r="AK83" s="60" t="s">
        <v>35</v>
      </c>
      <c r="AL83" s="58" t="s">
        <v>35</v>
      </c>
      <c r="AM83" s="59" t="s">
        <v>35</v>
      </c>
      <c r="AN83" s="60" t="s">
        <v>35</v>
      </c>
      <c r="AO83" s="58" t="s">
        <v>35</v>
      </c>
      <c r="AP83" s="33" t="s">
        <v>35</v>
      </c>
      <c r="AQ83" s="33" t="s">
        <v>35</v>
      </c>
      <c r="AR83" s="32" t="s">
        <v>35</v>
      </c>
    </row>
    <row r="84" spans="1:44">
      <c r="A84" s="31" t="s">
        <v>35</v>
      </c>
      <c r="B84" s="42">
        <v>81</v>
      </c>
      <c r="C84" s="86" t="s">
        <v>264</v>
      </c>
      <c r="D84" s="86"/>
      <c r="E84" s="99" t="s">
        <v>69</v>
      </c>
      <c r="F84" s="99" t="s">
        <v>69</v>
      </c>
      <c r="G84" s="99" t="s">
        <v>200</v>
      </c>
      <c r="H84" s="33" t="s">
        <v>35</v>
      </c>
      <c r="I84" s="33" t="s">
        <v>35</v>
      </c>
      <c r="J84" s="33" t="s">
        <v>35</v>
      </c>
      <c r="K84" s="33" t="s">
        <v>35</v>
      </c>
      <c r="L84" s="59" t="s">
        <v>35</v>
      </c>
      <c r="M84" s="60" t="s">
        <v>35</v>
      </c>
      <c r="N84" s="60" t="s">
        <v>35</v>
      </c>
      <c r="O84" s="58" t="s">
        <v>35</v>
      </c>
      <c r="P84" s="59" t="s">
        <v>35</v>
      </c>
      <c r="Q84" s="60" t="s">
        <v>35</v>
      </c>
      <c r="R84" s="60" t="s">
        <v>35</v>
      </c>
      <c r="S84" s="58" t="s">
        <v>35</v>
      </c>
      <c r="T84" s="59" t="s">
        <v>35</v>
      </c>
      <c r="U84" s="60" t="s">
        <v>35</v>
      </c>
      <c r="V84" s="60" t="s">
        <v>35</v>
      </c>
      <c r="W84" s="58" t="s">
        <v>35</v>
      </c>
      <c r="X84" s="59" t="s">
        <v>35</v>
      </c>
      <c r="Y84" s="60" t="s">
        <v>35</v>
      </c>
      <c r="Z84" s="60" t="s">
        <v>35</v>
      </c>
      <c r="AA84" s="58" t="s">
        <v>35</v>
      </c>
      <c r="AB84" s="59" t="s">
        <v>35</v>
      </c>
      <c r="AC84" s="60" t="s">
        <v>35</v>
      </c>
      <c r="AD84" s="60" t="s">
        <v>35</v>
      </c>
      <c r="AE84" s="58" t="s">
        <v>35</v>
      </c>
      <c r="AF84" s="59" t="s">
        <v>35</v>
      </c>
      <c r="AG84" s="60" t="s">
        <v>35</v>
      </c>
      <c r="AH84" s="60" t="s">
        <v>35</v>
      </c>
      <c r="AI84" s="58" t="s">
        <v>35</v>
      </c>
      <c r="AJ84" s="59" t="s">
        <v>35</v>
      </c>
      <c r="AK84" s="60" t="s">
        <v>35</v>
      </c>
      <c r="AL84" s="58" t="s">
        <v>35</v>
      </c>
      <c r="AM84" s="59" t="s">
        <v>35</v>
      </c>
      <c r="AN84" s="60" t="s">
        <v>35</v>
      </c>
      <c r="AO84" s="58" t="s">
        <v>35</v>
      </c>
      <c r="AP84" s="33" t="s">
        <v>35</v>
      </c>
      <c r="AQ84" s="33" t="s">
        <v>35</v>
      </c>
      <c r="AR84" s="32" t="s">
        <v>35</v>
      </c>
    </row>
    <row r="85" spans="1:44">
      <c r="A85" s="31" t="s">
        <v>35</v>
      </c>
      <c r="B85" s="42">
        <v>82</v>
      </c>
      <c r="C85" s="86" t="s">
        <v>264</v>
      </c>
      <c r="D85" s="86"/>
      <c r="E85" s="99" t="s">
        <v>70</v>
      </c>
      <c r="F85" s="99" t="s">
        <v>70</v>
      </c>
      <c r="G85" s="99" t="s">
        <v>200</v>
      </c>
      <c r="H85" s="33" t="s">
        <v>35</v>
      </c>
      <c r="I85" s="33" t="s">
        <v>35</v>
      </c>
      <c r="J85" s="33" t="s">
        <v>35</v>
      </c>
      <c r="K85" s="33" t="s">
        <v>35</v>
      </c>
      <c r="L85" s="59" t="s">
        <v>35</v>
      </c>
      <c r="M85" s="60" t="s">
        <v>35</v>
      </c>
      <c r="N85" s="60" t="s">
        <v>35</v>
      </c>
      <c r="O85" s="58" t="s">
        <v>35</v>
      </c>
      <c r="P85" s="59" t="s">
        <v>35</v>
      </c>
      <c r="Q85" s="60" t="s">
        <v>35</v>
      </c>
      <c r="R85" s="60" t="s">
        <v>35</v>
      </c>
      <c r="S85" s="58" t="s">
        <v>35</v>
      </c>
      <c r="T85" s="59" t="s">
        <v>35</v>
      </c>
      <c r="U85" s="60" t="s">
        <v>35</v>
      </c>
      <c r="V85" s="60" t="s">
        <v>35</v>
      </c>
      <c r="W85" s="58" t="s">
        <v>35</v>
      </c>
      <c r="X85" s="59" t="s">
        <v>35</v>
      </c>
      <c r="Y85" s="60" t="s">
        <v>35</v>
      </c>
      <c r="Z85" s="60" t="s">
        <v>35</v>
      </c>
      <c r="AA85" s="58" t="s">
        <v>35</v>
      </c>
      <c r="AB85" s="59" t="s">
        <v>35</v>
      </c>
      <c r="AC85" s="60" t="s">
        <v>35</v>
      </c>
      <c r="AD85" s="60" t="s">
        <v>35</v>
      </c>
      <c r="AE85" s="58" t="s">
        <v>35</v>
      </c>
      <c r="AF85" s="59" t="s">
        <v>35</v>
      </c>
      <c r="AG85" s="60" t="s">
        <v>35</v>
      </c>
      <c r="AH85" s="60" t="s">
        <v>35</v>
      </c>
      <c r="AI85" s="58" t="s">
        <v>35</v>
      </c>
      <c r="AJ85" s="59" t="s">
        <v>35</v>
      </c>
      <c r="AK85" s="60" t="s">
        <v>35</v>
      </c>
      <c r="AL85" s="58" t="s">
        <v>35</v>
      </c>
      <c r="AM85" s="59" t="s">
        <v>35</v>
      </c>
      <c r="AN85" s="60" t="s">
        <v>35</v>
      </c>
      <c r="AO85" s="58" t="s">
        <v>35</v>
      </c>
      <c r="AP85" s="33" t="s">
        <v>35</v>
      </c>
      <c r="AQ85" s="33" t="s">
        <v>35</v>
      </c>
      <c r="AR85" s="32" t="s">
        <v>35</v>
      </c>
    </row>
    <row r="86" spans="1:44">
      <c r="A86" s="31" t="s">
        <v>35</v>
      </c>
      <c r="B86" s="42">
        <v>83</v>
      </c>
      <c r="C86" s="86" t="s">
        <v>264</v>
      </c>
      <c r="D86" s="86"/>
      <c r="E86" s="99" t="s">
        <v>71</v>
      </c>
      <c r="F86" s="99" t="s">
        <v>71</v>
      </c>
      <c r="G86" s="99" t="s">
        <v>200</v>
      </c>
      <c r="H86" s="33" t="s">
        <v>35</v>
      </c>
      <c r="I86" s="33" t="s">
        <v>35</v>
      </c>
      <c r="J86" s="33" t="s">
        <v>35</v>
      </c>
      <c r="K86" s="33" t="s">
        <v>35</v>
      </c>
      <c r="L86" s="59" t="s">
        <v>35</v>
      </c>
      <c r="M86" s="60" t="s">
        <v>35</v>
      </c>
      <c r="N86" s="60" t="s">
        <v>35</v>
      </c>
      <c r="O86" s="58" t="s">
        <v>35</v>
      </c>
      <c r="P86" s="59" t="s">
        <v>35</v>
      </c>
      <c r="Q86" s="60" t="s">
        <v>35</v>
      </c>
      <c r="R86" s="60" t="s">
        <v>35</v>
      </c>
      <c r="S86" s="58" t="s">
        <v>35</v>
      </c>
      <c r="T86" s="59" t="s">
        <v>35</v>
      </c>
      <c r="U86" s="60" t="s">
        <v>35</v>
      </c>
      <c r="V86" s="60" t="s">
        <v>35</v>
      </c>
      <c r="W86" s="58" t="s">
        <v>35</v>
      </c>
      <c r="X86" s="59" t="s">
        <v>35</v>
      </c>
      <c r="Y86" s="60" t="s">
        <v>35</v>
      </c>
      <c r="Z86" s="60" t="s">
        <v>35</v>
      </c>
      <c r="AA86" s="58" t="s">
        <v>35</v>
      </c>
      <c r="AB86" s="59" t="s">
        <v>35</v>
      </c>
      <c r="AC86" s="60" t="s">
        <v>35</v>
      </c>
      <c r="AD86" s="60" t="s">
        <v>35</v>
      </c>
      <c r="AE86" s="58" t="s">
        <v>35</v>
      </c>
      <c r="AF86" s="59" t="s">
        <v>35</v>
      </c>
      <c r="AG86" s="60" t="s">
        <v>35</v>
      </c>
      <c r="AH86" s="60" t="s">
        <v>35</v>
      </c>
      <c r="AI86" s="58" t="s">
        <v>35</v>
      </c>
      <c r="AJ86" s="59" t="s">
        <v>35</v>
      </c>
      <c r="AK86" s="60" t="s">
        <v>35</v>
      </c>
      <c r="AL86" s="58" t="s">
        <v>35</v>
      </c>
      <c r="AM86" s="59" t="s">
        <v>35</v>
      </c>
      <c r="AN86" s="60" t="s">
        <v>35</v>
      </c>
      <c r="AO86" s="58" t="s">
        <v>35</v>
      </c>
      <c r="AP86" s="33" t="s">
        <v>35</v>
      </c>
      <c r="AQ86" s="33" t="s">
        <v>35</v>
      </c>
      <c r="AR86" s="32" t="s">
        <v>35</v>
      </c>
    </row>
    <row r="87" spans="1:44">
      <c r="A87" s="29" t="s">
        <v>35</v>
      </c>
      <c r="B87" s="42">
        <v>84</v>
      </c>
      <c r="C87" s="86" t="s">
        <v>264</v>
      </c>
      <c r="D87" s="86"/>
      <c r="E87" s="99" t="s">
        <v>72</v>
      </c>
      <c r="F87" s="99" t="s">
        <v>72</v>
      </c>
      <c r="G87" s="99" t="s">
        <v>200</v>
      </c>
      <c r="H87" s="33" t="s">
        <v>35</v>
      </c>
      <c r="I87" s="33" t="s">
        <v>35</v>
      </c>
      <c r="J87" s="33" t="s">
        <v>35</v>
      </c>
      <c r="K87" s="33" t="s">
        <v>35</v>
      </c>
      <c r="L87" s="59" t="s">
        <v>35</v>
      </c>
      <c r="M87" s="60" t="s">
        <v>35</v>
      </c>
      <c r="N87" s="60" t="s">
        <v>35</v>
      </c>
      <c r="O87" s="58" t="s">
        <v>35</v>
      </c>
      <c r="P87" s="59" t="s">
        <v>35</v>
      </c>
      <c r="Q87" s="60" t="s">
        <v>35</v>
      </c>
      <c r="R87" s="60" t="s">
        <v>35</v>
      </c>
      <c r="S87" s="58" t="s">
        <v>35</v>
      </c>
      <c r="T87" s="59" t="s">
        <v>35</v>
      </c>
      <c r="U87" s="60" t="s">
        <v>35</v>
      </c>
      <c r="V87" s="60" t="s">
        <v>35</v>
      </c>
      <c r="W87" s="58" t="s">
        <v>35</v>
      </c>
      <c r="X87" s="59" t="s">
        <v>35</v>
      </c>
      <c r="Y87" s="60" t="s">
        <v>35</v>
      </c>
      <c r="Z87" s="60" t="s">
        <v>35</v>
      </c>
      <c r="AA87" s="58" t="s">
        <v>35</v>
      </c>
      <c r="AB87" s="59" t="s">
        <v>35</v>
      </c>
      <c r="AC87" s="60" t="s">
        <v>35</v>
      </c>
      <c r="AD87" s="60" t="s">
        <v>35</v>
      </c>
      <c r="AE87" s="58" t="s">
        <v>35</v>
      </c>
      <c r="AF87" s="59" t="s">
        <v>35</v>
      </c>
      <c r="AG87" s="60" t="s">
        <v>35</v>
      </c>
      <c r="AH87" s="60" t="s">
        <v>35</v>
      </c>
      <c r="AI87" s="58" t="s">
        <v>35</v>
      </c>
      <c r="AJ87" s="59" t="s">
        <v>35</v>
      </c>
      <c r="AK87" s="60" t="s">
        <v>35</v>
      </c>
      <c r="AL87" s="58" t="s">
        <v>35</v>
      </c>
      <c r="AM87" s="59" t="s">
        <v>35</v>
      </c>
      <c r="AN87" s="60" t="s">
        <v>35</v>
      </c>
      <c r="AO87" s="58" t="s">
        <v>35</v>
      </c>
      <c r="AP87" s="33" t="s">
        <v>35</v>
      </c>
      <c r="AQ87" s="33" t="s">
        <v>35</v>
      </c>
      <c r="AR87" s="32" t="s">
        <v>35</v>
      </c>
    </row>
    <row r="88" spans="1:44">
      <c r="B88" s="42">
        <v>85</v>
      </c>
      <c r="C88" s="86" t="s">
        <v>264</v>
      </c>
      <c r="D88" s="86"/>
      <c r="E88" s="99" t="s">
        <v>73</v>
      </c>
      <c r="F88" s="99" t="s">
        <v>73</v>
      </c>
      <c r="G88" s="99" t="s">
        <v>200</v>
      </c>
      <c r="H88" s="33" t="s">
        <v>35</v>
      </c>
      <c r="I88" s="33" t="s">
        <v>35</v>
      </c>
      <c r="J88" s="33" t="s">
        <v>35</v>
      </c>
      <c r="K88" s="33" t="s">
        <v>35</v>
      </c>
      <c r="L88" s="59" t="s">
        <v>35</v>
      </c>
      <c r="M88" s="60" t="s">
        <v>35</v>
      </c>
      <c r="N88" s="60" t="s">
        <v>35</v>
      </c>
      <c r="O88" s="58" t="s">
        <v>35</v>
      </c>
      <c r="P88" s="59" t="s">
        <v>35</v>
      </c>
      <c r="Q88" s="60" t="s">
        <v>35</v>
      </c>
      <c r="R88" s="60" t="s">
        <v>35</v>
      </c>
      <c r="S88" s="58" t="s">
        <v>35</v>
      </c>
      <c r="T88" s="59" t="s">
        <v>35</v>
      </c>
      <c r="U88" s="60" t="s">
        <v>35</v>
      </c>
      <c r="V88" s="60" t="s">
        <v>35</v>
      </c>
      <c r="W88" s="58" t="s">
        <v>35</v>
      </c>
      <c r="X88" s="59" t="s">
        <v>35</v>
      </c>
      <c r="Y88" s="60" t="s">
        <v>35</v>
      </c>
      <c r="Z88" s="60" t="s">
        <v>35</v>
      </c>
      <c r="AA88" s="58" t="s">
        <v>35</v>
      </c>
      <c r="AB88" s="59" t="s">
        <v>35</v>
      </c>
      <c r="AC88" s="60" t="s">
        <v>35</v>
      </c>
      <c r="AD88" s="60" t="s">
        <v>35</v>
      </c>
      <c r="AE88" s="58" t="s">
        <v>35</v>
      </c>
      <c r="AF88" s="59" t="s">
        <v>35</v>
      </c>
      <c r="AG88" s="60" t="s">
        <v>35</v>
      </c>
      <c r="AH88" s="60" t="s">
        <v>35</v>
      </c>
      <c r="AI88" s="58" t="s">
        <v>35</v>
      </c>
      <c r="AJ88" s="59" t="s">
        <v>35</v>
      </c>
      <c r="AK88" s="60" t="s">
        <v>35</v>
      </c>
      <c r="AL88" s="58" t="s">
        <v>35</v>
      </c>
      <c r="AM88" s="59" t="s">
        <v>35</v>
      </c>
      <c r="AN88" s="60" t="s">
        <v>35</v>
      </c>
      <c r="AO88" s="58" t="s">
        <v>35</v>
      </c>
      <c r="AP88" s="33" t="s">
        <v>35</v>
      </c>
      <c r="AQ88" s="33" t="s">
        <v>35</v>
      </c>
    </row>
    <row r="89" spans="1:44">
      <c r="B89" s="42">
        <v>86</v>
      </c>
      <c r="C89" s="86" t="s">
        <v>264</v>
      </c>
      <c r="D89" s="86"/>
      <c r="E89" s="99" t="s">
        <v>125</v>
      </c>
      <c r="F89" s="99" t="s">
        <v>125</v>
      </c>
      <c r="G89" s="99" t="s">
        <v>200</v>
      </c>
      <c r="H89" s="33" t="s">
        <v>35</v>
      </c>
      <c r="I89" s="33" t="s">
        <v>35</v>
      </c>
      <c r="J89" s="33" t="s">
        <v>35</v>
      </c>
      <c r="K89" s="33" t="s">
        <v>35</v>
      </c>
      <c r="L89" s="59" t="s">
        <v>35</v>
      </c>
      <c r="M89" s="60" t="s">
        <v>35</v>
      </c>
      <c r="N89" s="60" t="s">
        <v>35</v>
      </c>
      <c r="O89" s="58" t="s">
        <v>35</v>
      </c>
      <c r="P89" s="59" t="s">
        <v>35</v>
      </c>
      <c r="Q89" s="60" t="s">
        <v>35</v>
      </c>
      <c r="R89" s="60" t="s">
        <v>35</v>
      </c>
      <c r="S89" s="58" t="s">
        <v>35</v>
      </c>
      <c r="T89" s="59" t="s">
        <v>35</v>
      </c>
      <c r="U89" s="60" t="s">
        <v>35</v>
      </c>
      <c r="V89" s="60" t="s">
        <v>35</v>
      </c>
      <c r="W89" s="58" t="s">
        <v>35</v>
      </c>
      <c r="X89" s="59" t="s">
        <v>35</v>
      </c>
      <c r="Y89" s="60" t="s">
        <v>35</v>
      </c>
      <c r="Z89" s="60" t="s">
        <v>35</v>
      </c>
      <c r="AA89" s="58" t="s">
        <v>35</v>
      </c>
      <c r="AB89" s="59" t="s">
        <v>35</v>
      </c>
      <c r="AC89" s="60" t="s">
        <v>35</v>
      </c>
      <c r="AD89" s="60" t="s">
        <v>35</v>
      </c>
      <c r="AE89" s="58" t="s">
        <v>35</v>
      </c>
      <c r="AF89" s="59" t="s">
        <v>35</v>
      </c>
      <c r="AG89" s="60" t="s">
        <v>35</v>
      </c>
      <c r="AH89" s="60" t="s">
        <v>35</v>
      </c>
      <c r="AI89" s="58" t="s">
        <v>35</v>
      </c>
      <c r="AJ89" s="59" t="s">
        <v>35</v>
      </c>
      <c r="AK89" s="60" t="s">
        <v>35</v>
      </c>
      <c r="AL89" s="58" t="s">
        <v>35</v>
      </c>
      <c r="AM89" s="59" t="s">
        <v>35</v>
      </c>
      <c r="AN89" s="60" t="s">
        <v>35</v>
      </c>
      <c r="AO89" s="58" t="s">
        <v>35</v>
      </c>
      <c r="AP89" s="33" t="s">
        <v>35</v>
      </c>
      <c r="AQ89" s="33" t="s">
        <v>35</v>
      </c>
    </row>
    <row r="90" spans="1:44">
      <c r="B90" s="42">
        <v>87</v>
      </c>
      <c r="C90" s="86" t="s">
        <v>264</v>
      </c>
      <c r="D90" s="86"/>
      <c r="E90" s="99" t="s">
        <v>262</v>
      </c>
      <c r="F90" s="99" t="s">
        <v>262</v>
      </c>
      <c r="G90" s="99" t="s">
        <v>200</v>
      </c>
      <c r="H90" s="33" t="s">
        <v>35</v>
      </c>
      <c r="I90" s="33" t="s">
        <v>35</v>
      </c>
      <c r="J90" s="33" t="s">
        <v>35</v>
      </c>
      <c r="K90" s="33" t="s">
        <v>35</v>
      </c>
      <c r="L90" s="59" t="s">
        <v>35</v>
      </c>
      <c r="M90" s="60" t="s">
        <v>35</v>
      </c>
      <c r="N90" s="60" t="s">
        <v>35</v>
      </c>
      <c r="O90" s="58" t="s">
        <v>35</v>
      </c>
      <c r="P90" s="59" t="s">
        <v>35</v>
      </c>
      <c r="Q90" s="60" t="s">
        <v>35</v>
      </c>
      <c r="R90" s="60" t="s">
        <v>35</v>
      </c>
      <c r="S90" s="58" t="s">
        <v>35</v>
      </c>
      <c r="T90" s="59" t="s">
        <v>35</v>
      </c>
      <c r="U90" s="60" t="s">
        <v>35</v>
      </c>
      <c r="V90" s="60" t="s">
        <v>35</v>
      </c>
      <c r="W90" s="58" t="s">
        <v>35</v>
      </c>
      <c r="X90" s="59" t="s">
        <v>35</v>
      </c>
      <c r="Y90" s="60" t="s">
        <v>35</v>
      </c>
      <c r="Z90" s="60" t="s">
        <v>35</v>
      </c>
      <c r="AA90" s="58" t="s">
        <v>35</v>
      </c>
      <c r="AB90" s="59" t="s">
        <v>35</v>
      </c>
      <c r="AC90" s="60" t="s">
        <v>35</v>
      </c>
      <c r="AD90" s="60" t="s">
        <v>35</v>
      </c>
      <c r="AE90" s="58" t="s">
        <v>35</v>
      </c>
      <c r="AF90" s="59" t="s">
        <v>35</v>
      </c>
      <c r="AG90" s="60" t="s">
        <v>35</v>
      </c>
      <c r="AH90" s="60" t="s">
        <v>35</v>
      </c>
      <c r="AI90" s="58" t="s">
        <v>35</v>
      </c>
      <c r="AJ90" s="59" t="s">
        <v>35</v>
      </c>
      <c r="AK90" s="60" t="s">
        <v>35</v>
      </c>
      <c r="AL90" s="58" t="s">
        <v>35</v>
      </c>
      <c r="AM90" s="59" t="s">
        <v>35</v>
      </c>
      <c r="AN90" s="60" t="s">
        <v>35</v>
      </c>
      <c r="AO90" s="58" t="s">
        <v>35</v>
      </c>
      <c r="AP90" s="33" t="s">
        <v>35</v>
      </c>
      <c r="AQ90" s="33" t="s">
        <v>35</v>
      </c>
    </row>
    <row r="91" spans="1:44">
      <c r="B91" s="42">
        <v>88</v>
      </c>
      <c r="C91" s="86" t="s">
        <v>264</v>
      </c>
      <c r="D91" s="94" t="s">
        <v>263</v>
      </c>
      <c r="E91" s="99" t="s">
        <v>59</v>
      </c>
      <c r="F91" s="99" t="s">
        <v>59</v>
      </c>
      <c r="G91" s="99" t="s">
        <v>200</v>
      </c>
      <c r="H91" s="33" t="s">
        <v>35</v>
      </c>
      <c r="I91" s="33" t="s">
        <v>35</v>
      </c>
      <c r="J91" s="33" t="s">
        <v>35</v>
      </c>
      <c r="K91" s="33" t="s">
        <v>35</v>
      </c>
      <c r="L91" s="59" t="s">
        <v>35</v>
      </c>
      <c r="M91" s="60" t="s">
        <v>35</v>
      </c>
      <c r="N91" s="60" t="s">
        <v>35</v>
      </c>
      <c r="O91" s="58" t="s">
        <v>35</v>
      </c>
      <c r="P91" s="59" t="s">
        <v>35</v>
      </c>
      <c r="Q91" s="60" t="s">
        <v>35</v>
      </c>
      <c r="R91" s="60" t="s">
        <v>35</v>
      </c>
      <c r="S91" s="58" t="s">
        <v>35</v>
      </c>
      <c r="T91" s="59" t="s">
        <v>35</v>
      </c>
      <c r="U91" s="60" t="s">
        <v>35</v>
      </c>
      <c r="V91" s="60" t="s">
        <v>35</v>
      </c>
      <c r="W91" s="58" t="s">
        <v>35</v>
      </c>
      <c r="X91" s="59" t="s">
        <v>35</v>
      </c>
      <c r="Y91" s="60" t="s">
        <v>35</v>
      </c>
      <c r="Z91" s="60" t="s">
        <v>35</v>
      </c>
      <c r="AA91" s="58" t="s">
        <v>35</v>
      </c>
      <c r="AB91" s="59" t="s">
        <v>35</v>
      </c>
      <c r="AC91" s="60" t="s">
        <v>35</v>
      </c>
      <c r="AD91" s="60" t="s">
        <v>35</v>
      </c>
      <c r="AE91" s="58" t="s">
        <v>35</v>
      </c>
      <c r="AF91" s="59" t="s">
        <v>35</v>
      </c>
      <c r="AG91" s="60" t="s">
        <v>35</v>
      </c>
      <c r="AH91" s="60" t="s">
        <v>35</v>
      </c>
      <c r="AI91" s="58" t="s">
        <v>35</v>
      </c>
      <c r="AJ91" s="59" t="s">
        <v>35</v>
      </c>
      <c r="AK91" s="60" t="s">
        <v>35</v>
      </c>
      <c r="AL91" s="58" t="s">
        <v>35</v>
      </c>
      <c r="AM91" s="59" t="s">
        <v>35</v>
      </c>
      <c r="AN91" s="60" t="s">
        <v>35</v>
      </c>
      <c r="AO91" s="58" t="s">
        <v>35</v>
      </c>
      <c r="AP91" s="33" t="s">
        <v>35</v>
      </c>
      <c r="AQ91" s="33" t="s">
        <v>35</v>
      </c>
    </row>
    <row r="92" spans="1:44">
      <c r="B92" s="42">
        <v>89</v>
      </c>
      <c r="C92" s="86" t="s">
        <v>264</v>
      </c>
      <c r="D92" s="86"/>
      <c r="E92" s="99" t="s">
        <v>60</v>
      </c>
      <c r="F92" s="99" t="s">
        <v>60</v>
      </c>
      <c r="G92" s="99" t="s">
        <v>200</v>
      </c>
      <c r="H92" s="33" t="s">
        <v>35</v>
      </c>
      <c r="I92" s="33" t="s">
        <v>35</v>
      </c>
      <c r="J92" s="33" t="s">
        <v>35</v>
      </c>
      <c r="K92" s="33" t="s">
        <v>35</v>
      </c>
      <c r="L92" s="59" t="s">
        <v>35</v>
      </c>
      <c r="M92" s="60" t="s">
        <v>35</v>
      </c>
      <c r="N92" s="60" t="s">
        <v>35</v>
      </c>
      <c r="O92" s="58" t="s">
        <v>35</v>
      </c>
      <c r="P92" s="59" t="s">
        <v>35</v>
      </c>
      <c r="Q92" s="60" t="s">
        <v>35</v>
      </c>
      <c r="R92" s="60" t="s">
        <v>35</v>
      </c>
      <c r="S92" s="58" t="s">
        <v>35</v>
      </c>
      <c r="T92" s="59" t="s">
        <v>35</v>
      </c>
      <c r="U92" s="60" t="s">
        <v>35</v>
      </c>
      <c r="V92" s="60" t="s">
        <v>35</v>
      </c>
      <c r="W92" s="58" t="s">
        <v>35</v>
      </c>
      <c r="X92" s="59" t="s">
        <v>35</v>
      </c>
      <c r="Y92" s="60" t="s">
        <v>35</v>
      </c>
      <c r="Z92" s="60" t="s">
        <v>35</v>
      </c>
      <c r="AA92" s="58" t="s">
        <v>35</v>
      </c>
      <c r="AB92" s="59" t="s">
        <v>35</v>
      </c>
      <c r="AC92" s="60" t="s">
        <v>35</v>
      </c>
      <c r="AD92" s="60" t="s">
        <v>35</v>
      </c>
      <c r="AE92" s="58" t="s">
        <v>35</v>
      </c>
      <c r="AF92" s="59" t="s">
        <v>35</v>
      </c>
      <c r="AG92" s="60" t="s">
        <v>35</v>
      </c>
      <c r="AH92" s="60" t="s">
        <v>35</v>
      </c>
      <c r="AI92" s="58" t="s">
        <v>35</v>
      </c>
      <c r="AJ92" s="59" t="s">
        <v>35</v>
      </c>
      <c r="AK92" s="60" t="s">
        <v>35</v>
      </c>
      <c r="AL92" s="58" t="s">
        <v>35</v>
      </c>
      <c r="AM92" s="59" t="s">
        <v>35</v>
      </c>
      <c r="AN92" s="60" t="s">
        <v>35</v>
      </c>
      <c r="AO92" s="58" t="s">
        <v>35</v>
      </c>
      <c r="AP92" s="33" t="s">
        <v>35</v>
      </c>
      <c r="AQ92" s="33" t="s">
        <v>35</v>
      </c>
    </row>
    <row r="93" spans="1:44">
      <c r="B93" s="42">
        <v>90</v>
      </c>
      <c r="C93" s="86" t="s">
        <v>264</v>
      </c>
      <c r="D93" s="86"/>
      <c r="E93" s="99" t="s">
        <v>61</v>
      </c>
      <c r="F93" s="99" t="s">
        <v>61</v>
      </c>
      <c r="G93" s="99" t="s">
        <v>200</v>
      </c>
      <c r="H93" s="33" t="s">
        <v>35</v>
      </c>
      <c r="I93" s="33" t="s">
        <v>35</v>
      </c>
      <c r="J93" s="33" t="s">
        <v>35</v>
      </c>
      <c r="K93" s="33" t="s">
        <v>35</v>
      </c>
      <c r="L93" s="59" t="s">
        <v>35</v>
      </c>
      <c r="M93" s="60" t="s">
        <v>35</v>
      </c>
      <c r="N93" s="60" t="s">
        <v>35</v>
      </c>
      <c r="O93" s="58" t="s">
        <v>35</v>
      </c>
      <c r="P93" s="59" t="s">
        <v>35</v>
      </c>
      <c r="Q93" s="60" t="s">
        <v>35</v>
      </c>
      <c r="R93" s="60" t="s">
        <v>35</v>
      </c>
      <c r="S93" s="58" t="s">
        <v>35</v>
      </c>
      <c r="T93" s="59" t="s">
        <v>35</v>
      </c>
      <c r="U93" s="60" t="s">
        <v>35</v>
      </c>
      <c r="V93" s="60" t="s">
        <v>35</v>
      </c>
      <c r="W93" s="58" t="s">
        <v>35</v>
      </c>
      <c r="X93" s="59" t="s">
        <v>35</v>
      </c>
      <c r="Y93" s="60" t="s">
        <v>35</v>
      </c>
      <c r="Z93" s="60" t="s">
        <v>35</v>
      </c>
      <c r="AA93" s="58" t="s">
        <v>35</v>
      </c>
      <c r="AB93" s="59" t="s">
        <v>35</v>
      </c>
      <c r="AC93" s="60" t="s">
        <v>35</v>
      </c>
      <c r="AD93" s="60" t="s">
        <v>35</v>
      </c>
      <c r="AE93" s="58" t="s">
        <v>35</v>
      </c>
      <c r="AF93" s="59" t="s">
        <v>35</v>
      </c>
      <c r="AG93" s="60" t="s">
        <v>35</v>
      </c>
      <c r="AH93" s="60" t="s">
        <v>35</v>
      </c>
      <c r="AI93" s="58" t="s">
        <v>35</v>
      </c>
      <c r="AJ93" s="59" t="s">
        <v>35</v>
      </c>
      <c r="AK93" s="60" t="s">
        <v>35</v>
      </c>
      <c r="AL93" s="58" t="s">
        <v>35</v>
      </c>
      <c r="AM93" s="59" t="s">
        <v>35</v>
      </c>
      <c r="AN93" s="60" t="s">
        <v>35</v>
      </c>
      <c r="AO93" s="58" t="s">
        <v>35</v>
      </c>
      <c r="AP93" s="33" t="s">
        <v>35</v>
      </c>
      <c r="AQ93" s="33" t="s">
        <v>35</v>
      </c>
    </row>
    <row r="94" spans="1:44">
      <c r="B94" s="42">
        <v>91</v>
      </c>
      <c r="C94" s="86" t="s">
        <v>264</v>
      </c>
      <c r="D94" s="86"/>
      <c r="E94" s="99" t="s">
        <v>62</v>
      </c>
      <c r="F94" s="99" t="s">
        <v>62</v>
      </c>
      <c r="G94" s="99" t="s">
        <v>200</v>
      </c>
      <c r="H94" s="33" t="s">
        <v>35</v>
      </c>
      <c r="I94" s="33" t="s">
        <v>35</v>
      </c>
      <c r="J94" s="33" t="s">
        <v>35</v>
      </c>
      <c r="K94" s="33" t="s">
        <v>35</v>
      </c>
      <c r="L94" s="59" t="s">
        <v>35</v>
      </c>
      <c r="M94" s="60" t="s">
        <v>35</v>
      </c>
      <c r="N94" s="60" t="s">
        <v>35</v>
      </c>
      <c r="O94" s="58" t="s">
        <v>35</v>
      </c>
      <c r="P94" s="59" t="s">
        <v>35</v>
      </c>
      <c r="Q94" s="60" t="s">
        <v>35</v>
      </c>
      <c r="R94" s="60" t="s">
        <v>35</v>
      </c>
      <c r="S94" s="58" t="s">
        <v>35</v>
      </c>
      <c r="T94" s="59" t="s">
        <v>35</v>
      </c>
      <c r="U94" s="60" t="s">
        <v>35</v>
      </c>
      <c r="V94" s="60" t="s">
        <v>35</v>
      </c>
      <c r="W94" s="58" t="s">
        <v>35</v>
      </c>
      <c r="X94" s="59" t="s">
        <v>35</v>
      </c>
      <c r="Y94" s="60" t="s">
        <v>35</v>
      </c>
      <c r="Z94" s="60" t="s">
        <v>35</v>
      </c>
      <c r="AA94" s="58" t="s">
        <v>35</v>
      </c>
      <c r="AB94" s="59" t="s">
        <v>35</v>
      </c>
      <c r="AC94" s="60" t="s">
        <v>35</v>
      </c>
      <c r="AD94" s="60" t="s">
        <v>35</v>
      </c>
      <c r="AE94" s="58" t="s">
        <v>35</v>
      </c>
      <c r="AF94" s="59" t="s">
        <v>35</v>
      </c>
      <c r="AG94" s="60" t="s">
        <v>35</v>
      </c>
      <c r="AH94" s="60" t="s">
        <v>35</v>
      </c>
      <c r="AI94" s="58" t="s">
        <v>35</v>
      </c>
      <c r="AJ94" s="59" t="s">
        <v>35</v>
      </c>
      <c r="AK94" s="60" t="s">
        <v>35</v>
      </c>
      <c r="AL94" s="58" t="s">
        <v>35</v>
      </c>
      <c r="AM94" s="59" t="s">
        <v>35</v>
      </c>
      <c r="AN94" s="60" t="s">
        <v>35</v>
      </c>
      <c r="AO94" s="58" t="s">
        <v>35</v>
      </c>
      <c r="AP94" s="33" t="s">
        <v>35</v>
      </c>
      <c r="AQ94" s="33" t="s">
        <v>35</v>
      </c>
    </row>
    <row r="95" spans="1:44">
      <c r="B95" s="42">
        <v>92</v>
      </c>
      <c r="C95" s="86" t="s">
        <v>264</v>
      </c>
      <c r="D95" s="86"/>
      <c r="E95" s="99" t="s">
        <v>63</v>
      </c>
      <c r="F95" s="99" t="s">
        <v>63</v>
      </c>
      <c r="G95" s="99" t="s">
        <v>200</v>
      </c>
      <c r="H95" s="33" t="s">
        <v>35</v>
      </c>
      <c r="I95" s="33" t="s">
        <v>35</v>
      </c>
      <c r="J95" s="33" t="s">
        <v>35</v>
      </c>
      <c r="K95" s="33" t="s">
        <v>35</v>
      </c>
      <c r="L95" s="59" t="s">
        <v>35</v>
      </c>
      <c r="M95" s="60" t="s">
        <v>35</v>
      </c>
      <c r="N95" s="60" t="s">
        <v>35</v>
      </c>
      <c r="O95" s="58" t="s">
        <v>35</v>
      </c>
      <c r="P95" s="59" t="s">
        <v>35</v>
      </c>
      <c r="Q95" s="60" t="s">
        <v>35</v>
      </c>
      <c r="R95" s="60" t="s">
        <v>35</v>
      </c>
      <c r="S95" s="58" t="s">
        <v>35</v>
      </c>
      <c r="T95" s="59" t="s">
        <v>35</v>
      </c>
      <c r="U95" s="60" t="s">
        <v>35</v>
      </c>
      <c r="V95" s="60" t="s">
        <v>35</v>
      </c>
      <c r="W95" s="58" t="s">
        <v>35</v>
      </c>
      <c r="X95" s="59" t="s">
        <v>35</v>
      </c>
      <c r="Y95" s="60" t="s">
        <v>35</v>
      </c>
      <c r="Z95" s="60" t="s">
        <v>35</v>
      </c>
      <c r="AA95" s="58" t="s">
        <v>35</v>
      </c>
      <c r="AB95" s="59" t="s">
        <v>35</v>
      </c>
      <c r="AC95" s="60" t="s">
        <v>35</v>
      </c>
      <c r="AD95" s="60" t="s">
        <v>35</v>
      </c>
      <c r="AE95" s="58" t="s">
        <v>35</v>
      </c>
      <c r="AF95" s="59" t="s">
        <v>35</v>
      </c>
      <c r="AG95" s="60" t="s">
        <v>35</v>
      </c>
      <c r="AH95" s="60" t="s">
        <v>35</v>
      </c>
      <c r="AI95" s="58" t="s">
        <v>35</v>
      </c>
      <c r="AJ95" s="59" t="s">
        <v>35</v>
      </c>
      <c r="AK95" s="60" t="s">
        <v>35</v>
      </c>
      <c r="AL95" s="58" t="s">
        <v>35</v>
      </c>
      <c r="AM95" s="59" t="s">
        <v>35</v>
      </c>
      <c r="AN95" s="60" t="s">
        <v>35</v>
      </c>
      <c r="AO95" s="58" t="s">
        <v>35</v>
      </c>
      <c r="AP95" s="33" t="s">
        <v>35</v>
      </c>
      <c r="AQ95" s="33" t="s">
        <v>35</v>
      </c>
    </row>
    <row r="96" spans="1:44">
      <c r="B96" s="42">
        <v>93</v>
      </c>
      <c r="C96" s="86" t="s">
        <v>264</v>
      </c>
      <c r="D96" s="86"/>
      <c r="E96" s="99" t="s">
        <v>64</v>
      </c>
      <c r="F96" s="99" t="s">
        <v>64</v>
      </c>
      <c r="G96" s="99" t="s">
        <v>200</v>
      </c>
      <c r="H96" s="33" t="s">
        <v>35</v>
      </c>
      <c r="I96" s="33" t="s">
        <v>35</v>
      </c>
      <c r="J96" s="33" t="s">
        <v>35</v>
      </c>
      <c r="K96" s="33" t="s">
        <v>35</v>
      </c>
      <c r="L96" s="59" t="s">
        <v>35</v>
      </c>
      <c r="M96" s="60" t="s">
        <v>35</v>
      </c>
      <c r="N96" s="60" t="s">
        <v>35</v>
      </c>
      <c r="O96" s="58" t="s">
        <v>35</v>
      </c>
      <c r="P96" s="59" t="s">
        <v>35</v>
      </c>
      <c r="Q96" s="60" t="s">
        <v>35</v>
      </c>
      <c r="R96" s="60" t="s">
        <v>35</v>
      </c>
      <c r="S96" s="58" t="s">
        <v>35</v>
      </c>
      <c r="T96" s="59" t="s">
        <v>35</v>
      </c>
      <c r="U96" s="60" t="s">
        <v>35</v>
      </c>
      <c r="V96" s="60" t="s">
        <v>35</v>
      </c>
      <c r="W96" s="58" t="s">
        <v>35</v>
      </c>
      <c r="X96" s="59" t="s">
        <v>35</v>
      </c>
      <c r="Y96" s="60" t="s">
        <v>35</v>
      </c>
      <c r="Z96" s="60" t="s">
        <v>35</v>
      </c>
      <c r="AA96" s="58" t="s">
        <v>35</v>
      </c>
      <c r="AB96" s="59" t="s">
        <v>35</v>
      </c>
      <c r="AC96" s="60" t="s">
        <v>35</v>
      </c>
      <c r="AD96" s="60" t="s">
        <v>35</v>
      </c>
      <c r="AE96" s="58" t="s">
        <v>35</v>
      </c>
      <c r="AF96" s="59" t="s">
        <v>35</v>
      </c>
      <c r="AG96" s="60" t="s">
        <v>35</v>
      </c>
      <c r="AH96" s="60" t="s">
        <v>35</v>
      </c>
      <c r="AI96" s="58" t="s">
        <v>35</v>
      </c>
      <c r="AJ96" s="59" t="s">
        <v>35</v>
      </c>
      <c r="AK96" s="60" t="s">
        <v>35</v>
      </c>
      <c r="AL96" s="58" t="s">
        <v>35</v>
      </c>
      <c r="AM96" s="59" t="s">
        <v>35</v>
      </c>
      <c r="AN96" s="60" t="s">
        <v>35</v>
      </c>
      <c r="AO96" s="58" t="s">
        <v>35</v>
      </c>
      <c r="AP96" s="33" t="s">
        <v>35</v>
      </c>
      <c r="AQ96" s="33" t="s">
        <v>35</v>
      </c>
    </row>
    <row r="97" spans="2:43">
      <c r="B97" s="42">
        <v>94</v>
      </c>
      <c r="C97" s="86" t="s">
        <v>264</v>
      </c>
      <c r="D97" s="86"/>
      <c r="E97" s="99" t="s">
        <v>65</v>
      </c>
      <c r="F97" s="99" t="s">
        <v>65</v>
      </c>
      <c r="G97" s="99" t="s">
        <v>200</v>
      </c>
      <c r="H97" s="33" t="s">
        <v>35</v>
      </c>
      <c r="I97" s="33" t="s">
        <v>35</v>
      </c>
      <c r="J97" s="33" t="s">
        <v>35</v>
      </c>
      <c r="K97" s="33" t="s">
        <v>35</v>
      </c>
      <c r="L97" s="59" t="s">
        <v>35</v>
      </c>
      <c r="M97" s="60" t="s">
        <v>35</v>
      </c>
      <c r="N97" s="60" t="s">
        <v>35</v>
      </c>
      <c r="O97" s="58" t="s">
        <v>35</v>
      </c>
      <c r="P97" s="59" t="s">
        <v>35</v>
      </c>
      <c r="Q97" s="60" t="s">
        <v>35</v>
      </c>
      <c r="R97" s="60" t="s">
        <v>35</v>
      </c>
      <c r="S97" s="58" t="s">
        <v>35</v>
      </c>
      <c r="T97" s="59" t="s">
        <v>35</v>
      </c>
      <c r="U97" s="60" t="s">
        <v>35</v>
      </c>
      <c r="V97" s="60" t="s">
        <v>35</v>
      </c>
      <c r="W97" s="58" t="s">
        <v>35</v>
      </c>
      <c r="X97" s="59" t="s">
        <v>35</v>
      </c>
      <c r="Y97" s="60" t="s">
        <v>35</v>
      </c>
      <c r="Z97" s="60" t="s">
        <v>35</v>
      </c>
      <c r="AA97" s="58" t="s">
        <v>35</v>
      </c>
      <c r="AB97" s="59" t="s">
        <v>35</v>
      </c>
      <c r="AC97" s="60" t="s">
        <v>35</v>
      </c>
      <c r="AD97" s="60" t="s">
        <v>35</v>
      </c>
      <c r="AE97" s="58" t="s">
        <v>35</v>
      </c>
      <c r="AF97" s="59" t="s">
        <v>35</v>
      </c>
      <c r="AG97" s="60" t="s">
        <v>35</v>
      </c>
      <c r="AH97" s="60" t="s">
        <v>35</v>
      </c>
      <c r="AI97" s="58" t="s">
        <v>35</v>
      </c>
      <c r="AJ97" s="59" t="s">
        <v>35</v>
      </c>
      <c r="AK97" s="60" t="s">
        <v>35</v>
      </c>
      <c r="AL97" s="58" t="s">
        <v>35</v>
      </c>
      <c r="AM97" s="59" t="s">
        <v>35</v>
      </c>
      <c r="AN97" s="60" t="s">
        <v>35</v>
      </c>
      <c r="AO97" s="58" t="s">
        <v>35</v>
      </c>
      <c r="AP97" s="33" t="s">
        <v>35</v>
      </c>
      <c r="AQ97" s="33" t="s">
        <v>35</v>
      </c>
    </row>
    <row r="98" spans="2:43">
      <c r="B98" s="42">
        <v>95</v>
      </c>
      <c r="C98" s="86" t="s">
        <v>264</v>
      </c>
      <c r="D98" s="86"/>
      <c r="E98" s="99" t="s">
        <v>66</v>
      </c>
      <c r="F98" s="99" t="s">
        <v>66</v>
      </c>
      <c r="G98" s="99" t="s">
        <v>200</v>
      </c>
      <c r="H98" s="33" t="s">
        <v>35</v>
      </c>
      <c r="I98" s="33" t="s">
        <v>35</v>
      </c>
      <c r="J98" s="33" t="s">
        <v>35</v>
      </c>
      <c r="K98" s="33" t="s">
        <v>35</v>
      </c>
      <c r="L98" s="59" t="s">
        <v>35</v>
      </c>
      <c r="M98" s="60" t="s">
        <v>35</v>
      </c>
      <c r="N98" s="60" t="s">
        <v>35</v>
      </c>
      <c r="O98" s="58" t="s">
        <v>35</v>
      </c>
      <c r="P98" s="59" t="s">
        <v>35</v>
      </c>
      <c r="Q98" s="60" t="s">
        <v>35</v>
      </c>
      <c r="R98" s="60" t="s">
        <v>35</v>
      </c>
      <c r="S98" s="58" t="s">
        <v>35</v>
      </c>
      <c r="T98" s="59" t="s">
        <v>35</v>
      </c>
      <c r="U98" s="60" t="s">
        <v>35</v>
      </c>
      <c r="V98" s="60" t="s">
        <v>35</v>
      </c>
      <c r="W98" s="58" t="s">
        <v>35</v>
      </c>
      <c r="X98" s="59" t="s">
        <v>35</v>
      </c>
      <c r="Y98" s="60" t="s">
        <v>35</v>
      </c>
      <c r="Z98" s="60" t="s">
        <v>35</v>
      </c>
      <c r="AA98" s="58" t="s">
        <v>35</v>
      </c>
      <c r="AB98" s="59" t="s">
        <v>35</v>
      </c>
      <c r="AC98" s="60" t="s">
        <v>35</v>
      </c>
      <c r="AD98" s="60" t="s">
        <v>35</v>
      </c>
      <c r="AE98" s="58" t="s">
        <v>35</v>
      </c>
      <c r="AF98" s="59" t="s">
        <v>35</v>
      </c>
      <c r="AG98" s="60" t="s">
        <v>35</v>
      </c>
      <c r="AH98" s="60" t="s">
        <v>35</v>
      </c>
      <c r="AI98" s="58" t="s">
        <v>35</v>
      </c>
      <c r="AJ98" s="59" t="s">
        <v>35</v>
      </c>
      <c r="AK98" s="60" t="s">
        <v>35</v>
      </c>
      <c r="AL98" s="58" t="s">
        <v>35</v>
      </c>
      <c r="AM98" s="59" t="s">
        <v>35</v>
      </c>
      <c r="AN98" s="60" t="s">
        <v>35</v>
      </c>
      <c r="AO98" s="58" t="s">
        <v>35</v>
      </c>
      <c r="AP98" s="33" t="s">
        <v>35</v>
      </c>
      <c r="AQ98" s="33" t="s">
        <v>35</v>
      </c>
    </row>
    <row r="99" spans="2:43">
      <c r="B99" s="42">
        <v>96</v>
      </c>
      <c r="C99" s="86" t="s">
        <v>264</v>
      </c>
      <c r="D99" s="86"/>
      <c r="E99" s="99" t="s">
        <v>67</v>
      </c>
      <c r="F99" s="99" t="s">
        <v>67</v>
      </c>
      <c r="G99" s="99" t="s">
        <v>200</v>
      </c>
      <c r="H99" s="33" t="s">
        <v>35</v>
      </c>
      <c r="I99" s="33" t="s">
        <v>35</v>
      </c>
      <c r="J99" s="33" t="s">
        <v>35</v>
      </c>
      <c r="K99" s="33" t="s">
        <v>35</v>
      </c>
      <c r="L99" s="59" t="s">
        <v>35</v>
      </c>
      <c r="M99" s="60" t="s">
        <v>35</v>
      </c>
      <c r="N99" s="60" t="s">
        <v>35</v>
      </c>
      <c r="O99" s="58" t="s">
        <v>35</v>
      </c>
      <c r="P99" s="59" t="s">
        <v>35</v>
      </c>
      <c r="Q99" s="60" t="s">
        <v>35</v>
      </c>
      <c r="R99" s="60" t="s">
        <v>35</v>
      </c>
      <c r="S99" s="58" t="s">
        <v>35</v>
      </c>
      <c r="T99" s="59" t="s">
        <v>35</v>
      </c>
      <c r="U99" s="60" t="s">
        <v>35</v>
      </c>
      <c r="V99" s="60" t="s">
        <v>35</v>
      </c>
      <c r="W99" s="58" t="s">
        <v>35</v>
      </c>
      <c r="X99" s="59" t="s">
        <v>35</v>
      </c>
      <c r="Y99" s="60" t="s">
        <v>35</v>
      </c>
      <c r="Z99" s="60" t="s">
        <v>35</v>
      </c>
      <c r="AA99" s="58" t="s">
        <v>35</v>
      </c>
      <c r="AB99" s="59" t="s">
        <v>35</v>
      </c>
      <c r="AC99" s="60" t="s">
        <v>35</v>
      </c>
      <c r="AD99" s="60" t="s">
        <v>35</v>
      </c>
      <c r="AE99" s="58" t="s">
        <v>35</v>
      </c>
      <c r="AF99" s="59" t="s">
        <v>35</v>
      </c>
      <c r="AG99" s="60" t="s">
        <v>35</v>
      </c>
      <c r="AH99" s="60" t="s">
        <v>35</v>
      </c>
      <c r="AI99" s="58" t="s">
        <v>35</v>
      </c>
      <c r="AJ99" s="59" t="s">
        <v>35</v>
      </c>
      <c r="AK99" s="60" t="s">
        <v>35</v>
      </c>
      <c r="AL99" s="58" t="s">
        <v>35</v>
      </c>
      <c r="AM99" s="59" t="s">
        <v>35</v>
      </c>
      <c r="AN99" s="60" t="s">
        <v>35</v>
      </c>
      <c r="AO99" s="58" t="s">
        <v>35</v>
      </c>
      <c r="AP99" s="33" t="s">
        <v>35</v>
      </c>
      <c r="AQ99" s="33" t="s">
        <v>35</v>
      </c>
    </row>
    <row r="100" spans="2:43">
      <c r="B100" s="42">
        <v>97</v>
      </c>
      <c r="C100" s="86" t="s">
        <v>264</v>
      </c>
      <c r="D100" s="86"/>
      <c r="E100" s="99" t="s">
        <v>68</v>
      </c>
      <c r="F100" s="99" t="s">
        <v>68</v>
      </c>
      <c r="G100" s="99" t="s">
        <v>200</v>
      </c>
      <c r="H100" s="33" t="s">
        <v>35</v>
      </c>
      <c r="I100" s="33" t="s">
        <v>35</v>
      </c>
      <c r="J100" s="33" t="s">
        <v>35</v>
      </c>
      <c r="K100" s="33" t="s">
        <v>35</v>
      </c>
      <c r="L100" s="59" t="s">
        <v>35</v>
      </c>
      <c r="M100" s="60" t="s">
        <v>35</v>
      </c>
      <c r="N100" s="60" t="s">
        <v>35</v>
      </c>
      <c r="O100" s="58" t="s">
        <v>35</v>
      </c>
      <c r="P100" s="59" t="s">
        <v>35</v>
      </c>
      <c r="Q100" s="60" t="s">
        <v>35</v>
      </c>
      <c r="R100" s="60" t="s">
        <v>35</v>
      </c>
      <c r="S100" s="58" t="s">
        <v>35</v>
      </c>
      <c r="T100" s="59" t="s">
        <v>35</v>
      </c>
      <c r="U100" s="60" t="s">
        <v>35</v>
      </c>
      <c r="V100" s="60" t="s">
        <v>35</v>
      </c>
      <c r="W100" s="58" t="s">
        <v>35</v>
      </c>
      <c r="X100" s="59" t="s">
        <v>35</v>
      </c>
      <c r="Y100" s="60" t="s">
        <v>35</v>
      </c>
      <c r="Z100" s="60" t="s">
        <v>35</v>
      </c>
      <c r="AA100" s="58" t="s">
        <v>35</v>
      </c>
      <c r="AB100" s="59" t="s">
        <v>35</v>
      </c>
      <c r="AC100" s="60" t="s">
        <v>35</v>
      </c>
      <c r="AD100" s="60" t="s">
        <v>35</v>
      </c>
      <c r="AE100" s="58" t="s">
        <v>35</v>
      </c>
      <c r="AF100" s="59" t="s">
        <v>35</v>
      </c>
      <c r="AG100" s="60" t="s">
        <v>35</v>
      </c>
      <c r="AH100" s="60" t="s">
        <v>35</v>
      </c>
      <c r="AI100" s="58" t="s">
        <v>35</v>
      </c>
      <c r="AJ100" s="59" t="s">
        <v>35</v>
      </c>
      <c r="AK100" s="60" t="s">
        <v>35</v>
      </c>
      <c r="AL100" s="58" t="s">
        <v>35</v>
      </c>
      <c r="AM100" s="59" t="s">
        <v>35</v>
      </c>
      <c r="AN100" s="60" t="s">
        <v>35</v>
      </c>
      <c r="AO100" s="58" t="s">
        <v>35</v>
      </c>
      <c r="AP100" s="33" t="s">
        <v>35</v>
      </c>
      <c r="AQ100" s="33" t="s">
        <v>35</v>
      </c>
    </row>
    <row r="101" spans="2:43">
      <c r="B101" s="42">
        <v>98</v>
      </c>
      <c r="C101" s="86" t="s">
        <v>264</v>
      </c>
      <c r="D101" s="86"/>
      <c r="E101" s="99" t="s">
        <v>69</v>
      </c>
      <c r="F101" s="99" t="s">
        <v>69</v>
      </c>
      <c r="G101" s="99" t="s">
        <v>200</v>
      </c>
      <c r="H101" s="33" t="s">
        <v>35</v>
      </c>
      <c r="I101" s="33" t="s">
        <v>35</v>
      </c>
      <c r="J101" s="33" t="s">
        <v>35</v>
      </c>
      <c r="K101" s="33" t="s">
        <v>35</v>
      </c>
      <c r="L101" s="59" t="s">
        <v>35</v>
      </c>
      <c r="M101" s="60" t="s">
        <v>35</v>
      </c>
      <c r="N101" s="60" t="s">
        <v>35</v>
      </c>
      <c r="O101" s="58" t="s">
        <v>35</v>
      </c>
      <c r="P101" s="59" t="s">
        <v>35</v>
      </c>
      <c r="Q101" s="60" t="s">
        <v>35</v>
      </c>
      <c r="R101" s="60" t="s">
        <v>35</v>
      </c>
      <c r="S101" s="58" t="s">
        <v>35</v>
      </c>
      <c r="T101" s="59" t="s">
        <v>35</v>
      </c>
      <c r="U101" s="60" t="s">
        <v>35</v>
      </c>
      <c r="V101" s="60" t="s">
        <v>35</v>
      </c>
      <c r="W101" s="58" t="s">
        <v>35</v>
      </c>
      <c r="X101" s="59" t="s">
        <v>35</v>
      </c>
      <c r="Y101" s="60" t="s">
        <v>35</v>
      </c>
      <c r="Z101" s="60" t="s">
        <v>35</v>
      </c>
      <c r="AA101" s="58" t="s">
        <v>35</v>
      </c>
      <c r="AB101" s="59" t="s">
        <v>35</v>
      </c>
      <c r="AC101" s="60" t="s">
        <v>35</v>
      </c>
      <c r="AD101" s="60" t="s">
        <v>35</v>
      </c>
      <c r="AE101" s="58" t="s">
        <v>35</v>
      </c>
      <c r="AF101" s="59" t="s">
        <v>35</v>
      </c>
      <c r="AG101" s="60" t="s">
        <v>35</v>
      </c>
      <c r="AH101" s="60" t="s">
        <v>35</v>
      </c>
      <c r="AI101" s="58" t="s">
        <v>35</v>
      </c>
      <c r="AJ101" s="59" t="s">
        <v>35</v>
      </c>
      <c r="AK101" s="60" t="s">
        <v>35</v>
      </c>
      <c r="AL101" s="58" t="s">
        <v>35</v>
      </c>
      <c r="AM101" s="59" t="s">
        <v>35</v>
      </c>
      <c r="AN101" s="60" t="s">
        <v>35</v>
      </c>
      <c r="AO101" s="58" t="s">
        <v>35</v>
      </c>
      <c r="AP101" s="33" t="s">
        <v>35</v>
      </c>
      <c r="AQ101" s="33" t="s">
        <v>35</v>
      </c>
    </row>
    <row r="102" spans="2:43">
      <c r="B102" s="42">
        <v>99</v>
      </c>
      <c r="C102" s="86" t="s">
        <v>264</v>
      </c>
      <c r="D102" s="86"/>
      <c r="E102" s="99" t="s">
        <v>70</v>
      </c>
      <c r="F102" s="99" t="s">
        <v>70</v>
      </c>
      <c r="G102" s="99" t="s">
        <v>200</v>
      </c>
      <c r="H102" s="33" t="s">
        <v>35</v>
      </c>
      <c r="I102" s="33" t="s">
        <v>35</v>
      </c>
      <c r="J102" s="33" t="s">
        <v>35</v>
      </c>
      <c r="K102" s="33" t="s">
        <v>35</v>
      </c>
      <c r="L102" s="59" t="s">
        <v>35</v>
      </c>
      <c r="M102" s="60" t="s">
        <v>35</v>
      </c>
      <c r="N102" s="60" t="s">
        <v>35</v>
      </c>
      <c r="O102" s="58" t="s">
        <v>35</v>
      </c>
      <c r="P102" s="59" t="s">
        <v>35</v>
      </c>
      <c r="Q102" s="60" t="s">
        <v>35</v>
      </c>
      <c r="R102" s="60" t="s">
        <v>35</v>
      </c>
      <c r="S102" s="58" t="s">
        <v>35</v>
      </c>
      <c r="T102" s="59" t="s">
        <v>35</v>
      </c>
      <c r="U102" s="60" t="s">
        <v>35</v>
      </c>
      <c r="V102" s="60" t="s">
        <v>35</v>
      </c>
      <c r="W102" s="58" t="s">
        <v>35</v>
      </c>
      <c r="X102" s="59" t="s">
        <v>35</v>
      </c>
      <c r="Y102" s="60" t="s">
        <v>35</v>
      </c>
      <c r="Z102" s="60" t="s">
        <v>35</v>
      </c>
      <c r="AA102" s="58" t="s">
        <v>35</v>
      </c>
      <c r="AB102" s="59" t="s">
        <v>35</v>
      </c>
      <c r="AC102" s="60" t="s">
        <v>35</v>
      </c>
      <c r="AD102" s="60" t="s">
        <v>35</v>
      </c>
      <c r="AE102" s="58" t="s">
        <v>35</v>
      </c>
      <c r="AF102" s="59" t="s">
        <v>35</v>
      </c>
      <c r="AG102" s="60" t="s">
        <v>35</v>
      </c>
      <c r="AH102" s="60" t="s">
        <v>35</v>
      </c>
      <c r="AI102" s="58" t="s">
        <v>35</v>
      </c>
      <c r="AJ102" s="59" t="s">
        <v>35</v>
      </c>
      <c r="AK102" s="60" t="s">
        <v>35</v>
      </c>
      <c r="AL102" s="58" t="s">
        <v>35</v>
      </c>
      <c r="AM102" s="59" t="s">
        <v>35</v>
      </c>
      <c r="AN102" s="60" t="s">
        <v>35</v>
      </c>
      <c r="AO102" s="58" t="s">
        <v>35</v>
      </c>
      <c r="AP102" s="33" t="s">
        <v>35</v>
      </c>
      <c r="AQ102" s="33" t="s">
        <v>35</v>
      </c>
    </row>
    <row r="103" spans="2:43">
      <c r="B103" s="42">
        <v>100</v>
      </c>
      <c r="C103" s="86" t="s">
        <v>264</v>
      </c>
      <c r="D103" s="86"/>
      <c r="E103" s="99" t="s">
        <v>71</v>
      </c>
      <c r="F103" s="99" t="s">
        <v>71</v>
      </c>
      <c r="G103" s="99" t="s">
        <v>200</v>
      </c>
      <c r="H103" s="33" t="s">
        <v>35</v>
      </c>
      <c r="I103" s="33" t="s">
        <v>35</v>
      </c>
      <c r="J103" s="33" t="s">
        <v>35</v>
      </c>
      <c r="K103" s="33" t="s">
        <v>35</v>
      </c>
      <c r="L103" s="59" t="s">
        <v>35</v>
      </c>
      <c r="M103" s="60" t="s">
        <v>35</v>
      </c>
      <c r="N103" s="60" t="s">
        <v>35</v>
      </c>
      <c r="O103" s="58" t="s">
        <v>35</v>
      </c>
      <c r="P103" s="59" t="s">
        <v>35</v>
      </c>
      <c r="Q103" s="60" t="s">
        <v>35</v>
      </c>
      <c r="R103" s="60" t="s">
        <v>35</v>
      </c>
      <c r="S103" s="58" t="s">
        <v>35</v>
      </c>
      <c r="T103" s="59" t="s">
        <v>35</v>
      </c>
      <c r="U103" s="60" t="s">
        <v>35</v>
      </c>
      <c r="V103" s="60" t="s">
        <v>35</v>
      </c>
      <c r="W103" s="58" t="s">
        <v>35</v>
      </c>
      <c r="X103" s="59" t="s">
        <v>35</v>
      </c>
      <c r="Y103" s="60" t="s">
        <v>35</v>
      </c>
      <c r="Z103" s="60" t="s">
        <v>35</v>
      </c>
      <c r="AA103" s="58" t="s">
        <v>35</v>
      </c>
      <c r="AB103" s="59" t="s">
        <v>35</v>
      </c>
      <c r="AC103" s="60" t="s">
        <v>35</v>
      </c>
      <c r="AD103" s="60" t="s">
        <v>35</v>
      </c>
      <c r="AE103" s="58" t="s">
        <v>35</v>
      </c>
      <c r="AF103" s="59" t="s">
        <v>35</v>
      </c>
      <c r="AG103" s="60" t="s">
        <v>35</v>
      </c>
      <c r="AH103" s="60" t="s">
        <v>35</v>
      </c>
      <c r="AI103" s="58" t="s">
        <v>35</v>
      </c>
      <c r="AJ103" s="59" t="s">
        <v>35</v>
      </c>
      <c r="AK103" s="60" t="s">
        <v>35</v>
      </c>
      <c r="AL103" s="58" t="s">
        <v>35</v>
      </c>
      <c r="AM103" s="59" t="s">
        <v>35</v>
      </c>
      <c r="AN103" s="60" t="s">
        <v>35</v>
      </c>
      <c r="AO103" s="58" t="s">
        <v>35</v>
      </c>
      <c r="AP103" s="33" t="s">
        <v>35</v>
      </c>
      <c r="AQ103" s="33" t="s">
        <v>35</v>
      </c>
    </row>
    <row r="104" spans="2:43">
      <c r="B104" s="42">
        <v>101</v>
      </c>
      <c r="C104" s="86" t="s">
        <v>264</v>
      </c>
      <c r="D104" s="86"/>
      <c r="E104" s="99" t="s">
        <v>72</v>
      </c>
      <c r="F104" s="99" t="s">
        <v>72</v>
      </c>
      <c r="G104" s="99" t="s">
        <v>200</v>
      </c>
      <c r="H104" s="33" t="s">
        <v>35</v>
      </c>
      <c r="I104" s="33" t="s">
        <v>35</v>
      </c>
      <c r="J104" s="33" t="s">
        <v>35</v>
      </c>
      <c r="K104" s="33" t="s">
        <v>35</v>
      </c>
      <c r="L104" s="59" t="s">
        <v>35</v>
      </c>
      <c r="M104" s="60" t="s">
        <v>35</v>
      </c>
      <c r="N104" s="60" t="s">
        <v>35</v>
      </c>
      <c r="O104" s="58" t="s">
        <v>35</v>
      </c>
      <c r="P104" s="59" t="s">
        <v>35</v>
      </c>
      <c r="Q104" s="60" t="s">
        <v>35</v>
      </c>
      <c r="R104" s="60" t="s">
        <v>35</v>
      </c>
      <c r="S104" s="58" t="s">
        <v>35</v>
      </c>
      <c r="T104" s="59" t="s">
        <v>35</v>
      </c>
      <c r="U104" s="60" t="s">
        <v>35</v>
      </c>
      <c r="V104" s="60" t="s">
        <v>35</v>
      </c>
      <c r="W104" s="58" t="s">
        <v>35</v>
      </c>
      <c r="X104" s="59" t="s">
        <v>35</v>
      </c>
      <c r="Y104" s="60" t="s">
        <v>35</v>
      </c>
      <c r="Z104" s="60" t="s">
        <v>35</v>
      </c>
      <c r="AA104" s="58" t="s">
        <v>35</v>
      </c>
      <c r="AB104" s="59" t="s">
        <v>35</v>
      </c>
      <c r="AC104" s="60" t="s">
        <v>35</v>
      </c>
      <c r="AD104" s="60" t="s">
        <v>35</v>
      </c>
      <c r="AE104" s="58" t="s">
        <v>35</v>
      </c>
      <c r="AF104" s="59" t="s">
        <v>35</v>
      </c>
      <c r="AG104" s="60" t="s">
        <v>35</v>
      </c>
      <c r="AH104" s="60" t="s">
        <v>35</v>
      </c>
      <c r="AI104" s="58" t="s">
        <v>35</v>
      </c>
      <c r="AJ104" s="59" t="s">
        <v>35</v>
      </c>
      <c r="AK104" s="60" t="s">
        <v>35</v>
      </c>
      <c r="AL104" s="58" t="s">
        <v>35</v>
      </c>
      <c r="AM104" s="59" t="s">
        <v>35</v>
      </c>
      <c r="AN104" s="60" t="s">
        <v>35</v>
      </c>
      <c r="AO104" s="58" t="s">
        <v>35</v>
      </c>
      <c r="AP104" s="33" t="s">
        <v>35</v>
      </c>
      <c r="AQ104" s="33" t="s">
        <v>35</v>
      </c>
    </row>
    <row r="105" spans="2:43">
      <c r="B105" s="42">
        <v>102</v>
      </c>
      <c r="C105" s="86" t="s">
        <v>264</v>
      </c>
      <c r="D105" s="86"/>
      <c r="E105" s="99" t="s">
        <v>73</v>
      </c>
      <c r="F105" s="99" t="s">
        <v>73</v>
      </c>
      <c r="G105" s="99" t="s">
        <v>200</v>
      </c>
      <c r="H105" s="33" t="s">
        <v>35</v>
      </c>
      <c r="I105" s="33" t="s">
        <v>35</v>
      </c>
      <c r="J105" s="33" t="s">
        <v>35</v>
      </c>
      <c r="K105" s="33" t="s">
        <v>35</v>
      </c>
      <c r="L105" s="59" t="s">
        <v>35</v>
      </c>
      <c r="M105" s="60" t="s">
        <v>35</v>
      </c>
      <c r="N105" s="60" t="s">
        <v>35</v>
      </c>
      <c r="O105" s="58" t="s">
        <v>35</v>
      </c>
      <c r="P105" s="59" t="s">
        <v>35</v>
      </c>
      <c r="Q105" s="60" t="s">
        <v>35</v>
      </c>
      <c r="R105" s="60" t="s">
        <v>35</v>
      </c>
      <c r="S105" s="58" t="s">
        <v>35</v>
      </c>
      <c r="T105" s="59" t="s">
        <v>35</v>
      </c>
      <c r="U105" s="60" t="s">
        <v>35</v>
      </c>
      <c r="V105" s="60" t="s">
        <v>35</v>
      </c>
      <c r="W105" s="58" t="s">
        <v>35</v>
      </c>
      <c r="X105" s="59" t="s">
        <v>35</v>
      </c>
      <c r="Y105" s="60" t="s">
        <v>35</v>
      </c>
      <c r="Z105" s="60" t="s">
        <v>35</v>
      </c>
      <c r="AA105" s="58" t="s">
        <v>35</v>
      </c>
      <c r="AB105" s="59" t="s">
        <v>35</v>
      </c>
      <c r="AC105" s="60" t="s">
        <v>35</v>
      </c>
      <c r="AD105" s="60" t="s">
        <v>35</v>
      </c>
      <c r="AE105" s="58" t="s">
        <v>35</v>
      </c>
      <c r="AF105" s="59" t="s">
        <v>35</v>
      </c>
      <c r="AG105" s="60" t="s">
        <v>35</v>
      </c>
      <c r="AH105" s="60" t="s">
        <v>35</v>
      </c>
      <c r="AI105" s="58" t="s">
        <v>35</v>
      </c>
      <c r="AJ105" s="59" t="s">
        <v>35</v>
      </c>
      <c r="AK105" s="60" t="s">
        <v>35</v>
      </c>
      <c r="AL105" s="58" t="s">
        <v>35</v>
      </c>
      <c r="AM105" s="59" t="s">
        <v>35</v>
      </c>
      <c r="AN105" s="60" t="s">
        <v>35</v>
      </c>
      <c r="AO105" s="58" t="s">
        <v>35</v>
      </c>
      <c r="AP105" s="33" t="s">
        <v>35</v>
      </c>
      <c r="AQ105" s="33" t="s">
        <v>35</v>
      </c>
    </row>
    <row r="106" spans="2:43">
      <c r="B106" s="42">
        <v>103</v>
      </c>
      <c r="C106" s="86" t="s">
        <v>264</v>
      </c>
      <c r="D106" s="86"/>
      <c r="E106" s="99" t="s">
        <v>74</v>
      </c>
      <c r="F106" s="99" t="s">
        <v>74</v>
      </c>
      <c r="G106" s="99" t="s">
        <v>200</v>
      </c>
      <c r="H106" s="33" t="s">
        <v>35</v>
      </c>
      <c r="I106" s="33" t="s">
        <v>35</v>
      </c>
      <c r="J106" s="33" t="s">
        <v>35</v>
      </c>
      <c r="K106" s="33" t="s">
        <v>35</v>
      </c>
      <c r="L106" s="59" t="s">
        <v>35</v>
      </c>
      <c r="M106" s="60" t="s">
        <v>35</v>
      </c>
      <c r="N106" s="60" t="s">
        <v>35</v>
      </c>
      <c r="O106" s="58" t="s">
        <v>35</v>
      </c>
      <c r="P106" s="59" t="s">
        <v>35</v>
      </c>
      <c r="Q106" s="60" t="s">
        <v>35</v>
      </c>
      <c r="R106" s="60" t="s">
        <v>35</v>
      </c>
      <c r="S106" s="58" t="s">
        <v>35</v>
      </c>
      <c r="T106" s="59" t="s">
        <v>35</v>
      </c>
      <c r="U106" s="60" t="s">
        <v>35</v>
      </c>
      <c r="V106" s="60" t="s">
        <v>35</v>
      </c>
      <c r="W106" s="58" t="s">
        <v>35</v>
      </c>
      <c r="X106" s="59" t="s">
        <v>35</v>
      </c>
      <c r="Y106" s="60" t="s">
        <v>35</v>
      </c>
      <c r="Z106" s="60" t="s">
        <v>35</v>
      </c>
      <c r="AA106" s="58" t="s">
        <v>35</v>
      </c>
      <c r="AB106" s="59" t="s">
        <v>35</v>
      </c>
      <c r="AC106" s="60" t="s">
        <v>35</v>
      </c>
      <c r="AD106" s="60" t="s">
        <v>35</v>
      </c>
      <c r="AE106" s="58" t="s">
        <v>35</v>
      </c>
      <c r="AF106" s="59" t="s">
        <v>35</v>
      </c>
      <c r="AG106" s="60" t="s">
        <v>35</v>
      </c>
      <c r="AH106" s="60" t="s">
        <v>35</v>
      </c>
      <c r="AI106" s="58" t="s">
        <v>35</v>
      </c>
      <c r="AJ106" s="59" t="s">
        <v>35</v>
      </c>
      <c r="AK106" s="60" t="s">
        <v>35</v>
      </c>
      <c r="AL106" s="58" t="s">
        <v>35</v>
      </c>
      <c r="AM106" s="59" t="s">
        <v>35</v>
      </c>
      <c r="AN106" s="60" t="s">
        <v>35</v>
      </c>
      <c r="AO106" s="58" t="s">
        <v>35</v>
      </c>
      <c r="AP106" s="33" t="s">
        <v>35</v>
      </c>
      <c r="AQ106" s="33" t="s">
        <v>35</v>
      </c>
    </row>
    <row r="107" spans="2:43">
      <c r="B107" s="42">
        <v>104</v>
      </c>
      <c r="C107" s="86" t="s">
        <v>264</v>
      </c>
      <c r="D107" s="86"/>
      <c r="E107" s="99" t="s">
        <v>75</v>
      </c>
      <c r="F107" s="99" t="s">
        <v>75</v>
      </c>
      <c r="G107" s="99" t="s">
        <v>200</v>
      </c>
      <c r="H107" s="33" t="s">
        <v>35</v>
      </c>
      <c r="I107" s="33" t="s">
        <v>35</v>
      </c>
      <c r="J107" s="33" t="s">
        <v>35</v>
      </c>
      <c r="K107" s="33" t="s">
        <v>35</v>
      </c>
      <c r="L107" s="59" t="s">
        <v>35</v>
      </c>
      <c r="M107" s="60" t="s">
        <v>35</v>
      </c>
      <c r="N107" s="60" t="s">
        <v>35</v>
      </c>
      <c r="O107" s="58" t="s">
        <v>35</v>
      </c>
      <c r="P107" s="59" t="s">
        <v>35</v>
      </c>
      <c r="Q107" s="60" t="s">
        <v>35</v>
      </c>
      <c r="R107" s="60" t="s">
        <v>35</v>
      </c>
      <c r="S107" s="58" t="s">
        <v>35</v>
      </c>
      <c r="T107" s="59" t="s">
        <v>35</v>
      </c>
      <c r="U107" s="60" t="s">
        <v>35</v>
      </c>
      <c r="V107" s="60" t="s">
        <v>35</v>
      </c>
      <c r="W107" s="58" t="s">
        <v>35</v>
      </c>
      <c r="X107" s="59" t="s">
        <v>35</v>
      </c>
      <c r="Y107" s="60" t="s">
        <v>35</v>
      </c>
      <c r="Z107" s="60" t="s">
        <v>35</v>
      </c>
      <c r="AA107" s="58" t="s">
        <v>35</v>
      </c>
      <c r="AB107" s="59" t="s">
        <v>35</v>
      </c>
      <c r="AC107" s="60" t="s">
        <v>35</v>
      </c>
      <c r="AD107" s="60" t="s">
        <v>35</v>
      </c>
      <c r="AE107" s="58" t="s">
        <v>35</v>
      </c>
      <c r="AF107" s="59" t="s">
        <v>35</v>
      </c>
      <c r="AG107" s="60" t="s">
        <v>35</v>
      </c>
      <c r="AH107" s="60" t="s">
        <v>35</v>
      </c>
      <c r="AI107" s="58" t="s">
        <v>35</v>
      </c>
      <c r="AJ107" s="59" t="s">
        <v>35</v>
      </c>
      <c r="AK107" s="60" t="s">
        <v>35</v>
      </c>
      <c r="AL107" s="58" t="s">
        <v>35</v>
      </c>
      <c r="AM107" s="59" t="s">
        <v>35</v>
      </c>
      <c r="AN107" s="60" t="s">
        <v>35</v>
      </c>
      <c r="AO107" s="58" t="s">
        <v>35</v>
      </c>
      <c r="AP107" s="33" t="s">
        <v>35</v>
      </c>
      <c r="AQ107" s="33" t="s">
        <v>35</v>
      </c>
    </row>
    <row r="108" spans="2:43">
      <c r="B108" s="42">
        <v>105</v>
      </c>
      <c r="C108" s="86" t="s">
        <v>264</v>
      </c>
      <c r="D108" s="86"/>
      <c r="E108" s="99" t="s">
        <v>76</v>
      </c>
      <c r="F108" s="99" t="s">
        <v>76</v>
      </c>
      <c r="G108" s="99" t="s">
        <v>200</v>
      </c>
      <c r="H108" s="33" t="s">
        <v>35</v>
      </c>
      <c r="I108" s="33" t="s">
        <v>35</v>
      </c>
      <c r="J108" s="33" t="s">
        <v>35</v>
      </c>
      <c r="K108" s="33" t="s">
        <v>35</v>
      </c>
      <c r="L108" s="59" t="s">
        <v>35</v>
      </c>
      <c r="M108" s="60" t="s">
        <v>35</v>
      </c>
      <c r="N108" s="60" t="s">
        <v>35</v>
      </c>
      <c r="O108" s="58" t="s">
        <v>35</v>
      </c>
      <c r="P108" s="59" t="s">
        <v>35</v>
      </c>
      <c r="Q108" s="60" t="s">
        <v>35</v>
      </c>
      <c r="R108" s="60" t="s">
        <v>35</v>
      </c>
      <c r="S108" s="58" t="s">
        <v>35</v>
      </c>
      <c r="T108" s="59" t="s">
        <v>35</v>
      </c>
      <c r="U108" s="60" t="s">
        <v>35</v>
      </c>
      <c r="V108" s="60" t="s">
        <v>35</v>
      </c>
      <c r="W108" s="58" t="s">
        <v>35</v>
      </c>
      <c r="X108" s="59" t="s">
        <v>35</v>
      </c>
      <c r="Y108" s="60" t="s">
        <v>35</v>
      </c>
      <c r="Z108" s="60" t="s">
        <v>35</v>
      </c>
      <c r="AA108" s="58" t="s">
        <v>35</v>
      </c>
      <c r="AB108" s="59" t="s">
        <v>35</v>
      </c>
      <c r="AC108" s="60" t="s">
        <v>35</v>
      </c>
      <c r="AD108" s="60" t="s">
        <v>35</v>
      </c>
      <c r="AE108" s="58" t="s">
        <v>35</v>
      </c>
      <c r="AF108" s="59" t="s">
        <v>35</v>
      </c>
      <c r="AG108" s="60" t="s">
        <v>35</v>
      </c>
      <c r="AH108" s="60" t="s">
        <v>35</v>
      </c>
      <c r="AI108" s="58" t="s">
        <v>35</v>
      </c>
      <c r="AJ108" s="59" t="s">
        <v>35</v>
      </c>
      <c r="AK108" s="60" t="s">
        <v>35</v>
      </c>
      <c r="AL108" s="58" t="s">
        <v>35</v>
      </c>
      <c r="AM108" s="59" t="s">
        <v>35</v>
      </c>
      <c r="AN108" s="60" t="s">
        <v>35</v>
      </c>
      <c r="AO108" s="58" t="s">
        <v>35</v>
      </c>
      <c r="AP108" s="33" t="s">
        <v>35</v>
      </c>
      <c r="AQ108" s="33" t="s">
        <v>35</v>
      </c>
    </row>
    <row r="109" spans="2:43">
      <c r="B109" s="42">
        <v>106</v>
      </c>
      <c r="C109" s="86" t="s">
        <v>264</v>
      </c>
      <c r="D109" s="86"/>
      <c r="E109" s="99" t="s">
        <v>125</v>
      </c>
      <c r="F109" s="99" t="s">
        <v>125</v>
      </c>
      <c r="G109" s="99" t="s">
        <v>200</v>
      </c>
      <c r="H109" s="33" t="s">
        <v>35</v>
      </c>
      <c r="I109" s="33" t="s">
        <v>35</v>
      </c>
      <c r="J109" s="33" t="s">
        <v>35</v>
      </c>
      <c r="K109" s="33" t="s">
        <v>35</v>
      </c>
      <c r="L109" s="59" t="s">
        <v>35</v>
      </c>
      <c r="M109" s="60" t="s">
        <v>35</v>
      </c>
      <c r="N109" s="60" t="s">
        <v>35</v>
      </c>
      <c r="O109" s="58" t="s">
        <v>35</v>
      </c>
      <c r="P109" s="59" t="s">
        <v>35</v>
      </c>
      <c r="Q109" s="60" t="s">
        <v>35</v>
      </c>
      <c r="R109" s="60" t="s">
        <v>35</v>
      </c>
      <c r="S109" s="58" t="s">
        <v>35</v>
      </c>
      <c r="T109" s="59" t="s">
        <v>35</v>
      </c>
      <c r="U109" s="60" t="s">
        <v>35</v>
      </c>
      <c r="V109" s="60" t="s">
        <v>35</v>
      </c>
      <c r="W109" s="58" t="s">
        <v>35</v>
      </c>
      <c r="X109" s="59" t="s">
        <v>35</v>
      </c>
      <c r="Y109" s="60" t="s">
        <v>35</v>
      </c>
      <c r="Z109" s="60" t="s">
        <v>35</v>
      </c>
      <c r="AA109" s="58" t="s">
        <v>35</v>
      </c>
      <c r="AB109" s="59" t="s">
        <v>35</v>
      </c>
      <c r="AC109" s="60" t="s">
        <v>35</v>
      </c>
      <c r="AD109" s="60" t="s">
        <v>35</v>
      </c>
      <c r="AE109" s="58" t="s">
        <v>35</v>
      </c>
      <c r="AF109" s="59" t="s">
        <v>35</v>
      </c>
      <c r="AG109" s="60" t="s">
        <v>35</v>
      </c>
      <c r="AH109" s="60" t="s">
        <v>35</v>
      </c>
      <c r="AI109" s="58" t="s">
        <v>35</v>
      </c>
      <c r="AJ109" s="59" t="s">
        <v>35</v>
      </c>
      <c r="AK109" s="60" t="s">
        <v>35</v>
      </c>
      <c r="AL109" s="58" t="s">
        <v>35</v>
      </c>
      <c r="AM109" s="59" t="s">
        <v>35</v>
      </c>
      <c r="AN109" s="60" t="s">
        <v>35</v>
      </c>
      <c r="AO109" s="58" t="s">
        <v>35</v>
      </c>
      <c r="AP109" s="33" t="s">
        <v>35</v>
      </c>
      <c r="AQ109" s="33" t="s">
        <v>35</v>
      </c>
    </row>
    <row r="110" spans="2:43">
      <c r="B110" s="42">
        <v>107</v>
      </c>
      <c r="C110" s="86" t="s">
        <v>264</v>
      </c>
      <c r="D110" s="86"/>
      <c r="E110" s="99" t="s">
        <v>127</v>
      </c>
      <c r="F110" s="99" t="s">
        <v>127</v>
      </c>
      <c r="G110" s="99" t="s">
        <v>200</v>
      </c>
      <c r="H110" s="33" t="s">
        <v>35</v>
      </c>
      <c r="I110" s="33" t="s">
        <v>35</v>
      </c>
      <c r="J110" s="33" t="s">
        <v>35</v>
      </c>
      <c r="K110" s="33" t="s">
        <v>35</v>
      </c>
      <c r="L110" s="59" t="s">
        <v>35</v>
      </c>
      <c r="M110" s="60" t="s">
        <v>35</v>
      </c>
      <c r="N110" s="60" t="s">
        <v>35</v>
      </c>
      <c r="O110" s="58" t="s">
        <v>35</v>
      </c>
      <c r="P110" s="59" t="s">
        <v>35</v>
      </c>
      <c r="Q110" s="60" t="s">
        <v>35</v>
      </c>
      <c r="R110" s="60" t="s">
        <v>35</v>
      </c>
      <c r="S110" s="58" t="s">
        <v>35</v>
      </c>
      <c r="T110" s="59" t="s">
        <v>35</v>
      </c>
      <c r="U110" s="60" t="s">
        <v>35</v>
      </c>
      <c r="V110" s="60" t="s">
        <v>35</v>
      </c>
      <c r="W110" s="58" t="s">
        <v>35</v>
      </c>
      <c r="X110" s="59" t="s">
        <v>35</v>
      </c>
      <c r="Y110" s="60" t="s">
        <v>35</v>
      </c>
      <c r="Z110" s="60" t="s">
        <v>35</v>
      </c>
      <c r="AA110" s="58" t="s">
        <v>35</v>
      </c>
      <c r="AB110" s="59" t="s">
        <v>35</v>
      </c>
      <c r="AC110" s="60" t="s">
        <v>35</v>
      </c>
      <c r="AD110" s="60" t="s">
        <v>35</v>
      </c>
      <c r="AE110" s="58" t="s">
        <v>35</v>
      </c>
      <c r="AF110" s="59" t="s">
        <v>35</v>
      </c>
      <c r="AG110" s="60" t="s">
        <v>35</v>
      </c>
      <c r="AH110" s="60" t="s">
        <v>35</v>
      </c>
      <c r="AI110" s="58" t="s">
        <v>35</v>
      </c>
      <c r="AJ110" s="59" t="s">
        <v>35</v>
      </c>
      <c r="AK110" s="60" t="s">
        <v>35</v>
      </c>
      <c r="AL110" s="58" t="s">
        <v>35</v>
      </c>
      <c r="AM110" s="59" t="s">
        <v>35</v>
      </c>
      <c r="AN110" s="60" t="s">
        <v>35</v>
      </c>
      <c r="AO110" s="58" t="s">
        <v>35</v>
      </c>
      <c r="AP110" s="33" t="s">
        <v>35</v>
      </c>
      <c r="AQ110" s="33" t="s">
        <v>35</v>
      </c>
    </row>
    <row r="111" spans="2:43">
      <c r="B111" s="42">
        <v>108</v>
      </c>
      <c r="C111" s="86" t="s">
        <v>264</v>
      </c>
      <c r="D111" s="86"/>
      <c r="E111" s="99" t="s">
        <v>130</v>
      </c>
      <c r="F111" s="99" t="s">
        <v>130</v>
      </c>
      <c r="G111" s="99" t="s">
        <v>200</v>
      </c>
      <c r="H111" s="33" t="s">
        <v>35</v>
      </c>
      <c r="I111" s="33" t="s">
        <v>35</v>
      </c>
      <c r="J111" s="33" t="s">
        <v>35</v>
      </c>
      <c r="K111" s="33" t="s">
        <v>35</v>
      </c>
      <c r="L111" s="59" t="s">
        <v>35</v>
      </c>
      <c r="M111" s="60" t="s">
        <v>35</v>
      </c>
      <c r="N111" s="60" t="s">
        <v>35</v>
      </c>
      <c r="O111" s="58" t="s">
        <v>35</v>
      </c>
      <c r="P111" s="59" t="s">
        <v>35</v>
      </c>
      <c r="Q111" s="60" t="s">
        <v>35</v>
      </c>
      <c r="R111" s="60" t="s">
        <v>35</v>
      </c>
      <c r="S111" s="58" t="s">
        <v>35</v>
      </c>
      <c r="T111" s="59" t="s">
        <v>35</v>
      </c>
      <c r="U111" s="60" t="s">
        <v>35</v>
      </c>
      <c r="V111" s="60" t="s">
        <v>35</v>
      </c>
      <c r="W111" s="58" t="s">
        <v>35</v>
      </c>
      <c r="X111" s="59" t="s">
        <v>35</v>
      </c>
      <c r="Y111" s="60" t="s">
        <v>35</v>
      </c>
      <c r="Z111" s="60" t="s">
        <v>35</v>
      </c>
      <c r="AA111" s="58" t="s">
        <v>35</v>
      </c>
      <c r="AB111" s="59" t="s">
        <v>35</v>
      </c>
      <c r="AC111" s="60" t="s">
        <v>35</v>
      </c>
      <c r="AD111" s="60" t="s">
        <v>35</v>
      </c>
      <c r="AE111" s="58" t="s">
        <v>35</v>
      </c>
      <c r="AF111" s="59" t="s">
        <v>35</v>
      </c>
      <c r="AG111" s="60" t="s">
        <v>35</v>
      </c>
      <c r="AH111" s="60" t="s">
        <v>35</v>
      </c>
      <c r="AI111" s="58" t="s">
        <v>35</v>
      </c>
      <c r="AJ111" s="59" t="s">
        <v>35</v>
      </c>
      <c r="AK111" s="60" t="s">
        <v>35</v>
      </c>
      <c r="AL111" s="58" t="s">
        <v>35</v>
      </c>
      <c r="AM111" s="59" t="s">
        <v>35</v>
      </c>
      <c r="AN111" s="60" t="s">
        <v>35</v>
      </c>
      <c r="AO111" s="58" t="s">
        <v>35</v>
      </c>
      <c r="AP111" s="33" t="s">
        <v>35</v>
      </c>
      <c r="AQ111" s="33" t="s">
        <v>35</v>
      </c>
    </row>
    <row r="112" spans="2:43">
      <c r="B112" s="42">
        <v>109</v>
      </c>
      <c r="C112" s="86" t="s">
        <v>264</v>
      </c>
      <c r="D112" s="86"/>
      <c r="E112" s="99" t="s">
        <v>131</v>
      </c>
      <c r="F112" s="99" t="s">
        <v>131</v>
      </c>
      <c r="G112" s="99" t="s">
        <v>200</v>
      </c>
      <c r="H112" s="33" t="s">
        <v>35</v>
      </c>
      <c r="I112" s="33" t="s">
        <v>35</v>
      </c>
      <c r="J112" s="33" t="s">
        <v>35</v>
      </c>
      <c r="K112" s="33" t="s">
        <v>35</v>
      </c>
      <c r="L112" s="59" t="s">
        <v>35</v>
      </c>
      <c r="M112" s="60" t="s">
        <v>35</v>
      </c>
      <c r="N112" s="60" t="s">
        <v>35</v>
      </c>
      <c r="O112" s="58" t="s">
        <v>35</v>
      </c>
      <c r="P112" s="59" t="s">
        <v>35</v>
      </c>
      <c r="Q112" s="60" t="s">
        <v>35</v>
      </c>
      <c r="R112" s="60" t="s">
        <v>35</v>
      </c>
      <c r="S112" s="58" t="s">
        <v>35</v>
      </c>
      <c r="T112" s="59" t="s">
        <v>35</v>
      </c>
      <c r="U112" s="60" t="s">
        <v>35</v>
      </c>
      <c r="V112" s="60" t="s">
        <v>35</v>
      </c>
      <c r="W112" s="58" t="s">
        <v>35</v>
      </c>
      <c r="X112" s="59" t="s">
        <v>35</v>
      </c>
      <c r="Y112" s="60" t="s">
        <v>35</v>
      </c>
      <c r="Z112" s="60" t="s">
        <v>35</v>
      </c>
      <c r="AA112" s="58" t="s">
        <v>35</v>
      </c>
      <c r="AB112" s="59" t="s">
        <v>35</v>
      </c>
      <c r="AC112" s="60" t="s">
        <v>35</v>
      </c>
      <c r="AD112" s="60" t="s">
        <v>35</v>
      </c>
      <c r="AE112" s="58" t="s">
        <v>35</v>
      </c>
      <c r="AF112" s="59" t="s">
        <v>35</v>
      </c>
      <c r="AG112" s="60" t="s">
        <v>35</v>
      </c>
      <c r="AH112" s="60" t="s">
        <v>35</v>
      </c>
      <c r="AI112" s="58" t="s">
        <v>35</v>
      </c>
      <c r="AJ112" s="59" t="s">
        <v>35</v>
      </c>
      <c r="AK112" s="60" t="s">
        <v>35</v>
      </c>
      <c r="AL112" s="58" t="s">
        <v>35</v>
      </c>
      <c r="AM112" s="59" t="s">
        <v>35</v>
      </c>
      <c r="AN112" s="60" t="s">
        <v>35</v>
      </c>
      <c r="AO112" s="58" t="s">
        <v>35</v>
      </c>
      <c r="AP112" s="33" t="s">
        <v>35</v>
      </c>
      <c r="AQ112" s="33" t="s">
        <v>35</v>
      </c>
    </row>
    <row r="113" spans="2:43">
      <c r="B113" s="42">
        <v>110</v>
      </c>
      <c r="C113" s="96" t="s">
        <v>264</v>
      </c>
      <c r="D113" s="86"/>
      <c r="E113" s="99" t="s">
        <v>138</v>
      </c>
      <c r="F113" s="99" t="s">
        <v>138</v>
      </c>
      <c r="G113" s="99" t="s">
        <v>200</v>
      </c>
      <c r="H113" s="33" t="s">
        <v>35</v>
      </c>
      <c r="I113" s="33" t="s">
        <v>35</v>
      </c>
      <c r="J113" s="33" t="s">
        <v>35</v>
      </c>
      <c r="K113" s="33" t="s">
        <v>35</v>
      </c>
      <c r="L113" s="59" t="s">
        <v>35</v>
      </c>
      <c r="M113" s="60" t="s">
        <v>35</v>
      </c>
      <c r="N113" s="60" t="s">
        <v>35</v>
      </c>
      <c r="O113" s="58" t="s">
        <v>35</v>
      </c>
      <c r="P113" s="59" t="s">
        <v>35</v>
      </c>
      <c r="Q113" s="60" t="s">
        <v>35</v>
      </c>
      <c r="R113" s="60" t="s">
        <v>35</v>
      </c>
      <c r="S113" s="58" t="s">
        <v>35</v>
      </c>
      <c r="T113" s="59" t="s">
        <v>35</v>
      </c>
      <c r="U113" s="60" t="s">
        <v>35</v>
      </c>
      <c r="V113" s="60" t="s">
        <v>35</v>
      </c>
      <c r="W113" s="58" t="s">
        <v>35</v>
      </c>
      <c r="X113" s="59" t="s">
        <v>35</v>
      </c>
      <c r="Y113" s="60" t="s">
        <v>35</v>
      </c>
      <c r="Z113" s="60" t="s">
        <v>35</v>
      </c>
      <c r="AA113" s="58" t="s">
        <v>35</v>
      </c>
      <c r="AB113" s="59" t="s">
        <v>35</v>
      </c>
      <c r="AC113" s="60" t="s">
        <v>35</v>
      </c>
      <c r="AD113" s="60" t="s">
        <v>35</v>
      </c>
      <c r="AE113" s="58" t="s">
        <v>35</v>
      </c>
      <c r="AF113" s="59" t="s">
        <v>35</v>
      </c>
      <c r="AG113" s="60" t="s">
        <v>35</v>
      </c>
      <c r="AH113" s="60" t="s">
        <v>35</v>
      </c>
      <c r="AI113" s="58" t="s">
        <v>35</v>
      </c>
      <c r="AJ113" s="59" t="s">
        <v>35</v>
      </c>
      <c r="AK113" s="60" t="s">
        <v>35</v>
      </c>
      <c r="AL113" s="58" t="s">
        <v>35</v>
      </c>
      <c r="AM113" s="59" t="s">
        <v>35</v>
      </c>
      <c r="AN113" s="60" t="s">
        <v>35</v>
      </c>
      <c r="AO113" s="58" t="s">
        <v>35</v>
      </c>
      <c r="AP113" s="33" t="s">
        <v>35</v>
      </c>
      <c r="AQ113" s="33" t="s">
        <v>35</v>
      </c>
    </row>
    <row r="114" spans="2:43">
      <c r="B114" s="42">
        <v>111</v>
      </c>
      <c r="C114" s="93" t="s">
        <v>266</v>
      </c>
      <c r="D114" s="94" t="s">
        <v>259</v>
      </c>
      <c r="E114" s="99" t="s">
        <v>42</v>
      </c>
      <c r="F114" s="99" t="s">
        <v>42</v>
      </c>
      <c r="G114" s="99" t="s">
        <v>200</v>
      </c>
      <c r="H114" s="33" t="s">
        <v>35</v>
      </c>
      <c r="I114" s="33" t="s">
        <v>35</v>
      </c>
      <c r="J114" s="33" t="s">
        <v>35</v>
      </c>
      <c r="K114" s="33" t="s">
        <v>35</v>
      </c>
      <c r="L114" s="59" t="s">
        <v>35</v>
      </c>
      <c r="M114" s="60" t="s">
        <v>35</v>
      </c>
      <c r="N114" s="60" t="s">
        <v>35</v>
      </c>
      <c r="O114" s="58" t="s">
        <v>35</v>
      </c>
      <c r="P114" s="59" t="s">
        <v>35</v>
      </c>
      <c r="Q114" s="60" t="s">
        <v>35</v>
      </c>
      <c r="R114" s="60" t="s">
        <v>35</v>
      </c>
      <c r="S114" s="58" t="s">
        <v>35</v>
      </c>
      <c r="T114" s="59" t="s">
        <v>35</v>
      </c>
      <c r="U114" s="60" t="s">
        <v>35</v>
      </c>
      <c r="V114" s="60" t="s">
        <v>35</v>
      </c>
      <c r="W114" s="58" t="s">
        <v>35</v>
      </c>
      <c r="X114" s="59" t="s">
        <v>35</v>
      </c>
      <c r="Y114" s="60" t="s">
        <v>35</v>
      </c>
      <c r="Z114" s="60" t="s">
        <v>35</v>
      </c>
      <c r="AA114" s="58" t="s">
        <v>35</v>
      </c>
      <c r="AB114" s="59" t="s">
        <v>35</v>
      </c>
      <c r="AC114" s="60" t="s">
        <v>35</v>
      </c>
      <c r="AD114" s="60" t="s">
        <v>35</v>
      </c>
      <c r="AE114" s="58" t="s">
        <v>35</v>
      </c>
      <c r="AF114" s="59" t="s">
        <v>35</v>
      </c>
      <c r="AG114" s="60" t="s">
        <v>35</v>
      </c>
      <c r="AH114" s="60" t="s">
        <v>35</v>
      </c>
      <c r="AI114" s="58" t="s">
        <v>35</v>
      </c>
      <c r="AJ114" s="59" t="s">
        <v>35</v>
      </c>
      <c r="AK114" s="60" t="s">
        <v>35</v>
      </c>
      <c r="AL114" s="58" t="s">
        <v>35</v>
      </c>
      <c r="AM114" s="59" t="s">
        <v>35</v>
      </c>
      <c r="AN114" s="60" t="s">
        <v>35</v>
      </c>
      <c r="AO114" s="58" t="s">
        <v>35</v>
      </c>
      <c r="AP114" s="33" t="s">
        <v>35</v>
      </c>
      <c r="AQ114" s="33" t="s">
        <v>35</v>
      </c>
    </row>
    <row r="115" spans="2:43">
      <c r="B115" s="42">
        <v>112</v>
      </c>
      <c r="C115" s="86" t="s">
        <v>265</v>
      </c>
      <c r="D115" s="86"/>
      <c r="E115" s="99" t="s">
        <v>43</v>
      </c>
      <c r="F115" s="99" t="s">
        <v>43</v>
      </c>
      <c r="G115" s="99" t="s">
        <v>200</v>
      </c>
      <c r="H115" s="33" t="s">
        <v>35</v>
      </c>
      <c r="I115" s="33" t="s">
        <v>35</v>
      </c>
      <c r="J115" s="33" t="s">
        <v>35</v>
      </c>
      <c r="K115" s="33" t="s">
        <v>35</v>
      </c>
      <c r="L115" s="59" t="s">
        <v>35</v>
      </c>
      <c r="M115" s="60" t="s">
        <v>35</v>
      </c>
      <c r="N115" s="60" t="s">
        <v>35</v>
      </c>
      <c r="O115" s="58" t="s">
        <v>35</v>
      </c>
      <c r="P115" s="59" t="s">
        <v>35</v>
      </c>
      <c r="Q115" s="60" t="s">
        <v>35</v>
      </c>
      <c r="R115" s="60" t="s">
        <v>35</v>
      </c>
      <c r="S115" s="58" t="s">
        <v>35</v>
      </c>
      <c r="T115" s="59" t="s">
        <v>35</v>
      </c>
      <c r="U115" s="60" t="s">
        <v>35</v>
      </c>
      <c r="V115" s="60" t="s">
        <v>35</v>
      </c>
      <c r="W115" s="58" t="s">
        <v>35</v>
      </c>
      <c r="X115" s="59" t="s">
        <v>35</v>
      </c>
      <c r="Y115" s="60" t="s">
        <v>35</v>
      </c>
      <c r="Z115" s="60" t="s">
        <v>35</v>
      </c>
      <c r="AA115" s="58" t="s">
        <v>35</v>
      </c>
      <c r="AB115" s="59" t="s">
        <v>35</v>
      </c>
      <c r="AC115" s="60" t="s">
        <v>35</v>
      </c>
      <c r="AD115" s="60" t="s">
        <v>35</v>
      </c>
      <c r="AE115" s="58" t="s">
        <v>35</v>
      </c>
      <c r="AF115" s="59" t="s">
        <v>35</v>
      </c>
      <c r="AG115" s="60" t="s">
        <v>35</v>
      </c>
      <c r="AH115" s="60" t="s">
        <v>35</v>
      </c>
      <c r="AI115" s="58" t="s">
        <v>35</v>
      </c>
      <c r="AJ115" s="59" t="s">
        <v>35</v>
      </c>
      <c r="AK115" s="60" t="s">
        <v>35</v>
      </c>
      <c r="AL115" s="58" t="s">
        <v>35</v>
      </c>
      <c r="AM115" s="59" t="s">
        <v>35</v>
      </c>
      <c r="AN115" s="60" t="s">
        <v>35</v>
      </c>
      <c r="AO115" s="58" t="s">
        <v>35</v>
      </c>
      <c r="AP115" s="33" t="s">
        <v>35</v>
      </c>
      <c r="AQ115" s="33" t="s">
        <v>35</v>
      </c>
    </row>
    <row r="116" spans="2:43">
      <c r="B116" s="42">
        <v>113</v>
      </c>
      <c r="C116" s="86" t="s">
        <v>265</v>
      </c>
      <c r="D116" s="86"/>
      <c r="E116" s="99" t="s">
        <v>44</v>
      </c>
      <c r="F116" s="99" t="s">
        <v>44</v>
      </c>
      <c r="G116" s="99" t="s">
        <v>200</v>
      </c>
      <c r="H116" s="33" t="s">
        <v>35</v>
      </c>
      <c r="I116" s="33" t="s">
        <v>35</v>
      </c>
      <c r="J116" s="33" t="s">
        <v>35</v>
      </c>
      <c r="K116" s="33" t="s">
        <v>35</v>
      </c>
      <c r="L116" s="59" t="s">
        <v>35</v>
      </c>
      <c r="M116" s="60" t="s">
        <v>35</v>
      </c>
      <c r="N116" s="60" t="s">
        <v>35</v>
      </c>
      <c r="O116" s="58" t="s">
        <v>35</v>
      </c>
      <c r="P116" s="59" t="s">
        <v>35</v>
      </c>
      <c r="Q116" s="60" t="s">
        <v>35</v>
      </c>
      <c r="R116" s="60" t="s">
        <v>35</v>
      </c>
      <c r="S116" s="58" t="s">
        <v>35</v>
      </c>
      <c r="T116" s="59" t="s">
        <v>35</v>
      </c>
      <c r="U116" s="60" t="s">
        <v>35</v>
      </c>
      <c r="V116" s="60" t="s">
        <v>35</v>
      </c>
      <c r="W116" s="58" t="s">
        <v>35</v>
      </c>
      <c r="X116" s="59" t="s">
        <v>35</v>
      </c>
      <c r="Y116" s="60" t="s">
        <v>35</v>
      </c>
      <c r="Z116" s="60" t="s">
        <v>35</v>
      </c>
      <c r="AA116" s="58" t="s">
        <v>35</v>
      </c>
      <c r="AB116" s="59" t="s">
        <v>35</v>
      </c>
      <c r="AC116" s="60" t="s">
        <v>35</v>
      </c>
      <c r="AD116" s="60" t="s">
        <v>35</v>
      </c>
      <c r="AE116" s="58" t="s">
        <v>35</v>
      </c>
      <c r="AF116" s="59" t="s">
        <v>35</v>
      </c>
      <c r="AG116" s="60" t="s">
        <v>35</v>
      </c>
      <c r="AH116" s="60" t="s">
        <v>35</v>
      </c>
      <c r="AI116" s="58" t="s">
        <v>35</v>
      </c>
      <c r="AJ116" s="59" t="s">
        <v>35</v>
      </c>
      <c r="AK116" s="60" t="s">
        <v>35</v>
      </c>
      <c r="AL116" s="58" t="s">
        <v>35</v>
      </c>
      <c r="AM116" s="59" t="s">
        <v>35</v>
      </c>
      <c r="AN116" s="60" t="s">
        <v>35</v>
      </c>
      <c r="AO116" s="58" t="s">
        <v>35</v>
      </c>
      <c r="AP116" s="33" t="s">
        <v>35</v>
      </c>
      <c r="AQ116" s="33" t="s">
        <v>35</v>
      </c>
    </row>
    <row r="117" spans="2:43">
      <c r="B117" s="42">
        <v>114</v>
      </c>
      <c r="C117" s="86" t="s">
        <v>265</v>
      </c>
      <c r="D117" s="86"/>
      <c r="E117" s="99" t="s">
        <v>45</v>
      </c>
      <c r="F117" s="99" t="s">
        <v>45</v>
      </c>
      <c r="G117" s="99" t="s">
        <v>200</v>
      </c>
      <c r="H117" s="33" t="s">
        <v>35</v>
      </c>
      <c r="I117" s="33" t="s">
        <v>35</v>
      </c>
      <c r="J117" s="33" t="s">
        <v>35</v>
      </c>
      <c r="K117" s="33" t="s">
        <v>35</v>
      </c>
      <c r="L117" s="59" t="s">
        <v>35</v>
      </c>
      <c r="M117" s="60" t="s">
        <v>35</v>
      </c>
      <c r="N117" s="60" t="s">
        <v>35</v>
      </c>
      <c r="O117" s="58" t="s">
        <v>35</v>
      </c>
      <c r="P117" s="59" t="s">
        <v>35</v>
      </c>
      <c r="Q117" s="60" t="s">
        <v>35</v>
      </c>
      <c r="R117" s="60" t="s">
        <v>35</v>
      </c>
      <c r="S117" s="58" t="s">
        <v>35</v>
      </c>
      <c r="T117" s="59" t="s">
        <v>35</v>
      </c>
      <c r="U117" s="60" t="s">
        <v>35</v>
      </c>
      <c r="V117" s="60" t="s">
        <v>35</v>
      </c>
      <c r="W117" s="58" t="s">
        <v>35</v>
      </c>
      <c r="X117" s="59" t="s">
        <v>35</v>
      </c>
      <c r="Y117" s="60" t="s">
        <v>35</v>
      </c>
      <c r="Z117" s="60" t="s">
        <v>35</v>
      </c>
      <c r="AA117" s="58" t="s">
        <v>35</v>
      </c>
      <c r="AB117" s="59" t="s">
        <v>35</v>
      </c>
      <c r="AC117" s="60" t="s">
        <v>35</v>
      </c>
      <c r="AD117" s="60" t="s">
        <v>35</v>
      </c>
      <c r="AE117" s="58" t="s">
        <v>35</v>
      </c>
      <c r="AF117" s="59" t="s">
        <v>35</v>
      </c>
      <c r="AG117" s="60" t="s">
        <v>35</v>
      </c>
      <c r="AH117" s="60" t="s">
        <v>35</v>
      </c>
      <c r="AI117" s="58" t="s">
        <v>35</v>
      </c>
      <c r="AJ117" s="59" t="s">
        <v>35</v>
      </c>
      <c r="AK117" s="60" t="s">
        <v>35</v>
      </c>
      <c r="AL117" s="58" t="s">
        <v>35</v>
      </c>
      <c r="AM117" s="59" t="s">
        <v>35</v>
      </c>
      <c r="AN117" s="60" t="s">
        <v>35</v>
      </c>
      <c r="AO117" s="58" t="s">
        <v>35</v>
      </c>
      <c r="AP117" s="33" t="s">
        <v>35</v>
      </c>
      <c r="AQ117" s="33" t="s">
        <v>35</v>
      </c>
    </row>
    <row r="118" spans="2:43">
      <c r="B118" s="42">
        <v>115</v>
      </c>
      <c r="C118" s="86" t="s">
        <v>265</v>
      </c>
      <c r="D118" s="94" t="s">
        <v>260</v>
      </c>
      <c r="E118" s="99" t="s">
        <v>37</v>
      </c>
      <c r="F118" s="99" t="s">
        <v>37</v>
      </c>
      <c r="G118" s="99" t="s">
        <v>200</v>
      </c>
      <c r="H118" s="33" t="s">
        <v>35</v>
      </c>
      <c r="I118" s="33" t="s">
        <v>35</v>
      </c>
      <c r="J118" s="33" t="s">
        <v>35</v>
      </c>
      <c r="K118" s="33" t="s">
        <v>35</v>
      </c>
      <c r="L118" s="59" t="s">
        <v>35</v>
      </c>
      <c r="M118" s="60" t="s">
        <v>35</v>
      </c>
      <c r="N118" s="60" t="s">
        <v>35</v>
      </c>
      <c r="O118" s="58" t="s">
        <v>35</v>
      </c>
      <c r="P118" s="59" t="s">
        <v>35</v>
      </c>
      <c r="Q118" s="60" t="s">
        <v>35</v>
      </c>
      <c r="R118" s="60" t="s">
        <v>35</v>
      </c>
      <c r="S118" s="58" t="s">
        <v>35</v>
      </c>
      <c r="T118" s="59" t="s">
        <v>35</v>
      </c>
      <c r="U118" s="60" t="s">
        <v>35</v>
      </c>
      <c r="V118" s="60" t="s">
        <v>35</v>
      </c>
      <c r="W118" s="58" t="s">
        <v>35</v>
      </c>
      <c r="X118" s="59" t="s">
        <v>35</v>
      </c>
      <c r="Y118" s="60" t="s">
        <v>35</v>
      </c>
      <c r="Z118" s="60" t="s">
        <v>35</v>
      </c>
      <c r="AA118" s="58" t="s">
        <v>35</v>
      </c>
      <c r="AB118" s="59" t="s">
        <v>35</v>
      </c>
      <c r="AC118" s="60" t="s">
        <v>35</v>
      </c>
      <c r="AD118" s="60" t="s">
        <v>35</v>
      </c>
      <c r="AE118" s="58" t="s">
        <v>35</v>
      </c>
      <c r="AF118" s="59" t="s">
        <v>35</v>
      </c>
      <c r="AG118" s="60" t="s">
        <v>35</v>
      </c>
      <c r="AH118" s="60" t="s">
        <v>35</v>
      </c>
      <c r="AI118" s="58" t="s">
        <v>35</v>
      </c>
      <c r="AJ118" s="59" t="s">
        <v>35</v>
      </c>
      <c r="AK118" s="60" t="s">
        <v>35</v>
      </c>
      <c r="AL118" s="58" t="s">
        <v>35</v>
      </c>
      <c r="AM118" s="59" t="s">
        <v>35</v>
      </c>
      <c r="AN118" s="60" t="s">
        <v>35</v>
      </c>
      <c r="AO118" s="58" t="s">
        <v>35</v>
      </c>
      <c r="AP118" s="33" t="s">
        <v>35</v>
      </c>
      <c r="AQ118" s="33" t="s">
        <v>35</v>
      </c>
    </row>
    <row r="119" spans="2:43">
      <c r="B119" s="42">
        <v>116</v>
      </c>
      <c r="C119" s="86" t="s">
        <v>265</v>
      </c>
      <c r="D119" s="86"/>
      <c r="E119" s="99" t="s">
        <v>107</v>
      </c>
      <c r="F119" s="99" t="s">
        <v>107</v>
      </c>
      <c r="G119" s="99" t="s">
        <v>200</v>
      </c>
      <c r="H119" s="33" t="s">
        <v>35</v>
      </c>
      <c r="I119" s="33" t="s">
        <v>35</v>
      </c>
      <c r="J119" s="33" t="s">
        <v>35</v>
      </c>
      <c r="K119" s="33" t="s">
        <v>35</v>
      </c>
      <c r="L119" s="59" t="s">
        <v>35</v>
      </c>
      <c r="M119" s="60" t="s">
        <v>35</v>
      </c>
      <c r="N119" s="60" t="s">
        <v>35</v>
      </c>
      <c r="O119" s="58" t="s">
        <v>35</v>
      </c>
      <c r="P119" s="59" t="s">
        <v>35</v>
      </c>
      <c r="Q119" s="60" t="s">
        <v>35</v>
      </c>
      <c r="R119" s="60" t="s">
        <v>35</v>
      </c>
      <c r="S119" s="58" t="s">
        <v>35</v>
      </c>
      <c r="T119" s="59" t="s">
        <v>35</v>
      </c>
      <c r="U119" s="60" t="s">
        <v>35</v>
      </c>
      <c r="V119" s="60" t="s">
        <v>35</v>
      </c>
      <c r="W119" s="58" t="s">
        <v>35</v>
      </c>
      <c r="X119" s="59" t="s">
        <v>35</v>
      </c>
      <c r="Y119" s="60" t="s">
        <v>35</v>
      </c>
      <c r="Z119" s="60" t="s">
        <v>35</v>
      </c>
      <c r="AA119" s="58" t="s">
        <v>35</v>
      </c>
      <c r="AB119" s="59" t="s">
        <v>35</v>
      </c>
      <c r="AC119" s="60" t="s">
        <v>35</v>
      </c>
      <c r="AD119" s="60" t="s">
        <v>35</v>
      </c>
      <c r="AE119" s="58" t="s">
        <v>35</v>
      </c>
      <c r="AF119" s="59" t="s">
        <v>35</v>
      </c>
      <c r="AG119" s="60" t="s">
        <v>35</v>
      </c>
      <c r="AH119" s="60" t="s">
        <v>35</v>
      </c>
      <c r="AI119" s="58" t="s">
        <v>35</v>
      </c>
      <c r="AJ119" s="59" t="s">
        <v>35</v>
      </c>
      <c r="AK119" s="60" t="s">
        <v>35</v>
      </c>
      <c r="AL119" s="58" t="s">
        <v>35</v>
      </c>
      <c r="AM119" s="59" t="s">
        <v>35</v>
      </c>
      <c r="AN119" s="60" t="s">
        <v>35</v>
      </c>
      <c r="AO119" s="58" t="s">
        <v>35</v>
      </c>
      <c r="AP119" s="33" t="s">
        <v>35</v>
      </c>
      <c r="AQ119" s="33" t="s">
        <v>35</v>
      </c>
    </row>
    <row r="120" spans="2:43">
      <c r="B120" s="42">
        <v>117</v>
      </c>
      <c r="C120" s="86" t="s">
        <v>265</v>
      </c>
      <c r="D120" s="86"/>
      <c r="E120" s="99" t="s">
        <v>108</v>
      </c>
      <c r="F120" s="99" t="s">
        <v>108</v>
      </c>
      <c r="G120" s="99" t="s">
        <v>200</v>
      </c>
      <c r="H120" s="33" t="s">
        <v>35</v>
      </c>
      <c r="I120" s="33" t="s">
        <v>35</v>
      </c>
      <c r="J120" s="33" t="s">
        <v>35</v>
      </c>
      <c r="K120" s="33" t="s">
        <v>35</v>
      </c>
      <c r="L120" s="59" t="s">
        <v>35</v>
      </c>
      <c r="M120" s="60" t="s">
        <v>35</v>
      </c>
      <c r="N120" s="60" t="s">
        <v>35</v>
      </c>
      <c r="O120" s="58" t="s">
        <v>35</v>
      </c>
      <c r="P120" s="59" t="s">
        <v>35</v>
      </c>
      <c r="Q120" s="60" t="s">
        <v>35</v>
      </c>
      <c r="R120" s="60" t="s">
        <v>35</v>
      </c>
      <c r="S120" s="58" t="s">
        <v>35</v>
      </c>
      <c r="T120" s="59" t="s">
        <v>35</v>
      </c>
      <c r="U120" s="60" t="s">
        <v>35</v>
      </c>
      <c r="V120" s="60" t="s">
        <v>35</v>
      </c>
      <c r="W120" s="58" t="s">
        <v>35</v>
      </c>
      <c r="X120" s="59" t="s">
        <v>35</v>
      </c>
      <c r="Y120" s="60" t="s">
        <v>35</v>
      </c>
      <c r="Z120" s="60" t="s">
        <v>35</v>
      </c>
      <c r="AA120" s="58" t="s">
        <v>35</v>
      </c>
      <c r="AB120" s="59" t="s">
        <v>35</v>
      </c>
      <c r="AC120" s="60" t="s">
        <v>35</v>
      </c>
      <c r="AD120" s="60" t="s">
        <v>35</v>
      </c>
      <c r="AE120" s="58" t="s">
        <v>35</v>
      </c>
      <c r="AF120" s="59" t="s">
        <v>35</v>
      </c>
      <c r="AG120" s="60" t="s">
        <v>35</v>
      </c>
      <c r="AH120" s="60" t="s">
        <v>35</v>
      </c>
      <c r="AI120" s="58" t="s">
        <v>35</v>
      </c>
      <c r="AJ120" s="59" t="s">
        <v>35</v>
      </c>
      <c r="AK120" s="60" t="s">
        <v>35</v>
      </c>
      <c r="AL120" s="58" t="s">
        <v>35</v>
      </c>
      <c r="AM120" s="59" t="s">
        <v>35</v>
      </c>
      <c r="AN120" s="60" t="s">
        <v>35</v>
      </c>
      <c r="AO120" s="58" t="s">
        <v>35</v>
      </c>
      <c r="AP120" s="33" t="s">
        <v>35</v>
      </c>
      <c r="AQ120" s="33" t="s">
        <v>35</v>
      </c>
    </row>
    <row r="121" spans="2:43">
      <c r="B121" s="42">
        <v>118</v>
      </c>
      <c r="C121" s="86" t="s">
        <v>265</v>
      </c>
      <c r="D121" s="86"/>
      <c r="E121" s="99" t="s">
        <v>109</v>
      </c>
      <c r="F121" s="99" t="s">
        <v>109</v>
      </c>
      <c r="G121" s="99" t="s">
        <v>200</v>
      </c>
      <c r="H121" s="33" t="s">
        <v>35</v>
      </c>
      <c r="I121" s="33" t="s">
        <v>35</v>
      </c>
      <c r="J121" s="33" t="s">
        <v>35</v>
      </c>
      <c r="K121" s="33" t="s">
        <v>35</v>
      </c>
      <c r="L121" s="59" t="s">
        <v>35</v>
      </c>
      <c r="M121" s="60" t="s">
        <v>35</v>
      </c>
      <c r="N121" s="60" t="s">
        <v>35</v>
      </c>
      <c r="O121" s="58" t="s">
        <v>35</v>
      </c>
      <c r="P121" s="59" t="s">
        <v>35</v>
      </c>
      <c r="Q121" s="60" t="s">
        <v>35</v>
      </c>
      <c r="R121" s="60" t="s">
        <v>35</v>
      </c>
      <c r="S121" s="58" t="s">
        <v>35</v>
      </c>
      <c r="T121" s="59" t="s">
        <v>35</v>
      </c>
      <c r="U121" s="60" t="s">
        <v>35</v>
      </c>
      <c r="V121" s="60" t="s">
        <v>35</v>
      </c>
      <c r="W121" s="58" t="s">
        <v>35</v>
      </c>
      <c r="X121" s="59" t="s">
        <v>35</v>
      </c>
      <c r="Y121" s="60" t="s">
        <v>35</v>
      </c>
      <c r="Z121" s="60" t="s">
        <v>35</v>
      </c>
      <c r="AA121" s="58" t="s">
        <v>35</v>
      </c>
      <c r="AB121" s="59" t="s">
        <v>35</v>
      </c>
      <c r="AC121" s="60" t="s">
        <v>35</v>
      </c>
      <c r="AD121" s="60" t="s">
        <v>35</v>
      </c>
      <c r="AE121" s="58" t="s">
        <v>35</v>
      </c>
      <c r="AF121" s="59" t="s">
        <v>35</v>
      </c>
      <c r="AG121" s="60" t="s">
        <v>35</v>
      </c>
      <c r="AH121" s="60" t="s">
        <v>35</v>
      </c>
      <c r="AI121" s="58" t="s">
        <v>35</v>
      </c>
      <c r="AJ121" s="59" t="s">
        <v>35</v>
      </c>
      <c r="AK121" s="60" t="s">
        <v>35</v>
      </c>
      <c r="AL121" s="58" t="s">
        <v>35</v>
      </c>
      <c r="AM121" s="59" t="s">
        <v>35</v>
      </c>
      <c r="AN121" s="60" t="s">
        <v>35</v>
      </c>
      <c r="AO121" s="58" t="s">
        <v>35</v>
      </c>
      <c r="AP121" s="33" t="s">
        <v>35</v>
      </c>
      <c r="AQ121" s="33" t="s">
        <v>35</v>
      </c>
    </row>
    <row r="122" spans="2:43">
      <c r="B122" s="42">
        <v>119</v>
      </c>
      <c r="C122" s="86" t="s">
        <v>265</v>
      </c>
      <c r="D122" s="86"/>
      <c r="E122" s="99" t="s">
        <v>110</v>
      </c>
      <c r="F122" s="99" t="s">
        <v>110</v>
      </c>
      <c r="G122" s="99" t="s">
        <v>200</v>
      </c>
      <c r="H122" s="33" t="s">
        <v>35</v>
      </c>
      <c r="I122" s="33" t="s">
        <v>35</v>
      </c>
      <c r="J122" s="33" t="s">
        <v>35</v>
      </c>
      <c r="K122" s="33" t="s">
        <v>35</v>
      </c>
      <c r="L122" s="59" t="s">
        <v>35</v>
      </c>
      <c r="M122" s="60" t="s">
        <v>35</v>
      </c>
      <c r="N122" s="60" t="s">
        <v>35</v>
      </c>
      <c r="O122" s="58" t="s">
        <v>35</v>
      </c>
      <c r="P122" s="59" t="s">
        <v>35</v>
      </c>
      <c r="Q122" s="60" t="s">
        <v>35</v>
      </c>
      <c r="R122" s="60" t="s">
        <v>35</v>
      </c>
      <c r="S122" s="58" t="s">
        <v>35</v>
      </c>
      <c r="T122" s="59" t="s">
        <v>35</v>
      </c>
      <c r="U122" s="60" t="s">
        <v>35</v>
      </c>
      <c r="V122" s="60" t="s">
        <v>35</v>
      </c>
      <c r="W122" s="58" t="s">
        <v>35</v>
      </c>
      <c r="X122" s="59" t="s">
        <v>35</v>
      </c>
      <c r="Y122" s="60" t="s">
        <v>35</v>
      </c>
      <c r="Z122" s="60" t="s">
        <v>35</v>
      </c>
      <c r="AA122" s="58" t="s">
        <v>35</v>
      </c>
      <c r="AB122" s="59" t="s">
        <v>35</v>
      </c>
      <c r="AC122" s="60" t="s">
        <v>35</v>
      </c>
      <c r="AD122" s="60" t="s">
        <v>35</v>
      </c>
      <c r="AE122" s="58" t="s">
        <v>35</v>
      </c>
      <c r="AF122" s="59" t="s">
        <v>35</v>
      </c>
      <c r="AG122" s="60" t="s">
        <v>35</v>
      </c>
      <c r="AH122" s="60" t="s">
        <v>35</v>
      </c>
      <c r="AI122" s="58" t="s">
        <v>35</v>
      </c>
      <c r="AJ122" s="59" t="s">
        <v>35</v>
      </c>
      <c r="AK122" s="60" t="s">
        <v>35</v>
      </c>
      <c r="AL122" s="58" t="s">
        <v>35</v>
      </c>
      <c r="AM122" s="59" t="s">
        <v>35</v>
      </c>
      <c r="AN122" s="60" t="s">
        <v>35</v>
      </c>
      <c r="AO122" s="58" t="s">
        <v>35</v>
      </c>
      <c r="AP122" s="33" t="s">
        <v>35</v>
      </c>
      <c r="AQ122" s="33" t="s">
        <v>35</v>
      </c>
    </row>
    <row r="123" spans="2:43">
      <c r="B123" s="42">
        <v>120</v>
      </c>
      <c r="C123" s="86" t="s">
        <v>265</v>
      </c>
      <c r="D123" s="86"/>
      <c r="E123" s="99" t="s">
        <v>111</v>
      </c>
      <c r="F123" s="99" t="s">
        <v>111</v>
      </c>
      <c r="G123" s="99" t="s">
        <v>200</v>
      </c>
      <c r="H123" s="33" t="s">
        <v>35</v>
      </c>
      <c r="I123" s="33" t="s">
        <v>35</v>
      </c>
      <c r="J123" s="33" t="s">
        <v>35</v>
      </c>
      <c r="K123" s="33" t="s">
        <v>35</v>
      </c>
      <c r="L123" s="59" t="s">
        <v>35</v>
      </c>
      <c r="M123" s="60" t="s">
        <v>35</v>
      </c>
      <c r="N123" s="60" t="s">
        <v>35</v>
      </c>
      <c r="O123" s="58" t="s">
        <v>35</v>
      </c>
      <c r="P123" s="59" t="s">
        <v>35</v>
      </c>
      <c r="Q123" s="60" t="s">
        <v>35</v>
      </c>
      <c r="R123" s="60" t="s">
        <v>35</v>
      </c>
      <c r="S123" s="58" t="s">
        <v>35</v>
      </c>
      <c r="T123" s="59" t="s">
        <v>35</v>
      </c>
      <c r="U123" s="60" t="s">
        <v>35</v>
      </c>
      <c r="V123" s="60" t="s">
        <v>35</v>
      </c>
      <c r="W123" s="58" t="s">
        <v>35</v>
      </c>
      <c r="X123" s="59" t="s">
        <v>35</v>
      </c>
      <c r="Y123" s="60" t="s">
        <v>35</v>
      </c>
      <c r="Z123" s="60" t="s">
        <v>35</v>
      </c>
      <c r="AA123" s="58" t="s">
        <v>35</v>
      </c>
      <c r="AB123" s="59" t="s">
        <v>35</v>
      </c>
      <c r="AC123" s="60" t="s">
        <v>35</v>
      </c>
      <c r="AD123" s="60" t="s">
        <v>35</v>
      </c>
      <c r="AE123" s="58" t="s">
        <v>35</v>
      </c>
      <c r="AF123" s="59" t="s">
        <v>35</v>
      </c>
      <c r="AG123" s="60" t="s">
        <v>35</v>
      </c>
      <c r="AH123" s="60" t="s">
        <v>35</v>
      </c>
      <c r="AI123" s="58" t="s">
        <v>35</v>
      </c>
      <c r="AJ123" s="59" t="s">
        <v>35</v>
      </c>
      <c r="AK123" s="60" t="s">
        <v>35</v>
      </c>
      <c r="AL123" s="58" t="s">
        <v>35</v>
      </c>
      <c r="AM123" s="59" t="s">
        <v>35</v>
      </c>
      <c r="AN123" s="60" t="s">
        <v>35</v>
      </c>
      <c r="AO123" s="58" t="s">
        <v>35</v>
      </c>
      <c r="AP123" s="33" t="s">
        <v>35</v>
      </c>
      <c r="AQ123" s="33" t="s">
        <v>35</v>
      </c>
    </row>
    <row r="124" spans="2:43">
      <c r="B124" s="42">
        <v>121</v>
      </c>
      <c r="C124" s="86" t="s">
        <v>265</v>
      </c>
      <c r="D124" s="94" t="s">
        <v>261</v>
      </c>
      <c r="E124" s="99" t="s">
        <v>59</v>
      </c>
      <c r="F124" s="99" t="s">
        <v>59</v>
      </c>
      <c r="G124" s="99" t="s">
        <v>200</v>
      </c>
      <c r="H124" s="33" t="s">
        <v>35</v>
      </c>
      <c r="I124" s="33" t="s">
        <v>35</v>
      </c>
      <c r="J124" s="33" t="s">
        <v>35</v>
      </c>
      <c r="K124" s="33" t="s">
        <v>35</v>
      </c>
      <c r="L124" s="59" t="s">
        <v>35</v>
      </c>
      <c r="M124" s="60" t="s">
        <v>35</v>
      </c>
      <c r="N124" s="60" t="s">
        <v>35</v>
      </c>
      <c r="O124" s="58" t="s">
        <v>35</v>
      </c>
      <c r="P124" s="59" t="s">
        <v>35</v>
      </c>
      <c r="Q124" s="60" t="s">
        <v>35</v>
      </c>
      <c r="R124" s="60" t="s">
        <v>35</v>
      </c>
      <c r="S124" s="58" t="s">
        <v>35</v>
      </c>
      <c r="T124" s="59" t="s">
        <v>35</v>
      </c>
      <c r="U124" s="60" t="s">
        <v>35</v>
      </c>
      <c r="V124" s="60" t="s">
        <v>35</v>
      </c>
      <c r="W124" s="58" t="s">
        <v>35</v>
      </c>
      <c r="X124" s="59" t="s">
        <v>35</v>
      </c>
      <c r="Y124" s="60" t="s">
        <v>35</v>
      </c>
      <c r="Z124" s="60" t="s">
        <v>35</v>
      </c>
      <c r="AA124" s="58" t="s">
        <v>35</v>
      </c>
      <c r="AB124" s="59" t="s">
        <v>35</v>
      </c>
      <c r="AC124" s="60" t="s">
        <v>35</v>
      </c>
      <c r="AD124" s="60" t="s">
        <v>35</v>
      </c>
      <c r="AE124" s="58" t="s">
        <v>35</v>
      </c>
      <c r="AF124" s="59" t="s">
        <v>35</v>
      </c>
      <c r="AG124" s="60" t="s">
        <v>35</v>
      </c>
      <c r="AH124" s="60" t="s">
        <v>35</v>
      </c>
      <c r="AI124" s="58" t="s">
        <v>35</v>
      </c>
      <c r="AJ124" s="59" t="s">
        <v>35</v>
      </c>
      <c r="AK124" s="60" t="s">
        <v>35</v>
      </c>
      <c r="AL124" s="58" t="s">
        <v>35</v>
      </c>
      <c r="AM124" s="59" t="s">
        <v>35</v>
      </c>
      <c r="AN124" s="60" t="s">
        <v>35</v>
      </c>
      <c r="AO124" s="58" t="s">
        <v>35</v>
      </c>
      <c r="AP124" s="33" t="s">
        <v>35</v>
      </c>
      <c r="AQ124" s="33" t="s">
        <v>35</v>
      </c>
    </row>
    <row r="125" spans="2:43">
      <c r="B125" s="42">
        <v>122</v>
      </c>
      <c r="C125" s="86" t="s">
        <v>265</v>
      </c>
      <c r="D125" s="86"/>
      <c r="E125" s="99" t="s">
        <v>61</v>
      </c>
      <c r="F125" s="99" t="s">
        <v>61</v>
      </c>
      <c r="G125" s="99" t="s">
        <v>200</v>
      </c>
      <c r="H125" s="33" t="s">
        <v>35</v>
      </c>
      <c r="I125" s="33" t="s">
        <v>35</v>
      </c>
      <c r="J125" s="33" t="s">
        <v>35</v>
      </c>
      <c r="K125" s="33" t="s">
        <v>35</v>
      </c>
      <c r="L125" s="59" t="s">
        <v>35</v>
      </c>
      <c r="M125" s="60" t="s">
        <v>35</v>
      </c>
      <c r="N125" s="60" t="s">
        <v>35</v>
      </c>
      <c r="O125" s="58" t="s">
        <v>35</v>
      </c>
      <c r="P125" s="59" t="s">
        <v>35</v>
      </c>
      <c r="Q125" s="60" t="s">
        <v>35</v>
      </c>
      <c r="R125" s="60" t="s">
        <v>35</v>
      </c>
      <c r="S125" s="58" t="s">
        <v>35</v>
      </c>
      <c r="T125" s="59" t="s">
        <v>35</v>
      </c>
      <c r="U125" s="60" t="s">
        <v>35</v>
      </c>
      <c r="V125" s="60" t="s">
        <v>35</v>
      </c>
      <c r="W125" s="58" t="s">
        <v>35</v>
      </c>
      <c r="X125" s="59" t="s">
        <v>35</v>
      </c>
      <c r="Y125" s="60" t="s">
        <v>35</v>
      </c>
      <c r="Z125" s="60" t="s">
        <v>35</v>
      </c>
      <c r="AA125" s="58" t="s">
        <v>35</v>
      </c>
      <c r="AB125" s="59" t="s">
        <v>35</v>
      </c>
      <c r="AC125" s="60" t="s">
        <v>35</v>
      </c>
      <c r="AD125" s="60" t="s">
        <v>35</v>
      </c>
      <c r="AE125" s="58" t="s">
        <v>35</v>
      </c>
      <c r="AF125" s="59" t="s">
        <v>35</v>
      </c>
      <c r="AG125" s="60" t="s">
        <v>35</v>
      </c>
      <c r="AH125" s="60" t="s">
        <v>35</v>
      </c>
      <c r="AI125" s="58" t="s">
        <v>35</v>
      </c>
      <c r="AJ125" s="59" t="s">
        <v>35</v>
      </c>
      <c r="AK125" s="60" t="s">
        <v>35</v>
      </c>
      <c r="AL125" s="58" t="s">
        <v>35</v>
      </c>
      <c r="AM125" s="59" t="s">
        <v>35</v>
      </c>
      <c r="AN125" s="60" t="s">
        <v>35</v>
      </c>
      <c r="AO125" s="58" t="s">
        <v>35</v>
      </c>
      <c r="AP125" s="33" t="s">
        <v>35</v>
      </c>
      <c r="AQ125" s="33" t="s">
        <v>35</v>
      </c>
    </row>
    <row r="126" spans="2:43">
      <c r="B126" s="42">
        <v>123</v>
      </c>
      <c r="C126" s="86" t="s">
        <v>265</v>
      </c>
      <c r="D126" s="86"/>
      <c r="E126" s="99" t="s">
        <v>66</v>
      </c>
      <c r="F126" s="99" t="s">
        <v>66</v>
      </c>
      <c r="G126" s="99" t="s">
        <v>200</v>
      </c>
      <c r="H126" s="33" t="s">
        <v>35</v>
      </c>
      <c r="I126" s="33" t="s">
        <v>35</v>
      </c>
      <c r="J126" s="33" t="s">
        <v>35</v>
      </c>
      <c r="K126" s="33" t="s">
        <v>35</v>
      </c>
      <c r="L126" s="59" t="s">
        <v>35</v>
      </c>
      <c r="M126" s="60" t="s">
        <v>35</v>
      </c>
      <c r="N126" s="60" t="s">
        <v>35</v>
      </c>
      <c r="O126" s="58" t="s">
        <v>35</v>
      </c>
      <c r="P126" s="59" t="s">
        <v>35</v>
      </c>
      <c r="Q126" s="60" t="s">
        <v>35</v>
      </c>
      <c r="R126" s="60" t="s">
        <v>35</v>
      </c>
      <c r="S126" s="58" t="s">
        <v>35</v>
      </c>
      <c r="T126" s="59" t="s">
        <v>35</v>
      </c>
      <c r="U126" s="60" t="s">
        <v>35</v>
      </c>
      <c r="V126" s="60" t="s">
        <v>35</v>
      </c>
      <c r="W126" s="58" t="s">
        <v>35</v>
      </c>
      <c r="X126" s="59" t="s">
        <v>35</v>
      </c>
      <c r="Y126" s="60" t="s">
        <v>35</v>
      </c>
      <c r="Z126" s="60" t="s">
        <v>35</v>
      </c>
      <c r="AA126" s="58" t="s">
        <v>35</v>
      </c>
      <c r="AB126" s="59" t="s">
        <v>35</v>
      </c>
      <c r="AC126" s="60" t="s">
        <v>35</v>
      </c>
      <c r="AD126" s="60" t="s">
        <v>35</v>
      </c>
      <c r="AE126" s="58" t="s">
        <v>35</v>
      </c>
      <c r="AF126" s="59" t="s">
        <v>35</v>
      </c>
      <c r="AG126" s="60" t="s">
        <v>35</v>
      </c>
      <c r="AH126" s="60" t="s">
        <v>35</v>
      </c>
      <c r="AI126" s="58" t="s">
        <v>35</v>
      </c>
      <c r="AJ126" s="59" t="s">
        <v>35</v>
      </c>
      <c r="AK126" s="60" t="s">
        <v>35</v>
      </c>
      <c r="AL126" s="58" t="s">
        <v>35</v>
      </c>
      <c r="AM126" s="59" t="s">
        <v>35</v>
      </c>
      <c r="AN126" s="60" t="s">
        <v>35</v>
      </c>
      <c r="AO126" s="58" t="s">
        <v>35</v>
      </c>
      <c r="AP126" s="33" t="s">
        <v>35</v>
      </c>
      <c r="AQ126" s="33" t="s">
        <v>35</v>
      </c>
    </row>
    <row r="127" spans="2:43">
      <c r="B127" s="42">
        <v>124</v>
      </c>
      <c r="C127" s="86" t="s">
        <v>265</v>
      </c>
      <c r="D127" s="86"/>
      <c r="E127" s="99" t="s">
        <v>67</v>
      </c>
      <c r="F127" s="99" t="s">
        <v>67</v>
      </c>
      <c r="G127" s="99" t="s">
        <v>200</v>
      </c>
      <c r="H127" s="33" t="s">
        <v>35</v>
      </c>
      <c r="I127" s="33" t="s">
        <v>35</v>
      </c>
      <c r="J127" s="33" t="s">
        <v>35</v>
      </c>
      <c r="K127" s="33" t="s">
        <v>35</v>
      </c>
      <c r="L127" s="59" t="s">
        <v>35</v>
      </c>
      <c r="M127" s="60" t="s">
        <v>35</v>
      </c>
      <c r="N127" s="60" t="s">
        <v>35</v>
      </c>
      <c r="O127" s="58" t="s">
        <v>35</v>
      </c>
      <c r="P127" s="59" t="s">
        <v>35</v>
      </c>
      <c r="Q127" s="60" t="s">
        <v>35</v>
      </c>
      <c r="R127" s="60" t="s">
        <v>35</v>
      </c>
      <c r="S127" s="58" t="s">
        <v>35</v>
      </c>
      <c r="T127" s="59" t="s">
        <v>35</v>
      </c>
      <c r="U127" s="60" t="s">
        <v>35</v>
      </c>
      <c r="V127" s="60" t="s">
        <v>35</v>
      </c>
      <c r="W127" s="58" t="s">
        <v>35</v>
      </c>
      <c r="X127" s="59" t="s">
        <v>35</v>
      </c>
      <c r="Y127" s="60" t="s">
        <v>35</v>
      </c>
      <c r="Z127" s="60" t="s">
        <v>35</v>
      </c>
      <c r="AA127" s="58" t="s">
        <v>35</v>
      </c>
      <c r="AB127" s="59" t="s">
        <v>35</v>
      </c>
      <c r="AC127" s="60" t="s">
        <v>35</v>
      </c>
      <c r="AD127" s="60" t="s">
        <v>35</v>
      </c>
      <c r="AE127" s="58" t="s">
        <v>35</v>
      </c>
      <c r="AF127" s="59" t="s">
        <v>35</v>
      </c>
      <c r="AG127" s="60" t="s">
        <v>35</v>
      </c>
      <c r="AH127" s="60" t="s">
        <v>35</v>
      </c>
      <c r="AI127" s="58" t="s">
        <v>35</v>
      </c>
      <c r="AJ127" s="59" t="s">
        <v>35</v>
      </c>
      <c r="AK127" s="60" t="s">
        <v>35</v>
      </c>
      <c r="AL127" s="58" t="s">
        <v>35</v>
      </c>
      <c r="AM127" s="59" t="s">
        <v>35</v>
      </c>
      <c r="AN127" s="60" t="s">
        <v>35</v>
      </c>
      <c r="AO127" s="58" t="s">
        <v>35</v>
      </c>
      <c r="AP127" s="33" t="s">
        <v>35</v>
      </c>
      <c r="AQ127" s="33" t="s">
        <v>35</v>
      </c>
    </row>
    <row r="128" spans="2:43">
      <c r="B128" s="42">
        <v>125</v>
      </c>
      <c r="C128" s="86" t="s">
        <v>265</v>
      </c>
      <c r="D128" s="86"/>
      <c r="E128" s="99" t="s">
        <v>68</v>
      </c>
      <c r="F128" s="99" t="s">
        <v>68</v>
      </c>
      <c r="G128" s="99" t="s">
        <v>200</v>
      </c>
      <c r="H128" s="33" t="s">
        <v>35</v>
      </c>
      <c r="I128" s="33" t="s">
        <v>35</v>
      </c>
      <c r="J128" s="33" t="s">
        <v>35</v>
      </c>
      <c r="K128" s="33" t="s">
        <v>35</v>
      </c>
      <c r="L128" s="59" t="s">
        <v>35</v>
      </c>
      <c r="M128" s="60" t="s">
        <v>35</v>
      </c>
      <c r="N128" s="60" t="s">
        <v>35</v>
      </c>
      <c r="O128" s="58" t="s">
        <v>35</v>
      </c>
      <c r="P128" s="59" t="s">
        <v>35</v>
      </c>
      <c r="Q128" s="60" t="s">
        <v>35</v>
      </c>
      <c r="R128" s="60" t="s">
        <v>35</v>
      </c>
      <c r="S128" s="58" t="s">
        <v>35</v>
      </c>
      <c r="T128" s="59" t="s">
        <v>35</v>
      </c>
      <c r="U128" s="60" t="s">
        <v>35</v>
      </c>
      <c r="V128" s="60" t="s">
        <v>35</v>
      </c>
      <c r="W128" s="58" t="s">
        <v>35</v>
      </c>
      <c r="X128" s="59" t="s">
        <v>35</v>
      </c>
      <c r="Y128" s="60" t="s">
        <v>35</v>
      </c>
      <c r="Z128" s="60" t="s">
        <v>35</v>
      </c>
      <c r="AA128" s="58" t="s">
        <v>35</v>
      </c>
      <c r="AB128" s="59" t="s">
        <v>35</v>
      </c>
      <c r="AC128" s="60" t="s">
        <v>35</v>
      </c>
      <c r="AD128" s="60" t="s">
        <v>35</v>
      </c>
      <c r="AE128" s="58" t="s">
        <v>35</v>
      </c>
      <c r="AF128" s="59" t="s">
        <v>35</v>
      </c>
      <c r="AG128" s="60" t="s">
        <v>35</v>
      </c>
      <c r="AH128" s="60" t="s">
        <v>35</v>
      </c>
      <c r="AI128" s="58" t="s">
        <v>35</v>
      </c>
      <c r="AJ128" s="59" t="s">
        <v>35</v>
      </c>
      <c r="AK128" s="60" t="s">
        <v>35</v>
      </c>
      <c r="AL128" s="58" t="s">
        <v>35</v>
      </c>
      <c r="AM128" s="59" t="s">
        <v>35</v>
      </c>
      <c r="AN128" s="60" t="s">
        <v>35</v>
      </c>
      <c r="AO128" s="58" t="s">
        <v>35</v>
      </c>
      <c r="AP128" s="33" t="s">
        <v>35</v>
      </c>
      <c r="AQ128" s="33" t="s">
        <v>35</v>
      </c>
    </row>
    <row r="129" spans="2:43">
      <c r="B129" s="42">
        <v>126</v>
      </c>
      <c r="C129" s="86" t="s">
        <v>265</v>
      </c>
      <c r="D129" s="86"/>
      <c r="E129" s="99" t="s">
        <v>69</v>
      </c>
      <c r="F129" s="99" t="s">
        <v>69</v>
      </c>
      <c r="G129" s="99" t="s">
        <v>200</v>
      </c>
      <c r="H129" s="33" t="s">
        <v>35</v>
      </c>
      <c r="I129" s="33" t="s">
        <v>35</v>
      </c>
      <c r="J129" s="33" t="s">
        <v>35</v>
      </c>
      <c r="K129" s="33" t="s">
        <v>35</v>
      </c>
      <c r="L129" s="59" t="s">
        <v>35</v>
      </c>
      <c r="M129" s="60" t="s">
        <v>35</v>
      </c>
      <c r="N129" s="60" t="s">
        <v>35</v>
      </c>
      <c r="O129" s="58" t="s">
        <v>35</v>
      </c>
      <c r="P129" s="59" t="s">
        <v>35</v>
      </c>
      <c r="Q129" s="60" t="s">
        <v>35</v>
      </c>
      <c r="R129" s="60" t="s">
        <v>35</v>
      </c>
      <c r="S129" s="58" t="s">
        <v>35</v>
      </c>
      <c r="T129" s="59" t="s">
        <v>35</v>
      </c>
      <c r="U129" s="60" t="s">
        <v>35</v>
      </c>
      <c r="V129" s="60" t="s">
        <v>35</v>
      </c>
      <c r="W129" s="58" t="s">
        <v>35</v>
      </c>
      <c r="X129" s="59" t="s">
        <v>35</v>
      </c>
      <c r="Y129" s="60" t="s">
        <v>35</v>
      </c>
      <c r="Z129" s="60" t="s">
        <v>35</v>
      </c>
      <c r="AA129" s="58" t="s">
        <v>35</v>
      </c>
      <c r="AB129" s="59" t="s">
        <v>35</v>
      </c>
      <c r="AC129" s="60" t="s">
        <v>35</v>
      </c>
      <c r="AD129" s="60" t="s">
        <v>35</v>
      </c>
      <c r="AE129" s="58" t="s">
        <v>35</v>
      </c>
      <c r="AF129" s="59" t="s">
        <v>35</v>
      </c>
      <c r="AG129" s="60" t="s">
        <v>35</v>
      </c>
      <c r="AH129" s="60" t="s">
        <v>35</v>
      </c>
      <c r="AI129" s="58" t="s">
        <v>35</v>
      </c>
      <c r="AJ129" s="59" t="s">
        <v>35</v>
      </c>
      <c r="AK129" s="60" t="s">
        <v>35</v>
      </c>
      <c r="AL129" s="58" t="s">
        <v>35</v>
      </c>
      <c r="AM129" s="59" t="s">
        <v>35</v>
      </c>
      <c r="AN129" s="60" t="s">
        <v>35</v>
      </c>
      <c r="AO129" s="58" t="s">
        <v>35</v>
      </c>
      <c r="AP129" s="33" t="s">
        <v>35</v>
      </c>
      <c r="AQ129" s="33" t="s">
        <v>35</v>
      </c>
    </row>
    <row r="130" spans="2:43">
      <c r="B130" s="42">
        <v>127</v>
      </c>
      <c r="C130" s="86" t="s">
        <v>265</v>
      </c>
      <c r="D130" s="86"/>
      <c r="E130" s="99" t="s">
        <v>70</v>
      </c>
      <c r="F130" s="99" t="s">
        <v>70</v>
      </c>
      <c r="G130" s="99" t="s">
        <v>200</v>
      </c>
      <c r="H130" s="33" t="s">
        <v>35</v>
      </c>
      <c r="I130" s="33" t="s">
        <v>35</v>
      </c>
      <c r="J130" s="33" t="s">
        <v>35</v>
      </c>
      <c r="K130" s="33" t="s">
        <v>35</v>
      </c>
      <c r="L130" s="59" t="s">
        <v>35</v>
      </c>
      <c r="M130" s="60" t="s">
        <v>35</v>
      </c>
      <c r="N130" s="60" t="s">
        <v>35</v>
      </c>
      <c r="O130" s="58" t="s">
        <v>35</v>
      </c>
      <c r="P130" s="59" t="s">
        <v>35</v>
      </c>
      <c r="Q130" s="60" t="s">
        <v>35</v>
      </c>
      <c r="R130" s="60" t="s">
        <v>35</v>
      </c>
      <c r="S130" s="58" t="s">
        <v>35</v>
      </c>
      <c r="T130" s="59" t="s">
        <v>35</v>
      </c>
      <c r="U130" s="60" t="s">
        <v>35</v>
      </c>
      <c r="V130" s="60" t="s">
        <v>35</v>
      </c>
      <c r="W130" s="58" t="s">
        <v>35</v>
      </c>
      <c r="X130" s="59" t="s">
        <v>35</v>
      </c>
      <c r="Y130" s="60" t="s">
        <v>35</v>
      </c>
      <c r="Z130" s="60" t="s">
        <v>35</v>
      </c>
      <c r="AA130" s="58" t="s">
        <v>35</v>
      </c>
      <c r="AB130" s="59" t="s">
        <v>35</v>
      </c>
      <c r="AC130" s="60" t="s">
        <v>35</v>
      </c>
      <c r="AD130" s="60" t="s">
        <v>35</v>
      </c>
      <c r="AE130" s="58" t="s">
        <v>35</v>
      </c>
      <c r="AF130" s="59" t="s">
        <v>35</v>
      </c>
      <c r="AG130" s="60" t="s">
        <v>35</v>
      </c>
      <c r="AH130" s="60" t="s">
        <v>35</v>
      </c>
      <c r="AI130" s="58" t="s">
        <v>35</v>
      </c>
      <c r="AJ130" s="59" t="s">
        <v>35</v>
      </c>
      <c r="AK130" s="60" t="s">
        <v>35</v>
      </c>
      <c r="AL130" s="58" t="s">
        <v>35</v>
      </c>
      <c r="AM130" s="59" t="s">
        <v>35</v>
      </c>
      <c r="AN130" s="60" t="s">
        <v>35</v>
      </c>
      <c r="AO130" s="58" t="s">
        <v>35</v>
      </c>
      <c r="AP130" s="33" t="s">
        <v>35</v>
      </c>
      <c r="AQ130" s="33" t="s">
        <v>35</v>
      </c>
    </row>
    <row r="131" spans="2:43">
      <c r="B131" s="42">
        <v>128</v>
      </c>
      <c r="C131" s="86" t="s">
        <v>265</v>
      </c>
      <c r="D131" s="86"/>
      <c r="E131" s="99" t="s">
        <v>71</v>
      </c>
      <c r="F131" s="99" t="s">
        <v>71</v>
      </c>
      <c r="G131" s="99" t="s">
        <v>200</v>
      </c>
      <c r="H131" s="33" t="s">
        <v>35</v>
      </c>
      <c r="I131" s="33" t="s">
        <v>35</v>
      </c>
      <c r="J131" s="33" t="s">
        <v>35</v>
      </c>
      <c r="K131" s="33" t="s">
        <v>35</v>
      </c>
      <c r="L131" s="59" t="s">
        <v>35</v>
      </c>
      <c r="M131" s="60" t="s">
        <v>35</v>
      </c>
      <c r="N131" s="60" t="s">
        <v>35</v>
      </c>
      <c r="O131" s="58" t="s">
        <v>35</v>
      </c>
      <c r="P131" s="59" t="s">
        <v>35</v>
      </c>
      <c r="Q131" s="60" t="s">
        <v>35</v>
      </c>
      <c r="R131" s="60" t="s">
        <v>35</v>
      </c>
      <c r="S131" s="58" t="s">
        <v>35</v>
      </c>
      <c r="T131" s="59" t="s">
        <v>35</v>
      </c>
      <c r="U131" s="60" t="s">
        <v>35</v>
      </c>
      <c r="V131" s="60" t="s">
        <v>35</v>
      </c>
      <c r="W131" s="58" t="s">
        <v>35</v>
      </c>
      <c r="X131" s="59" t="s">
        <v>35</v>
      </c>
      <c r="Y131" s="60" t="s">
        <v>35</v>
      </c>
      <c r="Z131" s="60" t="s">
        <v>35</v>
      </c>
      <c r="AA131" s="58" t="s">
        <v>35</v>
      </c>
      <c r="AB131" s="59" t="s">
        <v>35</v>
      </c>
      <c r="AC131" s="60" t="s">
        <v>35</v>
      </c>
      <c r="AD131" s="60" t="s">
        <v>35</v>
      </c>
      <c r="AE131" s="58" t="s">
        <v>35</v>
      </c>
      <c r="AF131" s="59" t="s">
        <v>35</v>
      </c>
      <c r="AG131" s="60" t="s">
        <v>35</v>
      </c>
      <c r="AH131" s="60" t="s">
        <v>35</v>
      </c>
      <c r="AI131" s="58" t="s">
        <v>35</v>
      </c>
      <c r="AJ131" s="59" t="s">
        <v>35</v>
      </c>
      <c r="AK131" s="60" t="s">
        <v>35</v>
      </c>
      <c r="AL131" s="58" t="s">
        <v>35</v>
      </c>
      <c r="AM131" s="59" t="s">
        <v>35</v>
      </c>
      <c r="AN131" s="60" t="s">
        <v>35</v>
      </c>
      <c r="AO131" s="58" t="s">
        <v>35</v>
      </c>
      <c r="AP131" s="33" t="s">
        <v>35</v>
      </c>
      <c r="AQ131" s="33" t="s">
        <v>35</v>
      </c>
    </row>
    <row r="132" spans="2:43">
      <c r="B132" s="42">
        <v>129</v>
      </c>
      <c r="C132" s="86" t="s">
        <v>265</v>
      </c>
      <c r="D132" s="86"/>
      <c r="E132" s="99" t="s">
        <v>72</v>
      </c>
      <c r="F132" s="99" t="s">
        <v>72</v>
      </c>
      <c r="G132" s="99" t="s">
        <v>200</v>
      </c>
      <c r="H132" s="33" t="s">
        <v>35</v>
      </c>
      <c r="I132" s="33" t="s">
        <v>35</v>
      </c>
      <c r="J132" s="33" t="s">
        <v>35</v>
      </c>
      <c r="K132" s="33" t="s">
        <v>35</v>
      </c>
      <c r="L132" s="59" t="s">
        <v>35</v>
      </c>
      <c r="M132" s="60" t="s">
        <v>35</v>
      </c>
      <c r="N132" s="60" t="s">
        <v>35</v>
      </c>
      <c r="O132" s="58" t="s">
        <v>35</v>
      </c>
      <c r="P132" s="59" t="s">
        <v>35</v>
      </c>
      <c r="Q132" s="60" t="s">
        <v>35</v>
      </c>
      <c r="R132" s="60" t="s">
        <v>35</v>
      </c>
      <c r="S132" s="58" t="s">
        <v>35</v>
      </c>
      <c r="T132" s="59" t="s">
        <v>35</v>
      </c>
      <c r="U132" s="60" t="s">
        <v>35</v>
      </c>
      <c r="V132" s="60" t="s">
        <v>35</v>
      </c>
      <c r="W132" s="58" t="s">
        <v>35</v>
      </c>
      <c r="X132" s="59" t="s">
        <v>35</v>
      </c>
      <c r="Y132" s="60" t="s">
        <v>35</v>
      </c>
      <c r="Z132" s="60" t="s">
        <v>35</v>
      </c>
      <c r="AA132" s="58" t="s">
        <v>35</v>
      </c>
      <c r="AB132" s="59" t="s">
        <v>35</v>
      </c>
      <c r="AC132" s="60" t="s">
        <v>35</v>
      </c>
      <c r="AD132" s="60" t="s">
        <v>35</v>
      </c>
      <c r="AE132" s="58" t="s">
        <v>35</v>
      </c>
      <c r="AF132" s="59" t="s">
        <v>35</v>
      </c>
      <c r="AG132" s="60" t="s">
        <v>35</v>
      </c>
      <c r="AH132" s="60" t="s">
        <v>35</v>
      </c>
      <c r="AI132" s="58" t="s">
        <v>35</v>
      </c>
      <c r="AJ132" s="59" t="s">
        <v>35</v>
      </c>
      <c r="AK132" s="60" t="s">
        <v>35</v>
      </c>
      <c r="AL132" s="58" t="s">
        <v>35</v>
      </c>
      <c r="AM132" s="59" t="s">
        <v>35</v>
      </c>
      <c r="AN132" s="60" t="s">
        <v>35</v>
      </c>
      <c r="AO132" s="58" t="s">
        <v>35</v>
      </c>
      <c r="AP132" s="33" t="s">
        <v>35</v>
      </c>
      <c r="AQ132" s="33" t="s">
        <v>35</v>
      </c>
    </row>
    <row r="133" spans="2:43">
      <c r="B133" s="42">
        <v>130</v>
      </c>
      <c r="C133" s="86" t="s">
        <v>265</v>
      </c>
      <c r="D133" s="86"/>
      <c r="E133" s="99" t="s">
        <v>73</v>
      </c>
      <c r="F133" s="99" t="s">
        <v>73</v>
      </c>
      <c r="G133" s="99" t="s">
        <v>200</v>
      </c>
      <c r="H133" s="33" t="s">
        <v>35</v>
      </c>
      <c r="I133" s="33" t="s">
        <v>35</v>
      </c>
      <c r="J133" s="33" t="s">
        <v>35</v>
      </c>
      <c r="K133" s="33" t="s">
        <v>35</v>
      </c>
      <c r="L133" s="59" t="s">
        <v>35</v>
      </c>
      <c r="M133" s="60" t="s">
        <v>35</v>
      </c>
      <c r="N133" s="60" t="s">
        <v>35</v>
      </c>
      <c r="O133" s="58" t="s">
        <v>35</v>
      </c>
      <c r="P133" s="59" t="s">
        <v>35</v>
      </c>
      <c r="Q133" s="60" t="s">
        <v>35</v>
      </c>
      <c r="R133" s="60" t="s">
        <v>35</v>
      </c>
      <c r="S133" s="58" t="s">
        <v>35</v>
      </c>
      <c r="T133" s="59" t="s">
        <v>35</v>
      </c>
      <c r="U133" s="60" t="s">
        <v>35</v>
      </c>
      <c r="V133" s="60" t="s">
        <v>35</v>
      </c>
      <c r="W133" s="58" t="s">
        <v>35</v>
      </c>
      <c r="X133" s="59" t="s">
        <v>35</v>
      </c>
      <c r="Y133" s="60" t="s">
        <v>35</v>
      </c>
      <c r="Z133" s="60" t="s">
        <v>35</v>
      </c>
      <c r="AA133" s="58" t="s">
        <v>35</v>
      </c>
      <c r="AB133" s="59" t="s">
        <v>35</v>
      </c>
      <c r="AC133" s="60" t="s">
        <v>35</v>
      </c>
      <c r="AD133" s="60" t="s">
        <v>35</v>
      </c>
      <c r="AE133" s="58" t="s">
        <v>35</v>
      </c>
      <c r="AF133" s="59" t="s">
        <v>35</v>
      </c>
      <c r="AG133" s="60" t="s">
        <v>35</v>
      </c>
      <c r="AH133" s="60" t="s">
        <v>35</v>
      </c>
      <c r="AI133" s="58" t="s">
        <v>35</v>
      </c>
      <c r="AJ133" s="59" t="s">
        <v>35</v>
      </c>
      <c r="AK133" s="60" t="s">
        <v>35</v>
      </c>
      <c r="AL133" s="58" t="s">
        <v>35</v>
      </c>
      <c r="AM133" s="59" t="s">
        <v>35</v>
      </c>
      <c r="AN133" s="60" t="s">
        <v>35</v>
      </c>
      <c r="AO133" s="58" t="s">
        <v>35</v>
      </c>
      <c r="AP133" s="33" t="s">
        <v>35</v>
      </c>
      <c r="AQ133" s="33" t="s">
        <v>35</v>
      </c>
    </row>
    <row r="134" spans="2:43">
      <c r="B134" s="42">
        <v>131</v>
      </c>
      <c r="C134" s="96" t="s">
        <v>265</v>
      </c>
      <c r="D134" s="96"/>
      <c r="E134" s="99" t="s">
        <v>125</v>
      </c>
      <c r="F134" s="99" t="s">
        <v>125</v>
      </c>
      <c r="G134" s="99" t="s">
        <v>200</v>
      </c>
      <c r="H134" s="33" t="s">
        <v>35</v>
      </c>
      <c r="I134" s="33" t="s">
        <v>35</v>
      </c>
      <c r="J134" s="33" t="s">
        <v>35</v>
      </c>
      <c r="K134" s="33" t="s">
        <v>35</v>
      </c>
      <c r="L134" s="59" t="s">
        <v>35</v>
      </c>
      <c r="M134" s="60" t="s">
        <v>35</v>
      </c>
      <c r="N134" s="60" t="s">
        <v>35</v>
      </c>
      <c r="O134" s="58" t="s">
        <v>35</v>
      </c>
      <c r="P134" s="59" t="s">
        <v>35</v>
      </c>
      <c r="Q134" s="60" t="s">
        <v>35</v>
      </c>
      <c r="R134" s="60" t="s">
        <v>35</v>
      </c>
      <c r="S134" s="58" t="s">
        <v>35</v>
      </c>
      <c r="T134" s="59" t="s">
        <v>35</v>
      </c>
      <c r="U134" s="60" t="s">
        <v>35</v>
      </c>
      <c r="V134" s="60" t="s">
        <v>35</v>
      </c>
      <c r="W134" s="58" t="s">
        <v>35</v>
      </c>
      <c r="X134" s="59" t="s">
        <v>35</v>
      </c>
      <c r="Y134" s="60" t="s">
        <v>35</v>
      </c>
      <c r="Z134" s="60" t="s">
        <v>35</v>
      </c>
      <c r="AA134" s="58" t="s">
        <v>35</v>
      </c>
      <c r="AB134" s="59" t="s">
        <v>35</v>
      </c>
      <c r="AC134" s="60" t="s">
        <v>35</v>
      </c>
      <c r="AD134" s="60" t="s">
        <v>35</v>
      </c>
      <c r="AE134" s="58" t="s">
        <v>35</v>
      </c>
      <c r="AF134" s="59" t="s">
        <v>35</v>
      </c>
      <c r="AG134" s="60" t="s">
        <v>35</v>
      </c>
      <c r="AH134" s="60" t="s">
        <v>35</v>
      </c>
      <c r="AI134" s="58" t="s">
        <v>35</v>
      </c>
      <c r="AJ134" s="59" t="s">
        <v>35</v>
      </c>
      <c r="AK134" s="60" t="s">
        <v>35</v>
      </c>
      <c r="AL134" s="58" t="s">
        <v>35</v>
      </c>
      <c r="AM134" s="59" t="s">
        <v>35</v>
      </c>
      <c r="AN134" s="60" t="s">
        <v>35</v>
      </c>
      <c r="AO134" s="58" t="s">
        <v>35</v>
      </c>
      <c r="AP134" s="33" t="s">
        <v>35</v>
      </c>
      <c r="AQ134" s="33" t="s">
        <v>35</v>
      </c>
    </row>
    <row r="135" spans="2:43">
      <c r="C135" s="97"/>
    </row>
  </sheetData>
  <mergeCells count="20">
    <mergeCell ref="G2:G3"/>
    <mergeCell ref="AQ2:AQ3"/>
    <mergeCell ref="K2:K3"/>
    <mergeCell ref="AB2:AE2"/>
    <mergeCell ref="AF2:AI2"/>
    <mergeCell ref="AJ2:AL2"/>
    <mergeCell ref="AM2:AO2"/>
    <mergeCell ref="AP2:AP3"/>
    <mergeCell ref="H2:H3"/>
    <mergeCell ref="I2:I3"/>
    <mergeCell ref="J2:J3"/>
    <mergeCell ref="L2:O2"/>
    <mergeCell ref="T2:W2"/>
    <mergeCell ref="X2:AA2"/>
    <mergeCell ref="P2:S2"/>
    <mergeCell ref="C2:C3"/>
    <mergeCell ref="B2:B3"/>
    <mergeCell ref="D2:D3"/>
    <mergeCell ref="E2:E3"/>
    <mergeCell ref="F2:F3"/>
  </mergeCells>
  <phoneticPr fontId="4" type="noConversion"/>
  <dataValidations count="1">
    <dataValidation type="list" allowBlank="1" showInputMessage="1" showErrorMessage="1" sqref="G4:G86">
      <formula1>"Front/Back, Back, Batch, I/F"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표지</vt:lpstr>
      <vt:lpstr>개정이력</vt:lpstr>
      <vt:lpstr>(집계)</vt:lpstr>
      <vt:lpstr>POS</vt:lpstr>
      <vt:lpstr>키오스크</vt:lpstr>
      <vt:lpstr>POS관리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User; cj:mm+VQHgXEDz8GIfgIMdzRj/3faA=*kernel</dc:creator>
  <cp:keywords/>
  <dc:description/>
  <cp:lastModifiedBy>User</cp:lastModifiedBy>
  <cp:revision/>
  <dcterms:created xsi:type="dcterms:W3CDTF">2025-02-20T01:40:09Z</dcterms:created>
  <dcterms:modified xsi:type="dcterms:W3CDTF">2025-03-05T23:49:46Z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132b298-d092-4ba9-a1be-2a4de4a74ea4_Enabled">
    <vt:lpwstr>true</vt:lpwstr>
  </property>
  <property fmtid="{D5CDD505-2E9C-101B-9397-08002B2CF9AE}" pid="3" name="MSIP_Label_d132b298-d092-4ba9-a1be-2a4de4a74ea4_SetDate">
    <vt:lpwstr>2025-02-20T23:23:25Z</vt:lpwstr>
  </property>
  <property fmtid="{D5CDD505-2E9C-101B-9397-08002B2CF9AE}" pid="4" name="MSIP_Label_d132b298-d092-4ba9-a1be-2a4de4a74ea4_Method">
    <vt:lpwstr>Privileged</vt:lpwstr>
  </property>
  <property fmtid="{D5CDD505-2E9C-101B-9397-08002B2CF9AE}" pid="5" name="MSIP_Label_d132b298-d092-4ba9-a1be-2a4de4a74ea4_Name">
    <vt:lpwstr>평문화</vt:lpwstr>
  </property>
  <property fmtid="{D5CDD505-2E9C-101B-9397-08002B2CF9AE}" pid="6" name="MSIP_Label_d132b298-d092-4ba9-a1be-2a4de4a74ea4_SiteId">
    <vt:lpwstr>ee6af5c5-684f-4539-9eb6-64793af08027</vt:lpwstr>
  </property>
  <property fmtid="{D5CDD505-2E9C-101B-9397-08002B2CF9AE}" pid="7" name="MSIP_Label_d132b298-d092-4ba9-a1be-2a4de4a74ea4_ActionId">
    <vt:lpwstr>40be91d0-337b-420d-a994-1fc9bf29cc2d</vt:lpwstr>
  </property>
  <property fmtid="{D5CDD505-2E9C-101B-9397-08002B2CF9AE}" pid="8" name="MSIP_Label_d132b298-d092-4ba9-a1be-2a4de4a74ea4_ContentBits">
    <vt:lpwstr>0</vt:lpwstr>
  </property>
</Properties>
</file>